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itial Investment" sheetId="3" state="visible" r:id="rId3"/>
    <sheet xmlns:r="http://schemas.openxmlformats.org/officeDocument/2006/relationships" name="HR Plan" sheetId="4" state="visible" r:id="rId4"/>
    <sheet xmlns:r="http://schemas.openxmlformats.org/officeDocument/2006/relationships" name="Market Sizing" sheetId="5" state="visible" r:id="rId5"/>
    <sheet xmlns:r="http://schemas.openxmlformats.org/officeDocument/2006/relationships" name="Revenue Schedule" sheetId="6" state="visible" r:id="rId6"/>
    <sheet xmlns:r="http://schemas.openxmlformats.org/officeDocument/2006/relationships" name="Cost Schedule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DCF &amp; Returns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Budget 2025" sheetId="12" state="visible" r:id="rId12"/>
    <sheet xmlns:r="http://schemas.openxmlformats.org/officeDocument/2006/relationships" name="Budget 2026" sheetId="13" state="visible" r:id="rId13"/>
  </sheets>
  <definedNames>
    <definedName name="base_year">'Assumptions'!$B$6</definedName>
    <definedName name="start_month">'Assumptions'!$B$7</definedName>
    <definedName name="projection_years">'Assumptions'!$B$8</definedName>
    <definedName name="TAM_enterprises">'Assumptions'!$B$12</definedName>
    <definedName name="SAM_enterprises">'Assumptions'!$B$13</definedName>
    <definedName name="ecom_market_base">'Assumptions'!$B$14</definedName>
    <definedName name="ecom_growth_rate">'Assumptions'!$B$15</definedName>
    <definedName name="adoption_max">'Assumptions'!$B$19</definedName>
    <definedName name="adoption_midpoint">'Assumptions'!$B$20</definedName>
    <definedName name="adoption_steepness">'Assumptions'!$B$21</definedName>
    <definedName name="pilot_count">'Assumptions'!$B$22</definedName>
    <definedName name="churn_rate">'Assumptions'!$B$23</definedName>
    <definedName name="cert_fee_yr1">'Assumptions'!$B$27</definedName>
    <definedName name="cert_fee_escalation">'Assumptions'!$B$28</definedName>
    <definedName name="tx_take_rate">'Assumptions'!$B$29</definedName>
    <definedName name="platform_market_share">'Assumptions'!$B$30</definedName>
    <definedName name="daas_price">'Assumptions'!$B$31</definedName>
    <definedName name="ad_cpm">'Assumptions'!$B$32</definedName>
    <definedName name="ad_impressions_base">'Assumptions'!$B$33</definedName>
    <definedName name="training_fee">'Assumptions'!$B$34</definedName>
    <definedName name="audit_fee">'Assumptions'!$B$35</definedName>
    <definedName name="training_pct">'Assumptions'!$B$36</definedName>
    <definedName name="capex_maintenance_pct">'Assumptions'!$B$40</definedName>
    <definedName name="opex_marketing">'Assumptions'!$B$41</definedName>
    <definedName name="marketing_growth">'Assumptions'!$B$42</definedName>
    <definedName name="opex_cloud_base">'Assumptions'!$B$43</definedName>
    <definedName name="cloud_per_1M_vcr">'Assumptions'!$B$44</definedName>
    <definedName name="vcr_per_enterprise">'Assumptions'!$B$45</definedName>
    <definedName name="opex_external">'Assumptions'!$B$46</definedName>
    <definedName name="opex_legal">'Assumptions'!$B$47</definedName>
    <definedName name="opex_branding">'Assumptions'!$B$48</definedName>
    <definedName name="opex_security">'Assumptions'!$B$49</definedName>
    <definedName name="opex_pilot_eval">'Assumptions'!$B$50</definedName>
    <definedName name="payment_proc_pct">'Assumptions'!$B$51</definedName>
    <definedName name="salary_mgmt">'Assumptions'!$B$55</definedName>
    <definedName name="salary_dev">'Assumptions'!$B$56</definedName>
    <definedName name="salary_bizops">'Assumptions'!$B$57</definedName>
    <definedName name="salary_data">'Assumptions'!$B$58</definedName>
    <definedName name="salary_escalation">'Assumptions'!$B$59</definedName>
    <definedName name="bhxh_rate">'Assumptions'!$B$60</definedName>
    <definedName name="recruit_cost_pct">'Assumptions'!$B$61</definedName>
    <definedName name="cit_rate">'Assumptions'!$B$65</definedName>
    <definedName name="discount_rate">'Assumptions'!$B$66</definedName>
    <definedName name="depreciation_years">'Assumptions'!$B$67</definedName>
    <definedName name="ar_days">'Assumptions'!$B$68</definedName>
    <definedName name="ap_days">'Assumptions'!$B$69</definedName>
    <definedName name="stage2_gate">'Assumptions'!$B$70</definedName>
    <definedName name="capex_cloud_setup">'Initial Investment'!$B$5</definedName>
    <definedName name="capex_backend">'Initial Investment'!$B$6</definedName>
    <definedName name="capex_frontend">'Initial Investment'!$B$7</definedName>
    <definedName name="capex_data_platform">'Initial Investment'!$B$8</definedName>
    <definedName name="capex_security_setup">'Initial Investment'!$B$9</definedName>
    <definedName name="capex_ux_design">'Initial Investment'!$B$10</definedName>
    <definedName name="capex_integration">'Initial Investment'!$B$11</definedName>
    <definedName name="capex_devops">'Initial Investment'!$B$12</definedName>
    <definedName name="capex_testing">'Initial Investment'!$B$13</definedName>
    <definedName name="capex_contingency">'Initial Investment'!$B$14</definedName>
    <definedName name="capex_total">'Initial Investment'!$B$16</definedName>
    <definedName name="opex_support_per_ent">'Assumptions'!$B$52</definedName>
    <definedName name="opex_partner_mgmt">'Assumptions'!$B$53</definedName>
    <definedName name="opex_contingency_pct">'Assumptions'!$B$54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#,##0.0"/>
  </numFmts>
  <fonts count="12">
    <font>
      <name val="Calibri"/>
      <family val="2"/>
      <color theme="1"/>
      <sz val="11"/>
      <scheme val="minor"/>
    </font>
    <font>
      <b val="1"/>
      <color rgb="001F4E79"/>
      <sz val="11"/>
    </font>
    <font>
      <i val="1"/>
      <color rgb="00666666"/>
      <sz val="10"/>
    </font>
    <font>
      <b val="1"/>
      <color rgb="00FFFFFF"/>
      <sz val="11"/>
    </font>
    <font>
      <sz val="11"/>
    </font>
    <font>
      <color rgb="000000FF"/>
      <sz val="11"/>
    </font>
    <font>
      <i val="1"/>
      <color rgb="00888888"/>
      <sz val="10"/>
    </font>
    <font>
      <b val="1"/>
      <sz val="11"/>
    </font>
    <font>
      <b val="1"/>
      <color rgb="001F4E79"/>
      <sz val="16"/>
    </font>
    <font>
      <color rgb="00CC0000"/>
      <sz val="11"/>
    </font>
    <font>
      <color rgb="0000B050"/>
      <sz val="11"/>
    </font>
    <font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3" fontId="5" fillId="4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5" fillId="4" borderId="1" pivotButton="0" quotePrefix="0" xfId="0"/>
    <xf numFmtId="165" fontId="5" fillId="4" borderId="1" pivotButton="0" quotePrefix="0" xfId="0"/>
    <xf numFmtId="3" fontId="7" fillId="5" borderId="1" pivotButton="0" quotePrefix="0" xfId="0"/>
    <xf numFmtId="3" fontId="4" fillId="0" borderId="1" pivotButton="0" quotePrefix="0" xfId="0"/>
    <xf numFmtId="0" fontId="0" fillId="2" borderId="0" pivotButton="0" quotePrefix="0" xfId="0"/>
    <xf numFmtId="0" fontId="7" fillId="0" borderId="0" pivotButton="0" quotePrefix="0" xfId="0"/>
    <xf numFmtId="166" fontId="4" fillId="0" borderId="1" pivotButton="0" quotePrefix="0" xfId="0"/>
    <xf numFmtId="167" fontId="4" fillId="0" borderId="1" pivotButton="0" quotePrefix="0" xfId="0"/>
    <xf numFmtId="2" fontId="4" fillId="0" borderId="1" pivotButton="0" quotePrefix="0" xfId="0"/>
    <xf numFmtId="0" fontId="8" fillId="0" borderId="0" pivotButton="0" quotePrefix="0" xfId="0"/>
    <xf numFmtId="164" fontId="4" fillId="0" borderId="1" pivotButton="0" quotePrefix="0" xfId="0"/>
    <xf numFmtId="0" fontId="1" fillId="2" borderId="0" pivotButton="0" quotePrefix="0" xfId="0"/>
    <xf numFmtId="3" fontId="9" fillId="0" borderId="1" pivotButton="0" quotePrefix="0" xfId="0"/>
    <xf numFmtId="3" fontId="0" fillId="0" borderId="1" pivotButton="0" quotePrefix="0" xfId="0"/>
    <xf numFmtId="3" fontId="10" fillId="0" borderId="1" pivotButton="0" quotePrefix="0" xfId="0"/>
    <xf numFmtId="164" fontId="9" fillId="0" borderId="1" pivotButton="0" quotePrefix="0" xfId="0"/>
    <xf numFmtId="164" fontId="0" fillId="0" borderId="1" pivotButton="0" quotePrefix="0" xfId="0"/>
    <xf numFmtId="164" fontId="7" fillId="5" borderId="1" pivotButton="0" quotePrefix="0" xfId="0"/>
    <xf numFmtId="164" fontId="1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</cols>
  <sheetData>
    <row r="1">
      <c r="A1" s="19" t="inlineStr">
        <is>
          <t>VISIT VIETNAM — FINANCIAL MODEL v3 — GUIDE</t>
        </is>
      </c>
    </row>
    <row r="2">
      <c r="A2" s="4" t="inlineStr">
        <is>
          <t>Version: 3.0 | Date: 2026-03-21 | Fixed assumptions, added Scenarios + Budget sheets</t>
        </is>
      </c>
    </row>
    <row r="3"/>
    <row r="4">
      <c r="A4" s="1" t="inlineStr">
        <is>
          <t>SHEET DIRECTORY</t>
        </is>
      </c>
    </row>
    <row r="5">
      <c r="A5" s="5" t="inlineStr">
        <is>
          <t>Sheet</t>
        </is>
      </c>
      <c r="B5" s="5" t="inlineStr">
        <is>
          <t>Purpose</t>
        </is>
      </c>
      <c r="C5" s="5" t="inlineStr">
        <is>
          <t>Key notes</t>
        </is>
      </c>
    </row>
    <row r="6">
      <c r="A6" s="6" t="inlineStr">
        <is>
          <t>Guide</t>
        </is>
      </c>
      <c r="B6" s="6" t="inlineStr">
        <is>
          <t>This sheet. Explains all sheets, formulas, and how to use the model.</t>
        </is>
      </c>
      <c r="C6" s="6" t="inlineStr">
        <is>
          <t>Read first</t>
        </is>
      </c>
    </row>
    <row r="7">
      <c r="A7" s="6" t="inlineStr">
        <is>
          <t>Assumptions</t>
        </is>
      </c>
      <c r="B7" s="6" t="inlineStr">
        <is>
          <t>ALL input parameters (yellow cells). Every formula references this sheet via named ranges.</t>
        </is>
      </c>
      <c r="C7" s="6" t="inlineStr">
        <is>
          <t>Edit ONLY yellow cells to change the model</t>
        </is>
      </c>
    </row>
    <row r="8">
      <c r="A8" s="6" t="inlineStr">
        <is>
          <t>Initial Investment</t>
        </is>
      </c>
      <c r="B8" s="6" t="inlineStr">
        <is>
          <t>CAPEX breakdown: 10 line items from original data. Depreciation schedule.</t>
        </is>
      </c>
      <c r="C8" s="6" t="inlineStr">
        <is>
          <t>capex_total named range used everywhere</t>
        </is>
      </c>
    </row>
    <row r="9">
      <c r="A9" s="6" t="inlineStr">
        <is>
          <t>HR Plan</t>
        </is>
      </c>
      <c r="B9" s="6" t="inlineStr">
        <is>
          <t>Headcount by dept (4 depts) × 42 time periods. Salary cost with escalation &amp; BHXH.</t>
        </is>
      </c>
      <c r="C9" s="6" t="inlineStr">
        <is>
          <t>Yellow cells = editable headcount per period</t>
        </is>
      </c>
    </row>
    <row r="10">
      <c r="A10" s="6" t="inlineStr">
        <is>
          <t>Market Sizing</t>
        </is>
      </c>
      <c r="B10" s="6" t="inlineStr">
        <is>
          <t>TAM/SAM, S-curve adoption formula, VCR projections. Year fractions calculated from base_year.</t>
        </is>
      </c>
      <c r="C10" s="6" t="inlineStr">
        <is>
          <t>No hardcoded years — all derived from Assumptions</t>
        </is>
      </c>
    </row>
    <row r="11">
      <c r="A11" s="6" t="inlineStr">
        <is>
          <t>Revenue Schedule</t>
        </is>
      </c>
      <c r="B11" s="6" t="inlineStr">
        <is>
          <t>6 revenue streams: 3 Stage 1 (cert, training, audit) + 3 Stage 2 (tx, DaaS, ads). Stage 2 gated.</t>
        </is>
      </c>
      <c r="C11" s="6" t="inlineStr">
        <is>
          <t>Stage 2 activates when enterprises ≥ stage2_gate</t>
        </is>
      </c>
    </row>
    <row r="12">
      <c r="A12" s="6" t="inlineStr">
        <is>
          <t>Cost Schedule</t>
        </is>
      </c>
      <c r="B12" s="6" t="inlineStr">
        <is>
          <t>CAPEX (from Initial Investment) + OPEX (8 categories). HR from HR Plan sheet.</t>
        </is>
      </c>
      <c r="C12" s="6" t="inlineStr">
        <is>
          <t>References HR Plan and Initial Investment</t>
        </is>
      </c>
    </row>
    <row r="13">
      <c r="A13" s="6" t="inlineStr">
        <is>
          <t>P&amp;L</t>
        </is>
      </c>
      <c r="B13" s="6" t="inlineStr">
        <is>
          <t>Income statement: Revenue→COGS→GP→OPEX→EBITDA→D&amp;A→EBIT→CIT 20%→Net Income + margins.</t>
        </is>
      </c>
      <c r="C13" s="6" t="inlineStr">
        <is>
          <t>CIT 20% applied (was 0% in old model)</t>
        </is>
      </c>
    </row>
    <row r="14">
      <c r="A14" s="6" t="inlineStr">
        <is>
          <t>Cash Flow</t>
        </is>
      </c>
      <c r="B14" s="6" t="inlineStr">
        <is>
          <t>Operating CF + Investing CF → FCF + Cumulative. Working capital modeled (AR days).</t>
        </is>
      </c>
      <c r="C14" s="6" t="inlineStr">
        <is>
          <t>Working capital changes reduce reported cash</t>
        </is>
      </c>
    </row>
    <row r="15">
      <c r="A15" s="6" t="inlineStr">
        <is>
          <t>DCF &amp; Returns</t>
        </is>
      </c>
      <c r="B15" s="6" t="inlineStr">
        <is>
          <t>Annual FCF summary, NPV, IRR, ROI. Uses discount_rate from Assumptions.</t>
        </is>
      </c>
      <c r="C15" s="6" t="inlineStr">
        <is>
          <t>Single consistent NPV formula (old model had 2 conflicting)</t>
        </is>
      </c>
    </row>
    <row r="16">
      <c r="A16" s="6" t="inlineStr">
        <is>
          <t>Sensitivity</t>
        </is>
      </c>
      <c r="B16" s="6" t="inlineStr">
        <is>
          <t>Impact tables: enterprise×fee, market share×take rate. Scenario comparison.</t>
        </is>
      </c>
      <c r="C16" s="6" t="inlineStr">
        <is>
          <t>Change Assumptions to run scenarios</t>
        </is>
      </c>
    </row>
    <row r="17">
      <c r="A17" s="6" t="inlineStr">
        <is>
          <t>Scenarios</t>
        </is>
      </c>
      <c r="B17" s="6" t="inlineStr">
        <is>
          <t>5 scenarios (Worst/Bear/Base/Bull/Best). Copy column values into Assumptions to run.</t>
        </is>
      </c>
      <c r="C17" s="6" t="inlineStr">
        <is>
          <t>Shows why v2 had inflated NPV/IRR</t>
        </is>
      </c>
    </row>
    <row r="18">
      <c r="A18" s="6" t="inlineStr">
        <is>
          <t>Budget 2025</t>
        </is>
      </c>
      <c r="B18" s="6" t="inlineStr">
        <is>
          <t>Monthly budget Jul-Dec 2025. Revenue + CAPEX + OPEX detail. Approval-ready.</t>
        </is>
      </c>
      <c r="C18" s="6" t="inlineStr">
        <is>
          <t>All formulas use named ranges from Assumptions</t>
        </is>
      </c>
    </row>
    <row r="19">
      <c r="A19" s="6" t="inlineStr">
        <is>
          <t>Budget 2026</t>
        </is>
      </c>
      <c r="B19" s="6" t="inlineStr">
        <is>
          <t>Monthly budget Jan-Dec 2026. Revenue + CAPEX + OPEX detail. Approval-ready.</t>
        </is>
      </c>
      <c r="C19" s="6" t="inlineStr">
        <is>
          <t>HR scaling, enterprise growth via S-curve</t>
        </is>
      </c>
    </row>
    <row r="20"/>
    <row r="21">
      <c r="A21" s="1" t="inlineStr">
        <is>
          <t>NAMED RANGES</t>
        </is>
      </c>
    </row>
    <row r="22">
      <c r="A22" s="5" t="inlineStr">
        <is>
          <t>Name</t>
        </is>
      </c>
      <c r="B22" s="5" t="inlineStr">
        <is>
          <t>Description</t>
        </is>
      </c>
      <c r="C22" s="5" t="inlineStr">
        <is>
          <t>Used in formulas as</t>
        </is>
      </c>
    </row>
    <row r="23">
      <c r="A23" s="6" t="inlineStr">
        <is>
          <t>base_year</t>
        </is>
      </c>
      <c r="B23" s="6" t="inlineStr">
        <is>
          <t>Project start year</t>
        </is>
      </c>
      <c r="C23" s="6">
        <f>base_year (in year fraction calculation)</f>
        <v/>
      </c>
    </row>
    <row r="24">
      <c r="A24" s="6" t="inlineStr">
        <is>
          <t>start_month</t>
        </is>
      </c>
      <c r="B24" s="6" t="inlineStr">
        <is>
          <t>Start month (7=July)</t>
        </is>
      </c>
      <c r="C24" s="6">
        <f>start_month (in year fraction calculation)</f>
        <v/>
      </c>
    </row>
    <row r="25">
      <c r="A25" s="6" t="inlineStr">
        <is>
          <t>adoption_max</t>
        </is>
      </c>
      <c r="B25" s="6" t="inlineStr">
        <is>
          <t>S-curve ceiling</t>
        </is>
      </c>
      <c r="C25" s="6">
        <f>adoption_max/(1+EXP(...))</f>
        <v/>
      </c>
    </row>
    <row r="26">
      <c r="A26" s="6" t="inlineStr">
        <is>
          <t>adoption_midpoint</t>
        </is>
      </c>
      <c r="B26" s="6" t="inlineStr">
        <is>
          <t>S-curve inflection year</t>
        </is>
      </c>
      <c r="C26" s="6" t="inlineStr">
        <is>
          <t>in S-curve formula</t>
        </is>
      </c>
    </row>
    <row r="27">
      <c r="A27" s="6" t="inlineStr">
        <is>
          <t>cert_fee_yr1</t>
        </is>
      </c>
      <c r="B27" s="6" t="inlineStr">
        <is>
          <t>Annual cert fee per enterprise</t>
        </is>
      </c>
      <c r="C27" s="6">
        <f>net_ent * cert_fee_yr1 * (1+escalation)^years</f>
        <v/>
      </c>
    </row>
    <row r="28">
      <c r="A28" s="6" t="inlineStr">
        <is>
          <t>tx_take_rate</t>
        </is>
      </c>
      <c r="B28" s="6" t="inlineStr">
        <is>
          <t>Transaction commission %</t>
        </is>
      </c>
      <c r="C28" s="6">
        <f>ecom_market * platform_market_share * tx_take_rate</f>
        <v/>
      </c>
    </row>
    <row r="29">
      <c r="A29" s="6" t="inlineStr">
        <is>
          <t>platform_market_share</t>
        </is>
      </c>
      <c r="B29" s="6" t="inlineStr">
        <is>
          <t>% of e-tourism GMV</t>
        </is>
      </c>
      <c r="C29" s="6" t="inlineStr">
        <is>
          <t>in transaction fee formula</t>
        </is>
      </c>
    </row>
    <row r="30">
      <c r="A30" s="6" t="inlineStr">
        <is>
          <t>stage2_gate</t>
        </is>
      </c>
      <c r="B30" s="6" t="inlineStr">
        <is>
          <t>Min enterprises for Stage 2</t>
        </is>
      </c>
      <c r="C30" s="6">
        <f>IF(net_ent &gt;= stage2_gate, ..., 0)</f>
        <v/>
      </c>
    </row>
    <row r="31">
      <c r="A31" s="6" t="inlineStr">
        <is>
          <t>capex_total</t>
        </is>
      </c>
      <c r="B31" s="6" t="inlineStr">
        <is>
          <t>Total initial CAPEX</t>
        </is>
      </c>
      <c r="C31" s="6">
        <f>capex_total/depreciation_years (for D&amp;A)</f>
        <v/>
      </c>
    </row>
    <row r="32">
      <c r="A32" s="6" t="inlineStr">
        <is>
          <t>cit_rate</t>
        </is>
      </c>
      <c r="B32" s="6" t="inlineStr">
        <is>
          <t>Corporate income tax rate</t>
        </is>
      </c>
      <c r="C32" s="6">
        <f>IF(EBIT&gt;0, -EBIT*cit_rate, 0)</f>
        <v/>
      </c>
    </row>
    <row r="33">
      <c r="A33" s="6" t="inlineStr">
        <is>
          <t>discount_rate</t>
        </is>
      </c>
      <c r="B33" s="6" t="inlineStr">
        <is>
          <t>WACC for NPV</t>
        </is>
      </c>
      <c r="C33" s="6">
        <f>NPV(discount_rate, ...)</f>
        <v/>
      </c>
    </row>
    <row r="34">
      <c r="A34" s="6" t="inlineStr">
        <is>
          <t>salary_escalation</t>
        </is>
      </c>
      <c r="B34" s="6" t="inlineStr">
        <is>
          <t>Annual raise %</t>
        </is>
      </c>
      <c r="C34" s="6">
        <f>headcount*salary*(1+salary_escalation)^years</f>
        <v/>
      </c>
    </row>
    <row r="35">
      <c r="A35" s="6" t="inlineStr">
        <is>
          <t>bhxh_rate</t>
        </is>
      </c>
      <c r="B35" s="6" t="inlineStr">
        <is>
          <t>Social insurance overhead</t>
        </is>
      </c>
      <c r="C35" s="6">
        <f>salary_cost*(1+bhxh_rate)</f>
        <v/>
      </c>
    </row>
    <row r="36"/>
    <row r="37">
      <c r="A37" s="1" t="inlineStr">
        <is>
          <t>CELL CONVENTIONS</t>
        </is>
      </c>
    </row>
    <row r="38">
      <c r="A38" s="6" t="inlineStr">
        <is>
          <t>🟡 Yellow background + blue font</t>
        </is>
      </c>
      <c r="B38" s="6" t="inlineStr">
        <is>
          <t>INPUT — editable placeholder. Change these values.</t>
        </is>
      </c>
    </row>
    <row r="39">
      <c r="A39" s="6" t="inlineStr">
        <is>
          <t>🟢 Green background</t>
        </is>
      </c>
      <c r="B39" s="6" t="inlineStr">
        <is>
          <t>TOTAL / SUBTOTAL — formula, do not edit</t>
        </is>
      </c>
    </row>
    <row r="40">
      <c r="A40" s="6" t="inlineStr">
        <is>
          <t>🔵 Blue header</t>
        </is>
      </c>
      <c r="B40" s="6" t="inlineStr">
        <is>
          <t>COLUMN/SECTION HEADER — label only</t>
        </is>
      </c>
    </row>
    <row r="41">
      <c r="A41" s="6" t="inlineStr">
        <is>
          <t>⬜ White background</t>
        </is>
      </c>
      <c r="B41" s="6" t="inlineStr">
        <is>
          <t>FORMULA — calculated from inputs, do not edit</t>
        </is>
      </c>
    </row>
    <row r="42"/>
    <row r="43">
      <c r="A43" s="1" t="inlineStr">
        <is>
          <t>KEY FORMULA PATTERNS</t>
        </is>
      </c>
    </row>
    <row r="44">
      <c r="A44" s="6" t="inlineStr">
        <is>
          <t>S-curve adoption</t>
        </is>
      </c>
      <c r="B44" s="6">
        <f>MAX(pilot_count, adoption_max/(1+EXP(-adoption_steepness*(year_frac-adoption_midpoint))))</f>
        <v/>
      </c>
    </row>
    <row r="45">
      <c r="A45" s="6" t="inlineStr">
        <is>
          <t>Year fraction</t>
        </is>
      </c>
      <c r="B45" s="6">
        <f>base_year + (start_month - 1 + period_index) / 12 — NO hardcoded values</f>
        <v/>
      </c>
    </row>
    <row r="46">
      <c r="A46" s="6" t="inlineStr">
        <is>
          <t>Certification revenue</t>
        </is>
      </c>
      <c r="B46" s="6">
        <f>net_enterprises * cert_fee_yr1 * (1+cert_fee_escalation)^years / period_divisor</f>
        <v/>
      </c>
    </row>
    <row r="47">
      <c r="A47" s="6" t="inlineStr">
        <is>
          <t>Transaction revenue</t>
        </is>
      </c>
      <c r="B47" s="6">
        <f>IF(net_ent &gt;= stage2_gate, ecom_market * platform_market_share * tx_take_rate * 1000, 0)</f>
        <v/>
      </c>
    </row>
    <row r="48">
      <c r="A48" s="6" t="inlineStr">
        <is>
          <t>Salary cost</t>
        </is>
      </c>
      <c r="B48" s="6">
        <f>headcount * avg_salary * months * (1+salary_escalation)^years * (1+bhxh_rate)</f>
        <v/>
      </c>
    </row>
    <row r="49">
      <c r="A49" s="6" t="inlineStr">
        <is>
          <t>NOPAT (net of tax)</t>
        </is>
      </c>
      <c r="B49" s="6">
        <f>IF(EBIT &gt; 0, EBIT * (1 - cit_rate), EBIT) — CIT 20% applied</f>
        <v/>
      </c>
    </row>
    <row r="50">
      <c r="A50" s="6" t="inlineStr">
        <is>
          <t>NPV</t>
        </is>
      </c>
      <c r="B50" s="6">
        <f>NPV(discount_rate, FCF_yr1:FCF_yrN) + FCF_yr0 — single formula</f>
        <v/>
      </c>
    </row>
    <row r="51">
      <c r="A51" s="6" t="inlineStr">
        <is>
          <t>Working capital</t>
        </is>
      </c>
      <c r="B51" s="6">
        <f>-revenue_change * ar_days / 365</f>
        <v/>
      </c>
    </row>
    <row r="52"/>
    <row r="53">
      <c r="A53" s="1" t="inlineStr">
        <is>
          <t>HOW TO USE</t>
        </is>
      </c>
    </row>
    <row r="54">
      <c r="A54" s="6" t="inlineStr">
        <is>
          <t>1. START HERE. Read this Guide sheet to understand the model structure.</t>
        </is>
      </c>
      <c r="B54" s="2" t="n"/>
      <c r="C54" s="3" t="n"/>
    </row>
    <row r="55">
      <c r="A55" s="6" t="inlineStr">
        <is>
          <t>2. Go to Assumptions sheet. Review all yellow cells — these are the ONLY cells you should edit.</t>
        </is>
      </c>
      <c r="B55" s="2" t="n"/>
      <c r="C55" s="3" t="n"/>
    </row>
    <row r="56">
      <c r="A56" s="6" t="inlineStr">
        <is>
          <t>3. To change investment items: edit Initial Investment sheet (yellow cells).</t>
        </is>
      </c>
      <c r="B56" s="2" t="n"/>
      <c r="C56" s="3" t="n"/>
    </row>
    <row r="57">
      <c r="A57" s="6" t="inlineStr">
        <is>
          <t>4. To change headcount: edit HR Plan sheet (yellow headcount cells by dept/period).</t>
        </is>
      </c>
      <c r="B57" s="2" t="n"/>
      <c r="C57" s="3" t="n"/>
    </row>
    <row r="58">
      <c r="A58" s="6" t="inlineStr">
        <is>
          <t>5. All other sheets auto-calculate from Assumptions, Initial Investment, and HR Plan.</t>
        </is>
      </c>
      <c r="B58" s="2" t="n"/>
      <c r="C58" s="3" t="n"/>
    </row>
    <row r="59">
      <c r="A59" s="6" t="inlineStr">
        <is>
          <t>6. Check Dashboard/P&amp;L/DCF for results. All formulas use named ranges for transparency.</t>
        </is>
      </c>
      <c r="B59" s="2" t="n"/>
      <c r="C59" s="3" t="n"/>
    </row>
    <row r="60">
      <c r="A60" s="6" t="inlineStr">
        <is>
          <t>7. To run scenarios: change adoption_max, platform_market_share, churn_rate in Assumptions.</t>
        </is>
      </c>
      <c r="B60" s="2" t="n"/>
      <c r="C60" s="3" t="n"/>
    </row>
    <row r="61">
      <c r="A61" s="6" t="inlineStr">
        <is>
          <t>8. Sensitivity sheet shows impact ranges for key variable combinations.</t>
        </is>
      </c>
      <c r="B61" s="2" t="n"/>
      <c r="C61" s="3" t="n"/>
    </row>
  </sheetData>
  <mergeCells count="9">
    <mergeCell ref="A1:C1"/>
    <mergeCell ref="A58:C58"/>
    <mergeCell ref="A56:C56"/>
    <mergeCell ref="A53:C53"/>
    <mergeCell ref="A55:C55"/>
    <mergeCell ref="A57:C57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45" customWidth="1" min="4" max="4"/>
  </cols>
  <sheetData>
    <row r="1">
      <c r="A1" s="1" t="inlineStr">
        <is>
          <t>VISIT VIETNAM — FINANCIAL MODEL v2 — ASSUMPTIONS</t>
        </is>
      </c>
      <c r="B1" s="2" t="n"/>
      <c r="C1" s="2" t="n"/>
      <c r="D1" s="3" t="n"/>
    </row>
    <row r="2">
      <c r="A2" s="4" t="inlineStr">
        <is>
          <t>Version 2.0 | All yellow cells = editable inputs | Named ranges used in all formulas</t>
        </is>
      </c>
    </row>
    <row r="4">
      <c r="A4" s="1" t="inlineStr">
        <is>
          <t>TIMING</t>
        </is>
      </c>
      <c r="B4" s="2" t="n"/>
      <c r="C4" s="2" t="n"/>
      <c r="D4" s="3" t="n"/>
    </row>
    <row r="5">
      <c r="A5" s="5" t="inlineStr">
        <is>
          <t>Parameter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Notes</t>
        </is>
      </c>
    </row>
    <row r="6">
      <c r="A6" s="6" t="inlineStr">
        <is>
          <t>Base year (project start)</t>
        </is>
      </c>
      <c r="B6" s="7" t="n">
        <v>2025</v>
      </c>
      <c r="C6" s="8" t="inlineStr">
        <is>
          <t>Year</t>
        </is>
      </c>
      <c r="D6" s="9" t="inlineStr">
        <is>
          <t>H2 of this year</t>
        </is>
      </c>
    </row>
    <row r="7">
      <c r="A7" s="6" t="inlineStr">
        <is>
          <t>Start month</t>
        </is>
      </c>
      <c r="B7" s="7" t="n">
        <v>7</v>
      </c>
      <c r="C7" s="8" t="inlineStr">
        <is>
          <t>Month</t>
        </is>
      </c>
      <c r="D7" s="9" t="inlineStr">
        <is>
          <t>July = 7</t>
        </is>
      </c>
    </row>
    <row r="8">
      <c r="A8" s="6" t="inlineStr">
        <is>
          <t>Projection years</t>
        </is>
      </c>
      <c r="B8" s="7" t="n">
        <v>6</v>
      </c>
      <c r="C8" s="8" t="inlineStr">
        <is>
          <t>Years</t>
        </is>
      </c>
      <c r="D8" s="9" t="inlineStr">
        <is>
          <t>2025-2030</t>
        </is>
      </c>
    </row>
    <row r="10">
      <c r="A10" s="1" t="inlineStr">
        <is>
          <t>MARKET DATA</t>
        </is>
      </c>
      <c r="B10" s="2" t="n"/>
      <c r="C10" s="2" t="n"/>
      <c r="D10" s="3" t="n"/>
    </row>
    <row r="11">
      <c r="A11" s="5" t="inlineStr">
        <is>
          <t>Parameter</t>
        </is>
      </c>
      <c r="B11" s="5" t="inlineStr">
        <is>
          <t>Value</t>
        </is>
      </c>
      <c r="C11" s="5" t="inlineStr">
        <is>
          <t>Unit</t>
        </is>
      </c>
      <c r="D11" s="5" t="inlineStr">
        <is>
          <t>Notes</t>
        </is>
      </c>
    </row>
    <row r="12">
      <c r="A12" s="6" t="inlineStr">
        <is>
          <t>Total tourism enterprises in Vietnam</t>
        </is>
      </c>
      <c r="B12" s="7" t="n">
        <v>40000</v>
      </c>
      <c r="C12" s="8" t="inlineStr"/>
      <c r="D12" s="9" t="inlineStr">
        <is>
          <t>GSO/VNAT</t>
        </is>
      </c>
    </row>
    <row r="13">
      <c r="A13" s="6" t="inlineStr">
        <is>
          <t>Digitally active / certifiable</t>
        </is>
      </c>
      <c r="B13" s="7" t="n">
        <v>15000</v>
      </c>
      <c r="C13" s="8" t="inlineStr"/>
      <c r="D13" s="9" t="inlineStr">
        <is>
          <t>Industry reports</t>
        </is>
      </c>
    </row>
    <row r="14">
      <c r="A14" s="6" t="inlineStr">
        <is>
          <t>E-commerce tourism market (base year)</t>
        </is>
      </c>
      <c r="B14" s="7" t="n">
        <v>82500</v>
      </c>
      <c r="C14" s="8" t="inlineStr">
        <is>
          <t>Bn VND</t>
        </is>
      </c>
      <c r="D14" s="9" t="inlineStr">
        <is>
          <t>e-Conomy SEA</t>
        </is>
      </c>
    </row>
    <row r="15">
      <c r="A15" s="6" t="inlineStr">
        <is>
          <t>E-tourism YoY growth</t>
        </is>
      </c>
      <c r="B15" s="10" t="n">
        <v>0.08</v>
      </c>
      <c r="C15" s="8" t="inlineStr">
        <is>
          <t>%</t>
        </is>
      </c>
      <c r="D15" s="9" t="inlineStr">
        <is>
          <t>Historical</t>
        </is>
      </c>
    </row>
    <row r="17">
      <c r="A17" s="1" t="inlineStr">
        <is>
          <t>ADOPTION S-CURVE</t>
        </is>
      </c>
      <c r="B17" s="2" t="n"/>
      <c r="C17" s="2" t="n"/>
      <c r="D17" s="3" t="n"/>
    </row>
    <row r="18">
      <c r="A18" s="5" t="inlineStr">
        <is>
          <t>Parameter</t>
        </is>
      </c>
      <c r="B18" s="5" t="inlineStr">
        <is>
          <t>Value</t>
        </is>
      </c>
      <c r="C18" s="5" t="inlineStr">
        <is>
          <t>Unit</t>
        </is>
      </c>
      <c r="D18" s="5" t="inlineStr">
        <is>
          <t>Notes</t>
        </is>
      </c>
    </row>
    <row r="19">
      <c r="A19" s="6" t="inlineStr">
        <is>
          <t>Maximum enterprises (ceiling)</t>
        </is>
      </c>
      <c r="B19" s="7" t="n">
        <v>1200</v>
      </c>
      <c r="C19" s="8" t="inlineStr"/>
      <c r="D19" s="9" t="inlineStr">
        <is>
          <t>S-curve asymptote</t>
        </is>
      </c>
    </row>
    <row r="20">
      <c r="A20" s="6" t="inlineStr">
        <is>
          <t>Midpoint year (fastest growth)</t>
        </is>
      </c>
      <c r="B20" s="7" t="n">
        <v>2028</v>
      </c>
      <c r="C20" s="8" t="inlineStr">
        <is>
          <t>Year</t>
        </is>
      </c>
      <c r="D20" s="9" t="inlineStr">
        <is>
          <t>Inflection point</t>
        </is>
      </c>
    </row>
    <row r="21">
      <c r="A21" s="6" t="inlineStr">
        <is>
          <t>Steepness factor</t>
        </is>
      </c>
      <c r="B21" s="11" t="n">
        <v>0.9</v>
      </c>
      <c r="C21" s="8" t="inlineStr"/>
      <c r="D21" s="9" t="inlineStr">
        <is>
          <t>Higher=steeper</t>
        </is>
      </c>
    </row>
    <row r="22">
      <c r="A22" s="6" t="inlineStr">
        <is>
          <t>Starting enterprises (pilot)</t>
        </is>
      </c>
      <c r="B22" s="7" t="n">
        <v>15</v>
      </c>
      <c r="C22" s="8" t="inlineStr"/>
      <c r="D22" s="9" t="inlineStr">
        <is>
          <t>Known partners</t>
        </is>
      </c>
    </row>
    <row r="23">
      <c r="A23" s="6" t="inlineStr">
        <is>
          <t>Annual non-renewal rate</t>
        </is>
      </c>
      <c r="B23" s="10" t="n">
        <v>0.2</v>
      </c>
      <c r="C23" s="8" t="inlineStr">
        <is>
          <t>%</t>
        </is>
      </c>
      <c r="D23" s="9" t="inlineStr">
        <is>
          <t>Certification churn</t>
        </is>
      </c>
    </row>
    <row r="25">
      <c r="A25" s="1" t="inlineStr">
        <is>
          <t>PRICING</t>
        </is>
      </c>
      <c r="B25" s="2" t="n"/>
      <c r="C25" s="2" t="n"/>
      <c r="D25" s="3" t="n"/>
    </row>
    <row r="26">
      <c r="A26" s="5" t="inlineStr">
        <is>
          <t>Parameter</t>
        </is>
      </c>
      <c r="B26" s="5" t="inlineStr">
        <is>
          <t>Value</t>
        </is>
      </c>
      <c r="C26" s="5" t="inlineStr">
        <is>
          <t>Unit</t>
        </is>
      </c>
      <c r="D26" s="5" t="inlineStr">
        <is>
          <t>Notes</t>
        </is>
      </c>
    </row>
    <row r="27">
      <c r="A27" s="6" t="inlineStr">
        <is>
          <t>Certification fee/enterprise/yr</t>
        </is>
      </c>
      <c r="B27" s="7" t="n">
        <v>25</v>
      </c>
      <c r="C27" s="8" t="inlineStr">
        <is>
          <t>M VND</t>
        </is>
      </c>
      <c r="D27" s="9" t="inlineStr">
        <is>
          <t>Annual subscription</t>
        </is>
      </c>
    </row>
    <row r="28">
      <c r="A28" s="6" t="inlineStr">
        <is>
          <t>Cert fee annual increase</t>
        </is>
      </c>
      <c r="B28" s="10" t="n">
        <v>0.05</v>
      </c>
      <c r="C28" s="8" t="inlineStr">
        <is>
          <t>%</t>
        </is>
      </c>
      <c r="D28" s="9" t="inlineStr">
        <is>
          <t>Price escalation</t>
        </is>
      </c>
    </row>
    <row r="29">
      <c r="A29" s="6" t="inlineStr">
        <is>
          <t>Transaction fee (% of GMV)</t>
        </is>
      </c>
      <c r="B29" s="10" t="n">
        <v>0.02</v>
      </c>
      <c r="C29" s="8" t="inlineStr">
        <is>
          <t>%</t>
        </is>
      </c>
      <c r="D29" s="9" t="inlineStr">
        <is>
          <t>Platform commission</t>
        </is>
      </c>
    </row>
    <row r="30">
      <c r="A30" s="6" t="inlineStr">
        <is>
          <t>% e-tourism GMV via VV</t>
        </is>
      </c>
      <c r="B30" s="10" t="n">
        <v>0.005</v>
      </c>
      <c r="C30" s="8" t="inlineStr">
        <is>
          <t>%</t>
        </is>
      </c>
      <c r="D30" s="9" t="inlineStr">
        <is>
          <t>Realistic target</t>
        </is>
      </c>
    </row>
    <row r="31">
      <c r="A31" s="6" t="inlineStr">
        <is>
          <t>DaaS price per million VCR</t>
        </is>
      </c>
      <c r="B31" s="7" t="n">
        <v>30</v>
      </c>
      <c r="C31" s="8" t="inlineStr">
        <is>
          <t>M VND</t>
        </is>
      </c>
      <c r="D31" s="9" t="inlineStr">
        <is>
          <t>Data subscription</t>
        </is>
      </c>
    </row>
    <row r="32">
      <c r="A32" s="6" t="inlineStr">
        <is>
          <t>Advertising CPM</t>
        </is>
      </c>
      <c r="B32" s="7" t="n">
        <v>150</v>
      </c>
      <c r="C32" s="8" t="inlineStr">
        <is>
          <t>K VND</t>
        </is>
      </c>
      <c r="D32" s="9" t="inlineStr">
        <is>
          <t>B2B benchmark</t>
        </is>
      </c>
    </row>
    <row r="33">
      <c r="A33" s="6" t="inlineStr">
        <is>
          <t>Monthly ad impressions (K)</t>
        </is>
      </c>
      <c r="B33" s="7" t="n">
        <v>500</v>
      </c>
      <c r="C33" s="8" t="inlineStr">
        <is>
          <t>K</t>
        </is>
      </c>
      <c r="D33" s="9" t="inlineStr">
        <is>
          <t>Base; scales with enterprises</t>
        </is>
      </c>
    </row>
    <row r="34">
      <c r="A34" s="6" t="inlineStr">
        <is>
          <t>Training fee per engagement</t>
        </is>
      </c>
      <c r="B34" s="7" t="n">
        <v>15</v>
      </c>
      <c r="C34" s="8" t="inlineStr">
        <is>
          <t>M VND</t>
        </is>
      </c>
      <c r="D34" s="9" t="inlineStr">
        <is>
          <t>NEW stream</t>
        </is>
      </c>
    </row>
    <row r="35">
      <c r="A35" s="6" t="inlineStr">
        <is>
          <t>Audit fee per certification</t>
        </is>
      </c>
      <c r="B35" s="7" t="n">
        <v>10</v>
      </c>
      <c r="C35" s="8" t="inlineStr">
        <is>
          <t>M VND</t>
        </is>
      </c>
      <c r="D35" s="9" t="inlineStr">
        <is>
          <t>NEW stream</t>
        </is>
      </c>
    </row>
    <row r="36">
      <c r="A36" s="6" t="inlineStr">
        <is>
          <t>% enterprises buying training</t>
        </is>
      </c>
      <c r="B36" s="10" t="n">
        <v>0.3</v>
      </c>
      <c r="C36" s="8" t="inlineStr">
        <is>
          <t>%</t>
        </is>
      </c>
      <c r="D36" s="9" t="inlineStr">
        <is>
          <t>Estimated</t>
        </is>
      </c>
    </row>
    <row r="38">
      <c r="A38" s="1" t="inlineStr">
        <is>
          <t>COST PARAMETERS</t>
        </is>
      </c>
      <c r="B38" s="2" t="n"/>
      <c r="C38" s="2" t="n"/>
      <c r="D38" s="3" t="n"/>
    </row>
    <row r="39">
      <c r="A39" s="5" t="inlineStr">
        <is>
          <t>Parameter</t>
        </is>
      </c>
      <c r="B39" s="5" t="inlineStr">
        <is>
          <t>Value</t>
        </is>
      </c>
      <c r="C39" s="5" t="inlineStr">
        <is>
          <t>Unit</t>
        </is>
      </c>
      <c r="D39" s="5" t="inlineStr">
        <is>
          <t>Notes</t>
        </is>
      </c>
    </row>
    <row r="40">
      <c r="A40" s="6" t="inlineStr">
        <is>
          <t>Annual maintenance (% CAPEX)</t>
        </is>
      </c>
      <c r="B40" s="10" t="n">
        <v>0.18</v>
      </c>
      <c r="C40" s="8" t="inlineStr">
        <is>
          <t>%</t>
        </is>
      </c>
      <c r="D40" s="9" t="inlineStr">
        <is>
          <t>Industry 15-20%</t>
        </is>
      </c>
    </row>
    <row r="41">
      <c r="A41" s="6" t="inlineStr">
        <is>
          <t>Marketing (annual base)</t>
        </is>
      </c>
      <c r="B41" s="7" t="n">
        <v>7000</v>
      </c>
      <c r="C41" s="8" t="inlineStr">
        <is>
          <t>M VND</t>
        </is>
      </c>
      <c r="D41" s="9" t="inlineStr">
        <is>
          <t>From original data</t>
        </is>
      </c>
    </row>
    <row r="42">
      <c r="A42" s="6" t="inlineStr">
        <is>
          <t>Marketing annual growth</t>
        </is>
      </c>
      <c r="B42" s="10" t="n">
        <v>0.15</v>
      </c>
      <c r="C42" s="8" t="inlineStr">
        <is>
          <t>%</t>
        </is>
      </c>
      <c r="D42" s="9" t="inlineStr">
        <is>
          <t>Scales with ambition</t>
        </is>
      </c>
    </row>
    <row r="43">
      <c r="A43" s="6" t="inlineStr">
        <is>
          <t>Cloud base (annual)</t>
        </is>
      </c>
      <c r="B43" s="7" t="n">
        <v>3250</v>
      </c>
      <c r="C43" s="8" t="inlineStr">
        <is>
          <t>M VND</t>
        </is>
      </c>
      <c r="D43" s="9" t="inlineStr">
        <is>
          <t>From original data</t>
        </is>
      </c>
    </row>
    <row r="44">
      <c r="A44" s="6" t="inlineStr">
        <is>
          <t>Cloud cost per M VCR</t>
        </is>
      </c>
      <c r="B44" s="7" t="n">
        <v>8</v>
      </c>
      <c r="C44" s="8" t="inlineStr">
        <is>
          <t>M VND</t>
        </is>
      </c>
      <c r="D44" s="9" t="inlineStr">
        <is>
          <t>Variable scaling</t>
        </is>
      </c>
    </row>
    <row r="45">
      <c r="A45" s="6" t="inlineStr">
        <is>
          <t>VCR per enterprise per month</t>
        </is>
      </c>
      <c r="B45" s="7" t="n">
        <v>10000</v>
      </c>
      <c r="C45" s="8" t="inlineStr">
        <is>
          <t>records</t>
        </is>
      </c>
      <c r="D45" s="9" t="inlineStr">
        <is>
          <t>Est. traffic</t>
        </is>
      </c>
    </row>
    <row r="46">
      <c r="A46" s="6" t="inlineStr">
        <is>
          <t>External affairs (annual)</t>
        </is>
      </c>
      <c r="B46" s="7" t="n">
        <v>400</v>
      </c>
      <c r="C46" s="8" t="inlineStr">
        <is>
          <t>M VND</t>
        </is>
      </c>
      <c r="D46" s="9" t="inlineStr">
        <is>
          <t>From original data</t>
        </is>
      </c>
    </row>
    <row r="47">
      <c r="A47" s="6" t="inlineStr">
        <is>
          <t>Legal &amp; compliance (annual)</t>
        </is>
      </c>
      <c r="B47" s="7" t="n">
        <v>240</v>
      </c>
      <c r="C47" s="8" t="inlineStr">
        <is>
          <t>M VND</t>
        </is>
      </c>
      <c r="D47" s="9" t="inlineStr">
        <is>
          <t>From original data</t>
        </is>
      </c>
    </row>
    <row r="48">
      <c r="A48" s="6" t="inlineStr">
        <is>
          <t>Branding &amp; events (annual)</t>
        </is>
      </c>
      <c r="B48" s="7" t="n">
        <v>4000</v>
      </c>
      <c r="C48" s="8" t="inlineStr">
        <is>
          <t>M VND</t>
        </is>
      </c>
      <c r="D48" s="9" t="inlineStr">
        <is>
          <t>From original data</t>
        </is>
      </c>
    </row>
    <row r="49">
      <c r="A49" s="6" t="inlineStr">
        <is>
          <t>Security/pentest (annual)</t>
        </is>
      </c>
      <c r="B49" s="7" t="n">
        <v>250</v>
      </c>
      <c r="C49" s="8" t="inlineStr">
        <is>
          <t>M VND</t>
        </is>
      </c>
      <c r="D49" s="9" t="inlineStr">
        <is>
          <t>From original data</t>
        </is>
      </c>
    </row>
    <row r="50">
      <c r="A50" s="6" t="inlineStr">
        <is>
          <t>Pilot evaluation (Y1 only)</t>
        </is>
      </c>
      <c r="B50" s="7" t="n">
        <v>200</v>
      </c>
      <c r="C50" s="8" t="inlineStr">
        <is>
          <t>M VND</t>
        </is>
      </c>
      <c r="D50" s="9" t="inlineStr">
        <is>
          <t>One-time</t>
        </is>
      </c>
    </row>
    <row r="51">
      <c r="A51" s="6" t="inlineStr">
        <is>
          <t>Payment gateway fee</t>
        </is>
      </c>
      <c r="B51" s="10" t="n">
        <v>0.025</v>
      </c>
      <c r="C51" s="8" t="inlineStr">
        <is>
          <t>%</t>
        </is>
      </c>
      <c r="D51" s="9" t="inlineStr">
        <is>
          <t>COGS on tx revenue</t>
        </is>
      </c>
    </row>
    <row r="52">
      <c r="A52" s="6" t="inlineStr">
        <is>
          <t>Customer support per enterprise/yr</t>
        </is>
      </c>
      <c r="B52" s="7" t="n">
        <v>2</v>
      </c>
      <c r="C52" s="8" t="inlineStr">
        <is>
          <t>M VND</t>
        </is>
      </c>
      <c r="D52" s="9" t="inlineStr">
        <is>
          <t>Scales with count</t>
        </is>
      </c>
    </row>
    <row r="53">
      <c r="A53" s="6" t="inlineStr">
        <is>
          <t>Partner management (annual)</t>
        </is>
      </c>
      <c r="B53" s="2" t="n"/>
      <c r="C53" s="2" t="n"/>
      <c r="D53" s="3" t="n"/>
    </row>
    <row r="54">
      <c r="A54" s="6" t="inlineStr">
        <is>
          <t>Contingency (% total OPEX)</t>
        </is>
      </c>
      <c r="B54" s="10" t="n">
        <v>0.1</v>
      </c>
      <c r="C54" s="8" t="inlineStr">
        <is>
          <t>%</t>
        </is>
      </c>
      <c r="D54" s="9" t="inlineStr">
        <is>
          <t>Buffer</t>
        </is>
      </c>
    </row>
    <row r="56">
      <c r="A56" s="1" t="inlineStr">
        <is>
          <t>HR PARAMETERS</t>
        </is>
      </c>
      <c r="B56" s="2" t="n"/>
      <c r="C56" s="2" t="n"/>
      <c r="D56" s="3" t="n"/>
    </row>
    <row r="57">
      <c r="A57" s="5" t="inlineStr">
        <is>
          <t>Parameter</t>
        </is>
      </c>
      <c r="B57" s="5" t="inlineStr">
        <is>
          <t>Value</t>
        </is>
      </c>
      <c r="C57" s="5" t="inlineStr">
        <is>
          <t>Unit</t>
        </is>
      </c>
      <c r="D57" s="5" t="inlineStr">
        <is>
          <t>Notes</t>
        </is>
      </c>
    </row>
    <row r="58">
      <c r="A58" s="6" t="inlineStr">
        <is>
          <t>Avg monthly salary — Management</t>
        </is>
      </c>
      <c r="B58" s="7" t="n">
        <v>45</v>
      </c>
      <c r="C58" s="8" t="inlineStr">
        <is>
          <t>M VND</t>
        </is>
      </c>
      <c r="D58" s="9" t="inlineStr">
        <is>
          <t>Director/PM</t>
        </is>
      </c>
    </row>
    <row r="59">
      <c r="A59" s="6" t="inlineStr">
        <is>
          <t>Avg monthly salary — Development</t>
        </is>
      </c>
      <c r="B59" s="7" t="n">
        <v>35</v>
      </c>
      <c r="C59" s="8" t="inlineStr">
        <is>
          <t>M VND</t>
        </is>
      </c>
      <c r="D59" s="9" t="inlineStr">
        <is>
          <t>Engineers</t>
        </is>
      </c>
    </row>
    <row r="60">
      <c r="A60" s="6" t="inlineStr">
        <is>
          <t>Avg monthly salary — BizOps</t>
        </is>
      </c>
      <c r="B60" s="7" t="n">
        <v>20</v>
      </c>
      <c r="C60" s="8" t="inlineStr">
        <is>
          <t>M VND</t>
        </is>
      </c>
      <c r="D60" s="9" t="inlineStr">
        <is>
          <t>BD/support</t>
        </is>
      </c>
    </row>
    <row r="61">
      <c r="A61" s="6" t="inlineStr">
        <is>
          <t>Avg monthly salary — Data/Analytics</t>
        </is>
      </c>
      <c r="B61" s="7" t="n">
        <v>40</v>
      </c>
      <c r="C61" s="8" t="inlineStr">
        <is>
          <t>M VND</t>
        </is>
      </c>
      <c r="D61" s="9" t="inlineStr">
        <is>
          <t>Data eng</t>
        </is>
      </c>
    </row>
    <row r="62">
      <c r="A62" s="6" t="inlineStr">
        <is>
          <t>Annual salary increase</t>
        </is>
      </c>
      <c r="B62" s="10" t="n">
        <v>0.1</v>
      </c>
      <c r="C62" s="8" t="inlineStr">
        <is>
          <t>%</t>
        </is>
      </c>
      <c r="D62" s="9" t="inlineStr">
        <is>
          <t>VN market</t>
        </is>
      </c>
    </row>
    <row r="63">
      <c r="A63" s="6" t="inlineStr">
        <is>
          <t>Social insurance (employer %)</t>
        </is>
      </c>
      <c r="B63" s="2" t="n"/>
      <c r="C63" s="2" t="n"/>
      <c r="D63" s="3" t="n"/>
    </row>
    <row r="64">
      <c r="A64" s="6" t="inlineStr">
        <is>
          <t>Recruitment fee (% Y1 salary)</t>
        </is>
      </c>
      <c r="B64" s="10" t="n">
        <v>0.2</v>
      </c>
      <c r="C64" s="8" t="inlineStr">
        <is>
          <t>%</t>
        </is>
      </c>
      <c r="D64" s="9" t="inlineStr">
        <is>
          <t>Headhunter</t>
        </is>
      </c>
    </row>
    <row r="66">
      <c r="A66" s="1" t="inlineStr">
        <is>
          <t>FINANCIAL PARAMETERS</t>
        </is>
      </c>
      <c r="B66" s="2" t="n"/>
      <c r="C66" s="2" t="n"/>
      <c r="D66" s="3" t="n"/>
    </row>
    <row r="67">
      <c r="A67" s="5" t="inlineStr">
        <is>
          <t>Parameter</t>
        </is>
      </c>
      <c r="B67" s="5" t="inlineStr">
        <is>
          <t>Value</t>
        </is>
      </c>
      <c r="C67" s="5" t="inlineStr">
        <is>
          <t>Unit</t>
        </is>
      </c>
      <c r="D67" s="5" t="inlineStr">
        <is>
          <t>Notes</t>
        </is>
      </c>
    </row>
    <row r="68">
      <c r="A68" s="6" t="inlineStr">
        <is>
          <t>Corporate income tax</t>
        </is>
      </c>
      <c r="B68" s="10" t="n">
        <v>0.2</v>
      </c>
      <c r="C68" s="8" t="inlineStr">
        <is>
          <t>%</t>
        </is>
      </c>
      <c r="D68" s="9" t="inlineStr">
        <is>
          <t>Vietnamese law</t>
        </is>
      </c>
    </row>
    <row r="69">
      <c r="A69" s="6" t="inlineStr">
        <is>
          <t>Discount rate (WACC)</t>
        </is>
      </c>
      <c r="B69" s="10" t="n">
        <v>0.15</v>
      </c>
      <c r="C69" s="8" t="inlineStr">
        <is>
          <t>%</t>
        </is>
      </c>
      <c r="D69" s="9" t="inlineStr">
        <is>
          <t>Risk-adjusted</t>
        </is>
      </c>
    </row>
    <row r="70">
      <c r="A70" s="6" t="inlineStr">
        <is>
          <t>Depreciation period</t>
        </is>
      </c>
      <c r="B70" s="7" t="n">
        <v>5</v>
      </c>
      <c r="C70" s="8" t="inlineStr">
        <is>
          <t>Years</t>
        </is>
      </c>
      <c r="D70" s="9" t="inlineStr">
        <is>
          <t>Straight-line</t>
        </is>
      </c>
    </row>
    <row r="71">
      <c r="A71" s="6" t="inlineStr">
        <is>
          <t>Accounts receivable days</t>
        </is>
      </c>
      <c r="B71" s="7" t="n">
        <v>45</v>
      </c>
      <c r="C71" s="8" t="inlineStr">
        <is>
          <t>Days</t>
        </is>
      </c>
      <c r="D71" s="9" t="inlineStr">
        <is>
          <t>Collection period</t>
        </is>
      </c>
    </row>
    <row r="72">
      <c r="A72" s="6" t="inlineStr">
        <is>
          <t>Accounts payable days</t>
        </is>
      </c>
      <c r="B72" s="7" t="n">
        <v>30</v>
      </c>
      <c r="C72" s="8" t="inlineStr">
        <is>
          <t>Days</t>
        </is>
      </c>
      <c r="D72" s="9" t="inlineStr">
        <is>
          <t>Payment terms</t>
        </is>
      </c>
    </row>
    <row r="73">
      <c r="A73" s="6" t="inlineStr">
        <is>
          <t>Stage 2 gate (min enterprises)</t>
        </is>
      </c>
      <c r="B73" s="7" t="n">
        <v>300</v>
      </c>
      <c r="C73" s="8" t="inlineStr"/>
      <c r="D73" s="9" t="inlineStr">
        <is>
          <t>Activate tx fees</t>
        </is>
      </c>
    </row>
  </sheetData>
  <mergeCells count="8">
    <mergeCell ref="A1:D1"/>
    <mergeCell ref="A17:D17"/>
    <mergeCell ref="A53:D53"/>
    <mergeCell ref="A4:D4"/>
    <mergeCell ref="A38:D38"/>
    <mergeCell ref="A25:D25"/>
    <mergeCell ref="A63:D6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INITIAL INVESTMENT — CAPEX BREAKDOWN (M VND)</t>
        </is>
      </c>
      <c r="B1" s="2" t="n"/>
      <c r="C1" s="2" t="n"/>
      <c r="D1" s="3" t="n"/>
    </row>
    <row r="2">
      <c r="A2" s="9" t="inlineStr">
        <is>
          <t>Source: 20250718_HHDLQG_Financial Projection 5 Years.xlsx</t>
        </is>
      </c>
    </row>
    <row r="4">
      <c r="A4" s="5" t="inlineStr">
        <is>
          <t>CAPEX Item</t>
        </is>
      </c>
      <c r="B4" s="5" t="inlineStr">
        <is>
          <t>Amount (M VND)</t>
        </is>
      </c>
      <c r="C4" s="5" t="inlineStr">
        <is>
          <t>Timing</t>
        </is>
      </c>
      <c r="D4" s="5" t="inlineStr">
        <is>
          <t>Notes</t>
        </is>
      </c>
    </row>
    <row r="5">
      <c r="A5" s="6" t="inlineStr">
        <is>
          <t>Cloud infrastructure setup</t>
        </is>
      </c>
      <c r="B5" s="7" t="n">
        <v>800</v>
      </c>
      <c r="C5" s="8" t="inlineStr">
        <is>
          <t>H2 2025</t>
        </is>
      </c>
      <c r="D5" s="9" t="inlineStr">
        <is>
          <t>AWS/GCP initial setup</t>
        </is>
      </c>
    </row>
    <row r="6">
      <c r="A6" s="6" t="inlineStr">
        <is>
          <t>Backend development</t>
        </is>
      </c>
      <c r="B6" s="7" t="n">
        <v>1200</v>
      </c>
      <c r="C6" s="8" t="inlineStr">
        <is>
          <t>H2 2025</t>
        </is>
      </c>
      <c r="D6" s="9" t="inlineStr">
        <is>
          <t>API, database, core logic</t>
        </is>
      </c>
    </row>
    <row r="7">
      <c r="A7" s="6" t="inlineStr">
        <is>
          <t>Frontend + mobile development</t>
        </is>
      </c>
      <c r="B7" s="7" t="n">
        <v>900</v>
      </c>
      <c r="C7" s="8" t="inlineStr">
        <is>
          <t>H2 2025</t>
        </is>
      </c>
      <c r="D7" s="9" t="inlineStr">
        <is>
          <t>Web + mobile app</t>
        </is>
      </c>
    </row>
    <row r="8">
      <c r="A8" s="6" t="inlineStr">
        <is>
          <t>Data platform &amp; analytics</t>
        </is>
      </c>
      <c r="B8" s="7" t="n">
        <v>600</v>
      </c>
      <c r="C8" s="8" t="inlineStr">
        <is>
          <t>H2 2025</t>
        </is>
      </c>
      <c r="D8" s="9" t="inlineStr">
        <is>
          <t>Data pipeline, analytics engine</t>
        </is>
      </c>
    </row>
    <row r="9">
      <c r="A9" s="6" t="inlineStr">
        <is>
          <t>Security infrastructure</t>
        </is>
      </c>
      <c r="B9" s="7" t="n">
        <v>250</v>
      </c>
      <c r="C9" s="8" t="inlineStr">
        <is>
          <t>H2 2025</t>
        </is>
      </c>
      <c r="D9" s="9" t="inlineStr">
        <is>
          <t>Initial pentest, encryption, auth</t>
        </is>
      </c>
    </row>
    <row r="10">
      <c r="A10" s="6" t="inlineStr">
        <is>
          <t>UX/UI design</t>
        </is>
      </c>
      <c r="B10" s="7" t="n">
        <v>350</v>
      </c>
      <c r="C10" s="8" t="inlineStr">
        <is>
          <t>H2 2025</t>
        </is>
      </c>
      <c r="D10" s="9" t="inlineStr">
        <is>
          <t>Design system, prototypes</t>
        </is>
      </c>
    </row>
    <row r="11">
      <c r="A11" s="6" t="inlineStr">
        <is>
          <t>3rd-party integrations</t>
        </is>
      </c>
      <c r="B11" s="7" t="n">
        <v>400</v>
      </c>
      <c r="C11" s="8" t="inlineStr">
        <is>
          <t>H2 2025</t>
        </is>
      </c>
      <c r="D11" s="9" t="inlineStr">
        <is>
          <t>Payment gateways, OTA APIs</t>
        </is>
      </c>
    </row>
    <row r="12">
      <c r="A12" s="6" t="inlineStr">
        <is>
          <t>DevOps &amp; CI/CD setup</t>
        </is>
      </c>
      <c r="B12" s="7" t="n">
        <v>280</v>
      </c>
      <c r="C12" s="8" t="inlineStr">
        <is>
          <t>H2 2025</t>
        </is>
      </c>
      <c r="D12" s="9" t="inlineStr">
        <is>
          <t>Deployment pipeline, monitoring</t>
        </is>
      </c>
    </row>
    <row r="13">
      <c r="A13" s="6" t="inlineStr">
        <is>
          <t>QA &amp; testing infrastructure</t>
        </is>
      </c>
      <c r="B13" s="7" t="n">
        <v>200</v>
      </c>
      <c r="C13" s="8" t="inlineStr">
        <is>
          <t>H2 2025</t>
        </is>
      </c>
      <c r="D13" s="9" t="inlineStr">
        <is>
          <t>Automated testing, load testing</t>
        </is>
      </c>
    </row>
    <row r="14">
      <c r="A14" s="6" t="inlineStr">
        <is>
          <t>CAPEX contingency (10%)</t>
        </is>
      </c>
      <c r="B14" s="7" t="n">
        <v>300</v>
      </c>
      <c r="C14" s="8" t="inlineStr">
        <is>
          <t>H2 2025</t>
        </is>
      </c>
      <c r="D14" s="9" t="inlineStr">
        <is>
          <t>Buffer for overruns</t>
        </is>
      </c>
    </row>
    <row r="16">
      <c r="A16" s="6" t="inlineStr">
        <is>
          <t>TOTAL INITIAL CAPEX</t>
        </is>
      </c>
      <c r="B16" s="12">
        <f>SUM(B5:B14)</f>
        <v/>
      </c>
    </row>
    <row r="18">
      <c r="A18" s="1" t="inlineStr">
        <is>
          <t>DEPRECIATION SCHEDULE (M VND)</t>
        </is>
      </c>
      <c r="B18" s="2" t="n"/>
      <c r="C18" s="2" t="n"/>
      <c r="D18" s="3" t="n"/>
    </row>
    <row r="19">
      <c r="A19" s="5" t="inlineStr">
        <is>
          <t>Year</t>
        </is>
      </c>
      <c r="B19" s="5" t="inlineStr">
        <is>
          <t>Annual D&amp;A</t>
        </is>
      </c>
      <c r="C19" s="5" t="inlineStr">
        <is>
          <t>Accum D&amp;A</t>
        </is>
      </c>
      <c r="D19" s="5" t="inlineStr">
        <is>
          <t>Net Book Value</t>
        </is>
      </c>
    </row>
    <row r="20">
      <c r="A20" s="6" t="inlineStr">
        <is>
          <t>2025</t>
        </is>
      </c>
      <c r="B20" s="13">
        <f>capex_total/depreciation_years</f>
        <v/>
      </c>
      <c r="C20" s="13">
        <f>B20</f>
        <v/>
      </c>
      <c r="D20" s="13">
        <f>capex_total-C20</f>
        <v/>
      </c>
    </row>
    <row r="21">
      <c r="A21" s="6" t="inlineStr">
        <is>
          <t>2026</t>
        </is>
      </c>
      <c r="B21" s="13">
        <f>capex_total/depreciation_years</f>
        <v/>
      </c>
      <c r="C21" s="13">
        <f>C20+B21</f>
        <v/>
      </c>
      <c r="D21" s="13">
        <f>capex_total-C21</f>
        <v/>
      </c>
    </row>
    <row r="22">
      <c r="A22" s="6" t="inlineStr">
        <is>
          <t>2027</t>
        </is>
      </c>
      <c r="B22" s="13">
        <f>capex_total/depreciation_years</f>
        <v/>
      </c>
      <c r="C22" s="13">
        <f>C21+B22</f>
        <v/>
      </c>
      <c r="D22" s="13">
        <f>capex_total-C22</f>
        <v/>
      </c>
    </row>
    <row r="23">
      <c r="A23" s="6" t="inlineStr">
        <is>
          <t>2028</t>
        </is>
      </c>
      <c r="B23" s="13">
        <f>capex_total/depreciation_years</f>
        <v/>
      </c>
      <c r="C23" s="13">
        <f>C22+B23</f>
        <v/>
      </c>
      <c r="D23" s="13">
        <f>capex_total-C23</f>
        <v/>
      </c>
    </row>
    <row r="24">
      <c r="A24" s="6" t="inlineStr">
        <is>
          <t>2029</t>
        </is>
      </c>
      <c r="B24" s="13">
        <f>capex_total/depreciation_years</f>
        <v/>
      </c>
      <c r="C24" s="13">
        <f>C23+B24</f>
        <v/>
      </c>
      <c r="D24" s="13">
        <f>capex_total-C24</f>
        <v/>
      </c>
    </row>
    <row r="25">
      <c r="A25" s="6" t="inlineStr">
        <is>
          <t>2030</t>
        </is>
      </c>
      <c r="B25" s="13">
        <f>0</f>
        <v/>
      </c>
      <c r="C25" s="13">
        <f>C24+B25</f>
        <v/>
      </c>
      <c r="D25" s="13">
        <f>capex_total-C25</f>
        <v/>
      </c>
    </row>
  </sheetData>
  <mergeCells count="2">
    <mergeCell ref="A1:D1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HR PLAN — HEADCOUNT &amp; COST</t>
        </is>
      </c>
      <c r="B1" s="3" t="n"/>
    </row>
    <row r="3">
      <c r="A3" s="5" t="inlineStr">
        <is>
          <t>Department / Role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HEADCOUNT</t>
        </is>
      </c>
      <c r="B4" s="3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>Management</t>
        </is>
      </c>
      <c r="B5" s="8" t="inlineStr">
        <is>
          <t>people</t>
        </is>
      </c>
      <c r="C5" s="7" t="n">
        <v>2</v>
      </c>
      <c r="D5" s="7" t="n">
        <v>2</v>
      </c>
      <c r="E5" s="7" t="n">
        <v>2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2</v>
      </c>
      <c r="K5" s="7" t="n">
        <v>2</v>
      </c>
      <c r="L5" s="7" t="n">
        <v>2</v>
      </c>
      <c r="M5" s="7" t="n">
        <v>2</v>
      </c>
      <c r="N5" s="7" t="n">
        <v>2</v>
      </c>
      <c r="O5" s="7" t="n">
        <v>2</v>
      </c>
      <c r="P5" s="7" t="n">
        <v>2</v>
      </c>
      <c r="Q5" s="7" t="n">
        <v>2</v>
      </c>
      <c r="R5" s="7" t="n">
        <v>2</v>
      </c>
      <c r="S5" s="7" t="n">
        <v>2</v>
      </c>
      <c r="T5" s="7" t="n">
        <v>2</v>
      </c>
      <c r="U5" s="7" t="n">
        <v>3</v>
      </c>
      <c r="V5" s="7" t="n">
        <v>3</v>
      </c>
      <c r="W5" s="7" t="n">
        <v>3</v>
      </c>
      <c r="X5" s="7" t="n">
        <v>3</v>
      </c>
      <c r="Y5" s="7" t="n">
        <v>3</v>
      </c>
      <c r="Z5" s="7" t="n">
        <v>3</v>
      </c>
      <c r="AA5" s="7" t="n">
        <v>3</v>
      </c>
      <c r="AB5" s="7" t="n">
        <v>3</v>
      </c>
      <c r="AC5" s="7" t="n">
        <v>3</v>
      </c>
      <c r="AD5" s="7" t="n">
        <v>3</v>
      </c>
      <c r="AE5" s="7" t="n">
        <v>3</v>
      </c>
      <c r="AF5" s="7" t="n">
        <v>3</v>
      </c>
      <c r="AG5" s="7" t="n">
        <v>3</v>
      </c>
      <c r="AH5" s="7" t="n">
        <v>3</v>
      </c>
      <c r="AI5" s="7" t="n">
        <v>3</v>
      </c>
      <c r="AJ5" s="7" t="n">
        <v>3</v>
      </c>
      <c r="AK5" s="7" t="n">
        <v>4</v>
      </c>
      <c r="AL5" s="7" t="n">
        <v>4</v>
      </c>
      <c r="AM5" s="7" t="n">
        <v>4</v>
      </c>
      <c r="AN5" s="7" t="n">
        <v>4</v>
      </c>
      <c r="AO5" s="7" t="n">
        <v>4</v>
      </c>
      <c r="AP5" s="7" t="n">
        <v>4</v>
      </c>
      <c r="AQ5" s="7" t="n">
        <v>4</v>
      </c>
      <c r="AR5" s="7" t="n">
        <v>4</v>
      </c>
    </row>
    <row r="6">
      <c r="A6" s="6" t="inlineStr">
        <is>
          <t>Development</t>
        </is>
      </c>
      <c r="B6" s="8" t="inlineStr">
        <is>
          <t>people</t>
        </is>
      </c>
      <c r="C6" s="7" t="n">
        <v>12</v>
      </c>
      <c r="D6" s="7" t="n">
        <v>12</v>
      </c>
      <c r="E6" s="7" t="n">
        <v>12</v>
      </c>
      <c r="F6" s="7" t="n">
        <v>12</v>
      </c>
      <c r="G6" s="7" t="n">
        <v>12</v>
      </c>
      <c r="H6" s="7" t="n">
        <v>12</v>
      </c>
      <c r="I6" s="7" t="n">
        <v>12</v>
      </c>
      <c r="J6" s="7" t="n">
        <v>12</v>
      </c>
      <c r="K6" s="7" t="n">
        <v>12</v>
      </c>
      <c r="L6" s="7" t="n">
        <v>12</v>
      </c>
      <c r="M6" s="7" t="n">
        <v>12</v>
      </c>
      <c r="N6" s="7" t="n">
        <v>12</v>
      </c>
      <c r="O6" s="7" t="n">
        <v>12</v>
      </c>
      <c r="P6" s="7" t="n">
        <v>12</v>
      </c>
      <c r="Q6" s="7" t="n">
        <v>12</v>
      </c>
      <c r="R6" s="7" t="n">
        <v>12</v>
      </c>
      <c r="S6" s="7" t="n">
        <v>12</v>
      </c>
      <c r="T6" s="7" t="n">
        <v>12</v>
      </c>
      <c r="U6" s="7" t="n">
        <v>14</v>
      </c>
      <c r="V6" s="7" t="n">
        <v>14</v>
      </c>
      <c r="W6" s="7" t="n">
        <v>14</v>
      </c>
      <c r="X6" s="7" t="n">
        <v>14</v>
      </c>
      <c r="Y6" s="7" t="n">
        <v>14</v>
      </c>
      <c r="Z6" s="7" t="n">
        <v>14</v>
      </c>
      <c r="AA6" s="7" t="n">
        <v>14</v>
      </c>
      <c r="AB6" s="7" t="n">
        <v>14</v>
      </c>
      <c r="AC6" s="7" t="n">
        <v>14</v>
      </c>
      <c r="AD6" s="7" t="n">
        <v>14</v>
      </c>
      <c r="AE6" s="7" t="n">
        <v>14</v>
      </c>
      <c r="AF6" s="7" t="n">
        <v>14</v>
      </c>
      <c r="AG6" s="7" t="n">
        <v>16</v>
      </c>
      <c r="AH6" s="7" t="n">
        <v>16</v>
      </c>
      <c r="AI6" s="7" t="n">
        <v>16</v>
      </c>
      <c r="AJ6" s="7" t="n">
        <v>16</v>
      </c>
      <c r="AK6" s="7" t="n">
        <v>18</v>
      </c>
      <c r="AL6" s="7" t="n">
        <v>18</v>
      </c>
      <c r="AM6" s="7" t="n">
        <v>18</v>
      </c>
      <c r="AN6" s="7" t="n">
        <v>18</v>
      </c>
      <c r="AO6" s="7" t="n">
        <v>20</v>
      </c>
      <c r="AP6" s="7" t="n">
        <v>20</v>
      </c>
      <c r="AQ6" s="7" t="n">
        <v>20</v>
      </c>
      <c r="AR6" s="7" t="n">
        <v>20</v>
      </c>
    </row>
    <row r="7">
      <c r="A7" s="6" t="inlineStr">
        <is>
          <t>Biz Ops</t>
        </is>
      </c>
      <c r="B7" s="8" t="inlineStr">
        <is>
          <t>people</t>
        </is>
      </c>
      <c r="C7" s="7" t="n">
        <v>2</v>
      </c>
      <c r="D7" s="7" t="n">
        <v>2</v>
      </c>
      <c r="E7" s="7" t="n">
        <v>2</v>
      </c>
      <c r="F7" s="7" t="n">
        <v>2</v>
      </c>
      <c r="G7" s="7" t="n">
        <v>2</v>
      </c>
      <c r="H7" s="7" t="n">
        <v>2</v>
      </c>
      <c r="I7" s="7" t="n">
        <v>6</v>
      </c>
      <c r="J7" s="7" t="n">
        <v>6</v>
      </c>
      <c r="K7" s="7" t="n">
        <v>6</v>
      </c>
      <c r="L7" s="7" t="n">
        <v>6</v>
      </c>
      <c r="M7" s="7" t="n">
        <v>6</v>
      </c>
      <c r="N7" s="7" t="n">
        <v>6</v>
      </c>
      <c r="O7" s="7" t="n">
        <v>6</v>
      </c>
      <c r="P7" s="7" t="n">
        <v>6</v>
      </c>
      <c r="Q7" s="7" t="n">
        <v>6</v>
      </c>
      <c r="R7" s="7" t="n">
        <v>6</v>
      </c>
      <c r="S7" s="7" t="n">
        <v>6</v>
      </c>
      <c r="T7" s="7" t="n">
        <v>6</v>
      </c>
      <c r="U7" s="7" t="n">
        <v>10</v>
      </c>
      <c r="V7" s="7" t="n">
        <v>10</v>
      </c>
      <c r="W7" s="7" t="n">
        <v>10</v>
      </c>
      <c r="X7" s="7" t="n">
        <v>10</v>
      </c>
      <c r="Y7" s="7" t="n">
        <v>10</v>
      </c>
      <c r="Z7" s="7" t="n">
        <v>10</v>
      </c>
      <c r="AA7" s="7" t="n">
        <v>10</v>
      </c>
      <c r="AB7" s="7" t="n">
        <v>10</v>
      </c>
      <c r="AC7" s="7" t="n">
        <v>10</v>
      </c>
      <c r="AD7" s="7" t="n">
        <v>10</v>
      </c>
      <c r="AE7" s="7" t="n">
        <v>10</v>
      </c>
      <c r="AF7" s="7" t="n">
        <v>10</v>
      </c>
      <c r="AG7" s="7" t="n">
        <v>18</v>
      </c>
      <c r="AH7" s="7" t="n">
        <v>18</v>
      </c>
      <c r="AI7" s="7" t="n">
        <v>18</v>
      </c>
      <c r="AJ7" s="7" t="n">
        <v>18</v>
      </c>
      <c r="AK7" s="7" t="n">
        <v>28</v>
      </c>
      <c r="AL7" s="7" t="n">
        <v>28</v>
      </c>
      <c r="AM7" s="7" t="n">
        <v>28</v>
      </c>
      <c r="AN7" s="7" t="n">
        <v>28</v>
      </c>
      <c r="AO7" s="7" t="n">
        <v>35</v>
      </c>
      <c r="AP7" s="7" t="n">
        <v>35</v>
      </c>
      <c r="AQ7" s="7" t="n">
        <v>35</v>
      </c>
      <c r="AR7" s="7" t="n">
        <v>35</v>
      </c>
    </row>
    <row r="8">
      <c r="A8" s="6" t="inlineStr">
        <is>
          <t>Data &amp; Analytics</t>
        </is>
      </c>
      <c r="B8" s="8" t="inlineStr">
        <is>
          <t>people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2</v>
      </c>
      <c r="J8" s="7" t="n">
        <v>2</v>
      </c>
      <c r="K8" s="7" t="n">
        <v>2</v>
      </c>
      <c r="L8" s="7" t="n">
        <v>2</v>
      </c>
      <c r="M8" s="7" t="n">
        <v>2</v>
      </c>
      <c r="N8" s="7" t="n">
        <v>2</v>
      </c>
      <c r="O8" s="7" t="n">
        <v>2</v>
      </c>
      <c r="P8" s="7" t="n">
        <v>2</v>
      </c>
      <c r="Q8" s="7" t="n">
        <v>2</v>
      </c>
      <c r="R8" s="7" t="n">
        <v>2</v>
      </c>
      <c r="S8" s="7" t="n">
        <v>2</v>
      </c>
      <c r="T8" s="7" t="n">
        <v>2</v>
      </c>
      <c r="U8" s="7" t="n">
        <v>3</v>
      </c>
      <c r="V8" s="7" t="n">
        <v>3</v>
      </c>
      <c r="W8" s="7" t="n">
        <v>3</v>
      </c>
      <c r="X8" s="7" t="n">
        <v>3</v>
      </c>
      <c r="Y8" s="7" t="n">
        <v>3</v>
      </c>
      <c r="Z8" s="7" t="n">
        <v>3</v>
      </c>
      <c r="AA8" s="7" t="n">
        <v>3</v>
      </c>
      <c r="AB8" s="7" t="n">
        <v>3</v>
      </c>
      <c r="AC8" s="7" t="n">
        <v>3</v>
      </c>
      <c r="AD8" s="7" t="n">
        <v>3</v>
      </c>
      <c r="AE8" s="7" t="n">
        <v>3</v>
      </c>
      <c r="AF8" s="7" t="n">
        <v>3</v>
      </c>
      <c r="AG8" s="7" t="n">
        <v>4</v>
      </c>
      <c r="AH8" s="7" t="n">
        <v>4</v>
      </c>
      <c r="AI8" s="7" t="n">
        <v>4</v>
      </c>
      <c r="AJ8" s="7" t="n">
        <v>4</v>
      </c>
      <c r="AK8" s="7" t="n">
        <v>5</v>
      </c>
      <c r="AL8" s="7" t="n">
        <v>5</v>
      </c>
      <c r="AM8" s="7" t="n">
        <v>5</v>
      </c>
      <c r="AN8" s="7" t="n">
        <v>5</v>
      </c>
      <c r="AO8" s="7" t="n">
        <v>6</v>
      </c>
      <c r="AP8" s="7" t="n">
        <v>6</v>
      </c>
      <c r="AQ8" s="7" t="n">
        <v>6</v>
      </c>
      <c r="AR8" s="7" t="n">
        <v>6</v>
      </c>
    </row>
    <row r="9">
      <c r="A9" s="6" t="inlineStr">
        <is>
          <t>TOTAL HEADCOUNT</t>
        </is>
      </c>
      <c r="B9" s="15" t="inlineStr">
        <is>
          <t>people</t>
        </is>
      </c>
      <c r="C9" s="12">
        <f>SUM(C5:C8)</f>
        <v/>
      </c>
      <c r="D9" s="12">
        <f>SUM(D5:D8)</f>
        <v/>
      </c>
      <c r="E9" s="12">
        <f>SUM(E5:E8)</f>
        <v/>
      </c>
      <c r="F9" s="12">
        <f>SUM(F5:F8)</f>
        <v/>
      </c>
      <c r="G9" s="12">
        <f>SUM(G5:G8)</f>
        <v/>
      </c>
      <c r="H9" s="12">
        <f>SUM(H5:H8)</f>
        <v/>
      </c>
      <c r="I9" s="12">
        <f>SUM(I5:I8)</f>
        <v/>
      </c>
      <c r="J9" s="12">
        <f>SUM(J5:J8)</f>
        <v/>
      </c>
      <c r="K9" s="12">
        <f>SUM(K5:K8)</f>
        <v/>
      </c>
      <c r="L9" s="12">
        <f>SUM(L5:L8)</f>
        <v/>
      </c>
      <c r="M9" s="12">
        <f>SUM(M5:M8)</f>
        <v/>
      </c>
      <c r="N9" s="12">
        <f>SUM(N5:N8)</f>
        <v/>
      </c>
      <c r="O9" s="12">
        <f>SUM(O5:O8)</f>
        <v/>
      </c>
      <c r="P9" s="12">
        <f>SUM(P5:P8)</f>
        <v/>
      </c>
      <c r="Q9" s="12">
        <f>SUM(Q5:Q8)</f>
        <v/>
      </c>
      <c r="R9" s="12">
        <f>SUM(R5:R8)</f>
        <v/>
      </c>
      <c r="S9" s="12">
        <f>SUM(S5:S8)</f>
        <v/>
      </c>
      <c r="T9" s="12">
        <f>SUM(T5:T8)</f>
        <v/>
      </c>
      <c r="U9" s="12">
        <f>SUM(U5:U8)</f>
        <v/>
      </c>
      <c r="V9" s="12">
        <f>SUM(V5:V8)</f>
        <v/>
      </c>
      <c r="W9" s="12">
        <f>SUM(W5:W8)</f>
        <v/>
      </c>
      <c r="X9" s="12">
        <f>SUM(X5:X8)</f>
        <v/>
      </c>
      <c r="Y9" s="12">
        <f>SUM(Y5:Y8)</f>
        <v/>
      </c>
      <c r="Z9" s="12">
        <f>SUM(Z5:Z8)</f>
        <v/>
      </c>
      <c r="AA9" s="12">
        <f>SUM(AA5:AA8)</f>
        <v/>
      </c>
      <c r="AB9" s="12">
        <f>SUM(AB5:AB8)</f>
        <v/>
      </c>
      <c r="AC9" s="12">
        <f>SUM(AC5:AC8)</f>
        <v/>
      </c>
      <c r="AD9" s="12">
        <f>SUM(AD5:AD8)</f>
        <v/>
      </c>
      <c r="AE9" s="12">
        <f>SUM(AE5:AE8)</f>
        <v/>
      </c>
      <c r="AF9" s="12">
        <f>SUM(AF5:AF8)</f>
        <v/>
      </c>
      <c r="AG9" s="12">
        <f>SUM(AG5:AG8)</f>
        <v/>
      </c>
      <c r="AH9" s="12">
        <f>SUM(AH5:AH8)</f>
        <v/>
      </c>
      <c r="AI9" s="12">
        <f>SUM(AI5:AI8)</f>
        <v/>
      </c>
      <c r="AJ9" s="12">
        <f>SUM(AJ5:AJ8)</f>
        <v/>
      </c>
      <c r="AK9" s="12">
        <f>SUM(AK5:AK8)</f>
        <v/>
      </c>
      <c r="AL9" s="12">
        <f>SUM(AL5:AL8)</f>
        <v/>
      </c>
      <c r="AM9" s="12">
        <f>SUM(AM5:AM8)</f>
        <v/>
      </c>
      <c r="AN9" s="12">
        <f>SUM(AN5:AN8)</f>
        <v/>
      </c>
      <c r="AO9" s="12">
        <f>SUM(AO5:AO8)</f>
        <v/>
      </c>
      <c r="AP9" s="12">
        <f>SUM(AP5:AP8)</f>
        <v/>
      </c>
      <c r="AQ9" s="12">
        <f>SUM(AQ5:AQ8)</f>
        <v/>
      </c>
      <c r="AR9" s="12">
        <f>SUM(AR5:AR8)</f>
        <v/>
      </c>
    </row>
    <row r="11">
      <c r="A11" s="1" t="inlineStr">
        <is>
          <t>NEW HIRES PER PERIOD</t>
        </is>
      </c>
      <c r="B11" s="3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</row>
    <row r="12">
      <c r="A12" s="6" t="inlineStr">
        <is>
          <t>New hires</t>
        </is>
      </c>
      <c r="B12" s="8" t="inlineStr">
        <is>
          <t>people</t>
        </is>
      </c>
      <c r="C12" s="13">
        <f>C9</f>
        <v/>
      </c>
      <c r="D12" s="13">
        <f>MAX(0,D9-C9)</f>
        <v/>
      </c>
      <c r="E12" s="13">
        <f>MAX(0,E9-D9)</f>
        <v/>
      </c>
      <c r="F12" s="13">
        <f>MAX(0,F9-E9)</f>
        <v/>
      </c>
      <c r="G12" s="13">
        <f>MAX(0,G9-F9)</f>
        <v/>
      </c>
      <c r="H12" s="13">
        <f>MAX(0,H9-G9)</f>
        <v/>
      </c>
      <c r="I12" s="13">
        <f>MAX(0,I9-H9)</f>
        <v/>
      </c>
      <c r="J12" s="13">
        <f>MAX(0,J9-I9)</f>
        <v/>
      </c>
      <c r="K12" s="13">
        <f>MAX(0,K9-J9)</f>
        <v/>
      </c>
      <c r="L12" s="13">
        <f>MAX(0,L9-K9)</f>
        <v/>
      </c>
      <c r="M12" s="13">
        <f>MAX(0,M9-L9)</f>
        <v/>
      </c>
      <c r="N12" s="13">
        <f>MAX(0,N9-M9)</f>
        <v/>
      </c>
      <c r="O12" s="13">
        <f>MAX(0,O9-N9)</f>
        <v/>
      </c>
      <c r="P12" s="13">
        <f>MAX(0,P9-O9)</f>
        <v/>
      </c>
      <c r="Q12" s="13">
        <f>MAX(0,Q9-P9)</f>
        <v/>
      </c>
      <c r="R12" s="13">
        <f>MAX(0,R9-Q9)</f>
        <v/>
      </c>
      <c r="S12" s="13">
        <f>MAX(0,S9-R9)</f>
        <v/>
      </c>
      <c r="T12" s="13">
        <f>MAX(0,T9-S9)</f>
        <v/>
      </c>
      <c r="U12" s="13">
        <f>MAX(0,U9-T9)</f>
        <v/>
      </c>
      <c r="V12" s="13">
        <f>MAX(0,V9-U9)</f>
        <v/>
      </c>
      <c r="W12" s="13">
        <f>MAX(0,W9-V9)</f>
        <v/>
      </c>
      <c r="X12" s="13">
        <f>MAX(0,X9-W9)</f>
        <v/>
      </c>
      <c r="Y12" s="13">
        <f>MAX(0,Y9-X9)</f>
        <v/>
      </c>
      <c r="Z12" s="13">
        <f>MAX(0,Z9-Y9)</f>
        <v/>
      </c>
      <c r="AA12" s="13">
        <f>MAX(0,AA9-Z9)</f>
        <v/>
      </c>
      <c r="AB12" s="13">
        <f>MAX(0,AB9-AA9)</f>
        <v/>
      </c>
      <c r="AC12" s="13">
        <f>MAX(0,AC9-AB9)</f>
        <v/>
      </c>
      <c r="AD12" s="13">
        <f>MAX(0,AD9-AC9)</f>
        <v/>
      </c>
      <c r="AE12" s="13">
        <f>MAX(0,AE9-AD9)</f>
        <v/>
      </c>
      <c r="AF12" s="13">
        <f>MAX(0,AF9-AE9)</f>
        <v/>
      </c>
      <c r="AG12" s="13">
        <f>MAX(0,AG9-AF9)</f>
        <v/>
      </c>
      <c r="AH12" s="13">
        <f>MAX(0,AH9-AG9)</f>
        <v/>
      </c>
      <c r="AI12" s="13">
        <f>MAX(0,AI9-AH9)</f>
        <v/>
      </c>
      <c r="AJ12" s="13">
        <f>MAX(0,AJ9-AI9)</f>
        <v/>
      </c>
      <c r="AK12" s="13">
        <f>MAX(0,AK9-AJ9)</f>
        <v/>
      </c>
      <c r="AL12" s="13">
        <f>MAX(0,AL9-AK9)</f>
        <v/>
      </c>
      <c r="AM12" s="13">
        <f>MAX(0,AM9-AL9)</f>
        <v/>
      </c>
      <c r="AN12" s="13">
        <f>MAX(0,AN9-AM9)</f>
        <v/>
      </c>
      <c r="AO12" s="13">
        <f>MAX(0,AO9-AN9)</f>
        <v/>
      </c>
      <c r="AP12" s="13">
        <f>MAX(0,AP9-AO9)</f>
        <v/>
      </c>
      <c r="AQ12" s="13">
        <f>MAX(0,AQ9-AP9)</f>
        <v/>
      </c>
      <c r="AR12" s="13">
        <f>MAX(0,AR9-AQ9)</f>
        <v/>
      </c>
    </row>
    <row r="14">
      <c r="A14" s="1" t="inlineStr">
        <is>
          <t>MONTHLY SALARY COST (M VND)</t>
        </is>
      </c>
      <c r="B14" s="3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</row>
    <row r="15">
      <c r="A15" s="6" t="inlineStr">
        <is>
          <t>Management salary cost</t>
        </is>
      </c>
      <c r="B15" s="8" t="inlineStr">
        <is>
          <t>M VND</t>
        </is>
      </c>
      <c r="C15" s="13">
        <f>C5*salary_mgmt*1*(1+salary_escalation)^0*(1+bhxh_rate)</f>
        <v/>
      </c>
      <c r="D15" s="13">
        <f>D5*salary_mgmt*1*(1+salary_escalation)^0*(1+bhxh_rate)</f>
        <v/>
      </c>
      <c r="E15" s="13">
        <f>E5*salary_mgmt*1*(1+salary_escalation)^0*(1+bhxh_rate)</f>
        <v/>
      </c>
      <c r="F15" s="13">
        <f>F5*salary_mgmt*1*(1+salary_escalation)^0*(1+bhxh_rate)</f>
        <v/>
      </c>
      <c r="G15" s="13">
        <f>G5*salary_mgmt*1*(1+salary_escalation)^0*(1+bhxh_rate)</f>
        <v/>
      </c>
      <c r="H15" s="13">
        <f>H5*salary_mgmt*1*(1+salary_escalation)^0*(1+bhxh_rate)</f>
        <v/>
      </c>
      <c r="I15" s="13">
        <f>I5*salary_mgmt*1*(1+salary_escalation)^1*(1+bhxh_rate)</f>
        <v/>
      </c>
      <c r="J15" s="13">
        <f>J5*salary_mgmt*1*(1+salary_escalation)^1*(1+bhxh_rate)</f>
        <v/>
      </c>
      <c r="K15" s="13">
        <f>K5*salary_mgmt*1*(1+salary_escalation)^1*(1+bhxh_rate)</f>
        <v/>
      </c>
      <c r="L15" s="13">
        <f>L5*salary_mgmt*1*(1+salary_escalation)^1*(1+bhxh_rate)</f>
        <v/>
      </c>
      <c r="M15" s="13">
        <f>M5*salary_mgmt*1*(1+salary_escalation)^1*(1+bhxh_rate)</f>
        <v/>
      </c>
      <c r="N15" s="13">
        <f>N5*salary_mgmt*1*(1+salary_escalation)^1*(1+bhxh_rate)</f>
        <v/>
      </c>
      <c r="O15" s="13">
        <f>O5*salary_mgmt*1*(1+salary_escalation)^1*(1+bhxh_rate)</f>
        <v/>
      </c>
      <c r="P15" s="13">
        <f>P5*salary_mgmt*1*(1+salary_escalation)^1*(1+bhxh_rate)</f>
        <v/>
      </c>
      <c r="Q15" s="13">
        <f>Q5*salary_mgmt*1*(1+salary_escalation)^1*(1+bhxh_rate)</f>
        <v/>
      </c>
      <c r="R15" s="13">
        <f>R5*salary_mgmt*1*(1+salary_escalation)^1*(1+bhxh_rate)</f>
        <v/>
      </c>
      <c r="S15" s="13">
        <f>S5*salary_mgmt*1*(1+salary_escalation)^1*(1+bhxh_rate)</f>
        <v/>
      </c>
      <c r="T15" s="13">
        <f>T5*salary_mgmt*1*(1+salary_escalation)^1*(1+bhxh_rate)</f>
        <v/>
      </c>
      <c r="U15" s="13">
        <f>U5*salary_mgmt*1*(1+salary_escalation)^2*(1+bhxh_rate)</f>
        <v/>
      </c>
      <c r="V15" s="13">
        <f>V5*salary_mgmt*1*(1+salary_escalation)^2*(1+bhxh_rate)</f>
        <v/>
      </c>
      <c r="W15" s="13">
        <f>W5*salary_mgmt*1*(1+salary_escalation)^2*(1+bhxh_rate)</f>
        <v/>
      </c>
      <c r="X15" s="13">
        <f>X5*salary_mgmt*1*(1+salary_escalation)^2*(1+bhxh_rate)</f>
        <v/>
      </c>
      <c r="Y15" s="13">
        <f>Y5*salary_mgmt*1*(1+salary_escalation)^2*(1+bhxh_rate)</f>
        <v/>
      </c>
      <c r="Z15" s="13">
        <f>Z5*salary_mgmt*1*(1+salary_escalation)^2*(1+bhxh_rate)</f>
        <v/>
      </c>
      <c r="AA15" s="13">
        <f>AA5*salary_mgmt*1*(1+salary_escalation)^2*(1+bhxh_rate)</f>
        <v/>
      </c>
      <c r="AB15" s="13">
        <f>AB5*salary_mgmt*1*(1+salary_escalation)^2*(1+bhxh_rate)</f>
        <v/>
      </c>
      <c r="AC15" s="13">
        <f>AC5*salary_mgmt*1*(1+salary_escalation)^2*(1+bhxh_rate)</f>
        <v/>
      </c>
      <c r="AD15" s="13">
        <f>AD5*salary_mgmt*1*(1+salary_escalation)^2*(1+bhxh_rate)</f>
        <v/>
      </c>
      <c r="AE15" s="13">
        <f>AE5*salary_mgmt*1*(1+salary_escalation)^2*(1+bhxh_rate)</f>
        <v/>
      </c>
      <c r="AF15" s="13">
        <f>AF5*salary_mgmt*1*(1+salary_escalation)^2*(1+bhxh_rate)</f>
        <v/>
      </c>
      <c r="AG15" s="13">
        <f>AG5*salary_mgmt*3*(1+salary_escalation)^3*(1+bhxh_rate)</f>
        <v/>
      </c>
      <c r="AH15" s="13">
        <f>AH5*salary_mgmt*3*(1+salary_escalation)^3*(1+bhxh_rate)</f>
        <v/>
      </c>
      <c r="AI15" s="13">
        <f>AI5*salary_mgmt*3*(1+salary_escalation)^3*(1+bhxh_rate)</f>
        <v/>
      </c>
      <c r="AJ15" s="13">
        <f>AJ5*salary_mgmt*3*(1+salary_escalation)^3*(1+bhxh_rate)</f>
        <v/>
      </c>
      <c r="AK15" s="13">
        <f>AK5*salary_mgmt*3*(1+salary_escalation)^4*(1+bhxh_rate)</f>
        <v/>
      </c>
      <c r="AL15" s="13">
        <f>AL5*salary_mgmt*3*(1+salary_escalation)^4*(1+bhxh_rate)</f>
        <v/>
      </c>
      <c r="AM15" s="13">
        <f>AM5*salary_mgmt*3*(1+salary_escalation)^4*(1+bhxh_rate)</f>
        <v/>
      </c>
      <c r="AN15" s="13">
        <f>AN5*salary_mgmt*3*(1+salary_escalation)^4*(1+bhxh_rate)</f>
        <v/>
      </c>
      <c r="AO15" s="13">
        <f>AO5*salary_mgmt*3*(1+salary_escalation)^5*(1+bhxh_rate)</f>
        <v/>
      </c>
      <c r="AP15" s="13">
        <f>AP5*salary_mgmt*3*(1+salary_escalation)^5*(1+bhxh_rate)</f>
        <v/>
      </c>
      <c r="AQ15" s="13">
        <f>AQ5*salary_mgmt*3*(1+salary_escalation)^5*(1+bhxh_rate)</f>
        <v/>
      </c>
      <c r="AR15" s="13">
        <f>AR5*salary_mgmt*3*(1+salary_escalation)^5*(1+bhxh_rate)</f>
        <v/>
      </c>
    </row>
    <row r="16">
      <c r="A16" s="6" t="inlineStr">
        <is>
          <t>Development salary cost</t>
        </is>
      </c>
      <c r="B16" s="8" t="inlineStr">
        <is>
          <t>M VND</t>
        </is>
      </c>
      <c r="C16" s="13">
        <f>C6*salary_dev*1*(1+salary_escalation)^0*(1+bhxh_rate)</f>
        <v/>
      </c>
      <c r="D16" s="13">
        <f>D6*salary_dev*1*(1+salary_escalation)^0*(1+bhxh_rate)</f>
        <v/>
      </c>
      <c r="E16" s="13">
        <f>E6*salary_dev*1*(1+salary_escalation)^0*(1+bhxh_rate)</f>
        <v/>
      </c>
      <c r="F16" s="13">
        <f>F6*salary_dev*1*(1+salary_escalation)^0*(1+bhxh_rate)</f>
        <v/>
      </c>
      <c r="G16" s="13">
        <f>G6*salary_dev*1*(1+salary_escalation)^0*(1+bhxh_rate)</f>
        <v/>
      </c>
      <c r="H16" s="13">
        <f>H6*salary_dev*1*(1+salary_escalation)^0*(1+bhxh_rate)</f>
        <v/>
      </c>
      <c r="I16" s="13">
        <f>I6*salary_dev*1*(1+salary_escalation)^1*(1+bhxh_rate)</f>
        <v/>
      </c>
      <c r="J16" s="13">
        <f>J6*salary_dev*1*(1+salary_escalation)^1*(1+bhxh_rate)</f>
        <v/>
      </c>
      <c r="K16" s="13">
        <f>K6*salary_dev*1*(1+salary_escalation)^1*(1+bhxh_rate)</f>
        <v/>
      </c>
      <c r="L16" s="13">
        <f>L6*salary_dev*1*(1+salary_escalation)^1*(1+bhxh_rate)</f>
        <v/>
      </c>
      <c r="M16" s="13">
        <f>M6*salary_dev*1*(1+salary_escalation)^1*(1+bhxh_rate)</f>
        <v/>
      </c>
      <c r="N16" s="13">
        <f>N6*salary_dev*1*(1+salary_escalation)^1*(1+bhxh_rate)</f>
        <v/>
      </c>
      <c r="O16" s="13">
        <f>O6*salary_dev*1*(1+salary_escalation)^1*(1+bhxh_rate)</f>
        <v/>
      </c>
      <c r="P16" s="13">
        <f>P6*salary_dev*1*(1+salary_escalation)^1*(1+bhxh_rate)</f>
        <v/>
      </c>
      <c r="Q16" s="13">
        <f>Q6*salary_dev*1*(1+salary_escalation)^1*(1+bhxh_rate)</f>
        <v/>
      </c>
      <c r="R16" s="13">
        <f>R6*salary_dev*1*(1+salary_escalation)^1*(1+bhxh_rate)</f>
        <v/>
      </c>
      <c r="S16" s="13">
        <f>S6*salary_dev*1*(1+salary_escalation)^1*(1+bhxh_rate)</f>
        <v/>
      </c>
      <c r="T16" s="13">
        <f>T6*salary_dev*1*(1+salary_escalation)^1*(1+bhxh_rate)</f>
        <v/>
      </c>
      <c r="U16" s="13">
        <f>U6*salary_dev*1*(1+salary_escalation)^2*(1+bhxh_rate)</f>
        <v/>
      </c>
      <c r="V16" s="13">
        <f>V6*salary_dev*1*(1+salary_escalation)^2*(1+bhxh_rate)</f>
        <v/>
      </c>
      <c r="W16" s="13">
        <f>W6*salary_dev*1*(1+salary_escalation)^2*(1+bhxh_rate)</f>
        <v/>
      </c>
      <c r="X16" s="13">
        <f>X6*salary_dev*1*(1+salary_escalation)^2*(1+bhxh_rate)</f>
        <v/>
      </c>
      <c r="Y16" s="13">
        <f>Y6*salary_dev*1*(1+salary_escalation)^2*(1+bhxh_rate)</f>
        <v/>
      </c>
      <c r="Z16" s="13">
        <f>Z6*salary_dev*1*(1+salary_escalation)^2*(1+bhxh_rate)</f>
        <v/>
      </c>
      <c r="AA16" s="13">
        <f>AA6*salary_dev*1*(1+salary_escalation)^2*(1+bhxh_rate)</f>
        <v/>
      </c>
      <c r="AB16" s="13">
        <f>AB6*salary_dev*1*(1+salary_escalation)^2*(1+bhxh_rate)</f>
        <v/>
      </c>
      <c r="AC16" s="13">
        <f>AC6*salary_dev*1*(1+salary_escalation)^2*(1+bhxh_rate)</f>
        <v/>
      </c>
      <c r="AD16" s="13">
        <f>AD6*salary_dev*1*(1+salary_escalation)^2*(1+bhxh_rate)</f>
        <v/>
      </c>
      <c r="AE16" s="13">
        <f>AE6*salary_dev*1*(1+salary_escalation)^2*(1+bhxh_rate)</f>
        <v/>
      </c>
      <c r="AF16" s="13">
        <f>AF6*salary_dev*1*(1+salary_escalation)^2*(1+bhxh_rate)</f>
        <v/>
      </c>
      <c r="AG16" s="13">
        <f>AG6*salary_dev*3*(1+salary_escalation)^3*(1+bhxh_rate)</f>
        <v/>
      </c>
      <c r="AH16" s="13">
        <f>AH6*salary_dev*3*(1+salary_escalation)^3*(1+bhxh_rate)</f>
        <v/>
      </c>
      <c r="AI16" s="13">
        <f>AI6*salary_dev*3*(1+salary_escalation)^3*(1+bhxh_rate)</f>
        <v/>
      </c>
      <c r="AJ16" s="13">
        <f>AJ6*salary_dev*3*(1+salary_escalation)^3*(1+bhxh_rate)</f>
        <v/>
      </c>
      <c r="AK16" s="13">
        <f>AK6*salary_dev*3*(1+salary_escalation)^4*(1+bhxh_rate)</f>
        <v/>
      </c>
      <c r="AL16" s="13">
        <f>AL6*salary_dev*3*(1+salary_escalation)^4*(1+bhxh_rate)</f>
        <v/>
      </c>
      <c r="AM16" s="13">
        <f>AM6*salary_dev*3*(1+salary_escalation)^4*(1+bhxh_rate)</f>
        <v/>
      </c>
      <c r="AN16" s="13">
        <f>AN6*salary_dev*3*(1+salary_escalation)^4*(1+bhxh_rate)</f>
        <v/>
      </c>
      <c r="AO16" s="13">
        <f>AO6*salary_dev*3*(1+salary_escalation)^5*(1+bhxh_rate)</f>
        <v/>
      </c>
      <c r="AP16" s="13">
        <f>AP6*salary_dev*3*(1+salary_escalation)^5*(1+bhxh_rate)</f>
        <v/>
      </c>
      <c r="AQ16" s="13">
        <f>AQ6*salary_dev*3*(1+salary_escalation)^5*(1+bhxh_rate)</f>
        <v/>
      </c>
      <c r="AR16" s="13">
        <f>AR6*salary_dev*3*(1+salary_escalation)^5*(1+bhxh_rate)</f>
        <v/>
      </c>
    </row>
    <row r="17">
      <c r="A17" s="6" t="inlineStr">
        <is>
          <t>Biz Ops salary cost</t>
        </is>
      </c>
      <c r="B17" s="8" t="inlineStr">
        <is>
          <t>M VND</t>
        </is>
      </c>
      <c r="C17" s="13">
        <f>C7*salary_bizops*1*(1+salary_escalation)^0*(1+bhxh_rate)</f>
        <v/>
      </c>
      <c r="D17" s="13">
        <f>D7*salary_bizops*1*(1+salary_escalation)^0*(1+bhxh_rate)</f>
        <v/>
      </c>
      <c r="E17" s="13">
        <f>E7*salary_bizops*1*(1+salary_escalation)^0*(1+bhxh_rate)</f>
        <v/>
      </c>
      <c r="F17" s="13">
        <f>F7*salary_bizops*1*(1+salary_escalation)^0*(1+bhxh_rate)</f>
        <v/>
      </c>
      <c r="G17" s="13">
        <f>G7*salary_bizops*1*(1+salary_escalation)^0*(1+bhxh_rate)</f>
        <v/>
      </c>
      <c r="H17" s="13">
        <f>H7*salary_bizops*1*(1+salary_escalation)^0*(1+bhxh_rate)</f>
        <v/>
      </c>
      <c r="I17" s="13">
        <f>I7*salary_bizops*1*(1+salary_escalation)^1*(1+bhxh_rate)</f>
        <v/>
      </c>
      <c r="J17" s="13">
        <f>J7*salary_bizops*1*(1+salary_escalation)^1*(1+bhxh_rate)</f>
        <v/>
      </c>
      <c r="K17" s="13">
        <f>K7*salary_bizops*1*(1+salary_escalation)^1*(1+bhxh_rate)</f>
        <v/>
      </c>
      <c r="L17" s="13">
        <f>L7*salary_bizops*1*(1+salary_escalation)^1*(1+bhxh_rate)</f>
        <v/>
      </c>
      <c r="M17" s="13">
        <f>M7*salary_bizops*1*(1+salary_escalation)^1*(1+bhxh_rate)</f>
        <v/>
      </c>
      <c r="N17" s="13">
        <f>N7*salary_bizops*1*(1+salary_escalation)^1*(1+bhxh_rate)</f>
        <v/>
      </c>
      <c r="O17" s="13">
        <f>O7*salary_bizops*1*(1+salary_escalation)^1*(1+bhxh_rate)</f>
        <v/>
      </c>
      <c r="P17" s="13">
        <f>P7*salary_bizops*1*(1+salary_escalation)^1*(1+bhxh_rate)</f>
        <v/>
      </c>
      <c r="Q17" s="13">
        <f>Q7*salary_bizops*1*(1+salary_escalation)^1*(1+bhxh_rate)</f>
        <v/>
      </c>
      <c r="R17" s="13">
        <f>R7*salary_bizops*1*(1+salary_escalation)^1*(1+bhxh_rate)</f>
        <v/>
      </c>
      <c r="S17" s="13">
        <f>S7*salary_bizops*1*(1+salary_escalation)^1*(1+bhxh_rate)</f>
        <v/>
      </c>
      <c r="T17" s="13">
        <f>T7*salary_bizops*1*(1+salary_escalation)^1*(1+bhxh_rate)</f>
        <v/>
      </c>
      <c r="U17" s="13">
        <f>U7*salary_bizops*1*(1+salary_escalation)^2*(1+bhxh_rate)</f>
        <v/>
      </c>
      <c r="V17" s="13">
        <f>V7*salary_bizops*1*(1+salary_escalation)^2*(1+bhxh_rate)</f>
        <v/>
      </c>
      <c r="W17" s="13">
        <f>W7*salary_bizops*1*(1+salary_escalation)^2*(1+bhxh_rate)</f>
        <v/>
      </c>
      <c r="X17" s="13">
        <f>X7*salary_bizops*1*(1+salary_escalation)^2*(1+bhxh_rate)</f>
        <v/>
      </c>
      <c r="Y17" s="13">
        <f>Y7*salary_bizops*1*(1+salary_escalation)^2*(1+bhxh_rate)</f>
        <v/>
      </c>
      <c r="Z17" s="13">
        <f>Z7*salary_bizops*1*(1+salary_escalation)^2*(1+bhxh_rate)</f>
        <v/>
      </c>
      <c r="AA17" s="13">
        <f>AA7*salary_bizops*1*(1+salary_escalation)^2*(1+bhxh_rate)</f>
        <v/>
      </c>
      <c r="AB17" s="13">
        <f>AB7*salary_bizops*1*(1+salary_escalation)^2*(1+bhxh_rate)</f>
        <v/>
      </c>
      <c r="AC17" s="13">
        <f>AC7*salary_bizops*1*(1+salary_escalation)^2*(1+bhxh_rate)</f>
        <v/>
      </c>
      <c r="AD17" s="13">
        <f>AD7*salary_bizops*1*(1+salary_escalation)^2*(1+bhxh_rate)</f>
        <v/>
      </c>
      <c r="AE17" s="13">
        <f>AE7*salary_bizops*1*(1+salary_escalation)^2*(1+bhxh_rate)</f>
        <v/>
      </c>
      <c r="AF17" s="13">
        <f>AF7*salary_bizops*1*(1+salary_escalation)^2*(1+bhxh_rate)</f>
        <v/>
      </c>
      <c r="AG17" s="13">
        <f>AG7*salary_bizops*3*(1+salary_escalation)^3*(1+bhxh_rate)</f>
        <v/>
      </c>
      <c r="AH17" s="13">
        <f>AH7*salary_bizops*3*(1+salary_escalation)^3*(1+bhxh_rate)</f>
        <v/>
      </c>
      <c r="AI17" s="13">
        <f>AI7*salary_bizops*3*(1+salary_escalation)^3*(1+bhxh_rate)</f>
        <v/>
      </c>
      <c r="AJ17" s="13">
        <f>AJ7*salary_bizops*3*(1+salary_escalation)^3*(1+bhxh_rate)</f>
        <v/>
      </c>
      <c r="AK17" s="13">
        <f>AK7*salary_bizops*3*(1+salary_escalation)^4*(1+bhxh_rate)</f>
        <v/>
      </c>
      <c r="AL17" s="13">
        <f>AL7*salary_bizops*3*(1+salary_escalation)^4*(1+bhxh_rate)</f>
        <v/>
      </c>
      <c r="AM17" s="13">
        <f>AM7*salary_bizops*3*(1+salary_escalation)^4*(1+bhxh_rate)</f>
        <v/>
      </c>
      <c r="AN17" s="13">
        <f>AN7*salary_bizops*3*(1+salary_escalation)^4*(1+bhxh_rate)</f>
        <v/>
      </c>
      <c r="AO17" s="13">
        <f>AO7*salary_bizops*3*(1+salary_escalation)^5*(1+bhxh_rate)</f>
        <v/>
      </c>
      <c r="AP17" s="13">
        <f>AP7*salary_bizops*3*(1+salary_escalation)^5*(1+bhxh_rate)</f>
        <v/>
      </c>
      <c r="AQ17" s="13">
        <f>AQ7*salary_bizops*3*(1+salary_escalation)^5*(1+bhxh_rate)</f>
        <v/>
      </c>
      <c r="AR17" s="13">
        <f>AR7*salary_bizops*3*(1+salary_escalation)^5*(1+bhxh_rate)</f>
        <v/>
      </c>
    </row>
    <row r="18">
      <c r="A18" s="6" t="inlineStr">
        <is>
          <t>Data &amp; Analytics salary cost</t>
        </is>
      </c>
      <c r="B18" s="8" t="inlineStr">
        <is>
          <t>M VND</t>
        </is>
      </c>
      <c r="C18" s="13">
        <f>C8*salary_data*1*(1+salary_escalation)^0*(1+bhxh_rate)</f>
        <v/>
      </c>
      <c r="D18" s="13">
        <f>D8*salary_data*1*(1+salary_escalation)^0*(1+bhxh_rate)</f>
        <v/>
      </c>
      <c r="E18" s="13">
        <f>E8*salary_data*1*(1+salary_escalation)^0*(1+bhxh_rate)</f>
        <v/>
      </c>
      <c r="F18" s="13">
        <f>F8*salary_data*1*(1+salary_escalation)^0*(1+bhxh_rate)</f>
        <v/>
      </c>
      <c r="G18" s="13">
        <f>G8*salary_data*1*(1+salary_escalation)^0*(1+bhxh_rate)</f>
        <v/>
      </c>
      <c r="H18" s="13">
        <f>H8*salary_data*1*(1+salary_escalation)^0*(1+bhxh_rate)</f>
        <v/>
      </c>
      <c r="I18" s="13">
        <f>I8*salary_data*1*(1+salary_escalation)^1*(1+bhxh_rate)</f>
        <v/>
      </c>
      <c r="J18" s="13">
        <f>J8*salary_data*1*(1+salary_escalation)^1*(1+bhxh_rate)</f>
        <v/>
      </c>
      <c r="K18" s="13">
        <f>K8*salary_data*1*(1+salary_escalation)^1*(1+bhxh_rate)</f>
        <v/>
      </c>
      <c r="L18" s="13">
        <f>L8*salary_data*1*(1+salary_escalation)^1*(1+bhxh_rate)</f>
        <v/>
      </c>
      <c r="M18" s="13">
        <f>M8*salary_data*1*(1+salary_escalation)^1*(1+bhxh_rate)</f>
        <v/>
      </c>
      <c r="N18" s="13">
        <f>N8*salary_data*1*(1+salary_escalation)^1*(1+bhxh_rate)</f>
        <v/>
      </c>
      <c r="O18" s="13">
        <f>O8*salary_data*1*(1+salary_escalation)^1*(1+bhxh_rate)</f>
        <v/>
      </c>
      <c r="P18" s="13">
        <f>P8*salary_data*1*(1+salary_escalation)^1*(1+bhxh_rate)</f>
        <v/>
      </c>
      <c r="Q18" s="13">
        <f>Q8*salary_data*1*(1+salary_escalation)^1*(1+bhxh_rate)</f>
        <v/>
      </c>
      <c r="R18" s="13">
        <f>R8*salary_data*1*(1+salary_escalation)^1*(1+bhxh_rate)</f>
        <v/>
      </c>
      <c r="S18" s="13">
        <f>S8*salary_data*1*(1+salary_escalation)^1*(1+bhxh_rate)</f>
        <v/>
      </c>
      <c r="T18" s="13">
        <f>T8*salary_data*1*(1+salary_escalation)^1*(1+bhxh_rate)</f>
        <v/>
      </c>
      <c r="U18" s="13">
        <f>U8*salary_data*1*(1+salary_escalation)^2*(1+bhxh_rate)</f>
        <v/>
      </c>
      <c r="V18" s="13">
        <f>V8*salary_data*1*(1+salary_escalation)^2*(1+bhxh_rate)</f>
        <v/>
      </c>
      <c r="W18" s="13">
        <f>W8*salary_data*1*(1+salary_escalation)^2*(1+bhxh_rate)</f>
        <v/>
      </c>
      <c r="X18" s="13">
        <f>X8*salary_data*1*(1+salary_escalation)^2*(1+bhxh_rate)</f>
        <v/>
      </c>
      <c r="Y18" s="13">
        <f>Y8*salary_data*1*(1+salary_escalation)^2*(1+bhxh_rate)</f>
        <v/>
      </c>
      <c r="Z18" s="13">
        <f>Z8*salary_data*1*(1+salary_escalation)^2*(1+bhxh_rate)</f>
        <v/>
      </c>
      <c r="AA18" s="13">
        <f>AA8*salary_data*1*(1+salary_escalation)^2*(1+bhxh_rate)</f>
        <v/>
      </c>
      <c r="AB18" s="13">
        <f>AB8*salary_data*1*(1+salary_escalation)^2*(1+bhxh_rate)</f>
        <v/>
      </c>
      <c r="AC18" s="13">
        <f>AC8*salary_data*1*(1+salary_escalation)^2*(1+bhxh_rate)</f>
        <v/>
      </c>
      <c r="AD18" s="13">
        <f>AD8*salary_data*1*(1+salary_escalation)^2*(1+bhxh_rate)</f>
        <v/>
      </c>
      <c r="AE18" s="13">
        <f>AE8*salary_data*1*(1+salary_escalation)^2*(1+bhxh_rate)</f>
        <v/>
      </c>
      <c r="AF18" s="13">
        <f>AF8*salary_data*1*(1+salary_escalation)^2*(1+bhxh_rate)</f>
        <v/>
      </c>
      <c r="AG18" s="13">
        <f>AG8*salary_data*3*(1+salary_escalation)^3*(1+bhxh_rate)</f>
        <v/>
      </c>
      <c r="AH18" s="13">
        <f>AH8*salary_data*3*(1+salary_escalation)^3*(1+bhxh_rate)</f>
        <v/>
      </c>
      <c r="AI18" s="13">
        <f>AI8*salary_data*3*(1+salary_escalation)^3*(1+bhxh_rate)</f>
        <v/>
      </c>
      <c r="AJ18" s="13">
        <f>AJ8*salary_data*3*(1+salary_escalation)^3*(1+bhxh_rate)</f>
        <v/>
      </c>
      <c r="AK18" s="13">
        <f>AK8*salary_data*3*(1+salary_escalation)^4*(1+bhxh_rate)</f>
        <v/>
      </c>
      <c r="AL18" s="13">
        <f>AL8*salary_data*3*(1+salary_escalation)^4*(1+bhxh_rate)</f>
        <v/>
      </c>
      <c r="AM18" s="13">
        <f>AM8*salary_data*3*(1+salary_escalation)^4*(1+bhxh_rate)</f>
        <v/>
      </c>
      <c r="AN18" s="13">
        <f>AN8*salary_data*3*(1+salary_escalation)^4*(1+bhxh_rate)</f>
        <v/>
      </c>
      <c r="AO18" s="13">
        <f>AO8*salary_data*3*(1+salary_escalation)^5*(1+bhxh_rate)</f>
        <v/>
      </c>
      <c r="AP18" s="13">
        <f>AP8*salary_data*3*(1+salary_escalation)^5*(1+bhxh_rate)</f>
        <v/>
      </c>
      <c r="AQ18" s="13">
        <f>AQ8*salary_data*3*(1+salary_escalation)^5*(1+bhxh_rate)</f>
        <v/>
      </c>
      <c r="AR18" s="13">
        <f>AR8*salary_data*3*(1+salary_escalation)^5*(1+bhxh_rate)</f>
        <v/>
      </c>
    </row>
    <row r="19">
      <c r="A19" s="6" t="inlineStr">
        <is>
          <t>TOTAL SALARY COST</t>
        </is>
      </c>
      <c r="B19" s="15" t="inlineStr">
        <is>
          <t>M VND</t>
        </is>
      </c>
      <c r="C19" s="12">
        <f>SUM(C15:C18)</f>
        <v/>
      </c>
      <c r="D19" s="12">
        <f>SUM(D15:D18)</f>
        <v/>
      </c>
      <c r="E19" s="12">
        <f>SUM(E15:E18)</f>
        <v/>
      </c>
      <c r="F19" s="12">
        <f>SUM(F15:F18)</f>
        <v/>
      </c>
      <c r="G19" s="12">
        <f>SUM(G15:G18)</f>
        <v/>
      </c>
      <c r="H19" s="12">
        <f>SUM(H15:H18)</f>
        <v/>
      </c>
      <c r="I19" s="12">
        <f>SUM(I15:I18)</f>
        <v/>
      </c>
      <c r="J19" s="12">
        <f>SUM(J15:J18)</f>
        <v/>
      </c>
      <c r="K19" s="12">
        <f>SUM(K15:K18)</f>
        <v/>
      </c>
      <c r="L19" s="12">
        <f>SUM(L15:L18)</f>
        <v/>
      </c>
      <c r="M19" s="12">
        <f>SUM(M15:M18)</f>
        <v/>
      </c>
      <c r="N19" s="12">
        <f>SUM(N15:N18)</f>
        <v/>
      </c>
      <c r="O19" s="12">
        <f>SUM(O15:O18)</f>
        <v/>
      </c>
      <c r="P19" s="12">
        <f>SUM(P15:P18)</f>
        <v/>
      </c>
      <c r="Q19" s="12">
        <f>SUM(Q15:Q18)</f>
        <v/>
      </c>
      <c r="R19" s="12">
        <f>SUM(R15:R18)</f>
        <v/>
      </c>
      <c r="S19" s="12">
        <f>SUM(S15:S18)</f>
        <v/>
      </c>
      <c r="T19" s="12">
        <f>SUM(T15:T18)</f>
        <v/>
      </c>
      <c r="U19" s="12">
        <f>SUM(U15:U18)</f>
        <v/>
      </c>
      <c r="V19" s="12">
        <f>SUM(V15:V18)</f>
        <v/>
      </c>
      <c r="W19" s="12">
        <f>SUM(W15:W18)</f>
        <v/>
      </c>
      <c r="X19" s="12">
        <f>SUM(X15:X18)</f>
        <v/>
      </c>
      <c r="Y19" s="12">
        <f>SUM(Y15:Y18)</f>
        <v/>
      </c>
      <c r="Z19" s="12">
        <f>SUM(Z15:Z18)</f>
        <v/>
      </c>
      <c r="AA19" s="12">
        <f>SUM(AA15:AA18)</f>
        <v/>
      </c>
      <c r="AB19" s="12">
        <f>SUM(AB15:AB18)</f>
        <v/>
      </c>
      <c r="AC19" s="12">
        <f>SUM(AC15:AC18)</f>
        <v/>
      </c>
      <c r="AD19" s="12">
        <f>SUM(AD15:AD18)</f>
        <v/>
      </c>
      <c r="AE19" s="12">
        <f>SUM(AE15:AE18)</f>
        <v/>
      </c>
      <c r="AF19" s="12">
        <f>SUM(AF15:AF18)</f>
        <v/>
      </c>
      <c r="AG19" s="12">
        <f>SUM(AG15:AG18)</f>
        <v/>
      </c>
      <c r="AH19" s="12">
        <f>SUM(AH15:AH18)</f>
        <v/>
      </c>
      <c r="AI19" s="12">
        <f>SUM(AI15:AI18)</f>
        <v/>
      </c>
      <c r="AJ19" s="12">
        <f>SUM(AJ15:AJ18)</f>
        <v/>
      </c>
      <c r="AK19" s="12">
        <f>SUM(AK15:AK18)</f>
        <v/>
      </c>
      <c r="AL19" s="12">
        <f>SUM(AL15:AL18)</f>
        <v/>
      </c>
      <c r="AM19" s="12">
        <f>SUM(AM15:AM18)</f>
        <v/>
      </c>
      <c r="AN19" s="12">
        <f>SUM(AN15:AN18)</f>
        <v/>
      </c>
      <c r="AO19" s="12">
        <f>SUM(AO15:AO18)</f>
        <v/>
      </c>
      <c r="AP19" s="12">
        <f>SUM(AP15:AP18)</f>
        <v/>
      </c>
      <c r="AQ19" s="12">
        <f>SUM(AQ15:AQ18)</f>
        <v/>
      </c>
      <c r="AR19" s="12">
        <f>SUM(AR15:AR18)</f>
        <v/>
      </c>
    </row>
    <row r="20">
      <c r="A20" s="6" t="inlineStr">
        <is>
          <t>Recruitment cost</t>
        </is>
      </c>
      <c r="B20" s="8" t="inlineStr">
        <is>
          <t>M VND</t>
        </is>
      </c>
      <c r="C20" s="13">
        <f>C12*30*12*recruit_cost_pct</f>
        <v/>
      </c>
      <c r="D20" s="13">
        <f>D12*30*12*recruit_cost_pct</f>
        <v/>
      </c>
      <c r="E20" s="13">
        <f>E12*30*12*recruit_cost_pct</f>
        <v/>
      </c>
      <c r="F20" s="13">
        <f>F12*30*12*recruit_cost_pct</f>
        <v/>
      </c>
      <c r="G20" s="13">
        <f>G12*30*12*recruit_cost_pct</f>
        <v/>
      </c>
      <c r="H20" s="13">
        <f>H12*30*12*recruit_cost_pct</f>
        <v/>
      </c>
      <c r="I20" s="13">
        <f>I12*30*12*recruit_cost_pct</f>
        <v/>
      </c>
      <c r="J20" s="13">
        <f>J12*30*12*recruit_cost_pct</f>
        <v/>
      </c>
      <c r="K20" s="13">
        <f>K12*30*12*recruit_cost_pct</f>
        <v/>
      </c>
      <c r="L20" s="13">
        <f>L12*30*12*recruit_cost_pct</f>
        <v/>
      </c>
      <c r="M20" s="13">
        <f>M12*30*12*recruit_cost_pct</f>
        <v/>
      </c>
      <c r="N20" s="13">
        <f>N12*30*12*recruit_cost_pct</f>
        <v/>
      </c>
      <c r="O20" s="13">
        <f>O12*30*12*recruit_cost_pct</f>
        <v/>
      </c>
      <c r="P20" s="13">
        <f>P12*30*12*recruit_cost_pct</f>
        <v/>
      </c>
      <c r="Q20" s="13">
        <f>Q12*30*12*recruit_cost_pct</f>
        <v/>
      </c>
      <c r="R20" s="13">
        <f>R12*30*12*recruit_cost_pct</f>
        <v/>
      </c>
      <c r="S20" s="13">
        <f>S12*30*12*recruit_cost_pct</f>
        <v/>
      </c>
      <c r="T20" s="13">
        <f>T12*30*12*recruit_cost_pct</f>
        <v/>
      </c>
      <c r="U20" s="13">
        <f>U12*30*12*recruit_cost_pct</f>
        <v/>
      </c>
      <c r="V20" s="13">
        <f>V12*30*12*recruit_cost_pct</f>
        <v/>
      </c>
      <c r="W20" s="13">
        <f>W12*30*12*recruit_cost_pct</f>
        <v/>
      </c>
      <c r="X20" s="13">
        <f>X12*30*12*recruit_cost_pct</f>
        <v/>
      </c>
      <c r="Y20" s="13">
        <f>Y12*30*12*recruit_cost_pct</f>
        <v/>
      </c>
      <c r="Z20" s="13">
        <f>Z12*30*12*recruit_cost_pct</f>
        <v/>
      </c>
      <c r="AA20" s="13">
        <f>AA12*30*12*recruit_cost_pct</f>
        <v/>
      </c>
      <c r="AB20" s="13">
        <f>AB12*30*12*recruit_cost_pct</f>
        <v/>
      </c>
      <c r="AC20" s="13">
        <f>AC12*30*12*recruit_cost_pct</f>
        <v/>
      </c>
      <c r="AD20" s="13">
        <f>AD12*30*12*recruit_cost_pct</f>
        <v/>
      </c>
      <c r="AE20" s="13">
        <f>AE12*30*12*recruit_cost_pct</f>
        <v/>
      </c>
      <c r="AF20" s="13">
        <f>AF12*30*12*recruit_cost_pct</f>
        <v/>
      </c>
      <c r="AG20" s="13">
        <f>AG12*30*12*recruit_cost_pct</f>
        <v/>
      </c>
      <c r="AH20" s="13">
        <f>AH12*30*12*recruit_cost_pct</f>
        <v/>
      </c>
      <c r="AI20" s="13">
        <f>AI12*30*12*recruit_cost_pct</f>
        <v/>
      </c>
      <c r="AJ20" s="13">
        <f>AJ12*30*12*recruit_cost_pct</f>
        <v/>
      </c>
      <c r="AK20" s="13">
        <f>AK12*30*12*recruit_cost_pct</f>
        <v/>
      </c>
      <c r="AL20" s="13">
        <f>AL12*30*12*recruit_cost_pct</f>
        <v/>
      </c>
      <c r="AM20" s="13">
        <f>AM12*30*12*recruit_cost_pct</f>
        <v/>
      </c>
      <c r="AN20" s="13">
        <f>AN12*30*12*recruit_cost_pct</f>
        <v/>
      </c>
      <c r="AO20" s="13">
        <f>AO12*30*12*recruit_cost_pct</f>
        <v/>
      </c>
      <c r="AP20" s="13">
        <f>AP12*30*12*recruit_cost_pct</f>
        <v/>
      </c>
      <c r="AQ20" s="13">
        <f>AQ12*30*12*recruit_cost_pct</f>
        <v/>
      </c>
      <c r="AR20" s="13">
        <f>AR12*30*12*recruit_cost_pct</f>
        <v/>
      </c>
    </row>
    <row r="21">
      <c r="A21" s="6" t="inlineStr">
        <is>
          <t>TOTAL HR COST</t>
        </is>
      </c>
      <c r="B21" s="15" t="inlineStr">
        <is>
          <t>M VND</t>
        </is>
      </c>
      <c r="C21" s="12">
        <f>C19+C20</f>
        <v/>
      </c>
      <c r="D21" s="12">
        <f>D19+D20</f>
        <v/>
      </c>
      <c r="E21" s="12">
        <f>E19+E20</f>
        <v/>
      </c>
      <c r="F21" s="12">
        <f>F19+F20</f>
        <v/>
      </c>
      <c r="G21" s="12">
        <f>G19+G20</f>
        <v/>
      </c>
      <c r="H21" s="12">
        <f>H19+H20</f>
        <v/>
      </c>
      <c r="I21" s="12">
        <f>I19+I20</f>
        <v/>
      </c>
      <c r="J21" s="12">
        <f>J19+J20</f>
        <v/>
      </c>
      <c r="K21" s="12">
        <f>K19+K20</f>
        <v/>
      </c>
      <c r="L21" s="12">
        <f>L19+L20</f>
        <v/>
      </c>
      <c r="M21" s="12">
        <f>M19+M20</f>
        <v/>
      </c>
      <c r="N21" s="12">
        <f>N19+N20</f>
        <v/>
      </c>
      <c r="O21" s="12">
        <f>O19+O20</f>
        <v/>
      </c>
      <c r="P21" s="12">
        <f>P19+P20</f>
        <v/>
      </c>
      <c r="Q21" s="12">
        <f>Q19+Q20</f>
        <v/>
      </c>
      <c r="R21" s="12">
        <f>R19+R20</f>
        <v/>
      </c>
      <c r="S21" s="12">
        <f>S19+S20</f>
        <v/>
      </c>
      <c r="T21" s="12">
        <f>T19+T20</f>
        <v/>
      </c>
      <c r="U21" s="12">
        <f>U19+U20</f>
        <v/>
      </c>
      <c r="V21" s="12">
        <f>V19+V20</f>
        <v/>
      </c>
      <c r="W21" s="12">
        <f>W19+W20</f>
        <v/>
      </c>
      <c r="X21" s="12">
        <f>X19+X20</f>
        <v/>
      </c>
      <c r="Y21" s="12">
        <f>Y19+Y20</f>
        <v/>
      </c>
      <c r="Z21" s="12">
        <f>Z19+Z20</f>
        <v/>
      </c>
      <c r="AA21" s="12">
        <f>AA19+AA20</f>
        <v/>
      </c>
      <c r="AB21" s="12">
        <f>AB19+AB20</f>
        <v/>
      </c>
      <c r="AC21" s="12">
        <f>AC19+AC20</f>
        <v/>
      </c>
      <c r="AD21" s="12">
        <f>AD19+AD20</f>
        <v/>
      </c>
      <c r="AE21" s="12">
        <f>AE19+AE20</f>
        <v/>
      </c>
      <c r="AF21" s="12">
        <f>AF19+AF20</f>
        <v/>
      </c>
      <c r="AG21" s="12">
        <f>AG19+AG20</f>
        <v/>
      </c>
      <c r="AH21" s="12">
        <f>AH19+AH20</f>
        <v/>
      </c>
      <c r="AI21" s="12">
        <f>AI19+AI20</f>
        <v/>
      </c>
      <c r="AJ21" s="12">
        <f>AJ19+AJ20</f>
        <v/>
      </c>
      <c r="AK21" s="12">
        <f>AK19+AK20</f>
        <v/>
      </c>
      <c r="AL21" s="12">
        <f>AL19+AL20</f>
        <v/>
      </c>
      <c r="AM21" s="12">
        <f>AM19+AM20</f>
        <v/>
      </c>
      <c r="AN21" s="12">
        <f>AN19+AN20</f>
        <v/>
      </c>
      <c r="AO21" s="12">
        <f>AO19+AO20</f>
        <v/>
      </c>
      <c r="AP21" s="12">
        <f>AP19+AP20</f>
        <v/>
      </c>
      <c r="AQ21" s="12">
        <f>AQ19+AQ20</f>
        <v/>
      </c>
      <c r="AR21" s="12">
        <f>AR19+AR20</f>
        <v/>
      </c>
    </row>
  </sheetData>
  <mergeCells count="4">
    <mergeCell ref="A4:B4"/>
    <mergeCell ref="A14:B14"/>
    <mergeCell ref="A11:B1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MARKET SIZING &amp; ADOPTION</t>
        </is>
      </c>
    </row>
    <row r="2">
      <c r="A2" s="6" t="inlineStr">
        <is>
          <t>Period index (0-based)</t>
        </is>
      </c>
      <c r="B2" s="8" t="inlineStr">
        <is>
          <t>idx</t>
        </is>
      </c>
      <c r="C2" s="13" t="n">
        <v>0</v>
      </c>
      <c r="D2" s="13" t="n">
        <v>1</v>
      </c>
      <c r="E2" s="13" t="n">
        <v>2</v>
      </c>
      <c r="F2" s="13" t="n">
        <v>3</v>
      </c>
      <c r="G2" s="13" t="n">
        <v>4</v>
      </c>
      <c r="H2" s="13" t="n">
        <v>5</v>
      </c>
      <c r="I2" s="13" t="n">
        <v>6</v>
      </c>
      <c r="J2" s="13" t="n">
        <v>7</v>
      </c>
      <c r="K2" s="13" t="n">
        <v>8</v>
      </c>
      <c r="L2" s="13" t="n">
        <v>9</v>
      </c>
      <c r="M2" s="13" t="n">
        <v>10</v>
      </c>
      <c r="N2" s="13" t="n">
        <v>11</v>
      </c>
      <c r="O2" s="13" t="n">
        <v>12</v>
      </c>
      <c r="P2" s="13" t="n">
        <v>13</v>
      </c>
      <c r="Q2" s="13" t="n">
        <v>14</v>
      </c>
      <c r="R2" s="13" t="n">
        <v>15</v>
      </c>
      <c r="S2" s="13" t="n">
        <v>16</v>
      </c>
      <c r="T2" s="13" t="n">
        <v>17</v>
      </c>
      <c r="U2" s="13" t="n">
        <v>18</v>
      </c>
      <c r="V2" s="13" t="n">
        <v>19</v>
      </c>
      <c r="W2" s="13" t="n">
        <v>20</v>
      </c>
      <c r="X2" s="13" t="n">
        <v>21</v>
      </c>
      <c r="Y2" s="13" t="n">
        <v>22</v>
      </c>
      <c r="Z2" s="13" t="n">
        <v>23</v>
      </c>
      <c r="AA2" s="13" t="n">
        <v>24</v>
      </c>
      <c r="AB2" s="13" t="n">
        <v>25</v>
      </c>
      <c r="AC2" s="13" t="n">
        <v>26</v>
      </c>
      <c r="AD2" s="13" t="n">
        <v>27</v>
      </c>
      <c r="AE2" s="13" t="n">
        <v>28</v>
      </c>
      <c r="AF2" s="13" t="n">
        <v>29</v>
      </c>
      <c r="AG2" s="13" t="n">
        <v>30</v>
      </c>
      <c r="AH2" s="13" t="n">
        <v>31</v>
      </c>
      <c r="AI2" s="13" t="n">
        <v>32</v>
      </c>
      <c r="AJ2" s="13" t="n">
        <v>33</v>
      </c>
      <c r="AK2" s="13" t="n">
        <v>34</v>
      </c>
      <c r="AL2" s="13" t="n">
        <v>35</v>
      </c>
      <c r="AM2" s="13" t="n">
        <v>36</v>
      </c>
      <c r="AN2" s="13" t="n">
        <v>37</v>
      </c>
      <c r="AO2" s="13" t="n">
        <v>38</v>
      </c>
      <c r="AP2" s="13" t="n">
        <v>39</v>
      </c>
      <c r="AQ2" s="13" t="n">
        <v>40</v>
      </c>
      <c r="AR2" s="13" t="n">
        <v>41</v>
      </c>
    </row>
    <row r="3">
      <c r="A3" s="6" t="inlineStr">
        <is>
          <t>Year fraction (from formula)</t>
        </is>
      </c>
      <c r="B3" s="8" t="inlineStr">
        <is>
          <t>year</t>
        </is>
      </c>
      <c r="C3" s="16">
        <f>base_year+(start_month-1+C2)/12</f>
        <v/>
      </c>
      <c r="D3" s="16">
        <f>base_year+(start_month-1+D2)/12</f>
        <v/>
      </c>
      <c r="E3" s="16">
        <f>base_year+(start_month-1+E2)/12</f>
        <v/>
      </c>
      <c r="F3" s="16">
        <f>base_year+(start_month-1+F2)/12</f>
        <v/>
      </c>
      <c r="G3" s="16">
        <f>base_year+(start_month-1+G2)/12</f>
        <v/>
      </c>
      <c r="H3" s="16">
        <f>base_year+(start_month-1+H2)/12</f>
        <v/>
      </c>
      <c r="I3" s="16">
        <f>base_year+(start_month-1+I2)/12</f>
        <v/>
      </c>
      <c r="J3" s="16">
        <f>base_year+(start_month-1+J2)/12</f>
        <v/>
      </c>
      <c r="K3" s="16">
        <f>base_year+(start_month-1+K2)/12</f>
        <v/>
      </c>
      <c r="L3" s="16">
        <f>base_year+(start_month-1+L2)/12</f>
        <v/>
      </c>
      <c r="M3" s="16">
        <f>base_year+(start_month-1+M2)/12</f>
        <v/>
      </c>
      <c r="N3" s="16">
        <f>base_year+(start_month-1+N2)/12</f>
        <v/>
      </c>
      <c r="O3" s="16">
        <f>base_year+(start_month-1+O2)/12</f>
        <v/>
      </c>
      <c r="P3" s="16">
        <f>base_year+(start_month-1+P2)/12</f>
        <v/>
      </c>
      <c r="Q3" s="16">
        <f>base_year+(start_month-1+Q2)/12</f>
        <v/>
      </c>
      <c r="R3" s="16">
        <f>base_year+(start_month-1+R2)/12</f>
        <v/>
      </c>
      <c r="S3" s="16">
        <f>base_year+(start_month-1+S2)/12</f>
        <v/>
      </c>
      <c r="T3" s="16">
        <f>base_year+(start_month-1+T2)/12</f>
        <v/>
      </c>
      <c r="U3" s="16">
        <f>base_year+(start_month-1+U2)/12</f>
        <v/>
      </c>
      <c r="V3" s="16">
        <f>base_year+(start_month-1+V2)/12</f>
        <v/>
      </c>
      <c r="W3" s="16">
        <f>base_year+(start_month-1+W2)/12</f>
        <v/>
      </c>
      <c r="X3" s="16">
        <f>base_year+(start_month-1+X2)/12</f>
        <v/>
      </c>
      <c r="Y3" s="16">
        <f>base_year+(start_month-1+Y2)/12</f>
        <v/>
      </c>
      <c r="Z3" s="16">
        <f>base_year+(start_month-1+Z2)/12</f>
        <v/>
      </c>
      <c r="AA3" s="16">
        <f>base_year+(start_month-1+AA2)/12</f>
        <v/>
      </c>
      <c r="AB3" s="16">
        <f>base_year+(start_month-1+AB2)/12</f>
        <v/>
      </c>
      <c r="AC3" s="16">
        <f>base_year+(start_month-1+AC2)/12</f>
        <v/>
      </c>
      <c r="AD3" s="16">
        <f>base_year+(start_month-1+AD2)/12</f>
        <v/>
      </c>
      <c r="AE3" s="16">
        <f>base_year+(start_month-1+AE2)/12</f>
        <v/>
      </c>
      <c r="AF3" s="16">
        <f>base_year+(start_month-1+AF2)/12</f>
        <v/>
      </c>
      <c r="AG3" s="16">
        <f>2028+(1-0.5)/12</f>
        <v/>
      </c>
      <c r="AH3" s="16">
        <f>2028+(4-0.5)/12</f>
        <v/>
      </c>
      <c r="AI3" s="16">
        <f>2028+(7-0.5)/12</f>
        <v/>
      </c>
      <c r="AJ3" s="16">
        <f>2028+(10-0.5)/12</f>
        <v/>
      </c>
      <c r="AK3" s="16">
        <f>2028+(13-0.5)/12</f>
        <v/>
      </c>
      <c r="AL3" s="16">
        <f>2028+(16-0.5)/12</f>
        <v/>
      </c>
      <c r="AM3" s="16">
        <f>2028+(19-0.5)/12</f>
        <v/>
      </c>
      <c r="AN3" s="16">
        <f>2028+(22-0.5)/12</f>
        <v/>
      </c>
      <c r="AO3" s="16">
        <f>2028+(25-0.5)/12</f>
        <v/>
      </c>
      <c r="AP3" s="16">
        <f>2028+(28-0.5)/12</f>
        <v/>
      </c>
      <c r="AQ3" s="16">
        <f>2028+(31-0.5)/12</f>
        <v/>
      </c>
      <c r="AR3" s="16">
        <f>2028+(34-0.5)/12</f>
        <v/>
      </c>
    </row>
    <row r="4">
      <c r="A4" s="6" t="inlineStr">
        <is>
          <t>Years from base year</t>
        </is>
      </c>
      <c r="B4" s="8" t="inlineStr">
        <is>
          <t>years</t>
        </is>
      </c>
      <c r="C4" s="16">
        <f>C3-base_year</f>
        <v/>
      </c>
      <c r="D4" s="16">
        <f>D3-base_year</f>
        <v/>
      </c>
      <c r="E4" s="16">
        <f>E3-base_year</f>
        <v/>
      </c>
      <c r="F4" s="16">
        <f>F3-base_year</f>
        <v/>
      </c>
      <c r="G4" s="16">
        <f>G3-base_year</f>
        <v/>
      </c>
      <c r="H4" s="16">
        <f>H3-base_year</f>
        <v/>
      </c>
      <c r="I4" s="16">
        <f>I3-base_year</f>
        <v/>
      </c>
      <c r="J4" s="16">
        <f>J3-base_year</f>
        <v/>
      </c>
      <c r="K4" s="16">
        <f>K3-base_year</f>
        <v/>
      </c>
      <c r="L4" s="16">
        <f>L3-base_year</f>
        <v/>
      </c>
      <c r="M4" s="16">
        <f>M3-base_year</f>
        <v/>
      </c>
      <c r="N4" s="16">
        <f>N3-base_year</f>
        <v/>
      </c>
      <c r="O4" s="16">
        <f>O3-base_year</f>
        <v/>
      </c>
      <c r="P4" s="16">
        <f>P3-base_year</f>
        <v/>
      </c>
      <c r="Q4" s="16">
        <f>Q3-base_year</f>
        <v/>
      </c>
      <c r="R4" s="16">
        <f>R3-base_year</f>
        <v/>
      </c>
      <c r="S4" s="16">
        <f>S3-base_year</f>
        <v/>
      </c>
      <c r="T4" s="16">
        <f>T3-base_year</f>
        <v/>
      </c>
      <c r="U4" s="16">
        <f>U3-base_year</f>
        <v/>
      </c>
      <c r="V4" s="16">
        <f>V3-base_year</f>
        <v/>
      </c>
      <c r="W4" s="16">
        <f>W3-base_year</f>
        <v/>
      </c>
      <c r="X4" s="16">
        <f>X3-base_year</f>
        <v/>
      </c>
      <c r="Y4" s="16">
        <f>Y3-base_year</f>
        <v/>
      </c>
      <c r="Z4" s="16">
        <f>Z3-base_year</f>
        <v/>
      </c>
      <c r="AA4" s="16">
        <f>AA3-base_year</f>
        <v/>
      </c>
      <c r="AB4" s="16">
        <f>AB3-base_year</f>
        <v/>
      </c>
      <c r="AC4" s="16">
        <f>AC3-base_year</f>
        <v/>
      </c>
      <c r="AD4" s="16">
        <f>AD3-base_year</f>
        <v/>
      </c>
      <c r="AE4" s="16">
        <f>AE3-base_year</f>
        <v/>
      </c>
      <c r="AF4" s="16">
        <f>AF3-base_year</f>
        <v/>
      </c>
      <c r="AG4" s="16">
        <f>AG3-base_year</f>
        <v/>
      </c>
      <c r="AH4" s="16">
        <f>AH3-base_year</f>
        <v/>
      </c>
      <c r="AI4" s="16">
        <f>AI3-base_year</f>
        <v/>
      </c>
      <c r="AJ4" s="16">
        <f>AJ3-base_year</f>
        <v/>
      </c>
      <c r="AK4" s="16">
        <f>AK3-base_year</f>
        <v/>
      </c>
      <c r="AL4" s="16">
        <f>AL3-base_year</f>
        <v/>
      </c>
      <c r="AM4" s="16">
        <f>AM3-base_year</f>
        <v/>
      </c>
      <c r="AN4" s="16">
        <f>AN3-base_year</f>
        <v/>
      </c>
      <c r="AO4" s="16">
        <f>AO3-base_year</f>
        <v/>
      </c>
      <c r="AP4" s="16">
        <f>AP3-base_year</f>
        <v/>
      </c>
      <c r="AQ4" s="16">
        <f>AQ3-base_year</f>
        <v/>
      </c>
      <c r="AR4" s="16">
        <f>AR3-base_year</f>
        <v/>
      </c>
    </row>
    <row r="5">
      <c r="A5" s="6" t="inlineStr">
        <is>
          <t>Period divisor</t>
        </is>
      </c>
      <c r="B5" s="8" t="inlineStr">
        <is>
          <t>div</t>
        </is>
      </c>
      <c r="C5" s="13" t="n">
        <v>12</v>
      </c>
      <c r="D5" s="13" t="n">
        <v>12</v>
      </c>
      <c r="E5" s="13" t="n">
        <v>12</v>
      </c>
      <c r="F5" s="13" t="n">
        <v>12</v>
      </c>
      <c r="G5" s="13" t="n">
        <v>12</v>
      </c>
      <c r="H5" s="13" t="n">
        <v>12</v>
      </c>
      <c r="I5" s="13" t="n">
        <v>12</v>
      </c>
      <c r="J5" s="13" t="n">
        <v>12</v>
      </c>
      <c r="K5" s="13" t="n">
        <v>12</v>
      </c>
      <c r="L5" s="13" t="n">
        <v>12</v>
      </c>
      <c r="M5" s="13" t="n">
        <v>12</v>
      </c>
      <c r="N5" s="13" t="n">
        <v>12</v>
      </c>
      <c r="O5" s="13" t="n">
        <v>12</v>
      </c>
      <c r="P5" s="13" t="n">
        <v>12</v>
      </c>
      <c r="Q5" s="13" t="n">
        <v>12</v>
      </c>
      <c r="R5" s="13" t="n">
        <v>12</v>
      </c>
      <c r="S5" s="13" t="n">
        <v>12</v>
      </c>
      <c r="T5" s="13" t="n">
        <v>12</v>
      </c>
      <c r="U5" s="13" t="n">
        <v>12</v>
      </c>
      <c r="V5" s="13" t="n">
        <v>12</v>
      </c>
      <c r="W5" s="13" t="n">
        <v>12</v>
      </c>
      <c r="X5" s="13" t="n">
        <v>12</v>
      </c>
      <c r="Y5" s="13" t="n">
        <v>12</v>
      </c>
      <c r="Z5" s="13" t="n">
        <v>12</v>
      </c>
      <c r="AA5" s="13" t="n">
        <v>12</v>
      </c>
      <c r="AB5" s="13" t="n">
        <v>12</v>
      </c>
      <c r="AC5" s="13" t="n">
        <v>12</v>
      </c>
      <c r="AD5" s="13" t="n">
        <v>12</v>
      </c>
      <c r="AE5" s="13" t="n">
        <v>12</v>
      </c>
      <c r="AF5" s="13" t="n">
        <v>12</v>
      </c>
      <c r="AG5" s="13" t="n">
        <v>4</v>
      </c>
      <c r="AH5" s="13" t="n">
        <v>4</v>
      </c>
      <c r="AI5" s="13" t="n">
        <v>4</v>
      </c>
      <c r="AJ5" s="13" t="n">
        <v>4</v>
      </c>
      <c r="AK5" s="13" t="n">
        <v>4</v>
      </c>
      <c r="AL5" s="13" t="n">
        <v>4</v>
      </c>
      <c r="AM5" s="13" t="n">
        <v>4</v>
      </c>
      <c r="AN5" s="13" t="n">
        <v>4</v>
      </c>
      <c r="AO5" s="13" t="n">
        <v>4</v>
      </c>
      <c r="AP5" s="13" t="n">
        <v>4</v>
      </c>
      <c r="AQ5" s="13" t="n">
        <v>4</v>
      </c>
      <c r="AR5" s="13" t="n">
        <v>4</v>
      </c>
    </row>
    <row r="6">
      <c r="A6" s="6" t="inlineStr">
        <is>
          <t>Months in period</t>
        </is>
      </c>
      <c r="B6" s="8" t="inlineStr">
        <is>
          <t>months</t>
        </is>
      </c>
      <c r="C6" s="13" t="n">
        <v>1</v>
      </c>
      <c r="D6" s="13" t="n">
        <v>1</v>
      </c>
      <c r="E6" s="13" t="n">
        <v>1</v>
      </c>
      <c r="F6" s="13" t="n">
        <v>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  <c r="L6" s="13" t="n">
        <v>1</v>
      </c>
      <c r="M6" s="13" t="n">
        <v>1</v>
      </c>
      <c r="N6" s="13" t="n">
        <v>1</v>
      </c>
      <c r="O6" s="13" t="n">
        <v>1</v>
      </c>
      <c r="P6" s="13" t="n">
        <v>1</v>
      </c>
      <c r="Q6" s="13" t="n">
        <v>1</v>
      </c>
      <c r="R6" s="13" t="n">
        <v>1</v>
      </c>
      <c r="S6" s="13" t="n">
        <v>1</v>
      </c>
      <c r="T6" s="13" t="n">
        <v>1</v>
      </c>
      <c r="U6" s="13" t="n">
        <v>1</v>
      </c>
      <c r="V6" s="13" t="n">
        <v>1</v>
      </c>
      <c r="W6" s="13" t="n">
        <v>1</v>
      </c>
      <c r="X6" s="13" t="n">
        <v>1</v>
      </c>
      <c r="Y6" s="13" t="n">
        <v>1</v>
      </c>
      <c r="Z6" s="13" t="n">
        <v>1</v>
      </c>
      <c r="AA6" s="13" t="n">
        <v>1</v>
      </c>
      <c r="AB6" s="13" t="n">
        <v>1</v>
      </c>
      <c r="AC6" s="13" t="n">
        <v>1</v>
      </c>
      <c r="AD6" s="13" t="n">
        <v>1</v>
      </c>
      <c r="AE6" s="13" t="n">
        <v>1</v>
      </c>
      <c r="AF6" s="13" t="n">
        <v>1</v>
      </c>
      <c r="AG6" s="13" t="n">
        <v>3</v>
      </c>
      <c r="AH6" s="13" t="n">
        <v>3</v>
      </c>
      <c r="AI6" s="13" t="n">
        <v>3</v>
      </c>
      <c r="AJ6" s="13" t="n">
        <v>3</v>
      </c>
      <c r="AK6" s="13" t="n">
        <v>3</v>
      </c>
      <c r="AL6" s="13" t="n">
        <v>3</v>
      </c>
      <c r="AM6" s="13" t="n">
        <v>3</v>
      </c>
      <c r="AN6" s="13" t="n">
        <v>3</v>
      </c>
      <c r="AO6" s="13" t="n">
        <v>3</v>
      </c>
      <c r="AP6" s="13" t="n">
        <v>3</v>
      </c>
      <c r="AQ6" s="13" t="n">
        <v>3</v>
      </c>
      <c r="AR6" s="13" t="n">
        <v>3</v>
      </c>
    </row>
    <row r="8">
      <c r="A8" s="5" t="inlineStr">
        <is>
          <t>Item</t>
        </is>
      </c>
      <c r="B8" s="5" t="inlineStr">
        <is>
          <t>Unit</t>
        </is>
      </c>
      <c r="C8" s="5" t="inlineStr">
        <is>
          <t>Jul 2025</t>
        </is>
      </c>
      <c r="D8" s="5" t="inlineStr">
        <is>
          <t>Aug 2025</t>
        </is>
      </c>
      <c r="E8" s="5" t="inlineStr">
        <is>
          <t>Sep 2025</t>
        </is>
      </c>
      <c r="F8" s="5" t="inlineStr">
        <is>
          <t>Oct 2025</t>
        </is>
      </c>
      <c r="G8" s="5" t="inlineStr">
        <is>
          <t>Nov 2025</t>
        </is>
      </c>
      <c r="H8" s="5" t="inlineStr">
        <is>
          <t>Dec 2025</t>
        </is>
      </c>
      <c r="I8" s="5" t="inlineStr">
        <is>
          <t>Jan 2026</t>
        </is>
      </c>
      <c r="J8" s="5" t="inlineStr">
        <is>
          <t>Feb 2026</t>
        </is>
      </c>
      <c r="K8" s="5" t="inlineStr">
        <is>
          <t>Mar 2026</t>
        </is>
      </c>
      <c r="L8" s="5" t="inlineStr">
        <is>
          <t>Apr 2026</t>
        </is>
      </c>
      <c r="M8" s="5" t="inlineStr">
        <is>
          <t>May 2026</t>
        </is>
      </c>
      <c r="N8" s="5" t="inlineStr">
        <is>
          <t>Jun 2026</t>
        </is>
      </c>
      <c r="O8" s="5" t="inlineStr">
        <is>
          <t>Jul 2026</t>
        </is>
      </c>
      <c r="P8" s="5" t="inlineStr">
        <is>
          <t>Aug 2026</t>
        </is>
      </c>
      <c r="Q8" s="5" t="inlineStr">
        <is>
          <t>Sep 2026</t>
        </is>
      </c>
      <c r="R8" s="5" t="inlineStr">
        <is>
          <t>Oct 2026</t>
        </is>
      </c>
      <c r="S8" s="5" t="inlineStr">
        <is>
          <t>Nov 2026</t>
        </is>
      </c>
      <c r="T8" s="5" t="inlineStr">
        <is>
          <t>Dec 2026</t>
        </is>
      </c>
      <c r="U8" s="5" t="inlineStr">
        <is>
          <t>Jan 2027</t>
        </is>
      </c>
      <c r="V8" s="5" t="inlineStr">
        <is>
          <t>Feb 2027</t>
        </is>
      </c>
      <c r="W8" s="5" t="inlineStr">
        <is>
          <t>Mar 2027</t>
        </is>
      </c>
      <c r="X8" s="5" t="inlineStr">
        <is>
          <t>Apr 2027</t>
        </is>
      </c>
      <c r="Y8" s="5" t="inlineStr">
        <is>
          <t>May 2027</t>
        </is>
      </c>
      <c r="Z8" s="5" t="inlineStr">
        <is>
          <t>Jun 2027</t>
        </is>
      </c>
      <c r="AA8" s="5" t="inlineStr">
        <is>
          <t>Jul 2027</t>
        </is>
      </c>
      <c r="AB8" s="5" t="inlineStr">
        <is>
          <t>Aug 2027</t>
        </is>
      </c>
      <c r="AC8" s="5" t="inlineStr">
        <is>
          <t>Sep 2027</t>
        </is>
      </c>
      <c r="AD8" s="5" t="inlineStr">
        <is>
          <t>Oct 2027</t>
        </is>
      </c>
      <c r="AE8" s="5" t="inlineStr">
        <is>
          <t>Nov 2027</t>
        </is>
      </c>
      <c r="AF8" s="5" t="inlineStr">
        <is>
          <t>Dec 2027</t>
        </is>
      </c>
      <c r="AG8" s="5" t="inlineStr">
        <is>
          <t>Q1 2028</t>
        </is>
      </c>
      <c r="AH8" s="5" t="inlineStr">
        <is>
          <t>Q2 2028</t>
        </is>
      </c>
      <c r="AI8" s="5" t="inlineStr">
        <is>
          <t>Q3 2028</t>
        </is>
      </c>
      <c r="AJ8" s="5" t="inlineStr">
        <is>
          <t>Q4 2028</t>
        </is>
      </c>
      <c r="AK8" s="5" t="inlineStr">
        <is>
          <t>Q1 2029</t>
        </is>
      </c>
      <c r="AL8" s="5" t="inlineStr">
        <is>
          <t>Q2 2029</t>
        </is>
      </c>
      <c r="AM8" s="5" t="inlineStr">
        <is>
          <t>Q3 2029</t>
        </is>
      </c>
      <c r="AN8" s="5" t="inlineStr">
        <is>
          <t>Q4 2029</t>
        </is>
      </c>
      <c r="AO8" s="5" t="inlineStr">
        <is>
          <t>Q1 2030</t>
        </is>
      </c>
      <c r="AP8" s="5" t="inlineStr">
        <is>
          <t>Q2 2030</t>
        </is>
      </c>
      <c r="AQ8" s="5" t="inlineStr">
        <is>
          <t>Q3 2030</t>
        </is>
      </c>
      <c r="AR8" s="5" t="inlineStr">
        <is>
          <t>Q4 2030</t>
        </is>
      </c>
    </row>
    <row r="9">
      <c r="A9" s="6" t="inlineStr">
        <is>
          <t>E-commerce tourism market</t>
        </is>
      </c>
      <c r="B9" s="8" t="inlineStr">
        <is>
          <t>Bn VND</t>
        </is>
      </c>
      <c r="C9" s="17">
        <f>ecom_market_base*(1+ecom_growth_rate)^FLOOR(C4,1)/C5</f>
        <v/>
      </c>
      <c r="D9" s="17">
        <f>ecom_market_base*(1+ecom_growth_rate)^FLOOR(D4,1)/D5</f>
        <v/>
      </c>
      <c r="E9" s="17">
        <f>ecom_market_base*(1+ecom_growth_rate)^FLOOR(E4,1)/E5</f>
        <v/>
      </c>
      <c r="F9" s="17">
        <f>ecom_market_base*(1+ecom_growth_rate)^FLOOR(F4,1)/F5</f>
        <v/>
      </c>
      <c r="G9" s="17">
        <f>ecom_market_base*(1+ecom_growth_rate)^FLOOR(G4,1)/G5</f>
        <v/>
      </c>
      <c r="H9" s="17">
        <f>ecom_market_base*(1+ecom_growth_rate)^FLOOR(H4,1)/H5</f>
        <v/>
      </c>
      <c r="I9" s="17">
        <f>ecom_market_base*(1+ecom_growth_rate)^FLOOR(I4,1)/I5</f>
        <v/>
      </c>
      <c r="J9" s="17">
        <f>ecom_market_base*(1+ecom_growth_rate)^FLOOR(J4,1)/J5</f>
        <v/>
      </c>
      <c r="K9" s="17">
        <f>ecom_market_base*(1+ecom_growth_rate)^FLOOR(K4,1)/K5</f>
        <v/>
      </c>
      <c r="L9" s="17">
        <f>ecom_market_base*(1+ecom_growth_rate)^FLOOR(L4,1)/L5</f>
        <v/>
      </c>
      <c r="M9" s="17">
        <f>ecom_market_base*(1+ecom_growth_rate)^FLOOR(M4,1)/M5</f>
        <v/>
      </c>
      <c r="N9" s="17">
        <f>ecom_market_base*(1+ecom_growth_rate)^FLOOR(N4,1)/N5</f>
        <v/>
      </c>
      <c r="O9" s="17">
        <f>ecom_market_base*(1+ecom_growth_rate)^FLOOR(O4,1)/O5</f>
        <v/>
      </c>
      <c r="P9" s="17">
        <f>ecom_market_base*(1+ecom_growth_rate)^FLOOR(P4,1)/P5</f>
        <v/>
      </c>
      <c r="Q9" s="17">
        <f>ecom_market_base*(1+ecom_growth_rate)^FLOOR(Q4,1)/Q5</f>
        <v/>
      </c>
      <c r="R9" s="17">
        <f>ecom_market_base*(1+ecom_growth_rate)^FLOOR(R4,1)/R5</f>
        <v/>
      </c>
      <c r="S9" s="17">
        <f>ecom_market_base*(1+ecom_growth_rate)^FLOOR(S4,1)/S5</f>
        <v/>
      </c>
      <c r="T9" s="17">
        <f>ecom_market_base*(1+ecom_growth_rate)^FLOOR(T4,1)/T5</f>
        <v/>
      </c>
      <c r="U9" s="17">
        <f>ecom_market_base*(1+ecom_growth_rate)^FLOOR(U4,1)/U5</f>
        <v/>
      </c>
      <c r="V9" s="17">
        <f>ecom_market_base*(1+ecom_growth_rate)^FLOOR(V4,1)/V5</f>
        <v/>
      </c>
      <c r="W9" s="17">
        <f>ecom_market_base*(1+ecom_growth_rate)^FLOOR(W4,1)/W5</f>
        <v/>
      </c>
      <c r="X9" s="17">
        <f>ecom_market_base*(1+ecom_growth_rate)^FLOOR(X4,1)/X5</f>
        <v/>
      </c>
      <c r="Y9" s="17">
        <f>ecom_market_base*(1+ecom_growth_rate)^FLOOR(Y4,1)/Y5</f>
        <v/>
      </c>
      <c r="Z9" s="17">
        <f>ecom_market_base*(1+ecom_growth_rate)^FLOOR(Z4,1)/Z5</f>
        <v/>
      </c>
      <c r="AA9" s="17">
        <f>ecom_market_base*(1+ecom_growth_rate)^FLOOR(AA4,1)/AA5</f>
        <v/>
      </c>
      <c r="AB9" s="17">
        <f>ecom_market_base*(1+ecom_growth_rate)^FLOOR(AB4,1)/AB5</f>
        <v/>
      </c>
      <c r="AC9" s="17">
        <f>ecom_market_base*(1+ecom_growth_rate)^FLOOR(AC4,1)/AC5</f>
        <v/>
      </c>
      <c r="AD9" s="17">
        <f>ecom_market_base*(1+ecom_growth_rate)^FLOOR(AD4,1)/AD5</f>
        <v/>
      </c>
      <c r="AE9" s="17">
        <f>ecom_market_base*(1+ecom_growth_rate)^FLOOR(AE4,1)/AE5</f>
        <v/>
      </c>
      <c r="AF9" s="17">
        <f>ecom_market_base*(1+ecom_growth_rate)^FLOOR(AF4,1)/AF5</f>
        <v/>
      </c>
      <c r="AG9" s="17">
        <f>ecom_market_base*(1+ecom_growth_rate)^FLOOR(AG4,1)/AG5</f>
        <v/>
      </c>
      <c r="AH9" s="17">
        <f>ecom_market_base*(1+ecom_growth_rate)^FLOOR(AH4,1)/AH5</f>
        <v/>
      </c>
      <c r="AI9" s="17">
        <f>ecom_market_base*(1+ecom_growth_rate)^FLOOR(AI4,1)/AI5</f>
        <v/>
      </c>
      <c r="AJ9" s="17">
        <f>ecom_market_base*(1+ecom_growth_rate)^FLOOR(AJ4,1)/AJ5</f>
        <v/>
      </c>
      <c r="AK9" s="17">
        <f>ecom_market_base*(1+ecom_growth_rate)^FLOOR(AK4,1)/AK5</f>
        <v/>
      </c>
      <c r="AL9" s="17">
        <f>ecom_market_base*(1+ecom_growth_rate)^FLOOR(AL4,1)/AL5</f>
        <v/>
      </c>
      <c r="AM9" s="17">
        <f>ecom_market_base*(1+ecom_growth_rate)^FLOOR(AM4,1)/AM5</f>
        <v/>
      </c>
      <c r="AN9" s="17">
        <f>ecom_market_base*(1+ecom_growth_rate)^FLOOR(AN4,1)/AN5</f>
        <v/>
      </c>
      <c r="AO9" s="17">
        <f>ecom_market_base*(1+ecom_growth_rate)^FLOOR(AO4,1)/AO5</f>
        <v/>
      </c>
      <c r="AP9" s="17">
        <f>ecom_market_base*(1+ecom_growth_rate)^FLOOR(AP4,1)/AP5</f>
        <v/>
      </c>
      <c r="AQ9" s="17">
        <f>ecom_market_base*(1+ecom_growth_rate)^FLOOR(AQ4,1)/AQ5</f>
        <v/>
      </c>
      <c r="AR9" s="17">
        <f>ecom_market_base*(1+ecom_growth_rate)^FLOOR(AR4,1)/AR5</f>
        <v/>
      </c>
    </row>
    <row r="11">
      <c r="A11" s="1" t="inlineStr">
        <is>
          <t>ENTERPRISE ADOPTION (S-CURVE)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</row>
    <row r="12">
      <c r="A12" s="6" t="inlineStr">
        <is>
          <t>Gross enterprises (S-curve)</t>
        </is>
      </c>
      <c r="B12" s="8" t="inlineStr">
        <is>
          <t>count</t>
        </is>
      </c>
      <c r="C12" s="13">
        <f>MAX(pilot_count,adoption_max/(1+EXP(-adoption_steepness*(C3-adoption_midpoint))))</f>
        <v/>
      </c>
      <c r="D12" s="13">
        <f>MAX(pilot_count,adoption_max/(1+EXP(-adoption_steepness*(D3-adoption_midpoint))))</f>
        <v/>
      </c>
      <c r="E12" s="13">
        <f>MAX(pilot_count,adoption_max/(1+EXP(-adoption_steepness*(E3-adoption_midpoint))))</f>
        <v/>
      </c>
      <c r="F12" s="13">
        <f>MAX(pilot_count,adoption_max/(1+EXP(-adoption_steepness*(F3-adoption_midpoint))))</f>
        <v/>
      </c>
      <c r="G12" s="13">
        <f>MAX(pilot_count,adoption_max/(1+EXP(-adoption_steepness*(G3-adoption_midpoint))))</f>
        <v/>
      </c>
      <c r="H12" s="13">
        <f>MAX(pilot_count,adoption_max/(1+EXP(-adoption_steepness*(H3-adoption_midpoint))))</f>
        <v/>
      </c>
      <c r="I12" s="13">
        <f>MAX(pilot_count,adoption_max/(1+EXP(-adoption_steepness*(I3-adoption_midpoint))))</f>
        <v/>
      </c>
      <c r="J12" s="13">
        <f>MAX(pilot_count,adoption_max/(1+EXP(-adoption_steepness*(J3-adoption_midpoint))))</f>
        <v/>
      </c>
      <c r="K12" s="13">
        <f>MAX(pilot_count,adoption_max/(1+EXP(-adoption_steepness*(K3-adoption_midpoint))))</f>
        <v/>
      </c>
      <c r="L12" s="13">
        <f>MAX(pilot_count,adoption_max/(1+EXP(-adoption_steepness*(L3-adoption_midpoint))))</f>
        <v/>
      </c>
      <c r="M12" s="13">
        <f>MAX(pilot_count,adoption_max/(1+EXP(-adoption_steepness*(M3-adoption_midpoint))))</f>
        <v/>
      </c>
      <c r="N12" s="13">
        <f>MAX(pilot_count,adoption_max/(1+EXP(-adoption_steepness*(N3-adoption_midpoint))))</f>
        <v/>
      </c>
      <c r="O12" s="13">
        <f>MAX(pilot_count,adoption_max/(1+EXP(-adoption_steepness*(O3-adoption_midpoint))))</f>
        <v/>
      </c>
      <c r="P12" s="13">
        <f>MAX(pilot_count,adoption_max/(1+EXP(-adoption_steepness*(P3-adoption_midpoint))))</f>
        <v/>
      </c>
      <c r="Q12" s="13">
        <f>MAX(pilot_count,adoption_max/(1+EXP(-adoption_steepness*(Q3-adoption_midpoint))))</f>
        <v/>
      </c>
      <c r="R12" s="13">
        <f>MAX(pilot_count,adoption_max/(1+EXP(-adoption_steepness*(R3-adoption_midpoint))))</f>
        <v/>
      </c>
      <c r="S12" s="13">
        <f>MAX(pilot_count,adoption_max/(1+EXP(-adoption_steepness*(S3-adoption_midpoint))))</f>
        <v/>
      </c>
      <c r="T12" s="13">
        <f>MAX(pilot_count,adoption_max/(1+EXP(-adoption_steepness*(T3-adoption_midpoint))))</f>
        <v/>
      </c>
      <c r="U12" s="13">
        <f>MAX(pilot_count,adoption_max/(1+EXP(-adoption_steepness*(U3-adoption_midpoint))))</f>
        <v/>
      </c>
      <c r="V12" s="13">
        <f>MAX(pilot_count,adoption_max/(1+EXP(-adoption_steepness*(V3-adoption_midpoint))))</f>
        <v/>
      </c>
      <c r="W12" s="13">
        <f>MAX(pilot_count,adoption_max/(1+EXP(-adoption_steepness*(W3-adoption_midpoint))))</f>
        <v/>
      </c>
      <c r="X12" s="13">
        <f>MAX(pilot_count,adoption_max/(1+EXP(-adoption_steepness*(X3-adoption_midpoint))))</f>
        <v/>
      </c>
      <c r="Y12" s="13">
        <f>MAX(pilot_count,adoption_max/(1+EXP(-adoption_steepness*(Y3-adoption_midpoint))))</f>
        <v/>
      </c>
      <c r="Z12" s="13">
        <f>MAX(pilot_count,adoption_max/(1+EXP(-adoption_steepness*(Z3-adoption_midpoint))))</f>
        <v/>
      </c>
      <c r="AA12" s="13">
        <f>MAX(pilot_count,adoption_max/(1+EXP(-adoption_steepness*(AA3-adoption_midpoint))))</f>
        <v/>
      </c>
      <c r="AB12" s="13">
        <f>MAX(pilot_count,adoption_max/(1+EXP(-adoption_steepness*(AB3-adoption_midpoint))))</f>
        <v/>
      </c>
      <c r="AC12" s="13">
        <f>MAX(pilot_count,adoption_max/(1+EXP(-adoption_steepness*(AC3-adoption_midpoint))))</f>
        <v/>
      </c>
      <c r="AD12" s="13">
        <f>MAX(pilot_count,adoption_max/(1+EXP(-adoption_steepness*(AD3-adoption_midpoint))))</f>
        <v/>
      </c>
      <c r="AE12" s="13">
        <f>MAX(pilot_count,adoption_max/(1+EXP(-adoption_steepness*(AE3-adoption_midpoint))))</f>
        <v/>
      </c>
      <c r="AF12" s="13">
        <f>MAX(pilot_count,adoption_max/(1+EXP(-adoption_steepness*(AF3-adoption_midpoint))))</f>
        <v/>
      </c>
      <c r="AG12" s="13">
        <f>MAX(pilot_count,adoption_max/(1+EXP(-adoption_steepness*(AG3-adoption_midpoint))))</f>
        <v/>
      </c>
      <c r="AH12" s="13">
        <f>MAX(pilot_count,adoption_max/(1+EXP(-adoption_steepness*(AH3-adoption_midpoint))))</f>
        <v/>
      </c>
      <c r="AI12" s="13">
        <f>MAX(pilot_count,adoption_max/(1+EXP(-adoption_steepness*(AI3-adoption_midpoint))))</f>
        <v/>
      </c>
      <c r="AJ12" s="13">
        <f>MAX(pilot_count,adoption_max/(1+EXP(-adoption_steepness*(AJ3-adoption_midpoint))))</f>
        <v/>
      </c>
      <c r="AK12" s="13">
        <f>MAX(pilot_count,adoption_max/(1+EXP(-adoption_steepness*(AK3-adoption_midpoint))))</f>
        <v/>
      </c>
      <c r="AL12" s="13">
        <f>MAX(pilot_count,adoption_max/(1+EXP(-adoption_steepness*(AL3-adoption_midpoint))))</f>
        <v/>
      </c>
      <c r="AM12" s="13">
        <f>MAX(pilot_count,adoption_max/(1+EXP(-adoption_steepness*(AM3-adoption_midpoint))))</f>
        <v/>
      </c>
      <c r="AN12" s="13">
        <f>MAX(pilot_count,adoption_max/(1+EXP(-adoption_steepness*(AN3-adoption_midpoint))))</f>
        <v/>
      </c>
      <c r="AO12" s="13">
        <f>MAX(pilot_count,adoption_max/(1+EXP(-adoption_steepness*(AO3-adoption_midpoint))))</f>
        <v/>
      </c>
      <c r="AP12" s="13">
        <f>MAX(pilot_count,adoption_max/(1+EXP(-adoption_steepness*(AP3-adoption_midpoint))))</f>
        <v/>
      </c>
      <c r="AQ12" s="13">
        <f>MAX(pilot_count,adoption_max/(1+EXP(-adoption_steepness*(AQ3-adoption_midpoint))))</f>
        <v/>
      </c>
      <c r="AR12" s="13">
        <f>MAX(pilot_count,adoption_max/(1+EXP(-adoption_steepness*(AR3-adoption_midpoint))))</f>
        <v/>
      </c>
    </row>
    <row r="13">
      <c r="A13" s="6" t="inlineStr">
        <is>
          <t>Churned enterprises</t>
        </is>
      </c>
      <c r="B13" s="8" t="inlineStr">
        <is>
          <t>count</t>
        </is>
      </c>
      <c r="C13" s="13">
        <f>0</f>
        <v/>
      </c>
      <c r="D13" s="13">
        <f>ROUND(D12*churn_rate/D5,0)</f>
        <v/>
      </c>
      <c r="E13" s="13">
        <f>ROUND(E12*churn_rate/E5,0)</f>
        <v/>
      </c>
      <c r="F13" s="13">
        <f>ROUND(F12*churn_rate/F5,0)</f>
        <v/>
      </c>
      <c r="G13" s="13">
        <f>ROUND(G12*churn_rate/G5,0)</f>
        <v/>
      </c>
      <c r="H13" s="13">
        <f>ROUND(H12*churn_rate/H5,0)</f>
        <v/>
      </c>
      <c r="I13" s="13">
        <f>ROUND(I12*churn_rate/I5,0)</f>
        <v/>
      </c>
      <c r="J13" s="13">
        <f>ROUND(J12*churn_rate/J5,0)</f>
        <v/>
      </c>
      <c r="K13" s="13">
        <f>ROUND(K12*churn_rate/K5,0)</f>
        <v/>
      </c>
      <c r="L13" s="13">
        <f>ROUND(L12*churn_rate/L5,0)</f>
        <v/>
      </c>
      <c r="M13" s="13">
        <f>ROUND(M12*churn_rate/M5,0)</f>
        <v/>
      </c>
      <c r="N13" s="13">
        <f>ROUND(N12*churn_rate/N5,0)</f>
        <v/>
      </c>
      <c r="O13" s="13">
        <f>ROUND(O12*churn_rate/O5,0)</f>
        <v/>
      </c>
      <c r="P13" s="13">
        <f>ROUND(P12*churn_rate/P5,0)</f>
        <v/>
      </c>
      <c r="Q13" s="13">
        <f>ROUND(Q12*churn_rate/Q5,0)</f>
        <v/>
      </c>
      <c r="R13" s="13">
        <f>ROUND(R12*churn_rate/R5,0)</f>
        <v/>
      </c>
      <c r="S13" s="13">
        <f>ROUND(S12*churn_rate/S5,0)</f>
        <v/>
      </c>
      <c r="T13" s="13">
        <f>ROUND(T12*churn_rate/T5,0)</f>
        <v/>
      </c>
      <c r="U13" s="13">
        <f>ROUND(U12*churn_rate/U5,0)</f>
        <v/>
      </c>
      <c r="V13" s="13">
        <f>ROUND(V12*churn_rate/V5,0)</f>
        <v/>
      </c>
      <c r="W13" s="13">
        <f>ROUND(W12*churn_rate/W5,0)</f>
        <v/>
      </c>
      <c r="X13" s="13">
        <f>ROUND(X12*churn_rate/X5,0)</f>
        <v/>
      </c>
      <c r="Y13" s="13">
        <f>ROUND(Y12*churn_rate/Y5,0)</f>
        <v/>
      </c>
      <c r="Z13" s="13">
        <f>ROUND(Z12*churn_rate/Z5,0)</f>
        <v/>
      </c>
      <c r="AA13" s="13">
        <f>ROUND(AA12*churn_rate/AA5,0)</f>
        <v/>
      </c>
      <c r="AB13" s="13">
        <f>ROUND(AB12*churn_rate/AB5,0)</f>
        <v/>
      </c>
      <c r="AC13" s="13">
        <f>ROUND(AC12*churn_rate/AC5,0)</f>
        <v/>
      </c>
      <c r="AD13" s="13">
        <f>ROUND(AD12*churn_rate/AD5,0)</f>
        <v/>
      </c>
      <c r="AE13" s="13">
        <f>ROUND(AE12*churn_rate/AE5,0)</f>
        <v/>
      </c>
      <c r="AF13" s="13">
        <f>ROUND(AF12*churn_rate/AF5,0)</f>
        <v/>
      </c>
      <c r="AG13" s="13">
        <f>ROUND(AG12*churn_rate/AG5,0)</f>
        <v/>
      </c>
      <c r="AH13" s="13">
        <f>ROUND(AH12*churn_rate/AH5,0)</f>
        <v/>
      </c>
      <c r="AI13" s="13">
        <f>ROUND(AI12*churn_rate/AI5,0)</f>
        <v/>
      </c>
      <c r="AJ13" s="13">
        <f>ROUND(AJ12*churn_rate/AJ5,0)</f>
        <v/>
      </c>
      <c r="AK13" s="13">
        <f>ROUND(AK12*churn_rate/AK5,0)</f>
        <v/>
      </c>
      <c r="AL13" s="13">
        <f>ROUND(AL12*churn_rate/AL5,0)</f>
        <v/>
      </c>
      <c r="AM13" s="13">
        <f>ROUND(AM12*churn_rate/AM5,0)</f>
        <v/>
      </c>
      <c r="AN13" s="13">
        <f>ROUND(AN12*churn_rate/AN5,0)</f>
        <v/>
      </c>
      <c r="AO13" s="13">
        <f>ROUND(AO12*churn_rate/AO5,0)</f>
        <v/>
      </c>
      <c r="AP13" s="13">
        <f>ROUND(AP12*churn_rate/AP5,0)</f>
        <v/>
      </c>
      <c r="AQ13" s="13">
        <f>ROUND(AQ12*churn_rate/AQ5,0)</f>
        <v/>
      </c>
      <c r="AR13" s="13">
        <f>ROUND(AR12*churn_rate/AR5,0)</f>
        <v/>
      </c>
    </row>
    <row r="14">
      <c r="A14" s="6" t="inlineStr">
        <is>
          <t>Net active enterprises</t>
        </is>
      </c>
      <c r="B14" s="8" t="inlineStr">
        <is>
          <t>count</t>
        </is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  <c r="H14" s="12">
        <f>H12-H13</f>
        <v/>
      </c>
      <c r="I14" s="12">
        <f>I12-I13</f>
        <v/>
      </c>
      <c r="J14" s="12">
        <f>J12-J13</f>
        <v/>
      </c>
      <c r="K14" s="12">
        <f>K12-K13</f>
        <v/>
      </c>
      <c r="L14" s="12">
        <f>L12-L13</f>
        <v/>
      </c>
      <c r="M14" s="12">
        <f>M12-M13</f>
        <v/>
      </c>
      <c r="N14" s="12">
        <f>N12-N13</f>
        <v/>
      </c>
      <c r="O14" s="12">
        <f>O12-O13</f>
        <v/>
      </c>
      <c r="P14" s="12">
        <f>P12-P13</f>
        <v/>
      </c>
      <c r="Q14" s="12">
        <f>Q12-Q13</f>
        <v/>
      </c>
      <c r="R14" s="12">
        <f>R12-R13</f>
        <v/>
      </c>
      <c r="S14" s="12">
        <f>S12-S13</f>
        <v/>
      </c>
      <c r="T14" s="12">
        <f>T12-T13</f>
        <v/>
      </c>
      <c r="U14" s="12">
        <f>U12-U13</f>
        <v/>
      </c>
      <c r="V14" s="12">
        <f>V12-V13</f>
        <v/>
      </c>
      <c r="W14" s="12">
        <f>W12-W13</f>
        <v/>
      </c>
      <c r="X14" s="12">
        <f>X12-X13</f>
        <v/>
      </c>
      <c r="Y14" s="12">
        <f>Y12-Y13</f>
        <v/>
      </c>
      <c r="Z14" s="12">
        <f>Z12-Z13</f>
        <v/>
      </c>
      <c r="AA14" s="12">
        <f>AA12-AA13</f>
        <v/>
      </c>
      <c r="AB14" s="12">
        <f>AB12-AB13</f>
        <v/>
      </c>
      <c r="AC14" s="12">
        <f>AC12-AC13</f>
        <v/>
      </c>
      <c r="AD14" s="12">
        <f>AD12-AD13</f>
        <v/>
      </c>
      <c r="AE14" s="12">
        <f>AE12-AE13</f>
        <v/>
      </c>
      <c r="AF14" s="12">
        <f>AF12-AF13</f>
        <v/>
      </c>
      <c r="AG14" s="12">
        <f>AG12-AG13</f>
        <v/>
      </c>
      <c r="AH14" s="12">
        <f>AH12-AH13</f>
        <v/>
      </c>
      <c r="AI14" s="12">
        <f>AI12-AI13</f>
        <v/>
      </c>
      <c r="AJ14" s="12">
        <f>AJ12-AJ13</f>
        <v/>
      </c>
      <c r="AK14" s="12">
        <f>AK12-AK13</f>
        <v/>
      </c>
      <c r="AL14" s="12">
        <f>AL12-AL13</f>
        <v/>
      </c>
      <c r="AM14" s="12">
        <f>AM12-AM13</f>
        <v/>
      </c>
      <c r="AN14" s="12">
        <f>AN12-AN13</f>
        <v/>
      </c>
      <c r="AO14" s="12">
        <f>AO12-AO13</f>
        <v/>
      </c>
      <c r="AP14" s="12">
        <f>AP12-AP13</f>
        <v/>
      </c>
      <c r="AQ14" s="12">
        <f>AQ12-AQ13</f>
        <v/>
      </c>
      <c r="AR14" s="12">
        <f>AR12-AR13</f>
        <v/>
      </c>
    </row>
    <row r="15">
      <c r="A15" s="6" t="inlineStr">
        <is>
          <t>New enterprises (period)</t>
        </is>
      </c>
      <c r="B15" s="8" t="inlineStr">
        <is>
          <t>count</t>
        </is>
      </c>
      <c r="C15" s="13">
        <f>C14</f>
        <v/>
      </c>
      <c r="D15" s="13">
        <f>MAX(0,D14-C14)</f>
        <v/>
      </c>
      <c r="E15" s="13">
        <f>MAX(0,E14-D14)</f>
        <v/>
      </c>
      <c r="F15" s="13">
        <f>MAX(0,F14-E14)</f>
        <v/>
      </c>
      <c r="G15" s="13">
        <f>MAX(0,G14-F14)</f>
        <v/>
      </c>
      <c r="H15" s="13">
        <f>MAX(0,H14-G14)</f>
        <v/>
      </c>
      <c r="I15" s="13">
        <f>MAX(0,I14-H14)</f>
        <v/>
      </c>
      <c r="J15" s="13">
        <f>MAX(0,J14-I14)</f>
        <v/>
      </c>
      <c r="K15" s="13">
        <f>MAX(0,K14-J14)</f>
        <v/>
      </c>
      <c r="L15" s="13">
        <f>MAX(0,L14-K14)</f>
        <v/>
      </c>
      <c r="M15" s="13">
        <f>MAX(0,M14-L14)</f>
        <v/>
      </c>
      <c r="N15" s="13">
        <f>MAX(0,N14-M14)</f>
        <v/>
      </c>
      <c r="O15" s="13">
        <f>MAX(0,O14-N14)</f>
        <v/>
      </c>
      <c r="P15" s="13">
        <f>MAX(0,P14-O14)</f>
        <v/>
      </c>
      <c r="Q15" s="13">
        <f>MAX(0,Q14-P14)</f>
        <v/>
      </c>
      <c r="R15" s="13">
        <f>MAX(0,R14-Q14)</f>
        <v/>
      </c>
      <c r="S15" s="13">
        <f>MAX(0,S14-R14)</f>
        <v/>
      </c>
      <c r="T15" s="13">
        <f>MAX(0,T14-S14)</f>
        <v/>
      </c>
      <c r="U15" s="13">
        <f>MAX(0,U14-T14)</f>
        <v/>
      </c>
      <c r="V15" s="13">
        <f>MAX(0,V14-U14)</f>
        <v/>
      </c>
      <c r="W15" s="13">
        <f>MAX(0,W14-V14)</f>
        <v/>
      </c>
      <c r="X15" s="13">
        <f>MAX(0,X14-W14)</f>
        <v/>
      </c>
      <c r="Y15" s="13">
        <f>MAX(0,Y14-X14)</f>
        <v/>
      </c>
      <c r="Z15" s="13">
        <f>MAX(0,Z14-Y14)</f>
        <v/>
      </c>
      <c r="AA15" s="13">
        <f>MAX(0,AA14-Z14)</f>
        <v/>
      </c>
      <c r="AB15" s="13">
        <f>MAX(0,AB14-AA14)</f>
        <v/>
      </c>
      <c r="AC15" s="13">
        <f>MAX(0,AC14-AB14)</f>
        <v/>
      </c>
      <c r="AD15" s="13">
        <f>MAX(0,AD14-AC14)</f>
        <v/>
      </c>
      <c r="AE15" s="13">
        <f>MAX(0,AE14-AD14)</f>
        <v/>
      </c>
      <c r="AF15" s="13">
        <f>MAX(0,AF14-AE14)</f>
        <v/>
      </c>
      <c r="AG15" s="13">
        <f>MAX(0,AG14-AF14)</f>
        <v/>
      </c>
      <c r="AH15" s="13">
        <f>MAX(0,AH14-AG14)</f>
        <v/>
      </c>
      <c r="AI15" s="13">
        <f>MAX(0,AI14-AH14)</f>
        <v/>
      </c>
      <c r="AJ15" s="13">
        <f>MAX(0,AJ14-AI14)</f>
        <v/>
      </c>
      <c r="AK15" s="13">
        <f>MAX(0,AK14-AJ14)</f>
        <v/>
      </c>
      <c r="AL15" s="13">
        <f>MAX(0,AL14-AK14)</f>
        <v/>
      </c>
      <c r="AM15" s="13">
        <f>MAX(0,AM14-AL14)</f>
        <v/>
      </c>
      <c r="AN15" s="13">
        <f>MAX(0,AN14-AM14)</f>
        <v/>
      </c>
      <c r="AO15" s="13">
        <f>MAX(0,AO14-AN14)</f>
        <v/>
      </c>
      <c r="AP15" s="13">
        <f>MAX(0,AP14-AO14)</f>
        <v/>
      </c>
      <c r="AQ15" s="13">
        <f>MAX(0,AQ14-AP14)</f>
        <v/>
      </c>
      <c r="AR15" s="13">
        <f>MAX(0,AR14-AQ14)</f>
        <v/>
      </c>
    </row>
    <row r="16">
      <c r="A16" s="6" t="inlineStr">
        <is>
          <t>VCR (visitor records)</t>
        </is>
      </c>
      <c r="B16" s="8" t="inlineStr">
        <is>
          <t>M recs</t>
        </is>
      </c>
      <c r="C16" s="18">
        <f>C14*vcr_per_enterprise*C6/1000000</f>
        <v/>
      </c>
      <c r="D16" s="18">
        <f>D14*vcr_per_enterprise*D6/1000000</f>
        <v/>
      </c>
      <c r="E16" s="18">
        <f>E14*vcr_per_enterprise*E6/1000000</f>
        <v/>
      </c>
      <c r="F16" s="18">
        <f>F14*vcr_per_enterprise*F6/1000000</f>
        <v/>
      </c>
      <c r="G16" s="18">
        <f>G14*vcr_per_enterprise*G6/1000000</f>
        <v/>
      </c>
      <c r="H16" s="18">
        <f>H14*vcr_per_enterprise*H6/1000000</f>
        <v/>
      </c>
      <c r="I16" s="18">
        <f>I14*vcr_per_enterprise*I6/1000000</f>
        <v/>
      </c>
      <c r="J16" s="18">
        <f>J14*vcr_per_enterprise*J6/1000000</f>
        <v/>
      </c>
      <c r="K16" s="18">
        <f>K14*vcr_per_enterprise*K6/1000000</f>
        <v/>
      </c>
      <c r="L16" s="18">
        <f>L14*vcr_per_enterprise*L6/1000000</f>
        <v/>
      </c>
      <c r="M16" s="18">
        <f>M14*vcr_per_enterprise*M6/1000000</f>
        <v/>
      </c>
      <c r="N16" s="18">
        <f>N14*vcr_per_enterprise*N6/1000000</f>
        <v/>
      </c>
      <c r="O16" s="18">
        <f>O14*vcr_per_enterprise*O6/1000000</f>
        <v/>
      </c>
      <c r="P16" s="18">
        <f>P14*vcr_per_enterprise*P6/1000000</f>
        <v/>
      </c>
      <c r="Q16" s="18">
        <f>Q14*vcr_per_enterprise*Q6/1000000</f>
        <v/>
      </c>
      <c r="R16" s="18">
        <f>R14*vcr_per_enterprise*R6/1000000</f>
        <v/>
      </c>
      <c r="S16" s="18">
        <f>S14*vcr_per_enterprise*S6/1000000</f>
        <v/>
      </c>
      <c r="T16" s="18">
        <f>T14*vcr_per_enterprise*T6/1000000</f>
        <v/>
      </c>
      <c r="U16" s="18">
        <f>U14*vcr_per_enterprise*U6/1000000</f>
        <v/>
      </c>
      <c r="V16" s="18">
        <f>V14*vcr_per_enterprise*V6/1000000</f>
        <v/>
      </c>
      <c r="W16" s="18">
        <f>W14*vcr_per_enterprise*W6/1000000</f>
        <v/>
      </c>
      <c r="X16" s="18">
        <f>X14*vcr_per_enterprise*X6/1000000</f>
        <v/>
      </c>
      <c r="Y16" s="18">
        <f>Y14*vcr_per_enterprise*Y6/1000000</f>
        <v/>
      </c>
      <c r="Z16" s="18">
        <f>Z14*vcr_per_enterprise*Z6/1000000</f>
        <v/>
      </c>
      <c r="AA16" s="18">
        <f>AA14*vcr_per_enterprise*AA6/1000000</f>
        <v/>
      </c>
      <c r="AB16" s="18">
        <f>AB14*vcr_per_enterprise*AB6/1000000</f>
        <v/>
      </c>
      <c r="AC16" s="18">
        <f>AC14*vcr_per_enterprise*AC6/1000000</f>
        <v/>
      </c>
      <c r="AD16" s="18">
        <f>AD14*vcr_per_enterprise*AD6/1000000</f>
        <v/>
      </c>
      <c r="AE16" s="18">
        <f>AE14*vcr_per_enterprise*AE6/1000000</f>
        <v/>
      </c>
      <c r="AF16" s="18">
        <f>AF14*vcr_per_enterprise*AF6/1000000</f>
        <v/>
      </c>
      <c r="AG16" s="18">
        <f>AG14*vcr_per_enterprise*AG6/1000000</f>
        <v/>
      </c>
      <c r="AH16" s="18">
        <f>AH14*vcr_per_enterprise*AH6/1000000</f>
        <v/>
      </c>
      <c r="AI16" s="18">
        <f>AI14*vcr_per_enterprise*AI6/1000000</f>
        <v/>
      </c>
      <c r="AJ16" s="18">
        <f>AJ14*vcr_per_enterprise*AJ6/1000000</f>
        <v/>
      </c>
      <c r="AK16" s="18">
        <f>AK14*vcr_per_enterprise*AK6/1000000</f>
        <v/>
      </c>
      <c r="AL16" s="18">
        <f>AL14*vcr_per_enterprise*AL6/1000000</f>
        <v/>
      </c>
      <c r="AM16" s="18">
        <f>AM14*vcr_per_enterprise*AM6/1000000</f>
        <v/>
      </c>
      <c r="AN16" s="18">
        <f>AN14*vcr_per_enterprise*AN6/1000000</f>
        <v/>
      </c>
      <c r="AO16" s="18">
        <f>AO14*vcr_per_enterprise*AO6/1000000</f>
        <v/>
      </c>
      <c r="AP16" s="18">
        <f>AP14*vcr_per_enterprise*AP6/1000000</f>
        <v/>
      </c>
      <c r="AQ16" s="18">
        <f>AQ14*vcr_per_enterprise*AQ6/1000000</f>
        <v/>
      </c>
      <c r="AR16" s="18">
        <f>AR14*vcr_per_enterprise*AR6/1000000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REVENUE SCHEDULE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STAGE 1 REVENUE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 xml:space="preserve">  Certification fees</t>
        </is>
      </c>
      <c r="B5" s="6" t="inlineStr">
        <is>
          <t>M VND</t>
        </is>
      </c>
      <c r="C5" s="13">
        <f>'Market Sizing'!C14*cert_fee_yr1*(1+cert_fee_escalation)^FLOOR('Market Sizing'!C4,1)/'Market Sizing'!C5</f>
        <v/>
      </c>
      <c r="D5" s="13">
        <f>'Market Sizing'!D14*cert_fee_yr1*(1+cert_fee_escalation)^FLOOR('Market Sizing'!D4,1)/'Market Sizing'!D5</f>
        <v/>
      </c>
      <c r="E5" s="13">
        <f>'Market Sizing'!E14*cert_fee_yr1*(1+cert_fee_escalation)^FLOOR('Market Sizing'!E4,1)/'Market Sizing'!E5</f>
        <v/>
      </c>
      <c r="F5" s="13">
        <f>'Market Sizing'!F14*cert_fee_yr1*(1+cert_fee_escalation)^FLOOR('Market Sizing'!F4,1)/'Market Sizing'!F5</f>
        <v/>
      </c>
      <c r="G5" s="13">
        <f>'Market Sizing'!G14*cert_fee_yr1*(1+cert_fee_escalation)^FLOOR('Market Sizing'!G4,1)/'Market Sizing'!G5</f>
        <v/>
      </c>
      <c r="H5" s="13">
        <f>'Market Sizing'!H14*cert_fee_yr1*(1+cert_fee_escalation)^FLOOR('Market Sizing'!H4,1)/'Market Sizing'!H5</f>
        <v/>
      </c>
      <c r="I5" s="13">
        <f>'Market Sizing'!I14*cert_fee_yr1*(1+cert_fee_escalation)^FLOOR('Market Sizing'!I4,1)/'Market Sizing'!I5</f>
        <v/>
      </c>
      <c r="J5" s="13">
        <f>'Market Sizing'!J14*cert_fee_yr1*(1+cert_fee_escalation)^FLOOR('Market Sizing'!J4,1)/'Market Sizing'!J5</f>
        <v/>
      </c>
      <c r="K5" s="13">
        <f>'Market Sizing'!K14*cert_fee_yr1*(1+cert_fee_escalation)^FLOOR('Market Sizing'!K4,1)/'Market Sizing'!K5</f>
        <v/>
      </c>
      <c r="L5" s="13">
        <f>'Market Sizing'!L14*cert_fee_yr1*(1+cert_fee_escalation)^FLOOR('Market Sizing'!L4,1)/'Market Sizing'!L5</f>
        <v/>
      </c>
      <c r="M5" s="13">
        <f>'Market Sizing'!M14*cert_fee_yr1*(1+cert_fee_escalation)^FLOOR('Market Sizing'!M4,1)/'Market Sizing'!M5</f>
        <v/>
      </c>
      <c r="N5" s="13">
        <f>'Market Sizing'!N14*cert_fee_yr1*(1+cert_fee_escalation)^FLOOR('Market Sizing'!N4,1)/'Market Sizing'!N5</f>
        <v/>
      </c>
      <c r="O5" s="13">
        <f>'Market Sizing'!O14*cert_fee_yr1*(1+cert_fee_escalation)^FLOOR('Market Sizing'!O4,1)/'Market Sizing'!O5</f>
        <v/>
      </c>
      <c r="P5" s="13">
        <f>'Market Sizing'!P14*cert_fee_yr1*(1+cert_fee_escalation)^FLOOR('Market Sizing'!P4,1)/'Market Sizing'!P5</f>
        <v/>
      </c>
      <c r="Q5" s="13">
        <f>'Market Sizing'!Q14*cert_fee_yr1*(1+cert_fee_escalation)^FLOOR('Market Sizing'!Q4,1)/'Market Sizing'!Q5</f>
        <v/>
      </c>
      <c r="R5" s="13">
        <f>'Market Sizing'!R14*cert_fee_yr1*(1+cert_fee_escalation)^FLOOR('Market Sizing'!R4,1)/'Market Sizing'!R5</f>
        <v/>
      </c>
      <c r="S5" s="13">
        <f>'Market Sizing'!S14*cert_fee_yr1*(1+cert_fee_escalation)^FLOOR('Market Sizing'!S4,1)/'Market Sizing'!S5</f>
        <v/>
      </c>
      <c r="T5" s="13">
        <f>'Market Sizing'!T14*cert_fee_yr1*(1+cert_fee_escalation)^FLOOR('Market Sizing'!T4,1)/'Market Sizing'!T5</f>
        <v/>
      </c>
      <c r="U5" s="13">
        <f>'Market Sizing'!U14*cert_fee_yr1*(1+cert_fee_escalation)^FLOOR('Market Sizing'!U4,1)/'Market Sizing'!U5</f>
        <v/>
      </c>
      <c r="V5" s="13">
        <f>'Market Sizing'!V14*cert_fee_yr1*(1+cert_fee_escalation)^FLOOR('Market Sizing'!V4,1)/'Market Sizing'!V5</f>
        <v/>
      </c>
      <c r="W5" s="13">
        <f>'Market Sizing'!W14*cert_fee_yr1*(1+cert_fee_escalation)^FLOOR('Market Sizing'!W4,1)/'Market Sizing'!W5</f>
        <v/>
      </c>
      <c r="X5" s="13">
        <f>'Market Sizing'!X14*cert_fee_yr1*(1+cert_fee_escalation)^FLOOR('Market Sizing'!X4,1)/'Market Sizing'!X5</f>
        <v/>
      </c>
      <c r="Y5" s="13">
        <f>'Market Sizing'!Y14*cert_fee_yr1*(1+cert_fee_escalation)^FLOOR('Market Sizing'!Y4,1)/'Market Sizing'!Y5</f>
        <v/>
      </c>
      <c r="Z5" s="13">
        <f>'Market Sizing'!Z14*cert_fee_yr1*(1+cert_fee_escalation)^FLOOR('Market Sizing'!Z4,1)/'Market Sizing'!Z5</f>
        <v/>
      </c>
      <c r="AA5" s="13">
        <f>'Market Sizing'!AA14*cert_fee_yr1*(1+cert_fee_escalation)^FLOOR('Market Sizing'!AA4,1)/'Market Sizing'!AA5</f>
        <v/>
      </c>
      <c r="AB5" s="13">
        <f>'Market Sizing'!AB14*cert_fee_yr1*(1+cert_fee_escalation)^FLOOR('Market Sizing'!AB4,1)/'Market Sizing'!AB5</f>
        <v/>
      </c>
      <c r="AC5" s="13">
        <f>'Market Sizing'!AC14*cert_fee_yr1*(1+cert_fee_escalation)^FLOOR('Market Sizing'!AC4,1)/'Market Sizing'!AC5</f>
        <v/>
      </c>
      <c r="AD5" s="13">
        <f>'Market Sizing'!AD14*cert_fee_yr1*(1+cert_fee_escalation)^FLOOR('Market Sizing'!AD4,1)/'Market Sizing'!AD5</f>
        <v/>
      </c>
      <c r="AE5" s="13">
        <f>'Market Sizing'!AE14*cert_fee_yr1*(1+cert_fee_escalation)^FLOOR('Market Sizing'!AE4,1)/'Market Sizing'!AE5</f>
        <v/>
      </c>
      <c r="AF5" s="13">
        <f>'Market Sizing'!AF14*cert_fee_yr1*(1+cert_fee_escalation)^FLOOR('Market Sizing'!AF4,1)/'Market Sizing'!AF5</f>
        <v/>
      </c>
      <c r="AG5" s="13">
        <f>'Market Sizing'!AG14*cert_fee_yr1*(1+cert_fee_escalation)^FLOOR('Market Sizing'!AG4,1)/'Market Sizing'!AG5</f>
        <v/>
      </c>
      <c r="AH5" s="13">
        <f>'Market Sizing'!AH14*cert_fee_yr1*(1+cert_fee_escalation)^FLOOR('Market Sizing'!AH4,1)/'Market Sizing'!AH5</f>
        <v/>
      </c>
      <c r="AI5" s="13">
        <f>'Market Sizing'!AI14*cert_fee_yr1*(1+cert_fee_escalation)^FLOOR('Market Sizing'!AI4,1)/'Market Sizing'!AI5</f>
        <v/>
      </c>
      <c r="AJ5" s="13">
        <f>'Market Sizing'!AJ14*cert_fee_yr1*(1+cert_fee_escalation)^FLOOR('Market Sizing'!AJ4,1)/'Market Sizing'!AJ5</f>
        <v/>
      </c>
      <c r="AK5" s="13">
        <f>'Market Sizing'!AK14*cert_fee_yr1*(1+cert_fee_escalation)^FLOOR('Market Sizing'!AK4,1)/'Market Sizing'!AK5</f>
        <v/>
      </c>
      <c r="AL5" s="13">
        <f>'Market Sizing'!AL14*cert_fee_yr1*(1+cert_fee_escalation)^FLOOR('Market Sizing'!AL4,1)/'Market Sizing'!AL5</f>
        <v/>
      </c>
      <c r="AM5" s="13">
        <f>'Market Sizing'!AM14*cert_fee_yr1*(1+cert_fee_escalation)^FLOOR('Market Sizing'!AM4,1)/'Market Sizing'!AM5</f>
        <v/>
      </c>
      <c r="AN5" s="13">
        <f>'Market Sizing'!AN14*cert_fee_yr1*(1+cert_fee_escalation)^FLOOR('Market Sizing'!AN4,1)/'Market Sizing'!AN5</f>
        <v/>
      </c>
      <c r="AO5" s="13">
        <f>'Market Sizing'!AO14*cert_fee_yr1*(1+cert_fee_escalation)^FLOOR('Market Sizing'!AO4,1)/'Market Sizing'!AO5</f>
        <v/>
      </c>
      <c r="AP5" s="13">
        <f>'Market Sizing'!AP14*cert_fee_yr1*(1+cert_fee_escalation)^FLOOR('Market Sizing'!AP4,1)/'Market Sizing'!AP5</f>
        <v/>
      </c>
      <c r="AQ5" s="13">
        <f>'Market Sizing'!AQ14*cert_fee_yr1*(1+cert_fee_escalation)^FLOOR('Market Sizing'!AQ4,1)/'Market Sizing'!AQ5</f>
        <v/>
      </c>
      <c r="AR5" s="13">
        <f>'Market Sizing'!AR14*cert_fee_yr1*(1+cert_fee_escalation)^FLOOR('Market Sizing'!AR4,1)/'Market Sizing'!AR5</f>
        <v/>
      </c>
    </row>
    <row r="6">
      <c r="A6" s="6" t="inlineStr">
        <is>
          <t xml:space="preserve">  Training &amp; consulting</t>
        </is>
      </c>
      <c r="B6" s="6" t="inlineStr">
        <is>
          <t>M VND</t>
        </is>
      </c>
      <c r="C6" s="13">
        <f>'Market Sizing'!C14*training_pct*training_fee/'Market Sizing'!C5</f>
        <v/>
      </c>
      <c r="D6" s="13">
        <f>'Market Sizing'!D14*training_pct*training_fee/'Market Sizing'!D5</f>
        <v/>
      </c>
      <c r="E6" s="13">
        <f>'Market Sizing'!E14*training_pct*training_fee/'Market Sizing'!E5</f>
        <v/>
      </c>
      <c r="F6" s="13">
        <f>'Market Sizing'!F14*training_pct*training_fee/'Market Sizing'!F5</f>
        <v/>
      </c>
      <c r="G6" s="13">
        <f>'Market Sizing'!G14*training_pct*training_fee/'Market Sizing'!G5</f>
        <v/>
      </c>
      <c r="H6" s="13">
        <f>'Market Sizing'!H14*training_pct*training_fee/'Market Sizing'!H5</f>
        <v/>
      </c>
      <c r="I6" s="13">
        <f>'Market Sizing'!I14*training_pct*training_fee/'Market Sizing'!I5</f>
        <v/>
      </c>
      <c r="J6" s="13">
        <f>'Market Sizing'!J14*training_pct*training_fee/'Market Sizing'!J5</f>
        <v/>
      </c>
      <c r="K6" s="13">
        <f>'Market Sizing'!K14*training_pct*training_fee/'Market Sizing'!K5</f>
        <v/>
      </c>
      <c r="L6" s="13">
        <f>'Market Sizing'!L14*training_pct*training_fee/'Market Sizing'!L5</f>
        <v/>
      </c>
      <c r="M6" s="13">
        <f>'Market Sizing'!M14*training_pct*training_fee/'Market Sizing'!M5</f>
        <v/>
      </c>
      <c r="N6" s="13">
        <f>'Market Sizing'!N14*training_pct*training_fee/'Market Sizing'!N5</f>
        <v/>
      </c>
      <c r="O6" s="13">
        <f>'Market Sizing'!O14*training_pct*training_fee/'Market Sizing'!O5</f>
        <v/>
      </c>
      <c r="P6" s="13">
        <f>'Market Sizing'!P14*training_pct*training_fee/'Market Sizing'!P5</f>
        <v/>
      </c>
      <c r="Q6" s="13">
        <f>'Market Sizing'!Q14*training_pct*training_fee/'Market Sizing'!Q5</f>
        <v/>
      </c>
      <c r="R6" s="13">
        <f>'Market Sizing'!R14*training_pct*training_fee/'Market Sizing'!R5</f>
        <v/>
      </c>
      <c r="S6" s="13">
        <f>'Market Sizing'!S14*training_pct*training_fee/'Market Sizing'!S5</f>
        <v/>
      </c>
      <c r="T6" s="13">
        <f>'Market Sizing'!T14*training_pct*training_fee/'Market Sizing'!T5</f>
        <v/>
      </c>
      <c r="U6" s="13">
        <f>'Market Sizing'!U14*training_pct*training_fee/'Market Sizing'!U5</f>
        <v/>
      </c>
      <c r="V6" s="13">
        <f>'Market Sizing'!V14*training_pct*training_fee/'Market Sizing'!V5</f>
        <v/>
      </c>
      <c r="W6" s="13">
        <f>'Market Sizing'!W14*training_pct*training_fee/'Market Sizing'!W5</f>
        <v/>
      </c>
      <c r="X6" s="13">
        <f>'Market Sizing'!X14*training_pct*training_fee/'Market Sizing'!X5</f>
        <v/>
      </c>
      <c r="Y6" s="13">
        <f>'Market Sizing'!Y14*training_pct*training_fee/'Market Sizing'!Y5</f>
        <v/>
      </c>
      <c r="Z6" s="13">
        <f>'Market Sizing'!Z14*training_pct*training_fee/'Market Sizing'!Z5</f>
        <v/>
      </c>
      <c r="AA6" s="13">
        <f>'Market Sizing'!AA14*training_pct*training_fee/'Market Sizing'!AA5</f>
        <v/>
      </c>
      <c r="AB6" s="13">
        <f>'Market Sizing'!AB14*training_pct*training_fee/'Market Sizing'!AB5</f>
        <v/>
      </c>
      <c r="AC6" s="13">
        <f>'Market Sizing'!AC14*training_pct*training_fee/'Market Sizing'!AC5</f>
        <v/>
      </c>
      <c r="AD6" s="13">
        <f>'Market Sizing'!AD14*training_pct*training_fee/'Market Sizing'!AD5</f>
        <v/>
      </c>
      <c r="AE6" s="13">
        <f>'Market Sizing'!AE14*training_pct*training_fee/'Market Sizing'!AE5</f>
        <v/>
      </c>
      <c r="AF6" s="13">
        <f>'Market Sizing'!AF14*training_pct*training_fee/'Market Sizing'!AF5</f>
        <v/>
      </c>
      <c r="AG6" s="13">
        <f>'Market Sizing'!AG14*training_pct*training_fee/'Market Sizing'!AG5</f>
        <v/>
      </c>
      <c r="AH6" s="13">
        <f>'Market Sizing'!AH14*training_pct*training_fee/'Market Sizing'!AH5</f>
        <v/>
      </c>
      <c r="AI6" s="13">
        <f>'Market Sizing'!AI14*training_pct*training_fee/'Market Sizing'!AI5</f>
        <v/>
      </c>
      <c r="AJ6" s="13">
        <f>'Market Sizing'!AJ14*training_pct*training_fee/'Market Sizing'!AJ5</f>
        <v/>
      </c>
      <c r="AK6" s="13">
        <f>'Market Sizing'!AK14*training_pct*training_fee/'Market Sizing'!AK5</f>
        <v/>
      </c>
      <c r="AL6" s="13">
        <f>'Market Sizing'!AL14*training_pct*training_fee/'Market Sizing'!AL5</f>
        <v/>
      </c>
      <c r="AM6" s="13">
        <f>'Market Sizing'!AM14*training_pct*training_fee/'Market Sizing'!AM5</f>
        <v/>
      </c>
      <c r="AN6" s="13">
        <f>'Market Sizing'!AN14*training_pct*training_fee/'Market Sizing'!AN5</f>
        <v/>
      </c>
      <c r="AO6" s="13">
        <f>'Market Sizing'!AO14*training_pct*training_fee/'Market Sizing'!AO5</f>
        <v/>
      </c>
      <c r="AP6" s="13">
        <f>'Market Sizing'!AP14*training_pct*training_fee/'Market Sizing'!AP5</f>
        <v/>
      </c>
      <c r="AQ6" s="13">
        <f>'Market Sizing'!AQ14*training_pct*training_fee/'Market Sizing'!AQ5</f>
        <v/>
      </c>
      <c r="AR6" s="13">
        <f>'Market Sizing'!AR14*training_pct*training_fee/'Market Sizing'!AR5</f>
        <v/>
      </c>
    </row>
    <row r="7">
      <c r="A7" s="6" t="inlineStr">
        <is>
          <t xml:space="preserve">  Audit fees</t>
        </is>
      </c>
      <c r="B7" s="6" t="inlineStr">
        <is>
          <t>M VND</t>
        </is>
      </c>
      <c r="C7" s="13">
        <f>'Market Sizing'!C14*audit_fee/'Market Sizing'!C5</f>
        <v/>
      </c>
      <c r="D7" s="13">
        <f>'Market Sizing'!D14*audit_fee/'Market Sizing'!D5</f>
        <v/>
      </c>
      <c r="E7" s="13">
        <f>'Market Sizing'!E14*audit_fee/'Market Sizing'!E5</f>
        <v/>
      </c>
      <c r="F7" s="13">
        <f>'Market Sizing'!F14*audit_fee/'Market Sizing'!F5</f>
        <v/>
      </c>
      <c r="G7" s="13">
        <f>'Market Sizing'!G14*audit_fee/'Market Sizing'!G5</f>
        <v/>
      </c>
      <c r="H7" s="13">
        <f>'Market Sizing'!H14*audit_fee/'Market Sizing'!H5</f>
        <v/>
      </c>
      <c r="I7" s="13">
        <f>'Market Sizing'!I14*audit_fee/'Market Sizing'!I5</f>
        <v/>
      </c>
      <c r="J7" s="13">
        <f>'Market Sizing'!J14*audit_fee/'Market Sizing'!J5</f>
        <v/>
      </c>
      <c r="K7" s="13">
        <f>'Market Sizing'!K14*audit_fee/'Market Sizing'!K5</f>
        <v/>
      </c>
      <c r="L7" s="13">
        <f>'Market Sizing'!L14*audit_fee/'Market Sizing'!L5</f>
        <v/>
      </c>
      <c r="M7" s="13">
        <f>'Market Sizing'!M14*audit_fee/'Market Sizing'!M5</f>
        <v/>
      </c>
      <c r="N7" s="13">
        <f>'Market Sizing'!N14*audit_fee/'Market Sizing'!N5</f>
        <v/>
      </c>
      <c r="O7" s="13">
        <f>'Market Sizing'!O14*audit_fee/'Market Sizing'!O5</f>
        <v/>
      </c>
      <c r="P7" s="13">
        <f>'Market Sizing'!P14*audit_fee/'Market Sizing'!P5</f>
        <v/>
      </c>
      <c r="Q7" s="13">
        <f>'Market Sizing'!Q14*audit_fee/'Market Sizing'!Q5</f>
        <v/>
      </c>
      <c r="R7" s="13">
        <f>'Market Sizing'!R14*audit_fee/'Market Sizing'!R5</f>
        <v/>
      </c>
      <c r="S7" s="13">
        <f>'Market Sizing'!S14*audit_fee/'Market Sizing'!S5</f>
        <v/>
      </c>
      <c r="T7" s="13">
        <f>'Market Sizing'!T14*audit_fee/'Market Sizing'!T5</f>
        <v/>
      </c>
      <c r="U7" s="13">
        <f>'Market Sizing'!U14*audit_fee/'Market Sizing'!U5</f>
        <v/>
      </c>
      <c r="V7" s="13">
        <f>'Market Sizing'!V14*audit_fee/'Market Sizing'!V5</f>
        <v/>
      </c>
      <c r="W7" s="13">
        <f>'Market Sizing'!W14*audit_fee/'Market Sizing'!W5</f>
        <v/>
      </c>
      <c r="X7" s="13">
        <f>'Market Sizing'!X14*audit_fee/'Market Sizing'!X5</f>
        <v/>
      </c>
      <c r="Y7" s="13">
        <f>'Market Sizing'!Y14*audit_fee/'Market Sizing'!Y5</f>
        <v/>
      </c>
      <c r="Z7" s="13">
        <f>'Market Sizing'!Z14*audit_fee/'Market Sizing'!Z5</f>
        <v/>
      </c>
      <c r="AA7" s="13">
        <f>'Market Sizing'!AA14*audit_fee/'Market Sizing'!AA5</f>
        <v/>
      </c>
      <c r="AB7" s="13">
        <f>'Market Sizing'!AB14*audit_fee/'Market Sizing'!AB5</f>
        <v/>
      </c>
      <c r="AC7" s="13">
        <f>'Market Sizing'!AC14*audit_fee/'Market Sizing'!AC5</f>
        <v/>
      </c>
      <c r="AD7" s="13">
        <f>'Market Sizing'!AD14*audit_fee/'Market Sizing'!AD5</f>
        <v/>
      </c>
      <c r="AE7" s="13">
        <f>'Market Sizing'!AE14*audit_fee/'Market Sizing'!AE5</f>
        <v/>
      </c>
      <c r="AF7" s="13">
        <f>'Market Sizing'!AF14*audit_fee/'Market Sizing'!AF5</f>
        <v/>
      </c>
      <c r="AG7" s="13">
        <f>'Market Sizing'!AG14*audit_fee/'Market Sizing'!AG5</f>
        <v/>
      </c>
      <c r="AH7" s="13">
        <f>'Market Sizing'!AH14*audit_fee/'Market Sizing'!AH5</f>
        <v/>
      </c>
      <c r="AI7" s="13">
        <f>'Market Sizing'!AI14*audit_fee/'Market Sizing'!AI5</f>
        <v/>
      </c>
      <c r="AJ7" s="13">
        <f>'Market Sizing'!AJ14*audit_fee/'Market Sizing'!AJ5</f>
        <v/>
      </c>
      <c r="AK7" s="13">
        <f>'Market Sizing'!AK14*audit_fee/'Market Sizing'!AK5</f>
        <v/>
      </c>
      <c r="AL7" s="13">
        <f>'Market Sizing'!AL14*audit_fee/'Market Sizing'!AL5</f>
        <v/>
      </c>
      <c r="AM7" s="13">
        <f>'Market Sizing'!AM14*audit_fee/'Market Sizing'!AM5</f>
        <v/>
      </c>
      <c r="AN7" s="13">
        <f>'Market Sizing'!AN14*audit_fee/'Market Sizing'!AN5</f>
        <v/>
      </c>
      <c r="AO7" s="13">
        <f>'Market Sizing'!AO14*audit_fee/'Market Sizing'!AO5</f>
        <v/>
      </c>
      <c r="AP7" s="13">
        <f>'Market Sizing'!AP14*audit_fee/'Market Sizing'!AP5</f>
        <v/>
      </c>
      <c r="AQ7" s="13">
        <f>'Market Sizing'!AQ14*audit_fee/'Market Sizing'!AQ5</f>
        <v/>
      </c>
      <c r="AR7" s="13">
        <f>'Market Sizing'!AR14*audit_fee/'Market Sizing'!AR5</f>
        <v/>
      </c>
    </row>
    <row r="8">
      <c r="A8" s="6" t="inlineStr">
        <is>
          <t>Subtotal Stage 1</t>
        </is>
      </c>
      <c r="B8" s="6" t="inlineStr">
        <is>
          <t>M VND</t>
        </is>
      </c>
      <c r="C8" s="12">
        <f>SUM(C5:C7)</f>
        <v/>
      </c>
      <c r="D8" s="12">
        <f>SUM(D5:D7)</f>
        <v/>
      </c>
      <c r="E8" s="12">
        <f>SUM(E5:E7)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2">
        <f>SUM(M5:M7)</f>
        <v/>
      </c>
      <c r="N8" s="12">
        <f>SUM(N5:N7)</f>
        <v/>
      </c>
      <c r="O8" s="12">
        <f>SUM(O5:O7)</f>
        <v/>
      </c>
      <c r="P8" s="12">
        <f>SUM(P5:P7)</f>
        <v/>
      </c>
      <c r="Q8" s="12">
        <f>SUM(Q5:Q7)</f>
        <v/>
      </c>
      <c r="R8" s="12">
        <f>SUM(R5:R7)</f>
        <v/>
      </c>
      <c r="S8" s="12">
        <f>SUM(S5:S7)</f>
        <v/>
      </c>
      <c r="T8" s="12">
        <f>SUM(T5:T7)</f>
        <v/>
      </c>
      <c r="U8" s="12">
        <f>SUM(U5:U7)</f>
        <v/>
      </c>
      <c r="V8" s="12">
        <f>SUM(V5:V7)</f>
        <v/>
      </c>
      <c r="W8" s="12">
        <f>SUM(W5:W7)</f>
        <v/>
      </c>
      <c r="X8" s="12">
        <f>SUM(X5:X7)</f>
        <v/>
      </c>
      <c r="Y8" s="12">
        <f>SUM(Y5:Y7)</f>
        <v/>
      </c>
      <c r="Z8" s="12">
        <f>SUM(Z5:Z7)</f>
        <v/>
      </c>
      <c r="AA8" s="12">
        <f>SUM(AA5:AA7)</f>
        <v/>
      </c>
      <c r="AB8" s="12">
        <f>SUM(AB5:AB7)</f>
        <v/>
      </c>
      <c r="AC8" s="12">
        <f>SUM(AC5:AC7)</f>
        <v/>
      </c>
      <c r="AD8" s="12">
        <f>SUM(AD5:AD7)</f>
        <v/>
      </c>
      <c r="AE8" s="12">
        <f>SUM(AE5:AE7)</f>
        <v/>
      </c>
      <c r="AF8" s="12">
        <f>SUM(AF5:AF7)</f>
        <v/>
      </c>
      <c r="AG8" s="12">
        <f>SUM(AG5:AG7)</f>
        <v/>
      </c>
      <c r="AH8" s="12">
        <f>SUM(AH5:AH7)</f>
        <v/>
      </c>
      <c r="AI8" s="12">
        <f>SUM(AI5:AI7)</f>
        <v/>
      </c>
      <c r="AJ8" s="12">
        <f>SUM(AJ5:AJ7)</f>
        <v/>
      </c>
      <c r="AK8" s="12">
        <f>SUM(AK5:AK7)</f>
        <v/>
      </c>
      <c r="AL8" s="12">
        <f>SUM(AL5:AL7)</f>
        <v/>
      </c>
      <c r="AM8" s="12">
        <f>SUM(AM5:AM7)</f>
        <v/>
      </c>
      <c r="AN8" s="12">
        <f>SUM(AN5:AN7)</f>
        <v/>
      </c>
      <c r="AO8" s="12">
        <f>SUM(AO5:AO7)</f>
        <v/>
      </c>
      <c r="AP8" s="12">
        <f>SUM(AP5:AP7)</f>
        <v/>
      </c>
      <c r="AQ8" s="12">
        <f>SUM(AQ5:AQ7)</f>
        <v/>
      </c>
      <c r="AR8" s="12">
        <f>SUM(AR5:AR7)</f>
        <v/>
      </c>
    </row>
    <row r="10">
      <c r="A10" s="1" t="inlineStr">
        <is>
          <t>STAGE 2 REVENUE (gated)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</row>
    <row r="11">
      <c r="A11" s="6" t="inlineStr">
        <is>
          <t xml:space="preserve">  Transaction fees</t>
        </is>
      </c>
      <c r="B11" s="6" t="inlineStr">
        <is>
          <t>M VND</t>
        </is>
      </c>
      <c r="C11" s="13">
        <f>IF('Market Sizing'!C14&gt;=stage2_gate,'Market Sizing'!C9*platform_market_share*tx_take_rate*1000,0)</f>
        <v/>
      </c>
      <c r="D11" s="13">
        <f>IF('Market Sizing'!D14&gt;=stage2_gate,'Market Sizing'!D9*platform_market_share*tx_take_rate*1000,0)</f>
        <v/>
      </c>
      <c r="E11" s="13">
        <f>IF('Market Sizing'!E14&gt;=stage2_gate,'Market Sizing'!E9*platform_market_share*tx_take_rate*1000,0)</f>
        <v/>
      </c>
      <c r="F11" s="13">
        <f>IF('Market Sizing'!F14&gt;=stage2_gate,'Market Sizing'!F9*platform_market_share*tx_take_rate*1000,0)</f>
        <v/>
      </c>
      <c r="G11" s="13">
        <f>IF('Market Sizing'!G14&gt;=stage2_gate,'Market Sizing'!G9*platform_market_share*tx_take_rate*1000,0)</f>
        <v/>
      </c>
      <c r="H11" s="13">
        <f>IF('Market Sizing'!H14&gt;=stage2_gate,'Market Sizing'!H9*platform_market_share*tx_take_rate*1000,0)</f>
        <v/>
      </c>
      <c r="I11" s="13">
        <f>IF('Market Sizing'!I14&gt;=stage2_gate,'Market Sizing'!I9*platform_market_share*tx_take_rate*1000,0)</f>
        <v/>
      </c>
      <c r="J11" s="13">
        <f>IF('Market Sizing'!J14&gt;=stage2_gate,'Market Sizing'!J9*platform_market_share*tx_take_rate*1000,0)</f>
        <v/>
      </c>
      <c r="K11" s="13">
        <f>IF('Market Sizing'!K14&gt;=stage2_gate,'Market Sizing'!K9*platform_market_share*tx_take_rate*1000,0)</f>
        <v/>
      </c>
      <c r="L11" s="13">
        <f>IF('Market Sizing'!L14&gt;=stage2_gate,'Market Sizing'!L9*platform_market_share*tx_take_rate*1000,0)</f>
        <v/>
      </c>
      <c r="M11" s="13">
        <f>IF('Market Sizing'!M14&gt;=stage2_gate,'Market Sizing'!M9*platform_market_share*tx_take_rate*1000,0)</f>
        <v/>
      </c>
      <c r="N11" s="13">
        <f>IF('Market Sizing'!N14&gt;=stage2_gate,'Market Sizing'!N9*platform_market_share*tx_take_rate*1000,0)</f>
        <v/>
      </c>
      <c r="O11" s="13">
        <f>IF('Market Sizing'!O14&gt;=stage2_gate,'Market Sizing'!O9*platform_market_share*tx_take_rate*1000,0)</f>
        <v/>
      </c>
      <c r="P11" s="13">
        <f>IF('Market Sizing'!P14&gt;=stage2_gate,'Market Sizing'!P9*platform_market_share*tx_take_rate*1000,0)</f>
        <v/>
      </c>
      <c r="Q11" s="13">
        <f>IF('Market Sizing'!Q14&gt;=stage2_gate,'Market Sizing'!Q9*platform_market_share*tx_take_rate*1000,0)</f>
        <v/>
      </c>
      <c r="R11" s="13">
        <f>IF('Market Sizing'!R14&gt;=stage2_gate,'Market Sizing'!R9*platform_market_share*tx_take_rate*1000,0)</f>
        <v/>
      </c>
      <c r="S11" s="13">
        <f>IF('Market Sizing'!S14&gt;=stage2_gate,'Market Sizing'!S9*platform_market_share*tx_take_rate*1000,0)</f>
        <v/>
      </c>
      <c r="T11" s="13">
        <f>IF('Market Sizing'!T14&gt;=stage2_gate,'Market Sizing'!T9*platform_market_share*tx_take_rate*1000,0)</f>
        <v/>
      </c>
      <c r="U11" s="13">
        <f>IF('Market Sizing'!U14&gt;=stage2_gate,'Market Sizing'!U9*platform_market_share*tx_take_rate*1000,0)</f>
        <v/>
      </c>
      <c r="V11" s="13">
        <f>IF('Market Sizing'!V14&gt;=stage2_gate,'Market Sizing'!V9*platform_market_share*tx_take_rate*1000,0)</f>
        <v/>
      </c>
      <c r="W11" s="13">
        <f>IF('Market Sizing'!W14&gt;=stage2_gate,'Market Sizing'!W9*platform_market_share*tx_take_rate*1000,0)</f>
        <v/>
      </c>
      <c r="X11" s="13">
        <f>IF('Market Sizing'!X14&gt;=stage2_gate,'Market Sizing'!X9*platform_market_share*tx_take_rate*1000,0)</f>
        <v/>
      </c>
      <c r="Y11" s="13">
        <f>IF('Market Sizing'!Y14&gt;=stage2_gate,'Market Sizing'!Y9*platform_market_share*tx_take_rate*1000,0)</f>
        <v/>
      </c>
      <c r="Z11" s="13">
        <f>IF('Market Sizing'!Z14&gt;=stage2_gate,'Market Sizing'!Z9*platform_market_share*tx_take_rate*1000,0)</f>
        <v/>
      </c>
      <c r="AA11" s="13">
        <f>IF('Market Sizing'!AA14&gt;=stage2_gate,'Market Sizing'!AA9*platform_market_share*tx_take_rate*1000,0)</f>
        <v/>
      </c>
      <c r="AB11" s="13">
        <f>IF('Market Sizing'!AB14&gt;=stage2_gate,'Market Sizing'!AB9*platform_market_share*tx_take_rate*1000,0)</f>
        <v/>
      </c>
      <c r="AC11" s="13">
        <f>IF('Market Sizing'!AC14&gt;=stage2_gate,'Market Sizing'!AC9*platform_market_share*tx_take_rate*1000,0)</f>
        <v/>
      </c>
      <c r="AD11" s="13">
        <f>IF('Market Sizing'!AD14&gt;=stage2_gate,'Market Sizing'!AD9*platform_market_share*tx_take_rate*1000,0)</f>
        <v/>
      </c>
      <c r="AE11" s="13">
        <f>IF('Market Sizing'!AE14&gt;=stage2_gate,'Market Sizing'!AE9*platform_market_share*tx_take_rate*1000,0)</f>
        <v/>
      </c>
      <c r="AF11" s="13">
        <f>IF('Market Sizing'!AF14&gt;=stage2_gate,'Market Sizing'!AF9*platform_market_share*tx_take_rate*1000,0)</f>
        <v/>
      </c>
      <c r="AG11" s="13">
        <f>IF('Market Sizing'!AG14&gt;=stage2_gate,'Market Sizing'!AG9*platform_market_share*tx_take_rate*1000,0)</f>
        <v/>
      </c>
      <c r="AH11" s="13">
        <f>IF('Market Sizing'!AH14&gt;=stage2_gate,'Market Sizing'!AH9*platform_market_share*tx_take_rate*1000,0)</f>
        <v/>
      </c>
      <c r="AI11" s="13">
        <f>IF('Market Sizing'!AI14&gt;=stage2_gate,'Market Sizing'!AI9*platform_market_share*tx_take_rate*1000,0)</f>
        <v/>
      </c>
      <c r="AJ11" s="13">
        <f>IF('Market Sizing'!AJ14&gt;=stage2_gate,'Market Sizing'!AJ9*platform_market_share*tx_take_rate*1000,0)</f>
        <v/>
      </c>
      <c r="AK11" s="13">
        <f>IF('Market Sizing'!AK14&gt;=stage2_gate,'Market Sizing'!AK9*platform_market_share*tx_take_rate*1000,0)</f>
        <v/>
      </c>
      <c r="AL11" s="13">
        <f>IF('Market Sizing'!AL14&gt;=stage2_gate,'Market Sizing'!AL9*platform_market_share*tx_take_rate*1000,0)</f>
        <v/>
      </c>
      <c r="AM11" s="13">
        <f>IF('Market Sizing'!AM14&gt;=stage2_gate,'Market Sizing'!AM9*platform_market_share*tx_take_rate*1000,0)</f>
        <v/>
      </c>
      <c r="AN11" s="13">
        <f>IF('Market Sizing'!AN14&gt;=stage2_gate,'Market Sizing'!AN9*platform_market_share*tx_take_rate*1000,0)</f>
        <v/>
      </c>
      <c r="AO11" s="13">
        <f>IF('Market Sizing'!AO14&gt;=stage2_gate,'Market Sizing'!AO9*platform_market_share*tx_take_rate*1000,0)</f>
        <v/>
      </c>
      <c r="AP11" s="13">
        <f>IF('Market Sizing'!AP14&gt;=stage2_gate,'Market Sizing'!AP9*platform_market_share*tx_take_rate*1000,0)</f>
        <v/>
      </c>
      <c r="AQ11" s="13">
        <f>IF('Market Sizing'!AQ14&gt;=stage2_gate,'Market Sizing'!AQ9*platform_market_share*tx_take_rate*1000,0)</f>
        <v/>
      </c>
      <c r="AR11" s="13">
        <f>IF('Market Sizing'!AR14&gt;=stage2_gate,'Market Sizing'!AR9*platform_market_share*tx_take_rate*1000,0)</f>
        <v/>
      </c>
    </row>
    <row r="12">
      <c r="A12" s="6" t="inlineStr">
        <is>
          <t xml:space="preserve">  DaaS</t>
        </is>
      </c>
      <c r="B12" s="6" t="inlineStr">
        <is>
          <t>M VND</t>
        </is>
      </c>
      <c r="C12" s="13">
        <f>IF('Market Sizing'!C14&gt;=stage2_gate,'Market Sizing'!C16*daas_price,0)</f>
        <v/>
      </c>
      <c r="D12" s="13">
        <f>IF('Market Sizing'!D14&gt;=stage2_gate,'Market Sizing'!D16*daas_price,0)</f>
        <v/>
      </c>
      <c r="E12" s="13">
        <f>IF('Market Sizing'!E14&gt;=stage2_gate,'Market Sizing'!E16*daas_price,0)</f>
        <v/>
      </c>
      <c r="F12" s="13">
        <f>IF('Market Sizing'!F14&gt;=stage2_gate,'Market Sizing'!F16*daas_price,0)</f>
        <v/>
      </c>
      <c r="G12" s="13">
        <f>IF('Market Sizing'!G14&gt;=stage2_gate,'Market Sizing'!G16*daas_price,0)</f>
        <v/>
      </c>
      <c r="H12" s="13">
        <f>IF('Market Sizing'!H14&gt;=stage2_gate,'Market Sizing'!H16*daas_price,0)</f>
        <v/>
      </c>
      <c r="I12" s="13">
        <f>IF('Market Sizing'!I14&gt;=stage2_gate,'Market Sizing'!I16*daas_price,0)</f>
        <v/>
      </c>
      <c r="J12" s="13">
        <f>IF('Market Sizing'!J14&gt;=stage2_gate,'Market Sizing'!J16*daas_price,0)</f>
        <v/>
      </c>
      <c r="K12" s="13">
        <f>IF('Market Sizing'!K14&gt;=stage2_gate,'Market Sizing'!K16*daas_price,0)</f>
        <v/>
      </c>
      <c r="L12" s="13">
        <f>IF('Market Sizing'!L14&gt;=stage2_gate,'Market Sizing'!L16*daas_price,0)</f>
        <v/>
      </c>
      <c r="M12" s="13">
        <f>IF('Market Sizing'!M14&gt;=stage2_gate,'Market Sizing'!M16*daas_price,0)</f>
        <v/>
      </c>
      <c r="N12" s="13">
        <f>IF('Market Sizing'!N14&gt;=stage2_gate,'Market Sizing'!N16*daas_price,0)</f>
        <v/>
      </c>
      <c r="O12" s="13">
        <f>IF('Market Sizing'!O14&gt;=stage2_gate,'Market Sizing'!O16*daas_price,0)</f>
        <v/>
      </c>
      <c r="P12" s="13">
        <f>IF('Market Sizing'!P14&gt;=stage2_gate,'Market Sizing'!P16*daas_price,0)</f>
        <v/>
      </c>
      <c r="Q12" s="13">
        <f>IF('Market Sizing'!Q14&gt;=stage2_gate,'Market Sizing'!Q16*daas_price,0)</f>
        <v/>
      </c>
      <c r="R12" s="13">
        <f>IF('Market Sizing'!R14&gt;=stage2_gate,'Market Sizing'!R16*daas_price,0)</f>
        <v/>
      </c>
      <c r="S12" s="13">
        <f>IF('Market Sizing'!S14&gt;=stage2_gate,'Market Sizing'!S16*daas_price,0)</f>
        <v/>
      </c>
      <c r="T12" s="13">
        <f>IF('Market Sizing'!T14&gt;=stage2_gate,'Market Sizing'!T16*daas_price,0)</f>
        <v/>
      </c>
      <c r="U12" s="13">
        <f>IF('Market Sizing'!U14&gt;=stage2_gate,'Market Sizing'!U16*daas_price,0)</f>
        <v/>
      </c>
      <c r="V12" s="13">
        <f>IF('Market Sizing'!V14&gt;=stage2_gate,'Market Sizing'!V16*daas_price,0)</f>
        <v/>
      </c>
      <c r="W12" s="13">
        <f>IF('Market Sizing'!W14&gt;=stage2_gate,'Market Sizing'!W16*daas_price,0)</f>
        <v/>
      </c>
      <c r="X12" s="13">
        <f>IF('Market Sizing'!X14&gt;=stage2_gate,'Market Sizing'!X16*daas_price,0)</f>
        <v/>
      </c>
      <c r="Y12" s="13">
        <f>IF('Market Sizing'!Y14&gt;=stage2_gate,'Market Sizing'!Y16*daas_price,0)</f>
        <v/>
      </c>
      <c r="Z12" s="13">
        <f>IF('Market Sizing'!Z14&gt;=stage2_gate,'Market Sizing'!Z16*daas_price,0)</f>
        <v/>
      </c>
      <c r="AA12" s="13">
        <f>IF('Market Sizing'!AA14&gt;=stage2_gate,'Market Sizing'!AA16*daas_price,0)</f>
        <v/>
      </c>
      <c r="AB12" s="13">
        <f>IF('Market Sizing'!AB14&gt;=stage2_gate,'Market Sizing'!AB16*daas_price,0)</f>
        <v/>
      </c>
      <c r="AC12" s="13">
        <f>IF('Market Sizing'!AC14&gt;=stage2_gate,'Market Sizing'!AC16*daas_price,0)</f>
        <v/>
      </c>
      <c r="AD12" s="13">
        <f>IF('Market Sizing'!AD14&gt;=stage2_gate,'Market Sizing'!AD16*daas_price,0)</f>
        <v/>
      </c>
      <c r="AE12" s="13">
        <f>IF('Market Sizing'!AE14&gt;=stage2_gate,'Market Sizing'!AE16*daas_price,0)</f>
        <v/>
      </c>
      <c r="AF12" s="13">
        <f>IF('Market Sizing'!AF14&gt;=stage2_gate,'Market Sizing'!AF16*daas_price,0)</f>
        <v/>
      </c>
      <c r="AG12" s="13">
        <f>IF('Market Sizing'!AG14&gt;=stage2_gate,'Market Sizing'!AG16*daas_price,0)</f>
        <v/>
      </c>
      <c r="AH12" s="13">
        <f>IF('Market Sizing'!AH14&gt;=stage2_gate,'Market Sizing'!AH16*daas_price,0)</f>
        <v/>
      </c>
      <c r="AI12" s="13">
        <f>IF('Market Sizing'!AI14&gt;=stage2_gate,'Market Sizing'!AI16*daas_price,0)</f>
        <v/>
      </c>
      <c r="AJ12" s="13">
        <f>IF('Market Sizing'!AJ14&gt;=stage2_gate,'Market Sizing'!AJ16*daas_price,0)</f>
        <v/>
      </c>
      <c r="AK12" s="13">
        <f>IF('Market Sizing'!AK14&gt;=stage2_gate,'Market Sizing'!AK16*daas_price,0)</f>
        <v/>
      </c>
      <c r="AL12" s="13">
        <f>IF('Market Sizing'!AL14&gt;=stage2_gate,'Market Sizing'!AL16*daas_price,0)</f>
        <v/>
      </c>
      <c r="AM12" s="13">
        <f>IF('Market Sizing'!AM14&gt;=stage2_gate,'Market Sizing'!AM16*daas_price,0)</f>
        <v/>
      </c>
      <c r="AN12" s="13">
        <f>IF('Market Sizing'!AN14&gt;=stage2_gate,'Market Sizing'!AN16*daas_price,0)</f>
        <v/>
      </c>
      <c r="AO12" s="13">
        <f>IF('Market Sizing'!AO14&gt;=stage2_gate,'Market Sizing'!AO16*daas_price,0)</f>
        <v/>
      </c>
      <c r="AP12" s="13">
        <f>IF('Market Sizing'!AP14&gt;=stage2_gate,'Market Sizing'!AP16*daas_price,0)</f>
        <v/>
      </c>
      <c r="AQ12" s="13">
        <f>IF('Market Sizing'!AQ14&gt;=stage2_gate,'Market Sizing'!AQ16*daas_price,0)</f>
        <v/>
      </c>
      <c r="AR12" s="13">
        <f>IF('Market Sizing'!AR14&gt;=stage2_gate,'Market Sizing'!AR16*daas_price,0)</f>
        <v/>
      </c>
    </row>
    <row r="13">
      <c r="A13" s="6" t="inlineStr">
        <is>
          <t xml:space="preserve">  Advertising</t>
        </is>
      </c>
      <c r="B13" s="6" t="inlineStr">
        <is>
          <t>M VND</t>
        </is>
      </c>
      <c r="C13" s="13">
        <f>IF('Market Sizing'!C14&gt;=stage2_gate,ad_impressions_base*'Market Sizing'!C6*'Market Sizing'!C14/1000*ad_cpm/1000,0)</f>
        <v/>
      </c>
      <c r="D13" s="13">
        <f>IF('Market Sizing'!D14&gt;=stage2_gate,ad_impressions_base*'Market Sizing'!D6*'Market Sizing'!D14/1000*ad_cpm/1000,0)</f>
        <v/>
      </c>
      <c r="E13" s="13">
        <f>IF('Market Sizing'!E14&gt;=stage2_gate,ad_impressions_base*'Market Sizing'!E6*'Market Sizing'!E14/1000*ad_cpm/1000,0)</f>
        <v/>
      </c>
      <c r="F13" s="13">
        <f>IF('Market Sizing'!F14&gt;=stage2_gate,ad_impressions_base*'Market Sizing'!F6*'Market Sizing'!F14/1000*ad_cpm/1000,0)</f>
        <v/>
      </c>
      <c r="G13" s="13">
        <f>IF('Market Sizing'!G14&gt;=stage2_gate,ad_impressions_base*'Market Sizing'!G6*'Market Sizing'!G14/1000*ad_cpm/1000,0)</f>
        <v/>
      </c>
      <c r="H13" s="13">
        <f>IF('Market Sizing'!H14&gt;=stage2_gate,ad_impressions_base*'Market Sizing'!H6*'Market Sizing'!H14/1000*ad_cpm/1000,0)</f>
        <v/>
      </c>
      <c r="I13" s="13">
        <f>IF('Market Sizing'!I14&gt;=stage2_gate,ad_impressions_base*'Market Sizing'!I6*'Market Sizing'!I14/1000*ad_cpm/1000,0)</f>
        <v/>
      </c>
      <c r="J13" s="13">
        <f>IF('Market Sizing'!J14&gt;=stage2_gate,ad_impressions_base*'Market Sizing'!J6*'Market Sizing'!J14/1000*ad_cpm/1000,0)</f>
        <v/>
      </c>
      <c r="K13" s="13">
        <f>IF('Market Sizing'!K14&gt;=stage2_gate,ad_impressions_base*'Market Sizing'!K6*'Market Sizing'!K14/1000*ad_cpm/1000,0)</f>
        <v/>
      </c>
      <c r="L13" s="13">
        <f>IF('Market Sizing'!L14&gt;=stage2_gate,ad_impressions_base*'Market Sizing'!L6*'Market Sizing'!L14/1000*ad_cpm/1000,0)</f>
        <v/>
      </c>
      <c r="M13" s="13">
        <f>IF('Market Sizing'!M14&gt;=stage2_gate,ad_impressions_base*'Market Sizing'!M6*'Market Sizing'!M14/1000*ad_cpm/1000,0)</f>
        <v/>
      </c>
      <c r="N13" s="13">
        <f>IF('Market Sizing'!N14&gt;=stage2_gate,ad_impressions_base*'Market Sizing'!N6*'Market Sizing'!N14/1000*ad_cpm/1000,0)</f>
        <v/>
      </c>
      <c r="O13" s="13">
        <f>IF('Market Sizing'!O14&gt;=stage2_gate,ad_impressions_base*'Market Sizing'!O6*'Market Sizing'!O14/1000*ad_cpm/1000,0)</f>
        <v/>
      </c>
      <c r="P13" s="13">
        <f>IF('Market Sizing'!P14&gt;=stage2_gate,ad_impressions_base*'Market Sizing'!P6*'Market Sizing'!P14/1000*ad_cpm/1000,0)</f>
        <v/>
      </c>
      <c r="Q13" s="13">
        <f>IF('Market Sizing'!Q14&gt;=stage2_gate,ad_impressions_base*'Market Sizing'!Q6*'Market Sizing'!Q14/1000*ad_cpm/1000,0)</f>
        <v/>
      </c>
      <c r="R13" s="13">
        <f>IF('Market Sizing'!R14&gt;=stage2_gate,ad_impressions_base*'Market Sizing'!R6*'Market Sizing'!R14/1000*ad_cpm/1000,0)</f>
        <v/>
      </c>
      <c r="S13" s="13">
        <f>IF('Market Sizing'!S14&gt;=stage2_gate,ad_impressions_base*'Market Sizing'!S6*'Market Sizing'!S14/1000*ad_cpm/1000,0)</f>
        <v/>
      </c>
      <c r="T13" s="13">
        <f>IF('Market Sizing'!T14&gt;=stage2_gate,ad_impressions_base*'Market Sizing'!T6*'Market Sizing'!T14/1000*ad_cpm/1000,0)</f>
        <v/>
      </c>
      <c r="U13" s="13">
        <f>IF('Market Sizing'!U14&gt;=stage2_gate,ad_impressions_base*'Market Sizing'!U6*'Market Sizing'!U14/1000*ad_cpm/1000,0)</f>
        <v/>
      </c>
      <c r="V13" s="13">
        <f>IF('Market Sizing'!V14&gt;=stage2_gate,ad_impressions_base*'Market Sizing'!V6*'Market Sizing'!V14/1000*ad_cpm/1000,0)</f>
        <v/>
      </c>
      <c r="W13" s="13">
        <f>IF('Market Sizing'!W14&gt;=stage2_gate,ad_impressions_base*'Market Sizing'!W6*'Market Sizing'!W14/1000*ad_cpm/1000,0)</f>
        <v/>
      </c>
      <c r="X13" s="13">
        <f>IF('Market Sizing'!X14&gt;=stage2_gate,ad_impressions_base*'Market Sizing'!X6*'Market Sizing'!X14/1000*ad_cpm/1000,0)</f>
        <v/>
      </c>
      <c r="Y13" s="13">
        <f>IF('Market Sizing'!Y14&gt;=stage2_gate,ad_impressions_base*'Market Sizing'!Y6*'Market Sizing'!Y14/1000*ad_cpm/1000,0)</f>
        <v/>
      </c>
      <c r="Z13" s="13">
        <f>IF('Market Sizing'!Z14&gt;=stage2_gate,ad_impressions_base*'Market Sizing'!Z6*'Market Sizing'!Z14/1000*ad_cpm/1000,0)</f>
        <v/>
      </c>
      <c r="AA13" s="13">
        <f>IF('Market Sizing'!AA14&gt;=stage2_gate,ad_impressions_base*'Market Sizing'!AA6*'Market Sizing'!AA14/1000*ad_cpm/1000,0)</f>
        <v/>
      </c>
      <c r="AB13" s="13">
        <f>IF('Market Sizing'!AB14&gt;=stage2_gate,ad_impressions_base*'Market Sizing'!AB6*'Market Sizing'!AB14/1000*ad_cpm/1000,0)</f>
        <v/>
      </c>
      <c r="AC13" s="13">
        <f>IF('Market Sizing'!AC14&gt;=stage2_gate,ad_impressions_base*'Market Sizing'!AC6*'Market Sizing'!AC14/1000*ad_cpm/1000,0)</f>
        <v/>
      </c>
      <c r="AD13" s="13">
        <f>IF('Market Sizing'!AD14&gt;=stage2_gate,ad_impressions_base*'Market Sizing'!AD6*'Market Sizing'!AD14/1000*ad_cpm/1000,0)</f>
        <v/>
      </c>
      <c r="AE13" s="13">
        <f>IF('Market Sizing'!AE14&gt;=stage2_gate,ad_impressions_base*'Market Sizing'!AE6*'Market Sizing'!AE14/1000*ad_cpm/1000,0)</f>
        <v/>
      </c>
      <c r="AF13" s="13">
        <f>IF('Market Sizing'!AF14&gt;=stage2_gate,ad_impressions_base*'Market Sizing'!AF6*'Market Sizing'!AF14/1000*ad_cpm/1000,0)</f>
        <v/>
      </c>
      <c r="AG13" s="13">
        <f>IF('Market Sizing'!AG14&gt;=stage2_gate,ad_impressions_base*'Market Sizing'!AG6*'Market Sizing'!AG14/1000*ad_cpm/1000,0)</f>
        <v/>
      </c>
      <c r="AH13" s="13">
        <f>IF('Market Sizing'!AH14&gt;=stage2_gate,ad_impressions_base*'Market Sizing'!AH6*'Market Sizing'!AH14/1000*ad_cpm/1000,0)</f>
        <v/>
      </c>
      <c r="AI13" s="13">
        <f>IF('Market Sizing'!AI14&gt;=stage2_gate,ad_impressions_base*'Market Sizing'!AI6*'Market Sizing'!AI14/1000*ad_cpm/1000,0)</f>
        <v/>
      </c>
      <c r="AJ13" s="13">
        <f>IF('Market Sizing'!AJ14&gt;=stage2_gate,ad_impressions_base*'Market Sizing'!AJ6*'Market Sizing'!AJ14/1000*ad_cpm/1000,0)</f>
        <v/>
      </c>
      <c r="AK13" s="13">
        <f>IF('Market Sizing'!AK14&gt;=stage2_gate,ad_impressions_base*'Market Sizing'!AK6*'Market Sizing'!AK14/1000*ad_cpm/1000,0)</f>
        <v/>
      </c>
      <c r="AL13" s="13">
        <f>IF('Market Sizing'!AL14&gt;=stage2_gate,ad_impressions_base*'Market Sizing'!AL6*'Market Sizing'!AL14/1000*ad_cpm/1000,0)</f>
        <v/>
      </c>
      <c r="AM13" s="13">
        <f>IF('Market Sizing'!AM14&gt;=stage2_gate,ad_impressions_base*'Market Sizing'!AM6*'Market Sizing'!AM14/1000*ad_cpm/1000,0)</f>
        <v/>
      </c>
      <c r="AN13" s="13">
        <f>IF('Market Sizing'!AN14&gt;=stage2_gate,ad_impressions_base*'Market Sizing'!AN6*'Market Sizing'!AN14/1000*ad_cpm/1000,0)</f>
        <v/>
      </c>
      <c r="AO13" s="13">
        <f>IF('Market Sizing'!AO14&gt;=stage2_gate,ad_impressions_base*'Market Sizing'!AO6*'Market Sizing'!AO14/1000*ad_cpm/1000,0)</f>
        <v/>
      </c>
      <c r="AP13" s="13">
        <f>IF('Market Sizing'!AP14&gt;=stage2_gate,ad_impressions_base*'Market Sizing'!AP6*'Market Sizing'!AP14/1000*ad_cpm/1000,0)</f>
        <v/>
      </c>
      <c r="AQ13" s="13">
        <f>IF('Market Sizing'!AQ14&gt;=stage2_gate,ad_impressions_base*'Market Sizing'!AQ6*'Market Sizing'!AQ14/1000*ad_cpm/1000,0)</f>
        <v/>
      </c>
      <c r="AR13" s="13">
        <f>IF('Market Sizing'!AR14&gt;=stage2_gate,ad_impressions_base*'Market Sizing'!AR6*'Market Sizing'!AR14/1000*ad_cpm/1000,0)</f>
        <v/>
      </c>
    </row>
    <row r="14">
      <c r="A14" s="6" t="inlineStr">
        <is>
          <t>Subtotal Stage 2</t>
        </is>
      </c>
      <c r="B14" s="6" t="inlineStr">
        <is>
          <t>M VND</t>
        </is>
      </c>
      <c r="C14" s="12">
        <f>SUM(C11:C13)</f>
        <v/>
      </c>
      <c r="D14" s="12">
        <f>SUM(D11:D13)</f>
        <v/>
      </c>
      <c r="E14" s="12">
        <f>SUM(E11:E13)</f>
        <v/>
      </c>
      <c r="F14" s="12">
        <f>SUM(F11:F13)</f>
        <v/>
      </c>
      <c r="G14" s="12">
        <f>SUM(G11:G13)</f>
        <v/>
      </c>
      <c r="H14" s="12">
        <f>SUM(H11:H13)</f>
        <v/>
      </c>
      <c r="I14" s="12">
        <f>SUM(I11:I13)</f>
        <v/>
      </c>
      <c r="J14" s="12">
        <f>SUM(J11:J13)</f>
        <v/>
      </c>
      <c r="K14" s="12">
        <f>SUM(K11:K13)</f>
        <v/>
      </c>
      <c r="L14" s="12">
        <f>SUM(L11:L13)</f>
        <v/>
      </c>
      <c r="M14" s="12">
        <f>SUM(M11:M13)</f>
        <v/>
      </c>
      <c r="N14" s="12">
        <f>SUM(N11:N13)</f>
        <v/>
      </c>
      <c r="O14" s="12">
        <f>SUM(O11:O13)</f>
        <v/>
      </c>
      <c r="P14" s="12">
        <f>SUM(P11:P13)</f>
        <v/>
      </c>
      <c r="Q14" s="12">
        <f>SUM(Q11:Q13)</f>
        <v/>
      </c>
      <c r="R14" s="12">
        <f>SUM(R11:R13)</f>
        <v/>
      </c>
      <c r="S14" s="12">
        <f>SUM(S11:S13)</f>
        <v/>
      </c>
      <c r="T14" s="12">
        <f>SUM(T11:T13)</f>
        <v/>
      </c>
      <c r="U14" s="12">
        <f>SUM(U11:U13)</f>
        <v/>
      </c>
      <c r="V14" s="12">
        <f>SUM(V11:V13)</f>
        <v/>
      </c>
      <c r="W14" s="12">
        <f>SUM(W11:W13)</f>
        <v/>
      </c>
      <c r="X14" s="12">
        <f>SUM(X11:X13)</f>
        <v/>
      </c>
      <c r="Y14" s="12">
        <f>SUM(Y11:Y13)</f>
        <v/>
      </c>
      <c r="Z14" s="12">
        <f>SUM(Z11:Z13)</f>
        <v/>
      </c>
      <c r="AA14" s="12">
        <f>SUM(AA11:AA13)</f>
        <v/>
      </c>
      <c r="AB14" s="12">
        <f>SUM(AB11:AB13)</f>
        <v/>
      </c>
      <c r="AC14" s="12">
        <f>SUM(AC11:AC13)</f>
        <v/>
      </c>
      <c r="AD14" s="12">
        <f>SUM(AD11:AD13)</f>
        <v/>
      </c>
      <c r="AE14" s="12">
        <f>SUM(AE11:AE13)</f>
        <v/>
      </c>
      <c r="AF14" s="12">
        <f>SUM(AF11:AF13)</f>
        <v/>
      </c>
      <c r="AG14" s="12">
        <f>SUM(AG11:AG13)</f>
        <v/>
      </c>
      <c r="AH14" s="12">
        <f>SUM(AH11:AH13)</f>
        <v/>
      </c>
      <c r="AI14" s="12">
        <f>SUM(AI11:AI13)</f>
        <v/>
      </c>
      <c r="AJ14" s="12">
        <f>SUM(AJ11:AJ13)</f>
        <v/>
      </c>
      <c r="AK14" s="12">
        <f>SUM(AK11:AK13)</f>
        <v/>
      </c>
      <c r="AL14" s="12">
        <f>SUM(AL11:AL13)</f>
        <v/>
      </c>
      <c r="AM14" s="12">
        <f>SUM(AM11:AM13)</f>
        <v/>
      </c>
      <c r="AN14" s="12">
        <f>SUM(AN11:AN13)</f>
        <v/>
      </c>
      <c r="AO14" s="12">
        <f>SUM(AO11:AO13)</f>
        <v/>
      </c>
      <c r="AP14" s="12">
        <f>SUM(AP11:AP13)</f>
        <v/>
      </c>
      <c r="AQ14" s="12">
        <f>SUM(AQ11:AQ13)</f>
        <v/>
      </c>
      <c r="AR14" s="12">
        <f>SUM(AR11:AR13)</f>
        <v/>
      </c>
    </row>
    <row r="16">
      <c r="A16" s="6" t="inlineStr">
        <is>
          <t>TOTAL REVENUE</t>
        </is>
      </c>
      <c r="B16" s="6" t="inlineStr">
        <is>
          <t>M VND</t>
        </is>
      </c>
      <c r="C16" s="12">
        <f>C8+C14</f>
        <v/>
      </c>
      <c r="D16" s="12">
        <f>D8+D14</f>
        <v/>
      </c>
      <c r="E16" s="12">
        <f>E8+E14</f>
        <v/>
      </c>
      <c r="F16" s="12">
        <f>F8+F14</f>
        <v/>
      </c>
      <c r="G16" s="12">
        <f>G8+G14</f>
        <v/>
      </c>
      <c r="H16" s="12">
        <f>H8+H14</f>
        <v/>
      </c>
      <c r="I16" s="12">
        <f>I8+I14</f>
        <v/>
      </c>
      <c r="J16" s="12">
        <f>J8+J14</f>
        <v/>
      </c>
      <c r="K16" s="12">
        <f>K8+K14</f>
        <v/>
      </c>
      <c r="L16" s="12">
        <f>L8+L14</f>
        <v/>
      </c>
      <c r="M16" s="12">
        <f>M8+M14</f>
        <v/>
      </c>
      <c r="N16" s="12">
        <f>N8+N14</f>
        <v/>
      </c>
      <c r="O16" s="12">
        <f>O8+O14</f>
        <v/>
      </c>
      <c r="P16" s="12">
        <f>P8+P14</f>
        <v/>
      </c>
      <c r="Q16" s="12">
        <f>Q8+Q14</f>
        <v/>
      </c>
      <c r="R16" s="12">
        <f>R8+R14</f>
        <v/>
      </c>
      <c r="S16" s="12">
        <f>S8+S14</f>
        <v/>
      </c>
      <c r="T16" s="12">
        <f>T8+T14</f>
        <v/>
      </c>
      <c r="U16" s="12">
        <f>U8+U14</f>
        <v/>
      </c>
      <c r="V16" s="12">
        <f>V8+V14</f>
        <v/>
      </c>
      <c r="W16" s="12">
        <f>W8+W14</f>
        <v/>
      </c>
      <c r="X16" s="12">
        <f>X8+X14</f>
        <v/>
      </c>
      <c r="Y16" s="12">
        <f>Y8+Y14</f>
        <v/>
      </c>
      <c r="Z16" s="12">
        <f>Z8+Z14</f>
        <v/>
      </c>
      <c r="AA16" s="12">
        <f>AA8+AA14</f>
        <v/>
      </c>
      <c r="AB16" s="12">
        <f>AB8+AB14</f>
        <v/>
      </c>
      <c r="AC16" s="12">
        <f>AC8+AC14</f>
        <v/>
      </c>
      <c r="AD16" s="12">
        <f>AD8+AD14</f>
        <v/>
      </c>
      <c r="AE16" s="12">
        <f>AE8+AE14</f>
        <v/>
      </c>
      <c r="AF16" s="12">
        <f>AF8+AF14</f>
        <v/>
      </c>
      <c r="AG16" s="12">
        <f>AG8+AG14</f>
        <v/>
      </c>
      <c r="AH16" s="12">
        <f>AH8+AH14</f>
        <v/>
      </c>
      <c r="AI16" s="12">
        <f>AI8+AI14</f>
        <v/>
      </c>
      <c r="AJ16" s="12">
        <f>AJ8+AJ14</f>
        <v/>
      </c>
      <c r="AK16" s="12">
        <f>AK8+AK14</f>
        <v/>
      </c>
      <c r="AL16" s="12">
        <f>AL8+AL14</f>
        <v/>
      </c>
      <c r="AM16" s="12">
        <f>AM8+AM14</f>
        <v/>
      </c>
      <c r="AN16" s="12">
        <f>AN8+AN14</f>
        <v/>
      </c>
      <c r="AO16" s="12">
        <f>AO8+AO14</f>
        <v/>
      </c>
      <c r="AP16" s="12">
        <f>AP8+AP14</f>
        <v/>
      </c>
      <c r="AQ16" s="12">
        <f>AQ8+AQ14</f>
        <v/>
      </c>
      <c r="AR16" s="12">
        <f>AR8+AR14</f>
        <v/>
      </c>
    </row>
    <row r="18">
      <c r="A18" s="1" t="inlineStr">
        <is>
          <t>COGS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</row>
    <row r="19">
      <c r="A19" s="6" t="inlineStr">
        <is>
          <t xml:space="preserve">  Payment processing</t>
        </is>
      </c>
      <c r="B19" s="6" t="inlineStr">
        <is>
          <t>M VND</t>
        </is>
      </c>
      <c r="C19" s="13">
        <f>C11*payment_proc_pct</f>
        <v/>
      </c>
      <c r="D19" s="13">
        <f>D11*payment_proc_pct</f>
        <v/>
      </c>
      <c r="E19" s="13">
        <f>E11*payment_proc_pct</f>
        <v/>
      </c>
      <c r="F19" s="13">
        <f>F11*payment_proc_pct</f>
        <v/>
      </c>
      <c r="G19" s="13">
        <f>G11*payment_proc_pct</f>
        <v/>
      </c>
      <c r="H19" s="13">
        <f>H11*payment_proc_pct</f>
        <v/>
      </c>
      <c r="I19" s="13">
        <f>I11*payment_proc_pct</f>
        <v/>
      </c>
      <c r="J19" s="13">
        <f>J11*payment_proc_pct</f>
        <v/>
      </c>
      <c r="K19" s="13">
        <f>K11*payment_proc_pct</f>
        <v/>
      </c>
      <c r="L19" s="13">
        <f>L11*payment_proc_pct</f>
        <v/>
      </c>
      <c r="M19" s="13">
        <f>M11*payment_proc_pct</f>
        <v/>
      </c>
      <c r="N19" s="13">
        <f>N11*payment_proc_pct</f>
        <v/>
      </c>
      <c r="O19" s="13">
        <f>O11*payment_proc_pct</f>
        <v/>
      </c>
      <c r="P19" s="13">
        <f>P11*payment_proc_pct</f>
        <v/>
      </c>
      <c r="Q19" s="13">
        <f>Q11*payment_proc_pct</f>
        <v/>
      </c>
      <c r="R19" s="13">
        <f>R11*payment_proc_pct</f>
        <v/>
      </c>
      <c r="S19" s="13">
        <f>S11*payment_proc_pct</f>
        <v/>
      </c>
      <c r="T19" s="13">
        <f>T11*payment_proc_pct</f>
        <v/>
      </c>
      <c r="U19" s="13">
        <f>U11*payment_proc_pct</f>
        <v/>
      </c>
      <c r="V19" s="13">
        <f>V11*payment_proc_pct</f>
        <v/>
      </c>
      <c r="W19" s="13">
        <f>W11*payment_proc_pct</f>
        <v/>
      </c>
      <c r="X19" s="13">
        <f>X11*payment_proc_pct</f>
        <v/>
      </c>
      <c r="Y19" s="13">
        <f>Y11*payment_proc_pct</f>
        <v/>
      </c>
      <c r="Z19" s="13">
        <f>Z11*payment_proc_pct</f>
        <v/>
      </c>
      <c r="AA19" s="13">
        <f>AA11*payment_proc_pct</f>
        <v/>
      </c>
      <c r="AB19" s="13">
        <f>AB11*payment_proc_pct</f>
        <v/>
      </c>
      <c r="AC19" s="13">
        <f>AC11*payment_proc_pct</f>
        <v/>
      </c>
      <c r="AD19" s="13">
        <f>AD11*payment_proc_pct</f>
        <v/>
      </c>
      <c r="AE19" s="13">
        <f>AE11*payment_proc_pct</f>
        <v/>
      </c>
      <c r="AF19" s="13">
        <f>AF11*payment_proc_pct</f>
        <v/>
      </c>
      <c r="AG19" s="13">
        <f>AG11*payment_proc_pct</f>
        <v/>
      </c>
      <c r="AH19" s="13">
        <f>AH11*payment_proc_pct</f>
        <v/>
      </c>
      <c r="AI19" s="13">
        <f>AI11*payment_proc_pct</f>
        <v/>
      </c>
      <c r="AJ19" s="13">
        <f>AJ11*payment_proc_pct</f>
        <v/>
      </c>
      <c r="AK19" s="13">
        <f>AK11*payment_proc_pct</f>
        <v/>
      </c>
      <c r="AL19" s="13">
        <f>AL11*payment_proc_pct</f>
        <v/>
      </c>
      <c r="AM19" s="13">
        <f>AM11*payment_proc_pct</f>
        <v/>
      </c>
      <c r="AN19" s="13">
        <f>AN11*payment_proc_pct</f>
        <v/>
      </c>
      <c r="AO19" s="13">
        <f>AO11*payment_proc_pct</f>
        <v/>
      </c>
      <c r="AP19" s="13">
        <f>AP11*payment_proc_pct</f>
        <v/>
      </c>
      <c r="AQ19" s="13">
        <f>AQ11*payment_proc_pct</f>
        <v/>
      </c>
      <c r="AR19" s="13">
        <f>AR11*payment_proc_pct</f>
        <v/>
      </c>
    </row>
    <row r="20">
      <c r="A20" s="6" t="inlineStr">
        <is>
          <t>TOTAL COGS</t>
        </is>
      </c>
      <c r="B20" s="6" t="inlineStr">
        <is>
          <t>M VND</t>
        </is>
      </c>
      <c r="C20" s="12">
        <f>C19</f>
        <v/>
      </c>
      <c r="D20" s="12">
        <f>D19</f>
        <v/>
      </c>
      <c r="E20" s="12">
        <f>E19</f>
        <v/>
      </c>
      <c r="F20" s="12">
        <f>F19</f>
        <v/>
      </c>
      <c r="G20" s="12">
        <f>G19</f>
        <v/>
      </c>
      <c r="H20" s="12">
        <f>H19</f>
        <v/>
      </c>
      <c r="I20" s="12">
        <f>I19</f>
        <v/>
      </c>
      <c r="J20" s="12">
        <f>J19</f>
        <v/>
      </c>
      <c r="K20" s="12">
        <f>K19</f>
        <v/>
      </c>
      <c r="L20" s="12">
        <f>L19</f>
        <v/>
      </c>
      <c r="M20" s="12">
        <f>M19</f>
        <v/>
      </c>
      <c r="N20" s="12">
        <f>N19</f>
        <v/>
      </c>
      <c r="O20" s="12">
        <f>O19</f>
        <v/>
      </c>
      <c r="P20" s="12">
        <f>P19</f>
        <v/>
      </c>
      <c r="Q20" s="12">
        <f>Q19</f>
        <v/>
      </c>
      <c r="R20" s="12">
        <f>R19</f>
        <v/>
      </c>
      <c r="S20" s="12">
        <f>S19</f>
        <v/>
      </c>
      <c r="T20" s="12">
        <f>T19</f>
        <v/>
      </c>
      <c r="U20" s="12">
        <f>U19</f>
        <v/>
      </c>
      <c r="V20" s="12">
        <f>V19</f>
        <v/>
      </c>
      <c r="W20" s="12">
        <f>W19</f>
        <v/>
      </c>
      <c r="X20" s="12">
        <f>X19</f>
        <v/>
      </c>
      <c r="Y20" s="12">
        <f>Y19</f>
        <v/>
      </c>
      <c r="Z20" s="12">
        <f>Z19</f>
        <v/>
      </c>
      <c r="AA20" s="12">
        <f>AA19</f>
        <v/>
      </c>
      <c r="AB20" s="12">
        <f>AB19</f>
        <v/>
      </c>
      <c r="AC20" s="12">
        <f>AC19</f>
        <v/>
      </c>
      <c r="AD20" s="12">
        <f>AD19</f>
        <v/>
      </c>
      <c r="AE20" s="12">
        <f>AE19</f>
        <v/>
      </c>
      <c r="AF20" s="12">
        <f>AF19</f>
        <v/>
      </c>
      <c r="AG20" s="12">
        <f>AG19</f>
        <v/>
      </c>
      <c r="AH20" s="12">
        <f>AH19</f>
        <v/>
      </c>
      <c r="AI20" s="12">
        <f>AI19</f>
        <v/>
      </c>
      <c r="AJ20" s="12">
        <f>AJ19</f>
        <v/>
      </c>
      <c r="AK20" s="12">
        <f>AK19</f>
        <v/>
      </c>
      <c r="AL20" s="12">
        <f>AL19</f>
        <v/>
      </c>
      <c r="AM20" s="12">
        <f>AM19</f>
        <v/>
      </c>
      <c r="AN20" s="12">
        <f>AN19</f>
        <v/>
      </c>
      <c r="AO20" s="12">
        <f>AO19</f>
        <v/>
      </c>
      <c r="AP20" s="12">
        <f>AP19</f>
        <v/>
      </c>
      <c r="AQ20" s="12">
        <f>AQ19</f>
        <v/>
      </c>
      <c r="AR20" s="12">
        <f>AR19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COST SCHEDULE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CAPEX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 xml:space="preserve">  Platform development</t>
        </is>
      </c>
      <c r="B5" s="6" t="inlineStr">
        <is>
          <t>M VND</t>
        </is>
      </c>
      <c r="C5" s="13">
        <f>capex_total/6</f>
        <v/>
      </c>
      <c r="D5" s="13">
        <f>capex_total/6</f>
        <v/>
      </c>
      <c r="E5" s="13">
        <f>capex_total/6</f>
        <v/>
      </c>
      <c r="F5" s="13">
        <f>capex_total/6</f>
        <v/>
      </c>
      <c r="G5" s="13">
        <f>capex_total/6</f>
        <v/>
      </c>
      <c r="H5" s="13">
        <f>capex_total/6</f>
        <v/>
      </c>
      <c r="I5" s="13">
        <f>0</f>
        <v/>
      </c>
      <c r="J5" s="13">
        <f>0</f>
        <v/>
      </c>
      <c r="K5" s="13">
        <f>0</f>
        <v/>
      </c>
      <c r="L5" s="13">
        <f>0</f>
        <v/>
      </c>
      <c r="M5" s="13">
        <f>0</f>
        <v/>
      </c>
      <c r="N5" s="13">
        <f>0</f>
        <v/>
      </c>
      <c r="O5" s="13">
        <f>0</f>
        <v/>
      </c>
      <c r="P5" s="13">
        <f>0</f>
        <v/>
      </c>
      <c r="Q5" s="13">
        <f>0</f>
        <v/>
      </c>
      <c r="R5" s="13">
        <f>0</f>
        <v/>
      </c>
      <c r="S5" s="13">
        <f>0</f>
        <v/>
      </c>
      <c r="T5" s="13">
        <f>0</f>
        <v/>
      </c>
      <c r="U5" s="13">
        <f>0</f>
        <v/>
      </c>
      <c r="V5" s="13">
        <f>0</f>
        <v/>
      </c>
      <c r="W5" s="13">
        <f>0</f>
        <v/>
      </c>
      <c r="X5" s="13">
        <f>0</f>
        <v/>
      </c>
      <c r="Y5" s="13">
        <f>0</f>
        <v/>
      </c>
      <c r="Z5" s="13">
        <f>0</f>
        <v/>
      </c>
      <c r="AA5" s="13">
        <f>0</f>
        <v/>
      </c>
      <c r="AB5" s="13">
        <f>0</f>
        <v/>
      </c>
      <c r="AC5" s="13">
        <f>0</f>
        <v/>
      </c>
      <c r="AD5" s="13">
        <f>0</f>
        <v/>
      </c>
      <c r="AE5" s="13">
        <f>0</f>
        <v/>
      </c>
      <c r="AF5" s="13">
        <f>0</f>
        <v/>
      </c>
      <c r="AG5" s="13">
        <f>0</f>
        <v/>
      </c>
      <c r="AH5" s="13">
        <f>0</f>
        <v/>
      </c>
      <c r="AI5" s="13">
        <f>0</f>
        <v/>
      </c>
      <c r="AJ5" s="13">
        <f>0</f>
        <v/>
      </c>
      <c r="AK5" s="13">
        <f>0</f>
        <v/>
      </c>
      <c r="AL5" s="13">
        <f>0</f>
        <v/>
      </c>
      <c r="AM5" s="13">
        <f>0</f>
        <v/>
      </c>
      <c r="AN5" s="13">
        <f>0</f>
        <v/>
      </c>
      <c r="AO5" s="13">
        <f>0</f>
        <v/>
      </c>
      <c r="AP5" s="13">
        <f>0</f>
        <v/>
      </c>
      <c r="AQ5" s="13">
        <f>0</f>
        <v/>
      </c>
      <c r="AR5" s="13">
        <f>0</f>
        <v/>
      </c>
    </row>
    <row r="6">
      <c r="A6" s="6" t="inlineStr">
        <is>
          <t xml:space="preserve">  Annual maintenance</t>
        </is>
      </c>
      <c r="B6" s="6" t="inlineStr">
        <is>
          <t>M VND</t>
        </is>
      </c>
      <c r="C6" s="13">
        <f>0</f>
        <v/>
      </c>
      <c r="D6" s="13">
        <f>0</f>
        <v/>
      </c>
      <c r="E6" s="13">
        <f>0</f>
        <v/>
      </c>
      <c r="F6" s="13">
        <f>0</f>
        <v/>
      </c>
      <c r="G6" s="13">
        <f>0</f>
        <v/>
      </c>
      <c r="H6" s="13">
        <f>0</f>
        <v/>
      </c>
      <c r="I6" s="13">
        <f>capex_total*capex_maintenance_pct/'Market Sizing'!I5</f>
        <v/>
      </c>
      <c r="J6" s="13">
        <f>capex_total*capex_maintenance_pct/'Market Sizing'!J5</f>
        <v/>
      </c>
      <c r="K6" s="13">
        <f>capex_total*capex_maintenance_pct/'Market Sizing'!K5</f>
        <v/>
      </c>
      <c r="L6" s="13">
        <f>capex_total*capex_maintenance_pct/'Market Sizing'!L5</f>
        <v/>
      </c>
      <c r="M6" s="13">
        <f>capex_total*capex_maintenance_pct/'Market Sizing'!M5</f>
        <v/>
      </c>
      <c r="N6" s="13">
        <f>capex_total*capex_maintenance_pct/'Market Sizing'!N5</f>
        <v/>
      </c>
      <c r="O6" s="13">
        <f>capex_total*capex_maintenance_pct/'Market Sizing'!O5</f>
        <v/>
      </c>
      <c r="P6" s="13">
        <f>capex_total*capex_maintenance_pct/'Market Sizing'!P5</f>
        <v/>
      </c>
      <c r="Q6" s="13">
        <f>capex_total*capex_maintenance_pct/'Market Sizing'!Q5</f>
        <v/>
      </c>
      <c r="R6" s="13">
        <f>capex_total*capex_maintenance_pct/'Market Sizing'!R5</f>
        <v/>
      </c>
      <c r="S6" s="13">
        <f>capex_total*capex_maintenance_pct/'Market Sizing'!S5</f>
        <v/>
      </c>
      <c r="T6" s="13">
        <f>capex_total*capex_maintenance_pct/'Market Sizing'!T5</f>
        <v/>
      </c>
      <c r="U6" s="13">
        <f>capex_total*capex_maintenance_pct/'Market Sizing'!U5</f>
        <v/>
      </c>
      <c r="V6" s="13">
        <f>capex_total*capex_maintenance_pct/'Market Sizing'!V5</f>
        <v/>
      </c>
      <c r="W6" s="13">
        <f>capex_total*capex_maintenance_pct/'Market Sizing'!W5</f>
        <v/>
      </c>
      <c r="X6" s="13">
        <f>capex_total*capex_maintenance_pct/'Market Sizing'!X5</f>
        <v/>
      </c>
      <c r="Y6" s="13">
        <f>capex_total*capex_maintenance_pct/'Market Sizing'!Y5</f>
        <v/>
      </c>
      <c r="Z6" s="13">
        <f>capex_total*capex_maintenance_pct/'Market Sizing'!Z5</f>
        <v/>
      </c>
      <c r="AA6" s="13">
        <f>capex_total*capex_maintenance_pct/'Market Sizing'!AA5</f>
        <v/>
      </c>
      <c r="AB6" s="13">
        <f>capex_total*capex_maintenance_pct/'Market Sizing'!AB5</f>
        <v/>
      </c>
      <c r="AC6" s="13">
        <f>capex_total*capex_maintenance_pct/'Market Sizing'!AC5</f>
        <v/>
      </c>
      <c r="AD6" s="13">
        <f>capex_total*capex_maintenance_pct/'Market Sizing'!AD5</f>
        <v/>
      </c>
      <c r="AE6" s="13">
        <f>capex_total*capex_maintenance_pct/'Market Sizing'!AE5</f>
        <v/>
      </c>
      <c r="AF6" s="13">
        <f>capex_total*capex_maintenance_pct/'Market Sizing'!AF5</f>
        <v/>
      </c>
      <c r="AG6" s="13">
        <f>capex_total*capex_maintenance_pct/'Market Sizing'!AG5</f>
        <v/>
      </c>
      <c r="AH6" s="13">
        <f>capex_total*capex_maintenance_pct/'Market Sizing'!AH5</f>
        <v/>
      </c>
      <c r="AI6" s="13">
        <f>capex_total*capex_maintenance_pct/'Market Sizing'!AI5</f>
        <v/>
      </c>
      <c r="AJ6" s="13">
        <f>capex_total*capex_maintenance_pct/'Market Sizing'!AJ5</f>
        <v/>
      </c>
      <c r="AK6" s="13">
        <f>capex_total*capex_maintenance_pct/'Market Sizing'!AK5</f>
        <v/>
      </c>
      <c r="AL6" s="13">
        <f>capex_total*capex_maintenance_pct/'Market Sizing'!AL5</f>
        <v/>
      </c>
      <c r="AM6" s="13">
        <f>capex_total*capex_maintenance_pct/'Market Sizing'!AM5</f>
        <v/>
      </c>
      <c r="AN6" s="13">
        <f>capex_total*capex_maintenance_pct/'Market Sizing'!AN5</f>
        <v/>
      </c>
      <c r="AO6" s="13">
        <f>capex_total*capex_maintenance_pct/'Market Sizing'!AO5</f>
        <v/>
      </c>
      <c r="AP6" s="13">
        <f>capex_total*capex_maintenance_pct/'Market Sizing'!AP5</f>
        <v/>
      </c>
      <c r="AQ6" s="13">
        <f>capex_total*capex_maintenance_pct/'Market Sizing'!AQ5</f>
        <v/>
      </c>
      <c r="AR6" s="13">
        <f>capex_total*capex_maintenance_pct/'Market Sizing'!AR5</f>
        <v/>
      </c>
    </row>
    <row r="7">
      <c r="A7" s="6" t="inlineStr">
        <is>
          <t>TOTAL CAPEX</t>
        </is>
      </c>
      <c r="B7" s="6" t="inlineStr">
        <is>
          <t>M VND</t>
        </is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  <c r="N7" s="12">
        <f>N5+N6</f>
        <v/>
      </c>
      <c r="O7" s="12">
        <f>O5+O6</f>
        <v/>
      </c>
      <c r="P7" s="12">
        <f>P5+P6</f>
        <v/>
      </c>
      <c r="Q7" s="12">
        <f>Q5+Q6</f>
        <v/>
      </c>
      <c r="R7" s="12">
        <f>R5+R6</f>
        <v/>
      </c>
      <c r="S7" s="12">
        <f>S5+S6</f>
        <v/>
      </c>
      <c r="T7" s="12">
        <f>T5+T6</f>
        <v/>
      </c>
      <c r="U7" s="12">
        <f>U5+U6</f>
        <v/>
      </c>
      <c r="V7" s="12">
        <f>V5+V6</f>
        <v/>
      </c>
      <c r="W7" s="12">
        <f>W5+W6</f>
        <v/>
      </c>
      <c r="X7" s="12">
        <f>X5+X6</f>
        <v/>
      </c>
      <c r="Y7" s="12">
        <f>Y5+Y6</f>
        <v/>
      </c>
      <c r="Z7" s="12">
        <f>Z5+Z6</f>
        <v/>
      </c>
      <c r="AA7" s="12">
        <f>AA5+AA6</f>
        <v/>
      </c>
      <c r="AB7" s="12">
        <f>AB5+AB6</f>
        <v/>
      </c>
      <c r="AC7" s="12">
        <f>AC5+AC6</f>
        <v/>
      </c>
      <c r="AD7" s="12">
        <f>AD5+AD6</f>
        <v/>
      </c>
      <c r="AE7" s="12">
        <f>AE5+AE6</f>
        <v/>
      </c>
      <c r="AF7" s="12">
        <f>AF5+AF6</f>
        <v/>
      </c>
      <c r="AG7" s="12">
        <f>AG5+AG6</f>
        <v/>
      </c>
      <c r="AH7" s="12">
        <f>AH5+AH6</f>
        <v/>
      </c>
      <c r="AI7" s="12">
        <f>AI5+AI6</f>
        <v/>
      </c>
      <c r="AJ7" s="12">
        <f>AJ5+AJ6</f>
        <v/>
      </c>
      <c r="AK7" s="12">
        <f>AK5+AK6</f>
        <v/>
      </c>
      <c r="AL7" s="12">
        <f>AL5+AL6</f>
        <v/>
      </c>
      <c r="AM7" s="12">
        <f>AM5+AM6</f>
        <v/>
      </c>
      <c r="AN7" s="12">
        <f>AN5+AN6</f>
        <v/>
      </c>
      <c r="AO7" s="12">
        <f>AO5+AO6</f>
        <v/>
      </c>
      <c r="AP7" s="12">
        <f>AP5+AP6</f>
        <v/>
      </c>
      <c r="AQ7" s="12">
        <f>AQ5+AQ6</f>
        <v/>
      </c>
      <c r="AR7" s="12">
        <f>AR5+AR6</f>
        <v/>
      </c>
    </row>
    <row r="9">
      <c r="A9" s="1" t="inlineStr">
        <is>
          <t>OPEX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</row>
    <row r="10">
      <c r="A10" s="6" t="inlineStr">
        <is>
          <t xml:space="preserve">  Human resources (from HR Plan)</t>
        </is>
      </c>
      <c r="B10" s="6" t="inlineStr">
        <is>
          <t>M VND</t>
        </is>
      </c>
      <c r="C10" s="13">
        <f>'HR Plan'!C21</f>
        <v/>
      </c>
      <c r="D10" s="13">
        <f>'HR Plan'!D21</f>
        <v/>
      </c>
      <c r="E10" s="13">
        <f>'HR Plan'!E21</f>
        <v/>
      </c>
      <c r="F10" s="13">
        <f>'HR Plan'!F21</f>
        <v/>
      </c>
      <c r="G10" s="13">
        <f>'HR Plan'!G21</f>
        <v/>
      </c>
      <c r="H10" s="13">
        <f>'HR Plan'!H21</f>
        <v/>
      </c>
      <c r="I10" s="13">
        <f>'HR Plan'!I21</f>
        <v/>
      </c>
      <c r="J10" s="13">
        <f>'HR Plan'!J21</f>
        <v/>
      </c>
      <c r="K10" s="13">
        <f>'HR Plan'!K21</f>
        <v/>
      </c>
      <c r="L10" s="13">
        <f>'HR Plan'!L21</f>
        <v/>
      </c>
      <c r="M10" s="13">
        <f>'HR Plan'!M21</f>
        <v/>
      </c>
      <c r="N10" s="13">
        <f>'HR Plan'!N21</f>
        <v/>
      </c>
      <c r="O10" s="13">
        <f>'HR Plan'!O21</f>
        <v/>
      </c>
      <c r="P10" s="13">
        <f>'HR Plan'!P21</f>
        <v/>
      </c>
      <c r="Q10" s="13">
        <f>'HR Plan'!Q21</f>
        <v/>
      </c>
      <c r="R10" s="13">
        <f>'HR Plan'!R21</f>
        <v/>
      </c>
      <c r="S10" s="13">
        <f>'HR Plan'!S21</f>
        <v/>
      </c>
      <c r="T10" s="13">
        <f>'HR Plan'!T21</f>
        <v/>
      </c>
      <c r="U10" s="13">
        <f>'HR Plan'!U21</f>
        <v/>
      </c>
      <c r="V10" s="13">
        <f>'HR Plan'!V21</f>
        <v/>
      </c>
      <c r="W10" s="13">
        <f>'HR Plan'!W21</f>
        <v/>
      </c>
      <c r="X10" s="13">
        <f>'HR Plan'!X21</f>
        <v/>
      </c>
      <c r="Y10" s="13">
        <f>'HR Plan'!Y21</f>
        <v/>
      </c>
      <c r="Z10" s="13">
        <f>'HR Plan'!Z21</f>
        <v/>
      </c>
      <c r="AA10" s="13">
        <f>'HR Plan'!AA21</f>
        <v/>
      </c>
      <c r="AB10" s="13">
        <f>'HR Plan'!AB21</f>
        <v/>
      </c>
      <c r="AC10" s="13">
        <f>'HR Plan'!AC21</f>
        <v/>
      </c>
      <c r="AD10" s="13">
        <f>'HR Plan'!AD21</f>
        <v/>
      </c>
      <c r="AE10" s="13">
        <f>'HR Plan'!AE21</f>
        <v/>
      </c>
      <c r="AF10" s="13">
        <f>'HR Plan'!AF21</f>
        <v/>
      </c>
      <c r="AG10" s="13">
        <f>'HR Plan'!AG21</f>
        <v/>
      </c>
      <c r="AH10" s="13">
        <f>'HR Plan'!AH21</f>
        <v/>
      </c>
      <c r="AI10" s="13">
        <f>'HR Plan'!AI21</f>
        <v/>
      </c>
      <c r="AJ10" s="13">
        <f>'HR Plan'!AJ21</f>
        <v/>
      </c>
      <c r="AK10" s="13">
        <f>'HR Plan'!AK21</f>
        <v/>
      </c>
      <c r="AL10" s="13">
        <f>'HR Plan'!AL21</f>
        <v/>
      </c>
      <c r="AM10" s="13">
        <f>'HR Plan'!AM21</f>
        <v/>
      </c>
      <c r="AN10" s="13">
        <f>'HR Plan'!AN21</f>
        <v/>
      </c>
      <c r="AO10" s="13">
        <f>'HR Plan'!AO21</f>
        <v/>
      </c>
      <c r="AP10" s="13">
        <f>'HR Plan'!AP21</f>
        <v/>
      </c>
      <c r="AQ10" s="13">
        <f>'HR Plan'!AQ21</f>
        <v/>
      </c>
      <c r="AR10" s="13">
        <f>'HR Plan'!AR21</f>
        <v/>
      </c>
    </row>
    <row r="11">
      <c r="A11" s="6" t="inlineStr">
        <is>
          <t xml:space="preserve">  Marketing &amp; communications</t>
        </is>
      </c>
      <c r="B11" s="6" t="inlineStr">
        <is>
          <t>M VND</t>
        </is>
      </c>
      <c r="C11" s="13">
        <f>opex_marketing*(1+marketing_growth)^FLOOR('Market Sizing'!C4,1)/'Market Sizing'!C5</f>
        <v/>
      </c>
      <c r="D11" s="13">
        <f>opex_marketing*(1+marketing_growth)^FLOOR('Market Sizing'!D4,1)/'Market Sizing'!D5</f>
        <v/>
      </c>
      <c r="E11" s="13">
        <f>opex_marketing*(1+marketing_growth)^FLOOR('Market Sizing'!E4,1)/'Market Sizing'!E5</f>
        <v/>
      </c>
      <c r="F11" s="13">
        <f>opex_marketing*(1+marketing_growth)^FLOOR('Market Sizing'!F4,1)/'Market Sizing'!F5</f>
        <v/>
      </c>
      <c r="G11" s="13">
        <f>opex_marketing*(1+marketing_growth)^FLOOR('Market Sizing'!G4,1)/'Market Sizing'!G5</f>
        <v/>
      </c>
      <c r="H11" s="13">
        <f>opex_marketing*(1+marketing_growth)^FLOOR('Market Sizing'!H4,1)/'Market Sizing'!H5</f>
        <v/>
      </c>
      <c r="I11" s="13">
        <f>opex_marketing*(1+marketing_growth)^FLOOR('Market Sizing'!I4,1)/'Market Sizing'!I5</f>
        <v/>
      </c>
      <c r="J11" s="13">
        <f>opex_marketing*(1+marketing_growth)^FLOOR('Market Sizing'!J4,1)/'Market Sizing'!J5</f>
        <v/>
      </c>
      <c r="K11" s="13">
        <f>opex_marketing*(1+marketing_growth)^FLOOR('Market Sizing'!K4,1)/'Market Sizing'!K5</f>
        <v/>
      </c>
      <c r="L11" s="13">
        <f>opex_marketing*(1+marketing_growth)^FLOOR('Market Sizing'!L4,1)/'Market Sizing'!L5</f>
        <v/>
      </c>
      <c r="M11" s="13">
        <f>opex_marketing*(1+marketing_growth)^FLOOR('Market Sizing'!M4,1)/'Market Sizing'!M5</f>
        <v/>
      </c>
      <c r="N11" s="13">
        <f>opex_marketing*(1+marketing_growth)^FLOOR('Market Sizing'!N4,1)/'Market Sizing'!N5</f>
        <v/>
      </c>
      <c r="O11" s="13">
        <f>opex_marketing*(1+marketing_growth)^FLOOR('Market Sizing'!O4,1)/'Market Sizing'!O5</f>
        <v/>
      </c>
      <c r="P11" s="13">
        <f>opex_marketing*(1+marketing_growth)^FLOOR('Market Sizing'!P4,1)/'Market Sizing'!P5</f>
        <v/>
      </c>
      <c r="Q11" s="13">
        <f>opex_marketing*(1+marketing_growth)^FLOOR('Market Sizing'!Q4,1)/'Market Sizing'!Q5</f>
        <v/>
      </c>
      <c r="R11" s="13">
        <f>opex_marketing*(1+marketing_growth)^FLOOR('Market Sizing'!R4,1)/'Market Sizing'!R5</f>
        <v/>
      </c>
      <c r="S11" s="13">
        <f>opex_marketing*(1+marketing_growth)^FLOOR('Market Sizing'!S4,1)/'Market Sizing'!S5</f>
        <v/>
      </c>
      <c r="T11" s="13">
        <f>opex_marketing*(1+marketing_growth)^FLOOR('Market Sizing'!T4,1)/'Market Sizing'!T5</f>
        <v/>
      </c>
      <c r="U11" s="13">
        <f>opex_marketing*(1+marketing_growth)^FLOOR('Market Sizing'!U4,1)/'Market Sizing'!U5</f>
        <v/>
      </c>
      <c r="V11" s="13">
        <f>opex_marketing*(1+marketing_growth)^FLOOR('Market Sizing'!V4,1)/'Market Sizing'!V5</f>
        <v/>
      </c>
      <c r="W11" s="13">
        <f>opex_marketing*(1+marketing_growth)^FLOOR('Market Sizing'!W4,1)/'Market Sizing'!W5</f>
        <v/>
      </c>
      <c r="X11" s="13">
        <f>opex_marketing*(1+marketing_growth)^FLOOR('Market Sizing'!X4,1)/'Market Sizing'!X5</f>
        <v/>
      </c>
      <c r="Y11" s="13">
        <f>opex_marketing*(1+marketing_growth)^FLOOR('Market Sizing'!Y4,1)/'Market Sizing'!Y5</f>
        <v/>
      </c>
      <c r="Z11" s="13">
        <f>opex_marketing*(1+marketing_growth)^FLOOR('Market Sizing'!Z4,1)/'Market Sizing'!Z5</f>
        <v/>
      </c>
      <c r="AA11" s="13">
        <f>opex_marketing*(1+marketing_growth)^FLOOR('Market Sizing'!AA4,1)/'Market Sizing'!AA5</f>
        <v/>
      </c>
      <c r="AB11" s="13">
        <f>opex_marketing*(1+marketing_growth)^FLOOR('Market Sizing'!AB4,1)/'Market Sizing'!AB5</f>
        <v/>
      </c>
      <c r="AC11" s="13">
        <f>opex_marketing*(1+marketing_growth)^FLOOR('Market Sizing'!AC4,1)/'Market Sizing'!AC5</f>
        <v/>
      </c>
      <c r="AD11" s="13">
        <f>opex_marketing*(1+marketing_growth)^FLOOR('Market Sizing'!AD4,1)/'Market Sizing'!AD5</f>
        <v/>
      </c>
      <c r="AE11" s="13">
        <f>opex_marketing*(1+marketing_growth)^FLOOR('Market Sizing'!AE4,1)/'Market Sizing'!AE5</f>
        <v/>
      </c>
      <c r="AF11" s="13">
        <f>opex_marketing*(1+marketing_growth)^FLOOR('Market Sizing'!AF4,1)/'Market Sizing'!AF5</f>
        <v/>
      </c>
      <c r="AG11" s="13">
        <f>opex_marketing*(1+marketing_growth)^FLOOR('Market Sizing'!AG4,1)/'Market Sizing'!AG5</f>
        <v/>
      </c>
      <c r="AH11" s="13">
        <f>opex_marketing*(1+marketing_growth)^FLOOR('Market Sizing'!AH4,1)/'Market Sizing'!AH5</f>
        <v/>
      </c>
      <c r="AI11" s="13">
        <f>opex_marketing*(1+marketing_growth)^FLOOR('Market Sizing'!AI4,1)/'Market Sizing'!AI5</f>
        <v/>
      </c>
      <c r="AJ11" s="13">
        <f>opex_marketing*(1+marketing_growth)^FLOOR('Market Sizing'!AJ4,1)/'Market Sizing'!AJ5</f>
        <v/>
      </c>
      <c r="AK11" s="13">
        <f>opex_marketing*(1+marketing_growth)^FLOOR('Market Sizing'!AK4,1)/'Market Sizing'!AK5</f>
        <v/>
      </c>
      <c r="AL11" s="13">
        <f>opex_marketing*(1+marketing_growth)^FLOOR('Market Sizing'!AL4,1)/'Market Sizing'!AL5</f>
        <v/>
      </c>
      <c r="AM11" s="13">
        <f>opex_marketing*(1+marketing_growth)^FLOOR('Market Sizing'!AM4,1)/'Market Sizing'!AM5</f>
        <v/>
      </c>
      <c r="AN11" s="13">
        <f>opex_marketing*(1+marketing_growth)^FLOOR('Market Sizing'!AN4,1)/'Market Sizing'!AN5</f>
        <v/>
      </c>
      <c r="AO11" s="13">
        <f>opex_marketing*(1+marketing_growth)^FLOOR('Market Sizing'!AO4,1)/'Market Sizing'!AO5</f>
        <v/>
      </c>
      <c r="AP11" s="13">
        <f>opex_marketing*(1+marketing_growth)^FLOOR('Market Sizing'!AP4,1)/'Market Sizing'!AP5</f>
        <v/>
      </c>
      <c r="AQ11" s="13">
        <f>opex_marketing*(1+marketing_growth)^FLOOR('Market Sizing'!AQ4,1)/'Market Sizing'!AQ5</f>
        <v/>
      </c>
      <c r="AR11" s="13">
        <f>opex_marketing*(1+marketing_growth)^FLOOR('Market Sizing'!AR4,1)/'Market Sizing'!AR5</f>
        <v/>
      </c>
    </row>
    <row r="12">
      <c r="A12" s="6" t="inlineStr">
        <is>
          <t xml:space="preserve">  Branding &amp; events</t>
        </is>
      </c>
      <c r="B12" s="6" t="inlineStr">
        <is>
          <t>M VND</t>
        </is>
      </c>
      <c r="C12" s="13">
        <f>opex_branding/'Market Sizing'!C5</f>
        <v/>
      </c>
      <c r="D12" s="13">
        <f>opex_branding/'Market Sizing'!D5</f>
        <v/>
      </c>
      <c r="E12" s="13">
        <f>opex_branding/'Market Sizing'!E5</f>
        <v/>
      </c>
      <c r="F12" s="13">
        <f>opex_branding/'Market Sizing'!F5</f>
        <v/>
      </c>
      <c r="G12" s="13">
        <f>opex_branding/'Market Sizing'!G5</f>
        <v/>
      </c>
      <c r="H12" s="13">
        <f>opex_branding/'Market Sizing'!H5</f>
        <v/>
      </c>
      <c r="I12" s="13">
        <f>opex_branding/'Market Sizing'!I5</f>
        <v/>
      </c>
      <c r="J12" s="13">
        <f>opex_branding/'Market Sizing'!J5</f>
        <v/>
      </c>
      <c r="K12" s="13">
        <f>opex_branding/'Market Sizing'!K5</f>
        <v/>
      </c>
      <c r="L12" s="13">
        <f>opex_branding/'Market Sizing'!L5</f>
        <v/>
      </c>
      <c r="M12" s="13">
        <f>opex_branding/'Market Sizing'!M5</f>
        <v/>
      </c>
      <c r="N12" s="13">
        <f>opex_branding/'Market Sizing'!N5</f>
        <v/>
      </c>
      <c r="O12" s="13">
        <f>opex_branding/'Market Sizing'!O5</f>
        <v/>
      </c>
      <c r="P12" s="13">
        <f>opex_branding/'Market Sizing'!P5</f>
        <v/>
      </c>
      <c r="Q12" s="13">
        <f>opex_branding/'Market Sizing'!Q5</f>
        <v/>
      </c>
      <c r="R12" s="13">
        <f>opex_branding/'Market Sizing'!R5</f>
        <v/>
      </c>
      <c r="S12" s="13">
        <f>opex_branding/'Market Sizing'!S5</f>
        <v/>
      </c>
      <c r="T12" s="13">
        <f>opex_branding/'Market Sizing'!T5</f>
        <v/>
      </c>
      <c r="U12" s="13">
        <f>opex_branding/'Market Sizing'!U5</f>
        <v/>
      </c>
      <c r="V12" s="13">
        <f>opex_branding/'Market Sizing'!V5</f>
        <v/>
      </c>
      <c r="W12" s="13">
        <f>opex_branding/'Market Sizing'!W5</f>
        <v/>
      </c>
      <c r="X12" s="13">
        <f>opex_branding/'Market Sizing'!X5</f>
        <v/>
      </c>
      <c r="Y12" s="13">
        <f>opex_branding/'Market Sizing'!Y5</f>
        <v/>
      </c>
      <c r="Z12" s="13">
        <f>opex_branding/'Market Sizing'!Z5</f>
        <v/>
      </c>
      <c r="AA12" s="13">
        <f>opex_branding/'Market Sizing'!AA5</f>
        <v/>
      </c>
      <c r="AB12" s="13">
        <f>opex_branding/'Market Sizing'!AB5</f>
        <v/>
      </c>
      <c r="AC12" s="13">
        <f>opex_branding/'Market Sizing'!AC5</f>
        <v/>
      </c>
      <c r="AD12" s="13">
        <f>opex_branding/'Market Sizing'!AD5</f>
        <v/>
      </c>
      <c r="AE12" s="13">
        <f>opex_branding/'Market Sizing'!AE5</f>
        <v/>
      </c>
      <c r="AF12" s="13">
        <f>opex_branding/'Market Sizing'!AF5</f>
        <v/>
      </c>
      <c r="AG12" s="13">
        <f>opex_branding/'Market Sizing'!AG5</f>
        <v/>
      </c>
      <c r="AH12" s="13">
        <f>opex_branding/'Market Sizing'!AH5</f>
        <v/>
      </c>
      <c r="AI12" s="13">
        <f>opex_branding/'Market Sizing'!AI5</f>
        <v/>
      </c>
      <c r="AJ12" s="13">
        <f>opex_branding/'Market Sizing'!AJ5</f>
        <v/>
      </c>
      <c r="AK12" s="13">
        <f>opex_branding/'Market Sizing'!AK5</f>
        <v/>
      </c>
      <c r="AL12" s="13">
        <f>opex_branding/'Market Sizing'!AL5</f>
        <v/>
      </c>
      <c r="AM12" s="13">
        <f>opex_branding/'Market Sizing'!AM5</f>
        <v/>
      </c>
      <c r="AN12" s="13">
        <f>opex_branding/'Market Sizing'!AN5</f>
        <v/>
      </c>
      <c r="AO12" s="13">
        <f>opex_branding/'Market Sizing'!AO5</f>
        <v/>
      </c>
      <c r="AP12" s="13">
        <f>opex_branding/'Market Sizing'!AP5</f>
        <v/>
      </c>
      <c r="AQ12" s="13">
        <f>opex_branding/'Market Sizing'!AQ5</f>
        <v/>
      </c>
      <c r="AR12" s="13">
        <f>opex_branding/'Market Sizing'!AR5</f>
        <v/>
      </c>
    </row>
    <row r="13">
      <c r="A13" s="6" t="inlineStr">
        <is>
          <t xml:space="preserve">  Cloud &amp; infrastructure</t>
        </is>
      </c>
      <c r="B13" s="6" t="inlineStr">
        <is>
          <t>M VND</t>
        </is>
      </c>
      <c r="C13" s="13">
        <f>opex_cloud_base/'Market Sizing'!C5+'Market Sizing'!C16*cloud_per_1M_vcr</f>
        <v/>
      </c>
      <c r="D13" s="13">
        <f>opex_cloud_base/'Market Sizing'!D5+'Market Sizing'!D16*cloud_per_1M_vcr</f>
        <v/>
      </c>
      <c r="E13" s="13">
        <f>opex_cloud_base/'Market Sizing'!E5+'Market Sizing'!E16*cloud_per_1M_vcr</f>
        <v/>
      </c>
      <c r="F13" s="13">
        <f>opex_cloud_base/'Market Sizing'!F5+'Market Sizing'!F16*cloud_per_1M_vcr</f>
        <v/>
      </c>
      <c r="G13" s="13">
        <f>opex_cloud_base/'Market Sizing'!G5+'Market Sizing'!G16*cloud_per_1M_vcr</f>
        <v/>
      </c>
      <c r="H13" s="13">
        <f>opex_cloud_base/'Market Sizing'!H5+'Market Sizing'!H16*cloud_per_1M_vcr</f>
        <v/>
      </c>
      <c r="I13" s="13">
        <f>opex_cloud_base/'Market Sizing'!I5+'Market Sizing'!I16*cloud_per_1M_vcr</f>
        <v/>
      </c>
      <c r="J13" s="13">
        <f>opex_cloud_base/'Market Sizing'!J5+'Market Sizing'!J16*cloud_per_1M_vcr</f>
        <v/>
      </c>
      <c r="K13" s="13">
        <f>opex_cloud_base/'Market Sizing'!K5+'Market Sizing'!K16*cloud_per_1M_vcr</f>
        <v/>
      </c>
      <c r="L13" s="13">
        <f>opex_cloud_base/'Market Sizing'!L5+'Market Sizing'!L16*cloud_per_1M_vcr</f>
        <v/>
      </c>
      <c r="M13" s="13">
        <f>opex_cloud_base/'Market Sizing'!M5+'Market Sizing'!M16*cloud_per_1M_vcr</f>
        <v/>
      </c>
      <c r="N13" s="13">
        <f>opex_cloud_base/'Market Sizing'!N5+'Market Sizing'!N16*cloud_per_1M_vcr</f>
        <v/>
      </c>
      <c r="O13" s="13">
        <f>opex_cloud_base/'Market Sizing'!O5+'Market Sizing'!O16*cloud_per_1M_vcr</f>
        <v/>
      </c>
      <c r="P13" s="13">
        <f>opex_cloud_base/'Market Sizing'!P5+'Market Sizing'!P16*cloud_per_1M_vcr</f>
        <v/>
      </c>
      <c r="Q13" s="13">
        <f>opex_cloud_base/'Market Sizing'!Q5+'Market Sizing'!Q16*cloud_per_1M_vcr</f>
        <v/>
      </c>
      <c r="R13" s="13">
        <f>opex_cloud_base/'Market Sizing'!R5+'Market Sizing'!R16*cloud_per_1M_vcr</f>
        <v/>
      </c>
      <c r="S13" s="13">
        <f>opex_cloud_base/'Market Sizing'!S5+'Market Sizing'!S16*cloud_per_1M_vcr</f>
        <v/>
      </c>
      <c r="T13" s="13">
        <f>opex_cloud_base/'Market Sizing'!T5+'Market Sizing'!T16*cloud_per_1M_vcr</f>
        <v/>
      </c>
      <c r="U13" s="13">
        <f>opex_cloud_base/'Market Sizing'!U5+'Market Sizing'!U16*cloud_per_1M_vcr</f>
        <v/>
      </c>
      <c r="V13" s="13">
        <f>opex_cloud_base/'Market Sizing'!V5+'Market Sizing'!V16*cloud_per_1M_vcr</f>
        <v/>
      </c>
      <c r="W13" s="13">
        <f>opex_cloud_base/'Market Sizing'!W5+'Market Sizing'!W16*cloud_per_1M_vcr</f>
        <v/>
      </c>
      <c r="X13" s="13">
        <f>opex_cloud_base/'Market Sizing'!X5+'Market Sizing'!X16*cloud_per_1M_vcr</f>
        <v/>
      </c>
      <c r="Y13" s="13">
        <f>opex_cloud_base/'Market Sizing'!Y5+'Market Sizing'!Y16*cloud_per_1M_vcr</f>
        <v/>
      </c>
      <c r="Z13" s="13">
        <f>opex_cloud_base/'Market Sizing'!Z5+'Market Sizing'!Z16*cloud_per_1M_vcr</f>
        <v/>
      </c>
      <c r="AA13" s="13">
        <f>opex_cloud_base/'Market Sizing'!AA5+'Market Sizing'!AA16*cloud_per_1M_vcr</f>
        <v/>
      </c>
      <c r="AB13" s="13">
        <f>opex_cloud_base/'Market Sizing'!AB5+'Market Sizing'!AB16*cloud_per_1M_vcr</f>
        <v/>
      </c>
      <c r="AC13" s="13">
        <f>opex_cloud_base/'Market Sizing'!AC5+'Market Sizing'!AC16*cloud_per_1M_vcr</f>
        <v/>
      </c>
      <c r="AD13" s="13">
        <f>opex_cloud_base/'Market Sizing'!AD5+'Market Sizing'!AD16*cloud_per_1M_vcr</f>
        <v/>
      </c>
      <c r="AE13" s="13">
        <f>opex_cloud_base/'Market Sizing'!AE5+'Market Sizing'!AE16*cloud_per_1M_vcr</f>
        <v/>
      </c>
      <c r="AF13" s="13">
        <f>opex_cloud_base/'Market Sizing'!AF5+'Market Sizing'!AF16*cloud_per_1M_vcr</f>
        <v/>
      </c>
      <c r="AG13" s="13">
        <f>opex_cloud_base/'Market Sizing'!AG5+'Market Sizing'!AG16*cloud_per_1M_vcr</f>
        <v/>
      </c>
      <c r="AH13" s="13">
        <f>opex_cloud_base/'Market Sizing'!AH5+'Market Sizing'!AH16*cloud_per_1M_vcr</f>
        <v/>
      </c>
      <c r="AI13" s="13">
        <f>opex_cloud_base/'Market Sizing'!AI5+'Market Sizing'!AI16*cloud_per_1M_vcr</f>
        <v/>
      </c>
      <c r="AJ13" s="13">
        <f>opex_cloud_base/'Market Sizing'!AJ5+'Market Sizing'!AJ16*cloud_per_1M_vcr</f>
        <v/>
      </c>
      <c r="AK13" s="13">
        <f>opex_cloud_base/'Market Sizing'!AK5+'Market Sizing'!AK16*cloud_per_1M_vcr</f>
        <v/>
      </c>
      <c r="AL13" s="13">
        <f>opex_cloud_base/'Market Sizing'!AL5+'Market Sizing'!AL16*cloud_per_1M_vcr</f>
        <v/>
      </c>
      <c r="AM13" s="13">
        <f>opex_cloud_base/'Market Sizing'!AM5+'Market Sizing'!AM16*cloud_per_1M_vcr</f>
        <v/>
      </c>
      <c r="AN13" s="13">
        <f>opex_cloud_base/'Market Sizing'!AN5+'Market Sizing'!AN16*cloud_per_1M_vcr</f>
        <v/>
      </c>
      <c r="AO13" s="13">
        <f>opex_cloud_base/'Market Sizing'!AO5+'Market Sizing'!AO16*cloud_per_1M_vcr</f>
        <v/>
      </c>
      <c r="AP13" s="13">
        <f>opex_cloud_base/'Market Sizing'!AP5+'Market Sizing'!AP16*cloud_per_1M_vcr</f>
        <v/>
      </c>
      <c r="AQ13" s="13">
        <f>opex_cloud_base/'Market Sizing'!AQ5+'Market Sizing'!AQ16*cloud_per_1M_vcr</f>
        <v/>
      </c>
      <c r="AR13" s="13">
        <f>opex_cloud_base/'Market Sizing'!AR5+'Market Sizing'!AR16*cloud_per_1M_vcr</f>
        <v/>
      </c>
    </row>
    <row r="14">
      <c r="A14" s="6" t="inlineStr">
        <is>
          <t xml:space="preserve">  Security / pentest</t>
        </is>
      </c>
      <c r="B14" s="6" t="inlineStr">
        <is>
          <t>M VND</t>
        </is>
      </c>
      <c r="C14" s="13">
        <f>opex_security/'Market Sizing'!C5</f>
        <v/>
      </c>
      <c r="D14" s="13">
        <f>opex_security/'Market Sizing'!D5</f>
        <v/>
      </c>
      <c r="E14" s="13">
        <f>opex_security/'Market Sizing'!E5</f>
        <v/>
      </c>
      <c r="F14" s="13">
        <f>opex_security/'Market Sizing'!F5</f>
        <v/>
      </c>
      <c r="G14" s="13">
        <f>opex_security/'Market Sizing'!G5</f>
        <v/>
      </c>
      <c r="H14" s="13">
        <f>opex_security/'Market Sizing'!H5</f>
        <v/>
      </c>
      <c r="I14" s="13">
        <f>opex_security/'Market Sizing'!I5</f>
        <v/>
      </c>
      <c r="J14" s="13">
        <f>opex_security/'Market Sizing'!J5</f>
        <v/>
      </c>
      <c r="K14" s="13">
        <f>opex_security/'Market Sizing'!K5</f>
        <v/>
      </c>
      <c r="L14" s="13">
        <f>opex_security/'Market Sizing'!L5</f>
        <v/>
      </c>
      <c r="M14" s="13">
        <f>opex_security/'Market Sizing'!M5</f>
        <v/>
      </c>
      <c r="N14" s="13">
        <f>opex_security/'Market Sizing'!N5</f>
        <v/>
      </c>
      <c r="O14" s="13">
        <f>opex_security/'Market Sizing'!O5</f>
        <v/>
      </c>
      <c r="P14" s="13">
        <f>opex_security/'Market Sizing'!P5</f>
        <v/>
      </c>
      <c r="Q14" s="13">
        <f>opex_security/'Market Sizing'!Q5</f>
        <v/>
      </c>
      <c r="R14" s="13">
        <f>opex_security/'Market Sizing'!R5</f>
        <v/>
      </c>
      <c r="S14" s="13">
        <f>opex_security/'Market Sizing'!S5</f>
        <v/>
      </c>
      <c r="T14" s="13">
        <f>opex_security/'Market Sizing'!T5</f>
        <v/>
      </c>
      <c r="U14" s="13">
        <f>opex_security/'Market Sizing'!U5</f>
        <v/>
      </c>
      <c r="V14" s="13">
        <f>opex_security/'Market Sizing'!V5</f>
        <v/>
      </c>
      <c r="W14" s="13">
        <f>opex_security/'Market Sizing'!W5</f>
        <v/>
      </c>
      <c r="X14" s="13">
        <f>opex_security/'Market Sizing'!X5</f>
        <v/>
      </c>
      <c r="Y14" s="13">
        <f>opex_security/'Market Sizing'!Y5</f>
        <v/>
      </c>
      <c r="Z14" s="13">
        <f>opex_security/'Market Sizing'!Z5</f>
        <v/>
      </c>
      <c r="AA14" s="13">
        <f>opex_security/'Market Sizing'!AA5</f>
        <v/>
      </c>
      <c r="AB14" s="13">
        <f>opex_security/'Market Sizing'!AB5</f>
        <v/>
      </c>
      <c r="AC14" s="13">
        <f>opex_security/'Market Sizing'!AC5</f>
        <v/>
      </c>
      <c r="AD14" s="13">
        <f>opex_security/'Market Sizing'!AD5</f>
        <v/>
      </c>
      <c r="AE14" s="13">
        <f>opex_security/'Market Sizing'!AE5</f>
        <v/>
      </c>
      <c r="AF14" s="13">
        <f>opex_security/'Market Sizing'!AF5</f>
        <v/>
      </c>
      <c r="AG14" s="13">
        <f>opex_security/'Market Sizing'!AG5</f>
        <v/>
      </c>
      <c r="AH14" s="13">
        <f>opex_security/'Market Sizing'!AH5</f>
        <v/>
      </c>
      <c r="AI14" s="13">
        <f>opex_security/'Market Sizing'!AI5</f>
        <v/>
      </c>
      <c r="AJ14" s="13">
        <f>opex_security/'Market Sizing'!AJ5</f>
        <v/>
      </c>
      <c r="AK14" s="13">
        <f>opex_security/'Market Sizing'!AK5</f>
        <v/>
      </c>
      <c r="AL14" s="13">
        <f>opex_security/'Market Sizing'!AL5</f>
        <v/>
      </c>
      <c r="AM14" s="13">
        <f>opex_security/'Market Sizing'!AM5</f>
        <v/>
      </c>
      <c r="AN14" s="13">
        <f>opex_security/'Market Sizing'!AN5</f>
        <v/>
      </c>
      <c r="AO14" s="13">
        <f>opex_security/'Market Sizing'!AO5</f>
        <v/>
      </c>
      <c r="AP14" s="13">
        <f>opex_security/'Market Sizing'!AP5</f>
        <v/>
      </c>
      <c r="AQ14" s="13">
        <f>opex_security/'Market Sizing'!AQ5</f>
        <v/>
      </c>
      <c r="AR14" s="13">
        <f>opex_security/'Market Sizing'!AR5</f>
        <v/>
      </c>
    </row>
    <row r="15">
      <c r="A15" s="6" t="inlineStr">
        <is>
          <t xml:space="preserve">  External affairs</t>
        </is>
      </c>
      <c r="B15" s="6" t="inlineStr">
        <is>
          <t>M VND</t>
        </is>
      </c>
      <c r="C15" s="13">
        <f>opex_external/'Market Sizing'!C5</f>
        <v/>
      </c>
      <c r="D15" s="13">
        <f>opex_external/'Market Sizing'!D5</f>
        <v/>
      </c>
      <c r="E15" s="13">
        <f>opex_external/'Market Sizing'!E5</f>
        <v/>
      </c>
      <c r="F15" s="13">
        <f>opex_external/'Market Sizing'!F5</f>
        <v/>
      </c>
      <c r="G15" s="13">
        <f>opex_external/'Market Sizing'!G5</f>
        <v/>
      </c>
      <c r="H15" s="13">
        <f>opex_external/'Market Sizing'!H5</f>
        <v/>
      </c>
      <c r="I15" s="13">
        <f>opex_external/'Market Sizing'!I5</f>
        <v/>
      </c>
      <c r="J15" s="13">
        <f>opex_external/'Market Sizing'!J5</f>
        <v/>
      </c>
      <c r="K15" s="13">
        <f>opex_external/'Market Sizing'!K5</f>
        <v/>
      </c>
      <c r="L15" s="13">
        <f>opex_external/'Market Sizing'!L5</f>
        <v/>
      </c>
      <c r="M15" s="13">
        <f>opex_external/'Market Sizing'!M5</f>
        <v/>
      </c>
      <c r="N15" s="13">
        <f>opex_external/'Market Sizing'!N5</f>
        <v/>
      </c>
      <c r="O15" s="13">
        <f>opex_external/'Market Sizing'!O5</f>
        <v/>
      </c>
      <c r="P15" s="13">
        <f>opex_external/'Market Sizing'!P5</f>
        <v/>
      </c>
      <c r="Q15" s="13">
        <f>opex_external/'Market Sizing'!Q5</f>
        <v/>
      </c>
      <c r="R15" s="13">
        <f>opex_external/'Market Sizing'!R5</f>
        <v/>
      </c>
      <c r="S15" s="13">
        <f>opex_external/'Market Sizing'!S5</f>
        <v/>
      </c>
      <c r="T15" s="13">
        <f>opex_external/'Market Sizing'!T5</f>
        <v/>
      </c>
      <c r="U15" s="13">
        <f>opex_external/'Market Sizing'!U5</f>
        <v/>
      </c>
      <c r="V15" s="13">
        <f>opex_external/'Market Sizing'!V5</f>
        <v/>
      </c>
      <c r="W15" s="13">
        <f>opex_external/'Market Sizing'!W5</f>
        <v/>
      </c>
      <c r="X15" s="13">
        <f>opex_external/'Market Sizing'!X5</f>
        <v/>
      </c>
      <c r="Y15" s="13">
        <f>opex_external/'Market Sizing'!Y5</f>
        <v/>
      </c>
      <c r="Z15" s="13">
        <f>opex_external/'Market Sizing'!Z5</f>
        <v/>
      </c>
      <c r="AA15" s="13">
        <f>opex_external/'Market Sizing'!AA5</f>
        <v/>
      </c>
      <c r="AB15" s="13">
        <f>opex_external/'Market Sizing'!AB5</f>
        <v/>
      </c>
      <c r="AC15" s="13">
        <f>opex_external/'Market Sizing'!AC5</f>
        <v/>
      </c>
      <c r="AD15" s="13">
        <f>opex_external/'Market Sizing'!AD5</f>
        <v/>
      </c>
      <c r="AE15" s="13">
        <f>opex_external/'Market Sizing'!AE5</f>
        <v/>
      </c>
      <c r="AF15" s="13">
        <f>opex_external/'Market Sizing'!AF5</f>
        <v/>
      </c>
      <c r="AG15" s="13">
        <f>opex_external/'Market Sizing'!AG5</f>
        <v/>
      </c>
      <c r="AH15" s="13">
        <f>opex_external/'Market Sizing'!AH5</f>
        <v/>
      </c>
      <c r="AI15" s="13">
        <f>opex_external/'Market Sizing'!AI5</f>
        <v/>
      </c>
      <c r="AJ15" s="13">
        <f>opex_external/'Market Sizing'!AJ5</f>
        <v/>
      </c>
      <c r="AK15" s="13">
        <f>opex_external/'Market Sizing'!AK5</f>
        <v/>
      </c>
      <c r="AL15" s="13">
        <f>opex_external/'Market Sizing'!AL5</f>
        <v/>
      </c>
      <c r="AM15" s="13">
        <f>opex_external/'Market Sizing'!AM5</f>
        <v/>
      </c>
      <c r="AN15" s="13">
        <f>opex_external/'Market Sizing'!AN5</f>
        <v/>
      </c>
      <c r="AO15" s="13">
        <f>opex_external/'Market Sizing'!AO5</f>
        <v/>
      </c>
      <c r="AP15" s="13">
        <f>opex_external/'Market Sizing'!AP5</f>
        <v/>
      </c>
      <c r="AQ15" s="13">
        <f>opex_external/'Market Sizing'!AQ5</f>
        <v/>
      </c>
      <c r="AR15" s="13">
        <f>opex_external/'Market Sizing'!AR5</f>
        <v/>
      </c>
    </row>
    <row r="16">
      <c r="A16" s="6" t="inlineStr">
        <is>
          <t xml:space="preserve">  Legal &amp; compliance</t>
        </is>
      </c>
      <c r="B16" s="6" t="inlineStr">
        <is>
          <t>M VND</t>
        </is>
      </c>
      <c r="C16" s="13">
        <f>opex_legal/'Market Sizing'!C5</f>
        <v/>
      </c>
      <c r="D16" s="13">
        <f>opex_legal/'Market Sizing'!D5</f>
        <v/>
      </c>
      <c r="E16" s="13">
        <f>opex_legal/'Market Sizing'!E5</f>
        <v/>
      </c>
      <c r="F16" s="13">
        <f>opex_legal/'Market Sizing'!F5</f>
        <v/>
      </c>
      <c r="G16" s="13">
        <f>opex_legal/'Market Sizing'!G5</f>
        <v/>
      </c>
      <c r="H16" s="13">
        <f>opex_legal/'Market Sizing'!H5</f>
        <v/>
      </c>
      <c r="I16" s="13">
        <f>opex_legal/'Market Sizing'!I5</f>
        <v/>
      </c>
      <c r="J16" s="13">
        <f>opex_legal/'Market Sizing'!J5</f>
        <v/>
      </c>
      <c r="K16" s="13">
        <f>opex_legal/'Market Sizing'!K5</f>
        <v/>
      </c>
      <c r="L16" s="13">
        <f>opex_legal/'Market Sizing'!L5</f>
        <v/>
      </c>
      <c r="M16" s="13">
        <f>opex_legal/'Market Sizing'!M5</f>
        <v/>
      </c>
      <c r="N16" s="13">
        <f>opex_legal/'Market Sizing'!N5</f>
        <v/>
      </c>
      <c r="O16" s="13">
        <f>opex_legal/'Market Sizing'!O5</f>
        <v/>
      </c>
      <c r="P16" s="13">
        <f>opex_legal/'Market Sizing'!P5</f>
        <v/>
      </c>
      <c r="Q16" s="13">
        <f>opex_legal/'Market Sizing'!Q5</f>
        <v/>
      </c>
      <c r="R16" s="13">
        <f>opex_legal/'Market Sizing'!R5</f>
        <v/>
      </c>
      <c r="S16" s="13">
        <f>opex_legal/'Market Sizing'!S5</f>
        <v/>
      </c>
      <c r="T16" s="13">
        <f>opex_legal/'Market Sizing'!T5</f>
        <v/>
      </c>
      <c r="U16" s="13">
        <f>opex_legal/'Market Sizing'!U5</f>
        <v/>
      </c>
      <c r="V16" s="13">
        <f>opex_legal/'Market Sizing'!V5</f>
        <v/>
      </c>
      <c r="W16" s="13">
        <f>opex_legal/'Market Sizing'!W5</f>
        <v/>
      </c>
      <c r="X16" s="13">
        <f>opex_legal/'Market Sizing'!X5</f>
        <v/>
      </c>
      <c r="Y16" s="13">
        <f>opex_legal/'Market Sizing'!Y5</f>
        <v/>
      </c>
      <c r="Z16" s="13">
        <f>opex_legal/'Market Sizing'!Z5</f>
        <v/>
      </c>
      <c r="AA16" s="13">
        <f>opex_legal/'Market Sizing'!AA5</f>
        <v/>
      </c>
      <c r="AB16" s="13">
        <f>opex_legal/'Market Sizing'!AB5</f>
        <v/>
      </c>
      <c r="AC16" s="13">
        <f>opex_legal/'Market Sizing'!AC5</f>
        <v/>
      </c>
      <c r="AD16" s="13">
        <f>opex_legal/'Market Sizing'!AD5</f>
        <v/>
      </c>
      <c r="AE16" s="13">
        <f>opex_legal/'Market Sizing'!AE5</f>
        <v/>
      </c>
      <c r="AF16" s="13">
        <f>opex_legal/'Market Sizing'!AF5</f>
        <v/>
      </c>
      <c r="AG16" s="13">
        <f>opex_legal/'Market Sizing'!AG5</f>
        <v/>
      </c>
      <c r="AH16" s="13">
        <f>opex_legal/'Market Sizing'!AH5</f>
        <v/>
      </c>
      <c r="AI16" s="13">
        <f>opex_legal/'Market Sizing'!AI5</f>
        <v/>
      </c>
      <c r="AJ16" s="13">
        <f>opex_legal/'Market Sizing'!AJ5</f>
        <v/>
      </c>
      <c r="AK16" s="13">
        <f>opex_legal/'Market Sizing'!AK5</f>
        <v/>
      </c>
      <c r="AL16" s="13">
        <f>opex_legal/'Market Sizing'!AL5</f>
        <v/>
      </c>
      <c r="AM16" s="13">
        <f>opex_legal/'Market Sizing'!AM5</f>
        <v/>
      </c>
      <c r="AN16" s="13">
        <f>opex_legal/'Market Sizing'!AN5</f>
        <v/>
      </c>
      <c r="AO16" s="13">
        <f>opex_legal/'Market Sizing'!AO5</f>
        <v/>
      </c>
      <c r="AP16" s="13">
        <f>opex_legal/'Market Sizing'!AP5</f>
        <v/>
      </c>
      <c r="AQ16" s="13">
        <f>opex_legal/'Market Sizing'!AQ5</f>
        <v/>
      </c>
      <c r="AR16" s="13">
        <f>opex_legal/'Market Sizing'!AR5</f>
        <v/>
      </c>
    </row>
    <row r="17">
      <c r="A17" s="6" t="inlineStr">
        <is>
          <t xml:space="preserve">  Pilot evaluation (Y1 only)</t>
        </is>
      </c>
      <c r="B17" s="6" t="inlineStr">
        <is>
          <t>M VND</t>
        </is>
      </c>
      <c r="C17" s="13">
        <f>opex_pilot_eval/'Market Sizing'!C5</f>
        <v/>
      </c>
      <c r="D17" s="13">
        <f>opex_pilot_eval/'Market Sizing'!D5</f>
        <v/>
      </c>
      <c r="E17" s="13">
        <f>opex_pilot_eval/'Market Sizing'!E5</f>
        <v/>
      </c>
      <c r="F17" s="13">
        <f>opex_pilot_eval/'Market Sizing'!F5</f>
        <v/>
      </c>
      <c r="G17" s="13">
        <f>opex_pilot_eval/'Market Sizing'!G5</f>
        <v/>
      </c>
      <c r="H17" s="13">
        <f>opex_pilot_eval/'Market Sizing'!H5</f>
        <v/>
      </c>
      <c r="I17" s="13">
        <f>0</f>
        <v/>
      </c>
      <c r="J17" s="13">
        <f>0</f>
        <v/>
      </c>
      <c r="K17" s="13">
        <f>0</f>
        <v/>
      </c>
      <c r="L17" s="13">
        <f>0</f>
        <v/>
      </c>
      <c r="M17" s="13">
        <f>0</f>
        <v/>
      </c>
      <c r="N17" s="13">
        <f>0</f>
        <v/>
      </c>
      <c r="O17" s="13">
        <f>0</f>
        <v/>
      </c>
      <c r="P17" s="13">
        <f>0</f>
        <v/>
      </c>
      <c r="Q17" s="13">
        <f>0</f>
        <v/>
      </c>
      <c r="R17" s="13">
        <f>0</f>
        <v/>
      </c>
      <c r="S17" s="13">
        <f>0</f>
        <v/>
      </c>
      <c r="T17" s="13">
        <f>0</f>
        <v/>
      </c>
      <c r="U17" s="13">
        <f>0</f>
        <v/>
      </c>
      <c r="V17" s="13">
        <f>0</f>
        <v/>
      </c>
      <c r="W17" s="13">
        <f>0</f>
        <v/>
      </c>
      <c r="X17" s="13">
        <f>0</f>
        <v/>
      </c>
      <c r="Y17" s="13">
        <f>0</f>
        <v/>
      </c>
      <c r="Z17" s="13">
        <f>0</f>
        <v/>
      </c>
      <c r="AA17" s="13">
        <f>0</f>
        <v/>
      </c>
      <c r="AB17" s="13">
        <f>0</f>
        <v/>
      </c>
      <c r="AC17" s="13">
        <f>0</f>
        <v/>
      </c>
      <c r="AD17" s="13">
        <f>0</f>
        <v/>
      </c>
      <c r="AE17" s="13">
        <f>0</f>
        <v/>
      </c>
      <c r="AF17" s="13">
        <f>0</f>
        <v/>
      </c>
      <c r="AG17" s="13">
        <f>0</f>
        <v/>
      </c>
      <c r="AH17" s="13">
        <f>0</f>
        <v/>
      </c>
      <c r="AI17" s="13">
        <f>0</f>
        <v/>
      </c>
      <c r="AJ17" s="13">
        <f>0</f>
        <v/>
      </c>
      <c r="AK17" s="13">
        <f>0</f>
        <v/>
      </c>
      <c r="AL17" s="13">
        <f>0</f>
        <v/>
      </c>
      <c r="AM17" s="13">
        <f>0</f>
        <v/>
      </c>
      <c r="AN17" s="13">
        <f>0</f>
        <v/>
      </c>
      <c r="AO17" s="13">
        <f>0</f>
        <v/>
      </c>
      <c r="AP17" s="13">
        <f>0</f>
        <v/>
      </c>
      <c r="AQ17" s="13">
        <f>0</f>
        <v/>
      </c>
      <c r="AR17" s="13">
        <f>0</f>
        <v/>
      </c>
    </row>
    <row r="18">
      <c r="A18" s="6" t="inlineStr">
        <is>
          <t>TOTAL OPEX</t>
        </is>
      </c>
      <c r="B18" s="6" t="inlineStr">
        <is>
          <t>M VND</t>
        </is>
      </c>
      <c r="C18" s="12">
        <f>SUM(C10:C17)</f>
        <v/>
      </c>
      <c r="D18" s="12">
        <f>SUM(D10:D17)</f>
        <v/>
      </c>
      <c r="E18" s="12">
        <f>SUM(E10:E17)</f>
        <v/>
      </c>
      <c r="F18" s="12">
        <f>SUM(F10:F17)</f>
        <v/>
      </c>
      <c r="G18" s="12">
        <f>SUM(G10:G17)</f>
        <v/>
      </c>
      <c r="H18" s="12">
        <f>SUM(H10:H17)</f>
        <v/>
      </c>
      <c r="I18" s="12">
        <f>SUM(I10:I17)</f>
        <v/>
      </c>
      <c r="J18" s="12">
        <f>SUM(J10:J17)</f>
        <v/>
      </c>
      <c r="K18" s="12">
        <f>SUM(K10:K17)</f>
        <v/>
      </c>
      <c r="L18" s="12">
        <f>SUM(L10:L17)</f>
        <v/>
      </c>
      <c r="M18" s="12">
        <f>SUM(M10:M17)</f>
        <v/>
      </c>
      <c r="N18" s="12">
        <f>SUM(N10:N17)</f>
        <v/>
      </c>
      <c r="O18" s="12">
        <f>SUM(O10:O17)</f>
        <v/>
      </c>
      <c r="P18" s="12">
        <f>SUM(P10:P17)</f>
        <v/>
      </c>
      <c r="Q18" s="12">
        <f>SUM(Q10:Q17)</f>
        <v/>
      </c>
      <c r="R18" s="12">
        <f>SUM(R10:R17)</f>
        <v/>
      </c>
      <c r="S18" s="12">
        <f>SUM(S10:S17)</f>
        <v/>
      </c>
      <c r="T18" s="12">
        <f>SUM(T10:T17)</f>
        <v/>
      </c>
      <c r="U18" s="12">
        <f>SUM(U10:U17)</f>
        <v/>
      </c>
      <c r="V18" s="12">
        <f>SUM(V10:V17)</f>
        <v/>
      </c>
      <c r="W18" s="12">
        <f>SUM(W10:W17)</f>
        <v/>
      </c>
      <c r="X18" s="12">
        <f>SUM(X10:X17)</f>
        <v/>
      </c>
      <c r="Y18" s="12">
        <f>SUM(Y10:Y17)</f>
        <v/>
      </c>
      <c r="Z18" s="12">
        <f>SUM(Z10:Z17)</f>
        <v/>
      </c>
      <c r="AA18" s="12">
        <f>SUM(AA10:AA17)</f>
        <v/>
      </c>
      <c r="AB18" s="12">
        <f>SUM(AB10:AB17)</f>
        <v/>
      </c>
      <c r="AC18" s="12">
        <f>SUM(AC10:AC17)</f>
        <v/>
      </c>
      <c r="AD18" s="12">
        <f>SUM(AD10:AD17)</f>
        <v/>
      </c>
      <c r="AE18" s="12">
        <f>SUM(AE10:AE17)</f>
        <v/>
      </c>
      <c r="AF18" s="12">
        <f>SUM(AF10:AF17)</f>
        <v/>
      </c>
      <c r="AG18" s="12">
        <f>SUM(AG10:AG17)</f>
        <v/>
      </c>
      <c r="AH18" s="12">
        <f>SUM(AH10:AH17)</f>
        <v/>
      </c>
      <c r="AI18" s="12">
        <f>SUM(AI10:AI17)</f>
        <v/>
      </c>
      <c r="AJ18" s="12">
        <f>SUM(AJ10:AJ17)</f>
        <v/>
      </c>
      <c r="AK18" s="12">
        <f>SUM(AK10:AK17)</f>
        <v/>
      </c>
      <c r="AL18" s="12">
        <f>SUM(AL10:AL17)</f>
        <v/>
      </c>
      <c r="AM18" s="12">
        <f>SUM(AM10:AM17)</f>
        <v/>
      </c>
      <c r="AN18" s="12">
        <f>SUM(AN10:AN17)</f>
        <v/>
      </c>
      <c r="AO18" s="12">
        <f>SUM(AO10:AO17)</f>
        <v/>
      </c>
      <c r="AP18" s="12">
        <f>SUM(AP10:AP17)</f>
        <v/>
      </c>
      <c r="AQ18" s="12">
        <f>SUM(AQ10:AQ17)</f>
        <v/>
      </c>
      <c r="AR18" s="12">
        <f>SUM(AR10:AR17)</f>
        <v/>
      </c>
    </row>
    <row r="20">
      <c r="A20" s="6" t="inlineStr">
        <is>
          <t>TOTAL COSTS (CAPEX+OPEX)</t>
        </is>
      </c>
      <c r="B20" s="6" t="inlineStr">
        <is>
          <t>M VND</t>
        </is>
      </c>
      <c r="C20" s="12">
        <f>C7+C18</f>
        <v/>
      </c>
      <c r="D20" s="12">
        <f>D7+D18</f>
        <v/>
      </c>
      <c r="E20" s="12">
        <f>E7+E18</f>
        <v/>
      </c>
      <c r="F20" s="12">
        <f>F7+F18</f>
        <v/>
      </c>
      <c r="G20" s="12">
        <f>G7+G18</f>
        <v/>
      </c>
      <c r="H20" s="12">
        <f>H7+H18</f>
        <v/>
      </c>
      <c r="I20" s="12">
        <f>I7+I18</f>
        <v/>
      </c>
      <c r="J20" s="12">
        <f>J7+J18</f>
        <v/>
      </c>
      <c r="K20" s="12">
        <f>K7+K18</f>
        <v/>
      </c>
      <c r="L20" s="12">
        <f>L7+L18</f>
        <v/>
      </c>
      <c r="M20" s="12">
        <f>M7+M18</f>
        <v/>
      </c>
      <c r="N20" s="12">
        <f>N7+N18</f>
        <v/>
      </c>
      <c r="O20" s="12">
        <f>O7+O18</f>
        <v/>
      </c>
      <c r="P20" s="12">
        <f>P7+P18</f>
        <v/>
      </c>
      <c r="Q20" s="12">
        <f>Q7+Q18</f>
        <v/>
      </c>
      <c r="R20" s="12">
        <f>R7+R18</f>
        <v/>
      </c>
      <c r="S20" s="12">
        <f>S7+S18</f>
        <v/>
      </c>
      <c r="T20" s="12">
        <f>T7+T18</f>
        <v/>
      </c>
      <c r="U20" s="12">
        <f>U7+U18</f>
        <v/>
      </c>
      <c r="V20" s="12">
        <f>V7+V18</f>
        <v/>
      </c>
      <c r="W20" s="12">
        <f>W7+W18</f>
        <v/>
      </c>
      <c r="X20" s="12">
        <f>X7+X18</f>
        <v/>
      </c>
      <c r="Y20" s="12">
        <f>Y7+Y18</f>
        <v/>
      </c>
      <c r="Z20" s="12">
        <f>Z7+Z18</f>
        <v/>
      </c>
      <c r="AA20" s="12">
        <f>AA7+AA18</f>
        <v/>
      </c>
      <c r="AB20" s="12">
        <f>AB7+AB18</f>
        <v/>
      </c>
      <c r="AC20" s="12">
        <f>AC7+AC18</f>
        <v/>
      </c>
      <c r="AD20" s="12">
        <f>AD7+AD18</f>
        <v/>
      </c>
      <c r="AE20" s="12">
        <f>AE7+AE18</f>
        <v/>
      </c>
      <c r="AF20" s="12">
        <f>AF7+AF18</f>
        <v/>
      </c>
      <c r="AG20" s="12">
        <f>AG7+AG18</f>
        <v/>
      </c>
      <c r="AH20" s="12">
        <f>AH7+AH18</f>
        <v/>
      </c>
      <c r="AI20" s="12">
        <f>AI7+AI18</f>
        <v/>
      </c>
      <c r="AJ20" s="12">
        <f>AJ7+AJ18</f>
        <v/>
      </c>
      <c r="AK20" s="12">
        <f>AK7+AK18</f>
        <v/>
      </c>
      <c r="AL20" s="12">
        <f>AL7+AL18</f>
        <v/>
      </c>
      <c r="AM20" s="12">
        <f>AM7+AM18</f>
        <v/>
      </c>
      <c r="AN20" s="12">
        <f>AN7+AN18</f>
        <v/>
      </c>
      <c r="AO20" s="12">
        <f>AO7+AO18</f>
        <v/>
      </c>
      <c r="AP20" s="12">
        <f>AP7+AP18</f>
        <v/>
      </c>
      <c r="AQ20" s="12">
        <f>AQ7+AQ18</f>
        <v/>
      </c>
      <c r="AR20" s="12">
        <f>AR7+AR18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PROFIT &amp; LOSS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6" t="inlineStr">
        <is>
          <t>Revenue</t>
        </is>
      </c>
      <c r="B4" s="6" t="inlineStr">
        <is>
          <t>M VND</t>
        </is>
      </c>
      <c r="C4" s="13">
        <f>'Revenue Schedule'!C16</f>
        <v/>
      </c>
      <c r="D4" s="13">
        <f>'Revenue Schedule'!D16</f>
        <v/>
      </c>
      <c r="E4" s="13">
        <f>'Revenue Schedule'!E16</f>
        <v/>
      </c>
      <c r="F4" s="13">
        <f>'Revenue Schedule'!F16</f>
        <v/>
      </c>
      <c r="G4" s="13">
        <f>'Revenue Schedule'!G16</f>
        <v/>
      </c>
      <c r="H4" s="13">
        <f>'Revenue Schedule'!H16</f>
        <v/>
      </c>
      <c r="I4" s="13">
        <f>'Revenue Schedule'!I16</f>
        <v/>
      </c>
      <c r="J4" s="13">
        <f>'Revenue Schedule'!J16</f>
        <v/>
      </c>
      <c r="K4" s="13">
        <f>'Revenue Schedule'!K16</f>
        <v/>
      </c>
      <c r="L4" s="13">
        <f>'Revenue Schedule'!L16</f>
        <v/>
      </c>
      <c r="M4" s="13">
        <f>'Revenue Schedule'!M16</f>
        <v/>
      </c>
      <c r="N4" s="13">
        <f>'Revenue Schedule'!N16</f>
        <v/>
      </c>
      <c r="O4" s="13">
        <f>'Revenue Schedule'!O16</f>
        <v/>
      </c>
      <c r="P4" s="13">
        <f>'Revenue Schedule'!P16</f>
        <v/>
      </c>
      <c r="Q4" s="13">
        <f>'Revenue Schedule'!Q16</f>
        <v/>
      </c>
      <c r="R4" s="13">
        <f>'Revenue Schedule'!R16</f>
        <v/>
      </c>
      <c r="S4" s="13">
        <f>'Revenue Schedule'!S16</f>
        <v/>
      </c>
      <c r="T4" s="13">
        <f>'Revenue Schedule'!T16</f>
        <v/>
      </c>
      <c r="U4" s="13">
        <f>'Revenue Schedule'!U16</f>
        <v/>
      </c>
      <c r="V4" s="13">
        <f>'Revenue Schedule'!V16</f>
        <v/>
      </c>
      <c r="W4" s="13">
        <f>'Revenue Schedule'!W16</f>
        <v/>
      </c>
      <c r="X4" s="13">
        <f>'Revenue Schedule'!X16</f>
        <v/>
      </c>
      <c r="Y4" s="13">
        <f>'Revenue Schedule'!Y16</f>
        <v/>
      </c>
      <c r="Z4" s="13">
        <f>'Revenue Schedule'!Z16</f>
        <v/>
      </c>
      <c r="AA4" s="13">
        <f>'Revenue Schedule'!AA16</f>
        <v/>
      </c>
      <c r="AB4" s="13">
        <f>'Revenue Schedule'!AB16</f>
        <v/>
      </c>
      <c r="AC4" s="13">
        <f>'Revenue Schedule'!AC16</f>
        <v/>
      </c>
      <c r="AD4" s="13">
        <f>'Revenue Schedule'!AD16</f>
        <v/>
      </c>
      <c r="AE4" s="13">
        <f>'Revenue Schedule'!AE16</f>
        <v/>
      </c>
      <c r="AF4" s="13">
        <f>'Revenue Schedule'!AF16</f>
        <v/>
      </c>
      <c r="AG4" s="13">
        <f>'Revenue Schedule'!AG16</f>
        <v/>
      </c>
      <c r="AH4" s="13">
        <f>'Revenue Schedule'!AH16</f>
        <v/>
      </c>
      <c r="AI4" s="13">
        <f>'Revenue Schedule'!AI16</f>
        <v/>
      </c>
      <c r="AJ4" s="13">
        <f>'Revenue Schedule'!AJ16</f>
        <v/>
      </c>
      <c r="AK4" s="13">
        <f>'Revenue Schedule'!AK16</f>
        <v/>
      </c>
      <c r="AL4" s="13">
        <f>'Revenue Schedule'!AL16</f>
        <v/>
      </c>
      <c r="AM4" s="13">
        <f>'Revenue Schedule'!AM16</f>
        <v/>
      </c>
      <c r="AN4" s="13">
        <f>'Revenue Schedule'!AN16</f>
        <v/>
      </c>
      <c r="AO4" s="13">
        <f>'Revenue Schedule'!AO16</f>
        <v/>
      </c>
      <c r="AP4" s="13">
        <f>'Revenue Schedule'!AP16</f>
        <v/>
      </c>
      <c r="AQ4" s="13">
        <f>'Revenue Schedule'!AQ16</f>
        <v/>
      </c>
      <c r="AR4" s="13">
        <f>'Revenue Schedule'!AR16</f>
        <v/>
      </c>
    </row>
    <row r="5">
      <c r="A5" s="6" t="inlineStr">
        <is>
          <t>COGS</t>
        </is>
      </c>
      <c r="B5" s="6" t="inlineStr">
        <is>
          <t>M VND</t>
        </is>
      </c>
      <c r="C5" s="13">
        <f>-'Revenue Schedule'!C20</f>
        <v/>
      </c>
      <c r="D5" s="13">
        <f>-'Revenue Schedule'!D20</f>
        <v/>
      </c>
      <c r="E5" s="13">
        <f>-'Revenue Schedule'!E20</f>
        <v/>
      </c>
      <c r="F5" s="13">
        <f>-'Revenue Schedule'!F20</f>
        <v/>
      </c>
      <c r="G5" s="13">
        <f>-'Revenue Schedule'!G20</f>
        <v/>
      </c>
      <c r="H5" s="13">
        <f>-'Revenue Schedule'!H20</f>
        <v/>
      </c>
      <c r="I5" s="13">
        <f>-'Revenue Schedule'!I20</f>
        <v/>
      </c>
      <c r="J5" s="13">
        <f>-'Revenue Schedule'!J20</f>
        <v/>
      </c>
      <c r="K5" s="13">
        <f>-'Revenue Schedule'!K20</f>
        <v/>
      </c>
      <c r="L5" s="13">
        <f>-'Revenue Schedule'!L20</f>
        <v/>
      </c>
      <c r="M5" s="13">
        <f>-'Revenue Schedule'!M20</f>
        <v/>
      </c>
      <c r="N5" s="13">
        <f>-'Revenue Schedule'!N20</f>
        <v/>
      </c>
      <c r="O5" s="13">
        <f>-'Revenue Schedule'!O20</f>
        <v/>
      </c>
      <c r="P5" s="13">
        <f>-'Revenue Schedule'!P20</f>
        <v/>
      </c>
      <c r="Q5" s="13">
        <f>-'Revenue Schedule'!Q20</f>
        <v/>
      </c>
      <c r="R5" s="13">
        <f>-'Revenue Schedule'!R20</f>
        <v/>
      </c>
      <c r="S5" s="13">
        <f>-'Revenue Schedule'!S20</f>
        <v/>
      </c>
      <c r="T5" s="13">
        <f>-'Revenue Schedule'!T20</f>
        <v/>
      </c>
      <c r="U5" s="13">
        <f>-'Revenue Schedule'!U20</f>
        <v/>
      </c>
      <c r="V5" s="13">
        <f>-'Revenue Schedule'!V20</f>
        <v/>
      </c>
      <c r="W5" s="13">
        <f>-'Revenue Schedule'!W20</f>
        <v/>
      </c>
      <c r="X5" s="13">
        <f>-'Revenue Schedule'!X20</f>
        <v/>
      </c>
      <c r="Y5" s="13">
        <f>-'Revenue Schedule'!Y20</f>
        <v/>
      </c>
      <c r="Z5" s="13">
        <f>-'Revenue Schedule'!Z20</f>
        <v/>
      </c>
      <c r="AA5" s="13">
        <f>-'Revenue Schedule'!AA20</f>
        <v/>
      </c>
      <c r="AB5" s="13">
        <f>-'Revenue Schedule'!AB20</f>
        <v/>
      </c>
      <c r="AC5" s="13">
        <f>-'Revenue Schedule'!AC20</f>
        <v/>
      </c>
      <c r="AD5" s="13">
        <f>-'Revenue Schedule'!AD20</f>
        <v/>
      </c>
      <c r="AE5" s="13">
        <f>-'Revenue Schedule'!AE20</f>
        <v/>
      </c>
      <c r="AF5" s="13">
        <f>-'Revenue Schedule'!AF20</f>
        <v/>
      </c>
      <c r="AG5" s="13">
        <f>-'Revenue Schedule'!AG20</f>
        <v/>
      </c>
      <c r="AH5" s="13">
        <f>-'Revenue Schedule'!AH20</f>
        <v/>
      </c>
      <c r="AI5" s="13">
        <f>-'Revenue Schedule'!AI20</f>
        <v/>
      </c>
      <c r="AJ5" s="13">
        <f>-'Revenue Schedule'!AJ20</f>
        <v/>
      </c>
      <c r="AK5" s="13">
        <f>-'Revenue Schedule'!AK20</f>
        <v/>
      </c>
      <c r="AL5" s="13">
        <f>-'Revenue Schedule'!AL20</f>
        <v/>
      </c>
      <c r="AM5" s="13">
        <f>-'Revenue Schedule'!AM20</f>
        <v/>
      </c>
      <c r="AN5" s="13">
        <f>-'Revenue Schedule'!AN20</f>
        <v/>
      </c>
      <c r="AO5" s="13">
        <f>-'Revenue Schedule'!AO20</f>
        <v/>
      </c>
      <c r="AP5" s="13">
        <f>-'Revenue Schedule'!AP20</f>
        <v/>
      </c>
      <c r="AQ5" s="13">
        <f>-'Revenue Schedule'!AQ20</f>
        <v/>
      </c>
      <c r="AR5" s="13">
        <f>-'Revenue Schedule'!AR20</f>
        <v/>
      </c>
    </row>
    <row r="6">
      <c r="A6" s="6" t="inlineStr">
        <is>
          <t>GROSS PROFIT</t>
        </is>
      </c>
      <c r="B6" s="6" t="inlineStr">
        <is>
          <t>M VND</t>
        </is>
      </c>
      <c r="C6" s="12">
        <f>C4+C5</f>
        <v/>
      </c>
      <c r="D6" s="12">
        <f>D4+D5</f>
        <v/>
      </c>
      <c r="E6" s="12">
        <f>E4+E5</f>
        <v/>
      </c>
      <c r="F6" s="12">
        <f>F4+F5</f>
        <v/>
      </c>
      <c r="G6" s="12">
        <f>G4+G5</f>
        <v/>
      </c>
      <c r="H6" s="12">
        <f>H4+H5</f>
        <v/>
      </c>
      <c r="I6" s="12">
        <f>I4+I5</f>
        <v/>
      </c>
      <c r="J6" s="12">
        <f>J4+J5</f>
        <v/>
      </c>
      <c r="K6" s="12">
        <f>K4+K5</f>
        <v/>
      </c>
      <c r="L6" s="12">
        <f>L4+L5</f>
        <v/>
      </c>
      <c r="M6" s="12">
        <f>M4+M5</f>
        <v/>
      </c>
      <c r="N6" s="12">
        <f>N4+N5</f>
        <v/>
      </c>
      <c r="O6" s="12">
        <f>O4+O5</f>
        <v/>
      </c>
      <c r="P6" s="12">
        <f>P4+P5</f>
        <v/>
      </c>
      <c r="Q6" s="12">
        <f>Q4+Q5</f>
        <v/>
      </c>
      <c r="R6" s="12">
        <f>R4+R5</f>
        <v/>
      </c>
      <c r="S6" s="12">
        <f>S4+S5</f>
        <v/>
      </c>
      <c r="T6" s="12">
        <f>T4+T5</f>
        <v/>
      </c>
      <c r="U6" s="12">
        <f>U4+U5</f>
        <v/>
      </c>
      <c r="V6" s="12">
        <f>V4+V5</f>
        <v/>
      </c>
      <c r="W6" s="12">
        <f>W4+W5</f>
        <v/>
      </c>
      <c r="X6" s="12">
        <f>X4+X5</f>
        <v/>
      </c>
      <c r="Y6" s="12">
        <f>Y4+Y5</f>
        <v/>
      </c>
      <c r="Z6" s="12">
        <f>Z4+Z5</f>
        <v/>
      </c>
      <c r="AA6" s="12">
        <f>AA4+AA5</f>
        <v/>
      </c>
      <c r="AB6" s="12">
        <f>AB4+AB5</f>
        <v/>
      </c>
      <c r="AC6" s="12">
        <f>AC4+AC5</f>
        <v/>
      </c>
      <c r="AD6" s="12">
        <f>AD4+AD5</f>
        <v/>
      </c>
      <c r="AE6" s="12">
        <f>AE4+AE5</f>
        <v/>
      </c>
      <c r="AF6" s="12">
        <f>AF4+AF5</f>
        <v/>
      </c>
      <c r="AG6" s="12">
        <f>AG4+AG5</f>
        <v/>
      </c>
      <c r="AH6" s="12">
        <f>AH4+AH5</f>
        <v/>
      </c>
      <c r="AI6" s="12">
        <f>AI4+AI5</f>
        <v/>
      </c>
      <c r="AJ6" s="12">
        <f>AJ4+AJ5</f>
        <v/>
      </c>
      <c r="AK6" s="12">
        <f>AK4+AK5</f>
        <v/>
      </c>
      <c r="AL6" s="12">
        <f>AL4+AL5</f>
        <v/>
      </c>
      <c r="AM6" s="12">
        <f>AM4+AM5</f>
        <v/>
      </c>
      <c r="AN6" s="12">
        <f>AN4+AN5</f>
        <v/>
      </c>
      <c r="AO6" s="12">
        <f>AO4+AO5</f>
        <v/>
      </c>
      <c r="AP6" s="12">
        <f>AP4+AP5</f>
        <v/>
      </c>
      <c r="AQ6" s="12">
        <f>AQ4+AQ5</f>
        <v/>
      </c>
      <c r="AR6" s="12">
        <f>AR4+AR5</f>
        <v/>
      </c>
    </row>
    <row r="8">
      <c r="A8" s="6" t="inlineStr">
        <is>
          <t>Operating expenses</t>
        </is>
      </c>
      <c r="B8" s="6" t="inlineStr">
        <is>
          <t>M VND</t>
        </is>
      </c>
      <c r="C8" s="13">
        <f>-'Cost Schedule'!C18</f>
        <v/>
      </c>
      <c r="D8" s="13">
        <f>-'Cost Schedule'!D18</f>
        <v/>
      </c>
      <c r="E8" s="13">
        <f>-'Cost Schedule'!E18</f>
        <v/>
      </c>
      <c r="F8" s="13">
        <f>-'Cost Schedule'!F18</f>
        <v/>
      </c>
      <c r="G8" s="13">
        <f>-'Cost Schedule'!G18</f>
        <v/>
      </c>
      <c r="H8" s="13">
        <f>-'Cost Schedule'!H18</f>
        <v/>
      </c>
      <c r="I8" s="13">
        <f>-'Cost Schedule'!I18</f>
        <v/>
      </c>
      <c r="J8" s="13">
        <f>-'Cost Schedule'!J18</f>
        <v/>
      </c>
      <c r="K8" s="13">
        <f>-'Cost Schedule'!K18</f>
        <v/>
      </c>
      <c r="L8" s="13">
        <f>-'Cost Schedule'!L18</f>
        <v/>
      </c>
      <c r="M8" s="13">
        <f>-'Cost Schedule'!M18</f>
        <v/>
      </c>
      <c r="N8" s="13">
        <f>-'Cost Schedule'!N18</f>
        <v/>
      </c>
      <c r="O8" s="13">
        <f>-'Cost Schedule'!O18</f>
        <v/>
      </c>
      <c r="P8" s="13">
        <f>-'Cost Schedule'!P18</f>
        <v/>
      </c>
      <c r="Q8" s="13">
        <f>-'Cost Schedule'!Q18</f>
        <v/>
      </c>
      <c r="R8" s="13">
        <f>-'Cost Schedule'!R18</f>
        <v/>
      </c>
      <c r="S8" s="13">
        <f>-'Cost Schedule'!S18</f>
        <v/>
      </c>
      <c r="T8" s="13">
        <f>-'Cost Schedule'!T18</f>
        <v/>
      </c>
      <c r="U8" s="13">
        <f>-'Cost Schedule'!U18</f>
        <v/>
      </c>
      <c r="V8" s="13">
        <f>-'Cost Schedule'!V18</f>
        <v/>
      </c>
      <c r="W8" s="13">
        <f>-'Cost Schedule'!W18</f>
        <v/>
      </c>
      <c r="X8" s="13">
        <f>-'Cost Schedule'!X18</f>
        <v/>
      </c>
      <c r="Y8" s="13">
        <f>-'Cost Schedule'!Y18</f>
        <v/>
      </c>
      <c r="Z8" s="13">
        <f>-'Cost Schedule'!Z18</f>
        <v/>
      </c>
      <c r="AA8" s="13">
        <f>-'Cost Schedule'!AA18</f>
        <v/>
      </c>
      <c r="AB8" s="13">
        <f>-'Cost Schedule'!AB18</f>
        <v/>
      </c>
      <c r="AC8" s="13">
        <f>-'Cost Schedule'!AC18</f>
        <v/>
      </c>
      <c r="AD8" s="13">
        <f>-'Cost Schedule'!AD18</f>
        <v/>
      </c>
      <c r="AE8" s="13">
        <f>-'Cost Schedule'!AE18</f>
        <v/>
      </c>
      <c r="AF8" s="13">
        <f>-'Cost Schedule'!AF18</f>
        <v/>
      </c>
      <c r="AG8" s="13">
        <f>-'Cost Schedule'!AG18</f>
        <v/>
      </c>
      <c r="AH8" s="13">
        <f>-'Cost Schedule'!AH18</f>
        <v/>
      </c>
      <c r="AI8" s="13">
        <f>-'Cost Schedule'!AI18</f>
        <v/>
      </c>
      <c r="AJ8" s="13">
        <f>-'Cost Schedule'!AJ18</f>
        <v/>
      </c>
      <c r="AK8" s="13">
        <f>-'Cost Schedule'!AK18</f>
        <v/>
      </c>
      <c r="AL8" s="13">
        <f>-'Cost Schedule'!AL18</f>
        <v/>
      </c>
      <c r="AM8" s="13">
        <f>-'Cost Schedule'!AM18</f>
        <v/>
      </c>
      <c r="AN8" s="13">
        <f>-'Cost Schedule'!AN18</f>
        <v/>
      </c>
      <c r="AO8" s="13">
        <f>-'Cost Schedule'!AO18</f>
        <v/>
      </c>
      <c r="AP8" s="13">
        <f>-'Cost Schedule'!AP18</f>
        <v/>
      </c>
      <c r="AQ8" s="13">
        <f>-'Cost Schedule'!AQ18</f>
        <v/>
      </c>
      <c r="AR8" s="13">
        <f>-'Cost Schedule'!AR18</f>
        <v/>
      </c>
    </row>
    <row r="9">
      <c r="A9" s="6" t="inlineStr">
        <is>
          <t>EBITDA</t>
        </is>
      </c>
      <c r="B9" s="6" t="inlineStr">
        <is>
          <t>M VND</t>
        </is>
      </c>
      <c r="C9" s="12">
        <f>C6+C8</f>
        <v/>
      </c>
      <c r="D9" s="12">
        <f>D6+D8</f>
        <v/>
      </c>
      <c r="E9" s="12">
        <f>E6+E8</f>
        <v/>
      </c>
      <c r="F9" s="12">
        <f>F6+F8</f>
        <v/>
      </c>
      <c r="G9" s="12">
        <f>G6+G8</f>
        <v/>
      </c>
      <c r="H9" s="12">
        <f>H6+H8</f>
        <v/>
      </c>
      <c r="I9" s="12">
        <f>I6+I8</f>
        <v/>
      </c>
      <c r="J9" s="12">
        <f>J6+J8</f>
        <v/>
      </c>
      <c r="K9" s="12">
        <f>K6+K8</f>
        <v/>
      </c>
      <c r="L9" s="12">
        <f>L6+L8</f>
        <v/>
      </c>
      <c r="M9" s="12">
        <f>M6+M8</f>
        <v/>
      </c>
      <c r="N9" s="12">
        <f>N6+N8</f>
        <v/>
      </c>
      <c r="O9" s="12">
        <f>O6+O8</f>
        <v/>
      </c>
      <c r="P9" s="12">
        <f>P6+P8</f>
        <v/>
      </c>
      <c r="Q9" s="12">
        <f>Q6+Q8</f>
        <v/>
      </c>
      <c r="R9" s="12">
        <f>R6+R8</f>
        <v/>
      </c>
      <c r="S9" s="12">
        <f>S6+S8</f>
        <v/>
      </c>
      <c r="T9" s="12">
        <f>T6+T8</f>
        <v/>
      </c>
      <c r="U9" s="12">
        <f>U6+U8</f>
        <v/>
      </c>
      <c r="V9" s="12">
        <f>V6+V8</f>
        <v/>
      </c>
      <c r="W9" s="12">
        <f>W6+W8</f>
        <v/>
      </c>
      <c r="X9" s="12">
        <f>X6+X8</f>
        <v/>
      </c>
      <c r="Y9" s="12">
        <f>Y6+Y8</f>
        <v/>
      </c>
      <c r="Z9" s="12">
        <f>Z6+Z8</f>
        <v/>
      </c>
      <c r="AA9" s="12">
        <f>AA6+AA8</f>
        <v/>
      </c>
      <c r="AB9" s="12">
        <f>AB6+AB8</f>
        <v/>
      </c>
      <c r="AC9" s="12">
        <f>AC6+AC8</f>
        <v/>
      </c>
      <c r="AD9" s="12">
        <f>AD6+AD8</f>
        <v/>
      </c>
      <c r="AE9" s="12">
        <f>AE6+AE8</f>
        <v/>
      </c>
      <c r="AF9" s="12">
        <f>AF6+AF8</f>
        <v/>
      </c>
      <c r="AG9" s="12">
        <f>AG6+AG8</f>
        <v/>
      </c>
      <c r="AH9" s="12">
        <f>AH6+AH8</f>
        <v/>
      </c>
      <c r="AI9" s="12">
        <f>AI6+AI8</f>
        <v/>
      </c>
      <c r="AJ9" s="12">
        <f>AJ6+AJ8</f>
        <v/>
      </c>
      <c r="AK9" s="12">
        <f>AK6+AK8</f>
        <v/>
      </c>
      <c r="AL9" s="12">
        <f>AL6+AL8</f>
        <v/>
      </c>
      <c r="AM9" s="12">
        <f>AM6+AM8</f>
        <v/>
      </c>
      <c r="AN9" s="12">
        <f>AN6+AN8</f>
        <v/>
      </c>
      <c r="AO9" s="12">
        <f>AO6+AO8</f>
        <v/>
      </c>
      <c r="AP9" s="12">
        <f>AP6+AP8</f>
        <v/>
      </c>
      <c r="AQ9" s="12">
        <f>AQ6+AQ8</f>
        <v/>
      </c>
      <c r="AR9" s="12">
        <f>AR6+AR8</f>
        <v/>
      </c>
    </row>
    <row r="10">
      <c r="A10" s="6" t="inlineStr">
        <is>
          <t>Depreciation</t>
        </is>
      </c>
      <c r="B10" s="6" t="inlineStr">
        <is>
          <t>M VND</t>
        </is>
      </c>
      <c r="C10" s="13">
        <f>-capex_total/depreciation_years/'Market Sizing'!C5</f>
        <v/>
      </c>
      <c r="D10" s="13">
        <f>-capex_total/depreciation_years/'Market Sizing'!D5</f>
        <v/>
      </c>
      <c r="E10" s="13">
        <f>-capex_total/depreciation_years/'Market Sizing'!E5</f>
        <v/>
      </c>
      <c r="F10" s="13">
        <f>-capex_total/depreciation_years/'Market Sizing'!F5</f>
        <v/>
      </c>
      <c r="G10" s="13">
        <f>-capex_total/depreciation_years/'Market Sizing'!G5</f>
        <v/>
      </c>
      <c r="H10" s="13">
        <f>-capex_total/depreciation_years/'Market Sizing'!H5</f>
        <v/>
      </c>
      <c r="I10" s="13">
        <f>-capex_total/depreciation_years/'Market Sizing'!I5</f>
        <v/>
      </c>
      <c r="J10" s="13">
        <f>-capex_total/depreciation_years/'Market Sizing'!J5</f>
        <v/>
      </c>
      <c r="K10" s="13">
        <f>-capex_total/depreciation_years/'Market Sizing'!K5</f>
        <v/>
      </c>
      <c r="L10" s="13">
        <f>-capex_total/depreciation_years/'Market Sizing'!L5</f>
        <v/>
      </c>
      <c r="M10" s="13">
        <f>-capex_total/depreciation_years/'Market Sizing'!M5</f>
        <v/>
      </c>
      <c r="N10" s="13">
        <f>-capex_total/depreciation_years/'Market Sizing'!N5</f>
        <v/>
      </c>
      <c r="O10" s="13">
        <f>-capex_total/depreciation_years/'Market Sizing'!O5</f>
        <v/>
      </c>
      <c r="P10" s="13">
        <f>-capex_total/depreciation_years/'Market Sizing'!P5</f>
        <v/>
      </c>
      <c r="Q10" s="13">
        <f>-capex_total/depreciation_years/'Market Sizing'!Q5</f>
        <v/>
      </c>
      <c r="R10" s="13">
        <f>-capex_total/depreciation_years/'Market Sizing'!R5</f>
        <v/>
      </c>
      <c r="S10" s="13">
        <f>-capex_total/depreciation_years/'Market Sizing'!S5</f>
        <v/>
      </c>
      <c r="T10" s="13">
        <f>-capex_total/depreciation_years/'Market Sizing'!T5</f>
        <v/>
      </c>
      <c r="U10" s="13">
        <f>-capex_total/depreciation_years/'Market Sizing'!U5</f>
        <v/>
      </c>
      <c r="V10" s="13">
        <f>-capex_total/depreciation_years/'Market Sizing'!V5</f>
        <v/>
      </c>
      <c r="W10" s="13">
        <f>-capex_total/depreciation_years/'Market Sizing'!W5</f>
        <v/>
      </c>
      <c r="X10" s="13">
        <f>-capex_total/depreciation_years/'Market Sizing'!X5</f>
        <v/>
      </c>
      <c r="Y10" s="13">
        <f>-capex_total/depreciation_years/'Market Sizing'!Y5</f>
        <v/>
      </c>
      <c r="Z10" s="13">
        <f>-capex_total/depreciation_years/'Market Sizing'!Z5</f>
        <v/>
      </c>
      <c r="AA10" s="13">
        <f>-capex_total/depreciation_years/'Market Sizing'!AA5</f>
        <v/>
      </c>
      <c r="AB10" s="13">
        <f>-capex_total/depreciation_years/'Market Sizing'!AB5</f>
        <v/>
      </c>
      <c r="AC10" s="13">
        <f>-capex_total/depreciation_years/'Market Sizing'!AC5</f>
        <v/>
      </c>
      <c r="AD10" s="13">
        <f>-capex_total/depreciation_years/'Market Sizing'!AD5</f>
        <v/>
      </c>
      <c r="AE10" s="13">
        <f>-capex_total/depreciation_years/'Market Sizing'!AE5</f>
        <v/>
      </c>
      <c r="AF10" s="13">
        <f>-capex_total/depreciation_years/'Market Sizing'!AF5</f>
        <v/>
      </c>
      <c r="AG10" s="13">
        <f>-capex_total/depreciation_years/'Market Sizing'!AG5</f>
        <v/>
      </c>
      <c r="AH10" s="13">
        <f>-capex_total/depreciation_years/'Market Sizing'!AH5</f>
        <v/>
      </c>
      <c r="AI10" s="13">
        <f>-capex_total/depreciation_years/'Market Sizing'!AI5</f>
        <v/>
      </c>
      <c r="AJ10" s="13">
        <f>-capex_total/depreciation_years/'Market Sizing'!AJ5</f>
        <v/>
      </c>
      <c r="AK10" s="13">
        <f>-capex_total/depreciation_years/'Market Sizing'!AK5</f>
        <v/>
      </c>
      <c r="AL10" s="13">
        <f>-capex_total/depreciation_years/'Market Sizing'!AL5</f>
        <v/>
      </c>
      <c r="AM10" s="13">
        <f>-capex_total/depreciation_years/'Market Sizing'!AM5</f>
        <v/>
      </c>
      <c r="AN10" s="13">
        <f>-capex_total/depreciation_years/'Market Sizing'!AN5</f>
        <v/>
      </c>
      <c r="AO10" s="13">
        <f>0</f>
        <v/>
      </c>
      <c r="AP10" s="13">
        <f>0</f>
        <v/>
      </c>
      <c r="AQ10" s="13">
        <f>0</f>
        <v/>
      </c>
      <c r="AR10" s="13">
        <f>0</f>
        <v/>
      </c>
    </row>
    <row r="11">
      <c r="A11" s="6" t="inlineStr">
        <is>
          <t>EBIT</t>
        </is>
      </c>
      <c r="B11" s="6" t="inlineStr">
        <is>
          <t>M VND</t>
        </is>
      </c>
      <c r="C11" s="12">
        <f>C9+C10</f>
        <v/>
      </c>
      <c r="D11" s="12">
        <f>D9+D10</f>
        <v/>
      </c>
      <c r="E11" s="12">
        <f>E9+E10</f>
        <v/>
      </c>
      <c r="F11" s="12">
        <f>F9+F10</f>
        <v/>
      </c>
      <c r="G11" s="12">
        <f>G9+G10</f>
        <v/>
      </c>
      <c r="H11" s="12">
        <f>H9+H10</f>
        <v/>
      </c>
      <c r="I11" s="12">
        <f>I9+I10</f>
        <v/>
      </c>
      <c r="J11" s="12">
        <f>J9+J10</f>
        <v/>
      </c>
      <c r="K11" s="12">
        <f>K9+K10</f>
        <v/>
      </c>
      <c r="L11" s="12">
        <f>L9+L10</f>
        <v/>
      </c>
      <c r="M11" s="12">
        <f>M9+M10</f>
        <v/>
      </c>
      <c r="N11" s="12">
        <f>N9+N10</f>
        <v/>
      </c>
      <c r="O11" s="12">
        <f>O9+O10</f>
        <v/>
      </c>
      <c r="P11" s="12">
        <f>P9+P10</f>
        <v/>
      </c>
      <c r="Q11" s="12">
        <f>Q9+Q10</f>
        <v/>
      </c>
      <c r="R11" s="12">
        <f>R9+R10</f>
        <v/>
      </c>
      <c r="S11" s="12">
        <f>S9+S10</f>
        <v/>
      </c>
      <c r="T11" s="12">
        <f>T9+T10</f>
        <v/>
      </c>
      <c r="U11" s="12">
        <f>U9+U10</f>
        <v/>
      </c>
      <c r="V11" s="12">
        <f>V9+V10</f>
        <v/>
      </c>
      <c r="W11" s="12">
        <f>W9+W10</f>
        <v/>
      </c>
      <c r="X11" s="12">
        <f>X9+X10</f>
        <v/>
      </c>
      <c r="Y11" s="12">
        <f>Y9+Y10</f>
        <v/>
      </c>
      <c r="Z11" s="12">
        <f>Z9+Z10</f>
        <v/>
      </c>
      <c r="AA11" s="12">
        <f>AA9+AA10</f>
        <v/>
      </c>
      <c r="AB11" s="12">
        <f>AB9+AB10</f>
        <v/>
      </c>
      <c r="AC11" s="12">
        <f>AC9+AC10</f>
        <v/>
      </c>
      <c r="AD11" s="12">
        <f>AD9+AD10</f>
        <v/>
      </c>
      <c r="AE11" s="12">
        <f>AE9+AE10</f>
        <v/>
      </c>
      <c r="AF11" s="12">
        <f>AF9+AF10</f>
        <v/>
      </c>
      <c r="AG11" s="12">
        <f>AG9+AG10</f>
        <v/>
      </c>
      <c r="AH11" s="12">
        <f>AH9+AH10</f>
        <v/>
      </c>
      <c r="AI11" s="12">
        <f>AI9+AI10</f>
        <v/>
      </c>
      <c r="AJ11" s="12">
        <f>AJ9+AJ10</f>
        <v/>
      </c>
      <c r="AK11" s="12">
        <f>AK9+AK10</f>
        <v/>
      </c>
      <c r="AL11" s="12">
        <f>AL9+AL10</f>
        <v/>
      </c>
      <c r="AM11" s="12">
        <f>AM9+AM10</f>
        <v/>
      </c>
      <c r="AN11" s="12">
        <f>AN9+AN10</f>
        <v/>
      </c>
      <c r="AO11" s="12">
        <f>AO9+AO10</f>
        <v/>
      </c>
      <c r="AP11" s="12">
        <f>AP9+AP10</f>
        <v/>
      </c>
      <c r="AQ11" s="12">
        <f>AQ9+AQ10</f>
        <v/>
      </c>
      <c r="AR11" s="12">
        <f>AR9+AR10</f>
        <v/>
      </c>
    </row>
    <row r="12">
      <c r="A12" s="6" t="inlineStr">
        <is>
          <t>Tax (CIT)</t>
        </is>
      </c>
      <c r="B12" s="6" t="inlineStr">
        <is>
          <t>M VND</t>
        </is>
      </c>
      <c r="C12" s="13">
        <f>IF(C11&gt;0,-C11*cit_rate,0)</f>
        <v/>
      </c>
      <c r="D12" s="13">
        <f>IF(D11&gt;0,-D11*cit_rate,0)</f>
        <v/>
      </c>
      <c r="E12" s="13">
        <f>IF(E11&gt;0,-E11*cit_rate,0)</f>
        <v/>
      </c>
      <c r="F12" s="13">
        <f>IF(F11&gt;0,-F11*cit_rate,0)</f>
        <v/>
      </c>
      <c r="G12" s="13">
        <f>IF(G11&gt;0,-G11*cit_rate,0)</f>
        <v/>
      </c>
      <c r="H12" s="13">
        <f>IF(H11&gt;0,-H11*cit_rate,0)</f>
        <v/>
      </c>
      <c r="I12" s="13">
        <f>IF(I11&gt;0,-I11*cit_rate,0)</f>
        <v/>
      </c>
      <c r="J12" s="13">
        <f>IF(J11&gt;0,-J11*cit_rate,0)</f>
        <v/>
      </c>
      <c r="K12" s="13">
        <f>IF(K11&gt;0,-K11*cit_rate,0)</f>
        <v/>
      </c>
      <c r="L12" s="13">
        <f>IF(L11&gt;0,-L11*cit_rate,0)</f>
        <v/>
      </c>
      <c r="M12" s="13">
        <f>IF(M11&gt;0,-M11*cit_rate,0)</f>
        <v/>
      </c>
      <c r="N12" s="13">
        <f>IF(N11&gt;0,-N11*cit_rate,0)</f>
        <v/>
      </c>
      <c r="O12" s="13">
        <f>IF(O11&gt;0,-O11*cit_rate,0)</f>
        <v/>
      </c>
      <c r="P12" s="13">
        <f>IF(P11&gt;0,-P11*cit_rate,0)</f>
        <v/>
      </c>
      <c r="Q12" s="13">
        <f>IF(Q11&gt;0,-Q11*cit_rate,0)</f>
        <v/>
      </c>
      <c r="R12" s="13">
        <f>IF(R11&gt;0,-R11*cit_rate,0)</f>
        <v/>
      </c>
      <c r="S12" s="13">
        <f>IF(S11&gt;0,-S11*cit_rate,0)</f>
        <v/>
      </c>
      <c r="T12" s="13">
        <f>IF(T11&gt;0,-T11*cit_rate,0)</f>
        <v/>
      </c>
      <c r="U12" s="13">
        <f>IF(U11&gt;0,-U11*cit_rate,0)</f>
        <v/>
      </c>
      <c r="V12" s="13">
        <f>IF(V11&gt;0,-V11*cit_rate,0)</f>
        <v/>
      </c>
      <c r="W12" s="13">
        <f>IF(W11&gt;0,-W11*cit_rate,0)</f>
        <v/>
      </c>
      <c r="X12" s="13">
        <f>IF(X11&gt;0,-X11*cit_rate,0)</f>
        <v/>
      </c>
      <c r="Y12" s="13">
        <f>IF(Y11&gt;0,-Y11*cit_rate,0)</f>
        <v/>
      </c>
      <c r="Z12" s="13">
        <f>IF(Z11&gt;0,-Z11*cit_rate,0)</f>
        <v/>
      </c>
      <c r="AA12" s="13">
        <f>IF(AA11&gt;0,-AA11*cit_rate,0)</f>
        <v/>
      </c>
      <c r="AB12" s="13">
        <f>IF(AB11&gt;0,-AB11*cit_rate,0)</f>
        <v/>
      </c>
      <c r="AC12" s="13">
        <f>IF(AC11&gt;0,-AC11*cit_rate,0)</f>
        <v/>
      </c>
      <c r="AD12" s="13">
        <f>IF(AD11&gt;0,-AD11*cit_rate,0)</f>
        <v/>
      </c>
      <c r="AE12" s="13">
        <f>IF(AE11&gt;0,-AE11*cit_rate,0)</f>
        <v/>
      </c>
      <c r="AF12" s="13">
        <f>IF(AF11&gt;0,-AF11*cit_rate,0)</f>
        <v/>
      </c>
      <c r="AG12" s="13">
        <f>IF(AG11&gt;0,-AG11*cit_rate,0)</f>
        <v/>
      </c>
      <c r="AH12" s="13">
        <f>IF(AH11&gt;0,-AH11*cit_rate,0)</f>
        <v/>
      </c>
      <c r="AI12" s="13">
        <f>IF(AI11&gt;0,-AI11*cit_rate,0)</f>
        <v/>
      </c>
      <c r="AJ12" s="13">
        <f>IF(AJ11&gt;0,-AJ11*cit_rate,0)</f>
        <v/>
      </c>
      <c r="AK12" s="13">
        <f>IF(AK11&gt;0,-AK11*cit_rate,0)</f>
        <v/>
      </c>
      <c r="AL12" s="13">
        <f>IF(AL11&gt;0,-AL11*cit_rate,0)</f>
        <v/>
      </c>
      <c r="AM12" s="13">
        <f>IF(AM11&gt;0,-AM11*cit_rate,0)</f>
        <v/>
      </c>
      <c r="AN12" s="13">
        <f>IF(AN11&gt;0,-AN11*cit_rate,0)</f>
        <v/>
      </c>
      <c r="AO12" s="13">
        <f>IF(AO11&gt;0,-AO11*cit_rate,0)</f>
        <v/>
      </c>
      <c r="AP12" s="13">
        <f>IF(AP11&gt;0,-AP11*cit_rate,0)</f>
        <v/>
      </c>
      <c r="AQ12" s="13">
        <f>IF(AQ11&gt;0,-AQ11*cit_rate,0)</f>
        <v/>
      </c>
      <c r="AR12" s="13">
        <f>IF(AR11&gt;0,-AR11*cit_rate,0)</f>
        <v/>
      </c>
    </row>
    <row r="13">
      <c r="A13" s="6" t="inlineStr">
        <is>
          <t>NET INCOME</t>
        </is>
      </c>
      <c r="B13" s="6" t="inlineStr">
        <is>
          <t>M VND</t>
        </is>
      </c>
      <c r="C13" s="12">
        <f>C11+C12</f>
        <v/>
      </c>
      <c r="D13" s="12">
        <f>D11+D12</f>
        <v/>
      </c>
      <c r="E13" s="12">
        <f>E11+E12</f>
        <v/>
      </c>
      <c r="F13" s="12">
        <f>F11+F12</f>
        <v/>
      </c>
      <c r="G13" s="12">
        <f>G11+G12</f>
        <v/>
      </c>
      <c r="H13" s="12">
        <f>H11+H12</f>
        <v/>
      </c>
      <c r="I13" s="12">
        <f>I11+I12</f>
        <v/>
      </c>
      <c r="J13" s="12">
        <f>J11+J12</f>
        <v/>
      </c>
      <c r="K13" s="12">
        <f>K11+K12</f>
        <v/>
      </c>
      <c r="L13" s="12">
        <f>L11+L12</f>
        <v/>
      </c>
      <c r="M13" s="12">
        <f>M11+M12</f>
        <v/>
      </c>
      <c r="N13" s="12">
        <f>N11+N12</f>
        <v/>
      </c>
      <c r="O13" s="12">
        <f>O11+O12</f>
        <v/>
      </c>
      <c r="P13" s="12">
        <f>P11+P12</f>
        <v/>
      </c>
      <c r="Q13" s="12">
        <f>Q11+Q12</f>
        <v/>
      </c>
      <c r="R13" s="12">
        <f>R11+R12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  <c r="AL13" s="12">
        <f>AL11+AL12</f>
        <v/>
      </c>
      <c r="AM13" s="12">
        <f>AM11+AM12</f>
        <v/>
      </c>
      <c r="AN13" s="12">
        <f>AN11+AN12</f>
        <v/>
      </c>
      <c r="AO13" s="12">
        <f>AO11+AO12</f>
        <v/>
      </c>
      <c r="AP13" s="12">
        <f>AP11+AP12</f>
        <v/>
      </c>
      <c r="AQ13" s="12">
        <f>AQ11+AQ12</f>
        <v/>
      </c>
      <c r="AR13" s="12">
        <f>AR11+AR12</f>
        <v/>
      </c>
    </row>
    <row r="15">
      <c r="A15" s="1" t="inlineStr">
        <is>
          <t>KEY RATIOS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</row>
    <row r="16">
      <c r="A16" s="6" t="inlineStr">
        <is>
          <t>Gross margin</t>
        </is>
      </c>
      <c r="C16" s="20">
        <f>IF(C4=0,0,C6/C4)</f>
        <v/>
      </c>
      <c r="D16" s="20">
        <f>IF(D4=0,0,D6/D4)</f>
        <v/>
      </c>
      <c r="E16" s="20">
        <f>IF(E4=0,0,E6/E4)</f>
        <v/>
      </c>
      <c r="F16" s="20">
        <f>IF(F4=0,0,F6/F4)</f>
        <v/>
      </c>
      <c r="G16" s="20">
        <f>IF(G4=0,0,G6/G4)</f>
        <v/>
      </c>
      <c r="H16" s="20">
        <f>IF(H4=0,0,H6/H4)</f>
        <v/>
      </c>
      <c r="I16" s="20">
        <f>IF(I4=0,0,I6/I4)</f>
        <v/>
      </c>
      <c r="J16" s="20">
        <f>IF(J4=0,0,J6/J4)</f>
        <v/>
      </c>
      <c r="K16" s="20">
        <f>IF(K4=0,0,K6/K4)</f>
        <v/>
      </c>
      <c r="L16" s="20">
        <f>IF(L4=0,0,L6/L4)</f>
        <v/>
      </c>
      <c r="M16" s="20">
        <f>IF(M4=0,0,M6/M4)</f>
        <v/>
      </c>
      <c r="N16" s="20">
        <f>IF(N4=0,0,N6/N4)</f>
        <v/>
      </c>
      <c r="O16" s="20">
        <f>IF(O4=0,0,O6/O4)</f>
        <v/>
      </c>
      <c r="P16" s="20">
        <f>IF(P4=0,0,P6/P4)</f>
        <v/>
      </c>
      <c r="Q16" s="20">
        <f>IF(Q4=0,0,Q6/Q4)</f>
        <v/>
      </c>
      <c r="R16" s="20">
        <f>IF(R4=0,0,R6/R4)</f>
        <v/>
      </c>
      <c r="S16" s="20">
        <f>IF(S4=0,0,S6/S4)</f>
        <v/>
      </c>
      <c r="T16" s="20">
        <f>IF(T4=0,0,T6/T4)</f>
        <v/>
      </c>
      <c r="U16" s="20">
        <f>IF(U4=0,0,U6/U4)</f>
        <v/>
      </c>
      <c r="V16" s="20">
        <f>IF(V4=0,0,V6/V4)</f>
        <v/>
      </c>
      <c r="W16" s="20">
        <f>IF(W4=0,0,W6/W4)</f>
        <v/>
      </c>
      <c r="X16" s="20">
        <f>IF(X4=0,0,X6/X4)</f>
        <v/>
      </c>
      <c r="Y16" s="20">
        <f>IF(Y4=0,0,Y6/Y4)</f>
        <v/>
      </c>
      <c r="Z16" s="20">
        <f>IF(Z4=0,0,Z6/Z4)</f>
        <v/>
      </c>
      <c r="AA16" s="20">
        <f>IF(AA4=0,0,AA6/AA4)</f>
        <v/>
      </c>
      <c r="AB16" s="20">
        <f>IF(AB4=0,0,AB6/AB4)</f>
        <v/>
      </c>
      <c r="AC16" s="20">
        <f>IF(AC4=0,0,AC6/AC4)</f>
        <v/>
      </c>
      <c r="AD16" s="20">
        <f>IF(AD4=0,0,AD6/AD4)</f>
        <v/>
      </c>
      <c r="AE16" s="20">
        <f>IF(AE4=0,0,AE6/AE4)</f>
        <v/>
      </c>
      <c r="AF16" s="20">
        <f>IF(AF4=0,0,AF6/AF4)</f>
        <v/>
      </c>
      <c r="AG16" s="20">
        <f>IF(AG4=0,0,AG6/AG4)</f>
        <v/>
      </c>
      <c r="AH16" s="20">
        <f>IF(AH4=0,0,AH6/AH4)</f>
        <v/>
      </c>
      <c r="AI16" s="20">
        <f>IF(AI4=0,0,AI6/AI4)</f>
        <v/>
      </c>
      <c r="AJ16" s="20">
        <f>IF(AJ4=0,0,AJ6/AJ4)</f>
        <v/>
      </c>
      <c r="AK16" s="20">
        <f>IF(AK4=0,0,AK6/AK4)</f>
        <v/>
      </c>
      <c r="AL16" s="20">
        <f>IF(AL4=0,0,AL6/AL4)</f>
        <v/>
      </c>
      <c r="AM16" s="20">
        <f>IF(AM4=0,0,AM6/AM4)</f>
        <v/>
      </c>
      <c r="AN16" s="20">
        <f>IF(AN4=0,0,AN6/AN4)</f>
        <v/>
      </c>
      <c r="AO16" s="20">
        <f>IF(AO4=0,0,AO6/AO4)</f>
        <v/>
      </c>
      <c r="AP16" s="20">
        <f>IF(AP4=0,0,AP6/AP4)</f>
        <v/>
      </c>
      <c r="AQ16" s="20">
        <f>IF(AQ4=0,0,AQ6/AQ4)</f>
        <v/>
      </c>
      <c r="AR16" s="20">
        <f>IF(AR4=0,0,AR6/AR4)</f>
        <v/>
      </c>
    </row>
    <row r="17">
      <c r="A17" s="6" t="inlineStr">
        <is>
          <t>EBITDA margin</t>
        </is>
      </c>
      <c r="C17" s="20">
        <f>IF(C4=0,0,C9/C4)</f>
        <v/>
      </c>
      <c r="D17" s="20">
        <f>IF(D4=0,0,D9/D4)</f>
        <v/>
      </c>
      <c r="E17" s="20">
        <f>IF(E4=0,0,E9/E4)</f>
        <v/>
      </c>
      <c r="F17" s="20">
        <f>IF(F4=0,0,F9/F4)</f>
        <v/>
      </c>
      <c r="G17" s="20">
        <f>IF(G4=0,0,G9/G4)</f>
        <v/>
      </c>
      <c r="H17" s="20">
        <f>IF(H4=0,0,H9/H4)</f>
        <v/>
      </c>
      <c r="I17" s="20">
        <f>IF(I4=0,0,I9/I4)</f>
        <v/>
      </c>
      <c r="J17" s="20">
        <f>IF(J4=0,0,J9/J4)</f>
        <v/>
      </c>
      <c r="K17" s="20">
        <f>IF(K4=0,0,K9/K4)</f>
        <v/>
      </c>
      <c r="L17" s="20">
        <f>IF(L4=0,0,L9/L4)</f>
        <v/>
      </c>
      <c r="M17" s="20">
        <f>IF(M4=0,0,M9/M4)</f>
        <v/>
      </c>
      <c r="N17" s="20">
        <f>IF(N4=0,0,N9/N4)</f>
        <v/>
      </c>
      <c r="O17" s="20">
        <f>IF(O4=0,0,O9/O4)</f>
        <v/>
      </c>
      <c r="P17" s="20">
        <f>IF(P4=0,0,P9/P4)</f>
        <v/>
      </c>
      <c r="Q17" s="20">
        <f>IF(Q4=0,0,Q9/Q4)</f>
        <v/>
      </c>
      <c r="R17" s="20">
        <f>IF(R4=0,0,R9/R4)</f>
        <v/>
      </c>
      <c r="S17" s="20">
        <f>IF(S4=0,0,S9/S4)</f>
        <v/>
      </c>
      <c r="T17" s="20">
        <f>IF(T4=0,0,T9/T4)</f>
        <v/>
      </c>
      <c r="U17" s="20">
        <f>IF(U4=0,0,U9/U4)</f>
        <v/>
      </c>
      <c r="V17" s="20">
        <f>IF(V4=0,0,V9/V4)</f>
        <v/>
      </c>
      <c r="W17" s="20">
        <f>IF(W4=0,0,W9/W4)</f>
        <v/>
      </c>
      <c r="X17" s="20">
        <f>IF(X4=0,0,X9/X4)</f>
        <v/>
      </c>
      <c r="Y17" s="20">
        <f>IF(Y4=0,0,Y9/Y4)</f>
        <v/>
      </c>
      <c r="Z17" s="20">
        <f>IF(Z4=0,0,Z9/Z4)</f>
        <v/>
      </c>
      <c r="AA17" s="20">
        <f>IF(AA4=0,0,AA9/AA4)</f>
        <v/>
      </c>
      <c r="AB17" s="20">
        <f>IF(AB4=0,0,AB9/AB4)</f>
        <v/>
      </c>
      <c r="AC17" s="20">
        <f>IF(AC4=0,0,AC9/AC4)</f>
        <v/>
      </c>
      <c r="AD17" s="20">
        <f>IF(AD4=0,0,AD9/AD4)</f>
        <v/>
      </c>
      <c r="AE17" s="20">
        <f>IF(AE4=0,0,AE9/AE4)</f>
        <v/>
      </c>
      <c r="AF17" s="20">
        <f>IF(AF4=0,0,AF9/AF4)</f>
        <v/>
      </c>
      <c r="AG17" s="20">
        <f>IF(AG4=0,0,AG9/AG4)</f>
        <v/>
      </c>
      <c r="AH17" s="20">
        <f>IF(AH4=0,0,AH9/AH4)</f>
        <v/>
      </c>
      <c r="AI17" s="20">
        <f>IF(AI4=0,0,AI9/AI4)</f>
        <v/>
      </c>
      <c r="AJ17" s="20">
        <f>IF(AJ4=0,0,AJ9/AJ4)</f>
        <v/>
      </c>
      <c r="AK17" s="20">
        <f>IF(AK4=0,0,AK9/AK4)</f>
        <v/>
      </c>
      <c r="AL17" s="20">
        <f>IF(AL4=0,0,AL9/AL4)</f>
        <v/>
      </c>
      <c r="AM17" s="20">
        <f>IF(AM4=0,0,AM9/AM4)</f>
        <v/>
      </c>
      <c r="AN17" s="20">
        <f>IF(AN4=0,0,AN9/AN4)</f>
        <v/>
      </c>
      <c r="AO17" s="20">
        <f>IF(AO4=0,0,AO9/AO4)</f>
        <v/>
      </c>
      <c r="AP17" s="20">
        <f>IF(AP4=0,0,AP9/AP4)</f>
        <v/>
      </c>
      <c r="AQ17" s="20">
        <f>IF(AQ4=0,0,AQ9/AQ4)</f>
        <v/>
      </c>
      <c r="AR17" s="20">
        <f>IF(AR4=0,0,AR9/AR4)</f>
        <v/>
      </c>
    </row>
    <row r="18">
      <c r="A18" s="6" t="inlineStr">
        <is>
          <t>Net margin</t>
        </is>
      </c>
      <c r="C18" s="20">
        <f>IF(C4=0,0,C13/C4)</f>
        <v/>
      </c>
      <c r="D18" s="20">
        <f>IF(D4=0,0,D13/D4)</f>
        <v/>
      </c>
      <c r="E18" s="20">
        <f>IF(E4=0,0,E13/E4)</f>
        <v/>
      </c>
      <c r="F18" s="20">
        <f>IF(F4=0,0,F13/F4)</f>
        <v/>
      </c>
      <c r="G18" s="20">
        <f>IF(G4=0,0,G13/G4)</f>
        <v/>
      </c>
      <c r="H18" s="20">
        <f>IF(H4=0,0,H13/H4)</f>
        <v/>
      </c>
      <c r="I18" s="20">
        <f>IF(I4=0,0,I13/I4)</f>
        <v/>
      </c>
      <c r="J18" s="20">
        <f>IF(J4=0,0,J13/J4)</f>
        <v/>
      </c>
      <c r="K18" s="20">
        <f>IF(K4=0,0,K13/K4)</f>
        <v/>
      </c>
      <c r="L18" s="20">
        <f>IF(L4=0,0,L13/L4)</f>
        <v/>
      </c>
      <c r="M18" s="20">
        <f>IF(M4=0,0,M13/M4)</f>
        <v/>
      </c>
      <c r="N18" s="20">
        <f>IF(N4=0,0,N13/N4)</f>
        <v/>
      </c>
      <c r="O18" s="20">
        <f>IF(O4=0,0,O13/O4)</f>
        <v/>
      </c>
      <c r="P18" s="20">
        <f>IF(P4=0,0,P13/P4)</f>
        <v/>
      </c>
      <c r="Q18" s="20">
        <f>IF(Q4=0,0,Q13/Q4)</f>
        <v/>
      </c>
      <c r="R18" s="20">
        <f>IF(R4=0,0,R13/R4)</f>
        <v/>
      </c>
      <c r="S18" s="20">
        <f>IF(S4=0,0,S13/S4)</f>
        <v/>
      </c>
      <c r="T18" s="20">
        <f>IF(T4=0,0,T13/T4)</f>
        <v/>
      </c>
      <c r="U18" s="20">
        <f>IF(U4=0,0,U13/U4)</f>
        <v/>
      </c>
      <c r="V18" s="20">
        <f>IF(V4=0,0,V13/V4)</f>
        <v/>
      </c>
      <c r="W18" s="20">
        <f>IF(W4=0,0,W13/W4)</f>
        <v/>
      </c>
      <c r="X18" s="20">
        <f>IF(X4=0,0,X13/X4)</f>
        <v/>
      </c>
      <c r="Y18" s="20">
        <f>IF(Y4=0,0,Y13/Y4)</f>
        <v/>
      </c>
      <c r="Z18" s="20">
        <f>IF(Z4=0,0,Z13/Z4)</f>
        <v/>
      </c>
      <c r="AA18" s="20">
        <f>IF(AA4=0,0,AA13/AA4)</f>
        <v/>
      </c>
      <c r="AB18" s="20">
        <f>IF(AB4=0,0,AB13/AB4)</f>
        <v/>
      </c>
      <c r="AC18" s="20">
        <f>IF(AC4=0,0,AC13/AC4)</f>
        <v/>
      </c>
      <c r="AD18" s="20">
        <f>IF(AD4=0,0,AD13/AD4)</f>
        <v/>
      </c>
      <c r="AE18" s="20">
        <f>IF(AE4=0,0,AE13/AE4)</f>
        <v/>
      </c>
      <c r="AF18" s="20">
        <f>IF(AF4=0,0,AF13/AF4)</f>
        <v/>
      </c>
      <c r="AG18" s="20">
        <f>IF(AG4=0,0,AG13/AG4)</f>
        <v/>
      </c>
      <c r="AH18" s="20">
        <f>IF(AH4=0,0,AH13/AH4)</f>
        <v/>
      </c>
      <c r="AI18" s="20">
        <f>IF(AI4=0,0,AI13/AI4)</f>
        <v/>
      </c>
      <c r="AJ18" s="20">
        <f>IF(AJ4=0,0,AJ13/AJ4)</f>
        <v/>
      </c>
      <c r="AK18" s="20">
        <f>IF(AK4=0,0,AK13/AK4)</f>
        <v/>
      </c>
      <c r="AL18" s="20">
        <f>IF(AL4=0,0,AL13/AL4)</f>
        <v/>
      </c>
      <c r="AM18" s="20">
        <f>IF(AM4=0,0,AM13/AM4)</f>
        <v/>
      </c>
      <c r="AN18" s="20">
        <f>IF(AN4=0,0,AN13/AN4)</f>
        <v/>
      </c>
      <c r="AO18" s="20">
        <f>IF(AO4=0,0,AO13/AO4)</f>
        <v/>
      </c>
      <c r="AP18" s="20">
        <f>IF(AP4=0,0,AP13/AP4)</f>
        <v/>
      </c>
      <c r="AQ18" s="20">
        <f>IF(AQ4=0,0,AQ13/AQ4)</f>
        <v/>
      </c>
      <c r="AR18" s="20">
        <f>IF(AR4=0,0,AR13/AR4)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" t="inlineStr">
        <is>
          <t>CASH FLOW (M VND)</t>
        </is>
      </c>
    </row>
    <row r="3">
      <c r="A3" s="5" t="inlineStr">
        <is>
          <t>Item</t>
        </is>
      </c>
      <c r="B3" s="5" t="inlineStr">
        <is>
          <t>Unit</t>
        </is>
      </c>
      <c r="C3" s="5" t="inlineStr">
        <is>
          <t>Jul 2025</t>
        </is>
      </c>
      <c r="D3" s="5" t="inlineStr">
        <is>
          <t>Aug 2025</t>
        </is>
      </c>
      <c r="E3" s="5" t="inlineStr">
        <is>
          <t>Sep 2025</t>
        </is>
      </c>
      <c r="F3" s="5" t="inlineStr">
        <is>
          <t>Oct 2025</t>
        </is>
      </c>
      <c r="G3" s="5" t="inlineStr">
        <is>
          <t>Nov 2025</t>
        </is>
      </c>
      <c r="H3" s="5" t="inlineStr">
        <is>
          <t>Dec 2025</t>
        </is>
      </c>
      <c r="I3" s="5" t="inlineStr">
        <is>
          <t>Jan 2026</t>
        </is>
      </c>
      <c r="J3" s="5" t="inlineStr">
        <is>
          <t>Feb 2026</t>
        </is>
      </c>
      <c r="K3" s="5" t="inlineStr">
        <is>
          <t>Mar 2026</t>
        </is>
      </c>
      <c r="L3" s="5" t="inlineStr">
        <is>
          <t>Apr 2026</t>
        </is>
      </c>
      <c r="M3" s="5" t="inlineStr">
        <is>
          <t>May 2026</t>
        </is>
      </c>
      <c r="N3" s="5" t="inlineStr">
        <is>
          <t>Jun 2026</t>
        </is>
      </c>
      <c r="O3" s="5" t="inlineStr">
        <is>
          <t>Jul 2026</t>
        </is>
      </c>
      <c r="P3" s="5" t="inlineStr">
        <is>
          <t>Aug 2026</t>
        </is>
      </c>
      <c r="Q3" s="5" t="inlineStr">
        <is>
          <t>Sep 2026</t>
        </is>
      </c>
      <c r="R3" s="5" t="inlineStr">
        <is>
          <t>Oct 2026</t>
        </is>
      </c>
      <c r="S3" s="5" t="inlineStr">
        <is>
          <t>Nov 2026</t>
        </is>
      </c>
      <c r="T3" s="5" t="inlineStr">
        <is>
          <t>Dec 2026</t>
        </is>
      </c>
      <c r="U3" s="5" t="inlineStr">
        <is>
          <t>Jan 2027</t>
        </is>
      </c>
      <c r="V3" s="5" t="inlineStr">
        <is>
          <t>Feb 2027</t>
        </is>
      </c>
      <c r="W3" s="5" t="inlineStr">
        <is>
          <t>Mar 2027</t>
        </is>
      </c>
      <c r="X3" s="5" t="inlineStr">
        <is>
          <t>Apr 2027</t>
        </is>
      </c>
      <c r="Y3" s="5" t="inlineStr">
        <is>
          <t>May 2027</t>
        </is>
      </c>
      <c r="Z3" s="5" t="inlineStr">
        <is>
          <t>Jun 2027</t>
        </is>
      </c>
      <c r="AA3" s="5" t="inlineStr">
        <is>
          <t>Jul 2027</t>
        </is>
      </c>
      <c r="AB3" s="5" t="inlineStr">
        <is>
          <t>Aug 2027</t>
        </is>
      </c>
      <c r="AC3" s="5" t="inlineStr">
        <is>
          <t>Sep 2027</t>
        </is>
      </c>
      <c r="AD3" s="5" t="inlineStr">
        <is>
          <t>Oct 2027</t>
        </is>
      </c>
      <c r="AE3" s="5" t="inlineStr">
        <is>
          <t>Nov 2027</t>
        </is>
      </c>
      <c r="AF3" s="5" t="inlineStr">
        <is>
          <t>Dec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1" t="inlineStr">
        <is>
          <t>Operating Cash Flow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</row>
    <row r="5">
      <c r="A5" s="6" t="inlineStr">
        <is>
          <t xml:space="preserve">  Net income</t>
        </is>
      </c>
      <c r="C5" s="13">
        <f>'P&amp;L'!C13</f>
        <v/>
      </c>
      <c r="D5" s="13">
        <f>'P&amp;L'!D13</f>
        <v/>
      </c>
      <c r="E5" s="13">
        <f>'P&amp;L'!E13</f>
        <v/>
      </c>
      <c r="F5" s="13">
        <f>'P&amp;L'!F13</f>
        <v/>
      </c>
      <c r="G5" s="13">
        <f>'P&amp;L'!G13</f>
        <v/>
      </c>
      <c r="H5" s="13">
        <f>'P&amp;L'!H13</f>
        <v/>
      </c>
      <c r="I5" s="13">
        <f>'P&amp;L'!I13</f>
        <v/>
      </c>
      <c r="J5" s="13">
        <f>'P&amp;L'!J13</f>
        <v/>
      </c>
      <c r="K5" s="13">
        <f>'P&amp;L'!K13</f>
        <v/>
      </c>
      <c r="L5" s="13">
        <f>'P&amp;L'!L13</f>
        <v/>
      </c>
      <c r="M5" s="13">
        <f>'P&amp;L'!M13</f>
        <v/>
      </c>
      <c r="N5" s="13">
        <f>'P&amp;L'!N13</f>
        <v/>
      </c>
      <c r="O5" s="13">
        <f>'P&amp;L'!O13</f>
        <v/>
      </c>
      <c r="P5" s="13">
        <f>'P&amp;L'!P13</f>
        <v/>
      </c>
      <c r="Q5" s="13">
        <f>'P&amp;L'!Q13</f>
        <v/>
      </c>
      <c r="R5" s="13">
        <f>'P&amp;L'!R13</f>
        <v/>
      </c>
      <c r="S5" s="13">
        <f>'P&amp;L'!S13</f>
        <v/>
      </c>
      <c r="T5" s="13">
        <f>'P&amp;L'!T13</f>
        <v/>
      </c>
      <c r="U5" s="13">
        <f>'P&amp;L'!U13</f>
        <v/>
      </c>
      <c r="V5" s="13">
        <f>'P&amp;L'!V13</f>
        <v/>
      </c>
      <c r="W5" s="13">
        <f>'P&amp;L'!W13</f>
        <v/>
      </c>
      <c r="X5" s="13">
        <f>'P&amp;L'!X13</f>
        <v/>
      </c>
      <c r="Y5" s="13">
        <f>'P&amp;L'!Y13</f>
        <v/>
      </c>
      <c r="Z5" s="13">
        <f>'P&amp;L'!Z13</f>
        <v/>
      </c>
      <c r="AA5" s="13">
        <f>'P&amp;L'!AA13</f>
        <v/>
      </c>
      <c r="AB5" s="13">
        <f>'P&amp;L'!AB13</f>
        <v/>
      </c>
      <c r="AC5" s="13">
        <f>'P&amp;L'!AC13</f>
        <v/>
      </c>
      <c r="AD5" s="13">
        <f>'P&amp;L'!AD13</f>
        <v/>
      </c>
      <c r="AE5" s="13">
        <f>'P&amp;L'!AE13</f>
        <v/>
      </c>
      <c r="AF5" s="13">
        <f>'P&amp;L'!AF13</f>
        <v/>
      </c>
      <c r="AG5" s="13">
        <f>'P&amp;L'!AG13</f>
        <v/>
      </c>
      <c r="AH5" s="13">
        <f>'P&amp;L'!AH13</f>
        <v/>
      </c>
      <c r="AI5" s="13">
        <f>'P&amp;L'!AI13</f>
        <v/>
      </c>
      <c r="AJ5" s="13">
        <f>'P&amp;L'!AJ13</f>
        <v/>
      </c>
      <c r="AK5" s="13">
        <f>'P&amp;L'!AK13</f>
        <v/>
      </c>
      <c r="AL5" s="13">
        <f>'P&amp;L'!AL13</f>
        <v/>
      </c>
      <c r="AM5" s="13">
        <f>'P&amp;L'!AM13</f>
        <v/>
      </c>
      <c r="AN5" s="13">
        <f>'P&amp;L'!AN13</f>
        <v/>
      </c>
      <c r="AO5" s="13">
        <f>'P&amp;L'!AO13</f>
        <v/>
      </c>
      <c r="AP5" s="13">
        <f>'P&amp;L'!AP13</f>
        <v/>
      </c>
      <c r="AQ5" s="13">
        <f>'P&amp;L'!AQ13</f>
        <v/>
      </c>
      <c r="AR5" s="13">
        <f>'P&amp;L'!AR13</f>
        <v/>
      </c>
    </row>
    <row r="6">
      <c r="A6" s="6" t="inlineStr">
        <is>
          <t xml:space="preserve">  Add: Depreciation</t>
        </is>
      </c>
      <c r="C6" s="13">
        <f>-'P&amp;L'!C10</f>
        <v/>
      </c>
      <c r="D6" s="13">
        <f>-'P&amp;L'!D10</f>
        <v/>
      </c>
      <c r="E6" s="13">
        <f>-'P&amp;L'!E10</f>
        <v/>
      </c>
      <c r="F6" s="13">
        <f>-'P&amp;L'!F10</f>
        <v/>
      </c>
      <c r="G6" s="13">
        <f>-'P&amp;L'!G10</f>
        <v/>
      </c>
      <c r="H6" s="13">
        <f>-'P&amp;L'!H10</f>
        <v/>
      </c>
      <c r="I6" s="13">
        <f>-'P&amp;L'!I10</f>
        <v/>
      </c>
      <c r="J6" s="13">
        <f>-'P&amp;L'!J10</f>
        <v/>
      </c>
      <c r="K6" s="13">
        <f>-'P&amp;L'!K10</f>
        <v/>
      </c>
      <c r="L6" s="13">
        <f>-'P&amp;L'!L10</f>
        <v/>
      </c>
      <c r="M6" s="13">
        <f>-'P&amp;L'!M10</f>
        <v/>
      </c>
      <c r="N6" s="13">
        <f>-'P&amp;L'!N10</f>
        <v/>
      </c>
      <c r="O6" s="13">
        <f>-'P&amp;L'!O10</f>
        <v/>
      </c>
      <c r="P6" s="13">
        <f>-'P&amp;L'!P10</f>
        <v/>
      </c>
      <c r="Q6" s="13">
        <f>-'P&amp;L'!Q10</f>
        <v/>
      </c>
      <c r="R6" s="13">
        <f>-'P&amp;L'!R10</f>
        <v/>
      </c>
      <c r="S6" s="13">
        <f>-'P&amp;L'!S10</f>
        <v/>
      </c>
      <c r="T6" s="13">
        <f>-'P&amp;L'!T10</f>
        <v/>
      </c>
      <c r="U6" s="13">
        <f>-'P&amp;L'!U10</f>
        <v/>
      </c>
      <c r="V6" s="13">
        <f>-'P&amp;L'!V10</f>
        <v/>
      </c>
      <c r="W6" s="13">
        <f>-'P&amp;L'!W10</f>
        <v/>
      </c>
      <c r="X6" s="13">
        <f>-'P&amp;L'!X10</f>
        <v/>
      </c>
      <c r="Y6" s="13">
        <f>-'P&amp;L'!Y10</f>
        <v/>
      </c>
      <c r="Z6" s="13">
        <f>-'P&amp;L'!Z10</f>
        <v/>
      </c>
      <c r="AA6" s="13">
        <f>-'P&amp;L'!AA10</f>
        <v/>
      </c>
      <c r="AB6" s="13">
        <f>-'P&amp;L'!AB10</f>
        <v/>
      </c>
      <c r="AC6" s="13">
        <f>-'P&amp;L'!AC10</f>
        <v/>
      </c>
      <c r="AD6" s="13">
        <f>-'P&amp;L'!AD10</f>
        <v/>
      </c>
      <c r="AE6" s="13">
        <f>-'P&amp;L'!AE10</f>
        <v/>
      </c>
      <c r="AF6" s="13">
        <f>-'P&amp;L'!AF10</f>
        <v/>
      </c>
      <c r="AG6" s="13">
        <f>-'P&amp;L'!AG10</f>
        <v/>
      </c>
      <c r="AH6" s="13">
        <f>-'P&amp;L'!AH10</f>
        <v/>
      </c>
      <c r="AI6" s="13">
        <f>-'P&amp;L'!AI10</f>
        <v/>
      </c>
      <c r="AJ6" s="13">
        <f>-'P&amp;L'!AJ10</f>
        <v/>
      </c>
      <c r="AK6" s="13">
        <f>-'P&amp;L'!AK10</f>
        <v/>
      </c>
      <c r="AL6" s="13">
        <f>-'P&amp;L'!AL10</f>
        <v/>
      </c>
      <c r="AM6" s="13">
        <f>-'P&amp;L'!AM10</f>
        <v/>
      </c>
      <c r="AN6" s="13">
        <f>-'P&amp;L'!AN10</f>
        <v/>
      </c>
      <c r="AO6" s="13">
        <f>-'P&amp;L'!AO10</f>
        <v/>
      </c>
      <c r="AP6" s="13">
        <f>-'P&amp;L'!AP10</f>
        <v/>
      </c>
      <c r="AQ6" s="13">
        <f>-'P&amp;L'!AQ10</f>
        <v/>
      </c>
      <c r="AR6" s="13">
        <f>-'P&amp;L'!AR10</f>
        <v/>
      </c>
    </row>
    <row r="7">
      <c r="A7" s="6" t="inlineStr">
        <is>
          <t xml:space="preserve">  Chg in working capital</t>
        </is>
      </c>
      <c r="C7" s="13">
        <f>-'P&amp;L'!C4*ar_days/365</f>
        <v/>
      </c>
      <c r="D7" s="13">
        <f>-('P&amp;L'!D4-'P&amp;L'!C4)*ar_days/365</f>
        <v/>
      </c>
      <c r="E7" s="13">
        <f>-('P&amp;L'!E4-'P&amp;L'!D4)*ar_days/365</f>
        <v/>
      </c>
      <c r="F7" s="13">
        <f>-('P&amp;L'!F4-'P&amp;L'!E4)*ar_days/365</f>
        <v/>
      </c>
      <c r="G7" s="13">
        <f>-('P&amp;L'!G4-'P&amp;L'!F4)*ar_days/365</f>
        <v/>
      </c>
      <c r="H7" s="13">
        <f>-('P&amp;L'!H4-'P&amp;L'!G4)*ar_days/365</f>
        <v/>
      </c>
      <c r="I7" s="13">
        <f>-('P&amp;L'!I4-'P&amp;L'!H4)*ar_days/365</f>
        <v/>
      </c>
      <c r="J7" s="13">
        <f>-('P&amp;L'!J4-'P&amp;L'!I4)*ar_days/365</f>
        <v/>
      </c>
      <c r="K7" s="13">
        <f>-('P&amp;L'!K4-'P&amp;L'!J4)*ar_days/365</f>
        <v/>
      </c>
      <c r="L7" s="13">
        <f>-('P&amp;L'!L4-'P&amp;L'!K4)*ar_days/365</f>
        <v/>
      </c>
      <c r="M7" s="13">
        <f>-('P&amp;L'!M4-'P&amp;L'!L4)*ar_days/365</f>
        <v/>
      </c>
      <c r="N7" s="13">
        <f>-('P&amp;L'!N4-'P&amp;L'!M4)*ar_days/365</f>
        <v/>
      </c>
      <c r="O7" s="13">
        <f>-('P&amp;L'!O4-'P&amp;L'!N4)*ar_days/365</f>
        <v/>
      </c>
      <c r="P7" s="13">
        <f>-('P&amp;L'!P4-'P&amp;L'!O4)*ar_days/365</f>
        <v/>
      </c>
      <c r="Q7" s="13">
        <f>-('P&amp;L'!Q4-'P&amp;L'!P4)*ar_days/365</f>
        <v/>
      </c>
      <c r="R7" s="13">
        <f>-('P&amp;L'!R4-'P&amp;L'!Q4)*ar_days/365</f>
        <v/>
      </c>
      <c r="S7" s="13">
        <f>-('P&amp;L'!S4-'P&amp;L'!R4)*ar_days/365</f>
        <v/>
      </c>
      <c r="T7" s="13">
        <f>-('P&amp;L'!T4-'P&amp;L'!S4)*ar_days/365</f>
        <v/>
      </c>
      <c r="U7" s="13">
        <f>-('P&amp;L'!U4-'P&amp;L'!T4)*ar_days/365</f>
        <v/>
      </c>
      <c r="V7" s="13">
        <f>-('P&amp;L'!V4-'P&amp;L'!U4)*ar_days/365</f>
        <v/>
      </c>
      <c r="W7" s="13">
        <f>-('P&amp;L'!W4-'P&amp;L'!V4)*ar_days/365</f>
        <v/>
      </c>
      <c r="X7" s="13">
        <f>-('P&amp;L'!X4-'P&amp;L'!W4)*ar_days/365</f>
        <v/>
      </c>
      <c r="Y7" s="13">
        <f>-('P&amp;L'!Y4-'P&amp;L'!X4)*ar_days/365</f>
        <v/>
      </c>
      <c r="Z7" s="13">
        <f>-('P&amp;L'!Z4-'P&amp;L'!Y4)*ar_days/365</f>
        <v/>
      </c>
      <c r="AA7" s="13">
        <f>-('P&amp;L'!AA4-'P&amp;L'!Z4)*ar_days/365</f>
        <v/>
      </c>
      <c r="AB7" s="13">
        <f>-('P&amp;L'!AB4-'P&amp;L'!AA4)*ar_days/365</f>
        <v/>
      </c>
      <c r="AC7" s="13">
        <f>-('P&amp;L'!AC4-'P&amp;L'!AB4)*ar_days/365</f>
        <v/>
      </c>
      <c r="AD7" s="13">
        <f>-('P&amp;L'!AD4-'P&amp;L'!AC4)*ar_days/365</f>
        <v/>
      </c>
      <c r="AE7" s="13">
        <f>-('P&amp;L'!AE4-'P&amp;L'!AD4)*ar_days/365</f>
        <v/>
      </c>
      <c r="AF7" s="13">
        <f>-('P&amp;L'!AF4-'P&amp;L'!AE4)*ar_days/365</f>
        <v/>
      </c>
      <c r="AG7" s="13">
        <f>-('P&amp;L'!AG4-'P&amp;L'!AF4)*ar_days/365</f>
        <v/>
      </c>
      <c r="AH7" s="13">
        <f>-('P&amp;L'!AH4-'P&amp;L'!AG4)*ar_days/365</f>
        <v/>
      </c>
      <c r="AI7" s="13">
        <f>-('P&amp;L'!AI4-'P&amp;L'!AH4)*ar_days/365</f>
        <v/>
      </c>
      <c r="AJ7" s="13">
        <f>-('P&amp;L'!AJ4-'P&amp;L'!AI4)*ar_days/365</f>
        <v/>
      </c>
      <c r="AK7" s="13">
        <f>-('P&amp;L'!AK4-'P&amp;L'!AJ4)*ar_days/365</f>
        <v/>
      </c>
      <c r="AL7" s="13">
        <f>-('P&amp;L'!AL4-'P&amp;L'!AK4)*ar_days/365</f>
        <v/>
      </c>
      <c r="AM7" s="13">
        <f>-('P&amp;L'!AM4-'P&amp;L'!AL4)*ar_days/365</f>
        <v/>
      </c>
      <c r="AN7" s="13">
        <f>-('P&amp;L'!AN4-'P&amp;L'!AM4)*ar_days/365</f>
        <v/>
      </c>
      <c r="AO7" s="13">
        <f>-('P&amp;L'!AO4-'P&amp;L'!AN4)*ar_days/365</f>
        <v/>
      </c>
      <c r="AP7" s="13">
        <f>-('P&amp;L'!AP4-'P&amp;L'!AO4)*ar_days/365</f>
        <v/>
      </c>
      <c r="AQ7" s="13">
        <f>-('P&amp;L'!AQ4-'P&amp;L'!AP4)*ar_days/365</f>
        <v/>
      </c>
      <c r="AR7" s="13">
        <f>-('P&amp;L'!AR4-'P&amp;L'!AQ4)*ar_days/365</f>
        <v/>
      </c>
    </row>
    <row r="8">
      <c r="A8" s="6" t="inlineStr">
        <is>
          <t>OPERATING CF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  <c r="H8" s="12">
        <f>H5+H6+H7</f>
        <v/>
      </c>
      <c r="I8" s="12">
        <f>I5+I6+I7</f>
        <v/>
      </c>
      <c r="J8" s="12">
        <f>J5+J6+J7</f>
        <v/>
      </c>
      <c r="K8" s="12">
        <f>K5+K6+K7</f>
        <v/>
      </c>
      <c r="L8" s="12">
        <f>L5+L6+L7</f>
        <v/>
      </c>
      <c r="M8" s="12">
        <f>M5+M6+M7</f>
        <v/>
      </c>
      <c r="N8" s="12">
        <f>N5+N6+N7</f>
        <v/>
      </c>
      <c r="O8" s="12">
        <f>O5+O6+O7</f>
        <v/>
      </c>
      <c r="P8" s="12">
        <f>P5+P6+P7</f>
        <v/>
      </c>
      <c r="Q8" s="12">
        <f>Q5+Q6+Q7</f>
        <v/>
      </c>
      <c r="R8" s="12">
        <f>R5+R6+R7</f>
        <v/>
      </c>
      <c r="S8" s="12">
        <f>S5+S6+S7</f>
        <v/>
      </c>
      <c r="T8" s="12">
        <f>T5+T6+T7</f>
        <v/>
      </c>
      <c r="U8" s="12">
        <f>U5+U6+U7</f>
        <v/>
      </c>
      <c r="V8" s="12">
        <f>V5+V6+V7</f>
        <v/>
      </c>
      <c r="W8" s="12">
        <f>W5+W6+W7</f>
        <v/>
      </c>
      <c r="X8" s="12">
        <f>X5+X6+X7</f>
        <v/>
      </c>
      <c r="Y8" s="12">
        <f>Y5+Y6+Y7</f>
        <v/>
      </c>
      <c r="Z8" s="12">
        <f>Z5+Z6+Z7</f>
        <v/>
      </c>
      <c r="AA8" s="12">
        <f>AA5+AA6+AA7</f>
        <v/>
      </c>
      <c r="AB8" s="12">
        <f>AB5+AB6+AB7</f>
        <v/>
      </c>
      <c r="AC8" s="12">
        <f>AC5+AC6+AC7</f>
        <v/>
      </c>
      <c r="AD8" s="12">
        <f>AD5+AD6+AD7</f>
        <v/>
      </c>
      <c r="AE8" s="12">
        <f>AE5+AE6+AE7</f>
        <v/>
      </c>
      <c r="AF8" s="12">
        <f>AF5+AF6+AF7</f>
        <v/>
      </c>
      <c r="AG8" s="12">
        <f>AG5+AG6+AG7</f>
        <v/>
      </c>
      <c r="AH8" s="12">
        <f>AH5+AH6+AH7</f>
        <v/>
      </c>
      <c r="AI8" s="12">
        <f>AI5+AI6+AI7</f>
        <v/>
      </c>
      <c r="AJ8" s="12">
        <f>AJ5+AJ6+AJ7</f>
        <v/>
      </c>
      <c r="AK8" s="12">
        <f>AK5+AK6+AK7</f>
        <v/>
      </c>
      <c r="AL8" s="12">
        <f>AL5+AL6+AL7</f>
        <v/>
      </c>
      <c r="AM8" s="12">
        <f>AM5+AM6+AM7</f>
        <v/>
      </c>
      <c r="AN8" s="12">
        <f>AN5+AN6+AN7</f>
        <v/>
      </c>
      <c r="AO8" s="12">
        <f>AO5+AO6+AO7</f>
        <v/>
      </c>
      <c r="AP8" s="12">
        <f>AP5+AP6+AP7</f>
        <v/>
      </c>
      <c r="AQ8" s="12">
        <f>AQ5+AQ6+AQ7</f>
        <v/>
      </c>
      <c r="AR8" s="12">
        <f>AR5+AR6+AR7</f>
        <v/>
      </c>
    </row>
    <row r="10">
      <c r="A10" s="1" t="inlineStr">
        <is>
          <t>Investing Cash Flow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</row>
    <row r="11">
      <c r="A11" s="6" t="inlineStr">
        <is>
          <t xml:space="preserve">  Capital expenditure</t>
        </is>
      </c>
      <c r="C11" s="13">
        <f>-'Cost Schedule'!C7</f>
        <v/>
      </c>
      <c r="D11" s="13">
        <f>-'Cost Schedule'!D7</f>
        <v/>
      </c>
      <c r="E11" s="13">
        <f>-'Cost Schedule'!E7</f>
        <v/>
      </c>
      <c r="F11" s="13">
        <f>-'Cost Schedule'!F7</f>
        <v/>
      </c>
      <c r="G11" s="13">
        <f>-'Cost Schedule'!G7</f>
        <v/>
      </c>
      <c r="H11" s="13">
        <f>-'Cost Schedule'!H7</f>
        <v/>
      </c>
      <c r="I11" s="13">
        <f>-'Cost Schedule'!I7</f>
        <v/>
      </c>
      <c r="J11" s="13">
        <f>-'Cost Schedule'!J7</f>
        <v/>
      </c>
      <c r="K11" s="13">
        <f>-'Cost Schedule'!K7</f>
        <v/>
      </c>
      <c r="L11" s="13">
        <f>-'Cost Schedule'!L7</f>
        <v/>
      </c>
      <c r="M11" s="13">
        <f>-'Cost Schedule'!M7</f>
        <v/>
      </c>
      <c r="N11" s="13">
        <f>-'Cost Schedule'!N7</f>
        <v/>
      </c>
      <c r="O11" s="13">
        <f>-'Cost Schedule'!O7</f>
        <v/>
      </c>
      <c r="P11" s="13">
        <f>-'Cost Schedule'!P7</f>
        <v/>
      </c>
      <c r="Q11" s="13">
        <f>-'Cost Schedule'!Q7</f>
        <v/>
      </c>
      <c r="R11" s="13">
        <f>-'Cost Schedule'!R7</f>
        <v/>
      </c>
      <c r="S11" s="13">
        <f>-'Cost Schedule'!S7</f>
        <v/>
      </c>
      <c r="T11" s="13">
        <f>-'Cost Schedule'!T7</f>
        <v/>
      </c>
      <c r="U11" s="13">
        <f>-'Cost Schedule'!U7</f>
        <v/>
      </c>
      <c r="V11" s="13">
        <f>-'Cost Schedule'!V7</f>
        <v/>
      </c>
      <c r="W11" s="13">
        <f>-'Cost Schedule'!W7</f>
        <v/>
      </c>
      <c r="X11" s="13">
        <f>-'Cost Schedule'!X7</f>
        <v/>
      </c>
      <c r="Y11" s="13">
        <f>-'Cost Schedule'!Y7</f>
        <v/>
      </c>
      <c r="Z11" s="13">
        <f>-'Cost Schedule'!Z7</f>
        <v/>
      </c>
      <c r="AA11" s="13">
        <f>-'Cost Schedule'!AA7</f>
        <v/>
      </c>
      <c r="AB11" s="13">
        <f>-'Cost Schedule'!AB7</f>
        <v/>
      </c>
      <c r="AC11" s="13">
        <f>-'Cost Schedule'!AC7</f>
        <v/>
      </c>
      <c r="AD11" s="13">
        <f>-'Cost Schedule'!AD7</f>
        <v/>
      </c>
      <c r="AE11" s="13">
        <f>-'Cost Schedule'!AE7</f>
        <v/>
      </c>
      <c r="AF11" s="13">
        <f>-'Cost Schedule'!AF7</f>
        <v/>
      </c>
      <c r="AG11" s="13">
        <f>-'Cost Schedule'!AG7</f>
        <v/>
      </c>
      <c r="AH11" s="13">
        <f>-'Cost Schedule'!AH7</f>
        <v/>
      </c>
      <c r="AI11" s="13">
        <f>-'Cost Schedule'!AI7</f>
        <v/>
      </c>
      <c r="AJ11" s="13">
        <f>-'Cost Schedule'!AJ7</f>
        <v/>
      </c>
      <c r="AK11" s="13">
        <f>-'Cost Schedule'!AK7</f>
        <v/>
      </c>
      <c r="AL11" s="13">
        <f>-'Cost Schedule'!AL7</f>
        <v/>
      </c>
      <c r="AM11" s="13">
        <f>-'Cost Schedule'!AM7</f>
        <v/>
      </c>
      <c r="AN11" s="13">
        <f>-'Cost Schedule'!AN7</f>
        <v/>
      </c>
      <c r="AO11" s="13">
        <f>-'Cost Schedule'!AO7</f>
        <v/>
      </c>
      <c r="AP11" s="13">
        <f>-'Cost Schedule'!AP7</f>
        <v/>
      </c>
      <c r="AQ11" s="13">
        <f>-'Cost Schedule'!AQ7</f>
        <v/>
      </c>
      <c r="AR11" s="13">
        <f>-'Cost Schedule'!AR7</f>
        <v/>
      </c>
    </row>
    <row r="12">
      <c r="A12" s="6" t="inlineStr">
        <is>
          <t>INVESTING CF</t>
        </is>
      </c>
      <c r="C12" s="12">
        <f>C11</f>
        <v/>
      </c>
      <c r="D12" s="12">
        <f>D11</f>
        <v/>
      </c>
      <c r="E12" s="12">
        <f>E11</f>
        <v/>
      </c>
      <c r="F12" s="12">
        <f>F11</f>
        <v/>
      </c>
      <c r="G12" s="12">
        <f>G11</f>
        <v/>
      </c>
      <c r="H12" s="12">
        <f>H11</f>
        <v/>
      </c>
      <c r="I12" s="12">
        <f>I11</f>
        <v/>
      </c>
      <c r="J12" s="12">
        <f>J11</f>
        <v/>
      </c>
      <c r="K12" s="12">
        <f>K11</f>
        <v/>
      </c>
      <c r="L12" s="12">
        <f>L11</f>
        <v/>
      </c>
      <c r="M12" s="12">
        <f>M11</f>
        <v/>
      </c>
      <c r="N12" s="12">
        <f>N11</f>
        <v/>
      </c>
      <c r="O12" s="12">
        <f>O11</f>
        <v/>
      </c>
      <c r="P12" s="12">
        <f>P11</f>
        <v/>
      </c>
      <c r="Q12" s="12">
        <f>Q11</f>
        <v/>
      </c>
      <c r="R12" s="12">
        <f>R11</f>
        <v/>
      </c>
      <c r="S12" s="12">
        <f>S11</f>
        <v/>
      </c>
      <c r="T12" s="12">
        <f>T11</f>
        <v/>
      </c>
      <c r="U12" s="12">
        <f>U11</f>
        <v/>
      </c>
      <c r="V12" s="12">
        <f>V11</f>
        <v/>
      </c>
      <c r="W12" s="12">
        <f>W11</f>
        <v/>
      </c>
      <c r="X12" s="12">
        <f>X11</f>
        <v/>
      </c>
      <c r="Y12" s="12">
        <f>Y11</f>
        <v/>
      </c>
      <c r="Z12" s="12">
        <f>Z11</f>
        <v/>
      </c>
      <c r="AA12" s="12">
        <f>AA11</f>
        <v/>
      </c>
      <c r="AB12" s="12">
        <f>AB11</f>
        <v/>
      </c>
      <c r="AC12" s="12">
        <f>AC11</f>
        <v/>
      </c>
      <c r="AD12" s="12">
        <f>AD11</f>
        <v/>
      </c>
      <c r="AE12" s="12">
        <f>AE11</f>
        <v/>
      </c>
      <c r="AF12" s="12">
        <f>AF11</f>
        <v/>
      </c>
      <c r="AG12" s="12">
        <f>AG11</f>
        <v/>
      </c>
      <c r="AH12" s="12">
        <f>AH11</f>
        <v/>
      </c>
      <c r="AI12" s="12">
        <f>AI11</f>
        <v/>
      </c>
      <c r="AJ12" s="12">
        <f>AJ11</f>
        <v/>
      </c>
      <c r="AK12" s="12">
        <f>AK11</f>
        <v/>
      </c>
      <c r="AL12" s="12">
        <f>AL11</f>
        <v/>
      </c>
      <c r="AM12" s="12">
        <f>AM11</f>
        <v/>
      </c>
      <c r="AN12" s="12">
        <f>AN11</f>
        <v/>
      </c>
      <c r="AO12" s="12">
        <f>AO11</f>
        <v/>
      </c>
      <c r="AP12" s="12">
        <f>AP11</f>
        <v/>
      </c>
      <c r="AQ12" s="12">
        <f>AQ11</f>
        <v/>
      </c>
      <c r="AR12" s="12">
        <f>AR11</f>
        <v/>
      </c>
    </row>
    <row r="14">
      <c r="A14" s="6" t="inlineStr">
        <is>
          <t>FREE CASH FLOW</t>
        </is>
      </c>
      <c r="C14" s="12">
        <f>C8+C12</f>
        <v/>
      </c>
      <c r="D14" s="12">
        <f>D8+D12</f>
        <v/>
      </c>
      <c r="E14" s="12">
        <f>E8+E12</f>
        <v/>
      </c>
      <c r="F14" s="12">
        <f>F8+F12</f>
        <v/>
      </c>
      <c r="G14" s="12">
        <f>G8+G12</f>
        <v/>
      </c>
      <c r="H14" s="12">
        <f>H8+H12</f>
        <v/>
      </c>
      <c r="I14" s="12">
        <f>I8+I12</f>
        <v/>
      </c>
      <c r="J14" s="12">
        <f>J8+J12</f>
        <v/>
      </c>
      <c r="K14" s="12">
        <f>K8+K12</f>
        <v/>
      </c>
      <c r="L14" s="12">
        <f>L8+L12</f>
        <v/>
      </c>
      <c r="M14" s="12">
        <f>M8+M12</f>
        <v/>
      </c>
      <c r="N14" s="12">
        <f>N8+N12</f>
        <v/>
      </c>
      <c r="O14" s="12">
        <f>O8+O12</f>
        <v/>
      </c>
      <c r="P14" s="12">
        <f>P8+P12</f>
        <v/>
      </c>
      <c r="Q14" s="12">
        <f>Q8+Q12</f>
        <v/>
      </c>
      <c r="R14" s="12">
        <f>R8+R12</f>
        <v/>
      </c>
      <c r="S14" s="12">
        <f>S8+S12</f>
        <v/>
      </c>
      <c r="T14" s="12">
        <f>T8+T12</f>
        <v/>
      </c>
      <c r="U14" s="12">
        <f>U8+U12</f>
        <v/>
      </c>
      <c r="V14" s="12">
        <f>V8+V12</f>
        <v/>
      </c>
      <c r="W14" s="12">
        <f>W8+W12</f>
        <v/>
      </c>
      <c r="X14" s="12">
        <f>X8+X12</f>
        <v/>
      </c>
      <c r="Y14" s="12">
        <f>Y8+Y12</f>
        <v/>
      </c>
      <c r="Z14" s="12">
        <f>Z8+Z12</f>
        <v/>
      </c>
      <c r="AA14" s="12">
        <f>AA8+AA12</f>
        <v/>
      </c>
      <c r="AB14" s="12">
        <f>AB8+AB12</f>
        <v/>
      </c>
      <c r="AC14" s="12">
        <f>AC8+AC12</f>
        <v/>
      </c>
      <c r="AD14" s="12">
        <f>AD8+AD12</f>
        <v/>
      </c>
      <c r="AE14" s="12">
        <f>AE8+AE12</f>
        <v/>
      </c>
      <c r="AF14" s="12">
        <f>AF8+AF12</f>
        <v/>
      </c>
      <c r="AG14" s="12">
        <f>AG8+AG12</f>
        <v/>
      </c>
      <c r="AH14" s="12">
        <f>AH8+AH12</f>
        <v/>
      </c>
      <c r="AI14" s="12">
        <f>AI8+AI12</f>
        <v/>
      </c>
      <c r="AJ14" s="12">
        <f>AJ8+AJ12</f>
        <v/>
      </c>
      <c r="AK14" s="12">
        <f>AK8+AK12</f>
        <v/>
      </c>
      <c r="AL14" s="12">
        <f>AL8+AL12</f>
        <v/>
      </c>
      <c r="AM14" s="12">
        <f>AM8+AM12</f>
        <v/>
      </c>
      <c r="AN14" s="12">
        <f>AN8+AN12</f>
        <v/>
      </c>
      <c r="AO14" s="12">
        <f>AO8+AO12</f>
        <v/>
      </c>
      <c r="AP14" s="12">
        <f>AP8+AP12</f>
        <v/>
      </c>
      <c r="AQ14" s="12">
        <f>AQ8+AQ12</f>
        <v/>
      </c>
      <c r="AR14" s="12">
        <f>AR8+AR12</f>
        <v/>
      </c>
    </row>
    <row r="15">
      <c r="A15" s="6" t="inlineStr">
        <is>
          <t>Cumulative CF</t>
        </is>
      </c>
      <c r="C15" s="13">
        <f>C14</f>
        <v/>
      </c>
      <c r="D15" s="13">
        <f>C15+D14</f>
        <v/>
      </c>
      <c r="E15" s="13">
        <f>D15+E14</f>
        <v/>
      </c>
      <c r="F15" s="13">
        <f>E15+F14</f>
        <v/>
      </c>
      <c r="G15" s="13">
        <f>F15+G14</f>
        <v/>
      </c>
      <c r="H15" s="13">
        <f>G15+H14</f>
        <v/>
      </c>
      <c r="I15" s="13">
        <f>H15+I14</f>
        <v/>
      </c>
      <c r="J15" s="13">
        <f>I15+J14</f>
        <v/>
      </c>
      <c r="K15" s="13">
        <f>J15+K14</f>
        <v/>
      </c>
      <c r="L15" s="13">
        <f>K15+L14</f>
        <v/>
      </c>
      <c r="M15" s="13">
        <f>L15+M14</f>
        <v/>
      </c>
      <c r="N15" s="13">
        <f>M15+N14</f>
        <v/>
      </c>
      <c r="O15" s="13">
        <f>N15+O14</f>
        <v/>
      </c>
      <c r="P15" s="13">
        <f>O15+P14</f>
        <v/>
      </c>
      <c r="Q15" s="13">
        <f>P15+Q14</f>
        <v/>
      </c>
      <c r="R15" s="13">
        <f>Q15+R14</f>
        <v/>
      </c>
      <c r="S15" s="13">
        <f>R15+S14</f>
        <v/>
      </c>
      <c r="T15" s="13">
        <f>S15+T14</f>
        <v/>
      </c>
      <c r="U15" s="13">
        <f>T15+U14</f>
        <v/>
      </c>
      <c r="V15" s="13">
        <f>U15+V14</f>
        <v/>
      </c>
      <c r="W15" s="13">
        <f>V15+W14</f>
        <v/>
      </c>
      <c r="X15" s="13">
        <f>W15+X14</f>
        <v/>
      </c>
      <c r="Y15" s="13">
        <f>X15+Y14</f>
        <v/>
      </c>
      <c r="Z15" s="13">
        <f>Y15+Z14</f>
        <v/>
      </c>
      <c r="AA15" s="13">
        <f>Z15+AA14</f>
        <v/>
      </c>
      <c r="AB15" s="13">
        <f>AA15+AB14</f>
        <v/>
      </c>
      <c r="AC15" s="13">
        <f>AB15+AC14</f>
        <v/>
      </c>
      <c r="AD15" s="13">
        <f>AC15+AD14</f>
        <v/>
      </c>
      <c r="AE15" s="13">
        <f>AD15+AE14</f>
        <v/>
      </c>
      <c r="AF15" s="13">
        <f>AE15+AF14</f>
        <v/>
      </c>
      <c r="AG15" s="13">
        <f>AF15+AG14</f>
        <v/>
      </c>
      <c r="AH15" s="13">
        <f>AG15+AH14</f>
        <v/>
      </c>
      <c r="AI15" s="13">
        <f>AH15+AI14</f>
        <v/>
      </c>
      <c r="AJ15" s="13">
        <f>AI15+AJ14</f>
        <v/>
      </c>
      <c r="AK15" s="13">
        <f>AJ15+AK14</f>
        <v/>
      </c>
      <c r="AL15" s="13">
        <f>AK15+AL14</f>
        <v/>
      </c>
      <c r="AM15" s="13">
        <f>AL15+AM14</f>
        <v/>
      </c>
      <c r="AN15" s="13">
        <f>AM15+AN14</f>
        <v/>
      </c>
      <c r="AO15" s="13">
        <f>AN15+AO14</f>
        <v/>
      </c>
      <c r="AP15" s="13">
        <f>AO15+AP14</f>
        <v/>
      </c>
      <c r="AQ15" s="13">
        <f>AP15+AQ14</f>
        <v/>
      </c>
      <c r="AR15" s="13">
        <f>AQ15+AR14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DCF &amp; RETURNS</t>
        </is>
      </c>
    </row>
    <row r="3">
      <c r="A3" s="1" t="inlineStr">
        <is>
          <t>Annual FCF Summary</t>
        </is>
      </c>
    </row>
    <row r="4">
      <c r="A4" s="5" t="inlineStr">
        <is>
          <t>Year</t>
        </is>
      </c>
      <c r="B4" s="5" t="inlineStr">
        <is>
          <t>FCF (M VND)</t>
        </is>
      </c>
    </row>
    <row r="5">
      <c r="A5" s="6" t="inlineStr">
        <is>
          <t>H2_2025</t>
        </is>
      </c>
      <c r="B5" s="13">
        <f>SUM('Cash Flow'!C14:H14)</f>
        <v/>
      </c>
    </row>
    <row r="6">
      <c r="A6" s="6" t="inlineStr">
        <is>
          <t>Y2026</t>
        </is>
      </c>
      <c r="B6" s="13">
        <f>SUM('Cash Flow'!I14:T14)</f>
        <v/>
      </c>
    </row>
    <row r="7">
      <c r="A7" s="6" t="inlineStr">
        <is>
          <t>Y2027</t>
        </is>
      </c>
      <c r="B7" s="13">
        <f>SUM('Cash Flow'!U14:AF14)</f>
        <v/>
      </c>
    </row>
    <row r="8">
      <c r="A8" s="6" t="inlineStr">
        <is>
          <t>Y2028</t>
        </is>
      </c>
      <c r="B8" s="13">
        <f>SUM('Cash Flow'!AG14:AJ14)</f>
        <v/>
      </c>
    </row>
    <row r="9">
      <c r="A9" s="6" t="inlineStr">
        <is>
          <t>Y2029</t>
        </is>
      </c>
      <c r="B9" s="13">
        <f>SUM('Cash Flow'!AK14:AN14)</f>
        <v/>
      </c>
    </row>
    <row r="10">
      <c r="A10" s="6" t="inlineStr">
        <is>
          <t>Y2030</t>
        </is>
      </c>
      <c r="B10" s="13">
        <f>SUM('Cash Flow'!AO14:AR14)</f>
        <v/>
      </c>
    </row>
    <row r="12">
      <c r="A12" s="1" t="inlineStr">
        <is>
          <t>Key Metrics</t>
        </is>
      </c>
    </row>
    <row r="13">
      <c r="A13" s="6" t="inlineStr">
        <is>
          <t>NPV</t>
        </is>
      </c>
      <c r="B13" s="13">
        <f>NPV(discount_rate,B6:B10)+B5</f>
        <v/>
      </c>
    </row>
    <row r="14">
      <c r="A14" s="6" t="inlineStr">
        <is>
          <t>IRR</t>
        </is>
      </c>
      <c r="B14" s="20">
        <f>IFERROR(IRR(B5:B10),"N/A")</f>
        <v/>
      </c>
    </row>
    <row r="15">
      <c r="A15" s="6" t="inlineStr">
        <is>
          <t>Total investment</t>
        </is>
      </c>
      <c r="B15" s="13">
        <f>-MIN(0,'Cash Flow'!C15:'Cash Flow'!AR15)</f>
        <v/>
      </c>
    </row>
    <row r="16">
      <c r="A16" s="6" t="inlineStr">
        <is>
          <t>ROI</t>
        </is>
      </c>
      <c r="B16" s="20">
        <f>IF(B15=0,0,('Cash Flow'!AR15+B15)/B15)</f>
        <v/>
      </c>
    </row>
    <row r="17">
      <c r="A17" s="6" t="inlineStr">
        <is>
          <t>CIT rate applied</t>
        </is>
      </c>
      <c r="B17" s="20">
        <f>cit_rate</f>
        <v/>
      </c>
    </row>
    <row r="18">
      <c r="A18" s="6" t="inlineStr">
        <is>
          <t>Discount rate used</t>
        </is>
      </c>
      <c r="B18" s="20">
        <f>discount_rate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1" t="inlineStr">
        <is>
          <t>SCENARIO ANALYSIS</t>
        </is>
      </c>
    </row>
    <row r="2">
      <c r="A2" s="4" t="inlineStr">
        <is>
          <t>Copy values from a scenario column into Assumptions to run it.</t>
        </is>
      </c>
    </row>
    <row r="4">
      <c r="A4" s="5" t="inlineStr">
        <is>
          <t>Parameter</t>
        </is>
      </c>
      <c r="B4" s="5" t="inlineStr">
        <is>
          <t>WORST</t>
        </is>
      </c>
      <c r="C4" s="5" t="inlineStr">
        <is>
          <t>BEAR</t>
        </is>
      </c>
      <c r="D4" s="5" t="inlineStr">
        <is>
          <t>BASE (Current)</t>
        </is>
      </c>
      <c r="E4" s="5" t="inlineStr">
        <is>
          <t>BULL</t>
        </is>
      </c>
      <c r="F4" s="5" t="inlineStr">
        <is>
          <t>BEST</t>
        </is>
      </c>
    </row>
    <row r="5">
      <c r="A5" s="6" t="inlineStr">
        <is>
          <t>Adoption max</t>
        </is>
      </c>
      <c r="B5" s="22" t="n">
        <v>200</v>
      </c>
      <c r="C5" s="23" t="n">
        <v>600</v>
      </c>
      <c r="D5" s="12">
        <f>adoption_max</f>
        <v/>
      </c>
      <c r="E5" s="23" t="n">
        <v>2000</v>
      </c>
      <c r="F5" s="24" t="n">
        <v>3500</v>
      </c>
    </row>
    <row r="6">
      <c r="A6" s="6" t="inlineStr">
        <is>
          <t>Adoption steepness</t>
        </is>
      </c>
      <c r="B6" s="25" t="n">
        <v>0.5</v>
      </c>
      <c r="C6" s="26" t="n">
        <v>0.7</v>
      </c>
      <c r="D6" s="27">
        <f>adoption_steepness</f>
        <v/>
      </c>
      <c r="E6" s="26" t="n">
        <v>1.2</v>
      </c>
      <c r="F6" s="28" t="n">
        <v>1.5</v>
      </c>
    </row>
    <row r="7">
      <c r="A7" s="6" t="inlineStr">
        <is>
          <t>Churn rate</t>
        </is>
      </c>
      <c r="B7" s="25" t="n">
        <v>0.35</v>
      </c>
      <c r="C7" s="26" t="n">
        <v>0.25</v>
      </c>
      <c r="D7" s="27">
        <f>churn_rate</f>
        <v/>
      </c>
      <c r="E7" s="26" t="n">
        <v>0.15</v>
      </c>
      <c r="F7" s="28" t="n">
        <v>0.1</v>
      </c>
    </row>
    <row r="8">
      <c r="A8" s="6" t="inlineStr">
        <is>
          <t>Platform market share</t>
        </is>
      </c>
      <c r="B8" s="25" t="n">
        <v>0.001</v>
      </c>
      <c r="C8" s="26" t="n">
        <v>0.003</v>
      </c>
      <c r="D8" s="27">
        <f>platform_market_share</f>
        <v/>
      </c>
      <c r="E8" s="26" t="n">
        <v>0.01</v>
      </c>
      <c r="F8" s="28" t="n">
        <v>0.02</v>
      </c>
    </row>
    <row r="9">
      <c r="A9" s="6" t="inlineStr">
        <is>
          <t>Cert fee (M VND)</t>
        </is>
      </c>
      <c r="B9" s="22" t="n">
        <v>15</v>
      </c>
      <c r="C9" s="23" t="n">
        <v>20</v>
      </c>
      <c r="D9" s="12">
        <f>cert_fee_yr1</f>
        <v/>
      </c>
      <c r="E9" s="23" t="n">
        <v>30</v>
      </c>
      <c r="F9" s="24" t="n">
        <v>40</v>
      </c>
    </row>
    <row r="10">
      <c r="A10" s="6" t="inlineStr">
        <is>
          <t>Cert fee escalation</t>
        </is>
      </c>
      <c r="B10" s="25" t="n">
        <v>0</v>
      </c>
      <c r="C10" s="26" t="n">
        <v>0.03</v>
      </c>
      <c r="D10" s="27">
        <f>cert_fee_escalation</f>
        <v/>
      </c>
      <c r="E10" s="26" t="n">
        <v>0.08</v>
      </c>
      <c r="F10" s="28" t="n">
        <v>0.12</v>
      </c>
    </row>
    <row r="11">
      <c r="A11" s="6" t="inlineStr">
        <is>
          <t>Tx take rate</t>
        </is>
      </c>
      <c r="B11" s="25" t="n">
        <v>0.01</v>
      </c>
      <c r="C11" s="26" t="n">
        <v>0.015</v>
      </c>
      <c r="D11" s="27">
        <f>tx_take_rate</f>
        <v/>
      </c>
      <c r="E11" s="26" t="n">
        <v>0.025</v>
      </c>
      <c r="F11" s="28" t="n">
        <v>0.03</v>
      </c>
    </row>
    <row r="12">
      <c r="A12" s="6" t="inlineStr">
        <is>
          <t>Marketing base (M VND)</t>
        </is>
      </c>
      <c r="B12" s="22" t="n">
        <v>8000</v>
      </c>
      <c r="C12" s="23" t="n">
        <v>7500</v>
      </c>
      <c r="D12" s="12">
        <f>opex_marketing</f>
        <v/>
      </c>
      <c r="E12" s="23" t="n">
        <v>6000</v>
      </c>
      <c r="F12" s="24" t="n">
        <v>5000</v>
      </c>
    </row>
    <row r="13">
      <c r="A13" s="6" t="inlineStr">
        <is>
          <t>Marketing growth</t>
        </is>
      </c>
      <c r="B13" s="25" t="n">
        <v>0.2</v>
      </c>
      <c r="C13" s="26" t="n">
        <v>0.18</v>
      </c>
      <c r="D13" s="27">
        <f>marketing_growth</f>
        <v/>
      </c>
      <c r="E13" s="26" t="n">
        <v>0.12</v>
      </c>
      <c r="F13" s="28" t="n">
        <v>0.08</v>
      </c>
    </row>
    <row r="14">
      <c r="A14" s="6" t="inlineStr">
        <is>
          <t>Discount rate</t>
        </is>
      </c>
      <c r="B14" s="25" t="n">
        <v>0.2</v>
      </c>
      <c r="C14" s="26" t="n">
        <v>0.18</v>
      </c>
      <c r="D14" s="27">
        <f>discount_rate</f>
        <v/>
      </c>
      <c r="E14" s="26" t="n">
        <v>0.12</v>
      </c>
      <c r="F14" s="28" t="n">
        <v>0.1</v>
      </c>
    </row>
    <row r="15">
      <c r="A15" s="6" t="inlineStr">
        <is>
          <t>Pilot count</t>
        </is>
      </c>
      <c r="B15" s="22" t="n">
        <v>5</v>
      </c>
      <c r="C15" s="23" t="n">
        <v>10</v>
      </c>
      <c r="D15" s="12">
        <f>pilot_count</f>
        <v/>
      </c>
      <c r="E15" s="23" t="n">
        <v>20</v>
      </c>
      <c r="F15" s="24" t="n">
        <v>30</v>
      </c>
    </row>
    <row r="16">
      <c r="A16" s="6" t="inlineStr">
        <is>
          <t>Stage 2 gate</t>
        </is>
      </c>
      <c r="B16" s="22" t="n">
        <v>500</v>
      </c>
      <c r="C16" s="23" t="n">
        <v>400</v>
      </c>
      <c r="D16" s="12">
        <f>stage2_gate</f>
        <v/>
      </c>
      <c r="E16" s="23" t="n">
        <v>200</v>
      </c>
      <c r="F16" s="24" t="n">
        <v>150</v>
      </c>
    </row>
    <row r="19">
      <c r="A19" s="21" t="inlineStr">
        <is>
          <t>WHY v2 HAD NPV 238K &amp; IRR 214%</t>
        </is>
      </c>
    </row>
    <row r="20">
      <c r="A20" s="29" t="inlineStr">
        <is>
          <t>Top 3 drivers of inflated returns in v2:</t>
        </is>
      </c>
    </row>
    <row r="21">
      <c r="A21" s="29" t="inlineStr">
        <is>
          <t>1. platform_market_share = 2% → now 0.5%. At 2%, VV captures ~$1.6B GMV. Unrealistic.</t>
        </is>
      </c>
    </row>
    <row r="22">
      <c r="A22" s="29" t="inlineStr">
        <is>
          <t>2. adoption_max = 3,000 → now 1,200. 3K = 7.5% market; 1.2K = 3% — achievable.</t>
        </is>
      </c>
    </row>
    <row r="23">
      <c r="A23" s="29" t="inlineStr">
        <is>
          <t>3. churn = 15% → now 20%. Higher reflects cert renewal resistance.</t>
        </is>
      </c>
    </row>
    <row r="24">
      <c r="A24" s="29" t="inlineStr">
        <is>
          <t>Also: WACC 12%→15%, cert fee 30→25M, slower escalation, higher cloud costs.</t>
        </is>
      </c>
    </row>
  </sheetData>
  <mergeCells count="7">
    <mergeCell ref="A24:F24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BUDGET 2025 — MONTHLY DETAIL (M VND)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Approval-ready budget. Yellow cells = adjustable items.</t>
        </is>
      </c>
    </row>
    <row r="4">
      <c r="A4" s="5" t="inlineStr">
        <is>
          <t>Budget Item</t>
        </is>
      </c>
      <c r="B4" s="5" t="inlineStr">
        <is>
          <t>Unit</t>
        </is>
      </c>
      <c r="C4" s="5" t="inlineStr">
        <is>
          <t>Jul</t>
        </is>
      </c>
      <c r="D4" s="5" t="inlineStr">
        <is>
          <t>Aug</t>
        </is>
      </c>
      <c r="E4" s="5" t="inlineStr">
        <is>
          <t>Sep</t>
        </is>
      </c>
      <c r="F4" s="5" t="inlineStr">
        <is>
          <t>Oct</t>
        </is>
      </c>
      <c r="G4" s="5" t="inlineStr">
        <is>
          <t>Nov</t>
        </is>
      </c>
      <c r="H4" s="5" t="inlineStr">
        <is>
          <t>Dec</t>
        </is>
      </c>
      <c r="I4" s="5" t="inlineStr">
        <is>
          <t>TOTAL</t>
        </is>
      </c>
    </row>
    <row r="5">
      <c r="A5" s="1" t="inlineStr">
        <is>
          <t>REVENUE</t>
        </is>
      </c>
      <c r="C5" s="14" t="n"/>
      <c r="D5" s="14" t="n"/>
      <c r="E5" s="14" t="n"/>
      <c r="F5" s="14" t="n"/>
      <c r="G5" s="14" t="n"/>
      <c r="H5" s="14" t="n"/>
      <c r="I5" s="14" t="n"/>
    </row>
    <row r="6">
      <c r="A6" s="6" t="inlineStr">
        <is>
          <t xml:space="preserve">  Certification fees</t>
        </is>
      </c>
      <c r="B6" s="6" t="inlineStr">
        <is>
          <t>M VND</t>
        </is>
      </c>
      <c r="C6" s="13">
        <f>pilot_count*cert_fee_yr1/12</f>
        <v/>
      </c>
      <c r="D6" s="13">
        <f>pilot_count*cert_fee_yr1/12</f>
        <v/>
      </c>
      <c r="E6" s="13">
        <f>pilot_count*cert_fee_yr1/12</f>
        <v/>
      </c>
      <c r="F6" s="13">
        <f>pilot_count*cert_fee_yr1/12</f>
        <v/>
      </c>
      <c r="G6" s="13">
        <f>pilot_count*cert_fee_yr1/12</f>
        <v/>
      </c>
      <c r="H6" s="13">
        <f>pilot_count*cert_fee_yr1/12</f>
        <v/>
      </c>
      <c r="I6" s="12">
        <f>SUM(C6:H6)</f>
        <v/>
      </c>
    </row>
    <row r="7">
      <c r="A7" s="6" t="inlineStr">
        <is>
          <t xml:space="preserve">  Training &amp; consulting</t>
        </is>
      </c>
      <c r="B7" s="6" t="inlineStr">
        <is>
          <t>M VND</t>
        </is>
      </c>
      <c r="C7" s="13">
        <f>pilot_count*training_pct*training_fee/12</f>
        <v/>
      </c>
      <c r="D7" s="13">
        <f>pilot_count*training_pct*training_fee/12</f>
        <v/>
      </c>
      <c r="E7" s="13">
        <f>pilot_count*training_pct*training_fee/12</f>
        <v/>
      </c>
      <c r="F7" s="13">
        <f>pilot_count*training_pct*training_fee/12</f>
        <v/>
      </c>
      <c r="G7" s="13">
        <f>pilot_count*training_pct*training_fee/12</f>
        <v/>
      </c>
      <c r="H7" s="13">
        <f>pilot_count*training_pct*training_fee/12</f>
        <v/>
      </c>
      <c r="I7" s="12">
        <f>SUM(C7:H7)</f>
        <v/>
      </c>
    </row>
    <row r="8">
      <c r="A8" s="6" t="inlineStr">
        <is>
          <t xml:space="preserve">  Audit fees</t>
        </is>
      </c>
      <c r="B8" s="6" t="inlineStr">
        <is>
          <t>M VND</t>
        </is>
      </c>
      <c r="C8" s="13">
        <f>pilot_count*audit_fee/12</f>
        <v/>
      </c>
      <c r="D8" s="13">
        <f>pilot_count*audit_fee/12</f>
        <v/>
      </c>
      <c r="E8" s="13">
        <f>pilot_count*audit_fee/12</f>
        <v/>
      </c>
      <c r="F8" s="13">
        <f>pilot_count*audit_fee/12</f>
        <v/>
      </c>
      <c r="G8" s="13">
        <f>pilot_count*audit_fee/12</f>
        <v/>
      </c>
      <c r="H8" s="13">
        <f>pilot_count*audit_fee/12</f>
        <v/>
      </c>
      <c r="I8" s="12">
        <f>SUM(C8:H8)</f>
        <v/>
      </c>
    </row>
    <row r="9">
      <c r="A9" s="6" t="inlineStr">
        <is>
          <t>TOTAL REVENUE</t>
        </is>
      </c>
      <c r="B9" s="6" t="inlineStr">
        <is>
          <t>M VND</t>
        </is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2">
        <f>SUM(H6:H8)</f>
        <v/>
      </c>
      <c r="I9" s="12">
        <f>SUM(C9:H9)</f>
        <v/>
      </c>
    </row>
    <row r="11">
      <c r="A11" s="1" t="inlineStr">
        <is>
          <t>CAPITAL EXPENDITURE</t>
        </is>
      </c>
      <c r="C11" s="14" t="n"/>
      <c r="D11" s="14" t="n"/>
      <c r="E11" s="14" t="n"/>
      <c r="F11" s="14" t="n"/>
      <c r="G11" s="14" t="n"/>
      <c r="H11" s="14" t="n"/>
      <c r="I11" s="14" t="n"/>
    </row>
    <row r="12">
      <c r="A12" s="6" t="inlineStr">
        <is>
          <t xml:space="preserve">  Cloud infrastructure setup</t>
        </is>
      </c>
      <c r="B12" s="6" t="inlineStr">
        <is>
          <t>M VND</t>
        </is>
      </c>
      <c r="C12" s="13">
        <f>capex_cloud_setup/6</f>
        <v/>
      </c>
      <c r="D12" s="13">
        <f>capex_cloud_setup/6</f>
        <v/>
      </c>
      <c r="E12" s="13">
        <f>capex_cloud_setup/6</f>
        <v/>
      </c>
      <c r="F12" s="13">
        <f>capex_cloud_setup/6</f>
        <v/>
      </c>
      <c r="G12" s="13">
        <f>capex_cloud_setup/6</f>
        <v/>
      </c>
      <c r="H12" s="13">
        <f>capex_cloud_setup/6</f>
        <v/>
      </c>
      <c r="I12" s="12">
        <f>SUM(C12:H12)</f>
        <v/>
      </c>
    </row>
    <row r="13">
      <c r="A13" s="6" t="inlineStr">
        <is>
          <t xml:space="preserve">  Backend development</t>
        </is>
      </c>
      <c r="B13" s="6" t="inlineStr">
        <is>
          <t>M VND</t>
        </is>
      </c>
      <c r="C13" s="13">
        <f>capex_backend/6</f>
        <v/>
      </c>
      <c r="D13" s="13">
        <f>capex_backend/6</f>
        <v/>
      </c>
      <c r="E13" s="13">
        <f>capex_backend/6</f>
        <v/>
      </c>
      <c r="F13" s="13">
        <f>capex_backend/6</f>
        <v/>
      </c>
      <c r="G13" s="13">
        <f>capex_backend/6</f>
        <v/>
      </c>
      <c r="H13" s="13">
        <f>capex_backend/6</f>
        <v/>
      </c>
      <c r="I13" s="12">
        <f>SUM(C13:H13)</f>
        <v/>
      </c>
    </row>
    <row r="14">
      <c r="A14" s="6" t="inlineStr">
        <is>
          <t xml:space="preserve">  Frontend + mobile</t>
        </is>
      </c>
      <c r="B14" s="6" t="inlineStr">
        <is>
          <t>M VND</t>
        </is>
      </c>
      <c r="C14" s="13">
        <f>capex_frontend/6</f>
        <v/>
      </c>
      <c r="D14" s="13">
        <f>capex_frontend/6</f>
        <v/>
      </c>
      <c r="E14" s="13">
        <f>capex_frontend/6</f>
        <v/>
      </c>
      <c r="F14" s="13">
        <f>capex_frontend/6</f>
        <v/>
      </c>
      <c r="G14" s="13">
        <f>capex_frontend/6</f>
        <v/>
      </c>
      <c r="H14" s="13">
        <f>capex_frontend/6</f>
        <v/>
      </c>
      <c r="I14" s="12">
        <f>SUM(C14:H14)</f>
        <v/>
      </c>
    </row>
    <row r="15">
      <c r="A15" s="6" t="inlineStr">
        <is>
          <t xml:space="preserve">  Data platform</t>
        </is>
      </c>
      <c r="B15" s="6" t="inlineStr">
        <is>
          <t>M VND</t>
        </is>
      </c>
      <c r="C15" s="13">
        <f>capex_data_platform/6</f>
        <v/>
      </c>
      <c r="D15" s="13">
        <f>capex_data_platform/6</f>
        <v/>
      </c>
      <c r="E15" s="13">
        <f>capex_data_platform/6</f>
        <v/>
      </c>
      <c r="F15" s="13">
        <f>capex_data_platform/6</f>
        <v/>
      </c>
      <c r="G15" s="13">
        <f>capex_data_platform/6</f>
        <v/>
      </c>
      <c r="H15" s="13">
        <f>capex_data_platform/6</f>
        <v/>
      </c>
      <c r="I15" s="12">
        <f>SUM(C15:H15)</f>
        <v/>
      </c>
    </row>
    <row r="16">
      <c r="A16" s="6" t="inlineStr">
        <is>
          <t xml:space="preserve">  Security infrastructure</t>
        </is>
      </c>
      <c r="B16" s="6" t="inlineStr">
        <is>
          <t>M VND</t>
        </is>
      </c>
      <c r="C16" s="13">
        <f>capex_security_setup/6</f>
        <v/>
      </c>
      <c r="D16" s="13">
        <f>capex_security_setup/6</f>
        <v/>
      </c>
      <c r="E16" s="13">
        <f>capex_security_setup/6</f>
        <v/>
      </c>
      <c r="F16" s="13">
        <f>capex_security_setup/6</f>
        <v/>
      </c>
      <c r="G16" s="13">
        <f>capex_security_setup/6</f>
        <v/>
      </c>
      <c r="H16" s="13">
        <f>capex_security_setup/6</f>
        <v/>
      </c>
      <c r="I16" s="12">
        <f>SUM(C16:H16)</f>
        <v/>
      </c>
    </row>
    <row r="17">
      <c r="A17" s="6" t="inlineStr">
        <is>
          <t xml:space="preserve">  UX/UI design</t>
        </is>
      </c>
      <c r="B17" s="6" t="inlineStr">
        <is>
          <t>M VND</t>
        </is>
      </c>
      <c r="C17" s="13">
        <f>capex_ux_design/6</f>
        <v/>
      </c>
      <c r="D17" s="13">
        <f>capex_ux_design/6</f>
        <v/>
      </c>
      <c r="E17" s="13">
        <f>capex_ux_design/6</f>
        <v/>
      </c>
      <c r="F17" s="13">
        <f>capex_ux_design/6</f>
        <v/>
      </c>
      <c r="G17" s="13">
        <f>capex_ux_design/6</f>
        <v/>
      </c>
      <c r="H17" s="13">
        <f>capex_ux_design/6</f>
        <v/>
      </c>
      <c r="I17" s="12">
        <f>SUM(C17:H17)</f>
        <v/>
      </c>
    </row>
    <row r="18">
      <c r="A18" s="6" t="inlineStr">
        <is>
          <t xml:space="preserve">  3rd-party integrations</t>
        </is>
      </c>
      <c r="B18" s="6" t="inlineStr">
        <is>
          <t>M VND</t>
        </is>
      </c>
      <c r="C18" s="13">
        <f>capex_integration/6</f>
        <v/>
      </c>
      <c r="D18" s="13">
        <f>capex_integration/6</f>
        <v/>
      </c>
      <c r="E18" s="13">
        <f>capex_integration/6</f>
        <v/>
      </c>
      <c r="F18" s="13">
        <f>capex_integration/6</f>
        <v/>
      </c>
      <c r="G18" s="13">
        <f>capex_integration/6</f>
        <v/>
      </c>
      <c r="H18" s="13">
        <f>capex_integration/6</f>
        <v/>
      </c>
      <c r="I18" s="12">
        <f>SUM(C18:H18)</f>
        <v/>
      </c>
    </row>
    <row r="19">
      <c r="A19" s="6" t="inlineStr">
        <is>
          <t xml:space="preserve">  DevOps &amp; CI/CD</t>
        </is>
      </c>
      <c r="B19" s="6" t="inlineStr">
        <is>
          <t>M VND</t>
        </is>
      </c>
      <c r="C19" s="13">
        <f>capex_devops/6</f>
        <v/>
      </c>
      <c r="D19" s="13">
        <f>capex_devops/6</f>
        <v/>
      </c>
      <c r="E19" s="13">
        <f>capex_devops/6</f>
        <v/>
      </c>
      <c r="F19" s="13">
        <f>capex_devops/6</f>
        <v/>
      </c>
      <c r="G19" s="13">
        <f>capex_devops/6</f>
        <v/>
      </c>
      <c r="H19" s="13">
        <f>capex_devops/6</f>
        <v/>
      </c>
      <c r="I19" s="12">
        <f>SUM(C19:H19)</f>
        <v/>
      </c>
    </row>
    <row r="20">
      <c r="A20" s="6" t="inlineStr">
        <is>
          <t xml:space="preserve">  QA &amp; testing</t>
        </is>
      </c>
      <c r="B20" s="6" t="inlineStr">
        <is>
          <t>M VND</t>
        </is>
      </c>
      <c r="C20" s="13">
        <f>capex_testing/6</f>
        <v/>
      </c>
      <c r="D20" s="13">
        <f>capex_testing/6</f>
        <v/>
      </c>
      <c r="E20" s="13">
        <f>capex_testing/6</f>
        <v/>
      </c>
      <c r="F20" s="13">
        <f>capex_testing/6</f>
        <v/>
      </c>
      <c r="G20" s="13">
        <f>capex_testing/6</f>
        <v/>
      </c>
      <c r="H20" s="13">
        <f>capex_testing/6</f>
        <v/>
      </c>
      <c r="I20" s="12">
        <f>SUM(C20:H20)</f>
        <v/>
      </c>
    </row>
    <row r="21">
      <c r="A21" s="6" t="inlineStr">
        <is>
          <t xml:space="preserve">  CAPEX contingency</t>
        </is>
      </c>
      <c r="B21" s="6" t="inlineStr">
        <is>
          <t>M VND</t>
        </is>
      </c>
      <c r="C21" s="13">
        <f>capex_contingency/6</f>
        <v/>
      </c>
      <c r="D21" s="13">
        <f>capex_contingency/6</f>
        <v/>
      </c>
      <c r="E21" s="13">
        <f>capex_contingency/6</f>
        <v/>
      </c>
      <c r="F21" s="13">
        <f>capex_contingency/6</f>
        <v/>
      </c>
      <c r="G21" s="13">
        <f>capex_contingency/6</f>
        <v/>
      </c>
      <c r="H21" s="13">
        <f>capex_contingency/6</f>
        <v/>
      </c>
      <c r="I21" s="12">
        <f>SUM(C21:H21)</f>
        <v/>
      </c>
    </row>
    <row r="22">
      <c r="A22" s="6" t="inlineStr">
        <is>
          <t>TOTAL CAPEX</t>
        </is>
      </c>
      <c r="B22" s="6" t="inlineStr">
        <is>
          <t>M VND</t>
        </is>
      </c>
      <c r="C22" s="12">
        <f>SUM(C12:C21)</f>
        <v/>
      </c>
      <c r="D22" s="12">
        <f>SUM(D12:D21)</f>
        <v/>
      </c>
      <c r="E22" s="12">
        <f>SUM(E12:E21)</f>
        <v/>
      </c>
      <c r="F22" s="12">
        <f>SUM(F12:F21)</f>
        <v/>
      </c>
      <c r="G22" s="12">
        <f>SUM(G12:G21)</f>
        <v/>
      </c>
      <c r="H22" s="12">
        <f>SUM(H12:H21)</f>
        <v/>
      </c>
      <c r="I22" s="12">
        <f>SUM(C22:H22)</f>
        <v/>
      </c>
    </row>
    <row r="24">
      <c r="A24" s="1" t="inlineStr">
        <is>
          <t>OPERATING EXPENDITURE</t>
        </is>
      </c>
      <c r="C24" s="14" t="n"/>
      <c r="D24" s="14" t="n"/>
      <c r="E24" s="14" t="n"/>
      <c r="F24" s="14" t="n"/>
      <c r="G24" s="14" t="n"/>
      <c r="H24" s="14" t="n"/>
      <c r="I24" s="14" t="n"/>
    </row>
    <row r="25">
      <c r="A25" s="6" t="inlineStr">
        <is>
          <t xml:space="preserve">  HR — Management (2 FTE)</t>
        </is>
      </c>
      <c r="B25" s="6" t="inlineStr">
        <is>
          <t>M VND</t>
        </is>
      </c>
      <c r="C25" s="13">
        <f>2*salary_mgmt*(1+salary_escalation)^0*(1+bhxh_rate)</f>
        <v/>
      </c>
      <c r="D25" s="13">
        <f>2*salary_mgmt*(1+salary_escalation)^0*(1+bhxh_rate)</f>
        <v/>
      </c>
      <c r="E25" s="13">
        <f>2*salary_mgmt*(1+salary_escalation)^0*(1+bhxh_rate)</f>
        <v/>
      </c>
      <c r="F25" s="13">
        <f>2*salary_mgmt*(1+salary_escalation)^0*(1+bhxh_rate)</f>
        <v/>
      </c>
      <c r="G25" s="13">
        <f>2*salary_mgmt*(1+salary_escalation)^0*(1+bhxh_rate)</f>
        <v/>
      </c>
      <c r="H25" s="13">
        <f>2*salary_mgmt*(1+salary_escalation)^0*(1+bhxh_rate)</f>
        <v/>
      </c>
      <c r="I25" s="12">
        <f>SUM(C25:H25)</f>
        <v/>
      </c>
    </row>
    <row r="26">
      <c r="A26" s="6" t="inlineStr">
        <is>
          <t xml:space="preserve">  HR — Development (12 FTE)</t>
        </is>
      </c>
      <c r="B26" s="6" t="inlineStr">
        <is>
          <t>M VND</t>
        </is>
      </c>
      <c r="C26" s="13">
        <f>12*salary_dev*(1+salary_escalation)^0*(1+bhxh_rate)</f>
        <v/>
      </c>
      <c r="D26" s="13">
        <f>12*salary_dev*(1+salary_escalation)^0*(1+bhxh_rate)</f>
        <v/>
      </c>
      <c r="E26" s="13">
        <f>12*salary_dev*(1+salary_escalation)^0*(1+bhxh_rate)</f>
        <v/>
      </c>
      <c r="F26" s="13">
        <f>12*salary_dev*(1+salary_escalation)^0*(1+bhxh_rate)</f>
        <v/>
      </c>
      <c r="G26" s="13">
        <f>12*salary_dev*(1+salary_escalation)^0*(1+bhxh_rate)</f>
        <v/>
      </c>
      <c r="H26" s="13">
        <f>12*salary_dev*(1+salary_escalation)^0*(1+bhxh_rate)</f>
        <v/>
      </c>
      <c r="I26" s="12">
        <f>SUM(C26:H26)</f>
        <v/>
      </c>
    </row>
    <row r="27">
      <c r="A27" s="6" t="inlineStr">
        <is>
          <t xml:space="preserve">  HR — Biz Ops (2 FTE)</t>
        </is>
      </c>
      <c r="B27" s="6" t="inlineStr">
        <is>
          <t>M VND</t>
        </is>
      </c>
      <c r="C27" s="13">
        <f>2*salary_bizops*(1+salary_escalation)^0*(1+bhxh_rate)</f>
        <v/>
      </c>
      <c r="D27" s="13">
        <f>2*salary_bizops*(1+salary_escalation)^0*(1+bhxh_rate)</f>
        <v/>
      </c>
      <c r="E27" s="13">
        <f>2*salary_bizops*(1+salary_escalation)^0*(1+bhxh_rate)</f>
        <v/>
      </c>
      <c r="F27" s="13">
        <f>2*salary_bizops*(1+salary_escalation)^0*(1+bhxh_rate)</f>
        <v/>
      </c>
      <c r="G27" s="13">
        <f>2*salary_bizops*(1+salary_escalation)^0*(1+bhxh_rate)</f>
        <v/>
      </c>
      <c r="H27" s="13">
        <f>2*salary_bizops*(1+salary_escalation)^0*(1+bhxh_rate)</f>
        <v/>
      </c>
      <c r="I27" s="12">
        <f>SUM(C27:H27)</f>
        <v/>
      </c>
    </row>
    <row r="28">
      <c r="A28" s="6" t="inlineStr">
        <is>
          <t xml:space="preserve">  HR — Data (0 FTE)</t>
        </is>
      </c>
      <c r="B28" s="6" t="inlineStr">
        <is>
          <t>M VND</t>
        </is>
      </c>
      <c r="C28" s="13">
        <f>0*salary_data*(1+salary_escalation)^0*(1+bhxh_rate)</f>
        <v/>
      </c>
      <c r="D28" s="13">
        <f>0*salary_data*(1+salary_escalation)^0*(1+bhxh_rate)</f>
        <v/>
      </c>
      <c r="E28" s="13">
        <f>0*salary_data*(1+salary_escalation)^0*(1+bhxh_rate)</f>
        <v/>
      </c>
      <c r="F28" s="13">
        <f>0*salary_data*(1+salary_escalation)^0*(1+bhxh_rate)</f>
        <v/>
      </c>
      <c r="G28" s="13">
        <f>0*salary_data*(1+salary_escalation)^0*(1+bhxh_rate)</f>
        <v/>
      </c>
      <c r="H28" s="13">
        <f>0*salary_data*(1+salary_escalation)^0*(1+bhxh_rate)</f>
        <v/>
      </c>
      <c r="I28" s="12">
        <f>SUM(C28:H28)</f>
        <v/>
      </c>
    </row>
    <row r="29">
      <c r="A29" s="6" t="inlineStr">
        <is>
          <t xml:space="preserve">  Recruitment</t>
        </is>
      </c>
      <c r="B29" s="6" t="inlineStr">
        <is>
          <t>M VND</t>
        </is>
      </c>
      <c r="C29" s="13">
        <f>16*30*12*recruit_cost_pct</f>
        <v/>
      </c>
      <c r="D29" s="13">
        <f>0</f>
        <v/>
      </c>
      <c r="E29" s="13">
        <f>0</f>
        <v/>
      </c>
      <c r="F29" s="13">
        <f>0</f>
        <v/>
      </c>
      <c r="G29" s="13">
        <f>0</f>
        <v/>
      </c>
      <c r="H29" s="13">
        <f>0</f>
        <v/>
      </c>
      <c r="I29" s="12">
        <f>SUM(C29:H29)</f>
        <v/>
      </c>
    </row>
    <row r="30">
      <c r="A30" s="6" t="inlineStr">
        <is>
          <t xml:space="preserve">  Marketing</t>
        </is>
      </c>
      <c r="B30" s="6" t="inlineStr">
        <is>
          <t>M VND</t>
        </is>
      </c>
      <c r="C30" s="13">
        <f>opex_marketing*(1+marketing_growth)^0/12</f>
        <v/>
      </c>
      <c r="D30" s="13">
        <f>opex_marketing*(1+marketing_growth)^0/12</f>
        <v/>
      </c>
      <c r="E30" s="13">
        <f>opex_marketing*(1+marketing_growth)^0/12</f>
        <v/>
      </c>
      <c r="F30" s="13">
        <f>opex_marketing*(1+marketing_growth)^0/12</f>
        <v/>
      </c>
      <c r="G30" s="13">
        <f>opex_marketing*(1+marketing_growth)^0/12</f>
        <v/>
      </c>
      <c r="H30" s="13">
        <f>opex_marketing*(1+marketing_growth)^0/12</f>
        <v/>
      </c>
      <c r="I30" s="12">
        <f>SUM(C30:H30)</f>
        <v/>
      </c>
    </row>
    <row r="31">
      <c r="A31" s="6" t="inlineStr">
        <is>
          <t xml:space="preserve">  Branding &amp; events</t>
        </is>
      </c>
      <c r="B31" s="6" t="inlineStr">
        <is>
          <t>M VND</t>
        </is>
      </c>
      <c r="C31" s="13">
        <f>opex_branding/12</f>
        <v/>
      </c>
      <c r="D31" s="13">
        <f>opex_branding/12</f>
        <v/>
      </c>
      <c r="E31" s="13">
        <f>opex_branding/12</f>
        <v/>
      </c>
      <c r="F31" s="13">
        <f>opex_branding/12</f>
        <v/>
      </c>
      <c r="G31" s="13">
        <f>opex_branding/12</f>
        <v/>
      </c>
      <c r="H31" s="13">
        <f>opex_branding/12</f>
        <v/>
      </c>
      <c r="I31" s="12">
        <f>SUM(C31:H31)</f>
        <v/>
      </c>
    </row>
    <row r="32">
      <c r="A32" s="6" t="inlineStr">
        <is>
          <t xml:space="preserve">  Cloud &amp; infra</t>
        </is>
      </c>
      <c r="B32" s="6" t="inlineStr">
        <is>
          <t>M VND</t>
        </is>
      </c>
      <c r="C32" s="13">
        <f>opex_cloud_base/12</f>
        <v/>
      </c>
      <c r="D32" s="13">
        <f>opex_cloud_base/12</f>
        <v/>
      </c>
      <c r="E32" s="13">
        <f>opex_cloud_base/12</f>
        <v/>
      </c>
      <c r="F32" s="13">
        <f>opex_cloud_base/12</f>
        <v/>
      </c>
      <c r="G32" s="13">
        <f>opex_cloud_base/12</f>
        <v/>
      </c>
      <c r="H32" s="13">
        <f>opex_cloud_base/12</f>
        <v/>
      </c>
      <c r="I32" s="12">
        <f>SUM(C32:H32)</f>
        <v/>
      </c>
    </row>
    <row r="33">
      <c r="A33" s="6" t="inlineStr">
        <is>
          <t xml:space="preserve">  Security</t>
        </is>
      </c>
      <c r="B33" s="6" t="inlineStr">
        <is>
          <t>M VND</t>
        </is>
      </c>
      <c r="C33" s="13">
        <f>opex_security/12</f>
        <v/>
      </c>
      <c r="D33" s="13">
        <f>opex_security/12</f>
        <v/>
      </c>
      <c r="E33" s="13">
        <f>opex_security/12</f>
        <v/>
      </c>
      <c r="F33" s="13">
        <f>opex_security/12</f>
        <v/>
      </c>
      <c r="G33" s="13">
        <f>opex_security/12</f>
        <v/>
      </c>
      <c r="H33" s="13">
        <f>opex_security/12</f>
        <v/>
      </c>
      <c r="I33" s="12">
        <f>SUM(C33:H33)</f>
        <v/>
      </c>
    </row>
    <row r="34">
      <c r="A34" s="6" t="inlineStr">
        <is>
          <t xml:space="preserve">  External affairs</t>
        </is>
      </c>
      <c r="B34" s="6" t="inlineStr">
        <is>
          <t>M VND</t>
        </is>
      </c>
      <c r="C34" s="13">
        <f>opex_external/12</f>
        <v/>
      </c>
      <c r="D34" s="13">
        <f>opex_external/12</f>
        <v/>
      </c>
      <c r="E34" s="13">
        <f>opex_external/12</f>
        <v/>
      </c>
      <c r="F34" s="13">
        <f>opex_external/12</f>
        <v/>
      </c>
      <c r="G34" s="13">
        <f>opex_external/12</f>
        <v/>
      </c>
      <c r="H34" s="13">
        <f>opex_external/12</f>
        <v/>
      </c>
      <c r="I34" s="12">
        <f>SUM(C34:H34)</f>
        <v/>
      </c>
    </row>
    <row r="35">
      <c r="A35" s="6" t="inlineStr">
        <is>
          <t xml:space="preserve">  Legal &amp; compliance</t>
        </is>
      </c>
      <c r="B35" s="6" t="inlineStr">
        <is>
          <t>M VND</t>
        </is>
      </c>
      <c r="C35" s="13">
        <f>opex_legal/12</f>
        <v/>
      </c>
      <c r="D35" s="13">
        <f>opex_legal/12</f>
        <v/>
      </c>
      <c r="E35" s="13">
        <f>opex_legal/12</f>
        <v/>
      </c>
      <c r="F35" s="13">
        <f>opex_legal/12</f>
        <v/>
      </c>
      <c r="G35" s="13">
        <f>opex_legal/12</f>
        <v/>
      </c>
      <c r="H35" s="13">
        <f>opex_legal/12</f>
        <v/>
      </c>
      <c r="I35" s="12">
        <f>SUM(C35:H35)</f>
        <v/>
      </c>
    </row>
    <row r="36">
      <c r="A36" s="6" t="inlineStr">
        <is>
          <t xml:space="preserve">  Pilot evaluation</t>
        </is>
      </c>
      <c r="B36" s="6" t="inlineStr">
        <is>
          <t>M VND</t>
        </is>
      </c>
      <c r="C36" s="13">
        <f>opex_pilot_eval/6</f>
        <v/>
      </c>
      <c r="D36" s="13">
        <f>opex_pilot_eval/6</f>
        <v/>
      </c>
      <c r="E36" s="13">
        <f>opex_pilot_eval/6</f>
        <v/>
      </c>
      <c r="F36" s="13">
        <f>opex_pilot_eval/6</f>
        <v/>
      </c>
      <c r="G36" s="13">
        <f>opex_pilot_eval/6</f>
        <v/>
      </c>
      <c r="H36" s="13">
        <f>opex_pilot_eval/6</f>
        <v/>
      </c>
      <c r="I36" s="12">
        <f>SUM(C36:H36)</f>
        <v/>
      </c>
    </row>
    <row r="37">
      <c r="A37" s="6" t="inlineStr">
        <is>
          <t xml:space="preserve">  Partner management</t>
        </is>
      </c>
      <c r="B37" s="6" t="inlineStr">
        <is>
          <t>M VND</t>
        </is>
      </c>
      <c r="C37" s="13">
        <f>opex_partner_mgmt/12</f>
        <v/>
      </c>
      <c r="D37" s="13">
        <f>opex_partner_mgmt/12</f>
        <v/>
      </c>
      <c r="E37" s="13">
        <f>opex_partner_mgmt/12</f>
        <v/>
      </c>
      <c r="F37" s="13">
        <f>opex_partner_mgmt/12</f>
        <v/>
      </c>
      <c r="G37" s="13">
        <f>opex_partner_mgmt/12</f>
        <v/>
      </c>
      <c r="H37" s="13">
        <f>opex_partner_mgmt/12</f>
        <v/>
      </c>
      <c r="I37" s="12">
        <f>SUM(C37:H37)</f>
        <v/>
      </c>
    </row>
    <row r="38">
      <c r="A38" s="6" t="inlineStr">
        <is>
          <t xml:space="preserve">  Customer support</t>
        </is>
      </c>
      <c r="B38" s="6" t="inlineStr">
        <is>
          <t>M VND</t>
        </is>
      </c>
      <c r="C38" s="13">
        <f>pilot_count*opex_support_per_ent/12</f>
        <v/>
      </c>
      <c r="D38" s="13">
        <f>pilot_count*opex_support_per_ent/12</f>
        <v/>
      </c>
      <c r="E38" s="13">
        <f>pilot_count*opex_support_per_ent/12</f>
        <v/>
      </c>
      <c r="F38" s="13">
        <f>pilot_count*opex_support_per_ent/12</f>
        <v/>
      </c>
      <c r="G38" s="13">
        <f>pilot_count*opex_support_per_ent/12</f>
        <v/>
      </c>
      <c r="H38" s="13">
        <f>pilot_count*opex_support_per_ent/12</f>
        <v/>
      </c>
      <c r="I38" s="12">
        <f>SUM(C38:H38)</f>
        <v/>
      </c>
    </row>
    <row r="39">
      <c r="A39" s="6" t="inlineStr">
        <is>
          <t>OPEX Subtotal</t>
        </is>
      </c>
      <c r="B39" s="6" t="inlineStr">
        <is>
          <t>M VND</t>
        </is>
      </c>
      <c r="C39" s="12">
        <f>SUM(C25:C38)</f>
        <v/>
      </c>
      <c r="D39" s="12">
        <f>SUM(D25:D38)</f>
        <v/>
      </c>
      <c r="E39" s="12">
        <f>SUM(E25:E38)</f>
        <v/>
      </c>
      <c r="F39" s="12">
        <f>SUM(F25:F38)</f>
        <v/>
      </c>
      <c r="G39" s="12">
        <f>SUM(G25:G38)</f>
        <v/>
      </c>
      <c r="H39" s="12">
        <f>SUM(H25:H38)</f>
        <v/>
      </c>
      <c r="I39" s="12">
        <f>SUM(C39:H39)</f>
        <v/>
      </c>
    </row>
    <row r="40">
      <c r="A40" s="6" t="inlineStr">
        <is>
          <t xml:space="preserve">  Contingency (% of OPEX)</t>
        </is>
      </c>
      <c r="B40" s="6" t="inlineStr">
        <is>
          <t>M VND</t>
        </is>
      </c>
      <c r="C40" s="13">
        <f>C39*opex_contingency_pct</f>
        <v/>
      </c>
      <c r="D40" s="13">
        <f>D39*opex_contingency_pct</f>
        <v/>
      </c>
      <c r="E40" s="13">
        <f>E39*opex_contingency_pct</f>
        <v/>
      </c>
      <c r="F40" s="13">
        <f>F39*opex_contingency_pct</f>
        <v/>
      </c>
      <c r="G40" s="13">
        <f>G39*opex_contingency_pct</f>
        <v/>
      </c>
      <c r="H40" s="13">
        <f>H39*opex_contingency_pct</f>
        <v/>
      </c>
      <c r="I40" s="12">
        <f>SUM(C40:H40)</f>
        <v/>
      </c>
    </row>
    <row r="41">
      <c r="A41" s="6" t="inlineStr">
        <is>
          <t>TOTAL OPEX (incl. contingency)</t>
        </is>
      </c>
      <c r="B41" s="6" t="inlineStr">
        <is>
          <t>M VND</t>
        </is>
      </c>
      <c r="C41" s="12">
        <f>C39+C40</f>
        <v/>
      </c>
      <c r="D41" s="12">
        <f>D39+D40</f>
        <v/>
      </c>
      <c r="E41" s="12">
        <f>E39+E40</f>
        <v/>
      </c>
      <c r="F41" s="12">
        <f>F39+F40</f>
        <v/>
      </c>
      <c r="G41" s="12">
        <f>G39+G40</f>
        <v/>
      </c>
      <c r="H41" s="12">
        <f>H39+H40</f>
        <v/>
      </c>
      <c r="I41" s="12">
        <f>SUM(C41:H41)</f>
        <v/>
      </c>
    </row>
    <row r="43">
      <c r="A43" s="1" t="inlineStr">
        <is>
          <t>BUDGET SUMMARY</t>
        </is>
      </c>
      <c r="C43" s="14" t="n"/>
      <c r="D43" s="14" t="n"/>
      <c r="E43" s="14" t="n"/>
      <c r="F43" s="14" t="n"/>
      <c r="G43" s="14" t="n"/>
      <c r="H43" s="14" t="n"/>
      <c r="I43" s="14" t="n"/>
    </row>
    <row r="44">
      <c r="A44" s="6" t="inlineStr">
        <is>
          <t>Total Revenue</t>
        </is>
      </c>
      <c r="B44" s="6" t="inlineStr">
        <is>
          <t>M VND</t>
        </is>
      </c>
      <c r="C44" s="13">
        <f>C9</f>
        <v/>
      </c>
      <c r="D44" s="13">
        <f>D9</f>
        <v/>
      </c>
      <c r="E44" s="13">
        <f>E9</f>
        <v/>
      </c>
      <c r="F44" s="13">
        <f>F9</f>
        <v/>
      </c>
      <c r="G44" s="13">
        <f>G9</f>
        <v/>
      </c>
      <c r="H44" s="13">
        <f>H9</f>
        <v/>
      </c>
      <c r="I44" s="12">
        <f>SUM(C44:H44)</f>
        <v/>
      </c>
    </row>
    <row r="45">
      <c r="A45" s="6" t="inlineStr">
        <is>
          <t>Total CAPEX</t>
        </is>
      </c>
      <c r="B45" s="6" t="inlineStr">
        <is>
          <t>M VND</t>
        </is>
      </c>
      <c r="C45" s="13">
        <f>C22</f>
        <v/>
      </c>
      <c r="D45" s="13">
        <f>D22</f>
        <v/>
      </c>
      <c r="E45" s="13">
        <f>E22</f>
        <v/>
      </c>
      <c r="F45" s="13">
        <f>F22</f>
        <v/>
      </c>
      <c r="G45" s="13">
        <f>G22</f>
        <v/>
      </c>
      <c r="H45" s="13">
        <f>H22</f>
        <v/>
      </c>
      <c r="I45" s="12">
        <f>SUM(C45:H45)</f>
        <v/>
      </c>
    </row>
    <row r="46">
      <c r="A46" s="6" t="inlineStr">
        <is>
          <t>Total OPEX</t>
        </is>
      </c>
      <c r="B46" s="6" t="inlineStr">
        <is>
          <t>M VND</t>
        </is>
      </c>
      <c r="C46" s="13">
        <f>C41</f>
        <v/>
      </c>
      <c r="D46" s="13">
        <f>D41</f>
        <v/>
      </c>
      <c r="E46" s="13">
        <f>E41</f>
        <v/>
      </c>
      <c r="F46" s="13">
        <f>F41</f>
        <v/>
      </c>
      <c r="G46" s="13">
        <f>G41</f>
        <v/>
      </c>
      <c r="H46" s="13">
        <f>H41</f>
        <v/>
      </c>
      <c r="I46" s="12">
        <f>SUM(C46:H46)</f>
        <v/>
      </c>
    </row>
    <row r="47">
      <c r="A47" s="6" t="inlineStr">
        <is>
          <t>TOTAL BUDGET (CAPEX + OPEX)</t>
        </is>
      </c>
      <c r="B47" s="6" t="inlineStr">
        <is>
          <t>M VND</t>
        </is>
      </c>
      <c r="C47" s="12">
        <f>C45+C46</f>
        <v/>
      </c>
      <c r="D47" s="12">
        <f>D45+D46</f>
        <v/>
      </c>
      <c r="E47" s="12">
        <f>E45+E46</f>
        <v/>
      </c>
      <c r="F47" s="12">
        <f>F45+F46</f>
        <v/>
      </c>
      <c r="G47" s="12">
        <f>G45+G46</f>
        <v/>
      </c>
      <c r="H47" s="12">
        <f>H45+H46</f>
        <v/>
      </c>
      <c r="I47" s="12">
        <f>SUM(C47:H47)</f>
        <v/>
      </c>
    </row>
    <row r="48">
      <c r="A48" s="6" t="inlineStr">
        <is>
          <t>NET (Revenue - Budget)</t>
        </is>
      </c>
      <c r="B48" s="6" t="inlineStr">
        <is>
          <t>M VND</t>
        </is>
      </c>
      <c r="C48" s="12">
        <f>C44-C47</f>
        <v/>
      </c>
      <c r="D48" s="12">
        <f>D44-D47</f>
        <v/>
      </c>
      <c r="E48" s="12">
        <f>E44-E47</f>
        <v/>
      </c>
      <c r="F48" s="12">
        <f>F44-F47</f>
        <v/>
      </c>
      <c r="G48" s="12">
        <f>G44-G47</f>
        <v/>
      </c>
      <c r="H48" s="12">
        <f>H44-H47</f>
        <v/>
      </c>
      <c r="I48" s="12">
        <f>SUM(C48:H48)</f>
        <v/>
      </c>
    </row>
    <row r="49">
      <c r="A49" s="6" t="inlineStr">
        <is>
          <t>Cumulative NET</t>
        </is>
      </c>
      <c r="B49" s="6" t="inlineStr">
        <is>
          <t>M VND</t>
        </is>
      </c>
      <c r="C49" s="13">
        <f>C48</f>
        <v/>
      </c>
      <c r="D49" s="13">
        <f>C49+D48</f>
        <v/>
      </c>
      <c r="E49" s="13">
        <f>D49+E48</f>
        <v/>
      </c>
      <c r="F49" s="13">
        <f>E49+F48</f>
        <v/>
      </c>
      <c r="G49" s="13">
        <f>F49+G48</f>
        <v/>
      </c>
      <c r="H49" s="13">
        <f>G49+H48</f>
        <v/>
      </c>
      <c r="I49" s="12">
        <f>H49</f>
        <v/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BUDGET 2026 — MONTHLY DETAIL (M VND)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A2" s="4" t="inlineStr">
        <is>
          <t>Approval-ready budget. Yellow cells = adjustable items.</t>
        </is>
      </c>
    </row>
    <row r="4">
      <c r="A4" s="5" t="inlineStr">
        <is>
          <t>Budget Item</t>
        </is>
      </c>
      <c r="B4" s="5" t="inlineStr">
        <is>
          <t>Unit</t>
        </is>
      </c>
      <c r="C4" s="5" t="inlineStr">
        <is>
          <t>Jan</t>
        </is>
      </c>
      <c r="D4" s="5" t="inlineStr">
        <is>
          <t>Feb</t>
        </is>
      </c>
      <c r="E4" s="5" t="inlineStr">
        <is>
          <t>Mar</t>
        </is>
      </c>
      <c r="F4" s="5" t="inlineStr">
        <is>
          <t>Apr</t>
        </is>
      </c>
      <c r="G4" s="5" t="inlineStr">
        <is>
          <t>May</t>
        </is>
      </c>
      <c r="H4" s="5" t="inlineStr">
        <is>
          <t>Jun</t>
        </is>
      </c>
      <c r="I4" s="5" t="inlineStr">
        <is>
          <t>Jul</t>
        </is>
      </c>
      <c r="J4" s="5" t="inlineStr">
        <is>
          <t>Aug</t>
        </is>
      </c>
      <c r="K4" s="5" t="inlineStr">
        <is>
          <t>Sep</t>
        </is>
      </c>
      <c r="L4" s="5" t="inlineStr">
        <is>
          <t>Oct</t>
        </is>
      </c>
      <c r="M4" s="5" t="inlineStr">
        <is>
          <t>Nov</t>
        </is>
      </c>
      <c r="N4" s="5" t="inlineStr">
        <is>
          <t>Dec</t>
        </is>
      </c>
      <c r="O4" s="5" t="inlineStr">
        <is>
          <t>TOTAL</t>
        </is>
      </c>
    </row>
    <row r="5">
      <c r="A5" s="1" t="inlineStr">
        <is>
          <t>REVENUE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6" t="inlineStr">
        <is>
          <t xml:space="preserve">  Certification fees</t>
        </is>
      </c>
      <c r="B6" s="6" t="inlineStr">
        <is>
          <t>M VND</t>
        </is>
      </c>
      <c r="C6" s="13">
        <f>MAX(pilot_count,adoption_max/(1+EXP(-adoption_steepness*(2026.042-adoption_midpoint))))*cert_fee_yr1*(1+cert_fee_escalation)^1/12</f>
        <v/>
      </c>
      <c r="D6" s="13">
        <f>MAX(pilot_count,adoption_max/(1+EXP(-adoption_steepness*(2026.125-adoption_midpoint))))*cert_fee_yr1*(1+cert_fee_escalation)^1/12</f>
        <v/>
      </c>
      <c r="E6" s="13">
        <f>MAX(pilot_count,adoption_max/(1+EXP(-adoption_steepness*(2026.208-adoption_midpoint))))*cert_fee_yr1*(1+cert_fee_escalation)^1/12</f>
        <v/>
      </c>
      <c r="F6" s="13">
        <f>MAX(pilot_count,adoption_max/(1+EXP(-adoption_steepness*(2026.292-adoption_midpoint))))*cert_fee_yr1*(1+cert_fee_escalation)^1/12</f>
        <v/>
      </c>
      <c r="G6" s="13">
        <f>MAX(pilot_count,adoption_max/(1+EXP(-adoption_steepness*(2026.375-adoption_midpoint))))*cert_fee_yr1*(1+cert_fee_escalation)^1/12</f>
        <v/>
      </c>
      <c r="H6" s="13">
        <f>MAX(pilot_count,adoption_max/(1+EXP(-adoption_steepness*(2026.458-adoption_midpoint))))*cert_fee_yr1*(1+cert_fee_escalation)^1/12</f>
        <v/>
      </c>
      <c r="I6" s="13">
        <f>MAX(pilot_count,adoption_max/(1+EXP(-adoption_steepness*(2026.542-adoption_midpoint))))*cert_fee_yr1*(1+cert_fee_escalation)^1/12</f>
        <v/>
      </c>
      <c r="J6" s="13">
        <f>MAX(pilot_count,adoption_max/(1+EXP(-adoption_steepness*(2026.625-adoption_midpoint))))*cert_fee_yr1*(1+cert_fee_escalation)^1/12</f>
        <v/>
      </c>
      <c r="K6" s="13">
        <f>MAX(pilot_count,adoption_max/(1+EXP(-adoption_steepness*(2026.708-adoption_midpoint))))*cert_fee_yr1*(1+cert_fee_escalation)^1/12</f>
        <v/>
      </c>
      <c r="L6" s="13">
        <f>MAX(pilot_count,adoption_max/(1+EXP(-adoption_steepness*(2026.792-adoption_midpoint))))*cert_fee_yr1*(1+cert_fee_escalation)^1/12</f>
        <v/>
      </c>
      <c r="M6" s="13">
        <f>MAX(pilot_count,adoption_max/(1+EXP(-adoption_steepness*(2026.875-adoption_midpoint))))*cert_fee_yr1*(1+cert_fee_escalation)^1/12</f>
        <v/>
      </c>
      <c r="N6" s="13">
        <f>MAX(pilot_count,adoption_max/(1+EXP(-adoption_steepness*(2026.958-adoption_midpoint))))*cert_fee_yr1*(1+cert_fee_escalation)^1/12</f>
        <v/>
      </c>
      <c r="O6" s="12">
        <f>SUM(C6:N6)</f>
        <v/>
      </c>
    </row>
    <row r="7">
      <c r="A7" s="6" t="inlineStr">
        <is>
          <t xml:space="preserve">  Training &amp; consulting</t>
        </is>
      </c>
      <c r="B7" s="6" t="inlineStr">
        <is>
          <t>M VND</t>
        </is>
      </c>
      <c r="C7" s="13">
        <f>MAX(pilot_count,adoption_max/(1+EXP(-adoption_steepness*(2026.042-adoption_midpoint))))*training_pct*training_fee/12</f>
        <v/>
      </c>
      <c r="D7" s="13">
        <f>MAX(pilot_count,adoption_max/(1+EXP(-adoption_steepness*(2026.125-adoption_midpoint))))*training_pct*training_fee/12</f>
        <v/>
      </c>
      <c r="E7" s="13">
        <f>MAX(pilot_count,adoption_max/(1+EXP(-adoption_steepness*(2026.208-adoption_midpoint))))*training_pct*training_fee/12</f>
        <v/>
      </c>
      <c r="F7" s="13">
        <f>MAX(pilot_count,adoption_max/(1+EXP(-adoption_steepness*(2026.292-adoption_midpoint))))*training_pct*training_fee/12</f>
        <v/>
      </c>
      <c r="G7" s="13">
        <f>MAX(pilot_count,adoption_max/(1+EXP(-adoption_steepness*(2026.375-adoption_midpoint))))*training_pct*training_fee/12</f>
        <v/>
      </c>
      <c r="H7" s="13">
        <f>MAX(pilot_count,adoption_max/(1+EXP(-adoption_steepness*(2026.458-adoption_midpoint))))*training_pct*training_fee/12</f>
        <v/>
      </c>
      <c r="I7" s="13">
        <f>MAX(pilot_count,adoption_max/(1+EXP(-adoption_steepness*(2026.542-adoption_midpoint))))*training_pct*training_fee/12</f>
        <v/>
      </c>
      <c r="J7" s="13">
        <f>MAX(pilot_count,adoption_max/(1+EXP(-adoption_steepness*(2026.625-adoption_midpoint))))*training_pct*training_fee/12</f>
        <v/>
      </c>
      <c r="K7" s="13">
        <f>MAX(pilot_count,adoption_max/(1+EXP(-adoption_steepness*(2026.708-adoption_midpoint))))*training_pct*training_fee/12</f>
        <v/>
      </c>
      <c r="L7" s="13">
        <f>MAX(pilot_count,adoption_max/(1+EXP(-adoption_steepness*(2026.792-adoption_midpoint))))*training_pct*training_fee/12</f>
        <v/>
      </c>
      <c r="M7" s="13">
        <f>MAX(pilot_count,adoption_max/(1+EXP(-adoption_steepness*(2026.875-adoption_midpoint))))*training_pct*training_fee/12</f>
        <v/>
      </c>
      <c r="N7" s="13">
        <f>MAX(pilot_count,adoption_max/(1+EXP(-adoption_steepness*(2026.958-adoption_midpoint))))*training_pct*training_fee/12</f>
        <v/>
      </c>
      <c r="O7" s="12">
        <f>SUM(C7:N7)</f>
        <v/>
      </c>
    </row>
    <row r="8">
      <c r="A8" s="6" t="inlineStr">
        <is>
          <t xml:space="preserve">  Audit fees</t>
        </is>
      </c>
      <c r="B8" s="6" t="inlineStr">
        <is>
          <t>M VND</t>
        </is>
      </c>
      <c r="C8" s="13">
        <f>MAX(pilot_count,adoption_max/(1+EXP(-adoption_steepness*(2026.042-adoption_midpoint))))*audit_fee/12</f>
        <v/>
      </c>
      <c r="D8" s="13">
        <f>MAX(pilot_count,adoption_max/(1+EXP(-adoption_steepness*(2026.125-adoption_midpoint))))*audit_fee/12</f>
        <v/>
      </c>
      <c r="E8" s="13">
        <f>MAX(pilot_count,adoption_max/(1+EXP(-adoption_steepness*(2026.208-adoption_midpoint))))*audit_fee/12</f>
        <v/>
      </c>
      <c r="F8" s="13">
        <f>MAX(pilot_count,adoption_max/(1+EXP(-adoption_steepness*(2026.292-adoption_midpoint))))*audit_fee/12</f>
        <v/>
      </c>
      <c r="G8" s="13">
        <f>MAX(pilot_count,adoption_max/(1+EXP(-adoption_steepness*(2026.375-adoption_midpoint))))*audit_fee/12</f>
        <v/>
      </c>
      <c r="H8" s="13">
        <f>MAX(pilot_count,adoption_max/(1+EXP(-adoption_steepness*(2026.458-adoption_midpoint))))*audit_fee/12</f>
        <v/>
      </c>
      <c r="I8" s="13">
        <f>MAX(pilot_count,adoption_max/(1+EXP(-adoption_steepness*(2026.542-adoption_midpoint))))*audit_fee/12</f>
        <v/>
      </c>
      <c r="J8" s="13">
        <f>MAX(pilot_count,adoption_max/(1+EXP(-adoption_steepness*(2026.625-adoption_midpoint))))*audit_fee/12</f>
        <v/>
      </c>
      <c r="K8" s="13">
        <f>MAX(pilot_count,adoption_max/(1+EXP(-adoption_steepness*(2026.708-adoption_midpoint))))*audit_fee/12</f>
        <v/>
      </c>
      <c r="L8" s="13">
        <f>MAX(pilot_count,adoption_max/(1+EXP(-adoption_steepness*(2026.792-adoption_midpoint))))*audit_fee/12</f>
        <v/>
      </c>
      <c r="M8" s="13">
        <f>MAX(pilot_count,adoption_max/(1+EXP(-adoption_steepness*(2026.875-adoption_midpoint))))*audit_fee/12</f>
        <v/>
      </c>
      <c r="N8" s="13">
        <f>MAX(pilot_count,adoption_max/(1+EXP(-adoption_steepness*(2026.958-adoption_midpoint))))*audit_fee/12</f>
        <v/>
      </c>
      <c r="O8" s="12">
        <f>SUM(C8:N8)</f>
        <v/>
      </c>
    </row>
    <row r="9">
      <c r="A9" s="6" t="inlineStr">
        <is>
          <t>TOTAL REVENUE</t>
        </is>
      </c>
      <c r="B9" s="6" t="inlineStr">
        <is>
          <t>M VND</t>
        </is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2">
        <f>SUM(H6:H8)</f>
        <v/>
      </c>
      <c r="I9" s="12">
        <f>SUM(I6:I8)</f>
        <v/>
      </c>
      <c r="J9" s="12">
        <f>SUM(J6:J8)</f>
        <v/>
      </c>
      <c r="K9" s="12">
        <f>SUM(K6:K8)</f>
        <v/>
      </c>
      <c r="L9" s="12">
        <f>SUM(L6:L8)</f>
        <v/>
      </c>
      <c r="M9" s="12">
        <f>SUM(M6:M8)</f>
        <v/>
      </c>
      <c r="N9" s="12">
        <f>SUM(N6:N8)</f>
        <v/>
      </c>
      <c r="O9" s="12">
        <f>SUM(C9:N9)</f>
        <v/>
      </c>
    </row>
    <row r="11">
      <c r="A11" s="1" t="inlineStr">
        <is>
          <t>CAPITAL EXPENDITURE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6" t="inlineStr">
        <is>
          <t xml:space="preserve">  Platform maintenance</t>
        </is>
      </c>
      <c r="B12" s="6" t="inlineStr">
        <is>
          <t>M VND</t>
        </is>
      </c>
      <c r="C12" s="13">
        <f>capex_total*capex_maintenance_pct/12</f>
        <v/>
      </c>
      <c r="D12" s="13">
        <f>capex_total*capex_maintenance_pct/12</f>
        <v/>
      </c>
      <c r="E12" s="13">
        <f>capex_total*capex_maintenance_pct/12</f>
        <v/>
      </c>
      <c r="F12" s="13">
        <f>capex_total*capex_maintenance_pct/12</f>
        <v/>
      </c>
      <c r="G12" s="13">
        <f>capex_total*capex_maintenance_pct/12</f>
        <v/>
      </c>
      <c r="H12" s="13">
        <f>capex_total*capex_maintenance_pct/12</f>
        <v/>
      </c>
      <c r="I12" s="13">
        <f>capex_total*capex_maintenance_pct/12</f>
        <v/>
      </c>
      <c r="J12" s="13">
        <f>capex_total*capex_maintenance_pct/12</f>
        <v/>
      </c>
      <c r="K12" s="13">
        <f>capex_total*capex_maintenance_pct/12</f>
        <v/>
      </c>
      <c r="L12" s="13">
        <f>capex_total*capex_maintenance_pct/12</f>
        <v/>
      </c>
      <c r="M12" s="13">
        <f>capex_total*capex_maintenance_pct/12</f>
        <v/>
      </c>
      <c r="N12" s="13">
        <f>capex_total*capex_maintenance_pct/12</f>
        <v/>
      </c>
      <c r="O12" s="12">
        <f>SUM(C12:N12)</f>
        <v/>
      </c>
    </row>
    <row r="13">
      <c r="A13" s="6" t="inlineStr">
        <is>
          <t>TOTAL CAPEX</t>
        </is>
      </c>
      <c r="B13" s="6" t="inlineStr">
        <is>
          <t>M VND</t>
        </is>
      </c>
      <c r="C13" s="12">
        <f>SUM(C12:C12)</f>
        <v/>
      </c>
      <c r="D13" s="12">
        <f>SUM(D12:D12)</f>
        <v/>
      </c>
      <c r="E13" s="12">
        <f>SUM(E12:E12)</f>
        <v/>
      </c>
      <c r="F13" s="12">
        <f>SUM(F12:F12)</f>
        <v/>
      </c>
      <c r="G13" s="12">
        <f>SUM(G12:G12)</f>
        <v/>
      </c>
      <c r="H13" s="12">
        <f>SUM(H12:H12)</f>
        <v/>
      </c>
      <c r="I13" s="12">
        <f>SUM(I12:I12)</f>
        <v/>
      </c>
      <c r="J13" s="12">
        <f>SUM(J12:J12)</f>
        <v/>
      </c>
      <c r="K13" s="12">
        <f>SUM(K12:K12)</f>
        <v/>
      </c>
      <c r="L13" s="12">
        <f>SUM(L12:L12)</f>
        <v/>
      </c>
      <c r="M13" s="12">
        <f>SUM(M12:M12)</f>
        <v/>
      </c>
      <c r="N13" s="12">
        <f>SUM(N12:N12)</f>
        <v/>
      </c>
      <c r="O13" s="12">
        <f>SUM(C13:N13)</f>
        <v/>
      </c>
    </row>
    <row r="15">
      <c r="A15" s="1" t="inlineStr">
        <is>
          <t>OPERATING EXPENDITURE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6" t="inlineStr">
        <is>
          <t xml:space="preserve">  HR — Management (2 FTE)</t>
        </is>
      </c>
      <c r="B16" s="6" t="inlineStr">
        <is>
          <t>M VND</t>
        </is>
      </c>
      <c r="C16" s="13">
        <f>2*salary_mgmt*(1+salary_escalation)^1*(1+bhxh_rate)</f>
        <v/>
      </c>
      <c r="D16" s="13">
        <f>2*salary_mgmt*(1+salary_escalation)^1*(1+bhxh_rate)</f>
        <v/>
      </c>
      <c r="E16" s="13">
        <f>2*salary_mgmt*(1+salary_escalation)^1*(1+bhxh_rate)</f>
        <v/>
      </c>
      <c r="F16" s="13">
        <f>2*salary_mgmt*(1+salary_escalation)^1*(1+bhxh_rate)</f>
        <v/>
      </c>
      <c r="G16" s="13">
        <f>2*salary_mgmt*(1+salary_escalation)^1*(1+bhxh_rate)</f>
        <v/>
      </c>
      <c r="H16" s="13">
        <f>2*salary_mgmt*(1+salary_escalation)^1*(1+bhxh_rate)</f>
        <v/>
      </c>
      <c r="I16" s="13">
        <f>2*salary_mgmt*(1+salary_escalation)^1*(1+bhxh_rate)</f>
        <v/>
      </c>
      <c r="J16" s="13">
        <f>2*salary_mgmt*(1+salary_escalation)^1*(1+bhxh_rate)</f>
        <v/>
      </c>
      <c r="K16" s="13">
        <f>2*salary_mgmt*(1+salary_escalation)^1*(1+bhxh_rate)</f>
        <v/>
      </c>
      <c r="L16" s="13">
        <f>2*salary_mgmt*(1+salary_escalation)^1*(1+bhxh_rate)</f>
        <v/>
      </c>
      <c r="M16" s="13">
        <f>2*salary_mgmt*(1+salary_escalation)^1*(1+bhxh_rate)</f>
        <v/>
      </c>
      <c r="N16" s="13">
        <f>2*salary_mgmt*(1+salary_escalation)^1*(1+bhxh_rate)</f>
        <v/>
      </c>
      <c r="O16" s="12">
        <f>SUM(C16:N16)</f>
        <v/>
      </c>
    </row>
    <row r="17">
      <c r="A17" s="6" t="inlineStr">
        <is>
          <t xml:space="preserve">  HR — Development (12 FTE)</t>
        </is>
      </c>
      <c r="B17" s="6" t="inlineStr">
        <is>
          <t>M VND</t>
        </is>
      </c>
      <c r="C17" s="13">
        <f>12*salary_dev*(1+salary_escalation)^1*(1+bhxh_rate)</f>
        <v/>
      </c>
      <c r="D17" s="13">
        <f>12*salary_dev*(1+salary_escalation)^1*(1+bhxh_rate)</f>
        <v/>
      </c>
      <c r="E17" s="13">
        <f>12*salary_dev*(1+salary_escalation)^1*(1+bhxh_rate)</f>
        <v/>
      </c>
      <c r="F17" s="13">
        <f>12*salary_dev*(1+salary_escalation)^1*(1+bhxh_rate)</f>
        <v/>
      </c>
      <c r="G17" s="13">
        <f>12*salary_dev*(1+salary_escalation)^1*(1+bhxh_rate)</f>
        <v/>
      </c>
      <c r="H17" s="13">
        <f>12*salary_dev*(1+salary_escalation)^1*(1+bhxh_rate)</f>
        <v/>
      </c>
      <c r="I17" s="13">
        <f>12*salary_dev*(1+salary_escalation)^1*(1+bhxh_rate)</f>
        <v/>
      </c>
      <c r="J17" s="13">
        <f>12*salary_dev*(1+salary_escalation)^1*(1+bhxh_rate)</f>
        <v/>
      </c>
      <c r="K17" s="13">
        <f>12*salary_dev*(1+salary_escalation)^1*(1+bhxh_rate)</f>
        <v/>
      </c>
      <c r="L17" s="13">
        <f>12*salary_dev*(1+salary_escalation)^1*(1+bhxh_rate)</f>
        <v/>
      </c>
      <c r="M17" s="13">
        <f>12*salary_dev*(1+salary_escalation)^1*(1+bhxh_rate)</f>
        <v/>
      </c>
      <c r="N17" s="13">
        <f>12*salary_dev*(1+salary_escalation)^1*(1+bhxh_rate)</f>
        <v/>
      </c>
      <c r="O17" s="12">
        <f>SUM(C17:N17)</f>
        <v/>
      </c>
    </row>
    <row r="18">
      <c r="A18" s="6" t="inlineStr">
        <is>
          <t xml:space="preserve">  HR — Biz Ops (6 FTE)</t>
        </is>
      </c>
      <c r="B18" s="6" t="inlineStr">
        <is>
          <t>M VND</t>
        </is>
      </c>
      <c r="C18" s="13">
        <f>6*salary_bizops*(1+salary_escalation)^1*(1+bhxh_rate)</f>
        <v/>
      </c>
      <c r="D18" s="13">
        <f>6*salary_bizops*(1+salary_escalation)^1*(1+bhxh_rate)</f>
        <v/>
      </c>
      <c r="E18" s="13">
        <f>6*salary_bizops*(1+salary_escalation)^1*(1+bhxh_rate)</f>
        <v/>
      </c>
      <c r="F18" s="13">
        <f>6*salary_bizops*(1+salary_escalation)^1*(1+bhxh_rate)</f>
        <v/>
      </c>
      <c r="G18" s="13">
        <f>6*salary_bizops*(1+salary_escalation)^1*(1+bhxh_rate)</f>
        <v/>
      </c>
      <c r="H18" s="13">
        <f>6*salary_bizops*(1+salary_escalation)^1*(1+bhxh_rate)</f>
        <v/>
      </c>
      <c r="I18" s="13">
        <f>6*salary_bizops*(1+salary_escalation)^1*(1+bhxh_rate)</f>
        <v/>
      </c>
      <c r="J18" s="13">
        <f>6*salary_bizops*(1+salary_escalation)^1*(1+bhxh_rate)</f>
        <v/>
      </c>
      <c r="K18" s="13">
        <f>6*salary_bizops*(1+salary_escalation)^1*(1+bhxh_rate)</f>
        <v/>
      </c>
      <c r="L18" s="13">
        <f>6*salary_bizops*(1+salary_escalation)^1*(1+bhxh_rate)</f>
        <v/>
      </c>
      <c r="M18" s="13">
        <f>6*salary_bizops*(1+salary_escalation)^1*(1+bhxh_rate)</f>
        <v/>
      </c>
      <c r="N18" s="13">
        <f>6*salary_bizops*(1+salary_escalation)^1*(1+bhxh_rate)</f>
        <v/>
      </c>
      <c r="O18" s="12">
        <f>SUM(C18:N18)</f>
        <v/>
      </c>
    </row>
    <row r="19">
      <c r="A19" s="6" t="inlineStr">
        <is>
          <t xml:space="preserve">  HR — Data (2 FTE)</t>
        </is>
      </c>
      <c r="B19" s="6" t="inlineStr">
        <is>
          <t>M VND</t>
        </is>
      </c>
      <c r="C19" s="13">
        <f>2*salary_data*(1+salary_escalation)^1*(1+bhxh_rate)</f>
        <v/>
      </c>
      <c r="D19" s="13">
        <f>2*salary_data*(1+salary_escalation)^1*(1+bhxh_rate)</f>
        <v/>
      </c>
      <c r="E19" s="13">
        <f>2*salary_data*(1+salary_escalation)^1*(1+bhxh_rate)</f>
        <v/>
      </c>
      <c r="F19" s="13">
        <f>2*salary_data*(1+salary_escalation)^1*(1+bhxh_rate)</f>
        <v/>
      </c>
      <c r="G19" s="13">
        <f>2*salary_data*(1+salary_escalation)^1*(1+bhxh_rate)</f>
        <v/>
      </c>
      <c r="H19" s="13">
        <f>2*salary_data*(1+salary_escalation)^1*(1+bhxh_rate)</f>
        <v/>
      </c>
      <c r="I19" s="13">
        <f>2*salary_data*(1+salary_escalation)^1*(1+bhxh_rate)</f>
        <v/>
      </c>
      <c r="J19" s="13">
        <f>2*salary_data*(1+salary_escalation)^1*(1+bhxh_rate)</f>
        <v/>
      </c>
      <c r="K19" s="13">
        <f>2*salary_data*(1+salary_escalation)^1*(1+bhxh_rate)</f>
        <v/>
      </c>
      <c r="L19" s="13">
        <f>2*salary_data*(1+salary_escalation)^1*(1+bhxh_rate)</f>
        <v/>
      </c>
      <c r="M19" s="13">
        <f>2*salary_data*(1+salary_escalation)^1*(1+bhxh_rate)</f>
        <v/>
      </c>
      <c r="N19" s="13">
        <f>2*salary_data*(1+salary_escalation)^1*(1+bhxh_rate)</f>
        <v/>
      </c>
      <c r="O19" s="12">
        <f>SUM(C19:N19)</f>
        <v/>
      </c>
    </row>
    <row r="20">
      <c r="A20" s="6" t="inlineStr">
        <is>
          <t xml:space="preserve">  Recruitment</t>
        </is>
      </c>
      <c r="B20" s="6" t="inlineStr">
        <is>
          <t>M VND</t>
        </is>
      </c>
      <c r="C20" s="13">
        <f>6*30*12*recruit_cost_pct</f>
        <v/>
      </c>
      <c r="D20" s="13">
        <f>0</f>
        <v/>
      </c>
      <c r="E20" s="13">
        <f>0</f>
        <v/>
      </c>
      <c r="F20" s="13">
        <f>0</f>
        <v/>
      </c>
      <c r="G20" s="13">
        <f>0</f>
        <v/>
      </c>
      <c r="H20" s="13">
        <f>0</f>
        <v/>
      </c>
      <c r="I20" s="13">
        <f>0</f>
        <v/>
      </c>
      <c r="J20" s="13">
        <f>0</f>
        <v/>
      </c>
      <c r="K20" s="13">
        <f>0</f>
        <v/>
      </c>
      <c r="L20" s="13">
        <f>0</f>
        <v/>
      </c>
      <c r="M20" s="13">
        <f>0</f>
        <v/>
      </c>
      <c r="N20" s="13">
        <f>0</f>
        <v/>
      </c>
      <c r="O20" s="12">
        <f>SUM(C20:N20)</f>
        <v/>
      </c>
    </row>
    <row r="21">
      <c r="A21" s="6" t="inlineStr">
        <is>
          <t xml:space="preserve">  Marketing</t>
        </is>
      </c>
      <c r="B21" s="6" t="inlineStr">
        <is>
          <t>M VND</t>
        </is>
      </c>
      <c r="C21" s="13">
        <f>opex_marketing*(1+marketing_growth)^1/12</f>
        <v/>
      </c>
      <c r="D21" s="13">
        <f>opex_marketing*(1+marketing_growth)^1/12</f>
        <v/>
      </c>
      <c r="E21" s="13">
        <f>opex_marketing*(1+marketing_growth)^1/12</f>
        <v/>
      </c>
      <c r="F21" s="13">
        <f>opex_marketing*(1+marketing_growth)^1/12</f>
        <v/>
      </c>
      <c r="G21" s="13">
        <f>opex_marketing*(1+marketing_growth)^1/12</f>
        <v/>
      </c>
      <c r="H21" s="13">
        <f>opex_marketing*(1+marketing_growth)^1/12</f>
        <v/>
      </c>
      <c r="I21" s="13">
        <f>opex_marketing*(1+marketing_growth)^1/12</f>
        <v/>
      </c>
      <c r="J21" s="13">
        <f>opex_marketing*(1+marketing_growth)^1/12</f>
        <v/>
      </c>
      <c r="K21" s="13">
        <f>opex_marketing*(1+marketing_growth)^1/12</f>
        <v/>
      </c>
      <c r="L21" s="13">
        <f>opex_marketing*(1+marketing_growth)^1/12</f>
        <v/>
      </c>
      <c r="M21" s="13">
        <f>opex_marketing*(1+marketing_growth)^1/12</f>
        <v/>
      </c>
      <c r="N21" s="13">
        <f>opex_marketing*(1+marketing_growth)^1/12</f>
        <v/>
      </c>
      <c r="O21" s="12">
        <f>SUM(C21:N21)</f>
        <v/>
      </c>
    </row>
    <row r="22">
      <c r="A22" s="6" t="inlineStr">
        <is>
          <t xml:space="preserve">  Branding &amp; events</t>
        </is>
      </c>
      <c r="B22" s="6" t="inlineStr">
        <is>
          <t>M VND</t>
        </is>
      </c>
      <c r="C22" s="13">
        <f>opex_branding/12</f>
        <v/>
      </c>
      <c r="D22" s="13">
        <f>opex_branding/12</f>
        <v/>
      </c>
      <c r="E22" s="13">
        <f>opex_branding/12</f>
        <v/>
      </c>
      <c r="F22" s="13">
        <f>opex_branding/12</f>
        <v/>
      </c>
      <c r="G22" s="13">
        <f>opex_branding/12</f>
        <v/>
      </c>
      <c r="H22" s="13">
        <f>opex_branding/12</f>
        <v/>
      </c>
      <c r="I22" s="13">
        <f>opex_branding/12</f>
        <v/>
      </c>
      <c r="J22" s="13">
        <f>opex_branding/12</f>
        <v/>
      </c>
      <c r="K22" s="13">
        <f>opex_branding/12</f>
        <v/>
      </c>
      <c r="L22" s="13">
        <f>opex_branding/12</f>
        <v/>
      </c>
      <c r="M22" s="13">
        <f>opex_branding/12</f>
        <v/>
      </c>
      <c r="N22" s="13">
        <f>opex_branding/12</f>
        <v/>
      </c>
      <c r="O22" s="12">
        <f>SUM(C22:N22)</f>
        <v/>
      </c>
    </row>
    <row r="23">
      <c r="A23" s="6" t="inlineStr">
        <is>
          <t xml:space="preserve">  Cloud &amp; infra</t>
        </is>
      </c>
      <c r="B23" s="6" t="inlineStr">
        <is>
          <t>M VND</t>
        </is>
      </c>
      <c r="C23" s="13">
        <f>opex_cloud_base/12</f>
        <v/>
      </c>
      <c r="D23" s="13">
        <f>opex_cloud_base/12</f>
        <v/>
      </c>
      <c r="E23" s="13">
        <f>opex_cloud_base/12</f>
        <v/>
      </c>
      <c r="F23" s="13">
        <f>opex_cloud_base/12</f>
        <v/>
      </c>
      <c r="G23" s="13">
        <f>opex_cloud_base/12</f>
        <v/>
      </c>
      <c r="H23" s="13">
        <f>opex_cloud_base/12</f>
        <v/>
      </c>
      <c r="I23" s="13">
        <f>opex_cloud_base/12</f>
        <v/>
      </c>
      <c r="J23" s="13">
        <f>opex_cloud_base/12</f>
        <v/>
      </c>
      <c r="K23" s="13">
        <f>opex_cloud_base/12</f>
        <v/>
      </c>
      <c r="L23" s="13">
        <f>opex_cloud_base/12</f>
        <v/>
      </c>
      <c r="M23" s="13">
        <f>opex_cloud_base/12</f>
        <v/>
      </c>
      <c r="N23" s="13">
        <f>opex_cloud_base/12</f>
        <v/>
      </c>
      <c r="O23" s="12">
        <f>SUM(C23:N23)</f>
        <v/>
      </c>
    </row>
    <row r="24">
      <c r="A24" s="6" t="inlineStr">
        <is>
          <t xml:space="preserve">  Security</t>
        </is>
      </c>
      <c r="B24" s="6" t="inlineStr">
        <is>
          <t>M VND</t>
        </is>
      </c>
      <c r="C24" s="13">
        <f>opex_security/12</f>
        <v/>
      </c>
      <c r="D24" s="13">
        <f>opex_security/12</f>
        <v/>
      </c>
      <c r="E24" s="13">
        <f>opex_security/12</f>
        <v/>
      </c>
      <c r="F24" s="13">
        <f>opex_security/12</f>
        <v/>
      </c>
      <c r="G24" s="13">
        <f>opex_security/12</f>
        <v/>
      </c>
      <c r="H24" s="13">
        <f>opex_security/12</f>
        <v/>
      </c>
      <c r="I24" s="13">
        <f>opex_security/12</f>
        <v/>
      </c>
      <c r="J24" s="13">
        <f>opex_security/12</f>
        <v/>
      </c>
      <c r="K24" s="13">
        <f>opex_security/12</f>
        <v/>
      </c>
      <c r="L24" s="13">
        <f>opex_security/12</f>
        <v/>
      </c>
      <c r="M24" s="13">
        <f>opex_security/12</f>
        <v/>
      </c>
      <c r="N24" s="13">
        <f>opex_security/12</f>
        <v/>
      </c>
      <c r="O24" s="12">
        <f>SUM(C24:N24)</f>
        <v/>
      </c>
    </row>
    <row r="25">
      <c r="A25" s="6" t="inlineStr">
        <is>
          <t xml:space="preserve">  External affairs</t>
        </is>
      </c>
      <c r="B25" s="6" t="inlineStr">
        <is>
          <t>M VND</t>
        </is>
      </c>
      <c r="C25" s="13">
        <f>opex_external/12</f>
        <v/>
      </c>
      <c r="D25" s="13">
        <f>opex_external/12</f>
        <v/>
      </c>
      <c r="E25" s="13">
        <f>opex_external/12</f>
        <v/>
      </c>
      <c r="F25" s="13">
        <f>opex_external/12</f>
        <v/>
      </c>
      <c r="G25" s="13">
        <f>opex_external/12</f>
        <v/>
      </c>
      <c r="H25" s="13">
        <f>opex_external/12</f>
        <v/>
      </c>
      <c r="I25" s="13">
        <f>opex_external/12</f>
        <v/>
      </c>
      <c r="J25" s="13">
        <f>opex_external/12</f>
        <v/>
      </c>
      <c r="K25" s="13">
        <f>opex_external/12</f>
        <v/>
      </c>
      <c r="L25" s="13">
        <f>opex_external/12</f>
        <v/>
      </c>
      <c r="M25" s="13">
        <f>opex_external/12</f>
        <v/>
      </c>
      <c r="N25" s="13">
        <f>opex_external/12</f>
        <v/>
      </c>
      <c r="O25" s="12">
        <f>SUM(C25:N25)</f>
        <v/>
      </c>
    </row>
    <row r="26">
      <c r="A26" s="6" t="inlineStr">
        <is>
          <t xml:space="preserve">  Legal &amp; compliance</t>
        </is>
      </c>
      <c r="B26" s="6" t="inlineStr">
        <is>
          <t>M VND</t>
        </is>
      </c>
      <c r="C26" s="13">
        <f>opex_legal/12</f>
        <v/>
      </c>
      <c r="D26" s="13">
        <f>opex_legal/12</f>
        <v/>
      </c>
      <c r="E26" s="13">
        <f>opex_legal/12</f>
        <v/>
      </c>
      <c r="F26" s="13">
        <f>opex_legal/12</f>
        <v/>
      </c>
      <c r="G26" s="13">
        <f>opex_legal/12</f>
        <v/>
      </c>
      <c r="H26" s="13">
        <f>opex_legal/12</f>
        <v/>
      </c>
      <c r="I26" s="13">
        <f>opex_legal/12</f>
        <v/>
      </c>
      <c r="J26" s="13">
        <f>opex_legal/12</f>
        <v/>
      </c>
      <c r="K26" s="13">
        <f>opex_legal/12</f>
        <v/>
      </c>
      <c r="L26" s="13">
        <f>opex_legal/12</f>
        <v/>
      </c>
      <c r="M26" s="13">
        <f>opex_legal/12</f>
        <v/>
      </c>
      <c r="N26" s="13">
        <f>opex_legal/12</f>
        <v/>
      </c>
      <c r="O26" s="12">
        <f>SUM(C26:N26)</f>
        <v/>
      </c>
    </row>
    <row r="27">
      <c r="A27" s="6" t="inlineStr">
        <is>
          <t xml:space="preserve">  Partner management</t>
        </is>
      </c>
      <c r="B27" s="6" t="inlineStr">
        <is>
          <t>M VND</t>
        </is>
      </c>
      <c r="C27" s="13">
        <f>opex_partner_mgmt/12</f>
        <v/>
      </c>
      <c r="D27" s="13">
        <f>opex_partner_mgmt/12</f>
        <v/>
      </c>
      <c r="E27" s="13">
        <f>opex_partner_mgmt/12</f>
        <v/>
      </c>
      <c r="F27" s="13">
        <f>opex_partner_mgmt/12</f>
        <v/>
      </c>
      <c r="G27" s="13">
        <f>opex_partner_mgmt/12</f>
        <v/>
      </c>
      <c r="H27" s="13">
        <f>opex_partner_mgmt/12</f>
        <v/>
      </c>
      <c r="I27" s="13">
        <f>opex_partner_mgmt/12</f>
        <v/>
      </c>
      <c r="J27" s="13">
        <f>opex_partner_mgmt/12</f>
        <v/>
      </c>
      <c r="K27" s="13">
        <f>opex_partner_mgmt/12</f>
        <v/>
      </c>
      <c r="L27" s="13">
        <f>opex_partner_mgmt/12</f>
        <v/>
      </c>
      <c r="M27" s="13">
        <f>opex_partner_mgmt/12</f>
        <v/>
      </c>
      <c r="N27" s="13">
        <f>opex_partner_mgmt/12</f>
        <v/>
      </c>
      <c r="O27" s="12">
        <f>SUM(C27:N27)</f>
        <v/>
      </c>
    </row>
    <row r="28">
      <c r="A28" s="6" t="inlineStr">
        <is>
          <t xml:space="preserve">  Customer support</t>
        </is>
      </c>
      <c r="B28" s="6" t="inlineStr">
        <is>
          <t>M VND</t>
        </is>
      </c>
      <c r="C28" s="13">
        <f>MAX(pilot_count,adoption_max/(1+EXP(-adoption_steepness*(2026.042-adoption_midpoint))))*opex_support_per_ent/12</f>
        <v/>
      </c>
      <c r="D28" s="13">
        <f>MAX(pilot_count,adoption_max/(1+EXP(-adoption_steepness*(2026.125-adoption_midpoint))))*opex_support_per_ent/12</f>
        <v/>
      </c>
      <c r="E28" s="13">
        <f>MAX(pilot_count,adoption_max/(1+EXP(-adoption_steepness*(2026.208-adoption_midpoint))))*opex_support_per_ent/12</f>
        <v/>
      </c>
      <c r="F28" s="13">
        <f>MAX(pilot_count,adoption_max/(1+EXP(-adoption_steepness*(2026.292-adoption_midpoint))))*opex_support_per_ent/12</f>
        <v/>
      </c>
      <c r="G28" s="13">
        <f>MAX(pilot_count,adoption_max/(1+EXP(-adoption_steepness*(2026.375-adoption_midpoint))))*opex_support_per_ent/12</f>
        <v/>
      </c>
      <c r="H28" s="13">
        <f>MAX(pilot_count,adoption_max/(1+EXP(-adoption_steepness*(2026.458-adoption_midpoint))))*opex_support_per_ent/12</f>
        <v/>
      </c>
      <c r="I28" s="13">
        <f>MAX(pilot_count,adoption_max/(1+EXP(-adoption_steepness*(2026.542-adoption_midpoint))))*opex_support_per_ent/12</f>
        <v/>
      </c>
      <c r="J28" s="13">
        <f>MAX(pilot_count,adoption_max/(1+EXP(-adoption_steepness*(2026.625-adoption_midpoint))))*opex_support_per_ent/12</f>
        <v/>
      </c>
      <c r="K28" s="13">
        <f>MAX(pilot_count,adoption_max/(1+EXP(-adoption_steepness*(2026.708-adoption_midpoint))))*opex_support_per_ent/12</f>
        <v/>
      </c>
      <c r="L28" s="13">
        <f>MAX(pilot_count,adoption_max/(1+EXP(-adoption_steepness*(2026.792-adoption_midpoint))))*opex_support_per_ent/12</f>
        <v/>
      </c>
      <c r="M28" s="13">
        <f>MAX(pilot_count,adoption_max/(1+EXP(-adoption_steepness*(2026.875-adoption_midpoint))))*opex_support_per_ent/12</f>
        <v/>
      </c>
      <c r="N28" s="13">
        <f>MAX(pilot_count,adoption_max/(1+EXP(-adoption_steepness*(2026.958-adoption_midpoint))))*opex_support_per_ent/12</f>
        <v/>
      </c>
      <c r="O28" s="12">
        <f>SUM(C28:N28)</f>
        <v/>
      </c>
    </row>
    <row r="29">
      <c r="A29" s="6" t="inlineStr">
        <is>
          <t>OPEX Subtotal</t>
        </is>
      </c>
      <c r="B29" s="6" t="inlineStr">
        <is>
          <t>M VND</t>
        </is>
      </c>
      <c r="C29" s="12">
        <f>SUM(C16:C28)</f>
        <v/>
      </c>
      <c r="D29" s="12">
        <f>SUM(D16:D28)</f>
        <v/>
      </c>
      <c r="E29" s="12">
        <f>SUM(E16:E28)</f>
        <v/>
      </c>
      <c r="F29" s="12">
        <f>SUM(F16:F28)</f>
        <v/>
      </c>
      <c r="G29" s="12">
        <f>SUM(G16:G28)</f>
        <v/>
      </c>
      <c r="H29" s="12">
        <f>SUM(H16:H28)</f>
        <v/>
      </c>
      <c r="I29" s="12">
        <f>SUM(I16:I28)</f>
        <v/>
      </c>
      <c r="J29" s="12">
        <f>SUM(J16:J28)</f>
        <v/>
      </c>
      <c r="K29" s="12">
        <f>SUM(K16:K28)</f>
        <v/>
      </c>
      <c r="L29" s="12">
        <f>SUM(L16:L28)</f>
        <v/>
      </c>
      <c r="M29" s="12">
        <f>SUM(M16:M28)</f>
        <v/>
      </c>
      <c r="N29" s="12">
        <f>SUM(N16:N28)</f>
        <v/>
      </c>
      <c r="O29" s="12">
        <f>SUM(C29:N29)</f>
        <v/>
      </c>
    </row>
    <row r="30">
      <c r="A30" s="6" t="inlineStr">
        <is>
          <t xml:space="preserve">  Contingency (% of OPEX)</t>
        </is>
      </c>
      <c r="B30" s="6" t="inlineStr">
        <is>
          <t>M VND</t>
        </is>
      </c>
      <c r="C30" s="13">
        <f>C29*opex_contingency_pct</f>
        <v/>
      </c>
      <c r="D30" s="13">
        <f>D29*opex_contingency_pct</f>
        <v/>
      </c>
      <c r="E30" s="13">
        <f>E29*opex_contingency_pct</f>
        <v/>
      </c>
      <c r="F30" s="13">
        <f>F29*opex_contingency_pct</f>
        <v/>
      </c>
      <c r="G30" s="13">
        <f>G29*opex_contingency_pct</f>
        <v/>
      </c>
      <c r="H30" s="13">
        <f>H29*opex_contingency_pct</f>
        <v/>
      </c>
      <c r="I30" s="13">
        <f>I29*opex_contingency_pct</f>
        <v/>
      </c>
      <c r="J30" s="13">
        <f>J29*opex_contingency_pct</f>
        <v/>
      </c>
      <c r="K30" s="13">
        <f>K29*opex_contingency_pct</f>
        <v/>
      </c>
      <c r="L30" s="13">
        <f>L29*opex_contingency_pct</f>
        <v/>
      </c>
      <c r="M30" s="13">
        <f>M29*opex_contingency_pct</f>
        <v/>
      </c>
      <c r="N30" s="13">
        <f>N29*opex_contingency_pct</f>
        <v/>
      </c>
      <c r="O30" s="12">
        <f>SUM(C30:N30)</f>
        <v/>
      </c>
    </row>
    <row r="31">
      <c r="A31" s="6" t="inlineStr">
        <is>
          <t>TOTAL OPEX (incl. contingency)</t>
        </is>
      </c>
      <c r="B31" s="6" t="inlineStr">
        <is>
          <t>M VND</t>
        </is>
      </c>
      <c r="C31" s="12">
        <f>C29+C30</f>
        <v/>
      </c>
      <c r="D31" s="12">
        <f>D29+D30</f>
        <v/>
      </c>
      <c r="E31" s="12">
        <f>E29+E30</f>
        <v/>
      </c>
      <c r="F31" s="12">
        <f>F29+F30</f>
        <v/>
      </c>
      <c r="G31" s="12">
        <f>G29+G30</f>
        <v/>
      </c>
      <c r="H31" s="12">
        <f>H29+H30</f>
        <v/>
      </c>
      <c r="I31" s="12">
        <f>I29+I30</f>
        <v/>
      </c>
      <c r="J31" s="12">
        <f>J29+J30</f>
        <v/>
      </c>
      <c r="K31" s="12">
        <f>K29+K30</f>
        <v/>
      </c>
      <c r="L31" s="12">
        <f>L29+L30</f>
        <v/>
      </c>
      <c r="M31" s="12">
        <f>M29+M30</f>
        <v/>
      </c>
      <c r="N31" s="12">
        <f>N29+N30</f>
        <v/>
      </c>
      <c r="O31" s="12">
        <f>SUM(C31:N31)</f>
        <v/>
      </c>
    </row>
    <row r="33">
      <c r="A33" s="1" t="inlineStr">
        <is>
          <t>BUDGET SUMMARY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6" t="inlineStr">
        <is>
          <t>Total Revenue</t>
        </is>
      </c>
      <c r="B34" s="6" t="inlineStr">
        <is>
          <t>M VND</t>
        </is>
      </c>
      <c r="C34" s="13">
        <f>C9</f>
        <v/>
      </c>
      <c r="D34" s="13">
        <f>D9</f>
        <v/>
      </c>
      <c r="E34" s="13">
        <f>E9</f>
        <v/>
      </c>
      <c r="F34" s="13">
        <f>F9</f>
        <v/>
      </c>
      <c r="G34" s="13">
        <f>G9</f>
        <v/>
      </c>
      <c r="H34" s="13">
        <f>H9</f>
        <v/>
      </c>
      <c r="I34" s="13">
        <f>I9</f>
        <v/>
      </c>
      <c r="J34" s="13">
        <f>J9</f>
        <v/>
      </c>
      <c r="K34" s="13">
        <f>K9</f>
        <v/>
      </c>
      <c r="L34" s="13">
        <f>L9</f>
        <v/>
      </c>
      <c r="M34" s="13">
        <f>M9</f>
        <v/>
      </c>
      <c r="N34" s="13">
        <f>N9</f>
        <v/>
      </c>
      <c r="O34" s="12">
        <f>SUM(C34:N34)</f>
        <v/>
      </c>
    </row>
    <row r="35">
      <c r="A35" s="6" t="inlineStr">
        <is>
          <t>Total CAPEX</t>
        </is>
      </c>
      <c r="B35" s="6" t="inlineStr">
        <is>
          <t>M VND</t>
        </is>
      </c>
      <c r="C35" s="13">
        <f>C13</f>
        <v/>
      </c>
      <c r="D35" s="13">
        <f>D13</f>
        <v/>
      </c>
      <c r="E35" s="13">
        <f>E13</f>
        <v/>
      </c>
      <c r="F35" s="13">
        <f>F13</f>
        <v/>
      </c>
      <c r="G35" s="13">
        <f>G13</f>
        <v/>
      </c>
      <c r="H35" s="13">
        <f>H13</f>
        <v/>
      </c>
      <c r="I35" s="13">
        <f>I13</f>
        <v/>
      </c>
      <c r="J35" s="13">
        <f>J13</f>
        <v/>
      </c>
      <c r="K35" s="13">
        <f>K13</f>
        <v/>
      </c>
      <c r="L35" s="13">
        <f>L13</f>
        <v/>
      </c>
      <c r="M35" s="13">
        <f>M13</f>
        <v/>
      </c>
      <c r="N35" s="13">
        <f>N13</f>
        <v/>
      </c>
      <c r="O35" s="12">
        <f>SUM(C35:N35)</f>
        <v/>
      </c>
    </row>
    <row r="36">
      <c r="A36" s="6" t="inlineStr">
        <is>
          <t>Total OPEX</t>
        </is>
      </c>
      <c r="B36" s="6" t="inlineStr">
        <is>
          <t>M VND</t>
        </is>
      </c>
      <c r="C36" s="13">
        <f>C31</f>
        <v/>
      </c>
      <c r="D36" s="13">
        <f>D31</f>
        <v/>
      </c>
      <c r="E36" s="13">
        <f>E31</f>
        <v/>
      </c>
      <c r="F36" s="13">
        <f>F31</f>
        <v/>
      </c>
      <c r="G36" s="13">
        <f>G31</f>
        <v/>
      </c>
      <c r="H36" s="13">
        <f>H31</f>
        <v/>
      </c>
      <c r="I36" s="13">
        <f>I31</f>
        <v/>
      </c>
      <c r="J36" s="13">
        <f>J31</f>
        <v/>
      </c>
      <c r="K36" s="13">
        <f>K31</f>
        <v/>
      </c>
      <c r="L36" s="13">
        <f>L31</f>
        <v/>
      </c>
      <c r="M36" s="13">
        <f>M31</f>
        <v/>
      </c>
      <c r="N36" s="13">
        <f>N31</f>
        <v/>
      </c>
      <c r="O36" s="12">
        <f>SUM(C36:N36)</f>
        <v/>
      </c>
    </row>
    <row r="37">
      <c r="A37" s="6" t="inlineStr">
        <is>
          <t>TOTAL BUDGET (CAPEX + OPEX)</t>
        </is>
      </c>
      <c r="B37" s="6" t="inlineStr">
        <is>
          <t>M VND</t>
        </is>
      </c>
      <c r="C37" s="12">
        <f>C35+C36</f>
        <v/>
      </c>
      <c r="D37" s="12">
        <f>D35+D36</f>
        <v/>
      </c>
      <c r="E37" s="12">
        <f>E35+E36</f>
        <v/>
      </c>
      <c r="F37" s="12">
        <f>F35+F36</f>
        <v/>
      </c>
      <c r="G37" s="12">
        <f>G35+G36</f>
        <v/>
      </c>
      <c r="H37" s="12">
        <f>H35+H36</f>
        <v/>
      </c>
      <c r="I37" s="12">
        <f>I35+I36</f>
        <v/>
      </c>
      <c r="J37" s="12">
        <f>J35+J36</f>
        <v/>
      </c>
      <c r="K37" s="12">
        <f>K35+K36</f>
        <v/>
      </c>
      <c r="L37" s="12">
        <f>L35+L36</f>
        <v/>
      </c>
      <c r="M37" s="12">
        <f>M35+M36</f>
        <v/>
      </c>
      <c r="N37" s="12">
        <f>N35+N36</f>
        <v/>
      </c>
      <c r="O37" s="12">
        <f>SUM(C37:N37)</f>
        <v/>
      </c>
    </row>
    <row r="38">
      <c r="A38" s="6" t="inlineStr">
        <is>
          <t>NET (Revenue - Budget)</t>
        </is>
      </c>
      <c r="B38" s="6" t="inlineStr">
        <is>
          <t>M VND</t>
        </is>
      </c>
      <c r="C38" s="12">
        <f>C34-C37</f>
        <v/>
      </c>
      <c r="D38" s="12">
        <f>D34-D37</f>
        <v/>
      </c>
      <c r="E38" s="12">
        <f>E34-E37</f>
        <v/>
      </c>
      <c r="F38" s="12">
        <f>F34-F37</f>
        <v/>
      </c>
      <c r="G38" s="12">
        <f>G34-G37</f>
        <v/>
      </c>
      <c r="H38" s="12">
        <f>H34-H37</f>
        <v/>
      </c>
      <c r="I38" s="12">
        <f>I34-I37</f>
        <v/>
      </c>
      <c r="J38" s="12">
        <f>J34-J37</f>
        <v/>
      </c>
      <c r="K38" s="12">
        <f>K34-K37</f>
        <v/>
      </c>
      <c r="L38" s="12">
        <f>L34-L37</f>
        <v/>
      </c>
      <c r="M38" s="12">
        <f>M34-M37</f>
        <v/>
      </c>
      <c r="N38" s="12">
        <f>N34-N37</f>
        <v/>
      </c>
      <c r="O38" s="12">
        <f>SUM(C38:N38)</f>
        <v/>
      </c>
    </row>
    <row r="39">
      <c r="A39" s="6" t="inlineStr">
        <is>
          <t>Cumulative NET</t>
        </is>
      </c>
      <c r="B39" s="6" t="inlineStr">
        <is>
          <t>M VND</t>
        </is>
      </c>
      <c r="C39" s="13">
        <f>C38</f>
        <v/>
      </c>
      <c r="D39" s="13">
        <f>C39+D38</f>
        <v/>
      </c>
      <c r="E39" s="13">
        <f>D39+E38</f>
        <v/>
      </c>
      <c r="F39" s="13">
        <f>E39+F38</f>
        <v/>
      </c>
      <c r="G39" s="13">
        <f>F39+G38</f>
        <v/>
      </c>
      <c r="H39" s="13">
        <f>G39+H38</f>
        <v/>
      </c>
      <c r="I39" s="13">
        <f>H39+I38</f>
        <v/>
      </c>
      <c r="J39" s="13">
        <f>I39+J38</f>
        <v/>
      </c>
      <c r="K39" s="13">
        <f>J39+K38</f>
        <v/>
      </c>
      <c r="L39" s="13">
        <f>K39+L38</f>
        <v/>
      </c>
      <c r="M39" s="13">
        <f>L39+M38</f>
        <v/>
      </c>
      <c r="N39" s="13">
        <f>M39+N38</f>
        <v/>
      </c>
      <c r="O39" s="12">
        <f>N39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2026-03-21T09:49:01Z</dcterms:created>
  <dcterms:modified xmlns:dcterms="http://purl.org/dc/terms/" xmlns:xsi="http://www.w3.org/2001/XMLSchema-instance" xsi:type="dcterms:W3CDTF">2026-03-21T10:13:14Z</dcterms:modified>
</cp:coreProperties>
</file>