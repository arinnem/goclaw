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OneDrive\OneDrive - sungroup.com.vn\Works\Coding\.agent\skills\professional-writer\reports\hhdlqg-financial-projection\"/>
    </mc:Choice>
  </mc:AlternateContent>
  <xr:revisionPtr revIDLastSave="0" documentId="13_ncr:1_{E7571399-FB4B-4F28-9B46-00786120E553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Guide" sheetId="1" r:id="rId1"/>
    <sheet name="Assumptions" sheetId="2" r:id="rId2"/>
    <sheet name="Initial Investment" sheetId="3" r:id="rId3"/>
    <sheet name="HR Plan" sheetId="4" r:id="rId4"/>
    <sheet name="Market Sizing" sheetId="5" r:id="rId5"/>
    <sheet name="Revenue Schedule" sheetId="6" r:id="rId6"/>
    <sheet name="Cost Schedule" sheetId="7" r:id="rId7"/>
    <sheet name="P&amp;L" sheetId="8" r:id="rId8"/>
    <sheet name="Cash Flow" sheetId="9" r:id="rId9"/>
    <sheet name="DCF &amp; Returns" sheetId="10" r:id="rId10"/>
    <sheet name="Sensitivity" sheetId="11" r:id="rId11"/>
    <sheet name="Scenarios" sheetId="12" r:id="rId12"/>
    <sheet name="Budget 2025" sheetId="13" r:id="rId13"/>
    <sheet name="Budget 2026" sheetId="14" r:id="rId14"/>
  </sheets>
  <definedNames>
    <definedName name="ad_cpm">Assumptions!$B$31</definedName>
    <definedName name="ad_impressions_base">Assumptions!$B$32</definedName>
    <definedName name="adoption_max">Assumptions!$B$18</definedName>
    <definedName name="adoption_midpoint">Assumptions!$B$19</definedName>
    <definedName name="adoption_steepness">Assumptions!$B$20</definedName>
    <definedName name="ap_days">Assumptions!$B$71</definedName>
    <definedName name="ar_days">Assumptions!$B$70</definedName>
    <definedName name="audit_fee">Assumptions!$B$34</definedName>
    <definedName name="base_year">Assumptions!$B$6</definedName>
    <definedName name="bhxh_rate">Assumptions!$B$62</definedName>
    <definedName name="capex_backend">'Initial Investment'!$B$5</definedName>
    <definedName name="capex_cloud_setup">'Initial Investment'!$B$4</definedName>
    <definedName name="capex_contingency">'Initial Investment'!$B$13</definedName>
    <definedName name="capex_data_platform">'Initial Investment'!$B$7</definedName>
    <definedName name="capex_devops">'Initial Investment'!$B$11</definedName>
    <definedName name="capex_frontend">'Initial Investment'!$B$6</definedName>
    <definedName name="capex_integration">'Initial Investment'!$B$10</definedName>
    <definedName name="capex_maintenance_pct">Assumptions!$B$39</definedName>
    <definedName name="capex_security_setup">'Initial Investment'!$B$8</definedName>
    <definedName name="capex_testing">'Initial Investment'!$B$12</definedName>
    <definedName name="capex_total">'Initial Investment'!$B$15</definedName>
    <definedName name="capex_ux_design">'Initial Investment'!$B$9</definedName>
    <definedName name="cert_fee_escalation">Assumptions!$B$27</definedName>
    <definedName name="cert_fee_yr1">Assumptions!$B$26</definedName>
    <definedName name="churn_rate">Assumptions!$B$22</definedName>
    <definedName name="cit_rate">Assumptions!$B$67</definedName>
    <definedName name="cloud_elasticity">Assumptions!$B$82</definedName>
    <definedName name="cloud_gmv_factor">Assumptions!$B$77</definedName>
    <definedName name="cloud_per_1M_vcr">Assumptions!$B$43</definedName>
    <definedName name="daas_price">Assumptions!$B$30</definedName>
    <definedName name="depreciation_years">Assumptions!$B$69</definedName>
    <definedName name="discount_rate">Assumptions!$B$68</definedName>
    <definedName name="ecom_growth_rate">Assumptions!$B$14</definedName>
    <definedName name="ecom_market_base">Assumptions!$B$13</definedName>
    <definedName name="hr_bizops_per_100_ent">Assumptions!$B$81</definedName>
    <definedName name="marketing_growth">Assumptions!$B$41</definedName>
    <definedName name="mkt_efficiency_per_100">Assumptions!$B$78</definedName>
    <definedName name="opex_branding">Assumptions!$B$47</definedName>
    <definedName name="opex_cloud_base">Assumptions!$B$42</definedName>
    <definedName name="opex_contingency_pct">Assumptions!$B$53</definedName>
    <definedName name="opex_external">Assumptions!$B$45</definedName>
    <definedName name="opex_legal">Assumptions!$B$46</definedName>
    <definedName name="opex_marketing">Assumptions!$B$40</definedName>
    <definedName name="opex_partner_mgmt">Assumptions!$B$52</definedName>
    <definedName name="opex_pilot_eval">Assumptions!$B$49</definedName>
    <definedName name="opex_security">Assumptions!$B$48</definedName>
    <definedName name="opex_support_per_ent">Assumptions!$B$51</definedName>
    <definedName name="payment_proc_pct">Assumptions!$B$50</definedName>
    <definedName name="pilot_count">Assumptions!$B$21</definedName>
    <definedName name="platform_market_share">Assumptions!$B$29</definedName>
    <definedName name="recruit_cost_pct">Assumptions!$B$63</definedName>
    <definedName name="salary_bizops">Assumptions!$B$59</definedName>
    <definedName name="salary_data">Assumptions!$B$60</definedName>
    <definedName name="salary_dev">Assumptions!$B$58</definedName>
    <definedName name="salary_escalation">Assumptions!$B$61</definedName>
    <definedName name="salary_mgmt">Assumptions!$B$57</definedName>
    <definedName name="SAM_enterprises">Assumptions!$B$12</definedName>
    <definedName name="stage2_gate">Assumptions!$B$72</definedName>
    <definedName name="start_month">Assumptions!$B$7</definedName>
    <definedName name="support_discount">Assumptions!$B$80</definedName>
    <definedName name="support_scale_threshold">Assumptions!$B$79</definedName>
    <definedName name="TAM_enterprises">Assumptions!$B$11</definedName>
    <definedName name="training_fee">Assumptions!$B$33</definedName>
    <definedName name="training_pct">Assumptions!$B$35</definedName>
    <definedName name="tx_take_rate">Assumptions!$B$28</definedName>
    <definedName name="vcr_per_enterprise">Assumptions!$B$44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28" i="14" l="1"/>
  <c r="N27" i="14"/>
  <c r="M27" i="14"/>
  <c r="L27" i="14"/>
  <c r="K27" i="14"/>
  <c r="J27" i="14"/>
  <c r="I27" i="14"/>
  <c r="H27" i="14"/>
  <c r="G27" i="14"/>
  <c r="F27" i="14"/>
  <c r="E27" i="14"/>
  <c r="D27" i="14"/>
  <c r="O27" i="14" s="1"/>
  <c r="C27" i="14"/>
  <c r="N26" i="14"/>
  <c r="M26" i="14"/>
  <c r="L26" i="14"/>
  <c r="K26" i="14"/>
  <c r="J26" i="14"/>
  <c r="I26" i="14"/>
  <c r="H26" i="14"/>
  <c r="G26" i="14"/>
  <c r="F26" i="14"/>
  <c r="E26" i="14"/>
  <c r="D26" i="14"/>
  <c r="C26" i="14"/>
  <c r="N25" i="14"/>
  <c r="M25" i="14"/>
  <c r="L25" i="14"/>
  <c r="K25" i="14"/>
  <c r="J25" i="14"/>
  <c r="I25" i="14"/>
  <c r="H25" i="14"/>
  <c r="G25" i="14"/>
  <c r="F25" i="14"/>
  <c r="E25" i="14"/>
  <c r="D25" i="14"/>
  <c r="C25" i="14"/>
  <c r="N24" i="14"/>
  <c r="M24" i="14"/>
  <c r="L24" i="14"/>
  <c r="K24" i="14"/>
  <c r="J24" i="14"/>
  <c r="I24" i="14"/>
  <c r="O24" i="14" s="1"/>
  <c r="H24" i="14"/>
  <c r="G24" i="14"/>
  <c r="F24" i="14"/>
  <c r="E24" i="14"/>
  <c r="D24" i="14"/>
  <c r="C24" i="14"/>
  <c r="N23" i="14"/>
  <c r="M23" i="14"/>
  <c r="L23" i="14"/>
  <c r="K23" i="14"/>
  <c r="J23" i="14"/>
  <c r="I23" i="14"/>
  <c r="H23" i="14"/>
  <c r="G23" i="14"/>
  <c r="F23" i="14"/>
  <c r="E23" i="14"/>
  <c r="D23" i="14"/>
  <c r="C23" i="14"/>
  <c r="N22" i="14"/>
  <c r="M22" i="14"/>
  <c r="L22" i="14"/>
  <c r="K22" i="14"/>
  <c r="J22" i="14"/>
  <c r="I22" i="14"/>
  <c r="H22" i="14"/>
  <c r="G22" i="14"/>
  <c r="F22" i="14"/>
  <c r="E22" i="14"/>
  <c r="D22" i="14"/>
  <c r="C22" i="14"/>
  <c r="O22" i="14" s="1"/>
  <c r="N21" i="14"/>
  <c r="M21" i="14"/>
  <c r="L21" i="14"/>
  <c r="K21" i="14"/>
  <c r="J21" i="14"/>
  <c r="I21" i="14"/>
  <c r="H21" i="14"/>
  <c r="G21" i="14"/>
  <c r="F21" i="14"/>
  <c r="E21" i="14"/>
  <c r="D21" i="14"/>
  <c r="C21" i="14"/>
  <c r="O20" i="14"/>
  <c r="N20" i="14"/>
  <c r="M20" i="14"/>
  <c r="L20" i="14"/>
  <c r="K20" i="14"/>
  <c r="J20" i="14"/>
  <c r="I20" i="14"/>
  <c r="H20" i="14"/>
  <c r="G20" i="14"/>
  <c r="F20" i="14"/>
  <c r="E20" i="14"/>
  <c r="E28" i="14" s="1"/>
  <c r="D20" i="14"/>
  <c r="C20" i="14"/>
  <c r="N19" i="14"/>
  <c r="M19" i="14"/>
  <c r="L19" i="14"/>
  <c r="K19" i="14"/>
  <c r="J19" i="14"/>
  <c r="I19" i="14"/>
  <c r="H19" i="14"/>
  <c r="G19" i="14"/>
  <c r="F19" i="14"/>
  <c r="E19" i="14"/>
  <c r="D19" i="14"/>
  <c r="C19" i="14"/>
  <c r="N18" i="14"/>
  <c r="M18" i="14"/>
  <c r="L18" i="14"/>
  <c r="L28" i="14" s="1"/>
  <c r="K18" i="14"/>
  <c r="J18" i="14"/>
  <c r="I18" i="14"/>
  <c r="H18" i="14"/>
  <c r="G18" i="14"/>
  <c r="F18" i="14"/>
  <c r="E18" i="14"/>
  <c r="D18" i="14"/>
  <c r="C18" i="14"/>
  <c r="N17" i="14"/>
  <c r="M17" i="14"/>
  <c r="L17" i="14"/>
  <c r="K17" i="14"/>
  <c r="O17" i="14" s="1"/>
  <c r="J17" i="14"/>
  <c r="I17" i="14"/>
  <c r="H17" i="14"/>
  <c r="G17" i="14"/>
  <c r="F17" i="14"/>
  <c r="E17" i="14"/>
  <c r="D17" i="14"/>
  <c r="C17" i="14"/>
  <c r="N16" i="14"/>
  <c r="M16" i="14"/>
  <c r="L16" i="14"/>
  <c r="K16" i="14"/>
  <c r="J16" i="14"/>
  <c r="O16" i="14" s="1"/>
  <c r="I16" i="14"/>
  <c r="H16" i="14"/>
  <c r="G16" i="14"/>
  <c r="F16" i="14"/>
  <c r="E16" i="14"/>
  <c r="D16" i="14"/>
  <c r="C16" i="14"/>
  <c r="N15" i="14"/>
  <c r="M15" i="14"/>
  <c r="L15" i="14"/>
  <c r="K15" i="14"/>
  <c r="J15" i="14"/>
  <c r="I15" i="14"/>
  <c r="H15" i="14"/>
  <c r="G15" i="14"/>
  <c r="F15" i="14"/>
  <c r="E15" i="14"/>
  <c r="D15" i="14"/>
  <c r="C15" i="14"/>
  <c r="N8" i="14"/>
  <c r="N33" i="14" s="1"/>
  <c r="J8" i="14"/>
  <c r="J33" i="14" s="1"/>
  <c r="C8" i="14"/>
  <c r="C33" i="14" s="1"/>
  <c r="N7" i="14"/>
  <c r="M7" i="14"/>
  <c r="L7" i="14"/>
  <c r="K7" i="14"/>
  <c r="J7" i="14"/>
  <c r="I7" i="14"/>
  <c r="H7" i="14"/>
  <c r="G7" i="14"/>
  <c r="F7" i="14"/>
  <c r="E7" i="14"/>
  <c r="D7" i="14"/>
  <c r="C7" i="14"/>
  <c r="N6" i="14"/>
  <c r="M6" i="14"/>
  <c r="M8" i="14" s="1"/>
  <c r="M33" i="14" s="1"/>
  <c r="L6" i="14"/>
  <c r="K6" i="14"/>
  <c r="J6" i="14"/>
  <c r="I6" i="14"/>
  <c r="H6" i="14"/>
  <c r="G6" i="14"/>
  <c r="F6" i="14"/>
  <c r="E6" i="14"/>
  <c r="E8" i="14" s="1"/>
  <c r="E33" i="14" s="1"/>
  <c r="D6" i="14"/>
  <c r="C6" i="14"/>
  <c r="N5" i="14"/>
  <c r="M5" i="14"/>
  <c r="L5" i="14"/>
  <c r="K5" i="14"/>
  <c r="K8" i="14" s="1"/>
  <c r="K33" i="14" s="1"/>
  <c r="J5" i="14"/>
  <c r="I5" i="14"/>
  <c r="H5" i="14"/>
  <c r="G5" i="14"/>
  <c r="G8" i="14" s="1"/>
  <c r="G33" i="14" s="1"/>
  <c r="F5" i="14"/>
  <c r="E5" i="14"/>
  <c r="D5" i="14"/>
  <c r="D8" i="14" s="1"/>
  <c r="C5" i="14"/>
  <c r="H36" i="13"/>
  <c r="G36" i="13"/>
  <c r="F36" i="13"/>
  <c r="E36" i="13"/>
  <c r="D36" i="13"/>
  <c r="C36" i="13"/>
  <c r="H35" i="13"/>
  <c r="G35" i="13"/>
  <c r="F35" i="13"/>
  <c r="E35" i="13"/>
  <c r="D35" i="13"/>
  <c r="C35" i="13"/>
  <c r="H34" i="13"/>
  <c r="G34" i="13"/>
  <c r="F34" i="13"/>
  <c r="E34" i="13"/>
  <c r="D34" i="13"/>
  <c r="C34" i="13"/>
  <c r="I34" i="13" s="1"/>
  <c r="H33" i="13"/>
  <c r="G33" i="13"/>
  <c r="F33" i="13"/>
  <c r="E33" i="13"/>
  <c r="D33" i="13"/>
  <c r="C33" i="13"/>
  <c r="H32" i="13"/>
  <c r="G32" i="13"/>
  <c r="F32" i="13"/>
  <c r="E32" i="13"/>
  <c r="D32" i="13"/>
  <c r="C32" i="13"/>
  <c r="H31" i="13"/>
  <c r="G31" i="13"/>
  <c r="F31" i="13"/>
  <c r="E31" i="13"/>
  <c r="D31" i="13"/>
  <c r="C31" i="13"/>
  <c r="H30" i="13"/>
  <c r="G30" i="13"/>
  <c r="F30" i="13"/>
  <c r="E30" i="13"/>
  <c r="D30" i="13"/>
  <c r="C30" i="13"/>
  <c r="H29" i="13"/>
  <c r="G29" i="13"/>
  <c r="F29" i="13"/>
  <c r="E29" i="13"/>
  <c r="D29" i="13"/>
  <c r="C29" i="13"/>
  <c r="I29" i="13" s="1"/>
  <c r="H28" i="13"/>
  <c r="G28" i="13"/>
  <c r="F28" i="13"/>
  <c r="E28" i="13"/>
  <c r="D28" i="13"/>
  <c r="C28" i="13"/>
  <c r="H27" i="13"/>
  <c r="G27" i="13"/>
  <c r="F27" i="13"/>
  <c r="E27" i="13"/>
  <c r="D27" i="13"/>
  <c r="C27" i="13"/>
  <c r="I27" i="13" s="1"/>
  <c r="H26" i="13"/>
  <c r="H37" i="13" s="1"/>
  <c r="G26" i="13"/>
  <c r="F26" i="13"/>
  <c r="E26" i="13"/>
  <c r="D26" i="13"/>
  <c r="C26" i="13"/>
  <c r="H25" i="13"/>
  <c r="G25" i="13"/>
  <c r="F25" i="13"/>
  <c r="E25" i="13"/>
  <c r="D25" i="13"/>
  <c r="C25" i="13"/>
  <c r="H24" i="13"/>
  <c r="G24" i="13"/>
  <c r="F24" i="13"/>
  <c r="F37" i="13" s="1"/>
  <c r="E24" i="13"/>
  <c r="D24" i="13"/>
  <c r="C24" i="13"/>
  <c r="H20" i="13"/>
  <c r="G20" i="13"/>
  <c r="F20" i="13"/>
  <c r="E20" i="13"/>
  <c r="D20" i="13"/>
  <c r="C20" i="13"/>
  <c r="H19" i="13"/>
  <c r="G19" i="13"/>
  <c r="F19" i="13"/>
  <c r="E19" i="13"/>
  <c r="D19" i="13"/>
  <c r="C19" i="13"/>
  <c r="H18" i="13"/>
  <c r="G18" i="13"/>
  <c r="F18" i="13"/>
  <c r="E18" i="13"/>
  <c r="D18" i="13"/>
  <c r="C18" i="13"/>
  <c r="I18" i="13" s="1"/>
  <c r="H17" i="13"/>
  <c r="G17" i="13"/>
  <c r="F17" i="13"/>
  <c r="E17" i="13"/>
  <c r="D17" i="13"/>
  <c r="C17" i="13"/>
  <c r="H16" i="13"/>
  <c r="G16" i="13"/>
  <c r="F16" i="13"/>
  <c r="E16" i="13"/>
  <c r="D16" i="13"/>
  <c r="C16" i="13"/>
  <c r="H15" i="13"/>
  <c r="G15" i="13"/>
  <c r="F15" i="13"/>
  <c r="E15" i="13"/>
  <c r="D15" i="13"/>
  <c r="C15" i="13"/>
  <c r="H14" i="13"/>
  <c r="G14" i="13"/>
  <c r="F14" i="13"/>
  <c r="E14" i="13"/>
  <c r="D14" i="13"/>
  <c r="C14" i="13"/>
  <c r="H13" i="13"/>
  <c r="G13" i="13"/>
  <c r="F13" i="13"/>
  <c r="E13" i="13"/>
  <c r="D13" i="13"/>
  <c r="C13" i="13"/>
  <c r="H12" i="13"/>
  <c r="G12" i="13"/>
  <c r="G21" i="13" s="1"/>
  <c r="G43" i="13" s="1"/>
  <c r="F12" i="13"/>
  <c r="E12" i="13"/>
  <c r="D12" i="13"/>
  <c r="D21" i="13" s="1"/>
  <c r="D43" i="13" s="1"/>
  <c r="C12" i="13"/>
  <c r="H11" i="13"/>
  <c r="G11" i="13"/>
  <c r="F11" i="13"/>
  <c r="E11" i="13"/>
  <c r="E21" i="13" s="1"/>
  <c r="E43" i="13" s="1"/>
  <c r="D11" i="13"/>
  <c r="C11" i="13"/>
  <c r="H7" i="13"/>
  <c r="G7" i="13"/>
  <c r="G8" i="13" s="1"/>
  <c r="G42" i="13" s="1"/>
  <c r="F7" i="13"/>
  <c r="E7" i="13"/>
  <c r="D7" i="13"/>
  <c r="C7" i="13"/>
  <c r="H6" i="13"/>
  <c r="H8" i="13" s="1"/>
  <c r="H42" i="13" s="1"/>
  <c r="G6" i="13"/>
  <c r="F6" i="13"/>
  <c r="F8" i="13" s="1"/>
  <c r="F42" i="13" s="1"/>
  <c r="E6" i="13"/>
  <c r="D6" i="13"/>
  <c r="D8" i="13" s="1"/>
  <c r="D42" i="13" s="1"/>
  <c r="C6" i="13"/>
  <c r="H5" i="13"/>
  <c r="G5" i="13"/>
  <c r="F5" i="13"/>
  <c r="E5" i="13"/>
  <c r="E8" i="13" s="1"/>
  <c r="E42" i="13" s="1"/>
  <c r="D5" i="13"/>
  <c r="C5" i="13"/>
  <c r="C8" i="13" s="1"/>
  <c r="D14" i="12"/>
  <c r="D13" i="12"/>
  <c r="D12" i="12"/>
  <c r="D11" i="12"/>
  <c r="D10" i="12"/>
  <c r="D9" i="12"/>
  <c r="D8" i="12"/>
  <c r="D7" i="12"/>
  <c r="D6" i="12"/>
  <c r="D5" i="12"/>
  <c r="F54" i="11"/>
  <c r="E54" i="11"/>
  <c r="D54" i="11"/>
  <c r="C54" i="11"/>
  <c r="B54" i="11"/>
  <c r="F53" i="11"/>
  <c r="E53" i="11"/>
  <c r="D53" i="11"/>
  <c r="C53" i="11"/>
  <c r="B53" i="11"/>
  <c r="F52" i="11"/>
  <c r="E52" i="11"/>
  <c r="D52" i="11"/>
  <c r="C52" i="11"/>
  <c r="B52" i="11"/>
  <c r="F51" i="11"/>
  <c r="E51" i="11"/>
  <c r="D51" i="11"/>
  <c r="C51" i="11"/>
  <c r="B51" i="11"/>
  <c r="F50" i="11"/>
  <c r="E50" i="11"/>
  <c r="D50" i="11"/>
  <c r="C50" i="11"/>
  <c r="B50" i="11"/>
  <c r="G17" i="11"/>
  <c r="F17" i="11"/>
  <c r="E17" i="11"/>
  <c r="D17" i="11"/>
  <c r="C17" i="11"/>
  <c r="G16" i="11"/>
  <c r="F16" i="11"/>
  <c r="E16" i="11"/>
  <c r="D16" i="11"/>
  <c r="C16" i="11"/>
  <c r="G15" i="11"/>
  <c r="F15" i="11"/>
  <c r="E15" i="11"/>
  <c r="D15" i="11"/>
  <c r="C15" i="11"/>
  <c r="G14" i="11"/>
  <c r="F14" i="11"/>
  <c r="E14" i="11"/>
  <c r="D14" i="11"/>
  <c r="C14" i="11"/>
  <c r="G13" i="11"/>
  <c r="F13" i="11"/>
  <c r="E13" i="11"/>
  <c r="D13" i="11"/>
  <c r="C13" i="11"/>
  <c r="G12" i="11"/>
  <c r="F12" i="11"/>
  <c r="E12" i="11"/>
  <c r="D12" i="11"/>
  <c r="C12" i="11"/>
  <c r="G11" i="11"/>
  <c r="F11" i="11"/>
  <c r="E11" i="11"/>
  <c r="D11" i="11"/>
  <c r="C11" i="11"/>
  <c r="G10" i="11"/>
  <c r="F10" i="11"/>
  <c r="E10" i="11"/>
  <c r="D10" i="11"/>
  <c r="C10" i="11"/>
  <c r="G9" i="11"/>
  <c r="F9" i="11"/>
  <c r="E9" i="11"/>
  <c r="D9" i="11"/>
  <c r="C9" i="11"/>
  <c r="G8" i="11"/>
  <c r="F8" i="11"/>
  <c r="E8" i="11"/>
  <c r="D8" i="11"/>
  <c r="C8" i="11"/>
  <c r="G7" i="11"/>
  <c r="F7" i="11"/>
  <c r="E7" i="11"/>
  <c r="D7" i="11"/>
  <c r="C7" i="11"/>
  <c r="G6" i="11"/>
  <c r="F6" i="11"/>
  <c r="E6" i="11"/>
  <c r="D6" i="11"/>
  <c r="C6" i="11"/>
  <c r="B18" i="10"/>
  <c r="B17" i="10"/>
  <c r="AQ6" i="9"/>
  <c r="AR10" i="8"/>
  <c r="AR6" i="9" s="1"/>
  <c r="AQ10" i="8"/>
  <c r="AP10" i="8"/>
  <c r="AP6" i="9" s="1"/>
  <c r="AO10" i="8"/>
  <c r="AO6" i="9" s="1"/>
  <c r="H10" i="8"/>
  <c r="H6" i="9" s="1"/>
  <c r="AR18" i="7"/>
  <c r="AQ18" i="7"/>
  <c r="AP18" i="7"/>
  <c r="AO18" i="7"/>
  <c r="AN18" i="7"/>
  <c r="AM18" i="7"/>
  <c r="AL18" i="7"/>
  <c r="AK18" i="7"/>
  <c r="AJ18" i="7"/>
  <c r="AI18" i="7"/>
  <c r="AH18" i="7"/>
  <c r="AG18" i="7"/>
  <c r="AF18" i="7"/>
  <c r="AE18" i="7"/>
  <c r="AD18" i="7"/>
  <c r="AC18" i="7"/>
  <c r="AB18" i="7"/>
  <c r="AA18" i="7"/>
  <c r="Z18" i="7"/>
  <c r="Y18" i="7"/>
  <c r="X18" i="7"/>
  <c r="W18" i="7"/>
  <c r="V18" i="7"/>
  <c r="U18" i="7"/>
  <c r="T18" i="7"/>
  <c r="S18" i="7"/>
  <c r="R18" i="7"/>
  <c r="Q18" i="7"/>
  <c r="P18" i="7"/>
  <c r="O18" i="7"/>
  <c r="N18" i="7"/>
  <c r="M18" i="7"/>
  <c r="L18" i="7"/>
  <c r="K18" i="7"/>
  <c r="J18" i="7"/>
  <c r="I18" i="7"/>
  <c r="H18" i="7"/>
  <c r="G18" i="7"/>
  <c r="F18" i="7"/>
  <c r="E18" i="7"/>
  <c r="D18" i="7"/>
  <c r="C18" i="7"/>
  <c r="AR17" i="7"/>
  <c r="AQ17" i="7"/>
  <c r="AP17" i="7"/>
  <c r="AO17" i="7"/>
  <c r="AN17" i="7"/>
  <c r="AM17" i="7"/>
  <c r="AL17" i="7"/>
  <c r="AK17" i="7"/>
  <c r="AJ17" i="7"/>
  <c r="AI17" i="7"/>
  <c r="AH17" i="7"/>
  <c r="AG17" i="7"/>
  <c r="AF17" i="7"/>
  <c r="AE17" i="7"/>
  <c r="AD17" i="7"/>
  <c r="AC17" i="7"/>
  <c r="AB17" i="7"/>
  <c r="AA17" i="7"/>
  <c r="Z17" i="7"/>
  <c r="Y17" i="7"/>
  <c r="X17" i="7"/>
  <c r="W17" i="7"/>
  <c r="V17" i="7"/>
  <c r="U17" i="7"/>
  <c r="T17" i="7"/>
  <c r="S17" i="7"/>
  <c r="R17" i="7"/>
  <c r="Q17" i="7"/>
  <c r="P17" i="7"/>
  <c r="O17" i="7"/>
  <c r="N17" i="7"/>
  <c r="M17" i="7"/>
  <c r="L17" i="7"/>
  <c r="K17" i="7"/>
  <c r="J17" i="7"/>
  <c r="I17" i="7"/>
  <c r="H17" i="7"/>
  <c r="G17" i="7"/>
  <c r="F17" i="7"/>
  <c r="E17" i="7"/>
  <c r="D17" i="7"/>
  <c r="C17" i="7"/>
  <c r="AR16" i="7"/>
  <c r="AQ16" i="7"/>
  <c r="AP16" i="7"/>
  <c r="AO16" i="7"/>
  <c r="AN16" i="7"/>
  <c r="AM16" i="7"/>
  <c r="AL16" i="7"/>
  <c r="AK16" i="7"/>
  <c r="AJ16" i="7"/>
  <c r="AI16" i="7"/>
  <c r="AH16" i="7"/>
  <c r="AG16" i="7"/>
  <c r="AF16" i="7"/>
  <c r="AE16" i="7"/>
  <c r="AD16" i="7"/>
  <c r="AC16" i="7"/>
  <c r="AB16" i="7"/>
  <c r="AA16" i="7"/>
  <c r="Z16" i="7"/>
  <c r="Y16" i="7"/>
  <c r="X16" i="7"/>
  <c r="W16" i="7"/>
  <c r="V16" i="7"/>
  <c r="U16" i="7"/>
  <c r="T16" i="7"/>
  <c r="S16" i="7"/>
  <c r="R16" i="7"/>
  <c r="Q16" i="7"/>
  <c r="P16" i="7"/>
  <c r="O16" i="7"/>
  <c r="N16" i="7"/>
  <c r="M16" i="7"/>
  <c r="L16" i="7"/>
  <c r="K16" i="7"/>
  <c r="J16" i="7"/>
  <c r="I16" i="7"/>
  <c r="H16" i="7"/>
  <c r="G16" i="7"/>
  <c r="F16" i="7"/>
  <c r="E16" i="7"/>
  <c r="D16" i="7"/>
  <c r="C16" i="7"/>
  <c r="AR15" i="7"/>
  <c r="AQ15" i="7"/>
  <c r="AP15" i="7"/>
  <c r="AO15" i="7"/>
  <c r="AN15" i="7"/>
  <c r="AM15" i="7"/>
  <c r="AL15" i="7"/>
  <c r="AK15" i="7"/>
  <c r="AJ15" i="7"/>
  <c r="AI15" i="7"/>
  <c r="AH15" i="7"/>
  <c r="AG15" i="7"/>
  <c r="AF15" i="7"/>
  <c r="AE15" i="7"/>
  <c r="AD15" i="7"/>
  <c r="AC15" i="7"/>
  <c r="AB15" i="7"/>
  <c r="AA15" i="7"/>
  <c r="Z15" i="7"/>
  <c r="Y15" i="7"/>
  <c r="X15" i="7"/>
  <c r="W15" i="7"/>
  <c r="V15" i="7"/>
  <c r="U15" i="7"/>
  <c r="T15" i="7"/>
  <c r="S15" i="7"/>
  <c r="R15" i="7"/>
  <c r="Q15" i="7"/>
  <c r="P15" i="7"/>
  <c r="O15" i="7"/>
  <c r="N15" i="7"/>
  <c r="M15" i="7"/>
  <c r="L15" i="7"/>
  <c r="K15" i="7"/>
  <c r="J15" i="7"/>
  <c r="I15" i="7"/>
  <c r="H15" i="7"/>
  <c r="G15" i="7"/>
  <c r="F15" i="7"/>
  <c r="E15" i="7"/>
  <c r="D15" i="7"/>
  <c r="C15" i="7"/>
  <c r="AR14" i="7"/>
  <c r="AQ14" i="7"/>
  <c r="AP14" i="7"/>
  <c r="AO14" i="7"/>
  <c r="AN14" i="7"/>
  <c r="AM14" i="7"/>
  <c r="AL14" i="7"/>
  <c r="AK14" i="7"/>
  <c r="AJ14" i="7"/>
  <c r="AI14" i="7"/>
  <c r="AH14" i="7"/>
  <c r="AG14" i="7"/>
  <c r="AF14" i="7"/>
  <c r="AE14" i="7"/>
  <c r="AD14" i="7"/>
  <c r="AC14" i="7"/>
  <c r="AB14" i="7"/>
  <c r="AA14" i="7"/>
  <c r="Z14" i="7"/>
  <c r="Y14" i="7"/>
  <c r="X14" i="7"/>
  <c r="W14" i="7"/>
  <c r="V14" i="7"/>
  <c r="U14" i="7"/>
  <c r="T14" i="7"/>
  <c r="S14" i="7"/>
  <c r="R14" i="7"/>
  <c r="Q14" i="7"/>
  <c r="P14" i="7"/>
  <c r="O14" i="7"/>
  <c r="N14" i="7"/>
  <c r="M14" i="7"/>
  <c r="L14" i="7"/>
  <c r="K14" i="7"/>
  <c r="J14" i="7"/>
  <c r="I14" i="7"/>
  <c r="H14" i="7"/>
  <c r="G14" i="7"/>
  <c r="F14" i="7"/>
  <c r="E14" i="7"/>
  <c r="D14" i="7"/>
  <c r="C14" i="7"/>
  <c r="AR12" i="7"/>
  <c r="AQ12" i="7"/>
  <c r="AP12" i="7"/>
  <c r="AO12" i="7"/>
  <c r="AN12" i="7"/>
  <c r="AM12" i="7"/>
  <c r="AL12" i="7"/>
  <c r="AK12" i="7"/>
  <c r="AJ12" i="7"/>
  <c r="AI12" i="7"/>
  <c r="AH12" i="7"/>
  <c r="AG12" i="7"/>
  <c r="AF12" i="7"/>
  <c r="AE12" i="7"/>
  <c r="AD12" i="7"/>
  <c r="AC12" i="7"/>
  <c r="AB12" i="7"/>
  <c r="AA12" i="7"/>
  <c r="Z12" i="7"/>
  <c r="Y12" i="7"/>
  <c r="X12" i="7"/>
  <c r="W12" i="7"/>
  <c r="V12" i="7"/>
  <c r="U12" i="7"/>
  <c r="T12" i="7"/>
  <c r="S12" i="7"/>
  <c r="R12" i="7"/>
  <c r="Q12" i="7"/>
  <c r="P12" i="7"/>
  <c r="O12" i="7"/>
  <c r="N12" i="7"/>
  <c r="M12" i="7"/>
  <c r="L12" i="7"/>
  <c r="K12" i="7"/>
  <c r="J12" i="7"/>
  <c r="I12" i="7"/>
  <c r="H12" i="7"/>
  <c r="G12" i="7"/>
  <c r="F12" i="7"/>
  <c r="E12" i="7"/>
  <c r="D12" i="7"/>
  <c r="C12" i="7"/>
  <c r="AP6" i="7"/>
  <c r="AP7" i="7" s="1"/>
  <c r="AH6" i="7"/>
  <c r="H6" i="7"/>
  <c r="G6" i="7"/>
  <c r="F6" i="7"/>
  <c r="E6" i="7"/>
  <c r="D6" i="7"/>
  <c r="C6" i="7"/>
  <c r="AR5" i="7"/>
  <c r="AQ5" i="7"/>
  <c r="AP5" i="7"/>
  <c r="AO5" i="7"/>
  <c r="AN5" i="7"/>
  <c r="AM5" i="7"/>
  <c r="AL5" i="7"/>
  <c r="AK5" i="7"/>
  <c r="AJ5" i="7"/>
  <c r="AI5" i="7"/>
  <c r="AH5" i="7"/>
  <c r="AG5" i="7"/>
  <c r="AF5" i="7"/>
  <c r="AE5" i="7"/>
  <c r="AD5" i="7"/>
  <c r="AC5" i="7"/>
  <c r="AB5" i="7"/>
  <c r="AA5" i="7"/>
  <c r="Z5" i="7"/>
  <c r="Y5" i="7"/>
  <c r="X5" i="7"/>
  <c r="W5" i="7"/>
  <c r="V5" i="7"/>
  <c r="U5" i="7"/>
  <c r="T5" i="7"/>
  <c r="S5" i="7"/>
  <c r="R5" i="7"/>
  <c r="Q5" i="7"/>
  <c r="P5" i="7"/>
  <c r="O5" i="7"/>
  <c r="N5" i="7"/>
  <c r="M5" i="7"/>
  <c r="L5" i="7"/>
  <c r="K5" i="7"/>
  <c r="J5" i="7"/>
  <c r="I5" i="7"/>
  <c r="G5" i="7"/>
  <c r="F5" i="7"/>
  <c r="F7" i="7" s="1"/>
  <c r="L14" i="5"/>
  <c r="L15" i="5" s="1"/>
  <c r="K14" i="5"/>
  <c r="C14" i="5"/>
  <c r="AN13" i="5"/>
  <c r="AN14" i="5" s="1"/>
  <c r="AN15" i="5" s="1"/>
  <c r="AM13" i="5"/>
  <c r="AM14" i="5" s="1"/>
  <c r="AI13" i="5"/>
  <c r="AI14" i="5" s="1"/>
  <c r="AD13" i="5"/>
  <c r="AD14" i="5" s="1"/>
  <c r="Z13" i="5"/>
  <c r="Z14" i="5" s="1"/>
  <c r="Z15" i="5" s="1"/>
  <c r="Y13" i="5"/>
  <c r="Y14" i="5" s="1"/>
  <c r="U13" i="5"/>
  <c r="U14" i="5" s="1"/>
  <c r="P13" i="5"/>
  <c r="P14" i="5" s="1"/>
  <c r="L13" i="5"/>
  <c r="K13" i="5"/>
  <c r="K15" i="5" s="1"/>
  <c r="G13" i="5"/>
  <c r="F13" i="5"/>
  <c r="E13" i="5"/>
  <c r="AH10" i="5"/>
  <c r="AG10" i="5"/>
  <c r="Z10" i="5"/>
  <c r="T10" i="5"/>
  <c r="L10" i="5"/>
  <c r="AH5" i="5"/>
  <c r="AG5" i="5"/>
  <c r="AF5" i="5"/>
  <c r="AF10" i="5" s="1"/>
  <c r="Z5" i="5"/>
  <c r="Y5" i="5"/>
  <c r="Y10" i="5" s="1"/>
  <c r="U5" i="5"/>
  <c r="T5" i="5"/>
  <c r="S5" i="5"/>
  <c r="L5" i="5"/>
  <c r="K5" i="5"/>
  <c r="K10" i="5" s="1"/>
  <c r="AR4" i="5"/>
  <c r="AR13" i="5" s="1"/>
  <c r="AQ4" i="5"/>
  <c r="AQ13" i="5" s="1"/>
  <c r="AP4" i="5"/>
  <c r="AP13" i="5" s="1"/>
  <c r="AO4" i="5"/>
  <c r="AO13" i="5" s="1"/>
  <c r="AN4" i="5"/>
  <c r="AN5" i="5" s="1"/>
  <c r="AM4" i="5"/>
  <c r="AM5" i="5" s="1"/>
  <c r="AL4" i="5"/>
  <c r="AL13" i="5" s="1"/>
  <c r="AK4" i="5"/>
  <c r="AK13" i="5" s="1"/>
  <c r="AJ4" i="5"/>
  <c r="AJ13" i="5" s="1"/>
  <c r="AI4" i="5"/>
  <c r="AI5" i="5" s="1"/>
  <c r="AH4" i="5"/>
  <c r="AH13" i="5" s="1"/>
  <c r="AG4" i="5"/>
  <c r="AG13" i="5" s="1"/>
  <c r="AF4" i="5"/>
  <c r="AF13" i="5" s="1"/>
  <c r="AE4" i="5"/>
  <c r="AE5" i="5" s="1"/>
  <c r="AD4" i="5"/>
  <c r="AD5" i="5" s="1"/>
  <c r="AC4" i="5"/>
  <c r="AC13" i="5" s="1"/>
  <c r="AB4" i="5"/>
  <c r="AB13" i="5" s="1"/>
  <c r="AA4" i="5"/>
  <c r="AA13" i="5" s="1"/>
  <c r="Z4" i="5"/>
  <c r="Y4" i="5"/>
  <c r="X4" i="5"/>
  <c r="X13" i="5" s="1"/>
  <c r="W4" i="5"/>
  <c r="W13" i="5" s="1"/>
  <c r="V4" i="5"/>
  <c r="U4" i="5"/>
  <c r="T4" i="5"/>
  <c r="T13" i="5" s="1"/>
  <c r="S4" i="5"/>
  <c r="S13" i="5" s="1"/>
  <c r="R4" i="5"/>
  <c r="R5" i="5" s="1"/>
  <c r="Q4" i="5"/>
  <c r="Q5" i="5" s="1"/>
  <c r="P4" i="5"/>
  <c r="P5" i="5" s="1"/>
  <c r="O4" i="5"/>
  <c r="O13" i="5" s="1"/>
  <c r="N4" i="5"/>
  <c r="N5" i="5" s="1"/>
  <c r="M4" i="5"/>
  <c r="M13" i="5" s="1"/>
  <c r="L4" i="5"/>
  <c r="K4" i="5"/>
  <c r="J4" i="5"/>
  <c r="J13" i="5" s="1"/>
  <c r="I4" i="5"/>
  <c r="H4" i="5"/>
  <c r="G4" i="5"/>
  <c r="G5" i="5" s="1"/>
  <c r="F4" i="5"/>
  <c r="F5" i="5" s="1"/>
  <c r="E4" i="5"/>
  <c r="E5" i="5" s="1"/>
  <c r="D4" i="5"/>
  <c r="D5" i="5" s="1"/>
  <c r="C4" i="5"/>
  <c r="C5" i="5" s="1"/>
  <c r="AP19" i="4"/>
  <c r="AO19" i="4"/>
  <c r="AN19" i="4"/>
  <c r="AM19" i="4"/>
  <c r="AI19" i="4"/>
  <c r="AH19" i="4"/>
  <c r="AG19" i="4"/>
  <c r="AD19" i="4"/>
  <c r="AB19" i="4"/>
  <c r="Z19" i="4"/>
  <c r="Y19" i="4"/>
  <c r="Y21" i="4" s="1"/>
  <c r="Y10" i="7" s="1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AR17" i="4"/>
  <c r="AQ17" i="4"/>
  <c r="AP17" i="4"/>
  <c r="AO17" i="4"/>
  <c r="AN17" i="4"/>
  <c r="AM17" i="4"/>
  <c r="AL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T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AR15" i="4"/>
  <c r="AR19" i="4" s="1"/>
  <c r="AQ15" i="4"/>
  <c r="AQ19" i="4" s="1"/>
  <c r="AQ21" i="4" s="1"/>
  <c r="AQ10" i="7" s="1"/>
  <c r="AP15" i="4"/>
  <c r="AO15" i="4"/>
  <c r="AN15" i="4"/>
  <c r="AM15" i="4"/>
  <c r="AL15" i="4"/>
  <c r="AL19" i="4" s="1"/>
  <c r="AK15" i="4"/>
  <c r="AK19" i="4" s="1"/>
  <c r="AJ15" i="4"/>
  <c r="AJ19" i="4" s="1"/>
  <c r="AI15" i="4"/>
  <c r="AH15" i="4"/>
  <c r="AG15" i="4"/>
  <c r="AF15" i="4"/>
  <c r="AF19" i="4" s="1"/>
  <c r="AE15" i="4"/>
  <c r="AE19" i="4" s="1"/>
  <c r="AD15" i="4"/>
  <c r="AC15" i="4"/>
  <c r="AC19" i="4" s="1"/>
  <c r="AC21" i="4" s="1"/>
  <c r="AC10" i="7" s="1"/>
  <c r="AB15" i="4"/>
  <c r="AA15" i="4"/>
  <c r="AA19" i="4" s="1"/>
  <c r="Z15" i="4"/>
  <c r="Y15" i="4"/>
  <c r="X15" i="4"/>
  <c r="W15" i="4"/>
  <c r="W19" i="4" s="1"/>
  <c r="V15" i="4"/>
  <c r="V19" i="4" s="1"/>
  <c r="U15" i="4"/>
  <c r="U19" i="4" s="1"/>
  <c r="T15" i="4"/>
  <c r="T19" i="4" s="1"/>
  <c r="S15" i="4"/>
  <c r="S19" i="4" s="1"/>
  <c r="R15" i="4"/>
  <c r="R19" i="4" s="1"/>
  <c r="Q15" i="4"/>
  <c r="Q19" i="4" s="1"/>
  <c r="P15" i="4"/>
  <c r="P19" i="4" s="1"/>
  <c r="O15" i="4"/>
  <c r="O19" i="4" s="1"/>
  <c r="O21" i="4" s="1"/>
  <c r="O10" i="7" s="1"/>
  <c r="N15" i="4"/>
  <c r="N19" i="4" s="1"/>
  <c r="M15" i="4"/>
  <c r="M19" i="4" s="1"/>
  <c r="L15" i="4"/>
  <c r="L19" i="4" s="1"/>
  <c r="K15" i="4"/>
  <c r="K19" i="4" s="1"/>
  <c r="J15" i="4"/>
  <c r="J19" i="4" s="1"/>
  <c r="I15" i="4"/>
  <c r="I19" i="4" s="1"/>
  <c r="H15" i="4"/>
  <c r="H19" i="4" s="1"/>
  <c r="G15" i="4"/>
  <c r="G19" i="4" s="1"/>
  <c r="F15" i="4"/>
  <c r="F19" i="4" s="1"/>
  <c r="E15" i="4"/>
  <c r="E19" i="4" s="1"/>
  <c r="D15" i="4"/>
  <c r="D19" i="4" s="1"/>
  <c r="C15" i="4"/>
  <c r="C19" i="4" s="1"/>
  <c r="AF12" i="4"/>
  <c r="AF20" i="4" s="1"/>
  <c r="AR9" i="4"/>
  <c r="AR12" i="4" s="1"/>
  <c r="AR20" i="4" s="1"/>
  <c r="AQ9" i="4"/>
  <c r="AQ12" i="4" s="1"/>
  <c r="AQ20" i="4" s="1"/>
  <c r="AP9" i="4"/>
  <c r="AP12" i="4" s="1"/>
  <c r="AP20" i="4" s="1"/>
  <c r="AP21" i="4" s="1"/>
  <c r="AP10" i="7" s="1"/>
  <c r="AO9" i="4"/>
  <c r="AO12" i="4" s="1"/>
  <c r="AO20" i="4" s="1"/>
  <c r="AN9" i="4"/>
  <c r="AN12" i="4" s="1"/>
  <c r="AN20" i="4" s="1"/>
  <c r="AN21" i="4" s="1"/>
  <c r="AN10" i="7" s="1"/>
  <c r="AM9" i="4"/>
  <c r="AM12" i="4" s="1"/>
  <c r="AM20" i="4" s="1"/>
  <c r="AL9" i="4"/>
  <c r="AL12" i="4" s="1"/>
  <c r="AL20" i="4" s="1"/>
  <c r="AK9" i="4"/>
  <c r="AK12" i="4" s="1"/>
  <c r="AK20" i="4" s="1"/>
  <c r="AJ9" i="4"/>
  <c r="AJ12" i="4" s="1"/>
  <c r="AJ20" i="4" s="1"/>
  <c r="AI9" i="4"/>
  <c r="AI12" i="4" s="1"/>
  <c r="AI20" i="4" s="1"/>
  <c r="AH9" i="4"/>
  <c r="AH12" i="4" s="1"/>
  <c r="AH20" i="4" s="1"/>
  <c r="AG9" i="4"/>
  <c r="AG12" i="4" s="1"/>
  <c r="AG20" i="4" s="1"/>
  <c r="AF9" i="4"/>
  <c r="AE9" i="4"/>
  <c r="AE12" i="4" s="1"/>
  <c r="AE20" i="4" s="1"/>
  <c r="AD9" i="4"/>
  <c r="AD12" i="4" s="1"/>
  <c r="AD20" i="4" s="1"/>
  <c r="AC9" i="4"/>
  <c r="AC12" i="4" s="1"/>
  <c r="AC20" i="4" s="1"/>
  <c r="AB9" i="4"/>
  <c r="AB12" i="4" s="1"/>
  <c r="AB20" i="4" s="1"/>
  <c r="AB21" i="4" s="1"/>
  <c r="AB10" i="7" s="1"/>
  <c r="AA9" i="4"/>
  <c r="AA12" i="4" s="1"/>
  <c r="AA20" i="4" s="1"/>
  <c r="Z9" i="4"/>
  <c r="Z12" i="4" s="1"/>
  <c r="Z20" i="4" s="1"/>
  <c r="Z21" i="4" s="1"/>
  <c r="Z10" i="7" s="1"/>
  <c r="Y9" i="4"/>
  <c r="Y12" i="4" s="1"/>
  <c r="Y20" i="4" s="1"/>
  <c r="X9" i="4"/>
  <c r="X12" i="4" s="1"/>
  <c r="X20" i="4" s="1"/>
  <c r="W9" i="4"/>
  <c r="W12" i="4" s="1"/>
  <c r="W20" i="4" s="1"/>
  <c r="V9" i="4"/>
  <c r="V12" i="4" s="1"/>
  <c r="V20" i="4" s="1"/>
  <c r="U9" i="4"/>
  <c r="U12" i="4" s="1"/>
  <c r="U20" i="4" s="1"/>
  <c r="T9" i="4"/>
  <c r="T12" i="4" s="1"/>
  <c r="T20" i="4" s="1"/>
  <c r="S9" i="4"/>
  <c r="S12" i="4" s="1"/>
  <c r="S20" i="4" s="1"/>
  <c r="R9" i="4"/>
  <c r="R12" i="4" s="1"/>
  <c r="R20" i="4" s="1"/>
  <c r="Q9" i="4"/>
  <c r="Q12" i="4" s="1"/>
  <c r="Q20" i="4" s="1"/>
  <c r="P9" i="4"/>
  <c r="P12" i="4" s="1"/>
  <c r="P20" i="4" s="1"/>
  <c r="O9" i="4"/>
  <c r="O12" i="4" s="1"/>
  <c r="O20" i="4" s="1"/>
  <c r="N9" i="4"/>
  <c r="N12" i="4" s="1"/>
  <c r="N20" i="4" s="1"/>
  <c r="M9" i="4"/>
  <c r="M12" i="4" s="1"/>
  <c r="M20" i="4" s="1"/>
  <c r="L9" i="4"/>
  <c r="L12" i="4" s="1"/>
  <c r="L20" i="4" s="1"/>
  <c r="K9" i="4"/>
  <c r="K12" i="4" s="1"/>
  <c r="K20" i="4" s="1"/>
  <c r="J9" i="4"/>
  <c r="J12" i="4" s="1"/>
  <c r="J20" i="4" s="1"/>
  <c r="I9" i="4"/>
  <c r="I12" i="4" s="1"/>
  <c r="I20" i="4" s="1"/>
  <c r="H9" i="4"/>
  <c r="H12" i="4" s="1"/>
  <c r="H20" i="4" s="1"/>
  <c r="G9" i="4"/>
  <c r="G12" i="4" s="1"/>
  <c r="G20" i="4" s="1"/>
  <c r="F9" i="4"/>
  <c r="F12" i="4" s="1"/>
  <c r="F20" i="4" s="1"/>
  <c r="E9" i="4"/>
  <c r="E12" i="4" s="1"/>
  <c r="E20" i="4" s="1"/>
  <c r="D9" i="4"/>
  <c r="D12" i="4" s="1"/>
  <c r="D20" i="4" s="1"/>
  <c r="C9" i="4"/>
  <c r="C12" i="4" s="1"/>
  <c r="C20" i="4" s="1"/>
  <c r="B24" i="3"/>
  <c r="B23" i="3"/>
  <c r="B22" i="3"/>
  <c r="B21" i="3"/>
  <c r="B20" i="3"/>
  <c r="B15" i="3"/>
  <c r="P10" i="8" s="1"/>
  <c r="P6" i="9" s="1"/>
  <c r="D10" i="5" l="1"/>
  <c r="R10" i="5"/>
  <c r="AG15" i="5"/>
  <c r="AG14" i="5"/>
  <c r="L19" i="7"/>
  <c r="L12" i="6"/>
  <c r="L11" i="6"/>
  <c r="L13" i="6"/>
  <c r="L6" i="6"/>
  <c r="L16" i="5"/>
  <c r="L7" i="6"/>
  <c r="L17" i="5"/>
  <c r="L13" i="7" s="1"/>
  <c r="L5" i="6"/>
  <c r="AI10" i="5"/>
  <c r="P21" i="4"/>
  <c r="P10" i="7" s="1"/>
  <c r="C21" i="4"/>
  <c r="C10" i="7" s="1"/>
  <c r="AE21" i="4"/>
  <c r="AE10" i="7" s="1"/>
  <c r="E15" i="5"/>
  <c r="E11" i="7" s="1"/>
  <c r="G15" i="5"/>
  <c r="R21" i="4"/>
  <c r="R10" i="7" s="1"/>
  <c r="S21" i="4"/>
  <c r="S10" i="7" s="1"/>
  <c r="T21" i="4"/>
  <c r="T10" i="7" s="1"/>
  <c r="AG21" i="4"/>
  <c r="AG10" i="7" s="1"/>
  <c r="AJ21" i="4"/>
  <c r="AJ10" i="7" s="1"/>
  <c r="AH21" i="4"/>
  <c r="AH10" i="7" s="1"/>
  <c r="AM10" i="5"/>
  <c r="I21" i="4"/>
  <c r="I10" i="7" s="1"/>
  <c r="W21" i="4"/>
  <c r="W10" i="7" s="1"/>
  <c r="AK21" i="4"/>
  <c r="AK10" i="7" s="1"/>
  <c r="AI21" i="4"/>
  <c r="AI10" i="7" s="1"/>
  <c r="AN11" i="7"/>
  <c r="AN10" i="5"/>
  <c r="AN11" i="6" s="1"/>
  <c r="Z11" i="6"/>
  <c r="Z19" i="7"/>
  <c r="Z5" i="6"/>
  <c r="Z6" i="6"/>
  <c r="Z13" i="6"/>
  <c r="Z7" i="6"/>
  <c r="Z17" i="5"/>
  <c r="Z13" i="7" s="1"/>
  <c r="AF14" i="5"/>
  <c r="AF15" i="5" s="1"/>
  <c r="E10" i="5"/>
  <c r="T11" i="7"/>
  <c r="K19" i="7"/>
  <c r="K11" i="6"/>
  <c r="K6" i="6"/>
  <c r="K13" i="6"/>
  <c r="K7" i="6"/>
  <c r="K17" i="5"/>
  <c r="K13" i="7" s="1"/>
  <c r="K12" i="6"/>
  <c r="K5" i="6"/>
  <c r="K8" i="6" s="1"/>
  <c r="E21" i="4"/>
  <c r="E10" i="7" s="1"/>
  <c r="F21" i="4"/>
  <c r="F10" i="7" s="1"/>
  <c r="AD21" i="4"/>
  <c r="AD10" i="7" s="1"/>
  <c r="V21" i="4"/>
  <c r="V10" i="7" s="1"/>
  <c r="J21" i="4"/>
  <c r="J10" i="7" s="1"/>
  <c r="AM21" i="4"/>
  <c r="AM10" i="7" s="1"/>
  <c r="S14" i="5"/>
  <c r="S15" i="5"/>
  <c r="G21" i="4"/>
  <c r="G10" i="7" s="1"/>
  <c r="H21" i="4"/>
  <c r="H10" i="7" s="1"/>
  <c r="K21" i="4"/>
  <c r="K10" i="7" s="1"/>
  <c r="N10" i="5"/>
  <c r="T14" i="5"/>
  <c r="T15" i="5"/>
  <c r="AF21" i="4"/>
  <c r="AF10" i="7" s="1"/>
  <c r="L21" i="4"/>
  <c r="L10" i="7" s="1"/>
  <c r="AR21" i="4"/>
  <c r="AR10" i="7" s="1"/>
  <c r="AH14" i="5"/>
  <c r="AH15" i="5" s="1"/>
  <c r="D21" i="4"/>
  <c r="D10" i="7" s="1"/>
  <c r="M21" i="4"/>
  <c r="M10" i="7" s="1"/>
  <c r="AA21" i="4"/>
  <c r="AA10" i="7" s="1"/>
  <c r="P10" i="5"/>
  <c r="AD10" i="5"/>
  <c r="AR15" i="5"/>
  <c r="AR14" i="5"/>
  <c r="AN12" i="6"/>
  <c r="AN19" i="7"/>
  <c r="AN17" i="5"/>
  <c r="AN7" i="6"/>
  <c r="AN13" i="6"/>
  <c r="AN5" i="6"/>
  <c r="AN6" i="6"/>
  <c r="Q21" i="4"/>
  <c r="Q10" i="7" s="1"/>
  <c r="F10" i="5"/>
  <c r="G11" i="7"/>
  <c r="G10" i="5"/>
  <c r="U21" i="4"/>
  <c r="U10" i="7" s="1"/>
  <c r="N21" i="4"/>
  <c r="N10" i="7" s="1"/>
  <c r="C10" i="5"/>
  <c r="Q10" i="5"/>
  <c r="AE10" i="5"/>
  <c r="AB15" i="5"/>
  <c r="AB14" i="5"/>
  <c r="AP14" i="5"/>
  <c r="AP15" i="5" s="1"/>
  <c r="O14" i="5"/>
  <c r="O15" i="5" s="1"/>
  <c r="AC15" i="5"/>
  <c r="AC14" i="5"/>
  <c r="AQ15" i="5"/>
  <c r="AQ14" i="5"/>
  <c r="AR5" i="5"/>
  <c r="U10" i="5"/>
  <c r="C13" i="5"/>
  <c r="C15" i="5" s="1"/>
  <c r="F14" i="5"/>
  <c r="F15" i="5" s="1"/>
  <c r="P15" i="5"/>
  <c r="AM15" i="5"/>
  <c r="AI6" i="7"/>
  <c r="I36" i="13"/>
  <c r="S11" i="7"/>
  <c r="AP5" i="5"/>
  <c r="E14" i="5"/>
  <c r="AI15" i="5"/>
  <c r="D13" i="5"/>
  <c r="G14" i="5"/>
  <c r="AP11" i="9"/>
  <c r="AP12" i="9" s="1"/>
  <c r="F39" i="13"/>
  <c r="F44" i="13" s="1"/>
  <c r="F38" i="13"/>
  <c r="H38" i="13"/>
  <c r="H39" i="13" s="1"/>
  <c r="H44" i="13" s="1"/>
  <c r="AD7" i="7"/>
  <c r="Z11" i="7"/>
  <c r="AE13" i="5"/>
  <c r="AB5" i="5"/>
  <c r="U15" i="5"/>
  <c r="S7" i="7"/>
  <c r="AG7" i="7"/>
  <c r="Y15" i="5"/>
  <c r="AH7" i="7"/>
  <c r="AJ15" i="5"/>
  <c r="AJ14" i="5"/>
  <c r="X19" i="4"/>
  <c r="X21" i="4" s="1"/>
  <c r="X10" i="7" s="1"/>
  <c r="L11" i="7"/>
  <c r="Q13" i="5"/>
  <c r="N6" i="7"/>
  <c r="N7" i="7" s="1"/>
  <c r="AR7" i="7"/>
  <c r="AL21" i="4"/>
  <c r="AL10" i="7" s="1"/>
  <c r="AG11" i="7"/>
  <c r="V7" i="7"/>
  <c r="J14" i="5"/>
  <c r="J15" i="5" s="1"/>
  <c r="F11" i="14"/>
  <c r="F12" i="14" s="1"/>
  <c r="F34" i="14" s="1"/>
  <c r="C11" i="14"/>
  <c r="M11" i="14"/>
  <c r="M12" i="14" s="1"/>
  <c r="M34" i="14" s="1"/>
  <c r="AM10" i="8"/>
  <c r="AM6" i="9" s="1"/>
  <c r="Y10" i="8"/>
  <c r="Y6" i="9" s="1"/>
  <c r="K10" i="8"/>
  <c r="K6" i="9" s="1"/>
  <c r="I11" i="14"/>
  <c r="I12" i="14" s="1"/>
  <c r="I34" i="14" s="1"/>
  <c r="AG10" i="8"/>
  <c r="AG6" i="9" s="1"/>
  <c r="R10" i="8"/>
  <c r="R6" i="9" s="1"/>
  <c r="C10" i="8"/>
  <c r="C6" i="9" s="1"/>
  <c r="N11" i="14"/>
  <c r="N12" i="14" s="1"/>
  <c r="N34" i="14" s="1"/>
  <c r="L11" i="14"/>
  <c r="L12" i="14" s="1"/>
  <c r="L34" i="14" s="1"/>
  <c r="L36" i="14" s="1"/>
  <c r="K11" i="14"/>
  <c r="K12" i="14" s="1"/>
  <c r="K34" i="14" s="1"/>
  <c r="AD10" i="8"/>
  <c r="AD6" i="9" s="1"/>
  <c r="O10" i="8"/>
  <c r="O6" i="9" s="1"/>
  <c r="H11" i="14"/>
  <c r="H12" i="14" s="1"/>
  <c r="H34" i="14" s="1"/>
  <c r="AB10" i="8"/>
  <c r="AB6" i="9" s="1"/>
  <c r="M10" i="8"/>
  <c r="M6" i="9" s="1"/>
  <c r="E11" i="14"/>
  <c r="E12" i="14" s="1"/>
  <c r="E34" i="14" s="1"/>
  <c r="AJ10" i="8"/>
  <c r="AJ6" i="9" s="1"/>
  <c r="U10" i="8"/>
  <c r="U6" i="9" s="1"/>
  <c r="F10" i="8"/>
  <c r="F6" i="9" s="1"/>
  <c r="AI10" i="8"/>
  <c r="AI6" i="9" s="1"/>
  <c r="T10" i="8"/>
  <c r="T6" i="9" s="1"/>
  <c r="E10" i="8"/>
  <c r="E6" i="9" s="1"/>
  <c r="AL10" i="8"/>
  <c r="AL6" i="9" s="1"/>
  <c r="N10" i="8"/>
  <c r="N6" i="9" s="1"/>
  <c r="AG6" i="7"/>
  <c r="S6" i="7"/>
  <c r="E5" i="7"/>
  <c r="E7" i="7" s="1"/>
  <c r="AK10" i="8"/>
  <c r="AK6" i="9" s="1"/>
  <c r="L10" i="8"/>
  <c r="L6" i="9" s="1"/>
  <c r="AF6" i="7"/>
  <c r="R6" i="7"/>
  <c r="R7" i="7" s="1"/>
  <c r="D5" i="7"/>
  <c r="D7" i="7" s="1"/>
  <c r="AH10" i="8"/>
  <c r="AH6" i="9" s="1"/>
  <c r="J10" i="8"/>
  <c r="J6" i="9" s="1"/>
  <c r="AE6" i="7"/>
  <c r="AE7" i="7" s="1"/>
  <c r="Q6" i="7"/>
  <c r="Q7" i="7" s="1"/>
  <c r="C5" i="7"/>
  <c r="C7" i="7" s="1"/>
  <c r="AF10" i="8"/>
  <c r="AF6" i="9" s="1"/>
  <c r="I10" i="8"/>
  <c r="I6" i="9" s="1"/>
  <c r="AR6" i="7"/>
  <c r="AD6" i="7"/>
  <c r="P6" i="7"/>
  <c r="P7" i="7" s="1"/>
  <c r="J11" i="14"/>
  <c r="J12" i="14" s="1"/>
  <c r="J34" i="14" s="1"/>
  <c r="AA10" i="8"/>
  <c r="AA6" i="9" s="1"/>
  <c r="D10" i="8"/>
  <c r="D6" i="9" s="1"/>
  <c r="AO6" i="7"/>
  <c r="AO7" i="7" s="1"/>
  <c r="AA6" i="7"/>
  <c r="AA7" i="7" s="1"/>
  <c r="M6" i="7"/>
  <c r="M7" i="7" s="1"/>
  <c r="G11" i="14"/>
  <c r="G12" i="14" s="1"/>
  <c r="G34" i="14" s="1"/>
  <c r="Z10" i="8"/>
  <c r="Z6" i="9" s="1"/>
  <c r="AN6" i="7"/>
  <c r="AN7" i="7" s="1"/>
  <c r="Z6" i="7"/>
  <c r="L6" i="7"/>
  <c r="D11" i="14"/>
  <c r="D12" i="14" s="1"/>
  <c r="D34" i="14" s="1"/>
  <c r="X10" i="8"/>
  <c r="X6" i="9" s="1"/>
  <c r="AM6" i="7"/>
  <c r="Y6" i="7"/>
  <c r="K6" i="7"/>
  <c r="S10" i="8"/>
  <c r="S6" i="9" s="1"/>
  <c r="G10" i="8"/>
  <c r="G6" i="9" s="1"/>
  <c r="V6" i="7"/>
  <c r="U6" i="7"/>
  <c r="U7" i="7" s="1"/>
  <c r="T6" i="7"/>
  <c r="T7" i="7" s="1"/>
  <c r="AQ6" i="7"/>
  <c r="AQ7" i="7" s="1"/>
  <c r="O6" i="7"/>
  <c r="O7" i="7" s="1"/>
  <c r="AL6" i="7"/>
  <c r="AL7" i="7" s="1"/>
  <c r="J6" i="7"/>
  <c r="J7" i="7" s="1"/>
  <c r="AN10" i="8"/>
  <c r="AN6" i="9" s="1"/>
  <c r="AK6" i="7"/>
  <c r="AK7" i="7" s="1"/>
  <c r="I6" i="7"/>
  <c r="I7" i="7" s="1"/>
  <c r="AE10" i="8"/>
  <c r="AE6" i="9" s="1"/>
  <c r="AJ6" i="7"/>
  <c r="AJ7" i="7" s="1"/>
  <c r="H5" i="7"/>
  <c r="H7" i="7" s="1"/>
  <c r="Q10" i="8"/>
  <c r="Q6" i="9" s="1"/>
  <c r="AB6" i="7"/>
  <c r="AB7" i="7" s="1"/>
  <c r="R13" i="5"/>
  <c r="X7" i="7"/>
  <c r="W6" i="7"/>
  <c r="W7" i="7" s="1"/>
  <c r="V10" i="8"/>
  <c r="V6" i="9" s="1"/>
  <c r="D33" i="14"/>
  <c r="V13" i="5"/>
  <c r="V5" i="5"/>
  <c r="I13" i="5"/>
  <c r="I5" i="5"/>
  <c r="AL14" i="5"/>
  <c r="AL15" i="5" s="1"/>
  <c r="B19" i="3"/>
  <c r="C19" i="3" s="1"/>
  <c r="K7" i="7"/>
  <c r="Y7" i="7"/>
  <c r="AM7" i="7"/>
  <c r="X6" i="7"/>
  <c r="W10" i="8"/>
  <c r="W6" i="9" s="1"/>
  <c r="L30" i="14"/>
  <c r="L35" i="14" s="1"/>
  <c r="L29" i="14"/>
  <c r="H13" i="5"/>
  <c r="H5" i="5"/>
  <c r="K11" i="7"/>
  <c r="N13" i="5"/>
  <c r="F11" i="9"/>
  <c r="F12" i="9" s="1"/>
  <c r="AI7" i="7"/>
  <c r="W14" i="5"/>
  <c r="W15" i="5" s="1"/>
  <c r="AK15" i="5"/>
  <c r="AK14" i="5"/>
  <c r="AD15" i="5"/>
  <c r="AD11" i="7" s="1"/>
  <c r="G7" i="7"/>
  <c r="AO21" i="4"/>
  <c r="AO10" i="7" s="1"/>
  <c r="X15" i="5"/>
  <c r="X14" i="5"/>
  <c r="M14" i="5"/>
  <c r="M15" i="5" s="1"/>
  <c r="AA15" i="5"/>
  <c r="AA14" i="5"/>
  <c r="AO14" i="5"/>
  <c r="AO15" i="5" s="1"/>
  <c r="S10" i="5"/>
  <c r="AC6" i="7"/>
  <c r="AC7" i="7" s="1"/>
  <c r="AC10" i="8"/>
  <c r="AC6" i="9" s="1"/>
  <c r="AF7" i="7"/>
  <c r="AJ5" i="5"/>
  <c r="W5" i="5"/>
  <c r="AK5" i="5"/>
  <c r="I29" i="14"/>
  <c r="I30" i="14" s="1"/>
  <c r="I35" i="14" s="1"/>
  <c r="J5" i="5"/>
  <c r="X5" i="5"/>
  <c r="AL5" i="5"/>
  <c r="I11" i="13"/>
  <c r="C21" i="13"/>
  <c r="L7" i="7"/>
  <c r="Z7" i="7"/>
  <c r="I16" i="13"/>
  <c r="I26" i="13"/>
  <c r="I33" i="13"/>
  <c r="O33" i="14"/>
  <c r="O19" i="14"/>
  <c r="E29" i="14"/>
  <c r="E30" i="14" s="1"/>
  <c r="E35" i="14" s="1"/>
  <c r="M5" i="5"/>
  <c r="AA5" i="5"/>
  <c r="AO5" i="5"/>
  <c r="M28" i="14"/>
  <c r="O18" i="14"/>
  <c r="O5" i="5"/>
  <c r="AC5" i="5"/>
  <c r="AQ5" i="5"/>
  <c r="O23" i="14"/>
  <c r="K28" i="14"/>
  <c r="H21" i="13"/>
  <c r="H43" i="13" s="1"/>
  <c r="O6" i="14"/>
  <c r="O21" i="14"/>
  <c r="I8" i="13"/>
  <c r="C42" i="13"/>
  <c r="D37" i="13"/>
  <c r="O5" i="14"/>
  <c r="G37" i="13"/>
  <c r="E37" i="13"/>
  <c r="F8" i="14"/>
  <c r="F33" i="14" s="1"/>
  <c r="I15" i="13"/>
  <c r="I8" i="14"/>
  <c r="I33" i="14" s="1"/>
  <c r="H8" i="14"/>
  <c r="H33" i="14" s="1"/>
  <c r="I6" i="13"/>
  <c r="I13" i="13"/>
  <c r="I20" i="13"/>
  <c r="C28" i="14"/>
  <c r="O15" i="14"/>
  <c r="H28" i="14"/>
  <c r="I17" i="13"/>
  <c r="I24" i="13"/>
  <c r="I31" i="13"/>
  <c r="J28" i="14"/>
  <c r="N28" i="14"/>
  <c r="I25" i="13"/>
  <c r="I32" i="13"/>
  <c r="L8" i="14"/>
  <c r="L33" i="14" s="1"/>
  <c r="O26" i="14"/>
  <c r="I7" i="13"/>
  <c r="F21" i="13"/>
  <c r="F43" i="13" s="1"/>
  <c r="I30" i="13"/>
  <c r="C37" i="13"/>
  <c r="D28" i="14"/>
  <c r="O25" i="14"/>
  <c r="I14" i="13"/>
  <c r="O7" i="14"/>
  <c r="I5" i="13"/>
  <c r="I28" i="13"/>
  <c r="I35" i="13"/>
  <c r="F28" i="14"/>
  <c r="I12" i="13"/>
  <c r="I19" i="13"/>
  <c r="G28" i="14"/>
  <c r="Z20" i="7" l="1"/>
  <c r="K20" i="7"/>
  <c r="K21" i="7" s="1"/>
  <c r="K22" i="7" s="1"/>
  <c r="P11" i="9"/>
  <c r="P12" i="9" s="1"/>
  <c r="AF13" i="6"/>
  <c r="AF5" i="6"/>
  <c r="AF6" i="6"/>
  <c r="AF17" i="5"/>
  <c r="AF13" i="7" s="1"/>
  <c r="AF11" i="6"/>
  <c r="AF7" i="6"/>
  <c r="AF19" i="7"/>
  <c r="AF11" i="7"/>
  <c r="AF20" i="7" s="1"/>
  <c r="AP19" i="7"/>
  <c r="AP7" i="6"/>
  <c r="AP6" i="6"/>
  <c r="AP5" i="6"/>
  <c r="AP17" i="5"/>
  <c r="AP16" i="5"/>
  <c r="AP12" i="6"/>
  <c r="AP13" i="6"/>
  <c r="AH19" i="7"/>
  <c r="AH11" i="6"/>
  <c r="AH6" i="6"/>
  <c r="AH16" i="5"/>
  <c r="AH7" i="6"/>
  <c r="AH17" i="5"/>
  <c r="AH13" i="7" s="1"/>
  <c r="AH13" i="6"/>
  <c r="AH5" i="6"/>
  <c r="AH11" i="7"/>
  <c r="J19" i="7"/>
  <c r="J12" i="6"/>
  <c r="J11" i="6"/>
  <c r="J7" i="6"/>
  <c r="J6" i="6"/>
  <c r="J5" i="6"/>
  <c r="J17" i="5"/>
  <c r="J13" i="6"/>
  <c r="K16" i="5"/>
  <c r="AN11" i="9"/>
  <c r="AN12" i="9" s="1"/>
  <c r="AE11" i="9"/>
  <c r="AE12" i="9" s="1"/>
  <c r="F5" i="6"/>
  <c r="F6" i="6"/>
  <c r="F11" i="6"/>
  <c r="F19" i="7"/>
  <c r="F16" i="5"/>
  <c r="F13" i="6"/>
  <c r="F7" i="6"/>
  <c r="F17" i="5"/>
  <c r="F13" i="7" s="1"/>
  <c r="F20" i="7" s="1"/>
  <c r="F12" i="6"/>
  <c r="F11" i="7"/>
  <c r="AO11" i="9"/>
  <c r="AO12" i="9" s="1"/>
  <c r="AN14" i="6"/>
  <c r="AN19" i="6"/>
  <c r="AN20" i="6" s="1"/>
  <c r="AN5" i="8" s="1"/>
  <c r="R11" i="9"/>
  <c r="R12" i="9" s="1"/>
  <c r="M19" i="7"/>
  <c r="M12" i="6"/>
  <c r="M11" i="6"/>
  <c r="M7" i="6"/>
  <c r="M6" i="6"/>
  <c r="M5" i="6"/>
  <c r="M8" i="6" s="1"/>
  <c r="M17" i="5"/>
  <c r="M16" i="5"/>
  <c r="M13" i="6"/>
  <c r="W11" i="9"/>
  <c r="W12" i="9" s="1"/>
  <c r="T11" i="9"/>
  <c r="T12" i="9" s="1"/>
  <c r="M11" i="9"/>
  <c r="M12" i="9" s="1"/>
  <c r="W12" i="6"/>
  <c r="W7" i="6"/>
  <c r="W6" i="6"/>
  <c r="W5" i="6"/>
  <c r="W8" i="6" s="1"/>
  <c r="W17" i="5"/>
  <c r="W13" i="6"/>
  <c r="W19" i="7"/>
  <c r="AJ11" i="9"/>
  <c r="AJ12" i="9" s="1"/>
  <c r="AO7" i="6"/>
  <c r="AO6" i="6"/>
  <c r="AO5" i="6"/>
  <c r="AO8" i="6" s="1"/>
  <c r="AO17" i="5"/>
  <c r="AO12" i="6" s="1"/>
  <c r="AO16" i="5"/>
  <c r="AO19" i="7"/>
  <c r="AO13" i="6"/>
  <c r="O12" i="6"/>
  <c r="O11" i="6"/>
  <c r="O7" i="6"/>
  <c r="O6" i="6"/>
  <c r="O5" i="6"/>
  <c r="O8" i="6" s="1"/>
  <c r="O17" i="5"/>
  <c r="O19" i="7"/>
  <c r="O13" i="6"/>
  <c r="Q11" i="9"/>
  <c r="Q12" i="9" s="1"/>
  <c r="Z21" i="7"/>
  <c r="Z22" i="7"/>
  <c r="Z8" i="8" s="1"/>
  <c r="U11" i="9"/>
  <c r="U12" i="9" s="1"/>
  <c r="AA11" i="9"/>
  <c r="AA12" i="9" s="1"/>
  <c r="AL19" i="7"/>
  <c r="AL13" i="6"/>
  <c r="AL7" i="6"/>
  <c r="AL6" i="6"/>
  <c r="AL5" i="6"/>
  <c r="AL8" i="6" s="1"/>
  <c r="AL17" i="5"/>
  <c r="AL13" i="7" s="1"/>
  <c r="AL16" i="5"/>
  <c r="AL12" i="6"/>
  <c r="Y11" i="9"/>
  <c r="Y12" i="9" s="1"/>
  <c r="AQ11" i="9"/>
  <c r="AQ12" i="9" s="1"/>
  <c r="Y19" i="7"/>
  <c r="Y17" i="5"/>
  <c r="Y13" i="7" s="1"/>
  <c r="Y12" i="6"/>
  <c r="Y5" i="6"/>
  <c r="Y16" i="5"/>
  <c r="Y6" i="6"/>
  <c r="Y11" i="6"/>
  <c r="Y13" i="6"/>
  <c r="Y7" i="6"/>
  <c r="T19" i="7"/>
  <c r="T13" i="6"/>
  <c r="T7" i="6"/>
  <c r="T17" i="5"/>
  <c r="T13" i="7" s="1"/>
  <c r="T20" i="7" s="1"/>
  <c r="T6" i="6"/>
  <c r="T5" i="6"/>
  <c r="T11" i="6"/>
  <c r="T16" i="5"/>
  <c r="G19" i="7"/>
  <c r="G16" i="5"/>
  <c r="G11" i="6"/>
  <c r="G6" i="6"/>
  <c r="G12" i="6"/>
  <c r="G13" i="6"/>
  <c r="G7" i="6"/>
  <c r="G17" i="5"/>
  <c r="G13" i="7" s="1"/>
  <c r="G5" i="6"/>
  <c r="J29" i="14"/>
  <c r="J30" i="14" s="1"/>
  <c r="J35" i="14" s="1"/>
  <c r="J36" i="14" s="1"/>
  <c r="J37" i="14" s="1"/>
  <c r="AQ10" i="5"/>
  <c r="AQ11" i="7"/>
  <c r="X11" i="7"/>
  <c r="X10" i="5"/>
  <c r="X11" i="6" s="1"/>
  <c r="K11" i="9"/>
  <c r="K12" i="9" s="1"/>
  <c r="X11" i="9"/>
  <c r="X12" i="9" s="1"/>
  <c r="AM19" i="7"/>
  <c r="AM6" i="6"/>
  <c r="AM7" i="6"/>
  <c r="AM11" i="6"/>
  <c r="AM16" i="5"/>
  <c r="AM5" i="6"/>
  <c r="AM8" i="6" s="1"/>
  <c r="AM17" i="5"/>
  <c r="AM13" i="7" s="1"/>
  <c r="AM13" i="6"/>
  <c r="D29" i="14"/>
  <c r="D30" i="14"/>
  <c r="D35" i="14" s="1"/>
  <c r="D36" i="14" s="1"/>
  <c r="D37" i="14" s="1"/>
  <c r="M29" i="14"/>
  <c r="M30" i="14" s="1"/>
  <c r="M35" i="14" s="1"/>
  <c r="M36" i="14" s="1"/>
  <c r="M37" i="14" s="1"/>
  <c r="N14" i="5"/>
  <c r="N15" i="5" s="1"/>
  <c r="H11" i="9"/>
  <c r="H12" i="9" s="1"/>
  <c r="U19" i="7"/>
  <c r="U13" i="6"/>
  <c r="U17" i="5"/>
  <c r="U13" i="7" s="1"/>
  <c r="U5" i="6"/>
  <c r="U8" i="6" s="1"/>
  <c r="U11" i="6"/>
  <c r="U6" i="6"/>
  <c r="U16" i="5"/>
  <c r="U7" i="6"/>
  <c r="I37" i="13"/>
  <c r="C38" i="13"/>
  <c r="C39" i="13"/>
  <c r="D38" i="13"/>
  <c r="D39" i="13" s="1"/>
  <c r="D44" i="13" s="1"/>
  <c r="D45" i="13" s="1"/>
  <c r="D46" i="13" s="1"/>
  <c r="W11" i="7"/>
  <c r="W10" i="5"/>
  <c r="W11" i="6" s="1"/>
  <c r="I15" i="5"/>
  <c r="J16" i="5" s="1"/>
  <c r="I14" i="5"/>
  <c r="E36" i="14"/>
  <c r="E37" i="14" s="1"/>
  <c r="Q14" i="5"/>
  <c r="Q15" i="5" s="1"/>
  <c r="AB11" i="7"/>
  <c r="AB10" i="5"/>
  <c r="AR11" i="7"/>
  <c r="AR10" i="5"/>
  <c r="AM11" i="7"/>
  <c r="AM20" i="7" s="1"/>
  <c r="AR13" i="6"/>
  <c r="AR12" i="6"/>
  <c r="AR19" i="7"/>
  <c r="AR16" i="5"/>
  <c r="AR17" i="5"/>
  <c r="AR13" i="7" s="1"/>
  <c r="AR11" i="6"/>
  <c r="AR7" i="6"/>
  <c r="AR5" i="6"/>
  <c r="AR6" i="6"/>
  <c r="C20" i="3"/>
  <c r="D19" i="3"/>
  <c r="G39" i="13"/>
  <c r="G44" i="13" s="1"/>
  <c r="G45" i="13" s="1"/>
  <c r="G46" i="13" s="1"/>
  <c r="G38" i="13"/>
  <c r="AB11" i="9"/>
  <c r="AB12" i="9" s="1"/>
  <c r="AG11" i="9"/>
  <c r="AG12" i="9" s="1"/>
  <c r="D11" i="9"/>
  <c r="D12" i="9" s="1"/>
  <c r="C29" i="14"/>
  <c r="O28" i="14"/>
  <c r="C30" i="14"/>
  <c r="I42" i="13"/>
  <c r="AJ11" i="7"/>
  <c r="AJ10" i="5"/>
  <c r="X12" i="6"/>
  <c r="X7" i="6"/>
  <c r="X6" i="6"/>
  <c r="X5" i="6"/>
  <c r="X17" i="5"/>
  <c r="X16" i="5"/>
  <c r="X19" i="7"/>
  <c r="X13" i="6"/>
  <c r="H10" i="5"/>
  <c r="V10" i="5"/>
  <c r="AN16" i="5"/>
  <c r="AG19" i="7"/>
  <c r="AG13" i="6"/>
  <c r="AG11" i="6"/>
  <c r="AG16" i="5"/>
  <c r="AG6" i="6"/>
  <c r="AG17" i="5"/>
  <c r="AG13" i="7" s="1"/>
  <c r="AG7" i="6"/>
  <c r="AG5" i="6"/>
  <c r="AG8" i="6" s="1"/>
  <c r="AR11" i="9"/>
  <c r="AR12" i="9" s="1"/>
  <c r="C19" i="7"/>
  <c r="C13" i="6"/>
  <c r="C12" i="6"/>
  <c r="C5" i="6"/>
  <c r="C16" i="5"/>
  <c r="C11" i="6"/>
  <c r="C6" i="6"/>
  <c r="C7" i="6"/>
  <c r="C17" i="5"/>
  <c r="C13" i="7" s="1"/>
  <c r="H14" i="5"/>
  <c r="H15" i="5" s="1"/>
  <c r="I11" i="9"/>
  <c r="I12" i="9" s="1"/>
  <c r="AN13" i="7"/>
  <c r="AN20" i="7" s="1"/>
  <c r="Z16" i="5"/>
  <c r="N29" i="14"/>
  <c r="N30" i="14" s="1"/>
  <c r="N35" i="14" s="1"/>
  <c r="N36" i="14" s="1"/>
  <c r="N37" i="14" s="1"/>
  <c r="AL10" i="5"/>
  <c r="AL11" i="6" s="1"/>
  <c r="AL11" i="7"/>
  <c r="AL20" i="7" s="1"/>
  <c r="AC10" i="5"/>
  <c r="AC11" i="7"/>
  <c r="AA12" i="6"/>
  <c r="AA7" i="6"/>
  <c r="AA6" i="6"/>
  <c r="AA5" i="6"/>
  <c r="AA17" i="5"/>
  <c r="AA16" i="5"/>
  <c r="AA13" i="6"/>
  <c r="AA19" i="7"/>
  <c r="AI11" i="9"/>
  <c r="AI12" i="9" s="1"/>
  <c r="AB19" i="7"/>
  <c r="AB12" i="6"/>
  <c r="AB11" i="6"/>
  <c r="AB7" i="6"/>
  <c r="AB6" i="6"/>
  <c r="AB5" i="6"/>
  <c r="AB8" i="6" s="1"/>
  <c r="AB17" i="5"/>
  <c r="AB13" i="7" s="1"/>
  <c r="AB16" i="5"/>
  <c r="AB13" i="6"/>
  <c r="E19" i="7"/>
  <c r="E13" i="6"/>
  <c r="E11" i="6"/>
  <c r="E6" i="6"/>
  <c r="E5" i="6"/>
  <c r="E7" i="6"/>
  <c r="E17" i="5"/>
  <c r="E13" i="7" s="1"/>
  <c r="E20" i="7" s="1"/>
  <c r="E12" i="6"/>
  <c r="L19" i="6"/>
  <c r="L20" i="6" s="1"/>
  <c r="L5" i="8" s="1"/>
  <c r="L14" i="6"/>
  <c r="I36" i="14"/>
  <c r="I37" i="14" s="1"/>
  <c r="AK10" i="5"/>
  <c r="AK11" i="6" s="1"/>
  <c r="AK11" i="7"/>
  <c r="F45" i="13"/>
  <c r="F46" i="13" s="1"/>
  <c r="V14" i="5"/>
  <c r="V15" i="5" s="1"/>
  <c r="D14" i="5"/>
  <c r="D15" i="5"/>
  <c r="AQ11" i="6"/>
  <c r="AQ7" i="6"/>
  <c r="AQ6" i="6"/>
  <c r="AQ5" i="6"/>
  <c r="AQ8" i="6" s="1"/>
  <c r="AQ17" i="5"/>
  <c r="AQ13" i="7" s="1"/>
  <c r="AQ16" i="5"/>
  <c r="AQ12" i="6"/>
  <c r="AQ13" i="6"/>
  <c r="AQ19" i="7"/>
  <c r="C11" i="7"/>
  <c r="G29" i="14"/>
  <c r="G30" i="14" s="1"/>
  <c r="G35" i="14" s="1"/>
  <c r="G36" i="14" s="1"/>
  <c r="G37" i="14" s="1"/>
  <c r="AO11" i="7"/>
  <c r="AO10" i="5"/>
  <c r="AO11" i="6" s="1"/>
  <c r="Y11" i="7"/>
  <c r="AK11" i="9"/>
  <c r="AK12" i="9" s="1"/>
  <c r="E11" i="9"/>
  <c r="E12" i="9" s="1"/>
  <c r="O11" i="14"/>
  <c r="C12" i="14"/>
  <c r="AE14" i="5"/>
  <c r="AE15" i="5" s="1"/>
  <c r="AI19" i="7"/>
  <c r="AI13" i="6"/>
  <c r="AI6" i="6"/>
  <c r="AI7" i="6"/>
  <c r="AI11" i="6"/>
  <c r="AI16" i="5"/>
  <c r="AI17" i="5"/>
  <c r="AI13" i="7" s="1"/>
  <c r="AI20" i="7" s="1"/>
  <c r="AI5" i="6"/>
  <c r="S19" i="7"/>
  <c r="S13" i="6"/>
  <c r="S7" i="6"/>
  <c r="S17" i="5"/>
  <c r="S13" i="7" s="1"/>
  <c r="S20" i="7" s="1"/>
  <c r="S5" i="6"/>
  <c r="S6" i="6"/>
  <c r="S11" i="6"/>
  <c r="Z8" i="6"/>
  <c r="AG20" i="7"/>
  <c r="AM11" i="9"/>
  <c r="AM12" i="9" s="1"/>
  <c r="R15" i="5"/>
  <c r="R14" i="5"/>
  <c r="N11" i="9"/>
  <c r="N12" i="9" s="1"/>
  <c r="S11" i="9"/>
  <c r="S12" i="9" s="1"/>
  <c r="AF11" i="9"/>
  <c r="AF12" i="9" s="1"/>
  <c r="AA11" i="7"/>
  <c r="AA10" i="5"/>
  <c r="AA11" i="6" s="1"/>
  <c r="Z11" i="9"/>
  <c r="Z12" i="9" s="1"/>
  <c r="G11" i="9"/>
  <c r="G12" i="9" s="1"/>
  <c r="O8" i="14"/>
  <c r="AC19" i="7"/>
  <c r="AC11" i="6"/>
  <c r="AC7" i="6"/>
  <c r="AC6" i="6"/>
  <c r="AC5" i="6"/>
  <c r="AC8" i="6" s="1"/>
  <c r="AC17" i="5"/>
  <c r="AC13" i="7" s="1"/>
  <c r="AC16" i="5"/>
  <c r="AC13" i="6"/>
  <c r="K19" i="6"/>
  <c r="K20" i="6" s="1"/>
  <c r="K5" i="8" s="1"/>
  <c r="K14" i="6"/>
  <c r="K16" i="6" s="1"/>
  <c r="K4" i="8" s="1"/>
  <c r="AI11" i="7"/>
  <c r="O11" i="9"/>
  <c r="O12" i="9" s="1"/>
  <c r="C11" i="9"/>
  <c r="C12" i="9" s="1"/>
  <c r="AH11" i="9"/>
  <c r="AH12" i="9" s="1"/>
  <c r="P19" i="7"/>
  <c r="P13" i="6"/>
  <c r="P6" i="6"/>
  <c r="P5" i="6"/>
  <c r="P8" i="6" s="1"/>
  <c r="P11" i="6"/>
  <c r="P16" i="5"/>
  <c r="P7" i="6"/>
  <c r="P17" i="5"/>
  <c r="P13" i="7" s="1"/>
  <c r="P12" i="6"/>
  <c r="AN8" i="6"/>
  <c r="L11" i="9"/>
  <c r="L12" i="9" s="1"/>
  <c r="AD19" i="7"/>
  <c r="AD13" i="6"/>
  <c r="AD12" i="6"/>
  <c r="AD5" i="6"/>
  <c r="AD8" i="6" s="1"/>
  <c r="AD7" i="6"/>
  <c r="AD6" i="6"/>
  <c r="AD11" i="6"/>
  <c r="AD16" i="5"/>
  <c r="AD17" i="5"/>
  <c r="AD13" i="7" s="1"/>
  <c r="J11" i="9"/>
  <c r="J12" i="9" s="1"/>
  <c r="AJ19" i="7"/>
  <c r="AJ13" i="6"/>
  <c r="AJ11" i="6"/>
  <c r="AJ7" i="6"/>
  <c r="AJ6" i="6"/>
  <c r="AJ5" i="6"/>
  <c r="AJ8" i="6" s="1"/>
  <c r="AJ17" i="5"/>
  <c r="AJ16" i="5"/>
  <c r="AJ12" i="6"/>
  <c r="AD11" i="9"/>
  <c r="AD12" i="9" s="1"/>
  <c r="AP11" i="7"/>
  <c r="AP10" i="5"/>
  <c r="AP11" i="6" s="1"/>
  <c r="L20" i="7"/>
  <c r="Z14" i="6"/>
  <c r="Z19" i="6"/>
  <c r="Z20" i="6" s="1"/>
  <c r="Z5" i="8" s="1"/>
  <c r="L8" i="6"/>
  <c r="AK19" i="7"/>
  <c r="AK13" i="6"/>
  <c r="AK7" i="6"/>
  <c r="AK6" i="6"/>
  <c r="AK5" i="6"/>
  <c r="AK17" i="5"/>
  <c r="AK13" i="7" s="1"/>
  <c r="AK20" i="7" s="1"/>
  <c r="AK16" i="5"/>
  <c r="AK12" i="6"/>
  <c r="V11" i="9"/>
  <c r="V12" i="9" s="1"/>
  <c r="E38" i="13"/>
  <c r="E39" i="13"/>
  <c r="E44" i="13" s="1"/>
  <c r="E45" i="13" s="1"/>
  <c r="E46" i="13" s="1"/>
  <c r="J10" i="5"/>
  <c r="J11" i="7"/>
  <c r="O10" i="5"/>
  <c r="O11" i="7"/>
  <c r="P11" i="7"/>
  <c r="P20" i="7" s="1"/>
  <c r="H29" i="14"/>
  <c r="H30" i="14"/>
  <c r="H35" i="14" s="1"/>
  <c r="H36" i="14" s="1"/>
  <c r="H37" i="14" s="1"/>
  <c r="I10" i="5"/>
  <c r="L37" i="14"/>
  <c r="H45" i="13"/>
  <c r="H46" i="13" s="1"/>
  <c r="M11" i="7"/>
  <c r="M10" i="5"/>
  <c r="AC11" i="9"/>
  <c r="AC12" i="9" s="1"/>
  <c r="F30" i="14"/>
  <c r="F35" i="14" s="1"/>
  <c r="F36" i="14" s="1"/>
  <c r="F37" i="14" s="1"/>
  <c r="F29" i="14"/>
  <c r="K29" i="14"/>
  <c r="K30" i="14"/>
  <c r="K35" i="14" s="1"/>
  <c r="K36" i="14" s="1"/>
  <c r="K37" i="14" s="1"/>
  <c r="I21" i="13"/>
  <c r="C43" i="13"/>
  <c r="AL11" i="9"/>
  <c r="AL12" i="9" s="1"/>
  <c r="Z12" i="6"/>
  <c r="U11" i="7"/>
  <c r="G20" i="7" l="1"/>
  <c r="U20" i="7"/>
  <c r="U21" i="7" s="1"/>
  <c r="U22" i="7" s="1"/>
  <c r="AH20" i="7"/>
  <c r="AD20" i="7"/>
  <c r="C20" i="7"/>
  <c r="L16" i="6"/>
  <c r="L4" i="8" s="1"/>
  <c r="AN16" i="6"/>
  <c r="AN4" i="8" s="1"/>
  <c r="AN6" i="8" s="1"/>
  <c r="AN16" i="8" s="1"/>
  <c r="AR20" i="7"/>
  <c r="AR21" i="7" s="1"/>
  <c r="AR22" i="7" s="1"/>
  <c r="AQ20" i="7"/>
  <c r="Y20" i="7"/>
  <c r="Y21" i="7" s="1"/>
  <c r="Q19" i="7"/>
  <c r="Q13" i="6"/>
  <c r="Q11" i="6"/>
  <c r="Q16" i="5"/>
  <c r="Q7" i="6"/>
  <c r="Q17" i="5"/>
  <c r="Q13" i="7" s="1"/>
  <c r="Q12" i="6"/>
  <c r="Q5" i="6"/>
  <c r="Q6" i="6"/>
  <c r="Q11" i="7"/>
  <c r="AO14" i="6"/>
  <c r="AO16" i="6" s="1"/>
  <c r="AO4" i="8" s="1"/>
  <c r="AO19" i="6"/>
  <c r="AO20" i="6" s="1"/>
  <c r="AO5" i="8" s="1"/>
  <c r="V19" i="7"/>
  <c r="V12" i="6"/>
  <c r="V11" i="6"/>
  <c r="V7" i="6"/>
  <c r="V6" i="6"/>
  <c r="V5" i="6"/>
  <c r="V17" i="5"/>
  <c r="V13" i="7" s="1"/>
  <c r="V16" i="5"/>
  <c r="V13" i="6"/>
  <c r="V11" i="7"/>
  <c r="W16" i="5"/>
  <c r="AF21" i="7"/>
  <c r="AF22" i="7" s="1"/>
  <c r="AK21" i="7"/>
  <c r="AK22" i="7" s="1"/>
  <c r="W19" i="6"/>
  <c r="W20" i="6" s="1"/>
  <c r="W5" i="8" s="1"/>
  <c r="W14" i="6"/>
  <c r="W16" i="6" s="1"/>
  <c r="W4" i="8" s="1"/>
  <c r="G21" i="7"/>
  <c r="G22" i="7" s="1"/>
  <c r="AI21" i="7"/>
  <c r="AI22" i="7" s="1"/>
  <c r="C21" i="7"/>
  <c r="C22" i="7" s="1"/>
  <c r="AK19" i="6"/>
  <c r="AK20" i="6" s="1"/>
  <c r="AK5" i="8" s="1"/>
  <c r="AK14" i="6"/>
  <c r="N19" i="7"/>
  <c r="N12" i="6"/>
  <c r="N11" i="6"/>
  <c r="N7" i="6"/>
  <c r="N6" i="6"/>
  <c r="N5" i="6"/>
  <c r="N8" i="6" s="1"/>
  <c r="N17" i="5"/>
  <c r="N13" i="7" s="1"/>
  <c r="N16" i="5"/>
  <c r="N13" i="6"/>
  <c r="N11" i="7"/>
  <c r="O16" i="5"/>
  <c r="X14" i="6"/>
  <c r="X19" i="6"/>
  <c r="X20" i="6" s="1"/>
  <c r="X5" i="8" s="1"/>
  <c r="AP14" i="6"/>
  <c r="AP19" i="6"/>
  <c r="AP20" i="6" s="1"/>
  <c r="AP5" i="8" s="1"/>
  <c r="AE19" i="7"/>
  <c r="AE13" i="6"/>
  <c r="AE6" i="6"/>
  <c r="AE5" i="6"/>
  <c r="AE11" i="6"/>
  <c r="AE16" i="5"/>
  <c r="AE7" i="6"/>
  <c r="AE17" i="5"/>
  <c r="AE13" i="7" s="1"/>
  <c r="AE11" i="7"/>
  <c r="AE20" i="7" s="1"/>
  <c r="AF16" i="5"/>
  <c r="E21" i="7"/>
  <c r="E22" i="7" s="1"/>
  <c r="AL14" i="6"/>
  <c r="AL16" i="6" s="1"/>
  <c r="AL4" i="8" s="1"/>
  <c r="AL19" i="6"/>
  <c r="AL20" i="6" s="1"/>
  <c r="AL5" i="8" s="1"/>
  <c r="AH21" i="7"/>
  <c r="AH22" i="7" s="1"/>
  <c r="AL21" i="7"/>
  <c r="AL22" i="7" s="1"/>
  <c r="P21" i="7"/>
  <c r="P22" i="7" s="1"/>
  <c r="AD21" i="7"/>
  <c r="AD22" i="7" s="1"/>
  <c r="F21" i="7"/>
  <c r="F22" i="7"/>
  <c r="K8" i="8"/>
  <c r="K24" i="7"/>
  <c r="AA14" i="6"/>
  <c r="AA19" i="6"/>
  <c r="AA20" i="6" s="1"/>
  <c r="AA5" i="8" s="1"/>
  <c r="AM21" i="7"/>
  <c r="AM22" i="7" s="1"/>
  <c r="T21" i="7"/>
  <c r="T22" i="7" s="1"/>
  <c r="H19" i="7"/>
  <c r="H12" i="6"/>
  <c r="H11" i="6"/>
  <c r="H7" i="6"/>
  <c r="H6" i="6"/>
  <c r="H5" i="6"/>
  <c r="H8" i="6" s="1"/>
  <c r="H17" i="5"/>
  <c r="H13" i="7" s="1"/>
  <c r="H16" i="5"/>
  <c r="H13" i="6"/>
  <c r="H11" i="7"/>
  <c r="K6" i="8"/>
  <c r="AN21" i="7"/>
  <c r="AN22" i="7" s="1"/>
  <c r="D19" i="7"/>
  <c r="D13" i="6"/>
  <c r="D5" i="6"/>
  <c r="D11" i="6"/>
  <c r="D6" i="6"/>
  <c r="D16" i="5"/>
  <c r="D7" i="6"/>
  <c r="D12" i="6"/>
  <c r="D17" i="5"/>
  <c r="D13" i="7" s="1"/>
  <c r="D11" i="7"/>
  <c r="AA8" i="6"/>
  <c r="AR19" i="6"/>
  <c r="AR20" i="6" s="1"/>
  <c r="AR5" i="8" s="1"/>
  <c r="AR14" i="6"/>
  <c r="R13" i="6"/>
  <c r="R19" i="7"/>
  <c r="R16" i="5"/>
  <c r="R7" i="6"/>
  <c r="R17" i="5"/>
  <c r="R13" i="7" s="1"/>
  <c r="R12" i="6"/>
  <c r="R5" i="6"/>
  <c r="R8" i="6" s="1"/>
  <c r="R11" i="6"/>
  <c r="R6" i="6"/>
  <c r="R11" i="7"/>
  <c r="L6" i="8"/>
  <c r="L7" i="9"/>
  <c r="Z24" i="7"/>
  <c r="AI12" i="6"/>
  <c r="S21" i="7"/>
  <c r="S22" i="7" s="1"/>
  <c r="AI8" i="6"/>
  <c r="U12" i="6"/>
  <c r="U14" i="6" s="1"/>
  <c r="U16" i="6" s="1"/>
  <c r="U4" i="8" s="1"/>
  <c r="W13" i="7"/>
  <c r="W20" i="7" s="1"/>
  <c r="M13" i="7"/>
  <c r="M20" i="7" s="1"/>
  <c r="AJ14" i="6"/>
  <c r="AJ16" i="6" s="1"/>
  <c r="AJ4" i="8" s="1"/>
  <c r="AJ19" i="6"/>
  <c r="AJ20" i="6" s="1"/>
  <c r="AJ5" i="8" s="1"/>
  <c r="I19" i="7"/>
  <c r="I12" i="6"/>
  <c r="I11" i="6"/>
  <c r="I7" i="6"/>
  <c r="I6" i="6"/>
  <c r="I5" i="6"/>
  <c r="I17" i="5"/>
  <c r="I13" i="7" s="1"/>
  <c r="I16" i="5"/>
  <c r="I13" i="6"/>
  <c r="I43" i="13"/>
  <c r="C45" i="13"/>
  <c r="I11" i="7"/>
  <c r="L21" i="7"/>
  <c r="L22" i="7" s="1"/>
  <c r="AI14" i="6"/>
  <c r="AI19" i="6"/>
  <c r="AI20" i="6" s="1"/>
  <c r="AI5" i="8" s="1"/>
  <c r="G19" i="6"/>
  <c r="G20" i="6" s="1"/>
  <c r="G5" i="8" s="1"/>
  <c r="G14" i="6"/>
  <c r="J13" i="7"/>
  <c r="J20" i="7" s="1"/>
  <c r="S19" i="6"/>
  <c r="S20" i="6" s="1"/>
  <c r="S5" i="8" s="1"/>
  <c r="S16" i="5"/>
  <c r="AQ14" i="6"/>
  <c r="AQ16" i="6" s="1"/>
  <c r="AQ4" i="8" s="1"/>
  <c r="AQ19" i="6"/>
  <c r="AQ20" i="6" s="1"/>
  <c r="AQ5" i="8" s="1"/>
  <c r="E16" i="5"/>
  <c r="AB19" i="6"/>
  <c r="AB20" i="6" s="1"/>
  <c r="AB5" i="8" s="1"/>
  <c r="AB14" i="6"/>
  <c r="AC20" i="7"/>
  <c r="Y19" i="6"/>
  <c r="Y20" i="6" s="1"/>
  <c r="Y5" i="8" s="1"/>
  <c r="Y14" i="6"/>
  <c r="AO13" i="7"/>
  <c r="AO20" i="7" s="1"/>
  <c r="M19" i="6"/>
  <c r="M20" i="6" s="1"/>
  <c r="M5" i="8" s="1"/>
  <c r="M14" i="6"/>
  <c r="M16" i="6" s="1"/>
  <c r="M4" i="8" s="1"/>
  <c r="J8" i="6"/>
  <c r="AH14" i="6"/>
  <c r="AH19" i="6"/>
  <c r="AH20" i="6" s="1"/>
  <c r="AH5" i="8" s="1"/>
  <c r="Z16" i="6"/>
  <c r="Z4" i="8" s="1"/>
  <c r="AC14" i="6"/>
  <c r="AC16" i="6" s="1"/>
  <c r="AC4" i="8" s="1"/>
  <c r="AC19" i="6"/>
  <c r="AC20" i="6" s="1"/>
  <c r="AC5" i="8" s="1"/>
  <c r="S8" i="6"/>
  <c r="E8" i="6"/>
  <c r="I39" i="13"/>
  <c r="C44" i="13"/>
  <c r="I44" i="13" s="1"/>
  <c r="AK8" i="6"/>
  <c r="AK16" i="6" s="1"/>
  <c r="AK4" i="8" s="1"/>
  <c r="C19" i="6"/>
  <c r="C20" i="6" s="1"/>
  <c r="C5" i="8" s="1"/>
  <c r="C14" i="6"/>
  <c r="AG19" i="6"/>
  <c r="AG20" i="6" s="1"/>
  <c r="AG5" i="8" s="1"/>
  <c r="I38" i="13"/>
  <c r="AM19" i="6"/>
  <c r="AM20" i="6" s="1"/>
  <c r="AM5" i="8" s="1"/>
  <c r="Y8" i="6"/>
  <c r="F19" i="6"/>
  <c r="F20" i="6" s="1"/>
  <c r="F5" i="8" s="1"/>
  <c r="F14" i="6"/>
  <c r="J19" i="6"/>
  <c r="J20" i="6" s="1"/>
  <c r="J5" i="8" s="1"/>
  <c r="J14" i="6"/>
  <c r="AB16" i="6"/>
  <c r="AB4" i="8" s="1"/>
  <c r="AF19" i="6"/>
  <c r="AF20" i="6" s="1"/>
  <c r="AF5" i="8" s="1"/>
  <c r="AF14" i="6"/>
  <c r="AC12" i="6"/>
  <c r="O30" i="14"/>
  <c r="C35" i="14"/>
  <c r="O35" i="14" s="1"/>
  <c r="AQ21" i="7"/>
  <c r="AQ22" i="7" s="1"/>
  <c r="E19" i="6"/>
  <c r="E20" i="6" s="1"/>
  <c r="E5" i="8" s="1"/>
  <c r="E14" i="6"/>
  <c r="AG12" i="6"/>
  <c r="AG14" i="6" s="1"/>
  <c r="AG16" i="6" s="1"/>
  <c r="AG4" i="8" s="1"/>
  <c r="O29" i="14"/>
  <c r="C21" i="3"/>
  <c r="D20" i="3"/>
  <c r="T19" i="6"/>
  <c r="T20" i="6" s="1"/>
  <c r="T5" i="8" s="1"/>
  <c r="O13" i="7"/>
  <c r="O20" i="7" s="1"/>
  <c r="AF8" i="6"/>
  <c r="S12" i="6"/>
  <c r="S14" i="6" s="1"/>
  <c r="C8" i="6"/>
  <c r="T8" i="6"/>
  <c r="F8" i="6"/>
  <c r="AP13" i="7"/>
  <c r="AP20" i="7" s="1"/>
  <c r="AF12" i="6"/>
  <c r="X13" i="7"/>
  <c r="X20" i="7" s="1"/>
  <c r="AB20" i="7"/>
  <c r="AM12" i="6"/>
  <c r="AM14" i="6" s="1"/>
  <c r="AM16" i="6" s="1"/>
  <c r="AM4" i="8" s="1"/>
  <c r="T12" i="6"/>
  <c r="T14" i="6" s="1"/>
  <c r="AP8" i="6"/>
  <c r="AP16" i="6" s="1"/>
  <c r="AP4" i="8" s="1"/>
  <c r="U19" i="6"/>
  <c r="U20" i="6" s="1"/>
  <c r="U5" i="8" s="1"/>
  <c r="AD19" i="6"/>
  <c r="AD20" i="6" s="1"/>
  <c r="AD5" i="8" s="1"/>
  <c r="AD14" i="6"/>
  <c r="AD16" i="6" s="1"/>
  <c r="AD4" i="8" s="1"/>
  <c r="AJ13" i="7"/>
  <c r="AJ20" i="7" s="1"/>
  <c r="P19" i="6"/>
  <c r="P20" i="6" s="1"/>
  <c r="P5" i="8" s="1"/>
  <c r="P14" i="6"/>
  <c r="P16" i="6" s="1"/>
  <c r="P4" i="8" s="1"/>
  <c r="C34" i="14"/>
  <c r="O12" i="14"/>
  <c r="X8" i="6"/>
  <c r="X16" i="6" s="1"/>
  <c r="X4" i="8" s="1"/>
  <c r="AR8" i="6"/>
  <c r="AR16" i="6" s="1"/>
  <c r="AR4" i="8" s="1"/>
  <c r="G8" i="6"/>
  <c r="AH8" i="6"/>
  <c r="AG21" i="7"/>
  <c r="AG22" i="7" s="1"/>
  <c r="AA13" i="7"/>
  <c r="AA20" i="7" s="1"/>
  <c r="O19" i="6"/>
  <c r="O20" i="6" s="1"/>
  <c r="O5" i="8" s="1"/>
  <c r="O14" i="6"/>
  <c r="O16" i="6" s="1"/>
  <c r="O4" i="8" s="1"/>
  <c r="AH12" i="6"/>
  <c r="AA16" i="6" l="1"/>
  <c r="AA4" i="8" s="1"/>
  <c r="N20" i="7"/>
  <c r="I20" i="7"/>
  <c r="AI16" i="6"/>
  <c r="AI4" i="8" s="1"/>
  <c r="Y16" i="6"/>
  <c r="Y4" i="8" s="1"/>
  <c r="Y6" i="8" s="1"/>
  <c r="Y22" i="7"/>
  <c r="J16" i="6"/>
  <c r="J4" i="8" s="1"/>
  <c r="K7" i="9" s="1"/>
  <c r="Q20" i="7"/>
  <c r="K9" i="8"/>
  <c r="V20" i="7"/>
  <c r="V21" i="7" s="1"/>
  <c r="V22" i="7" s="1"/>
  <c r="R20" i="7"/>
  <c r="R21" i="7" s="1"/>
  <c r="R22" i="7" s="1"/>
  <c r="U6" i="8"/>
  <c r="AP21" i="7"/>
  <c r="AP22" i="7"/>
  <c r="AL8" i="8"/>
  <c r="AL24" i="7"/>
  <c r="AO7" i="9"/>
  <c r="AO6" i="8"/>
  <c r="AO16" i="8" s="1"/>
  <c r="P8" i="8"/>
  <c r="P24" i="7"/>
  <c r="AC7" i="9"/>
  <c r="AC6" i="8"/>
  <c r="J21" i="7"/>
  <c r="J22" i="7" s="1"/>
  <c r="AQ7" i="9"/>
  <c r="AQ6" i="8"/>
  <c r="AF8" i="8"/>
  <c r="AF24" i="7"/>
  <c r="AG8" i="8"/>
  <c r="AG24" i="7"/>
  <c r="AH8" i="8"/>
  <c r="AH24" i="7"/>
  <c r="C8" i="8"/>
  <c r="C24" i="7"/>
  <c r="AN8" i="8"/>
  <c r="AN24" i="7"/>
  <c r="M7" i="9"/>
  <c r="M6" i="8"/>
  <c r="M16" i="8" s="1"/>
  <c r="L8" i="8"/>
  <c r="L9" i="8" s="1"/>
  <c r="L24" i="7"/>
  <c r="AJ7" i="9"/>
  <c r="AJ6" i="8"/>
  <c r="AJ16" i="8"/>
  <c r="AI8" i="8"/>
  <c r="AI24" i="7"/>
  <c r="X21" i="7"/>
  <c r="X22" i="7" s="1"/>
  <c r="P7" i="9"/>
  <c r="P6" i="8"/>
  <c r="P9" i="8" s="1"/>
  <c r="P11" i="8" s="1"/>
  <c r="AJ21" i="7"/>
  <c r="AJ22" i="7" s="1"/>
  <c r="AM7" i="9"/>
  <c r="AM6" i="8"/>
  <c r="AM16" i="8" s="1"/>
  <c r="AN7" i="9"/>
  <c r="M21" i="7"/>
  <c r="M22" i="7" s="1"/>
  <c r="AQ8" i="8"/>
  <c r="AQ24" i="7"/>
  <c r="O6" i="8"/>
  <c r="O16" i="8" s="1"/>
  <c r="AG6" i="8"/>
  <c r="AG16" i="8"/>
  <c r="W21" i="7"/>
  <c r="W22" i="7" s="1"/>
  <c r="AD8" i="8"/>
  <c r="AD24" i="7"/>
  <c r="Q8" i="6"/>
  <c r="C16" i="6"/>
  <c r="C4" i="8" s="1"/>
  <c r="AK7" i="9"/>
  <c r="AK6" i="8"/>
  <c r="AK16" i="8"/>
  <c r="AB6" i="8"/>
  <c r="AB7" i="9"/>
  <c r="G16" i="6"/>
  <c r="G4" i="8" s="1"/>
  <c r="E16" i="6"/>
  <c r="E4" i="8" s="1"/>
  <c r="I45" i="13"/>
  <c r="C46" i="13"/>
  <c r="N21" i="7"/>
  <c r="N22" i="7"/>
  <c r="AR7" i="9"/>
  <c r="AR6" i="8"/>
  <c r="AR16" i="8" s="1"/>
  <c r="AP6" i="8"/>
  <c r="AP7" i="9"/>
  <c r="AP16" i="8"/>
  <c r="S16" i="6"/>
  <c r="S4" i="8" s="1"/>
  <c r="H19" i="6"/>
  <c r="H20" i="6" s="1"/>
  <c r="H5" i="8" s="1"/>
  <c r="H14" i="6"/>
  <c r="E8" i="8"/>
  <c r="E24" i="7"/>
  <c r="AK8" i="8"/>
  <c r="AK24" i="7"/>
  <c r="X7" i="9"/>
  <c r="X6" i="8"/>
  <c r="AA21" i="7"/>
  <c r="AA22" i="7" s="1"/>
  <c r="AA7" i="9"/>
  <c r="AA6" i="8"/>
  <c r="AA16" i="8"/>
  <c r="AE21" i="7"/>
  <c r="AE22" i="7" s="1"/>
  <c r="U8" i="8"/>
  <c r="U24" i="7"/>
  <c r="Y7" i="9"/>
  <c r="C36" i="14"/>
  <c r="O34" i="14"/>
  <c r="AB21" i="7"/>
  <c r="AB22" i="7" s="1"/>
  <c r="C22" i="3"/>
  <c r="D21" i="3"/>
  <c r="Z7" i="9"/>
  <c r="Z6" i="8"/>
  <c r="Z9" i="8" s="1"/>
  <c r="Z11" i="8" s="1"/>
  <c r="I21" i="7"/>
  <c r="I22" i="7" s="1"/>
  <c r="D20" i="7"/>
  <c r="K16" i="8"/>
  <c r="Q21" i="7"/>
  <c r="Q22" i="7" s="1"/>
  <c r="R19" i="6"/>
  <c r="R20" i="6" s="1"/>
  <c r="R5" i="8" s="1"/>
  <c r="R14" i="6"/>
  <c r="R16" i="6" s="1"/>
  <c r="R4" i="8" s="1"/>
  <c r="AR8" i="8"/>
  <c r="AR24" i="7"/>
  <c r="AI6" i="8"/>
  <c r="AI16" i="8"/>
  <c r="AE19" i="6"/>
  <c r="AE20" i="6" s="1"/>
  <c r="AE5" i="8" s="1"/>
  <c r="AD7" i="9"/>
  <c r="AD6" i="8"/>
  <c r="AD16" i="8" s="1"/>
  <c r="F16" i="6"/>
  <c r="F4" i="8" s="1"/>
  <c r="AN9" i="8"/>
  <c r="H20" i="7"/>
  <c r="AE8" i="6"/>
  <c r="J6" i="8"/>
  <c r="S8" i="8"/>
  <c r="S24" i="7"/>
  <c r="AL6" i="8"/>
  <c r="AL16" i="8"/>
  <c r="AL7" i="9"/>
  <c r="T16" i="6"/>
  <c r="T4" i="8" s="1"/>
  <c r="AO21" i="7"/>
  <c r="AO22" i="7" s="1"/>
  <c r="I8" i="6"/>
  <c r="D19" i="6"/>
  <c r="D20" i="6" s="1"/>
  <c r="D5" i="8" s="1"/>
  <c r="D14" i="6"/>
  <c r="AE12" i="6"/>
  <c r="AE14" i="6" s="1"/>
  <c r="G8" i="8"/>
  <c r="G24" i="7"/>
  <c r="V8" i="6"/>
  <c r="V16" i="6" s="1"/>
  <c r="V4" i="8" s="1"/>
  <c r="AM8" i="8"/>
  <c r="AM24" i="7"/>
  <c r="W6" i="8"/>
  <c r="W16" i="8" s="1"/>
  <c r="D8" i="6"/>
  <c r="Q19" i="6"/>
  <c r="Q20" i="6" s="1"/>
  <c r="Q5" i="8" s="1"/>
  <c r="Q14" i="6"/>
  <c r="Y8" i="8"/>
  <c r="Y24" i="7"/>
  <c r="O21" i="7"/>
  <c r="O22" i="7" s="1"/>
  <c r="T8" i="8"/>
  <c r="T24" i="7"/>
  <c r="L16" i="8"/>
  <c r="H16" i="6"/>
  <c r="H4" i="8" s="1"/>
  <c r="F8" i="8"/>
  <c r="F24" i="7"/>
  <c r="N19" i="6"/>
  <c r="N20" i="6" s="1"/>
  <c r="N5" i="8" s="1"/>
  <c r="N14" i="6"/>
  <c r="N16" i="6" s="1"/>
  <c r="N4" i="8" s="1"/>
  <c r="AH16" i="6"/>
  <c r="AH4" i="8" s="1"/>
  <c r="AI7" i="9" s="1"/>
  <c r="AF16" i="6"/>
  <c r="AF4" i="8" s="1"/>
  <c r="AC21" i="7"/>
  <c r="AC22" i="7" s="1"/>
  <c r="I14" i="6"/>
  <c r="I19" i="6"/>
  <c r="I20" i="6" s="1"/>
  <c r="I5" i="8" s="1"/>
  <c r="V19" i="6"/>
  <c r="V20" i="6" s="1"/>
  <c r="V5" i="8" s="1"/>
  <c r="V14" i="6"/>
  <c r="K11" i="8" l="1"/>
  <c r="K12" i="8" s="1"/>
  <c r="K13" i="8" s="1"/>
  <c r="K17" i="8"/>
  <c r="P16" i="8"/>
  <c r="Z16" i="8"/>
  <c r="AG9" i="8"/>
  <c r="AG11" i="8" s="1"/>
  <c r="AL9" i="8"/>
  <c r="AJ8" i="8"/>
  <c r="AJ24" i="7"/>
  <c r="V8" i="8"/>
  <c r="V24" i="7"/>
  <c r="R8" i="8"/>
  <c r="R24" i="7"/>
  <c r="AB8" i="8"/>
  <c r="AB9" i="8" s="1"/>
  <c r="AB24" i="7"/>
  <c r="J8" i="8"/>
  <c r="J24" i="7"/>
  <c r="W8" i="8"/>
  <c r="W24" i="7"/>
  <c r="Q8" i="8"/>
  <c r="Q24" i="7"/>
  <c r="AC8" i="8"/>
  <c r="AC24" i="7"/>
  <c r="AO8" i="8"/>
  <c r="AO9" i="8" s="1"/>
  <c r="AO24" i="7"/>
  <c r="K5" i="9"/>
  <c r="K8" i="9" s="1"/>
  <c r="K14" i="9" s="1"/>
  <c r="K18" i="8"/>
  <c r="L11" i="8"/>
  <c r="L17" i="8"/>
  <c r="I8" i="8"/>
  <c r="I24" i="7"/>
  <c r="AA8" i="8"/>
  <c r="AA9" i="8" s="1"/>
  <c r="AA24" i="7"/>
  <c r="AQ9" i="8"/>
  <c r="H21" i="7"/>
  <c r="H22" i="7" s="1"/>
  <c r="X8" i="8"/>
  <c r="X9" i="8" s="1"/>
  <c r="X24" i="7"/>
  <c r="O8" i="8"/>
  <c r="O9" i="8" s="1"/>
  <c r="O24" i="7"/>
  <c r="C23" i="3"/>
  <c r="D22" i="3"/>
  <c r="AF6" i="8"/>
  <c r="AF9" i="8" s="1"/>
  <c r="AF11" i="8" s="1"/>
  <c r="AH7" i="9"/>
  <c r="AH6" i="8"/>
  <c r="AH9" i="8" s="1"/>
  <c r="AH11" i="8" s="1"/>
  <c r="AG17" i="8"/>
  <c r="O36" i="14"/>
  <c r="C37" i="14"/>
  <c r="AP8" i="8"/>
  <c r="AP9" i="8" s="1"/>
  <c r="AP24" i="7"/>
  <c r="D16" i="6"/>
  <c r="D4" i="8" s="1"/>
  <c r="E7" i="9" s="1"/>
  <c r="F6" i="8"/>
  <c r="F9" i="8" s="1"/>
  <c r="F11" i="8" s="1"/>
  <c r="F7" i="9"/>
  <c r="AB16" i="8"/>
  <c r="AQ16" i="8"/>
  <c r="AK9" i="8"/>
  <c r="AC9" i="8"/>
  <c r="D21" i="7"/>
  <c r="D22" i="7"/>
  <c r="Y9" i="8"/>
  <c r="Y16" i="8"/>
  <c r="N8" i="8"/>
  <c r="N24" i="7"/>
  <c r="U9" i="8"/>
  <c r="X16" i="8"/>
  <c r="AN11" i="8"/>
  <c r="AN17" i="8"/>
  <c r="M8" i="8"/>
  <c r="M9" i="8" s="1"/>
  <c r="M24" i="7"/>
  <c r="AD9" i="8"/>
  <c r="V7" i="9"/>
  <c r="V6" i="8"/>
  <c r="V9" i="8" s="1"/>
  <c r="V11" i="8" s="1"/>
  <c r="V16" i="8"/>
  <c r="N7" i="9"/>
  <c r="N6" i="8"/>
  <c r="N9" i="8" s="1"/>
  <c r="N11" i="8" s="1"/>
  <c r="AG12" i="8"/>
  <c r="AG13" i="8" s="1"/>
  <c r="AR9" i="8"/>
  <c r="AG7" i="9"/>
  <c r="AJ9" i="8"/>
  <c r="J9" i="8"/>
  <c r="W7" i="9"/>
  <c r="I16" i="6"/>
  <c r="I4" i="8" s="1"/>
  <c r="O7" i="9"/>
  <c r="AC16" i="8"/>
  <c r="U16" i="8"/>
  <c r="R6" i="8"/>
  <c r="R9" i="8" s="1"/>
  <c r="R11" i="8" s="1"/>
  <c r="R16" i="8"/>
  <c r="AM9" i="8"/>
  <c r="H6" i="8"/>
  <c r="H16" i="8" s="1"/>
  <c r="H7" i="9"/>
  <c r="J16" i="8"/>
  <c r="AI9" i="8"/>
  <c r="Z17" i="8"/>
  <c r="I46" i="13"/>
  <c r="C47" i="13"/>
  <c r="D47" i="13" s="1"/>
  <c r="E47" i="13" s="1"/>
  <c r="F47" i="13" s="1"/>
  <c r="G47" i="13" s="1"/>
  <c r="H47" i="13" s="1"/>
  <c r="I47" i="13" s="1"/>
  <c r="C6" i="8"/>
  <c r="C9" i="8" s="1"/>
  <c r="C11" i="8" s="1"/>
  <c r="C7" i="9"/>
  <c r="C17" i="8"/>
  <c r="P17" i="8"/>
  <c r="Q16" i="6"/>
  <c r="Q4" i="8" s="1"/>
  <c r="G7" i="9"/>
  <c r="G6" i="8"/>
  <c r="G9" i="8" s="1"/>
  <c r="G11" i="8" s="1"/>
  <c r="AE8" i="8"/>
  <c r="AE24" i="7"/>
  <c r="S7" i="9"/>
  <c r="S6" i="8"/>
  <c r="S9" i="8" s="1"/>
  <c r="S11" i="8" s="1"/>
  <c r="W9" i="8"/>
  <c r="T6" i="8"/>
  <c r="T9" i="8" s="1"/>
  <c r="T11" i="8" s="1"/>
  <c r="T7" i="9"/>
  <c r="AE16" i="6"/>
  <c r="AE4" i="8" s="1"/>
  <c r="AF7" i="9" s="1"/>
  <c r="Z12" i="8"/>
  <c r="Z13" i="8" s="1"/>
  <c r="E6" i="8"/>
  <c r="E9" i="8" s="1"/>
  <c r="E11" i="8" s="1"/>
  <c r="P12" i="8"/>
  <c r="P13" i="8" s="1"/>
  <c r="U7" i="9"/>
  <c r="R17" i="8" l="1"/>
  <c r="C16" i="8"/>
  <c r="E16" i="8"/>
  <c r="AF17" i="8"/>
  <c r="AL11" i="8"/>
  <c r="AL17" i="8"/>
  <c r="F16" i="8"/>
  <c r="E17" i="8"/>
  <c r="G17" i="8"/>
  <c r="F17" i="8"/>
  <c r="O11" i="8"/>
  <c r="O17" i="8"/>
  <c r="AA11" i="8"/>
  <c r="AA17" i="8"/>
  <c r="Z5" i="9"/>
  <c r="Z8" i="9" s="1"/>
  <c r="Z14" i="9" s="1"/>
  <c r="Z18" i="8"/>
  <c r="M11" i="8"/>
  <c r="M17" i="8"/>
  <c r="T17" i="8"/>
  <c r="Q6" i="8"/>
  <c r="Q9" i="8" s="1"/>
  <c r="Q11" i="8" s="1"/>
  <c r="Q7" i="9"/>
  <c r="V12" i="8"/>
  <c r="V13" i="8" s="1"/>
  <c r="Y11" i="8"/>
  <c r="Y17" i="8"/>
  <c r="X11" i="8"/>
  <c r="X17" i="8"/>
  <c r="D8" i="8"/>
  <c r="D24" i="7"/>
  <c r="C38" i="14"/>
  <c r="D38" i="14" s="1"/>
  <c r="E38" i="14" s="1"/>
  <c r="F38" i="14" s="1"/>
  <c r="G38" i="14" s="1"/>
  <c r="H38" i="14" s="1"/>
  <c r="I38" i="14" s="1"/>
  <c r="J38" i="14" s="1"/>
  <c r="K38" i="14" s="1"/>
  <c r="L38" i="14" s="1"/>
  <c r="M38" i="14" s="1"/>
  <c r="N38" i="14" s="1"/>
  <c r="O38" i="14" s="1"/>
  <c r="O37" i="14"/>
  <c r="T12" i="8"/>
  <c r="T13" i="8" s="1"/>
  <c r="AB11" i="8"/>
  <c r="AB17" i="8"/>
  <c r="S17" i="8"/>
  <c r="AM11" i="8"/>
  <c r="AM17" i="8"/>
  <c r="P5" i="9"/>
  <c r="P8" i="9" s="1"/>
  <c r="P14" i="9" s="1"/>
  <c r="P18" i="8"/>
  <c r="S12" i="8"/>
  <c r="S13" i="8" s="1"/>
  <c r="AD11" i="8"/>
  <c r="AD17" i="8"/>
  <c r="AK11" i="8"/>
  <c r="AK17" i="8"/>
  <c r="AG5" i="9"/>
  <c r="AG8" i="9" s="1"/>
  <c r="AG14" i="9" s="1"/>
  <c r="AG18" i="8"/>
  <c r="E12" i="8"/>
  <c r="E13" i="8"/>
  <c r="C12" i="8"/>
  <c r="C13" i="8" s="1"/>
  <c r="L12" i="8"/>
  <c r="L13" i="8"/>
  <c r="AP11" i="8"/>
  <c r="AP17" i="8"/>
  <c r="W11" i="8"/>
  <c r="W17" i="8"/>
  <c r="J11" i="8"/>
  <c r="J17" i="8"/>
  <c r="N12" i="8"/>
  <c r="N13" i="8" s="1"/>
  <c r="AH17" i="8"/>
  <c r="AJ11" i="8"/>
  <c r="AJ17" i="8"/>
  <c r="AC11" i="8"/>
  <c r="AC17" i="8"/>
  <c r="AR11" i="8"/>
  <c r="AR17" i="8"/>
  <c r="AH12" i="8"/>
  <c r="AH13" i="8"/>
  <c r="R7" i="9"/>
  <c r="AN12" i="8"/>
  <c r="AN13" i="8" s="1"/>
  <c r="R12" i="8"/>
  <c r="R13" i="8" s="1"/>
  <c r="AH16" i="8"/>
  <c r="C24" i="3"/>
  <c r="D24" i="3" s="1"/>
  <c r="D23" i="3"/>
  <c r="S16" i="8"/>
  <c r="N16" i="8"/>
  <c r="G12" i="8"/>
  <c r="G13" i="8" s="1"/>
  <c r="N17" i="8"/>
  <c r="U11" i="8"/>
  <c r="U17" i="8"/>
  <c r="AO11" i="8"/>
  <c r="AO17" i="8"/>
  <c r="AE6" i="8"/>
  <c r="AE9" i="8" s="1"/>
  <c r="AE11" i="8" s="1"/>
  <c r="AE7" i="9"/>
  <c r="G16" i="8"/>
  <c r="AI11" i="8"/>
  <c r="AI17" i="8"/>
  <c r="F12" i="8"/>
  <c r="F13" i="8"/>
  <c r="AF12" i="8"/>
  <c r="AF13" i="8"/>
  <c r="T16" i="8"/>
  <c r="H8" i="8"/>
  <c r="H9" i="8" s="1"/>
  <c r="H24" i="7"/>
  <c r="I7" i="9"/>
  <c r="I6" i="8"/>
  <c r="I9" i="8" s="1"/>
  <c r="I11" i="8" s="1"/>
  <c r="J7" i="9"/>
  <c r="V17" i="8"/>
  <c r="D6" i="8"/>
  <c r="D7" i="9"/>
  <c r="AF16" i="8"/>
  <c r="AQ11" i="8"/>
  <c r="AQ17" i="8"/>
  <c r="AE16" i="8" l="1"/>
  <c r="Q16" i="8"/>
  <c r="D9" i="8"/>
  <c r="D11" i="8" s="1"/>
  <c r="AL12" i="8"/>
  <c r="AL13" i="8" s="1"/>
  <c r="R5" i="9"/>
  <c r="R8" i="9" s="1"/>
  <c r="R14" i="9" s="1"/>
  <c r="R18" i="8"/>
  <c r="N5" i="9"/>
  <c r="N8" i="9" s="1"/>
  <c r="N14" i="9" s="1"/>
  <c r="N18" i="8"/>
  <c r="AN5" i="9"/>
  <c r="AN8" i="9" s="1"/>
  <c r="AN14" i="9" s="1"/>
  <c r="AN18" i="8"/>
  <c r="H11" i="8"/>
  <c r="H17" i="8"/>
  <c r="C5" i="9"/>
  <c r="C8" i="9" s="1"/>
  <c r="C14" i="9" s="1"/>
  <c r="C18" i="8"/>
  <c r="G5" i="9"/>
  <c r="G8" i="9" s="1"/>
  <c r="G14" i="9" s="1"/>
  <c r="G18" i="8"/>
  <c r="D12" i="8"/>
  <c r="D13" i="8"/>
  <c r="Q17" i="8"/>
  <c r="AK12" i="8"/>
  <c r="AK13" i="8" s="1"/>
  <c r="AF5" i="9"/>
  <c r="AF8" i="9" s="1"/>
  <c r="AF14" i="9" s="1"/>
  <c r="AF18" i="8"/>
  <c r="W12" i="8"/>
  <c r="W13" i="8" s="1"/>
  <c r="AP12" i="8"/>
  <c r="AP13" i="8" s="1"/>
  <c r="I12" i="8"/>
  <c r="I13" i="8"/>
  <c r="D16" i="8"/>
  <c r="S5" i="9"/>
  <c r="S8" i="9" s="1"/>
  <c r="S14" i="9" s="1"/>
  <c r="S18" i="8"/>
  <c r="AR12" i="8"/>
  <c r="AR13" i="8" s="1"/>
  <c r="AI12" i="8"/>
  <c r="AI13" i="8" s="1"/>
  <c r="AE12" i="8"/>
  <c r="AE13" i="8" s="1"/>
  <c r="AJ12" i="8"/>
  <c r="AJ13" i="8" s="1"/>
  <c r="T5" i="9"/>
  <c r="T8" i="9" s="1"/>
  <c r="T14" i="9" s="1"/>
  <c r="T18" i="8"/>
  <c r="X12" i="8"/>
  <c r="X13" i="8"/>
  <c r="AA12" i="8"/>
  <c r="AA13" i="8"/>
  <c r="AO12" i="8"/>
  <c r="AO13" i="8" s="1"/>
  <c r="AH5" i="9"/>
  <c r="AH8" i="9" s="1"/>
  <c r="AH14" i="9" s="1"/>
  <c r="AH18" i="8"/>
  <c r="Q12" i="8"/>
  <c r="Q13" i="8" s="1"/>
  <c r="D17" i="8"/>
  <c r="L5" i="9"/>
  <c r="L8" i="9" s="1"/>
  <c r="L14" i="9" s="1"/>
  <c r="L18" i="8"/>
  <c r="M12" i="8"/>
  <c r="M13" i="8" s="1"/>
  <c r="I16" i="8"/>
  <c r="AC12" i="8"/>
  <c r="AC13" i="8"/>
  <c r="I17" i="8"/>
  <c r="E5" i="9"/>
  <c r="E8" i="9" s="1"/>
  <c r="E14" i="9" s="1"/>
  <c r="E18" i="8"/>
  <c r="AM12" i="8"/>
  <c r="AM13" i="8" s="1"/>
  <c r="Y12" i="8"/>
  <c r="Y13" i="8" s="1"/>
  <c r="AE17" i="8"/>
  <c r="J12" i="8"/>
  <c r="J13" i="8"/>
  <c r="U12" i="8"/>
  <c r="U13" i="8"/>
  <c r="AD12" i="8"/>
  <c r="AD13" i="8" s="1"/>
  <c r="F5" i="9"/>
  <c r="F8" i="9" s="1"/>
  <c r="F14" i="9" s="1"/>
  <c r="F18" i="8"/>
  <c r="AQ12" i="8"/>
  <c r="AQ13" i="8" s="1"/>
  <c r="AB12" i="8"/>
  <c r="AB13" i="8" s="1"/>
  <c r="V5" i="9"/>
  <c r="V8" i="9" s="1"/>
  <c r="V14" i="9" s="1"/>
  <c r="V18" i="8"/>
  <c r="O12" i="8"/>
  <c r="O13" i="8" s="1"/>
  <c r="AL18" i="8" l="1"/>
  <c r="AL5" i="9"/>
  <c r="AL8" i="9" s="1"/>
  <c r="AL14" i="9" s="1"/>
  <c r="Q5" i="9"/>
  <c r="Q8" i="9" s="1"/>
  <c r="Q14" i="9" s="1"/>
  <c r="Q18" i="8"/>
  <c r="AR5" i="9"/>
  <c r="AR8" i="9" s="1"/>
  <c r="AR14" i="9" s="1"/>
  <c r="AR18" i="8"/>
  <c r="Y5" i="9"/>
  <c r="Y8" i="9" s="1"/>
  <c r="Y14" i="9" s="1"/>
  <c r="Y18" i="8"/>
  <c r="O5" i="9"/>
  <c r="O8" i="9" s="1"/>
  <c r="O14" i="9" s="1"/>
  <c r="O18" i="8"/>
  <c r="AO5" i="9"/>
  <c r="AO8" i="9" s="1"/>
  <c r="AO14" i="9" s="1"/>
  <c r="AO18" i="8"/>
  <c r="AB5" i="9"/>
  <c r="AB8" i="9" s="1"/>
  <c r="AB14" i="9" s="1"/>
  <c r="AB18" i="8"/>
  <c r="AQ5" i="9"/>
  <c r="AQ8" i="9" s="1"/>
  <c r="AQ14" i="9" s="1"/>
  <c r="AQ18" i="8"/>
  <c r="W5" i="9"/>
  <c r="W8" i="9" s="1"/>
  <c r="W14" i="9" s="1"/>
  <c r="W18" i="8"/>
  <c r="AD5" i="9"/>
  <c r="AD8" i="9" s="1"/>
  <c r="AD14" i="9" s="1"/>
  <c r="AD18" i="8"/>
  <c r="M5" i="9"/>
  <c r="M8" i="9" s="1"/>
  <c r="M14" i="9" s="1"/>
  <c r="M18" i="8"/>
  <c r="AE5" i="9"/>
  <c r="AE8" i="9" s="1"/>
  <c r="AE14" i="9" s="1"/>
  <c r="AE18" i="8"/>
  <c r="AK5" i="9"/>
  <c r="AK8" i="9" s="1"/>
  <c r="AK14" i="9" s="1"/>
  <c r="AK18" i="8"/>
  <c r="AM5" i="9"/>
  <c r="AM8" i="9" s="1"/>
  <c r="AM14" i="9" s="1"/>
  <c r="AM18" i="8"/>
  <c r="AC5" i="9"/>
  <c r="AC8" i="9" s="1"/>
  <c r="AC14" i="9" s="1"/>
  <c r="AC18" i="8"/>
  <c r="AA5" i="9"/>
  <c r="AA8" i="9" s="1"/>
  <c r="AA14" i="9" s="1"/>
  <c r="AA18" i="8"/>
  <c r="C15" i="9"/>
  <c r="U5" i="9"/>
  <c r="U8" i="9" s="1"/>
  <c r="U14" i="9" s="1"/>
  <c r="U18" i="8"/>
  <c r="J5" i="9"/>
  <c r="J8" i="9" s="1"/>
  <c r="J14" i="9" s="1"/>
  <c r="J18" i="8"/>
  <c r="X5" i="9"/>
  <c r="X8" i="9" s="1"/>
  <c r="X14" i="9" s="1"/>
  <c r="X18" i="8"/>
  <c r="D5" i="9"/>
  <c r="D8" i="9" s="1"/>
  <c r="D14" i="9" s="1"/>
  <c r="D18" i="8"/>
  <c r="I5" i="9"/>
  <c r="I8" i="9" s="1"/>
  <c r="I14" i="9" s="1"/>
  <c r="B6" i="10" s="1"/>
  <c r="I18" i="8"/>
  <c r="AJ5" i="9"/>
  <c r="AJ8" i="9" s="1"/>
  <c r="AJ14" i="9" s="1"/>
  <c r="AJ18" i="8"/>
  <c r="H12" i="8"/>
  <c r="H13" i="8"/>
  <c r="AI5" i="9"/>
  <c r="AI8" i="9" s="1"/>
  <c r="AI14" i="9" s="1"/>
  <c r="AI18" i="8"/>
  <c r="AP5" i="9"/>
  <c r="AP8" i="9" s="1"/>
  <c r="AP14" i="9" s="1"/>
  <c r="AP18" i="8"/>
  <c r="B10" i="10" l="1"/>
  <c r="B8" i="10"/>
  <c r="B9" i="10"/>
  <c r="B7" i="10"/>
  <c r="H5" i="9"/>
  <c r="H8" i="9" s="1"/>
  <c r="H14" i="9" s="1"/>
  <c r="B5" i="10" s="1"/>
  <c r="H18" i="8"/>
  <c r="D15" i="9"/>
  <c r="E15" i="9" s="1"/>
  <c r="F15" i="9" s="1"/>
  <c r="G15" i="9" s="1"/>
  <c r="H15" i="9" l="1"/>
  <c r="I15" i="9" s="1"/>
  <c r="J15" i="9" s="1"/>
  <c r="K15" i="9" s="1"/>
  <c r="L15" i="9" s="1"/>
  <c r="M15" i="9" s="1"/>
  <c r="N15" i="9" s="1"/>
  <c r="O15" i="9" s="1"/>
  <c r="P15" i="9" s="1"/>
  <c r="Q15" i="9" s="1"/>
  <c r="R15" i="9" s="1"/>
  <c r="S15" i="9" s="1"/>
  <c r="T15" i="9" s="1"/>
  <c r="U15" i="9" s="1"/>
  <c r="V15" i="9" s="1"/>
  <c r="W15" i="9" s="1"/>
  <c r="X15" i="9" s="1"/>
  <c r="Y15" i="9" s="1"/>
  <c r="Z15" i="9" s="1"/>
  <c r="AA15" i="9" s="1"/>
  <c r="AB15" i="9" s="1"/>
  <c r="AC15" i="9" s="1"/>
  <c r="AD15" i="9" s="1"/>
  <c r="AE15" i="9" s="1"/>
  <c r="AF15" i="9" s="1"/>
  <c r="AG15" i="9" s="1"/>
  <c r="AH15" i="9" s="1"/>
  <c r="AI15" i="9" s="1"/>
  <c r="AJ15" i="9" s="1"/>
  <c r="AK15" i="9" s="1"/>
  <c r="AL15" i="9" s="1"/>
  <c r="AM15" i="9" s="1"/>
  <c r="AN15" i="9" s="1"/>
  <c r="AO15" i="9" s="1"/>
  <c r="AP15" i="9" s="1"/>
  <c r="AQ15" i="9" s="1"/>
  <c r="AR15" i="9" s="1"/>
  <c r="B15" i="10"/>
  <c r="B16" i="10" s="1"/>
  <c r="B14" i="10"/>
  <c r="B13" i="10"/>
</calcChain>
</file>

<file path=xl/sharedStrings.xml><?xml version="1.0" encoding="utf-8"?>
<sst xmlns="http://schemas.openxmlformats.org/spreadsheetml/2006/main" count="1183" uniqueCount="707">
  <si>
    <t>VISIT VIETNAM — FINANCIAL MODEL v5 — GUIDE</t>
  </si>
  <si>
    <t>v5.0 | 2026-03-21 | Added cascading relationships + Sensitivity Analysis</t>
  </si>
  <si>
    <t>SHEET DIRECTORY</t>
  </si>
  <si>
    <t>Sheet</t>
  </si>
  <si>
    <t>Purpose</t>
  </si>
  <si>
    <t>Notes</t>
  </si>
  <si>
    <t>Guide</t>
  </si>
  <si>
    <t>Model documentation, named ranges list, formula patterns, instructions</t>
  </si>
  <si>
    <t>Read first</t>
  </si>
  <si>
    <t>Assumptions</t>
  </si>
  <si>
    <t>49 named ranges. ALL inputs live here (yellow cells).</t>
  </si>
  <si>
    <t>Only edit yellow cells</t>
  </si>
  <si>
    <t>Initial Investment</t>
  </si>
  <si>
    <t>10 CAPEX items → capex_total. Depreciation schedule.</t>
  </si>
  <si>
    <t>capex_total used everywhere</t>
  </si>
  <si>
    <t>HR Plan</t>
  </si>
  <si>
    <t>4 depts × 42 periods. Salary = headcount × named_salary × (1+escalation)^yrs × (1+bhxh)</t>
  </si>
  <si>
    <t>Yellow = editable headcount</t>
  </si>
  <si>
    <t>Market Sizing</t>
  </si>
  <si>
    <t>S-curve adoption. Year fracs from base_year+start_month. VCR projections.</t>
  </si>
  <si>
    <t>No hardcoded years</t>
  </si>
  <si>
    <t>Revenue Schedule</t>
  </si>
  <si>
    <t>6 streams. Stage 2 gated on stage2_gate.</t>
  </si>
  <si>
    <t>All named range formulas</t>
  </si>
  <si>
    <t>Cost Schedule</t>
  </si>
  <si>
    <t>CAPEX (Initial Investment) + OPEX (HR Plan + 10 categories + contingency)</t>
  </si>
  <si>
    <t>Cross-sheet references</t>
  </si>
  <si>
    <t>P&amp;L</t>
  </si>
  <si>
    <t>Revenue → COGS → GP → OPEX → EBITDA → D&amp;A → EBIT → CIT → NI + margins</t>
  </si>
  <si>
    <t>capex_total/depreciation_years</t>
  </si>
  <si>
    <t>Cash Flow</t>
  </si>
  <si>
    <t>OCF + ICF → FCF + Cumulative. Working capital via ar_days.</t>
  </si>
  <si>
    <t>All named ranges</t>
  </si>
  <si>
    <t>DCF &amp; Returns</t>
  </si>
  <si>
    <t>Annual FCF, NPV(discount_rate,...), IRR, ROI, max cash burn</t>
  </si>
  <si>
    <t>Single NPV formula</t>
  </si>
  <si>
    <t>Scenarios</t>
  </si>
  <si>
    <t>5 scenarios: Worst/Bear/Base/Bull/Best. Copy column → Assumptions.</t>
  </si>
  <si>
    <t>Shows why v2 had 214% IRR</t>
  </si>
  <si>
    <t>Budget 2025</t>
  </si>
  <si>
    <t>Monthly Jul-Dec. Revenue + CAPEX (10 items) + OPEX detail + contingency.</t>
  </si>
  <si>
    <t>Approval-ready</t>
  </si>
  <si>
    <t>Budget 2026</t>
  </si>
  <si>
    <t>Monthly Jan-Dec. Same structure, HR scales to 22 FTE.</t>
  </si>
  <si>
    <t>NAMED RANGES (49 total)</t>
  </si>
  <si>
    <t>Name</t>
  </si>
  <si>
    <t>Description</t>
  </si>
  <si>
    <t>Example formula usage</t>
  </si>
  <si>
    <t>base_year</t>
  </si>
  <si>
    <t>Project start year</t>
  </si>
  <si>
    <t>Year frac = base_year + (start_month-1+idx)/12</t>
  </si>
  <si>
    <t>adoption_max</t>
  </si>
  <si>
    <t>S-curve ceiling</t>
  </si>
  <si>
    <t>MAX(pilot_count, adoption_max/(1+EXP(...)))</t>
  </si>
  <si>
    <t>cert_fee_yr1</t>
  </si>
  <si>
    <t>Annual cert fee (M VND)</t>
  </si>
  <si>
    <t>net_ent × cert_fee_yr1 × (1+escalation)^yrs</t>
  </si>
  <si>
    <t>capex_total</t>
  </si>
  <si>
    <t>Total CAPEX (from Initial Investment)</t>
  </si>
  <si>
    <t>capex_total/depreciation_years for D&amp;A</t>
  </si>
  <si>
    <t>depreciation_years</t>
  </si>
  <si>
    <t>Depreciation period</t>
  </si>
  <si>
    <t>capex_total/depreciation_years/period_divisor</t>
  </si>
  <si>
    <t>salary_bizops</t>
  </si>
  <si>
    <t>BizOps monthly salary</t>
  </si>
  <si>
    <t>headcount × salary_bizops × months × (1+escalation)^yrs × (1+bhxh)</t>
  </si>
  <si>
    <t>bhxh_rate</t>
  </si>
  <si>
    <t>Social insurance rate</t>
  </si>
  <si>
    <t>Multiplied on all salary costs</t>
  </si>
  <si>
    <t>cit_rate</t>
  </si>
  <si>
    <t>Corporate income tax</t>
  </si>
  <si>
    <t>IF(EBIT&gt;0, -EBIT×cit_rate, 0)</t>
  </si>
  <si>
    <t>discount_rate</t>
  </si>
  <si>
    <t>WACC</t>
  </si>
  <si>
    <t>NPV(discount_rate, FCF_array)</t>
  </si>
  <si>
    <t>stage2_gate</t>
  </si>
  <si>
    <t>Min enterprises for Stage 2</t>
  </si>
  <si>
    <t>IF(net_ent &gt;= stage2_gate, tx_rev, 0)</t>
  </si>
  <si>
    <t>GLOSSARY — KEY TERMS &amp; ABBREVIATIONS</t>
  </si>
  <si>
    <t>Term</t>
  </si>
  <si>
    <t>Full Name / Meaning</t>
  </si>
  <si>
    <t>In this model</t>
  </si>
  <si>
    <t>NPV</t>
  </si>
  <si>
    <t>Net Present Value</t>
  </si>
  <si>
    <t>Sum of all future cash flows discounted to today. Positive = project creates value.</t>
  </si>
  <si>
    <t>IRR</t>
  </si>
  <si>
    <t>Internal Rate of Return</t>
  </si>
  <si>
    <t>Discount rate at which NPV = 0. Higher = better return. Compare vs WACC.</t>
  </si>
  <si>
    <t>Weighted Average Cost of Capital</t>
  </si>
  <si>
    <t>Minimum return investors expect. Used as discount_rate (15% Base).</t>
  </si>
  <si>
    <t>ROI</t>
  </si>
  <si>
    <t>Return on Investment</t>
  </si>
  <si>
    <t>(Cumulative CF + Investment) / Investment. How much you get back per VND invested.</t>
  </si>
  <si>
    <t>EBITDA</t>
  </si>
  <si>
    <t>Earnings Before Interest, Tax, Depreciation &amp; Amortization</t>
  </si>
  <si>
    <t>Operating profit before non-cash charges and tax. Key profitability metric.</t>
  </si>
  <si>
    <t>EBIT</t>
  </si>
  <si>
    <t>Earnings Before Interest &amp; Tax</t>
  </si>
  <si>
    <t>=EBITDA -@Depreciation. Pre-@tax profit.</t>
  </si>
  <si>
    <t>CIT</t>
  </si>
  <si>
    <t>Corporate Income Tax</t>
  </si>
  <si>
    <t>Vietnamese standard rate = 20%. Applied only when EBIT &gt; 0.</t>
  </si>
  <si>
    <t>FCF</t>
  </si>
  <si>
    <t>Free Cash Flow</t>
  </si>
  <si>
    <t>=@Operating CF +@ Investing CF. Cash actually available after all spending.</t>
  </si>
  <si>
    <t>D&amp;A</t>
  </si>
  <si>
    <t>Depreciation &amp; Amortization</t>
  </si>
  <si>
    <t>Non-cash expense spreading CAPEX over useful life (5 years here).</t>
  </si>
  <si>
    <t>NOPAT</t>
  </si>
  <si>
    <t>Net Operating Profit After Tax</t>
  </si>
  <si>
    <t>CAPEX</t>
  </si>
  <si>
    <t>Capital Expenditure</t>
  </si>
  <si>
    <t>One-time investment in assets (platform dev 5,280M). Depreciated over time.</t>
  </si>
  <si>
    <t>OPEX</t>
  </si>
  <si>
    <t>Operating Expenditure</t>
  </si>
  <si>
    <t>Ongoing costs: HR, marketing, cloud, legal, etc. Expensed immediately.</t>
  </si>
  <si>
    <t>COGS</t>
  </si>
  <si>
    <t>Cost of Goods Sold</t>
  </si>
  <si>
    <t>Direct costs tied to revenue: payment processing fees (2.5% of tx revenue).</t>
  </si>
  <si>
    <t>BHXH</t>
  </si>
  <si>
    <t>Bảo hiểm xã hội (Social Insurance)</t>
  </si>
  <si>
    <t>Employer pays ~21.5%: BHXH 17.5% + BHYT 3% + BHTN 1%.</t>
  </si>
  <si>
    <t>TAM</t>
  </si>
  <si>
    <t>Total Addressable Market</t>
  </si>
  <si>
    <t>All tourism enterprises in Vietnam (~40,000).</t>
  </si>
  <si>
    <t>SAM</t>
  </si>
  <si>
    <t>Serviceable Addressable Market</t>
  </si>
  <si>
    <t>Digitally active, certifiable subset (~15,000).</t>
  </si>
  <si>
    <t>SOM</t>
  </si>
  <si>
    <t>Serviceable Obtainable Market</t>
  </si>
  <si>
    <t>What VV can realistically capture (= adoption_max).</t>
  </si>
  <si>
    <t>GMV</t>
  </si>
  <si>
    <t>Gross Merchandise Value</t>
  </si>
  <si>
    <t>Total value of transactions flowing through the platform.</t>
  </si>
  <si>
    <t>VCR</t>
  </si>
  <si>
    <t>Visitor Certified Records</t>
  </si>
  <si>
    <t>Data records generated per enterprise. Basis for DaaS pricing.</t>
  </si>
  <si>
    <t>S-curve</t>
  </si>
  <si>
    <t>Logistic Growth Curve</t>
  </si>
  <si>
    <t>Adoption follows slow→fast→slow pattern. Formula: max/(1+EXP(-k*(t-midpoint)))</t>
  </si>
  <si>
    <t>Stage 1</t>
  </si>
  <si>
    <t>Certification Platform (2025-2027)</t>
  </si>
  <si>
    <t>Revenue from cert fees, training, audits. Doesn't need transaction volume.</t>
  </si>
  <si>
    <t>Stage 2</t>
  </si>
  <si>
    <t>Transaction Platform (2028-2030)</t>
  </si>
  <si>
    <t>Revenue from tx fees, DaaS, ads. Gated: needs ≥300 enterprises (stage2_gate).</t>
  </si>
  <si>
    <t>Gate</t>
  </si>
  <si>
    <t>Stage 2 activation threshold</t>
  </si>
  <si>
    <t>Churn</t>
  </si>
  <si>
    <t>Non-renewal rate</t>
  </si>
  <si>
    <t>% of enterprises that leave each year. Reduces net_enterprises.</t>
  </si>
  <si>
    <t>CAC</t>
  </si>
  <si>
    <t>Customer Acquisition Cost</t>
  </si>
  <si>
    <t>Marketing spend / new enterprises acquired. Not explicitly modeled.</t>
  </si>
  <si>
    <t>LTV</t>
  </si>
  <si>
    <t>Lifetime Value</t>
  </si>
  <si>
    <t>Total revenue from one enterprise over its lifetime. = ARPU / churn_rate.</t>
  </si>
  <si>
    <t>ARPU</t>
  </si>
  <si>
    <t>Average Revenue Per User</t>
  </si>
  <si>
    <t>Total revenue / net_enterprises. Annual revenue per certified enterprise.</t>
  </si>
  <si>
    <t>Named Range</t>
  </si>
  <si>
    <t>Excel defined name for a cell</t>
  </si>
  <si>
    <t>e.g. cert_fee_yr1 → Assumptions!$B$26. Used in formulas for clarity.</t>
  </si>
  <si>
    <t>Placeholder</t>
  </si>
  <si>
    <t>Yellow cell with blue font</t>
  </si>
  <si>
    <t>Editable input value. Change it → entire model recalculates.</t>
  </si>
  <si>
    <t>v5.0 CHANGES (2026-03-21)</t>
  </si>
  <si>
    <t>1. Added CASCADING RELATIONSHIPS section to Assumptions (6 new named ranges):</t>
  </si>
  <si>
    <t xml:space="preserve">   cloud_gmv_factor, mkt_efficiency_per_100, support_scale_threshold,</t>
  </si>
  <si>
    <t xml:space="preserve">   support_discount, hr_bizops_per_100_ent, cloud_elasticity</t>
  </si>
  <si>
    <t>2. Updated Cost Schedule formulas:</t>
  </si>
  <si>
    <t xml:space="preserve">   • Cloud: now includes GMV-based cost (market_share → cloud) + elasticity</t>
  </si>
  <si>
    <t xml:space="preserve">   • Marketing: efficiency scaling (more ent → lower cost/ent, floor 50%)</t>
  </si>
  <si>
    <t xml:space="preserve">   • Support: economies of scale (past threshold → 30% cost reduction)</t>
  </si>
  <si>
    <t>3. Added IMPACT MAP in Assumptions showing full cascade chain:</t>
  </si>
  <si>
    <t xml:space="preserve">   adoption_max → revenue + HR + support + cloud</t>
  </si>
  <si>
    <t xml:space="preserve">   platform_market_share → tx revenue + cloud + COGS</t>
  </si>
  <si>
    <t xml:space="preserve">   churn_rate → net_ent → all linked items</t>
  </si>
  <si>
    <t>4. Added Sensitivity Analysis sheet:</t>
  </si>
  <si>
    <t xml:space="preserve">   • One-at-a-time sensitivity (12 params × 5 levels)</t>
  </si>
  <si>
    <t xml:space="preserve">   • Two-way tables: adoption × market_share, adoption × churn</t>
  </si>
  <si>
    <t xml:space="preserve">   • Cascading impact summary with live formulas</t>
  </si>
  <si>
    <t>5. Added Sensitivity sheet to sheets list in Guide</t>
  </si>
  <si>
    <t>VISIT VIETNAM — FINANCIAL MODEL v5 — ASSUMPTIONS</t>
  </si>
  <si>
    <t>v5.0 | Yellow=inputs | Blue=placeholder | Named ranges in all formulas | NEW: Cascading relationships at bottom</t>
  </si>
  <si>
    <t>TIMING</t>
  </si>
  <si>
    <t>Parameter</t>
  </si>
  <si>
    <t>Value</t>
  </si>
  <si>
    <t>Unit</t>
  </si>
  <si>
    <t>Base year</t>
  </si>
  <si>
    <t>Year</t>
  </si>
  <si>
    <t>Start month</t>
  </si>
  <si>
    <t>Month</t>
  </si>
  <si>
    <t>July=7</t>
  </si>
  <si>
    <t>MARKET DATA</t>
  </si>
  <si>
    <t>Total tourism enterprises</t>
  </si>
  <si>
    <t>GSO/VNAT</t>
  </si>
  <si>
    <t>Serviceable enterprises</t>
  </si>
  <si>
    <t>Digitally active</t>
  </si>
  <si>
    <t>E-commerce tourism market (base yr)</t>
  </si>
  <si>
    <t>Bn VND</t>
  </si>
  <si>
    <t>e-Conomy SEA</t>
  </si>
  <si>
    <t>E-tourism YoY growth</t>
  </si>
  <si>
    <t>%</t>
  </si>
  <si>
    <t>Historical</t>
  </si>
  <si>
    <t>ADOPTION S-CURVE</t>
  </si>
  <si>
    <t>Maximum enterprises (ceiling)</t>
  </si>
  <si>
    <t>S-curve asymptote (v3: was 3000)</t>
  </si>
  <si>
    <t>Midpoint year</t>
  </si>
  <si>
    <t>Inflection point</t>
  </si>
  <si>
    <t>Steepness factor</t>
  </si>
  <si>
    <t>v3: was 1.2</t>
  </si>
  <si>
    <t>Starting enterprises</t>
  </si>
  <si>
    <t>Pilot partners</t>
  </si>
  <si>
    <t>Annual non-renewal rate</t>
  </si>
  <si>
    <t>v3: was 0.15</t>
  </si>
  <si>
    <t>PRICING</t>
  </si>
  <si>
    <t>Certification fee/enterprise/yr</t>
  </si>
  <si>
    <t>M VND</t>
  </si>
  <si>
    <t>v3: was 30M</t>
  </si>
  <si>
    <t>Cert fee annual increase</t>
  </si>
  <si>
    <t>v3: was 0.08</t>
  </si>
  <si>
    <t>Transaction fee (% of GMV)</t>
  </si>
  <si>
    <t>Platform commission</t>
  </si>
  <si>
    <t>% e-tourism GMV via VV</t>
  </si>
  <si>
    <t>v3: was 0.02</t>
  </si>
  <si>
    <t>DaaS price per M VCR</t>
  </si>
  <si>
    <t>v3: was 50</t>
  </si>
  <si>
    <t>Advertising CPM</t>
  </si>
  <si>
    <t>K VND</t>
  </si>
  <si>
    <t>B2B benchmark</t>
  </si>
  <si>
    <t>Monthly impressions (K)</t>
  </si>
  <si>
    <t>K</t>
  </si>
  <si>
    <t>Scales w/ enterprises</t>
  </si>
  <si>
    <t>Training fee per engagement</t>
  </si>
  <si>
    <t>NEW stream</t>
  </si>
  <si>
    <t>Audit fee per certification</t>
  </si>
  <si>
    <t>% enterprises buying training</t>
  </si>
  <si>
    <t>Estimated</t>
  </si>
  <si>
    <t>COST PARAMETERS</t>
  </si>
  <si>
    <t>Maintenance (% of CAPEX/yr)</t>
  </si>
  <si>
    <t>Industry 15-20%</t>
  </si>
  <si>
    <t>Marketing (annual base)</t>
  </si>
  <si>
    <t>v3: was 6000</t>
  </si>
  <si>
    <t>Marketing annual growth</t>
  </si>
  <si>
    <t>v3: was 0.10</t>
  </si>
  <si>
    <t>Cloud base (annual)</t>
  </si>
  <si>
    <t>From original data</t>
  </si>
  <si>
    <t>Cloud cost per M VCR</t>
  </si>
  <si>
    <t>v3: was 5</t>
  </si>
  <si>
    <t>VCR per enterprise/month</t>
  </si>
  <si>
    <t>records</t>
  </si>
  <si>
    <t>Traffic estimate</t>
  </si>
  <si>
    <t>External affairs (annual)</t>
  </si>
  <si>
    <t>Current data</t>
  </si>
  <si>
    <t>Legal &amp; compliance (annual)</t>
  </si>
  <si>
    <t>Branding &amp; events (annual)</t>
  </si>
  <si>
    <t>Security/pentest (annual)</t>
  </si>
  <si>
    <t>Pilot evaluation (Y1 only)</t>
  </si>
  <si>
    <t>One-time</t>
  </si>
  <si>
    <t>Payment gateway fee</t>
  </si>
  <si>
    <t>COGS on tx revenue</t>
  </si>
  <si>
    <t>Support cost per enterprise/yr</t>
  </si>
  <si>
    <t>Scales w/ count</t>
  </si>
  <si>
    <t>Partner management (annual)</t>
  </si>
  <si>
    <t>Relationship mgmt</t>
  </si>
  <si>
    <t>Contingency (% total OPEX)</t>
  </si>
  <si>
    <t>Buffer</t>
  </si>
  <si>
    <t>HR PARAMETERS</t>
  </si>
  <si>
    <t>Avg monthly — Management</t>
  </si>
  <si>
    <t>Director/PM</t>
  </si>
  <si>
    <t>Avg monthly — Development</t>
  </si>
  <si>
    <t>Engineers</t>
  </si>
  <si>
    <t>Avg monthly — BizOps</t>
  </si>
  <si>
    <t>BD/support</t>
  </si>
  <si>
    <t>Avg monthly — Data/Analytics</t>
  </si>
  <si>
    <t>Data eng</t>
  </si>
  <si>
    <t>Annual salary increase</t>
  </si>
  <si>
    <t>VN market</t>
  </si>
  <si>
    <t>Social insurance (employer)</t>
  </si>
  <si>
    <t>BHXH+BHYT+BHTN</t>
  </si>
  <si>
    <t>Recruitment fee (% Y1 sal)</t>
  </si>
  <si>
    <t>Headhunter</t>
  </si>
  <si>
    <t>FINANCIAL PARAMETERS</t>
  </si>
  <si>
    <t>Vietnamese law</t>
  </si>
  <si>
    <t>Discount rate (WACC)</t>
  </si>
  <si>
    <t>v3: was 0.12</t>
  </si>
  <si>
    <t>Years</t>
  </si>
  <si>
    <t>Straight-line</t>
  </si>
  <si>
    <t>Accounts receivable days</t>
  </si>
  <si>
    <t>Days</t>
  </si>
  <si>
    <t>Collection period</t>
  </si>
  <si>
    <t>Accounts payable days</t>
  </si>
  <si>
    <t>Payment terms</t>
  </si>
  <si>
    <t>Stage 2 gate (min enterprises)</t>
  </si>
  <si>
    <t>Activate tx fees</t>
  </si>
  <si>
    <t>CASCADING RELATIONSHIPS (how assumptions affect each other)</t>
  </si>
  <si>
    <t>Cascade logic</t>
  </si>
  <si>
    <t>Cloud cost per Bn VND GMV processed</t>
  </si>
  <si>
    <t>Tr VND/Bn</t>
  </si>
  <si>
    <t>↑ market_share → ↑ GMV → ↑ cloud cost. Formula: GMV × this factor</t>
  </si>
  <si>
    <t>Marketing cost reduction per 100 enterprises</t>
  </si>
  <si>
    <t>%/100 ent</t>
  </si>
  <si>
    <t>↑ adoption → ↓ marketing/ent. Formula: marketing × MAX(0.5, 1 - ent×factor/100)</t>
  </si>
  <si>
    <t>Enterprises threshold for economies of scale</t>
  </si>
  <si>
    <t>enterprises</t>
  </si>
  <si>
    <t>When net_ent &gt; threshold → support cost drops by support_discount</t>
  </si>
  <si>
    <t>Support cost reduction after threshold</t>
  </si>
  <si>
    <t>ratio</t>
  </si>
  <si>
    <t>↑ ent past threshold → support/ent × (1 - discount). Economies of scale.</t>
  </si>
  <si>
    <t>BizOps staff needed per 100 enterprises (floor)</t>
  </si>
  <si>
    <t>people/100</t>
  </si>
  <si>
    <t>↑ adoption → ↑ BizOps needed. Floor = MAX(manual_hc, ent×ratio/100)</t>
  </si>
  <si>
    <t>Cloud cost elasticity to enterprise count</t>
  </si>
  <si>
    <t>factor</t>
  </si>
  <si>
    <t>VCR cost scales by ent^elasticity instead of linear. &gt;1 = super-linear.</t>
  </si>
  <si>
    <t>IMPACT MAP — How market_share cascades to costs</t>
  </si>
  <si>
    <t>adoption_max ↑</t>
  </si>
  <si>
    <t>→ net_enterprises ↑</t>
  </si>
  <si>
    <t>→ HR BizOps headcount ↑ (hr_bizops_per_100_ent)</t>
  </si>
  <si>
    <t>→ HR Cost ↑</t>
  </si>
  <si>
    <t>→ VCR volume ↑ (vcr_per_enterprise × net_ent)</t>
  </si>
  <si>
    <t>→ Cloud Cost ↑ (cloud_per_1M_vcr)</t>
  </si>
  <si>
    <t>→ Support demand ↑ (opex_support_per_ent × net_ent)</t>
  </si>
  <si>
    <t>→ OPEX ↑</t>
  </si>
  <si>
    <t>→ Marketing efficiency ↑ (cost/ent decreases)</t>
  </si>
  <si>
    <t>→ Per-unit OPEX ↓</t>
  </si>
  <si>
    <t>→ Cert/Training/Audit revenue ↑</t>
  </si>
  <si>
    <t>→ Revenue ↑</t>
  </si>
  <si>
    <t>platform_market_share ↑</t>
  </si>
  <si>
    <t>→ GMV through platform ↑</t>
  </si>
  <si>
    <t>→ Transaction fees ↑ (tx_take_rate × GMV)</t>
  </si>
  <si>
    <t>→ Cloud processing load ↑ (cloud_gmv_factor × GMV)</t>
  </si>
  <si>
    <t>→ Cloud Cost ↑</t>
  </si>
  <si>
    <t>→ Payment processing fees ↑ (payment_proc_pct × tx_rev)</t>
  </si>
  <si>
    <t>→ COGS ↑</t>
  </si>
  <si>
    <t>→ DaaS &amp; Ads potential ↑</t>
  </si>
  <si>
    <t>churn_rate ↑</t>
  </si>
  <si>
    <t>→ net_enterprises ↓</t>
  </si>
  <si>
    <t>→ All enterprise-linked revenue ↓</t>
  </si>
  <si>
    <t>→ Revenue ↓</t>
  </si>
  <si>
    <t>→ Need more new sales to replace</t>
  </si>
  <si>
    <t>→ Marketing cost pressure ↑</t>
  </si>
  <si>
    <t>→ Support &amp; HR needs more stable</t>
  </si>
  <si>
    <t>→ Cost stays high vs falling revenue</t>
  </si>
  <si>
    <t>INITIAL INVESTMENT — CAPEX BREAKDOWN (M VND)</t>
  </si>
  <si>
    <t>CAPEX Item</t>
  </si>
  <si>
    <t>Amount (M VND)</t>
  </si>
  <si>
    <t>Timing</t>
  </si>
  <si>
    <t>Cloud infrastructure setup</t>
  </si>
  <si>
    <t>H2 2025</t>
  </si>
  <si>
    <t>AWS/GCP initial</t>
  </si>
  <si>
    <t>Backend development</t>
  </si>
  <si>
    <t>API, DB, core</t>
  </si>
  <si>
    <t>Frontend + mobile</t>
  </si>
  <si>
    <t>Web + mobile</t>
  </si>
  <si>
    <t>Data platform</t>
  </si>
  <si>
    <t>Pipeline, analytics</t>
  </si>
  <si>
    <t>Security infrastructure</t>
  </si>
  <si>
    <t>Pentest, auth</t>
  </si>
  <si>
    <t>UX/UI design</t>
  </si>
  <si>
    <t>Design system</t>
  </si>
  <si>
    <t>3rd-party integrations</t>
  </si>
  <si>
    <t>Payment, OTA APIs</t>
  </si>
  <si>
    <t>DevOps &amp; CI/CD</t>
  </si>
  <si>
    <t>Deploy pipeline</t>
  </si>
  <si>
    <t>QA &amp; testing</t>
  </si>
  <si>
    <t>Auto + load test</t>
  </si>
  <si>
    <t>CAPEX contingency (10%)</t>
  </si>
  <si>
    <t>TOTAL INITIAL CAPEX</t>
  </si>
  <si>
    <t>DEPRECIATION SCHEDULE</t>
  </si>
  <si>
    <t>Annual D&amp;A</t>
  </si>
  <si>
    <t>Accum D&amp;A</t>
  </si>
  <si>
    <t>Net Book Value</t>
  </si>
  <si>
    <t>2025</t>
  </si>
  <si>
    <t>2026</t>
  </si>
  <si>
    <t>2027</t>
  </si>
  <si>
    <t>2028</t>
  </si>
  <si>
    <t>2029</t>
  </si>
  <si>
    <t>2030</t>
  </si>
  <si>
    <t>HR PLAN — HEADCOUNT &amp; COST</t>
  </si>
  <si>
    <t>Dept / Item</t>
  </si>
  <si>
    <t>Jul 2025</t>
  </si>
  <si>
    <t>Aug 2025</t>
  </si>
  <si>
    <t>Sep 2025</t>
  </si>
  <si>
    <t>Oct 2025</t>
  </si>
  <si>
    <t>Nov 2025</t>
  </si>
  <si>
    <t>Dec 2025</t>
  </si>
  <si>
    <t>Jan 2026</t>
  </si>
  <si>
    <t>Feb 2026</t>
  </si>
  <si>
    <t>Mar 2026</t>
  </si>
  <si>
    <t>Apr 2026</t>
  </si>
  <si>
    <t>May 2026</t>
  </si>
  <si>
    <t>Jun 2026</t>
  </si>
  <si>
    <t>Jul 2026</t>
  </si>
  <si>
    <t>Aug 2026</t>
  </si>
  <si>
    <t>Sep 2026</t>
  </si>
  <si>
    <t>Oct 2026</t>
  </si>
  <si>
    <t>Nov 2026</t>
  </si>
  <si>
    <t>Dec 2026</t>
  </si>
  <si>
    <t>Jan 2027</t>
  </si>
  <si>
    <t>Feb 2027</t>
  </si>
  <si>
    <t>Mar 2027</t>
  </si>
  <si>
    <t>Apr 2027</t>
  </si>
  <si>
    <t>May 2027</t>
  </si>
  <si>
    <t>Jun 2027</t>
  </si>
  <si>
    <t>Jul 2027</t>
  </si>
  <si>
    <t>Aug 2027</t>
  </si>
  <si>
    <t>Sep 2027</t>
  </si>
  <si>
    <t>Oct 2027</t>
  </si>
  <si>
    <t>Nov 2027</t>
  </si>
  <si>
    <t>Dec 2027</t>
  </si>
  <si>
    <t>Q1 2028</t>
  </si>
  <si>
    <t>Q2 2028</t>
  </si>
  <si>
    <t>Q3 2028</t>
  </si>
  <si>
    <t>Q4 2028</t>
  </si>
  <si>
    <t>Q1 2029</t>
  </si>
  <si>
    <t>Q2 2029</t>
  </si>
  <si>
    <t>Q3 2029</t>
  </si>
  <si>
    <t>Q4 2029</t>
  </si>
  <si>
    <t>Q1 2030</t>
  </si>
  <si>
    <t>Q2 2030</t>
  </si>
  <si>
    <t>Q3 2030</t>
  </si>
  <si>
    <t>Q4 2030</t>
  </si>
  <si>
    <t>HEADCOUNT</t>
  </si>
  <si>
    <t>Management</t>
  </si>
  <si>
    <t>people</t>
  </si>
  <si>
    <t>Development</t>
  </si>
  <si>
    <t>Biz Ops</t>
  </si>
  <si>
    <t>Data &amp; Analytics</t>
  </si>
  <si>
    <t>TOTAL HEADCOUNT</t>
  </si>
  <si>
    <t>NEW HIRES</t>
  </si>
  <si>
    <t>New hires</t>
  </si>
  <si>
    <t>SALARY COST (M VND)</t>
  </si>
  <si>
    <t>Management cost</t>
  </si>
  <si>
    <t>Development cost</t>
  </si>
  <si>
    <t>Biz Ops cost</t>
  </si>
  <si>
    <t>Data &amp; Analytics cost</t>
  </si>
  <si>
    <t>TOTAL SALARY</t>
  </si>
  <si>
    <t>Recruitment</t>
  </si>
  <si>
    <t>TOTAL HR COST</t>
  </si>
  <si>
    <t>MARKET SIZING &amp; ADOPTION</t>
  </si>
  <si>
    <t>Period index</t>
  </si>
  <si>
    <t>idx</t>
  </si>
  <si>
    <t>Year fraction</t>
  </si>
  <si>
    <t>year</t>
  </si>
  <si>
    <t>Years from base</t>
  </si>
  <si>
    <t>yrs</t>
  </si>
  <si>
    <t>Period divisor</t>
  </si>
  <si>
    <t>div</t>
  </si>
  <si>
    <t>Months in period</t>
  </si>
  <si>
    <t>mon</t>
  </si>
  <si>
    <t>Metric</t>
  </si>
  <si>
    <t>E-commerce tourism market</t>
  </si>
  <si>
    <t>S-CURVE ADOPTION</t>
  </si>
  <si>
    <t>Gross enterprises</t>
  </si>
  <si>
    <t>cnt</t>
  </si>
  <si>
    <t>Churned</t>
  </si>
  <si>
    <t>Net active enterprises</t>
  </si>
  <si>
    <t>New enterprises</t>
  </si>
  <si>
    <t>VCR (M records)</t>
  </si>
  <si>
    <t>M</t>
  </si>
  <si>
    <t>REVENUE SCHEDULE (M VND)</t>
  </si>
  <si>
    <t>Item</t>
  </si>
  <si>
    <t>STAGE 1</t>
  </si>
  <si>
    <t xml:space="preserve">  Certification fees</t>
  </si>
  <si>
    <t xml:space="preserve">  Training</t>
  </si>
  <si>
    <t xml:space="preserve">  Audit fees</t>
  </si>
  <si>
    <t>Subtotal Stage 1</t>
  </si>
  <si>
    <t>STAGE 2 (gated)</t>
  </si>
  <si>
    <t xml:space="preserve">  Transaction fees</t>
  </si>
  <si>
    <t xml:space="preserve">  DaaS</t>
  </si>
  <si>
    <t xml:space="preserve">  Advertising</t>
  </si>
  <si>
    <t>Subtotal Stage 2</t>
  </si>
  <si>
    <t>TOTAL REVENUE</t>
  </si>
  <si>
    <t xml:space="preserve">  Payment processing</t>
  </si>
  <si>
    <t>TOTAL COGS</t>
  </si>
  <si>
    <t>COST SCHEDULE (M VND)</t>
  </si>
  <si>
    <t xml:space="preserve">  Platform dev</t>
  </si>
  <si>
    <t xml:space="preserve">  Maintenance</t>
  </si>
  <si>
    <t>TOTAL CAPEX</t>
  </si>
  <si>
    <t xml:space="preserve">  HR (from HR Plan)</t>
  </si>
  <si>
    <t xml:space="preserve">  Marketing</t>
  </si>
  <si>
    <t xml:space="preserve">  Branding &amp; events</t>
  </si>
  <si>
    <t xml:space="preserve">  Cloud &amp; infra</t>
  </si>
  <si>
    <t xml:space="preserve">  Security</t>
  </si>
  <si>
    <t xml:space="preserve">  External affairs</t>
  </si>
  <si>
    <t xml:space="preserve">  Legal &amp; compliance</t>
  </si>
  <si>
    <t xml:space="preserve">  Pilot eval (Y1)</t>
  </si>
  <si>
    <t xml:space="preserve">  Partner mgmt</t>
  </si>
  <si>
    <t xml:space="preserve">  Customer support</t>
  </si>
  <si>
    <t>OPEX Subtotal</t>
  </si>
  <si>
    <t xml:space="preserve">  Contingency</t>
  </si>
  <si>
    <t>TOTAL OPEX</t>
  </si>
  <si>
    <t>TOTAL COSTS</t>
  </si>
  <si>
    <t>P&amp;L (M VND)</t>
  </si>
  <si>
    <t>Revenue</t>
  </si>
  <si>
    <t>GROSS PROFIT</t>
  </si>
  <si>
    <t>Depreciation</t>
  </si>
  <si>
    <t>Tax (CIT)</t>
  </si>
  <si>
    <t>NET INCOME</t>
  </si>
  <si>
    <t>MARGINS</t>
  </si>
  <si>
    <t>Gross margin</t>
  </si>
  <si>
    <t>EBITDA margin</t>
  </si>
  <si>
    <t>Net margin</t>
  </si>
  <si>
    <t>CASH FLOW (M VND)</t>
  </si>
  <si>
    <t>Operating CF</t>
  </si>
  <si>
    <t xml:space="preserve">  Net income</t>
  </si>
  <si>
    <t xml:space="preserve">  Add: D&amp;A</t>
  </si>
  <si>
    <t xml:space="preserve">  Working capital chg</t>
  </si>
  <si>
    <t>OPERATING CF</t>
  </si>
  <si>
    <t>Investing CF</t>
  </si>
  <si>
    <t xml:space="preserve">  CAPEX</t>
  </si>
  <si>
    <t>INVESTING CF</t>
  </si>
  <si>
    <t>FREE CASH FLOW</t>
  </si>
  <si>
    <t>Cumulative CF</t>
  </si>
  <si>
    <t>DCF &amp; RETURNS</t>
  </si>
  <si>
    <t>Annual FCF</t>
  </si>
  <si>
    <t>FCF (M VND)</t>
  </si>
  <si>
    <t>H2_2025</t>
  </si>
  <si>
    <t>Y2026</t>
  </si>
  <si>
    <t>Y2027</t>
  </si>
  <si>
    <t>Y2028</t>
  </si>
  <si>
    <t>Y2029</t>
  </si>
  <si>
    <t>Y2030</t>
  </si>
  <si>
    <t>Metrics</t>
  </si>
  <si>
    <t>Max cash burn</t>
  </si>
  <si>
    <t>CIT rate</t>
  </si>
  <si>
    <t>SENSITIVITY ANALYSIS</t>
  </si>
  <si>
    <t>v5.0 | Shows how each parameter change affects NPV, IRR, and key outputs</t>
  </si>
  <si>
    <t>ONE-AT-A-TIME SENSITIVITY (vs BASE CASE)</t>
  </si>
  <si>
    <t>-30%</t>
  </si>
  <si>
    <t>-15%</t>
  </si>
  <si>
    <t>BASE</t>
  </si>
  <si>
    <t>+15%</t>
  </si>
  <si>
    <t>+30%</t>
  </si>
  <si>
    <t>Impact Direction</t>
  </si>
  <si>
    <t>Max enterprises</t>
  </si>
  <si>
    <t>↑ adoption → ↑ all revenue, ↑ HR/support costs, trigger Stage 2 earlier</t>
  </si>
  <si>
    <t>Platform market share</t>
  </si>
  <si>
    <t>platform_market_share</t>
  </si>
  <si>
    <t>↑ share → ↑ tx/DaaS/ads revenue, ↑ cloud costs, ↑ COGS</t>
  </si>
  <si>
    <t>Churn rate</t>
  </si>
  <si>
    <t>churn_rate</t>
  </si>
  <si>
    <t>↑ churn → ↓ net ent → ↓ all revenue. Inverse impact.</t>
  </si>
  <si>
    <t>Cert fee (Tr/yr)</t>
  </si>
  <si>
    <t>↑ fee → ↑ cert revenue directly. But may ↑ churn.</t>
  </si>
  <si>
    <t>Cert escalation</t>
  </si>
  <si>
    <t>cert_fee_escalation</t>
  </si>
  <si>
    <t>↑ escalation → ↑ revenue in later years (compound).</t>
  </si>
  <si>
    <t>WACC (discount rate)</t>
  </si>
  <si>
    <t>↑ WACC → ↓ NPV (future CFs worth less). No effect on operations.</t>
  </si>
  <si>
    <t>Marketing base</t>
  </si>
  <si>
    <t>opex_marketing</t>
  </si>
  <si>
    <t>↑ marketing → ↓ profit. But needed to drive adoption.</t>
  </si>
  <si>
    <t>S-curve steepness</t>
  </si>
  <si>
    <t>adoption_steepness</t>
  </si>
  <si>
    <t>↑ steepness → faster adoption around midpoint.</t>
  </si>
  <si>
    <t>Stage 2 gate</t>
  </si>
  <si>
    <t>↑ gate → later Stage 2 activation → ↓ tx revenue.</t>
  </si>
  <si>
    <t>Cloud base cost</t>
  </si>
  <si>
    <t>opex_cloud_base</t>
  </si>
  <si>
    <t>↑ cloud → ↓ profit. Scales with VCR and GMV.</t>
  </si>
  <si>
    <t>BHXH rate</t>
  </si>
  <si>
    <t>↑ BHXH → ↑ all salary costs → ↓ profit.</t>
  </si>
  <si>
    <t>↑ tax → ↓ net income. Only when profitable.</t>
  </si>
  <si>
    <t>TWO-WAY TABLE: NPV sensitivity to adoption_max × platform_market_share</t>
  </si>
  <si>
    <t>Manually run: change both params in Assumptions → record NPV from DCF sheet</t>
  </si>
  <si>
    <t>adoption_max ↓ \ mkt_share →</t>
  </si>
  <si>
    <t>← BASE</t>
  </si>
  <si>
    <t>TWO-WAY TABLE: NPV sensitivity to adoption_max × churn_rate</t>
  </si>
  <si>
    <t>adoption_max ↓ \ churn →</t>
  </si>
  <si>
    <t>CASCADING IMPACT SUMMARY — How market_share changes ripple through the model</t>
  </si>
  <si>
    <t>If market_share changes...</t>
  </si>
  <si>
    <t>0.1% (Worst)</t>
  </si>
  <si>
    <t>0.3% (Bear)</t>
  </si>
  <si>
    <t>0.5% (Base)</t>
  </si>
  <si>
    <t>1.0% (Bull)</t>
  </si>
  <si>
    <t>2.0% (Best)</t>
  </si>
  <si>
    <t>GMV through platform (2030, Bn VND)</t>
  </si>
  <si>
    <t>Tx fee revenue (2030, Tr VND/yr)</t>
  </si>
  <si>
    <t>Additional cloud cost from GMV (Tr/yr)</t>
  </si>
  <si>
    <t>Payment processing COGS (Tr/yr)</t>
  </si>
  <si>
    <t>Net revenue impact vs base (Tr/yr)</t>
  </si>
  <si>
    <t>HOW TO USE THIS SHEET</t>
  </si>
  <si>
    <t>1. ONE-AT-A-TIME SENSITIVITY: Shows parameter values at each % variation.</t>
  </si>
  <si>
    <t xml:space="preserve">   → Change one param in Assumptions → check NPV in 'DCF &amp; Returns' → record here.</t>
  </si>
  <si>
    <t>2. TWO-WAY TABLES: Test combinations of two parameters simultaneously.</t>
  </si>
  <si>
    <t xml:space="preserve">   → Set both params in Assumptions → check NPV → fill the cell.</t>
  </si>
  <si>
    <t xml:space="preserve">   → The '← BASE' cell marks current assumption values.</t>
  </si>
  <si>
    <t>3. CASCADING IMPACT SUMMARY: Shows computed impacts of market_share changes.</t>
  </si>
  <si>
    <t xml:space="preserve">   → These use formulas — values auto-update when you change Assumptions.</t>
  </si>
  <si>
    <t>4. TIP: Use Excel's Data → What-If Analysis → Data Table for automated sensitivity.</t>
  </si>
  <si>
    <t xml:space="preserve">   → Select NPV cell as 'Result cell', param cells as Row/Column input cells.</t>
  </si>
  <si>
    <t>SCENARIO ANALYSIS</t>
  </si>
  <si>
    <t>Copy values from a column into Assumptions.</t>
  </si>
  <si>
    <t>WORST</t>
  </si>
  <si>
    <t>BEAR</t>
  </si>
  <si>
    <t>BULL</t>
  </si>
  <si>
    <t>BEST</t>
  </si>
  <si>
    <t>tx_take_rate</t>
  </si>
  <si>
    <t>🔑 KEY DRIVERS — WHAT AFFECTS NPV/IRR THE MOST</t>
  </si>
  <si>
    <t>The model's NPV and IRR are most sensitive to these 3 factors, in order of impact:</t>
  </si>
  <si>
    <t>1. ADOPTION MAX (adoption_max) — #1 DRIVER</t>
  </si>
  <si>
    <t xml:space="preserve">  This is the S-curve ceiling: maximum enterprises that will ever certify.</t>
  </si>
  <si>
    <t xml:space="preserve">  Every revenue stream depends on enterprise count. Cert fees, training, audit — all linear to enterprises.</t>
  </si>
  <si>
    <t xml:space="preserve">  Stage 2 (transaction fees, DaaS, ads) also depends on crossing the gate threshold.</t>
  </si>
  <si>
    <t xml:space="preserve">  Doubling adoption_max roughly doubles total revenue while costs only grow ~30-40%.</t>
  </si>
  <si>
    <t xml:space="preserve">  → Worst: 200 = project never gains traction. Best: 3,500 = becomes the standard.</t>
  </si>
  <si>
    <t>2. PLATFORM MARKET SHARE (platform_market_share) — #2 DRIVER</t>
  </si>
  <si>
    <t xml:space="preserve">  % of Vietnam's e-tourism GMV that flows through the VV platform.</t>
  </si>
  <si>
    <t xml:space="preserve">  Vietnam e-tourism = ~82,500 Bn VND (2025), growing 8%/yr → ~121,000 Bn by 2030.</t>
  </si>
  <si>
    <t xml:space="preserve">  Even 0.1% difference = 121 Bn VND difference in GMV → 2.4 Bn in tx fees at 2% take rate.</t>
  </si>
  <si>
    <t xml:space="preserve">  This only activates in Stage 2 (after hitting gate), so impact shows in later years.</t>
  </si>
  <si>
    <t xml:space="preserve">  → Worst: 0.1% = niche player. Best: 2% = dominant platform (similar to v2's broken assumption).</t>
  </si>
  <si>
    <t>3. CHURN RATE (churn_rate) — #3 DRIVER</t>
  </si>
  <si>
    <t xml:space="preserve">  % of certified enterprises that don't renew each year.</t>
  </si>
  <si>
    <t xml:space="preserve">  High churn means constantly replacing lost enterprises — growth slows, costs don't drop.</t>
  </si>
  <si>
    <t xml:space="preserve">  At 35% churn: need 35 new signups/yr per 100 just to stay flat. Very expensive.</t>
  </si>
  <si>
    <t xml:space="preserve">  At 10% churn: compound growth accelerates, LTV per enterprise increases.</t>
  </si>
  <si>
    <t xml:space="preserve">  → Worst: 35% = certification has low perceived value. Best: 10% = sticky, high-value.</t>
  </si>
  <si>
    <t>📖 DETAILED SCENARIO NARRATIVES</t>
  </si>
  <si>
    <t>WORST CASE — 'Failed Launch'</t>
  </si>
  <si>
    <t xml:space="preserve">  Only 200 enterprises adopt over 5 years. Market sees no value in certification.</t>
  </si>
  <si>
    <t xml:space="preserve">  Stage 2 never activates (200 &lt; 300 gate). Revenue = cert fees only, from tiny base.</t>
  </si>
  <si>
    <t xml:space="preserve">  High churn 35% means even the few adopters leave. High marketing spend with no return.</t>
  </si>
  <si>
    <t xml:space="preserve">  Discount rate 20% reflects extreme risk. Project is a net loss.</t>
  </si>
  <si>
    <t xml:space="preserve">  Likely outcome: Project shut down after 2-3 years. Total loss = initial CAPEX + operating losses.</t>
  </si>
  <si>
    <t>BEAR CASE — 'Slow Burn'</t>
  </si>
  <si>
    <t xml:space="preserve">  600 enterprises over 5 years. Certification gains some recognition but growth is slow.</t>
  </si>
  <si>
    <t xml:space="preserve">  Stage 2 activates late (600 &gt; 300 gate) but with only 0.3% market share, modest tx revenue.</t>
  </si>
  <si>
    <t xml:space="preserve">  25% churn means 1 in 4 enterprises don't renew — need strong sales to maintain.</t>
  </si>
  <si>
    <t xml:space="preserve">  Model may break even operationally by 2029-2030 but NPV is near zero or slightly negative.</t>
  </si>
  <si>
    <t xml:space="preserve">  Likely outcome: Survives but requires ongoing subsidy. Marginal returns.</t>
  </si>
  <si>
    <t>BASE CASE — 'Realistic Growth' (Current Assumptions)</t>
  </si>
  <si>
    <t xml:space="preserve">  1,200 enterprises by 2030 (3% of SAM). Certification becomes recognized in the market.</t>
  </si>
  <si>
    <t xml:space="preserve">  Stage 2 activates in 2027-2028 with 0.5% market share — meaningful but not dominant.</t>
  </si>
  <si>
    <t xml:space="preserve">  20% churn is realistic for B2B subscription services in Vietnam.</t>
  </si>
  <si>
    <t xml:space="preserve">  WACC 15% reflects startup risk in a developing market.</t>
  </si>
  <si>
    <t xml:space="preserve">  Breakeven expected around 2027-2028. Positive cumulative CF by 2029-2030.</t>
  </si>
  <si>
    <t xml:space="preserve">  Likely outcome: Viable business generating moderate returns.</t>
  </si>
  <si>
    <t>BULL CASE — 'Strong Adoption'</t>
  </si>
  <si>
    <t xml:space="preserve">  2,000 enterprises = 5% of SAM. VV certification becomes a market differentiator.</t>
  </si>
  <si>
    <t xml:space="preserve">  Stage 2 activates early with 1% market share. Transaction revenue becomes significant.</t>
  </si>
  <si>
    <t xml:space="preserve">  15% churn shows certification has real value. Enterprises renew because it drives business.</t>
  </si>
  <si>
    <t xml:space="preserve">  Lower WACC 12% reflects proven business model.</t>
  </si>
  <si>
    <t xml:space="preserve">  Strong returns with meaningful IRR. Could attract follow-on investment.</t>
  </si>
  <si>
    <t xml:space="preserve">  Likely outcome: Attractive business. Consider geographic expansion.</t>
  </si>
  <si>
    <t>BEST CASE — 'Market Leader'</t>
  </si>
  <si>
    <t xml:space="preserve">  3,500 enterprises = 8.75% of SAM. VV becomes THE certification standard for Vietnam tourism.</t>
  </si>
  <si>
    <t xml:space="preserve">  2% market share in e-tourism = dominant platform position.</t>
  </si>
  <si>
    <t xml:space="preserve">  10% churn = extremely sticky product. Enterprises can't afford NOT to have it.</t>
  </si>
  <si>
    <t xml:space="preserve">  Government adoption or mandated certification would push toward this scenario.</t>
  </si>
  <si>
    <t xml:space="preserve">  Outstanding returns. Platform effects create a moat.</t>
  </si>
  <si>
    <t xml:space="preserve">  Likely outcome: IPO-ready or acquisition target. Regional expansion to SE Asia.</t>
  </si>
  <si>
    <t>📊 SECONDARY DRIVERS (moderate impact)</t>
  </si>
  <si>
    <t>4. Cert fee level (cert_fee_yr1) — direct impact on Stage 1 revenue</t>
  </si>
  <si>
    <t xml:space="preserve">   ↳ 15M vs 40M = 2.67x revenue difference, but too high → increases churn</t>
  </si>
  <si>
    <t>5. Cert fee escalation — compound effect over 5 years</t>
  </si>
  <si>
    <t xml:space="preserve">   ↳ 0% vs 12% = at 1000 ent, difference of 2.3B/yr by 2030</t>
  </si>
  <si>
    <t>6. Marketing spend — indirect: drives adoption speed, but is a cost</t>
  </si>
  <si>
    <t xml:space="preserve">   ↳ 5000M vs 8000M/yr = 3B/yr cost difference. Must justify with faster adoption</t>
  </si>
  <si>
    <t>7. Discount rate — changes present value of future cash flows</t>
  </si>
  <si>
    <t xml:space="preserve">   ↳ 10% vs 20% = can flip NPV from positive to negative on same cash flows</t>
  </si>
  <si>
    <t>8. Stage 2 gate — when transaction revenue kicks in</t>
  </si>
  <si>
    <t xml:space="preserve">   ↳ 150 vs 500 gate = 1-2 year difference in Stage 2 activation</t>
  </si>
  <si>
    <t>BUDGET 2025 (M VND)</t>
  </si>
  <si>
    <t>Jul</t>
  </si>
  <si>
    <t>Aug</t>
  </si>
  <si>
    <t>Sep</t>
  </si>
  <si>
    <t>Oct</t>
  </si>
  <si>
    <t>Nov</t>
  </si>
  <si>
    <t>Dec</t>
  </si>
  <si>
    <t>TOTAL</t>
  </si>
  <si>
    <t>REVENUE</t>
  </si>
  <si>
    <t xml:space="preserve">  Cert fees</t>
  </si>
  <si>
    <t xml:space="preserve">  Audit</t>
  </si>
  <si>
    <t xml:space="preserve">  Cloud setup</t>
  </si>
  <si>
    <t xml:space="preserve">  Backend dev</t>
  </si>
  <si>
    <t xml:space="preserve">  Frontend+mobile</t>
  </si>
  <si>
    <t xml:space="preserve">  Data platform</t>
  </si>
  <si>
    <t xml:space="preserve">  UX/UI design</t>
  </si>
  <si>
    <t xml:space="preserve">  Integrations</t>
  </si>
  <si>
    <t xml:space="preserve">  DevOps</t>
  </si>
  <si>
    <t xml:space="preserve">  QA testing</t>
  </si>
  <si>
    <t xml:space="preserve">  HR — Mgmt(2)</t>
  </si>
  <si>
    <t xml:space="preserve">  HR — Dev(12)</t>
  </si>
  <si>
    <t xml:space="preserve">  HR — BizOps(2)</t>
  </si>
  <si>
    <t xml:space="preserve">  Recruitment</t>
  </si>
  <si>
    <t xml:space="preserve">  Branding</t>
  </si>
  <si>
    <t xml:space="preserve">  Cloud</t>
  </si>
  <si>
    <t xml:space="preserve">  External</t>
  </si>
  <si>
    <t xml:space="preserve">  Legal</t>
  </si>
  <si>
    <t xml:space="preserve">  Pilot eval</t>
  </si>
  <si>
    <t>SUMMARY</t>
  </si>
  <si>
    <t>TOTAL BUDGET</t>
  </si>
  <si>
    <t>NET (Rev-Budget)</t>
  </si>
  <si>
    <t>Cumulative</t>
  </si>
  <si>
    <t>BUDGET 2026 (M VND)</t>
  </si>
  <si>
    <t>Jan</t>
  </si>
  <si>
    <t>Feb</t>
  </si>
  <si>
    <t>Mar</t>
  </si>
  <si>
    <t>Apr</t>
  </si>
  <si>
    <t>May</t>
  </si>
  <si>
    <t>Jun</t>
  </si>
  <si>
    <t xml:space="preserve">  HR — BizOps(6)</t>
  </si>
  <si>
    <t xml:space="preserve">  HR — Data(2)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</si>
</sst>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%"/>
    <numFmt numFmtId="165" formatCode="0.0"/>
    <numFmt numFmtId="166" formatCode="0.000"/>
    <numFmt numFmtId="167" formatCode="#,##0.0"/>
    <numFmt numFmtId="168" formatCode="#,##0.000"/>
  </numFmts>
  <fonts count="40" x14ac:knownFonts="1">
    <font>
      <sz val="11"/>
      <color theme="1"/>
      <name val="Calibri"/>
      <family val="2"/>
      <scheme val="minor"/>
    </font>
    <font>
      <b/>
      <sz val="14"/>
      <color rgb="FF1F4E79"/>
      <name val="Calibri"/>
    </font>
    <font>
      <i/>
      <sz val="10"/>
      <color rgb="FF666666"/>
      <name val="Calibri"/>
    </font>
    <font>
      <b/>
      <sz val="11"/>
      <color rgb="FF1F4E79"/>
      <name val="Calibri"/>
    </font>
    <font>
      <b/>
      <sz val="11"/>
      <color rgb="FFFFFFFF"/>
      <name val="Calibri"/>
    </font>
    <font>
      <sz val="11"/>
      <name val="Calibri"/>
    </font>
    <font>
      <sz val="11"/>
      <color rgb="FF0000FF"/>
      <name val="Calibri"/>
    </font>
    <font>
      <i/>
      <sz val="10"/>
      <color rgb="FF888888"/>
      <name val="Calibri"/>
    </font>
    <font>
      <b/>
      <sz val="11"/>
      <name val="Calibri"/>
    </font>
    <font>
      <sz val="11"/>
      <color rgb="FFCC0000"/>
      <name val="Calibri"/>
    </font>
    <font>
      <sz val="11"/>
      <color rgb="FF00B050"/>
      <name val="Calibri"/>
    </font>
    <font>
      <b/>
      <sz val="16"/>
      <color rgb="FF1F4E79"/>
      <name val="Calibri"/>
    </font>
    <font>
      <b/>
      <sz val="11"/>
      <color rgb="FF1F4E79"/>
      <name val="Calibri"/>
    </font>
    <font>
      <b/>
      <sz val="10"/>
      <color rgb="FF333333"/>
      <name val="Calibri"/>
    </font>
    <font>
      <b/>
      <sz val="10"/>
      <color rgb="FF1F4E79"/>
      <name val="Calibri"/>
    </font>
    <font>
      <sz val="10"/>
      <color rgb="FF333333"/>
      <name val="Calibri"/>
    </font>
    <font>
      <b/>
      <sz val="10"/>
      <color rgb="FFCC0000"/>
      <name val="Calibri"/>
    </font>
    <font>
      <b/>
      <sz val="10"/>
      <color rgb="FF996600"/>
      <name val="Calibri"/>
    </font>
    <font>
      <b/>
      <sz val="10"/>
      <color rgb="FF0070C0"/>
      <name val="Calibri"/>
    </font>
    <font>
      <b/>
      <sz val="10"/>
      <color rgb="FF00B050"/>
      <name val="Calibri"/>
    </font>
    <font>
      <b/>
      <sz val="11"/>
      <color rgb="FFFFFFFF"/>
      <name val="Calibri"/>
    </font>
    <font>
      <sz val="11"/>
      <name val="Calibri"/>
    </font>
    <font>
      <b/>
      <sz val="11"/>
      <color rgb="FFBF8F00"/>
      <name val="Calibri"/>
    </font>
    <font>
      <b/>
      <sz val="11"/>
      <color rgb="FFFFFFFF"/>
      <name val="Calibri"/>
    </font>
    <font>
      <sz val="11"/>
      <name val="Calibri"/>
    </font>
    <font>
      <sz val="11"/>
      <color rgb="FF0000FF"/>
      <name val="Calibri"/>
    </font>
    <font>
      <i/>
      <sz val="10"/>
      <color rgb="FF888888"/>
      <name val="Calibri"/>
    </font>
    <font>
      <sz val="9"/>
      <color rgb="FF1F4E79"/>
      <name val="Calibri"/>
    </font>
    <font>
      <sz val="9"/>
      <color rgb="FF444444"/>
      <name val="Calibri"/>
    </font>
    <font>
      <b/>
      <sz val="14"/>
      <color rgb="FF1F4E79"/>
      <name val="Calibri"/>
    </font>
    <font>
      <i/>
      <sz val="10"/>
      <color rgb="FF666666"/>
      <name val="Calibri"/>
    </font>
    <font>
      <b/>
      <sz val="11"/>
      <color rgb="FF1F4E79"/>
      <name val="Calibri"/>
    </font>
    <font>
      <sz val="10"/>
      <color rgb="FF666666"/>
      <name val="Calibri"/>
    </font>
    <font>
      <sz val="11"/>
      <color rgb="FFCC0000"/>
      <name val="Calibri"/>
    </font>
    <font>
      <b/>
      <sz val="11"/>
      <name val="Calibri"/>
    </font>
    <font>
      <sz val="11"/>
      <color rgb="FF00B050"/>
      <name val="Calibri"/>
    </font>
    <font>
      <sz val="9"/>
      <color rgb="FF666666"/>
      <name val="Calibri"/>
    </font>
    <font>
      <i/>
      <sz val="9"/>
      <color rgb="FF888888"/>
      <name val="Calibri"/>
    </font>
    <font>
      <b/>
      <sz val="10"/>
      <color rgb="FF1F4E79"/>
      <name val="Calibri"/>
    </font>
    <font>
      <sz val="10"/>
      <color rgb="FF444444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D6E4F0"/>
        <bgColor rgb="FFD6E4F0"/>
      </patternFill>
    </fill>
    <fill>
      <patternFill patternType="solid">
        <fgColor rgb="FF1F4E79"/>
        <bgColor rgb="FF1F4E79"/>
      </patternFill>
    </fill>
    <fill>
      <patternFill patternType="solid">
        <fgColor rgb="FFFFFFCC"/>
        <bgColor rgb="FFFFFFCC"/>
      </patternFill>
    </fill>
    <fill>
      <patternFill patternType="solid">
        <fgColor rgb="FFE2EFDA"/>
        <bgColor rgb="FFE2EFDA"/>
      </patternFill>
    </fill>
    <fill>
      <patternFill patternType="solid">
        <fgColor rgb="FFD6E4F0"/>
        <bgColor rgb="FFD6E4F0"/>
      </patternFill>
    </fill>
    <fill>
      <patternFill patternType="solid">
        <fgColor rgb="FF1F4E79"/>
        <bgColor rgb="FF1F4E79"/>
      </patternFill>
    </fill>
    <fill>
      <patternFill patternType="solid">
        <fgColor rgb="FFFFF2CC"/>
        <bgColor rgb="FFFFF2CC"/>
      </patternFill>
    </fill>
    <fill>
      <patternFill patternType="solid">
        <fgColor rgb="FF1F4E79"/>
        <bgColor rgb="FF1F4E79"/>
      </patternFill>
    </fill>
    <fill>
      <patternFill patternType="solid">
        <fgColor rgb="FFFFFFCC"/>
        <bgColor rgb="FFFFFFCC"/>
      </patternFill>
    </fill>
    <fill>
      <patternFill patternType="solid">
        <fgColor rgb="FFD6E4F0"/>
        <bgColor rgb="FFD6E4F0"/>
      </patternFill>
    </fill>
    <fill>
      <patternFill patternType="solid">
        <fgColor rgb="FFE2EFDA"/>
        <bgColor rgb="FFE2EFDA"/>
      </patternFill>
    </fill>
  </fills>
  <borders count="8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2" fillId="0" borderId="0" xfId="0" applyFont="1"/>
    <xf numFmtId="0" fontId="0" fillId="2" borderId="1" xfId="0" applyFill="1" applyBorder="1"/>
    <xf numFmtId="0" fontId="4" fillId="3" borderId="1" xfId="0" applyFont="1" applyFill="1" applyBorder="1" applyAlignment="1">
      <alignment horizontal="center"/>
    </xf>
    <xf numFmtId="0" fontId="5" fillId="0" borderId="1" xfId="0" applyFont="1" applyBorder="1"/>
    <xf numFmtId="3" fontId="6" fillId="4" borderId="1" xfId="0" applyNumberFormat="1" applyFont="1" applyFill="1" applyBorder="1"/>
    <xf numFmtId="0" fontId="7" fillId="0" borderId="1" xfId="0" applyFont="1" applyBorder="1"/>
    <xf numFmtId="164" fontId="6" fillId="4" borderId="1" xfId="0" applyNumberFormat="1" applyFont="1" applyFill="1" applyBorder="1"/>
    <xf numFmtId="165" fontId="6" fillId="4" borderId="1" xfId="0" applyNumberFormat="1" applyFont="1" applyFill="1" applyBorder="1"/>
    <xf numFmtId="3" fontId="8" fillId="5" borderId="1" xfId="0" applyNumberFormat="1" applyFont="1" applyFill="1" applyBorder="1"/>
    <xf numFmtId="3" fontId="5" fillId="0" borderId="1" xfId="0" applyNumberFormat="1" applyFont="1" applyBorder="1"/>
    <xf numFmtId="0" fontId="0" fillId="2" borderId="0" xfId="0" applyFill="1"/>
    <xf numFmtId="0" fontId="5" fillId="0" borderId="0" xfId="0" applyFont="1"/>
    <xf numFmtId="0" fontId="8" fillId="0" borderId="0" xfId="0" applyFont="1"/>
    <xf numFmtId="166" fontId="5" fillId="0" borderId="1" xfId="0" applyNumberFormat="1" applyFont="1" applyBorder="1"/>
    <xf numFmtId="167" fontId="5" fillId="0" borderId="1" xfId="0" applyNumberFormat="1" applyFont="1" applyBorder="1"/>
    <xf numFmtId="2" fontId="5" fillId="0" borderId="1" xfId="0" applyNumberFormat="1" applyFont="1" applyBorder="1"/>
    <xf numFmtId="164" fontId="5" fillId="0" borderId="1" xfId="0" applyNumberFormat="1" applyFont="1" applyBorder="1"/>
    <xf numFmtId="3" fontId="9" fillId="0" borderId="1" xfId="0" applyNumberFormat="1" applyFont="1" applyBorder="1"/>
    <xf numFmtId="3" fontId="0" fillId="0" borderId="1" xfId="0" applyNumberFormat="1" applyBorder="1"/>
    <xf numFmtId="3" fontId="10" fillId="0" borderId="1" xfId="0" applyNumberFormat="1" applyFont="1" applyBorder="1"/>
    <xf numFmtId="164" fontId="9" fillId="0" borderId="1" xfId="0" applyNumberFormat="1" applyFont="1" applyBorder="1"/>
    <xf numFmtId="164" fontId="0" fillId="0" borderId="1" xfId="0" applyNumberFormat="1" applyBorder="1"/>
    <xf numFmtId="164" fontId="8" fillId="5" borderId="1" xfId="0" applyNumberFormat="1" applyFont="1" applyFill="1" applyBorder="1"/>
    <xf numFmtId="164" fontId="10" fillId="0" borderId="1" xfId="0" applyNumberFormat="1" applyFont="1" applyBorder="1"/>
    <xf numFmtId="0" fontId="12" fillId="6" borderId="4" xfId="0" applyFont="1" applyFill="1" applyBorder="1"/>
    <xf numFmtId="0" fontId="0" fillId="6" borderId="4" xfId="0" applyFill="1" applyBorder="1"/>
    <xf numFmtId="0" fontId="20" fillId="7" borderId="4" xfId="0" applyFont="1" applyFill="1" applyBorder="1" applyAlignment="1">
      <alignment horizontal="center"/>
    </xf>
    <xf numFmtId="0" fontId="21" fillId="0" borderId="4" xfId="0" applyFont="1" applyBorder="1"/>
    <xf numFmtId="0" fontId="0" fillId="0" borderId="0" xfId="0"/>
    <xf numFmtId="0" fontId="3" fillId="2" borderId="1" xfId="0" applyFont="1" applyFill="1" applyBorder="1"/>
    <xf numFmtId="0" fontId="5" fillId="0" borderId="4" xfId="0" quotePrefix="1" applyFont="1" applyBorder="1"/>
    <xf numFmtId="0" fontId="31" fillId="11" borderId="5" xfId="0" applyFont="1" applyFill="1" applyBorder="1"/>
    <xf numFmtId="0" fontId="22" fillId="8" borderId="5" xfId="0" applyFont="1" applyFill="1" applyBorder="1"/>
    <xf numFmtId="0" fontId="0" fillId="8" borderId="5" xfId="0" applyFill="1" applyBorder="1"/>
    <xf numFmtId="0" fontId="23" fillId="9" borderId="5" xfId="0" applyFont="1" applyFill="1" applyBorder="1" applyAlignment="1">
      <alignment horizontal="center"/>
    </xf>
    <xf numFmtId="0" fontId="24" fillId="0" borderId="5" xfId="0" applyFont="1" applyBorder="1"/>
    <xf numFmtId="165" fontId="25" fillId="10" borderId="5" xfId="0" applyNumberFormat="1" applyFont="1" applyFill="1" applyBorder="1"/>
    <xf numFmtId="0" fontId="26" fillId="0" borderId="5" xfId="0" applyFont="1" applyBorder="1"/>
    <xf numFmtId="164" fontId="25" fillId="10" borderId="5" xfId="0" applyNumberFormat="1" applyFont="1" applyFill="1" applyBorder="1"/>
    <xf numFmtId="3" fontId="25" fillId="10" borderId="5" xfId="0" applyNumberFormat="1" applyFont="1" applyFill="1" applyBorder="1"/>
    <xf numFmtId="0" fontId="27" fillId="0" borderId="5" xfId="0" applyFont="1" applyBorder="1"/>
    <xf numFmtId="0" fontId="28" fillId="0" borderId="5" xfId="0" applyFont="1" applyBorder="1"/>
    <xf numFmtId="3" fontId="24" fillId="0" borderId="5" xfId="0" applyNumberFormat="1" applyFont="1" applyBorder="1"/>
    <xf numFmtId="0" fontId="30" fillId="0" borderId="0" xfId="0" applyFont="1"/>
    <xf numFmtId="0" fontId="32" fillId="0" borderId="5" xfId="0" applyFont="1" applyBorder="1"/>
    <xf numFmtId="168" fontId="33" fillId="0" borderId="5" xfId="0" applyNumberFormat="1" applyFont="1" applyBorder="1"/>
    <xf numFmtId="168" fontId="34" fillId="12" borderId="5" xfId="0" applyNumberFormat="1" applyFont="1" applyFill="1" applyBorder="1"/>
    <xf numFmtId="168" fontId="35" fillId="0" borderId="5" xfId="0" applyNumberFormat="1" applyFont="1" applyBorder="1"/>
    <xf numFmtId="0" fontId="36" fillId="0" borderId="5" xfId="0" applyFont="1" applyBorder="1"/>
    <xf numFmtId="164" fontId="23" fillId="9" borderId="5" xfId="0" applyNumberFormat="1" applyFont="1" applyFill="1" applyBorder="1"/>
    <xf numFmtId="0" fontId="34" fillId="0" borderId="5" xfId="0" applyFont="1" applyBorder="1"/>
    <xf numFmtId="3" fontId="0" fillId="0" borderId="5" xfId="0" applyNumberFormat="1" applyBorder="1"/>
    <xf numFmtId="3" fontId="38" fillId="12" borderId="5" xfId="0" applyNumberFormat="1" applyFont="1" applyFill="1" applyBorder="1"/>
    <xf numFmtId="9" fontId="23" fillId="9" borderId="5" xfId="0" applyNumberFormat="1" applyFont="1" applyFill="1" applyBorder="1"/>
    <xf numFmtId="0" fontId="39" fillId="0" borderId="0" xfId="0" applyFont="1"/>
    <xf numFmtId="0" fontId="0" fillId="0" borderId="0" xfId="0"/>
    <xf numFmtId="0" fontId="11" fillId="0" borderId="0" xfId="0" applyFont="1"/>
    <xf numFmtId="0" fontId="1" fillId="0" borderId="0" xfId="0" applyFont="1"/>
    <xf numFmtId="0" fontId="22" fillId="8" borderId="5" xfId="0" applyFont="1" applyFill="1" applyBorder="1"/>
    <xf numFmtId="0" fontId="0" fillId="8" borderId="6" xfId="0" applyFill="1" applyBorder="1"/>
    <xf numFmtId="0" fontId="0" fillId="8" borderId="7" xfId="0" applyFill="1" applyBorder="1"/>
    <xf numFmtId="0" fontId="31" fillId="11" borderId="5" xfId="0" applyFont="1" applyFill="1" applyBorder="1"/>
    <xf numFmtId="0" fontId="0" fillId="11" borderId="6" xfId="0" applyFill="1" applyBorder="1"/>
    <xf numFmtId="0" fontId="0" fillId="11" borderId="7" xfId="0" applyFill="1" applyBorder="1"/>
    <xf numFmtId="0" fontId="37" fillId="0" borderId="0" xfId="0" applyFont="1"/>
    <xf numFmtId="0" fontId="29" fillId="0" borderId="0" xfId="0" applyFont="1"/>
    <xf numFmtId="0" fontId="15" fillId="0" borderId="0" xfId="0" applyFont="1"/>
    <xf numFmtId="0" fontId="12" fillId="6" borderId="0" xfId="0" applyFont="1" applyFill="1"/>
    <xf numFmtId="0" fontId="19" fillId="0" borderId="0" xfId="0" applyFont="1"/>
    <xf numFmtId="0" fontId="14" fillId="0" borderId="0" xfId="0" applyFont="1"/>
    <xf numFmtId="0" fontId="17" fillId="0" borderId="0" xfId="0" applyFont="1"/>
    <xf numFmtId="0" fontId="13" fillId="0" borderId="0" xfId="0" applyFont="1"/>
    <xf numFmtId="0" fontId="18" fillId="0" borderId="0" xfId="0" applyFont="1"/>
    <xf numFmtId="0" fontId="16" fillId="0" borderId="0" xfId="0" applyFont="1"/>
    <xf numFmtId="0" fontId="3" fillId="2" borderId="4" xfId="0" applyFont="1" applyFill="1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C82"/>
  <sheetViews>
    <sheetView topLeftCell="A51" workbookViewId="0">
      <selection activeCell="A13" sqref="A13"/>
    </sheetView>
  </sheetViews>
  <sheetFormatPr defaultRowHeight="14.4" x14ac:dyDescent="0.3"/>
  <cols>
    <col min="1" max="1" width="25" style="29" customWidth="1"/>
    <col min="2" max="2" width="74.109375" style="29" bestFit="1" customWidth="1"/>
    <col min="3" max="3" width="72.44140625" style="29" bestFit="1" customWidth="1"/>
  </cols>
  <sheetData>
    <row r="1" spans="1:3" ht="21" customHeight="1" x14ac:dyDescent="0.4">
      <c r="A1" s="57" t="s">
        <v>0</v>
      </c>
      <c r="B1" s="56"/>
      <c r="C1" s="56"/>
    </row>
    <row r="2" spans="1:3" x14ac:dyDescent="0.3">
      <c r="A2" t="s">
        <v>1</v>
      </c>
    </row>
    <row r="3" spans="1:3" x14ac:dyDescent="0.3">
      <c r="A3" s="30" t="s">
        <v>2</v>
      </c>
    </row>
    <row r="4" spans="1:3" x14ac:dyDescent="0.3">
      <c r="A4" s="3" t="s">
        <v>3</v>
      </c>
      <c r="B4" s="3" t="s">
        <v>4</v>
      </c>
      <c r="C4" s="3" t="s">
        <v>5</v>
      </c>
    </row>
    <row r="5" spans="1:3" x14ac:dyDescent="0.3">
      <c r="A5" s="4" t="s">
        <v>6</v>
      </c>
      <c r="B5" s="4" t="s">
        <v>7</v>
      </c>
      <c r="C5" s="4" t="s">
        <v>8</v>
      </c>
    </row>
    <row r="6" spans="1:3" x14ac:dyDescent="0.3">
      <c r="A6" s="4" t="s">
        <v>9</v>
      </c>
      <c r="B6" s="4" t="s">
        <v>10</v>
      </c>
      <c r="C6" s="4" t="s">
        <v>11</v>
      </c>
    </row>
    <row r="7" spans="1:3" x14ac:dyDescent="0.3">
      <c r="A7" s="4" t="s">
        <v>12</v>
      </c>
      <c r="B7" s="4" t="s">
        <v>13</v>
      </c>
      <c r="C7" s="4" t="s">
        <v>14</v>
      </c>
    </row>
    <row r="8" spans="1:3" x14ac:dyDescent="0.3">
      <c r="A8" s="4" t="s">
        <v>15</v>
      </c>
      <c r="B8" s="4" t="s">
        <v>16</v>
      </c>
      <c r="C8" s="4" t="s">
        <v>17</v>
      </c>
    </row>
    <row r="9" spans="1:3" x14ac:dyDescent="0.3">
      <c r="A9" s="4" t="s">
        <v>18</v>
      </c>
      <c r="B9" s="4" t="s">
        <v>19</v>
      </c>
      <c r="C9" s="4" t="s">
        <v>20</v>
      </c>
    </row>
    <row r="10" spans="1:3" x14ac:dyDescent="0.3">
      <c r="A10" s="4" t="s">
        <v>21</v>
      </c>
      <c r="B10" s="4" t="s">
        <v>22</v>
      </c>
      <c r="C10" s="4" t="s">
        <v>23</v>
      </c>
    </row>
    <row r="11" spans="1:3" x14ac:dyDescent="0.3">
      <c r="A11" s="4" t="s">
        <v>24</v>
      </c>
      <c r="B11" s="4" t="s">
        <v>25</v>
      </c>
      <c r="C11" s="4" t="s">
        <v>26</v>
      </c>
    </row>
    <row r="12" spans="1:3" x14ac:dyDescent="0.3">
      <c r="A12" s="4" t="s">
        <v>27</v>
      </c>
      <c r="B12" s="4" t="s">
        <v>28</v>
      </c>
      <c r="C12" s="4" t="s">
        <v>29</v>
      </c>
    </row>
    <row r="13" spans="1:3" x14ac:dyDescent="0.3">
      <c r="A13" s="4" t="s">
        <v>30</v>
      </c>
      <c r="B13" s="4" t="s">
        <v>31</v>
      </c>
      <c r="C13" s="4" t="s">
        <v>32</v>
      </c>
    </row>
    <row r="14" spans="1:3" x14ac:dyDescent="0.3">
      <c r="A14" s="4" t="s">
        <v>33</v>
      </c>
      <c r="B14" s="4" t="s">
        <v>34</v>
      </c>
      <c r="C14" s="4" t="s">
        <v>35</v>
      </c>
    </row>
    <row r="15" spans="1:3" x14ac:dyDescent="0.3">
      <c r="A15" s="4" t="s">
        <v>36</v>
      </c>
      <c r="B15" s="4" t="s">
        <v>37</v>
      </c>
      <c r="C15" s="4" t="s">
        <v>38</v>
      </c>
    </row>
    <row r="16" spans="1:3" x14ac:dyDescent="0.3">
      <c r="A16" s="4" t="s">
        <v>39</v>
      </c>
      <c r="B16" s="4" t="s">
        <v>40</v>
      </c>
      <c r="C16" s="4" t="s">
        <v>41</v>
      </c>
    </row>
    <row r="17" spans="1:3" x14ac:dyDescent="0.3">
      <c r="A17" s="4" t="s">
        <v>42</v>
      </c>
      <c r="B17" s="4" t="s">
        <v>43</v>
      </c>
      <c r="C17" s="4" t="s">
        <v>41</v>
      </c>
    </row>
    <row r="19" spans="1:3" x14ac:dyDescent="0.3">
      <c r="A19" s="30" t="s">
        <v>44</v>
      </c>
    </row>
    <row r="20" spans="1:3" x14ac:dyDescent="0.3">
      <c r="A20" s="3" t="s">
        <v>45</v>
      </c>
      <c r="B20" s="3" t="s">
        <v>46</v>
      </c>
      <c r="C20" s="3" t="s">
        <v>47</v>
      </c>
    </row>
    <row r="21" spans="1:3" x14ac:dyDescent="0.3">
      <c r="A21" s="4" t="s">
        <v>48</v>
      </c>
      <c r="B21" s="4" t="s">
        <v>49</v>
      </c>
      <c r="C21" s="4" t="s">
        <v>50</v>
      </c>
    </row>
    <row r="22" spans="1:3" x14ac:dyDescent="0.3">
      <c r="A22" s="4" t="s">
        <v>51</v>
      </c>
      <c r="B22" s="4" t="s">
        <v>52</v>
      </c>
      <c r="C22" s="4" t="s">
        <v>53</v>
      </c>
    </row>
    <row r="23" spans="1:3" x14ac:dyDescent="0.3">
      <c r="A23" s="4" t="s">
        <v>54</v>
      </c>
      <c r="B23" s="4" t="s">
        <v>55</v>
      </c>
      <c r="C23" s="4" t="s">
        <v>56</v>
      </c>
    </row>
    <row r="24" spans="1:3" x14ac:dyDescent="0.3">
      <c r="A24" s="4" t="s">
        <v>57</v>
      </c>
      <c r="B24" s="4" t="s">
        <v>58</v>
      </c>
      <c r="C24" s="4" t="s">
        <v>59</v>
      </c>
    </row>
    <row r="25" spans="1:3" x14ac:dyDescent="0.3">
      <c r="A25" s="4" t="s">
        <v>60</v>
      </c>
      <c r="B25" s="4" t="s">
        <v>61</v>
      </c>
      <c r="C25" s="4" t="s">
        <v>62</v>
      </c>
    </row>
    <row r="26" spans="1:3" x14ac:dyDescent="0.3">
      <c r="A26" s="4" t="s">
        <v>63</v>
      </c>
      <c r="B26" s="4" t="s">
        <v>64</v>
      </c>
      <c r="C26" s="4" t="s">
        <v>65</v>
      </c>
    </row>
    <row r="27" spans="1:3" x14ac:dyDescent="0.3">
      <c r="A27" s="4" t="s">
        <v>66</v>
      </c>
      <c r="B27" s="4" t="s">
        <v>67</v>
      </c>
      <c r="C27" s="4" t="s">
        <v>68</v>
      </c>
    </row>
    <row r="28" spans="1:3" x14ac:dyDescent="0.3">
      <c r="A28" s="4" t="s">
        <v>69</v>
      </c>
      <c r="B28" s="4" t="s">
        <v>70</v>
      </c>
      <c r="C28" s="4" t="s">
        <v>71</v>
      </c>
    </row>
    <row r="29" spans="1:3" x14ac:dyDescent="0.3">
      <c r="A29" s="4" t="s">
        <v>72</v>
      </c>
      <c r="B29" s="4" t="s">
        <v>73</v>
      </c>
      <c r="C29" s="4" t="s">
        <v>74</v>
      </c>
    </row>
    <row r="30" spans="1:3" x14ac:dyDescent="0.3">
      <c r="A30" s="4" t="s">
        <v>75</v>
      </c>
      <c r="B30" s="4" t="s">
        <v>76</v>
      </c>
      <c r="C30" s="4" t="s">
        <v>77</v>
      </c>
    </row>
    <row r="33" spans="1:3" x14ac:dyDescent="0.3">
      <c r="A33" s="25" t="s">
        <v>78</v>
      </c>
      <c r="B33" s="26"/>
      <c r="C33" s="26"/>
    </row>
    <row r="34" spans="1:3" x14ac:dyDescent="0.3">
      <c r="A34" s="27" t="s">
        <v>79</v>
      </c>
      <c r="B34" s="27" t="s">
        <v>80</v>
      </c>
      <c r="C34" s="27" t="s">
        <v>81</v>
      </c>
    </row>
    <row r="35" spans="1:3" x14ac:dyDescent="0.3">
      <c r="A35" s="28" t="s">
        <v>82</v>
      </c>
      <c r="B35" s="28" t="s">
        <v>83</v>
      </c>
      <c r="C35" s="28" t="s">
        <v>84</v>
      </c>
    </row>
    <row r="36" spans="1:3" x14ac:dyDescent="0.3">
      <c r="A36" s="28" t="s">
        <v>85</v>
      </c>
      <c r="B36" s="28" t="s">
        <v>86</v>
      </c>
      <c r="C36" s="28" t="s">
        <v>87</v>
      </c>
    </row>
    <row r="37" spans="1:3" x14ac:dyDescent="0.3">
      <c r="A37" s="28" t="s">
        <v>73</v>
      </c>
      <c r="B37" s="28" t="s">
        <v>88</v>
      </c>
      <c r="C37" s="28" t="s">
        <v>89</v>
      </c>
    </row>
    <row r="38" spans="1:3" x14ac:dyDescent="0.3">
      <c r="A38" s="28" t="s">
        <v>90</v>
      </c>
      <c r="B38" s="28" t="s">
        <v>91</v>
      </c>
      <c r="C38" s="28" t="s">
        <v>92</v>
      </c>
    </row>
    <row r="39" spans="1:3" x14ac:dyDescent="0.3">
      <c r="A39" s="28" t="s">
        <v>93</v>
      </c>
      <c r="B39" s="28" t="s">
        <v>94</v>
      </c>
      <c r="C39" s="28" t="s">
        <v>95</v>
      </c>
    </row>
    <row r="40" spans="1:3" x14ac:dyDescent="0.3">
      <c r="A40" s="28" t="s">
        <v>96</v>
      </c>
      <c r="B40" s="28" t="s">
        <v>97</v>
      </c>
      <c r="C40" s="31" t="s">
        <v>98</v>
      </c>
    </row>
    <row r="41" spans="1:3" x14ac:dyDescent="0.3">
      <c r="A41" s="28" t="s">
        <v>99</v>
      </c>
      <c r="B41" s="28" t="s">
        <v>100</v>
      </c>
      <c r="C41" s="28" t="s">
        <v>101</v>
      </c>
    </row>
    <row r="42" spans="1:3" x14ac:dyDescent="0.3">
      <c r="A42" s="28" t="s">
        <v>102</v>
      </c>
      <c r="B42" s="28" t="s">
        <v>103</v>
      </c>
      <c r="C42" s="31" t="s">
        <v>104</v>
      </c>
    </row>
    <row r="43" spans="1:3" x14ac:dyDescent="0.3">
      <c r="A43" s="28" t="s">
        <v>105</v>
      </c>
      <c r="B43" s="28" t="s">
        <v>106</v>
      </c>
      <c r="C43" s="28" t="s">
        <v>107</v>
      </c>
    </row>
    <row r="44" spans="1:3" x14ac:dyDescent="0.3">
      <c r="A44" s="28" t="s">
        <v>108</v>
      </c>
      <c r="B44" s="28" t="s">
        <v>109</v>
      </c>
      <c r="C44" s="28"/>
    </row>
    <row r="45" spans="1:3" x14ac:dyDescent="0.3">
      <c r="A45" s="28" t="s">
        <v>110</v>
      </c>
      <c r="B45" s="28" t="s">
        <v>111</v>
      </c>
      <c r="C45" s="28" t="s">
        <v>112</v>
      </c>
    </row>
    <row r="46" spans="1:3" x14ac:dyDescent="0.3">
      <c r="A46" s="28" t="s">
        <v>113</v>
      </c>
      <c r="B46" s="28" t="s">
        <v>114</v>
      </c>
      <c r="C46" s="28" t="s">
        <v>115</v>
      </c>
    </row>
    <row r="47" spans="1:3" x14ac:dyDescent="0.3">
      <c r="A47" s="28" t="s">
        <v>116</v>
      </c>
      <c r="B47" s="28" t="s">
        <v>117</v>
      </c>
      <c r="C47" s="28" t="s">
        <v>118</v>
      </c>
    </row>
    <row r="48" spans="1:3" x14ac:dyDescent="0.3">
      <c r="A48" s="28" t="s">
        <v>119</v>
      </c>
      <c r="B48" s="28" t="s">
        <v>120</v>
      </c>
      <c r="C48" s="28" t="s">
        <v>121</v>
      </c>
    </row>
    <row r="49" spans="1:3" x14ac:dyDescent="0.3">
      <c r="A49" s="28" t="s">
        <v>122</v>
      </c>
      <c r="B49" s="28" t="s">
        <v>123</v>
      </c>
      <c r="C49" s="28" t="s">
        <v>124</v>
      </c>
    </row>
    <row r="50" spans="1:3" x14ac:dyDescent="0.3">
      <c r="A50" s="28" t="s">
        <v>125</v>
      </c>
      <c r="B50" s="28" t="s">
        <v>126</v>
      </c>
      <c r="C50" s="28" t="s">
        <v>127</v>
      </c>
    </row>
    <row r="51" spans="1:3" x14ac:dyDescent="0.3">
      <c r="A51" s="28" t="s">
        <v>128</v>
      </c>
      <c r="B51" s="28" t="s">
        <v>129</v>
      </c>
      <c r="C51" s="28" t="s">
        <v>130</v>
      </c>
    </row>
    <row r="52" spans="1:3" x14ac:dyDescent="0.3">
      <c r="A52" s="28" t="s">
        <v>131</v>
      </c>
      <c r="B52" s="28" t="s">
        <v>132</v>
      </c>
      <c r="C52" s="28" t="s">
        <v>133</v>
      </c>
    </row>
    <row r="53" spans="1:3" x14ac:dyDescent="0.3">
      <c r="A53" s="28" t="s">
        <v>134</v>
      </c>
      <c r="B53" s="28" t="s">
        <v>135</v>
      </c>
      <c r="C53" s="28" t="s">
        <v>136</v>
      </c>
    </row>
    <row r="54" spans="1:3" x14ac:dyDescent="0.3">
      <c r="A54" s="28" t="s">
        <v>137</v>
      </c>
      <c r="B54" s="28" t="s">
        <v>138</v>
      </c>
      <c r="C54" s="28" t="s">
        <v>139</v>
      </c>
    </row>
    <row r="55" spans="1:3" x14ac:dyDescent="0.3">
      <c r="A55" s="28" t="s">
        <v>140</v>
      </c>
      <c r="B55" s="28" t="s">
        <v>141</v>
      </c>
      <c r="C55" s="28" t="s">
        <v>142</v>
      </c>
    </row>
    <row r="56" spans="1:3" x14ac:dyDescent="0.3">
      <c r="A56" s="28" t="s">
        <v>143</v>
      </c>
      <c r="B56" s="28" t="s">
        <v>144</v>
      </c>
      <c r="C56" s="28" t="s">
        <v>145</v>
      </c>
    </row>
    <row r="57" spans="1:3" x14ac:dyDescent="0.3">
      <c r="A57" s="28" t="s">
        <v>146</v>
      </c>
      <c r="B57" s="28" t="s">
        <v>147</v>
      </c>
      <c r="C57" s="28"/>
    </row>
    <row r="58" spans="1:3" x14ac:dyDescent="0.3">
      <c r="A58" s="28" t="s">
        <v>148</v>
      </c>
      <c r="B58" s="28" t="s">
        <v>149</v>
      </c>
      <c r="C58" s="28" t="s">
        <v>150</v>
      </c>
    </row>
    <row r="59" spans="1:3" x14ac:dyDescent="0.3">
      <c r="A59" s="28" t="s">
        <v>151</v>
      </c>
      <c r="B59" s="28" t="s">
        <v>152</v>
      </c>
      <c r="C59" s="28" t="s">
        <v>153</v>
      </c>
    </row>
    <row r="60" spans="1:3" x14ac:dyDescent="0.3">
      <c r="A60" s="28" t="s">
        <v>154</v>
      </c>
      <c r="B60" s="28" t="s">
        <v>155</v>
      </c>
      <c r="C60" s="28" t="s">
        <v>156</v>
      </c>
    </row>
    <row r="61" spans="1:3" x14ac:dyDescent="0.3">
      <c r="A61" s="28" t="s">
        <v>157</v>
      </c>
      <c r="B61" s="28" t="s">
        <v>158</v>
      </c>
      <c r="C61" s="28" t="s">
        <v>159</v>
      </c>
    </row>
    <row r="62" spans="1:3" x14ac:dyDescent="0.3">
      <c r="A62" s="28" t="s">
        <v>160</v>
      </c>
      <c r="B62" s="28" t="s">
        <v>161</v>
      </c>
      <c r="C62" s="28" t="s">
        <v>162</v>
      </c>
    </row>
    <row r="63" spans="1:3" x14ac:dyDescent="0.3">
      <c r="A63" s="28" t="s">
        <v>163</v>
      </c>
      <c r="B63" s="28" t="s">
        <v>164</v>
      </c>
      <c r="C63" s="28" t="s">
        <v>165</v>
      </c>
    </row>
    <row r="66" spans="1:3" x14ac:dyDescent="0.3">
      <c r="A66" s="32" t="s">
        <v>166</v>
      </c>
    </row>
    <row r="67" spans="1:3" x14ac:dyDescent="0.3">
      <c r="A67" s="55" t="s">
        <v>167</v>
      </c>
      <c r="B67" s="56"/>
      <c r="C67" s="56"/>
    </row>
    <row r="68" spans="1:3" x14ac:dyDescent="0.3">
      <c r="A68" s="55" t="s">
        <v>168</v>
      </c>
      <c r="B68" s="56"/>
      <c r="C68" s="56"/>
    </row>
    <row r="69" spans="1:3" x14ac:dyDescent="0.3">
      <c r="A69" s="55" t="s">
        <v>169</v>
      </c>
      <c r="B69" s="56"/>
      <c r="C69" s="56"/>
    </row>
    <row r="70" spans="1:3" x14ac:dyDescent="0.3">
      <c r="A70" s="55" t="s">
        <v>170</v>
      </c>
      <c r="B70" s="56"/>
      <c r="C70" s="56"/>
    </row>
    <row r="71" spans="1:3" x14ac:dyDescent="0.3">
      <c r="A71" s="55" t="s">
        <v>171</v>
      </c>
      <c r="B71" s="56"/>
      <c r="C71" s="56"/>
    </row>
    <row r="72" spans="1:3" x14ac:dyDescent="0.3">
      <c r="A72" s="55" t="s">
        <v>172</v>
      </c>
      <c r="B72" s="56"/>
      <c r="C72" s="56"/>
    </row>
    <row r="73" spans="1:3" x14ac:dyDescent="0.3">
      <c r="A73" s="55" t="s">
        <v>173</v>
      </c>
      <c r="B73" s="56"/>
      <c r="C73" s="56"/>
    </row>
    <row r="74" spans="1:3" x14ac:dyDescent="0.3">
      <c r="A74" s="55" t="s">
        <v>174</v>
      </c>
      <c r="B74" s="56"/>
      <c r="C74" s="56"/>
    </row>
    <row r="75" spans="1:3" x14ac:dyDescent="0.3">
      <c r="A75" s="55" t="s">
        <v>175</v>
      </c>
      <c r="B75" s="56"/>
      <c r="C75" s="56"/>
    </row>
    <row r="76" spans="1:3" x14ac:dyDescent="0.3">
      <c r="A76" s="55" t="s">
        <v>176</v>
      </c>
      <c r="B76" s="56"/>
      <c r="C76" s="56"/>
    </row>
    <row r="77" spans="1:3" x14ac:dyDescent="0.3">
      <c r="A77" s="55" t="s">
        <v>177</v>
      </c>
      <c r="B77" s="56"/>
      <c r="C77" s="56"/>
    </row>
    <row r="78" spans="1:3" x14ac:dyDescent="0.3">
      <c r="A78" s="55" t="s">
        <v>178</v>
      </c>
      <c r="B78" s="56"/>
      <c r="C78" s="56"/>
    </row>
    <row r="79" spans="1:3" x14ac:dyDescent="0.3">
      <c r="A79" s="55" t="s">
        <v>179</v>
      </c>
      <c r="B79" s="56"/>
      <c r="C79" s="56"/>
    </row>
    <row r="80" spans="1:3" x14ac:dyDescent="0.3">
      <c r="A80" s="55" t="s">
        <v>180</v>
      </c>
      <c r="B80" s="56"/>
      <c r="C80" s="56"/>
    </row>
    <row r="81" spans="1:3" x14ac:dyDescent="0.3">
      <c r="A81" s="55" t="s">
        <v>181</v>
      </c>
      <c r="B81" s="56"/>
      <c r="C81" s="56"/>
    </row>
    <row r="82" spans="1:3" x14ac:dyDescent="0.3">
      <c r="A82" s="55" t="s">
        <v>182</v>
      </c>
      <c r="B82" s="56"/>
      <c r="C82" s="56"/>
    </row>
  </sheetData>
  <mergeCells count="17">
    <mergeCell ref="A72:C72"/>
    <mergeCell ref="A82:C82"/>
    <mergeCell ref="A76:C76"/>
    <mergeCell ref="A68:C68"/>
    <mergeCell ref="A71:C71"/>
    <mergeCell ref="A1:C1"/>
    <mergeCell ref="A75:C75"/>
    <mergeCell ref="A80:C80"/>
    <mergeCell ref="A79:C79"/>
    <mergeCell ref="A74:C74"/>
    <mergeCell ref="A70:C70"/>
    <mergeCell ref="A67:C67"/>
    <mergeCell ref="A78:C78"/>
    <mergeCell ref="A77:C77"/>
    <mergeCell ref="A69:C69"/>
    <mergeCell ref="A81:C81"/>
    <mergeCell ref="A73:C7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D700"/>
  </sheetPr>
  <dimension ref="A1:D99"/>
  <sheetViews>
    <sheetView tabSelected="1" topLeftCell="A9" workbookViewId="0">
      <selection activeCell="B29" sqref="B29"/>
    </sheetView>
  </sheetViews>
  <sheetFormatPr defaultRowHeight="14.4" x14ac:dyDescent="0.3"/>
  <cols>
    <col min="1" max="1" width="42" style="29" customWidth="1"/>
    <col min="2" max="2" width="18" style="29" customWidth="1"/>
    <col min="3" max="3" width="42.5546875" style="29" bestFit="1" customWidth="1"/>
    <col min="4" max="4" width="45" style="29" customWidth="1"/>
  </cols>
  <sheetData>
    <row r="1" spans="1:4" ht="18" customHeight="1" x14ac:dyDescent="0.35">
      <c r="A1" s="58" t="s">
        <v>183</v>
      </c>
      <c r="B1" s="56"/>
      <c r="C1" s="56"/>
      <c r="D1" s="56"/>
    </row>
    <row r="2" spans="1:4" x14ac:dyDescent="0.3">
      <c r="A2" s="1" t="s">
        <v>184</v>
      </c>
    </row>
    <row r="4" spans="1:4" x14ac:dyDescent="0.3">
      <c r="A4" s="30" t="s">
        <v>185</v>
      </c>
      <c r="B4" s="2"/>
      <c r="C4" s="2"/>
      <c r="D4" s="2"/>
    </row>
    <row r="5" spans="1:4" x14ac:dyDescent="0.3">
      <c r="A5" s="3" t="s">
        <v>186</v>
      </c>
      <c r="B5" s="3" t="s">
        <v>187</v>
      </c>
      <c r="C5" s="3" t="s">
        <v>188</v>
      </c>
      <c r="D5" s="3" t="s">
        <v>5</v>
      </c>
    </row>
    <row r="6" spans="1:4" x14ac:dyDescent="0.3">
      <c r="A6" s="4" t="s">
        <v>189</v>
      </c>
      <c r="B6" s="5">
        <v>2025</v>
      </c>
      <c r="C6" s="4" t="s">
        <v>190</v>
      </c>
      <c r="D6" s="6" t="s">
        <v>49</v>
      </c>
    </row>
    <row r="7" spans="1:4" x14ac:dyDescent="0.3">
      <c r="A7" s="4" t="s">
        <v>191</v>
      </c>
      <c r="B7" s="5">
        <v>7</v>
      </c>
      <c r="C7" s="4" t="s">
        <v>192</v>
      </c>
      <c r="D7" s="6" t="s">
        <v>193</v>
      </c>
    </row>
    <row r="9" spans="1:4" x14ac:dyDescent="0.3">
      <c r="A9" s="30" t="s">
        <v>194</v>
      </c>
      <c r="B9" s="2"/>
      <c r="C9" s="2"/>
      <c r="D9" s="2"/>
    </row>
    <row r="10" spans="1:4" x14ac:dyDescent="0.3">
      <c r="A10" s="3" t="s">
        <v>186</v>
      </c>
      <c r="B10" s="3" t="s">
        <v>187</v>
      </c>
      <c r="C10" s="3" t="s">
        <v>188</v>
      </c>
      <c r="D10" s="3" t="s">
        <v>5</v>
      </c>
    </row>
    <row r="11" spans="1:4" x14ac:dyDescent="0.3">
      <c r="A11" s="4" t="s">
        <v>195</v>
      </c>
      <c r="B11" s="5">
        <v>40000</v>
      </c>
      <c r="C11" s="4"/>
      <c r="D11" s="6" t="s">
        <v>196</v>
      </c>
    </row>
    <row r="12" spans="1:4" x14ac:dyDescent="0.3">
      <c r="A12" s="4" t="s">
        <v>197</v>
      </c>
      <c r="B12" s="5">
        <v>15000</v>
      </c>
      <c r="C12" s="4"/>
      <c r="D12" s="6" t="s">
        <v>198</v>
      </c>
    </row>
    <row r="13" spans="1:4" x14ac:dyDescent="0.3">
      <c r="A13" s="4" t="s">
        <v>199</v>
      </c>
      <c r="B13" s="5">
        <v>82500</v>
      </c>
      <c r="C13" s="4" t="s">
        <v>200</v>
      </c>
      <c r="D13" s="6" t="s">
        <v>201</v>
      </c>
    </row>
    <row r="14" spans="1:4" x14ac:dyDescent="0.3">
      <c r="A14" s="4" t="s">
        <v>202</v>
      </c>
      <c r="B14" s="7">
        <v>0.08</v>
      </c>
      <c r="C14" s="4" t="s">
        <v>203</v>
      </c>
      <c r="D14" s="6" t="s">
        <v>204</v>
      </c>
    </row>
    <row r="16" spans="1:4" x14ac:dyDescent="0.3">
      <c r="A16" s="30" t="s">
        <v>205</v>
      </c>
      <c r="B16" s="2"/>
      <c r="C16" s="2"/>
      <c r="D16" s="2"/>
    </row>
    <row r="17" spans="1:4" x14ac:dyDescent="0.3">
      <c r="A17" s="3" t="s">
        <v>186</v>
      </c>
      <c r="B17" s="3" t="s">
        <v>187</v>
      </c>
      <c r="C17" s="3" t="s">
        <v>188</v>
      </c>
      <c r="D17" s="3" t="s">
        <v>5</v>
      </c>
    </row>
    <row r="18" spans="1:4" x14ac:dyDescent="0.3">
      <c r="A18" s="4" t="s">
        <v>206</v>
      </c>
      <c r="B18" s="5">
        <v>1200</v>
      </c>
      <c r="C18" s="4"/>
      <c r="D18" s="6" t="s">
        <v>207</v>
      </c>
    </row>
    <row r="19" spans="1:4" x14ac:dyDescent="0.3">
      <c r="A19" s="4" t="s">
        <v>208</v>
      </c>
      <c r="B19" s="5">
        <v>2028</v>
      </c>
      <c r="C19" s="4" t="s">
        <v>190</v>
      </c>
      <c r="D19" s="6" t="s">
        <v>209</v>
      </c>
    </row>
    <row r="20" spans="1:4" x14ac:dyDescent="0.3">
      <c r="A20" s="4" t="s">
        <v>210</v>
      </c>
      <c r="B20" s="8">
        <v>0.9</v>
      </c>
      <c r="C20" s="4"/>
      <c r="D20" s="6" t="s">
        <v>211</v>
      </c>
    </row>
    <row r="21" spans="1:4" x14ac:dyDescent="0.3">
      <c r="A21" s="4" t="s">
        <v>212</v>
      </c>
      <c r="B21" s="5">
        <v>15</v>
      </c>
      <c r="C21" s="4"/>
      <c r="D21" s="6" t="s">
        <v>213</v>
      </c>
    </row>
    <row r="22" spans="1:4" x14ac:dyDescent="0.3">
      <c r="A22" s="4" t="s">
        <v>214</v>
      </c>
      <c r="B22" s="7">
        <v>0.2</v>
      </c>
      <c r="C22" s="4" t="s">
        <v>203</v>
      </c>
      <c r="D22" s="6" t="s">
        <v>215</v>
      </c>
    </row>
    <row r="24" spans="1:4" x14ac:dyDescent="0.3">
      <c r="A24" s="30" t="s">
        <v>216</v>
      </c>
      <c r="B24" s="2"/>
      <c r="C24" s="2"/>
      <c r="D24" s="2"/>
    </row>
    <row r="25" spans="1:4" x14ac:dyDescent="0.3">
      <c r="A25" s="3" t="s">
        <v>186</v>
      </c>
      <c r="B25" s="3" t="s">
        <v>187</v>
      </c>
      <c r="C25" s="3" t="s">
        <v>188</v>
      </c>
      <c r="D25" s="3" t="s">
        <v>5</v>
      </c>
    </row>
    <row r="26" spans="1:4" x14ac:dyDescent="0.3">
      <c r="A26" s="4" t="s">
        <v>217</v>
      </c>
      <c r="B26" s="5">
        <v>25</v>
      </c>
      <c r="C26" s="4" t="s">
        <v>218</v>
      </c>
      <c r="D26" s="6" t="s">
        <v>219</v>
      </c>
    </row>
    <row r="27" spans="1:4" x14ac:dyDescent="0.3">
      <c r="A27" s="4" t="s">
        <v>220</v>
      </c>
      <c r="B27" s="7">
        <v>0.05</v>
      </c>
      <c r="C27" s="4" t="s">
        <v>203</v>
      </c>
      <c r="D27" s="6" t="s">
        <v>221</v>
      </c>
    </row>
    <row r="28" spans="1:4" x14ac:dyDescent="0.3">
      <c r="A28" s="4" t="s">
        <v>222</v>
      </c>
      <c r="B28" s="7">
        <v>0.02</v>
      </c>
      <c r="C28" s="4" t="s">
        <v>203</v>
      </c>
      <c r="D28" s="6" t="s">
        <v>223</v>
      </c>
    </row>
    <row r="29" spans="1:4" x14ac:dyDescent="0.3">
      <c r="A29" s="4" t="s">
        <v>224</v>
      </c>
      <c r="B29" s="7">
        <v>0.02</v>
      </c>
      <c r="C29" s="4" t="s">
        <v>203</v>
      </c>
      <c r="D29" s="6" t="s">
        <v>225</v>
      </c>
    </row>
    <row r="30" spans="1:4" x14ac:dyDescent="0.3">
      <c r="A30" s="4" t="s">
        <v>226</v>
      </c>
      <c r="B30" s="5">
        <v>30</v>
      </c>
      <c r="C30" s="4" t="s">
        <v>218</v>
      </c>
      <c r="D30" s="6" t="s">
        <v>227</v>
      </c>
    </row>
    <row r="31" spans="1:4" x14ac:dyDescent="0.3">
      <c r="A31" s="4" t="s">
        <v>228</v>
      </c>
      <c r="B31" s="5">
        <v>150</v>
      </c>
      <c r="C31" s="4" t="s">
        <v>229</v>
      </c>
      <c r="D31" s="6" t="s">
        <v>230</v>
      </c>
    </row>
    <row r="32" spans="1:4" x14ac:dyDescent="0.3">
      <c r="A32" s="4" t="s">
        <v>231</v>
      </c>
      <c r="B32" s="5">
        <v>500</v>
      </c>
      <c r="C32" s="4" t="s">
        <v>232</v>
      </c>
      <c r="D32" s="6" t="s">
        <v>233</v>
      </c>
    </row>
    <row r="33" spans="1:4" x14ac:dyDescent="0.3">
      <c r="A33" s="4" t="s">
        <v>234</v>
      </c>
      <c r="B33" s="5">
        <v>15</v>
      </c>
      <c r="C33" s="4" t="s">
        <v>218</v>
      </c>
      <c r="D33" s="6" t="s">
        <v>235</v>
      </c>
    </row>
    <row r="34" spans="1:4" x14ac:dyDescent="0.3">
      <c r="A34" s="4" t="s">
        <v>236</v>
      </c>
      <c r="B34" s="5">
        <v>10</v>
      </c>
      <c r="C34" s="4" t="s">
        <v>218</v>
      </c>
      <c r="D34" s="6" t="s">
        <v>235</v>
      </c>
    </row>
    <row r="35" spans="1:4" x14ac:dyDescent="0.3">
      <c r="A35" s="4" t="s">
        <v>237</v>
      </c>
      <c r="B35" s="7">
        <v>0.3</v>
      </c>
      <c r="C35" s="4" t="s">
        <v>203</v>
      </c>
      <c r="D35" s="6" t="s">
        <v>238</v>
      </c>
    </row>
    <row r="37" spans="1:4" x14ac:dyDescent="0.3">
      <c r="A37" s="30" t="s">
        <v>239</v>
      </c>
      <c r="B37" s="2"/>
      <c r="C37" s="2"/>
      <c r="D37" s="2"/>
    </row>
    <row r="38" spans="1:4" x14ac:dyDescent="0.3">
      <c r="A38" s="3" t="s">
        <v>186</v>
      </c>
      <c r="B38" s="3" t="s">
        <v>187</v>
      </c>
      <c r="C38" s="3" t="s">
        <v>188</v>
      </c>
      <c r="D38" s="3" t="s">
        <v>5</v>
      </c>
    </row>
    <row r="39" spans="1:4" x14ac:dyDescent="0.3">
      <c r="A39" s="4" t="s">
        <v>240</v>
      </c>
      <c r="B39" s="7">
        <v>0.18</v>
      </c>
      <c r="C39" s="4" t="s">
        <v>203</v>
      </c>
      <c r="D39" s="6" t="s">
        <v>241</v>
      </c>
    </row>
    <row r="40" spans="1:4" x14ac:dyDescent="0.3">
      <c r="A40" s="4" t="s">
        <v>242</v>
      </c>
      <c r="B40" s="5">
        <v>7000</v>
      </c>
      <c r="C40" s="4" t="s">
        <v>218</v>
      </c>
      <c r="D40" s="6" t="s">
        <v>243</v>
      </c>
    </row>
    <row r="41" spans="1:4" x14ac:dyDescent="0.3">
      <c r="A41" s="4" t="s">
        <v>244</v>
      </c>
      <c r="B41" s="7">
        <v>0.15</v>
      </c>
      <c r="C41" s="4" t="s">
        <v>203</v>
      </c>
      <c r="D41" s="6" t="s">
        <v>245</v>
      </c>
    </row>
    <row r="42" spans="1:4" x14ac:dyDescent="0.3">
      <c r="A42" s="4" t="s">
        <v>246</v>
      </c>
      <c r="B42" s="5">
        <v>3250</v>
      </c>
      <c r="C42" s="4" t="s">
        <v>218</v>
      </c>
      <c r="D42" s="6" t="s">
        <v>247</v>
      </c>
    </row>
    <row r="43" spans="1:4" x14ac:dyDescent="0.3">
      <c r="A43" s="4" t="s">
        <v>248</v>
      </c>
      <c r="B43" s="5">
        <v>8</v>
      </c>
      <c r="C43" s="4" t="s">
        <v>218</v>
      </c>
      <c r="D43" s="6" t="s">
        <v>249</v>
      </c>
    </row>
    <row r="44" spans="1:4" x14ac:dyDescent="0.3">
      <c r="A44" s="4" t="s">
        <v>250</v>
      </c>
      <c r="B44" s="5">
        <v>10000</v>
      </c>
      <c r="C44" s="4" t="s">
        <v>251</v>
      </c>
      <c r="D44" s="6" t="s">
        <v>252</v>
      </c>
    </row>
    <row r="45" spans="1:4" x14ac:dyDescent="0.3">
      <c r="A45" s="4" t="s">
        <v>253</v>
      </c>
      <c r="B45" s="5">
        <v>400</v>
      </c>
      <c r="C45" s="4" t="s">
        <v>218</v>
      </c>
      <c r="D45" s="6" t="s">
        <v>254</v>
      </c>
    </row>
    <row r="46" spans="1:4" x14ac:dyDescent="0.3">
      <c r="A46" s="4" t="s">
        <v>255</v>
      </c>
      <c r="B46" s="5">
        <v>240</v>
      </c>
      <c r="C46" s="4" t="s">
        <v>218</v>
      </c>
      <c r="D46" s="6" t="s">
        <v>254</v>
      </c>
    </row>
    <row r="47" spans="1:4" x14ac:dyDescent="0.3">
      <c r="A47" s="4" t="s">
        <v>256</v>
      </c>
      <c r="B47" s="5">
        <v>4000</v>
      </c>
      <c r="C47" s="4" t="s">
        <v>218</v>
      </c>
      <c r="D47" s="6" t="s">
        <v>254</v>
      </c>
    </row>
    <row r="48" spans="1:4" x14ac:dyDescent="0.3">
      <c r="A48" s="4" t="s">
        <v>257</v>
      </c>
      <c r="B48" s="5">
        <v>250</v>
      </c>
      <c r="C48" s="4" t="s">
        <v>218</v>
      </c>
      <c r="D48" s="6" t="s">
        <v>254</v>
      </c>
    </row>
    <row r="49" spans="1:4" x14ac:dyDescent="0.3">
      <c r="A49" s="4" t="s">
        <v>258</v>
      </c>
      <c r="B49" s="5">
        <v>200</v>
      </c>
      <c r="C49" s="4" t="s">
        <v>218</v>
      </c>
      <c r="D49" s="6" t="s">
        <v>259</v>
      </c>
    </row>
    <row r="50" spans="1:4" x14ac:dyDescent="0.3">
      <c r="A50" s="4" t="s">
        <v>260</v>
      </c>
      <c r="B50" s="7">
        <v>2.5000000000000001E-2</v>
      </c>
      <c r="C50" s="4" t="s">
        <v>203</v>
      </c>
      <c r="D50" s="6" t="s">
        <v>261</v>
      </c>
    </row>
    <row r="51" spans="1:4" x14ac:dyDescent="0.3">
      <c r="A51" s="4" t="s">
        <v>262</v>
      </c>
      <c r="B51" s="5">
        <v>2</v>
      </c>
      <c r="C51" s="4" t="s">
        <v>218</v>
      </c>
      <c r="D51" s="6" t="s">
        <v>263</v>
      </c>
    </row>
    <row r="52" spans="1:4" x14ac:dyDescent="0.3">
      <c r="A52" s="4" t="s">
        <v>264</v>
      </c>
      <c r="B52" s="5">
        <v>500</v>
      </c>
      <c r="C52" s="4" t="s">
        <v>218</v>
      </c>
      <c r="D52" s="6" t="s">
        <v>265</v>
      </c>
    </row>
    <row r="53" spans="1:4" x14ac:dyDescent="0.3">
      <c r="A53" s="4" t="s">
        <v>266</v>
      </c>
      <c r="B53" s="7">
        <v>0.1</v>
      </c>
      <c r="C53" s="4" t="s">
        <v>203</v>
      </c>
      <c r="D53" s="6" t="s">
        <v>267</v>
      </c>
    </row>
    <row r="55" spans="1:4" x14ac:dyDescent="0.3">
      <c r="A55" s="30" t="s">
        <v>268</v>
      </c>
      <c r="B55" s="2"/>
      <c r="C55" s="2"/>
      <c r="D55" s="2"/>
    </row>
    <row r="56" spans="1:4" x14ac:dyDescent="0.3">
      <c r="A56" s="3" t="s">
        <v>186</v>
      </c>
      <c r="B56" s="3" t="s">
        <v>187</v>
      </c>
      <c r="C56" s="3" t="s">
        <v>188</v>
      </c>
      <c r="D56" s="3" t="s">
        <v>5</v>
      </c>
    </row>
    <row r="57" spans="1:4" x14ac:dyDescent="0.3">
      <c r="A57" s="4" t="s">
        <v>269</v>
      </c>
      <c r="B57" s="5">
        <v>45</v>
      </c>
      <c r="C57" s="4" t="s">
        <v>218</v>
      </c>
      <c r="D57" s="6" t="s">
        <v>270</v>
      </c>
    </row>
    <row r="58" spans="1:4" x14ac:dyDescent="0.3">
      <c r="A58" s="4" t="s">
        <v>271</v>
      </c>
      <c r="B58" s="5">
        <v>35</v>
      </c>
      <c r="C58" s="4" t="s">
        <v>218</v>
      </c>
      <c r="D58" s="6" t="s">
        <v>272</v>
      </c>
    </row>
    <row r="59" spans="1:4" x14ac:dyDescent="0.3">
      <c r="A59" s="4" t="s">
        <v>273</v>
      </c>
      <c r="B59" s="5">
        <v>20</v>
      </c>
      <c r="C59" s="4" t="s">
        <v>218</v>
      </c>
      <c r="D59" s="6" t="s">
        <v>274</v>
      </c>
    </row>
    <row r="60" spans="1:4" x14ac:dyDescent="0.3">
      <c r="A60" s="4" t="s">
        <v>275</v>
      </c>
      <c r="B60" s="5">
        <v>40</v>
      </c>
      <c r="C60" s="4" t="s">
        <v>218</v>
      </c>
      <c r="D60" s="6" t="s">
        <v>276</v>
      </c>
    </row>
    <row r="61" spans="1:4" x14ac:dyDescent="0.3">
      <c r="A61" s="4" t="s">
        <v>277</v>
      </c>
      <c r="B61" s="7">
        <v>0.1</v>
      </c>
      <c r="C61" s="4" t="s">
        <v>203</v>
      </c>
      <c r="D61" s="6" t="s">
        <v>278</v>
      </c>
    </row>
    <row r="62" spans="1:4" x14ac:dyDescent="0.3">
      <c r="A62" s="4" t="s">
        <v>279</v>
      </c>
      <c r="B62" s="7">
        <v>0.215</v>
      </c>
      <c r="C62" s="4" t="s">
        <v>203</v>
      </c>
      <c r="D62" s="6" t="s">
        <v>280</v>
      </c>
    </row>
    <row r="63" spans="1:4" x14ac:dyDescent="0.3">
      <c r="A63" s="4" t="s">
        <v>281</v>
      </c>
      <c r="B63" s="7">
        <v>0.2</v>
      </c>
      <c r="C63" s="4" t="s">
        <v>203</v>
      </c>
      <c r="D63" s="6" t="s">
        <v>282</v>
      </c>
    </row>
    <row r="65" spans="1:4" x14ac:dyDescent="0.3">
      <c r="A65" s="30" t="s">
        <v>283</v>
      </c>
      <c r="B65" s="2"/>
      <c r="C65" s="2"/>
      <c r="D65" s="2"/>
    </row>
    <row r="66" spans="1:4" x14ac:dyDescent="0.3">
      <c r="A66" s="3" t="s">
        <v>186</v>
      </c>
      <c r="B66" s="3" t="s">
        <v>187</v>
      </c>
      <c r="C66" s="3" t="s">
        <v>188</v>
      </c>
      <c r="D66" s="3" t="s">
        <v>5</v>
      </c>
    </row>
    <row r="67" spans="1:4" x14ac:dyDescent="0.3">
      <c r="A67" s="4" t="s">
        <v>70</v>
      </c>
      <c r="B67" s="7">
        <v>0.2</v>
      </c>
      <c r="C67" s="4" t="s">
        <v>203</v>
      </c>
      <c r="D67" s="6" t="s">
        <v>284</v>
      </c>
    </row>
    <row r="68" spans="1:4" x14ac:dyDescent="0.3">
      <c r="A68" s="4" t="s">
        <v>285</v>
      </c>
      <c r="B68" s="7">
        <v>0.15</v>
      </c>
      <c r="C68" s="4" t="s">
        <v>203</v>
      </c>
      <c r="D68" s="6" t="s">
        <v>286</v>
      </c>
    </row>
    <row r="69" spans="1:4" x14ac:dyDescent="0.3">
      <c r="A69" s="4" t="s">
        <v>61</v>
      </c>
      <c r="B69" s="5">
        <v>5</v>
      </c>
      <c r="C69" s="4" t="s">
        <v>287</v>
      </c>
      <c r="D69" s="6" t="s">
        <v>288</v>
      </c>
    </row>
    <row r="70" spans="1:4" x14ac:dyDescent="0.3">
      <c r="A70" s="4" t="s">
        <v>289</v>
      </c>
      <c r="B70" s="5">
        <v>45</v>
      </c>
      <c r="C70" s="4" t="s">
        <v>290</v>
      </c>
      <c r="D70" s="6" t="s">
        <v>291</v>
      </c>
    </row>
    <row r="71" spans="1:4" x14ac:dyDescent="0.3">
      <c r="A71" s="4" t="s">
        <v>292</v>
      </c>
      <c r="B71" s="5">
        <v>30</v>
      </c>
      <c r="C71" s="4" t="s">
        <v>290</v>
      </c>
      <c r="D71" s="6" t="s">
        <v>293</v>
      </c>
    </row>
    <row r="72" spans="1:4" x14ac:dyDescent="0.3">
      <c r="A72" s="4" t="s">
        <v>294</v>
      </c>
      <c r="B72" s="5">
        <v>300</v>
      </c>
      <c r="C72" s="4"/>
      <c r="D72" s="6" t="s">
        <v>295</v>
      </c>
    </row>
    <row r="75" spans="1:4" x14ac:dyDescent="0.3">
      <c r="A75" s="33" t="s">
        <v>296</v>
      </c>
      <c r="B75" s="34"/>
      <c r="C75" s="34"/>
      <c r="D75" s="34"/>
    </row>
    <row r="76" spans="1:4" x14ac:dyDescent="0.3">
      <c r="A76" s="35" t="s">
        <v>186</v>
      </c>
      <c r="B76" s="35" t="s">
        <v>187</v>
      </c>
      <c r="C76" s="35" t="s">
        <v>188</v>
      </c>
      <c r="D76" s="35" t="s">
        <v>297</v>
      </c>
    </row>
    <row r="77" spans="1:4" x14ac:dyDescent="0.3">
      <c r="A77" s="36" t="s">
        <v>298</v>
      </c>
      <c r="B77" s="37">
        <v>0.5</v>
      </c>
      <c r="C77" s="36" t="s">
        <v>299</v>
      </c>
      <c r="D77" s="38" t="s">
        <v>300</v>
      </c>
    </row>
    <row r="78" spans="1:4" x14ac:dyDescent="0.3">
      <c r="A78" s="36" t="s">
        <v>301</v>
      </c>
      <c r="B78" s="39">
        <v>0.02</v>
      </c>
      <c r="C78" s="36" t="s">
        <v>302</v>
      </c>
      <c r="D78" s="38" t="s">
        <v>303</v>
      </c>
    </row>
    <row r="79" spans="1:4" x14ac:dyDescent="0.3">
      <c r="A79" s="36" t="s">
        <v>304</v>
      </c>
      <c r="B79" s="40">
        <v>500</v>
      </c>
      <c r="C79" s="36" t="s">
        <v>305</v>
      </c>
      <c r="D79" s="38" t="s">
        <v>306</v>
      </c>
    </row>
    <row r="80" spans="1:4" x14ac:dyDescent="0.3">
      <c r="A80" s="36" t="s">
        <v>307</v>
      </c>
      <c r="B80" s="39">
        <v>0.3</v>
      </c>
      <c r="C80" s="36" t="s">
        <v>308</v>
      </c>
      <c r="D80" s="38" t="s">
        <v>309</v>
      </c>
    </row>
    <row r="81" spans="1:4" x14ac:dyDescent="0.3">
      <c r="A81" s="36" t="s">
        <v>310</v>
      </c>
      <c r="B81" s="37">
        <v>2</v>
      </c>
      <c r="C81" s="36" t="s">
        <v>311</v>
      </c>
      <c r="D81" s="38" t="s">
        <v>312</v>
      </c>
    </row>
    <row r="82" spans="1:4" x14ac:dyDescent="0.3">
      <c r="A82" s="36" t="s">
        <v>313</v>
      </c>
      <c r="B82" s="37">
        <v>1.2</v>
      </c>
      <c r="C82" s="36" t="s">
        <v>314</v>
      </c>
      <c r="D82" s="38" t="s">
        <v>315</v>
      </c>
    </row>
    <row r="85" spans="1:4" x14ac:dyDescent="0.3">
      <c r="A85" s="59" t="s">
        <v>316</v>
      </c>
      <c r="B85" s="60"/>
      <c r="C85" s="60"/>
      <c r="D85" s="61"/>
    </row>
    <row r="86" spans="1:4" x14ac:dyDescent="0.3">
      <c r="A86" s="41" t="s">
        <v>317</v>
      </c>
      <c r="B86" s="41" t="s">
        <v>318</v>
      </c>
      <c r="C86" s="41" t="s">
        <v>319</v>
      </c>
      <c r="D86" s="41" t="s">
        <v>320</v>
      </c>
    </row>
    <row r="87" spans="1:4" x14ac:dyDescent="0.3">
      <c r="A87" s="42"/>
      <c r="B87" s="42"/>
      <c r="C87" s="42" t="s">
        <v>321</v>
      </c>
      <c r="D87" s="42" t="s">
        <v>322</v>
      </c>
    </row>
    <row r="88" spans="1:4" x14ac:dyDescent="0.3">
      <c r="A88" s="42"/>
      <c r="B88" s="42"/>
      <c r="C88" s="42" t="s">
        <v>323</v>
      </c>
      <c r="D88" s="42" t="s">
        <v>324</v>
      </c>
    </row>
    <row r="89" spans="1:4" x14ac:dyDescent="0.3">
      <c r="A89" s="42"/>
      <c r="B89" s="42"/>
      <c r="C89" s="42" t="s">
        <v>325</v>
      </c>
      <c r="D89" s="42" t="s">
        <v>326</v>
      </c>
    </row>
    <row r="90" spans="1:4" x14ac:dyDescent="0.3">
      <c r="A90" s="42"/>
      <c r="B90" s="42"/>
      <c r="C90" s="42" t="s">
        <v>327</v>
      </c>
      <c r="D90" s="42" t="s">
        <v>328</v>
      </c>
    </row>
    <row r="91" spans="1:4" x14ac:dyDescent="0.3">
      <c r="A91" s="42"/>
      <c r="B91" s="42"/>
      <c r="C91" s="42"/>
      <c r="D91" s="42"/>
    </row>
    <row r="92" spans="1:4" x14ac:dyDescent="0.3">
      <c r="A92" s="41" t="s">
        <v>329</v>
      </c>
      <c r="B92" s="41" t="s">
        <v>330</v>
      </c>
      <c r="C92" s="41" t="s">
        <v>331</v>
      </c>
      <c r="D92" s="41" t="s">
        <v>328</v>
      </c>
    </row>
    <row r="93" spans="1:4" x14ac:dyDescent="0.3">
      <c r="A93" s="42"/>
      <c r="B93" s="42"/>
      <c r="C93" s="42" t="s">
        <v>332</v>
      </c>
      <c r="D93" s="42" t="s">
        <v>333</v>
      </c>
    </row>
    <row r="94" spans="1:4" x14ac:dyDescent="0.3">
      <c r="A94" s="42"/>
      <c r="B94" s="42"/>
      <c r="C94" s="42" t="s">
        <v>334</v>
      </c>
      <c r="D94" s="42" t="s">
        <v>335</v>
      </c>
    </row>
    <row r="95" spans="1:4" x14ac:dyDescent="0.3">
      <c r="A95" s="42"/>
      <c r="B95" s="42"/>
      <c r="C95" s="42" t="s">
        <v>336</v>
      </c>
      <c r="D95" s="42" t="s">
        <v>328</v>
      </c>
    </row>
    <row r="96" spans="1:4" x14ac:dyDescent="0.3">
      <c r="A96" s="42"/>
      <c r="B96" s="42"/>
      <c r="C96" s="42"/>
      <c r="D96" s="42"/>
    </row>
    <row r="97" spans="1:4" x14ac:dyDescent="0.3">
      <c r="A97" s="41" t="s">
        <v>337</v>
      </c>
      <c r="B97" s="41" t="s">
        <v>338</v>
      </c>
      <c r="C97" s="41" t="s">
        <v>339</v>
      </c>
      <c r="D97" s="41" t="s">
        <v>340</v>
      </c>
    </row>
    <row r="98" spans="1:4" x14ac:dyDescent="0.3">
      <c r="A98" s="42"/>
      <c r="B98" s="42"/>
      <c r="C98" s="42" t="s">
        <v>341</v>
      </c>
      <c r="D98" s="42" t="s">
        <v>342</v>
      </c>
    </row>
    <row r="99" spans="1:4" x14ac:dyDescent="0.3">
      <c r="A99" s="42"/>
      <c r="B99" s="42"/>
      <c r="C99" s="42" t="s">
        <v>343</v>
      </c>
      <c r="D99" s="42" t="s">
        <v>344</v>
      </c>
    </row>
  </sheetData>
  <mergeCells count="2">
    <mergeCell ref="A1:D1"/>
    <mergeCell ref="A85:D8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00000"/>
  </sheetPr>
  <dimension ref="A1:D24"/>
  <sheetViews>
    <sheetView workbookViewId="0">
      <selection activeCell="B19" sqref="B19"/>
    </sheetView>
  </sheetViews>
  <sheetFormatPr defaultRowHeight="14.4" x14ac:dyDescent="0.3"/>
  <cols>
    <col min="1" max="1" width="40" style="29" customWidth="1"/>
    <col min="2" max="2" width="18" style="29" customWidth="1"/>
    <col min="3" max="3" width="12" style="29" customWidth="1"/>
    <col min="4" max="4" width="40" style="29" customWidth="1"/>
  </cols>
  <sheetData>
    <row r="1" spans="1:4" x14ac:dyDescent="0.3">
      <c r="A1" s="30" t="s">
        <v>345</v>
      </c>
    </row>
    <row r="3" spans="1:4" x14ac:dyDescent="0.3">
      <c r="A3" s="3" t="s">
        <v>346</v>
      </c>
      <c r="B3" s="3" t="s">
        <v>347</v>
      </c>
      <c r="C3" s="3" t="s">
        <v>348</v>
      </c>
      <c r="D3" s="3" t="s">
        <v>5</v>
      </c>
    </row>
    <row r="4" spans="1:4" x14ac:dyDescent="0.3">
      <c r="A4" s="4" t="s">
        <v>349</v>
      </c>
      <c r="B4" s="5">
        <v>800</v>
      </c>
      <c r="C4" s="4" t="s">
        <v>350</v>
      </c>
      <c r="D4" s="6" t="s">
        <v>351</v>
      </c>
    </row>
    <row r="5" spans="1:4" x14ac:dyDescent="0.3">
      <c r="A5" s="4" t="s">
        <v>352</v>
      </c>
      <c r="B5" s="5">
        <v>1200</v>
      </c>
      <c r="C5" s="4" t="s">
        <v>350</v>
      </c>
      <c r="D5" s="6" t="s">
        <v>353</v>
      </c>
    </row>
    <row r="6" spans="1:4" x14ac:dyDescent="0.3">
      <c r="A6" s="4" t="s">
        <v>354</v>
      </c>
      <c r="B6" s="5">
        <v>900</v>
      </c>
      <c r="C6" s="4" t="s">
        <v>350</v>
      </c>
      <c r="D6" s="6" t="s">
        <v>355</v>
      </c>
    </row>
    <row r="7" spans="1:4" x14ac:dyDescent="0.3">
      <c r="A7" s="4" t="s">
        <v>356</v>
      </c>
      <c r="B7" s="5">
        <v>600</v>
      </c>
      <c r="C7" s="4" t="s">
        <v>350</v>
      </c>
      <c r="D7" s="6" t="s">
        <v>357</v>
      </c>
    </row>
    <row r="8" spans="1:4" x14ac:dyDescent="0.3">
      <c r="A8" s="4" t="s">
        <v>358</v>
      </c>
      <c r="B8" s="5">
        <v>250</v>
      </c>
      <c r="C8" s="4" t="s">
        <v>350</v>
      </c>
      <c r="D8" s="6" t="s">
        <v>359</v>
      </c>
    </row>
    <row r="9" spans="1:4" x14ac:dyDescent="0.3">
      <c r="A9" s="4" t="s">
        <v>360</v>
      </c>
      <c r="B9" s="5">
        <v>350</v>
      </c>
      <c r="C9" s="4" t="s">
        <v>350</v>
      </c>
      <c r="D9" s="6" t="s">
        <v>361</v>
      </c>
    </row>
    <row r="10" spans="1:4" x14ac:dyDescent="0.3">
      <c r="A10" s="4" t="s">
        <v>362</v>
      </c>
      <c r="B10" s="5">
        <v>400</v>
      </c>
      <c r="C10" s="4" t="s">
        <v>350</v>
      </c>
      <c r="D10" s="6" t="s">
        <v>363</v>
      </c>
    </row>
    <row r="11" spans="1:4" x14ac:dyDescent="0.3">
      <c r="A11" s="4" t="s">
        <v>364</v>
      </c>
      <c r="B11" s="5">
        <v>280</v>
      </c>
      <c r="C11" s="4" t="s">
        <v>350</v>
      </c>
      <c r="D11" s="6" t="s">
        <v>365</v>
      </c>
    </row>
    <row r="12" spans="1:4" x14ac:dyDescent="0.3">
      <c r="A12" s="4" t="s">
        <v>366</v>
      </c>
      <c r="B12" s="5">
        <v>200</v>
      </c>
      <c r="C12" s="4" t="s">
        <v>350</v>
      </c>
      <c r="D12" s="6" t="s">
        <v>367</v>
      </c>
    </row>
    <row r="13" spans="1:4" x14ac:dyDescent="0.3">
      <c r="A13" s="4" t="s">
        <v>368</v>
      </c>
      <c r="B13" s="5">
        <v>300</v>
      </c>
      <c r="C13" s="4" t="s">
        <v>350</v>
      </c>
      <c r="D13" s="6" t="s">
        <v>267</v>
      </c>
    </row>
    <row r="15" spans="1:4" x14ac:dyDescent="0.3">
      <c r="A15" s="4" t="s">
        <v>369</v>
      </c>
      <c r="B15" s="9">
        <f>SUM(B4:B13)</f>
        <v>5280</v>
      </c>
    </row>
    <row r="17" spans="1:4" x14ac:dyDescent="0.3">
      <c r="A17" s="30" t="s">
        <v>370</v>
      </c>
    </row>
    <row r="18" spans="1:4" x14ac:dyDescent="0.3">
      <c r="A18" s="3" t="s">
        <v>190</v>
      </c>
      <c r="B18" s="3" t="s">
        <v>371</v>
      </c>
      <c r="C18" s="3" t="s">
        <v>372</v>
      </c>
      <c r="D18" s="3" t="s">
        <v>373</v>
      </c>
    </row>
    <row r="19" spans="1:4" x14ac:dyDescent="0.3">
      <c r="A19" s="4" t="s">
        <v>374</v>
      </c>
      <c r="B19" s="10">
        <f>capex_total/depreciation_years</f>
        <v>1056</v>
      </c>
      <c r="C19" s="10">
        <f>B19</f>
        <v>1056</v>
      </c>
      <c r="D19" s="10">
        <f t="shared" ref="D19:D24" si="0">capex_total-C19</f>
        <v>4224</v>
      </c>
    </row>
    <row r="20" spans="1:4" x14ac:dyDescent="0.3">
      <c r="A20" s="4" t="s">
        <v>375</v>
      </c>
      <c r="B20" s="10">
        <f>capex_total/depreciation_years</f>
        <v>1056</v>
      </c>
      <c r="C20" s="10">
        <f>C19+B20</f>
        <v>2112</v>
      </c>
      <c r="D20" s="10">
        <f t="shared" si="0"/>
        <v>3168</v>
      </c>
    </row>
    <row r="21" spans="1:4" x14ac:dyDescent="0.3">
      <c r="A21" s="4" t="s">
        <v>376</v>
      </c>
      <c r="B21" s="10">
        <f>capex_total/depreciation_years</f>
        <v>1056</v>
      </c>
      <c r="C21" s="10">
        <f>C20+B21</f>
        <v>3168</v>
      </c>
      <c r="D21" s="10">
        <f t="shared" si="0"/>
        <v>2112</v>
      </c>
    </row>
    <row r="22" spans="1:4" x14ac:dyDescent="0.3">
      <c r="A22" s="4" t="s">
        <v>377</v>
      </c>
      <c r="B22" s="10">
        <f>capex_total/depreciation_years</f>
        <v>1056</v>
      </c>
      <c r="C22" s="10">
        <f>C21+B22</f>
        <v>4224</v>
      </c>
      <c r="D22" s="10">
        <f t="shared" si="0"/>
        <v>1056</v>
      </c>
    </row>
    <row r="23" spans="1:4" x14ac:dyDescent="0.3">
      <c r="A23" s="4" t="s">
        <v>378</v>
      </c>
      <c r="B23" s="10">
        <f>capex_total/depreciation_years</f>
        <v>1056</v>
      </c>
      <c r="C23" s="10">
        <f>C22+B23</f>
        <v>5280</v>
      </c>
      <c r="D23" s="10">
        <f t="shared" si="0"/>
        <v>0</v>
      </c>
    </row>
    <row r="24" spans="1:4" x14ac:dyDescent="0.3">
      <c r="A24" s="4" t="s">
        <v>379</v>
      </c>
      <c r="B24" s="10">
        <f>0</f>
        <v>0</v>
      </c>
      <c r="C24" s="10">
        <f>C23+B24</f>
        <v>5280</v>
      </c>
      <c r="D24" s="10">
        <f t="shared" si="0"/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030A0"/>
  </sheetPr>
  <dimension ref="A1:AR21"/>
  <sheetViews>
    <sheetView topLeftCell="AA1" workbookViewId="0">
      <selection activeCell="AR21" sqref="AR21"/>
    </sheetView>
  </sheetViews>
  <sheetFormatPr defaultRowHeight="14.4" x14ac:dyDescent="0.3"/>
  <cols>
    <col min="1" max="1" width="30" style="29" customWidth="1"/>
    <col min="2" max="2" width="14" style="29" customWidth="1"/>
    <col min="3" max="44" width="11" style="29" customWidth="1"/>
  </cols>
  <sheetData>
    <row r="1" spans="1:44" x14ac:dyDescent="0.3">
      <c r="A1" s="30" t="s">
        <v>380</v>
      </c>
    </row>
    <row r="3" spans="1:44" x14ac:dyDescent="0.3">
      <c r="A3" s="3" t="s">
        <v>381</v>
      </c>
      <c r="B3" s="3" t="s">
        <v>188</v>
      </c>
      <c r="C3" s="3" t="s">
        <v>382</v>
      </c>
      <c r="D3" s="3" t="s">
        <v>383</v>
      </c>
      <c r="E3" s="3" t="s">
        <v>384</v>
      </c>
      <c r="F3" s="3" t="s">
        <v>385</v>
      </c>
      <c r="G3" s="3" t="s">
        <v>386</v>
      </c>
      <c r="H3" s="3" t="s">
        <v>387</v>
      </c>
      <c r="I3" s="3" t="s">
        <v>388</v>
      </c>
      <c r="J3" s="3" t="s">
        <v>389</v>
      </c>
      <c r="K3" s="3" t="s">
        <v>390</v>
      </c>
      <c r="L3" s="3" t="s">
        <v>391</v>
      </c>
      <c r="M3" s="3" t="s">
        <v>392</v>
      </c>
      <c r="N3" s="3" t="s">
        <v>393</v>
      </c>
      <c r="O3" s="3" t="s">
        <v>394</v>
      </c>
      <c r="P3" s="3" t="s">
        <v>395</v>
      </c>
      <c r="Q3" s="3" t="s">
        <v>396</v>
      </c>
      <c r="R3" s="3" t="s">
        <v>397</v>
      </c>
      <c r="S3" s="3" t="s">
        <v>398</v>
      </c>
      <c r="T3" s="3" t="s">
        <v>399</v>
      </c>
      <c r="U3" s="3" t="s">
        <v>400</v>
      </c>
      <c r="V3" s="3" t="s">
        <v>401</v>
      </c>
      <c r="W3" s="3" t="s">
        <v>402</v>
      </c>
      <c r="X3" s="3" t="s">
        <v>403</v>
      </c>
      <c r="Y3" s="3" t="s">
        <v>404</v>
      </c>
      <c r="Z3" s="3" t="s">
        <v>405</v>
      </c>
      <c r="AA3" s="3" t="s">
        <v>406</v>
      </c>
      <c r="AB3" s="3" t="s">
        <v>407</v>
      </c>
      <c r="AC3" s="3" t="s">
        <v>408</v>
      </c>
      <c r="AD3" s="3" t="s">
        <v>409</v>
      </c>
      <c r="AE3" s="3" t="s">
        <v>410</v>
      </c>
      <c r="AF3" s="3" t="s">
        <v>411</v>
      </c>
      <c r="AG3" s="3" t="s">
        <v>412</v>
      </c>
      <c r="AH3" s="3" t="s">
        <v>413</v>
      </c>
      <c r="AI3" s="3" t="s">
        <v>414</v>
      </c>
      <c r="AJ3" s="3" t="s">
        <v>415</v>
      </c>
      <c r="AK3" s="3" t="s">
        <v>416</v>
      </c>
      <c r="AL3" s="3" t="s">
        <v>417</v>
      </c>
      <c r="AM3" s="3" t="s">
        <v>418</v>
      </c>
      <c r="AN3" s="3" t="s">
        <v>419</v>
      </c>
      <c r="AO3" s="3" t="s">
        <v>420</v>
      </c>
      <c r="AP3" s="3" t="s">
        <v>421</v>
      </c>
      <c r="AQ3" s="3" t="s">
        <v>422</v>
      </c>
      <c r="AR3" s="3" t="s">
        <v>423</v>
      </c>
    </row>
    <row r="4" spans="1:44" x14ac:dyDescent="0.3">
      <c r="A4" s="30" t="s">
        <v>424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</row>
    <row r="5" spans="1:44" x14ac:dyDescent="0.3">
      <c r="A5" s="4" t="s">
        <v>425</v>
      </c>
      <c r="B5" s="12" t="s">
        <v>426</v>
      </c>
      <c r="C5" s="5">
        <v>2</v>
      </c>
      <c r="D5" s="5">
        <v>2</v>
      </c>
      <c r="E5" s="5">
        <v>2</v>
      </c>
      <c r="F5" s="5">
        <v>2</v>
      </c>
      <c r="G5" s="5">
        <v>2</v>
      </c>
      <c r="H5" s="5">
        <v>2</v>
      </c>
      <c r="I5" s="5">
        <v>2</v>
      </c>
      <c r="J5" s="5">
        <v>2</v>
      </c>
      <c r="K5" s="5">
        <v>2</v>
      </c>
      <c r="L5" s="5">
        <v>2</v>
      </c>
      <c r="M5" s="5">
        <v>2</v>
      </c>
      <c r="N5" s="5">
        <v>2</v>
      </c>
      <c r="O5" s="5">
        <v>2</v>
      </c>
      <c r="P5" s="5">
        <v>2</v>
      </c>
      <c r="Q5" s="5">
        <v>2</v>
      </c>
      <c r="R5" s="5">
        <v>2</v>
      </c>
      <c r="S5" s="5">
        <v>2</v>
      </c>
      <c r="T5" s="5">
        <v>2</v>
      </c>
      <c r="U5" s="5">
        <v>3</v>
      </c>
      <c r="V5" s="5">
        <v>3</v>
      </c>
      <c r="W5" s="5">
        <v>3</v>
      </c>
      <c r="X5" s="5">
        <v>3</v>
      </c>
      <c r="Y5" s="5">
        <v>3</v>
      </c>
      <c r="Z5" s="5">
        <v>3</v>
      </c>
      <c r="AA5" s="5">
        <v>3</v>
      </c>
      <c r="AB5" s="5">
        <v>3</v>
      </c>
      <c r="AC5" s="5">
        <v>3</v>
      </c>
      <c r="AD5" s="5">
        <v>3</v>
      </c>
      <c r="AE5" s="5">
        <v>3</v>
      </c>
      <c r="AF5" s="5">
        <v>3</v>
      </c>
      <c r="AG5" s="5">
        <v>3</v>
      </c>
      <c r="AH5" s="5">
        <v>3</v>
      </c>
      <c r="AI5" s="5">
        <v>3</v>
      </c>
      <c r="AJ5" s="5">
        <v>3</v>
      </c>
      <c r="AK5" s="5">
        <v>4</v>
      </c>
      <c r="AL5" s="5">
        <v>4</v>
      </c>
      <c r="AM5" s="5">
        <v>4</v>
      </c>
      <c r="AN5" s="5">
        <v>4</v>
      </c>
      <c r="AO5" s="5">
        <v>4</v>
      </c>
      <c r="AP5" s="5">
        <v>4</v>
      </c>
      <c r="AQ5" s="5">
        <v>4</v>
      </c>
      <c r="AR5" s="5">
        <v>4</v>
      </c>
    </row>
    <row r="6" spans="1:44" x14ac:dyDescent="0.3">
      <c r="A6" s="4" t="s">
        <v>427</v>
      </c>
      <c r="B6" s="12" t="s">
        <v>426</v>
      </c>
      <c r="C6" s="5">
        <v>12</v>
      </c>
      <c r="D6" s="5">
        <v>12</v>
      </c>
      <c r="E6" s="5">
        <v>12</v>
      </c>
      <c r="F6" s="5">
        <v>12</v>
      </c>
      <c r="G6" s="5">
        <v>12</v>
      </c>
      <c r="H6" s="5">
        <v>12</v>
      </c>
      <c r="I6" s="5">
        <v>12</v>
      </c>
      <c r="J6" s="5">
        <v>12</v>
      </c>
      <c r="K6" s="5">
        <v>12</v>
      </c>
      <c r="L6" s="5">
        <v>12</v>
      </c>
      <c r="M6" s="5">
        <v>12</v>
      </c>
      <c r="N6" s="5">
        <v>12</v>
      </c>
      <c r="O6" s="5">
        <v>12</v>
      </c>
      <c r="P6" s="5">
        <v>12</v>
      </c>
      <c r="Q6" s="5">
        <v>12</v>
      </c>
      <c r="R6" s="5">
        <v>12</v>
      </c>
      <c r="S6" s="5">
        <v>12</v>
      </c>
      <c r="T6" s="5">
        <v>12</v>
      </c>
      <c r="U6" s="5">
        <v>14</v>
      </c>
      <c r="V6" s="5">
        <v>14</v>
      </c>
      <c r="W6" s="5">
        <v>14</v>
      </c>
      <c r="X6" s="5">
        <v>14</v>
      </c>
      <c r="Y6" s="5">
        <v>14</v>
      </c>
      <c r="Z6" s="5">
        <v>14</v>
      </c>
      <c r="AA6" s="5">
        <v>14</v>
      </c>
      <c r="AB6" s="5">
        <v>14</v>
      </c>
      <c r="AC6" s="5">
        <v>14</v>
      </c>
      <c r="AD6" s="5">
        <v>14</v>
      </c>
      <c r="AE6" s="5">
        <v>14</v>
      </c>
      <c r="AF6" s="5">
        <v>14</v>
      </c>
      <c r="AG6" s="5">
        <v>16</v>
      </c>
      <c r="AH6" s="5">
        <v>16</v>
      </c>
      <c r="AI6" s="5">
        <v>16</v>
      </c>
      <c r="AJ6" s="5">
        <v>16</v>
      </c>
      <c r="AK6" s="5">
        <v>18</v>
      </c>
      <c r="AL6" s="5">
        <v>18</v>
      </c>
      <c r="AM6" s="5">
        <v>18</v>
      </c>
      <c r="AN6" s="5">
        <v>18</v>
      </c>
      <c r="AO6" s="5">
        <v>20</v>
      </c>
      <c r="AP6" s="5">
        <v>20</v>
      </c>
      <c r="AQ6" s="5">
        <v>20</v>
      </c>
      <c r="AR6" s="5">
        <v>20</v>
      </c>
    </row>
    <row r="7" spans="1:44" x14ac:dyDescent="0.3">
      <c r="A7" s="4" t="s">
        <v>428</v>
      </c>
      <c r="B7" s="12" t="s">
        <v>426</v>
      </c>
      <c r="C7" s="5">
        <v>2</v>
      </c>
      <c r="D7" s="5">
        <v>2</v>
      </c>
      <c r="E7" s="5">
        <v>2</v>
      </c>
      <c r="F7" s="5">
        <v>2</v>
      </c>
      <c r="G7" s="5">
        <v>2</v>
      </c>
      <c r="H7" s="5">
        <v>2</v>
      </c>
      <c r="I7" s="5">
        <v>6</v>
      </c>
      <c r="J7" s="5">
        <v>6</v>
      </c>
      <c r="K7" s="5">
        <v>6</v>
      </c>
      <c r="L7" s="5">
        <v>6</v>
      </c>
      <c r="M7" s="5">
        <v>6</v>
      </c>
      <c r="N7" s="5">
        <v>6</v>
      </c>
      <c r="O7" s="5">
        <v>6</v>
      </c>
      <c r="P7" s="5">
        <v>6</v>
      </c>
      <c r="Q7" s="5">
        <v>6</v>
      </c>
      <c r="R7" s="5">
        <v>6</v>
      </c>
      <c r="S7" s="5">
        <v>6</v>
      </c>
      <c r="T7" s="5">
        <v>6</v>
      </c>
      <c r="U7" s="5">
        <v>10</v>
      </c>
      <c r="V7" s="5">
        <v>10</v>
      </c>
      <c r="W7" s="5">
        <v>10</v>
      </c>
      <c r="X7" s="5">
        <v>10</v>
      </c>
      <c r="Y7" s="5">
        <v>10</v>
      </c>
      <c r="Z7" s="5">
        <v>10</v>
      </c>
      <c r="AA7" s="5">
        <v>10</v>
      </c>
      <c r="AB7" s="5">
        <v>10</v>
      </c>
      <c r="AC7" s="5">
        <v>10</v>
      </c>
      <c r="AD7" s="5">
        <v>10</v>
      </c>
      <c r="AE7" s="5">
        <v>10</v>
      </c>
      <c r="AF7" s="5">
        <v>10</v>
      </c>
      <c r="AG7" s="5">
        <v>18</v>
      </c>
      <c r="AH7" s="5">
        <v>18</v>
      </c>
      <c r="AI7" s="5">
        <v>18</v>
      </c>
      <c r="AJ7" s="5">
        <v>18</v>
      </c>
      <c r="AK7" s="5">
        <v>28</v>
      </c>
      <c r="AL7" s="5">
        <v>28</v>
      </c>
      <c r="AM7" s="5">
        <v>28</v>
      </c>
      <c r="AN7" s="5">
        <v>28</v>
      </c>
      <c r="AO7" s="5">
        <v>35</v>
      </c>
      <c r="AP7" s="5">
        <v>35</v>
      </c>
      <c r="AQ7" s="5">
        <v>35</v>
      </c>
      <c r="AR7" s="5">
        <v>35</v>
      </c>
    </row>
    <row r="8" spans="1:44" x14ac:dyDescent="0.3">
      <c r="A8" s="4" t="s">
        <v>429</v>
      </c>
      <c r="B8" s="12" t="s">
        <v>426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2</v>
      </c>
      <c r="J8" s="5">
        <v>2</v>
      </c>
      <c r="K8" s="5">
        <v>2</v>
      </c>
      <c r="L8" s="5">
        <v>2</v>
      </c>
      <c r="M8" s="5">
        <v>2</v>
      </c>
      <c r="N8" s="5">
        <v>2</v>
      </c>
      <c r="O8" s="5">
        <v>2</v>
      </c>
      <c r="P8" s="5">
        <v>2</v>
      </c>
      <c r="Q8" s="5">
        <v>2</v>
      </c>
      <c r="R8" s="5">
        <v>2</v>
      </c>
      <c r="S8" s="5">
        <v>2</v>
      </c>
      <c r="T8" s="5">
        <v>2</v>
      </c>
      <c r="U8" s="5">
        <v>3</v>
      </c>
      <c r="V8" s="5">
        <v>3</v>
      </c>
      <c r="W8" s="5">
        <v>3</v>
      </c>
      <c r="X8" s="5">
        <v>3</v>
      </c>
      <c r="Y8" s="5">
        <v>3</v>
      </c>
      <c r="Z8" s="5">
        <v>3</v>
      </c>
      <c r="AA8" s="5">
        <v>3</v>
      </c>
      <c r="AB8" s="5">
        <v>3</v>
      </c>
      <c r="AC8" s="5">
        <v>3</v>
      </c>
      <c r="AD8" s="5">
        <v>3</v>
      </c>
      <c r="AE8" s="5">
        <v>3</v>
      </c>
      <c r="AF8" s="5">
        <v>3</v>
      </c>
      <c r="AG8" s="5">
        <v>4</v>
      </c>
      <c r="AH8" s="5">
        <v>4</v>
      </c>
      <c r="AI8" s="5">
        <v>4</v>
      </c>
      <c r="AJ8" s="5">
        <v>4</v>
      </c>
      <c r="AK8" s="5">
        <v>5</v>
      </c>
      <c r="AL8" s="5">
        <v>5</v>
      </c>
      <c r="AM8" s="5">
        <v>5</v>
      </c>
      <c r="AN8" s="5">
        <v>5</v>
      </c>
      <c r="AO8" s="5">
        <v>6</v>
      </c>
      <c r="AP8" s="5">
        <v>6</v>
      </c>
      <c r="AQ8" s="5">
        <v>6</v>
      </c>
      <c r="AR8" s="5">
        <v>6</v>
      </c>
    </row>
    <row r="9" spans="1:44" x14ac:dyDescent="0.3">
      <c r="A9" s="4" t="s">
        <v>430</v>
      </c>
      <c r="B9" s="13" t="s">
        <v>426</v>
      </c>
      <c r="C9" s="9">
        <f t="shared" ref="C9:AR9" si="0">C5+C6+C7+C8</f>
        <v>16</v>
      </c>
      <c r="D9" s="9">
        <f t="shared" si="0"/>
        <v>16</v>
      </c>
      <c r="E9" s="9">
        <f t="shared" si="0"/>
        <v>16</v>
      </c>
      <c r="F9" s="9">
        <f t="shared" si="0"/>
        <v>16</v>
      </c>
      <c r="G9" s="9">
        <f t="shared" si="0"/>
        <v>16</v>
      </c>
      <c r="H9" s="9">
        <f t="shared" si="0"/>
        <v>16</v>
      </c>
      <c r="I9" s="9">
        <f t="shared" si="0"/>
        <v>22</v>
      </c>
      <c r="J9" s="9">
        <f t="shared" si="0"/>
        <v>22</v>
      </c>
      <c r="K9" s="9">
        <f t="shared" si="0"/>
        <v>22</v>
      </c>
      <c r="L9" s="9">
        <f t="shared" si="0"/>
        <v>22</v>
      </c>
      <c r="M9" s="9">
        <f t="shared" si="0"/>
        <v>22</v>
      </c>
      <c r="N9" s="9">
        <f t="shared" si="0"/>
        <v>22</v>
      </c>
      <c r="O9" s="9">
        <f t="shared" si="0"/>
        <v>22</v>
      </c>
      <c r="P9" s="9">
        <f t="shared" si="0"/>
        <v>22</v>
      </c>
      <c r="Q9" s="9">
        <f t="shared" si="0"/>
        <v>22</v>
      </c>
      <c r="R9" s="9">
        <f t="shared" si="0"/>
        <v>22</v>
      </c>
      <c r="S9" s="9">
        <f t="shared" si="0"/>
        <v>22</v>
      </c>
      <c r="T9" s="9">
        <f t="shared" si="0"/>
        <v>22</v>
      </c>
      <c r="U9" s="9">
        <f t="shared" si="0"/>
        <v>30</v>
      </c>
      <c r="V9" s="9">
        <f t="shared" si="0"/>
        <v>30</v>
      </c>
      <c r="W9" s="9">
        <f t="shared" si="0"/>
        <v>30</v>
      </c>
      <c r="X9" s="9">
        <f t="shared" si="0"/>
        <v>30</v>
      </c>
      <c r="Y9" s="9">
        <f t="shared" si="0"/>
        <v>30</v>
      </c>
      <c r="Z9" s="9">
        <f t="shared" si="0"/>
        <v>30</v>
      </c>
      <c r="AA9" s="9">
        <f t="shared" si="0"/>
        <v>30</v>
      </c>
      <c r="AB9" s="9">
        <f t="shared" si="0"/>
        <v>30</v>
      </c>
      <c r="AC9" s="9">
        <f t="shared" si="0"/>
        <v>30</v>
      </c>
      <c r="AD9" s="9">
        <f t="shared" si="0"/>
        <v>30</v>
      </c>
      <c r="AE9" s="9">
        <f t="shared" si="0"/>
        <v>30</v>
      </c>
      <c r="AF9" s="9">
        <f t="shared" si="0"/>
        <v>30</v>
      </c>
      <c r="AG9" s="9">
        <f t="shared" si="0"/>
        <v>41</v>
      </c>
      <c r="AH9" s="9">
        <f t="shared" si="0"/>
        <v>41</v>
      </c>
      <c r="AI9" s="9">
        <f t="shared" si="0"/>
        <v>41</v>
      </c>
      <c r="AJ9" s="9">
        <f t="shared" si="0"/>
        <v>41</v>
      </c>
      <c r="AK9" s="9">
        <f t="shared" si="0"/>
        <v>55</v>
      </c>
      <c r="AL9" s="9">
        <f t="shared" si="0"/>
        <v>55</v>
      </c>
      <c r="AM9" s="9">
        <f t="shared" si="0"/>
        <v>55</v>
      </c>
      <c r="AN9" s="9">
        <f t="shared" si="0"/>
        <v>55</v>
      </c>
      <c r="AO9" s="9">
        <f t="shared" si="0"/>
        <v>65</v>
      </c>
      <c r="AP9" s="9">
        <f t="shared" si="0"/>
        <v>65</v>
      </c>
      <c r="AQ9" s="9">
        <f t="shared" si="0"/>
        <v>65</v>
      </c>
      <c r="AR9" s="9">
        <f t="shared" si="0"/>
        <v>65</v>
      </c>
    </row>
    <row r="11" spans="1:44" x14ac:dyDescent="0.3">
      <c r="A11" s="30" t="s">
        <v>431</v>
      </c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</row>
    <row r="12" spans="1:44" x14ac:dyDescent="0.3">
      <c r="A12" s="4" t="s">
        <v>432</v>
      </c>
      <c r="B12" s="12" t="s">
        <v>426</v>
      </c>
      <c r="C12" s="10">
        <f>C9</f>
        <v>16</v>
      </c>
      <c r="D12" s="10">
        <f t="shared" ref="D12:AR12" si="1">MAX(0,D9-C9)</f>
        <v>0</v>
      </c>
      <c r="E12" s="10">
        <f t="shared" si="1"/>
        <v>0</v>
      </c>
      <c r="F12" s="10">
        <f t="shared" si="1"/>
        <v>0</v>
      </c>
      <c r="G12" s="10">
        <f t="shared" si="1"/>
        <v>0</v>
      </c>
      <c r="H12" s="10">
        <f t="shared" si="1"/>
        <v>0</v>
      </c>
      <c r="I12" s="10">
        <f t="shared" si="1"/>
        <v>6</v>
      </c>
      <c r="J12" s="10">
        <f t="shared" si="1"/>
        <v>0</v>
      </c>
      <c r="K12" s="10">
        <f t="shared" si="1"/>
        <v>0</v>
      </c>
      <c r="L12" s="10">
        <f t="shared" si="1"/>
        <v>0</v>
      </c>
      <c r="M12" s="10">
        <f t="shared" si="1"/>
        <v>0</v>
      </c>
      <c r="N12" s="10">
        <f t="shared" si="1"/>
        <v>0</v>
      </c>
      <c r="O12" s="10">
        <f t="shared" si="1"/>
        <v>0</v>
      </c>
      <c r="P12" s="10">
        <f t="shared" si="1"/>
        <v>0</v>
      </c>
      <c r="Q12" s="10">
        <f t="shared" si="1"/>
        <v>0</v>
      </c>
      <c r="R12" s="10">
        <f t="shared" si="1"/>
        <v>0</v>
      </c>
      <c r="S12" s="10">
        <f t="shared" si="1"/>
        <v>0</v>
      </c>
      <c r="T12" s="10">
        <f t="shared" si="1"/>
        <v>0</v>
      </c>
      <c r="U12" s="10">
        <f t="shared" si="1"/>
        <v>8</v>
      </c>
      <c r="V12" s="10">
        <f t="shared" si="1"/>
        <v>0</v>
      </c>
      <c r="W12" s="10">
        <f t="shared" si="1"/>
        <v>0</v>
      </c>
      <c r="X12" s="10">
        <f t="shared" si="1"/>
        <v>0</v>
      </c>
      <c r="Y12" s="10">
        <f t="shared" si="1"/>
        <v>0</v>
      </c>
      <c r="Z12" s="10">
        <f t="shared" si="1"/>
        <v>0</v>
      </c>
      <c r="AA12" s="10">
        <f t="shared" si="1"/>
        <v>0</v>
      </c>
      <c r="AB12" s="10">
        <f t="shared" si="1"/>
        <v>0</v>
      </c>
      <c r="AC12" s="10">
        <f t="shared" si="1"/>
        <v>0</v>
      </c>
      <c r="AD12" s="10">
        <f t="shared" si="1"/>
        <v>0</v>
      </c>
      <c r="AE12" s="10">
        <f t="shared" si="1"/>
        <v>0</v>
      </c>
      <c r="AF12" s="10">
        <f t="shared" si="1"/>
        <v>0</v>
      </c>
      <c r="AG12" s="10">
        <f t="shared" si="1"/>
        <v>11</v>
      </c>
      <c r="AH12" s="10">
        <f t="shared" si="1"/>
        <v>0</v>
      </c>
      <c r="AI12" s="10">
        <f t="shared" si="1"/>
        <v>0</v>
      </c>
      <c r="AJ12" s="10">
        <f t="shared" si="1"/>
        <v>0</v>
      </c>
      <c r="AK12" s="10">
        <f t="shared" si="1"/>
        <v>14</v>
      </c>
      <c r="AL12" s="10">
        <f t="shared" si="1"/>
        <v>0</v>
      </c>
      <c r="AM12" s="10">
        <f t="shared" si="1"/>
        <v>0</v>
      </c>
      <c r="AN12" s="10">
        <f t="shared" si="1"/>
        <v>0</v>
      </c>
      <c r="AO12" s="10">
        <f t="shared" si="1"/>
        <v>10</v>
      </c>
      <c r="AP12" s="10">
        <f t="shared" si="1"/>
        <v>0</v>
      </c>
      <c r="AQ12" s="10">
        <f t="shared" si="1"/>
        <v>0</v>
      </c>
      <c r="AR12" s="10">
        <f t="shared" si="1"/>
        <v>0</v>
      </c>
    </row>
    <row r="14" spans="1:44" x14ac:dyDescent="0.3">
      <c r="A14" s="30" t="s">
        <v>433</v>
      </c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</row>
    <row r="15" spans="1:44" x14ac:dyDescent="0.3">
      <c r="A15" s="4" t="s">
        <v>434</v>
      </c>
      <c r="B15" s="12" t="s">
        <v>218</v>
      </c>
      <c r="C15" s="10">
        <f t="shared" ref="C15:H15" si="2">C5*salary_mgmt*1*(1+salary_escalation)^0*(1+bhxh_rate)</f>
        <v>109.35000000000001</v>
      </c>
      <c r="D15" s="10">
        <f t="shared" si="2"/>
        <v>109.35000000000001</v>
      </c>
      <c r="E15" s="10">
        <f t="shared" si="2"/>
        <v>109.35000000000001</v>
      </c>
      <c r="F15" s="10">
        <f t="shared" si="2"/>
        <v>109.35000000000001</v>
      </c>
      <c r="G15" s="10">
        <f t="shared" si="2"/>
        <v>109.35000000000001</v>
      </c>
      <c r="H15" s="10">
        <f t="shared" si="2"/>
        <v>109.35000000000001</v>
      </c>
      <c r="I15" s="10">
        <f t="shared" ref="I15:T15" si="3">I5*salary_mgmt*1*(1+salary_escalation)^1*(1+bhxh_rate)</f>
        <v>120.28500000000003</v>
      </c>
      <c r="J15" s="10">
        <f t="shared" si="3"/>
        <v>120.28500000000003</v>
      </c>
      <c r="K15" s="10">
        <f t="shared" si="3"/>
        <v>120.28500000000003</v>
      </c>
      <c r="L15" s="10">
        <f t="shared" si="3"/>
        <v>120.28500000000003</v>
      </c>
      <c r="M15" s="10">
        <f t="shared" si="3"/>
        <v>120.28500000000003</v>
      </c>
      <c r="N15" s="10">
        <f t="shared" si="3"/>
        <v>120.28500000000003</v>
      </c>
      <c r="O15" s="10">
        <f t="shared" si="3"/>
        <v>120.28500000000003</v>
      </c>
      <c r="P15" s="10">
        <f t="shared" si="3"/>
        <v>120.28500000000003</v>
      </c>
      <c r="Q15" s="10">
        <f t="shared" si="3"/>
        <v>120.28500000000003</v>
      </c>
      <c r="R15" s="10">
        <f t="shared" si="3"/>
        <v>120.28500000000003</v>
      </c>
      <c r="S15" s="10">
        <f t="shared" si="3"/>
        <v>120.28500000000003</v>
      </c>
      <c r="T15" s="10">
        <f t="shared" si="3"/>
        <v>120.28500000000003</v>
      </c>
      <c r="U15" s="10">
        <f t="shared" ref="U15:AF15" si="4">U5*salary_mgmt*1*(1+salary_escalation)^2*(1+bhxh_rate)</f>
        <v>198.47025000000005</v>
      </c>
      <c r="V15" s="10">
        <f t="shared" si="4"/>
        <v>198.47025000000005</v>
      </c>
      <c r="W15" s="10">
        <f t="shared" si="4"/>
        <v>198.47025000000005</v>
      </c>
      <c r="X15" s="10">
        <f t="shared" si="4"/>
        <v>198.47025000000005</v>
      </c>
      <c r="Y15" s="10">
        <f t="shared" si="4"/>
        <v>198.47025000000005</v>
      </c>
      <c r="Z15" s="10">
        <f t="shared" si="4"/>
        <v>198.47025000000005</v>
      </c>
      <c r="AA15" s="10">
        <f t="shared" si="4"/>
        <v>198.47025000000005</v>
      </c>
      <c r="AB15" s="10">
        <f t="shared" si="4"/>
        <v>198.47025000000005</v>
      </c>
      <c r="AC15" s="10">
        <f t="shared" si="4"/>
        <v>198.47025000000005</v>
      </c>
      <c r="AD15" s="10">
        <f t="shared" si="4"/>
        <v>198.47025000000005</v>
      </c>
      <c r="AE15" s="10">
        <f t="shared" si="4"/>
        <v>198.47025000000005</v>
      </c>
      <c r="AF15" s="10">
        <f t="shared" si="4"/>
        <v>198.47025000000005</v>
      </c>
      <c r="AG15" s="10">
        <f>AG5*salary_mgmt*3*(1+salary_escalation)^3*(1+bhxh_rate)</f>
        <v>654.95182500000021</v>
      </c>
      <c r="AH15" s="10">
        <f>AH5*salary_mgmt*3*(1+salary_escalation)^3*(1+bhxh_rate)</f>
        <v>654.95182500000021</v>
      </c>
      <c r="AI15" s="10">
        <f>AI5*salary_mgmt*3*(1+salary_escalation)^3*(1+bhxh_rate)</f>
        <v>654.95182500000021</v>
      </c>
      <c r="AJ15" s="10">
        <f>AJ5*salary_mgmt*3*(1+salary_escalation)^3*(1+bhxh_rate)</f>
        <v>654.95182500000021</v>
      </c>
      <c r="AK15" s="10">
        <f>AK5*salary_mgmt*3*(1+salary_escalation)^4*(1+bhxh_rate)</f>
        <v>960.59601000000043</v>
      </c>
      <c r="AL15" s="10">
        <f>AL5*salary_mgmt*3*(1+salary_escalation)^4*(1+bhxh_rate)</f>
        <v>960.59601000000043</v>
      </c>
      <c r="AM15" s="10">
        <f>AM5*salary_mgmt*3*(1+salary_escalation)^4*(1+bhxh_rate)</f>
        <v>960.59601000000043</v>
      </c>
      <c r="AN15" s="10">
        <f>AN5*salary_mgmt*3*(1+salary_escalation)^4*(1+bhxh_rate)</f>
        <v>960.59601000000043</v>
      </c>
      <c r="AO15" s="10">
        <f>AO5*salary_mgmt*3*(1+salary_escalation)^5*(1+bhxh_rate)</f>
        <v>1056.6556110000004</v>
      </c>
      <c r="AP15" s="10">
        <f>AP5*salary_mgmt*3*(1+salary_escalation)^5*(1+bhxh_rate)</f>
        <v>1056.6556110000004</v>
      </c>
      <c r="AQ15" s="10">
        <f>AQ5*salary_mgmt*3*(1+salary_escalation)^5*(1+bhxh_rate)</f>
        <v>1056.6556110000004</v>
      </c>
      <c r="AR15" s="10">
        <f>AR5*salary_mgmt*3*(1+salary_escalation)^5*(1+bhxh_rate)</f>
        <v>1056.6556110000004</v>
      </c>
    </row>
    <row r="16" spans="1:44" x14ac:dyDescent="0.3">
      <c r="A16" s="4" t="s">
        <v>435</v>
      </c>
      <c r="B16" s="12" t="s">
        <v>218</v>
      </c>
      <c r="C16" s="10">
        <f t="shared" ref="C16:H16" si="5">C6*salary_dev*1*(1+salary_escalation)^0*(1+bhxh_rate)</f>
        <v>510.3</v>
      </c>
      <c r="D16" s="10">
        <f t="shared" si="5"/>
        <v>510.3</v>
      </c>
      <c r="E16" s="10">
        <f t="shared" si="5"/>
        <v>510.3</v>
      </c>
      <c r="F16" s="10">
        <f t="shared" si="5"/>
        <v>510.3</v>
      </c>
      <c r="G16" s="10">
        <f t="shared" si="5"/>
        <v>510.3</v>
      </c>
      <c r="H16" s="10">
        <f t="shared" si="5"/>
        <v>510.3</v>
      </c>
      <c r="I16" s="10">
        <f t="shared" ref="I16:T16" si="6">I6*salary_dev*1*(1+salary_escalation)^1*(1+bhxh_rate)</f>
        <v>561.33000000000015</v>
      </c>
      <c r="J16" s="10">
        <f t="shared" si="6"/>
        <v>561.33000000000015</v>
      </c>
      <c r="K16" s="10">
        <f t="shared" si="6"/>
        <v>561.33000000000015</v>
      </c>
      <c r="L16" s="10">
        <f t="shared" si="6"/>
        <v>561.33000000000015</v>
      </c>
      <c r="M16" s="10">
        <f t="shared" si="6"/>
        <v>561.33000000000015</v>
      </c>
      <c r="N16" s="10">
        <f t="shared" si="6"/>
        <v>561.33000000000015</v>
      </c>
      <c r="O16" s="10">
        <f t="shared" si="6"/>
        <v>561.33000000000015</v>
      </c>
      <c r="P16" s="10">
        <f t="shared" si="6"/>
        <v>561.33000000000015</v>
      </c>
      <c r="Q16" s="10">
        <f t="shared" si="6"/>
        <v>561.33000000000015</v>
      </c>
      <c r="R16" s="10">
        <f t="shared" si="6"/>
        <v>561.33000000000015</v>
      </c>
      <c r="S16" s="10">
        <f t="shared" si="6"/>
        <v>561.33000000000015</v>
      </c>
      <c r="T16" s="10">
        <f t="shared" si="6"/>
        <v>561.33000000000015</v>
      </c>
      <c r="U16" s="10">
        <f t="shared" ref="U16:AF16" si="7">U6*salary_dev*1*(1+salary_escalation)^2*(1+bhxh_rate)</f>
        <v>720.37350000000015</v>
      </c>
      <c r="V16" s="10">
        <f t="shared" si="7"/>
        <v>720.37350000000015</v>
      </c>
      <c r="W16" s="10">
        <f t="shared" si="7"/>
        <v>720.37350000000015</v>
      </c>
      <c r="X16" s="10">
        <f t="shared" si="7"/>
        <v>720.37350000000015</v>
      </c>
      <c r="Y16" s="10">
        <f t="shared" si="7"/>
        <v>720.37350000000015</v>
      </c>
      <c r="Z16" s="10">
        <f t="shared" si="7"/>
        <v>720.37350000000015</v>
      </c>
      <c r="AA16" s="10">
        <f t="shared" si="7"/>
        <v>720.37350000000015</v>
      </c>
      <c r="AB16" s="10">
        <f t="shared" si="7"/>
        <v>720.37350000000015</v>
      </c>
      <c r="AC16" s="10">
        <f t="shared" si="7"/>
        <v>720.37350000000015</v>
      </c>
      <c r="AD16" s="10">
        <f t="shared" si="7"/>
        <v>720.37350000000015</v>
      </c>
      <c r="AE16" s="10">
        <f t="shared" si="7"/>
        <v>720.37350000000015</v>
      </c>
      <c r="AF16" s="10">
        <f t="shared" si="7"/>
        <v>720.37350000000015</v>
      </c>
      <c r="AG16" s="10">
        <f>AG6*salary_dev*3*(1+salary_escalation)^3*(1+bhxh_rate)</f>
        <v>2716.8372000000013</v>
      </c>
      <c r="AH16" s="10">
        <f>AH6*salary_dev*3*(1+salary_escalation)^3*(1+bhxh_rate)</f>
        <v>2716.8372000000013</v>
      </c>
      <c r="AI16" s="10">
        <f>AI6*salary_dev*3*(1+salary_escalation)^3*(1+bhxh_rate)</f>
        <v>2716.8372000000013</v>
      </c>
      <c r="AJ16" s="10">
        <f>AJ6*salary_dev*3*(1+salary_escalation)^3*(1+bhxh_rate)</f>
        <v>2716.8372000000013</v>
      </c>
      <c r="AK16" s="10">
        <f>AK6*salary_dev*3*(1+salary_escalation)^4*(1+bhxh_rate)</f>
        <v>3362.0860350000012</v>
      </c>
      <c r="AL16" s="10">
        <f>AL6*salary_dev*3*(1+salary_escalation)^4*(1+bhxh_rate)</f>
        <v>3362.0860350000012</v>
      </c>
      <c r="AM16" s="10">
        <f>AM6*salary_dev*3*(1+salary_escalation)^4*(1+bhxh_rate)</f>
        <v>3362.0860350000012</v>
      </c>
      <c r="AN16" s="10">
        <f>AN6*salary_dev*3*(1+salary_escalation)^4*(1+bhxh_rate)</f>
        <v>3362.0860350000012</v>
      </c>
      <c r="AO16" s="10">
        <f>AO6*salary_dev*3*(1+salary_escalation)^5*(1+bhxh_rate)</f>
        <v>4109.2162650000018</v>
      </c>
      <c r="AP16" s="10">
        <f>AP6*salary_dev*3*(1+salary_escalation)^5*(1+bhxh_rate)</f>
        <v>4109.2162650000018</v>
      </c>
      <c r="AQ16" s="10">
        <f>AQ6*salary_dev*3*(1+salary_escalation)^5*(1+bhxh_rate)</f>
        <v>4109.2162650000018</v>
      </c>
      <c r="AR16" s="10">
        <f>AR6*salary_dev*3*(1+salary_escalation)^5*(1+bhxh_rate)</f>
        <v>4109.2162650000018</v>
      </c>
    </row>
    <row r="17" spans="1:44" x14ac:dyDescent="0.3">
      <c r="A17" s="4" t="s">
        <v>436</v>
      </c>
      <c r="B17" s="12" t="s">
        <v>218</v>
      </c>
      <c r="C17" s="10">
        <f t="shared" ref="C17:H17" si="8">C7*salary_bizops*1*(1+salary_escalation)^0*(1+bhxh_rate)</f>
        <v>48.6</v>
      </c>
      <c r="D17" s="10">
        <f t="shared" si="8"/>
        <v>48.6</v>
      </c>
      <c r="E17" s="10">
        <f t="shared" si="8"/>
        <v>48.6</v>
      </c>
      <c r="F17" s="10">
        <f t="shared" si="8"/>
        <v>48.6</v>
      </c>
      <c r="G17" s="10">
        <f t="shared" si="8"/>
        <v>48.6</v>
      </c>
      <c r="H17" s="10">
        <f t="shared" si="8"/>
        <v>48.6</v>
      </c>
      <c r="I17" s="10">
        <f t="shared" ref="I17:T17" si="9">I7*salary_bizops*1*(1+salary_escalation)^1*(1+bhxh_rate)</f>
        <v>160.38000000000002</v>
      </c>
      <c r="J17" s="10">
        <f t="shared" si="9"/>
        <v>160.38000000000002</v>
      </c>
      <c r="K17" s="10">
        <f t="shared" si="9"/>
        <v>160.38000000000002</v>
      </c>
      <c r="L17" s="10">
        <f t="shared" si="9"/>
        <v>160.38000000000002</v>
      </c>
      <c r="M17" s="10">
        <f t="shared" si="9"/>
        <v>160.38000000000002</v>
      </c>
      <c r="N17" s="10">
        <f t="shared" si="9"/>
        <v>160.38000000000002</v>
      </c>
      <c r="O17" s="10">
        <f t="shared" si="9"/>
        <v>160.38000000000002</v>
      </c>
      <c r="P17" s="10">
        <f t="shared" si="9"/>
        <v>160.38000000000002</v>
      </c>
      <c r="Q17" s="10">
        <f t="shared" si="9"/>
        <v>160.38000000000002</v>
      </c>
      <c r="R17" s="10">
        <f t="shared" si="9"/>
        <v>160.38000000000002</v>
      </c>
      <c r="S17" s="10">
        <f t="shared" si="9"/>
        <v>160.38000000000002</v>
      </c>
      <c r="T17" s="10">
        <f t="shared" si="9"/>
        <v>160.38000000000002</v>
      </c>
      <c r="U17" s="10">
        <f t="shared" ref="U17:AF17" si="10">U7*salary_bizops*1*(1+salary_escalation)^2*(1+bhxh_rate)</f>
        <v>294.03000000000003</v>
      </c>
      <c r="V17" s="10">
        <f t="shared" si="10"/>
        <v>294.03000000000003</v>
      </c>
      <c r="W17" s="10">
        <f t="shared" si="10"/>
        <v>294.03000000000003</v>
      </c>
      <c r="X17" s="10">
        <f t="shared" si="10"/>
        <v>294.03000000000003</v>
      </c>
      <c r="Y17" s="10">
        <f t="shared" si="10"/>
        <v>294.03000000000003</v>
      </c>
      <c r="Z17" s="10">
        <f t="shared" si="10"/>
        <v>294.03000000000003</v>
      </c>
      <c r="AA17" s="10">
        <f t="shared" si="10"/>
        <v>294.03000000000003</v>
      </c>
      <c r="AB17" s="10">
        <f t="shared" si="10"/>
        <v>294.03000000000003</v>
      </c>
      <c r="AC17" s="10">
        <f t="shared" si="10"/>
        <v>294.03000000000003</v>
      </c>
      <c r="AD17" s="10">
        <f t="shared" si="10"/>
        <v>294.03000000000003</v>
      </c>
      <c r="AE17" s="10">
        <f t="shared" si="10"/>
        <v>294.03000000000003</v>
      </c>
      <c r="AF17" s="10">
        <f t="shared" si="10"/>
        <v>294.03000000000003</v>
      </c>
      <c r="AG17" s="10">
        <f>AG7*salary_bizops*3*(1+salary_escalation)^3*(1+bhxh_rate)</f>
        <v>1746.5382000000006</v>
      </c>
      <c r="AH17" s="10">
        <f>AH7*salary_bizops*3*(1+salary_escalation)^3*(1+bhxh_rate)</f>
        <v>1746.5382000000006</v>
      </c>
      <c r="AI17" s="10">
        <f>AI7*salary_bizops*3*(1+salary_escalation)^3*(1+bhxh_rate)</f>
        <v>1746.5382000000006</v>
      </c>
      <c r="AJ17" s="10">
        <f>AJ7*salary_bizops*3*(1+salary_escalation)^3*(1+bhxh_rate)</f>
        <v>1746.5382000000006</v>
      </c>
      <c r="AK17" s="10">
        <f>AK7*salary_bizops*3*(1+salary_escalation)^4*(1+bhxh_rate)</f>
        <v>2988.5209200000008</v>
      </c>
      <c r="AL17" s="10">
        <f>AL7*salary_bizops*3*(1+salary_escalation)^4*(1+bhxh_rate)</f>
        <v>2988.5209200000008</v>
      </c>
      <c r="AM17" s="10">
        <f>AM7*salary_bizops*3*(1+salary_escalation)^4*(1+bhxh_rate)</f>
        <v>2988.5209200000008</v>
      </c>
      <c r="AN17" s="10">
        <f>AN7*salary_bizops*3*(1+salary_escalation)^4*(1+bhxh_rate)</f>
        <v>2988.5209200000008</v>
      </c>
      <c r="AO17" s="10">
        <f>AO7*salary_bizops*3*(1+salary_escalation)^5*(1+bhxh_rate)</f>
        <v>4109.2162650000018</v>
      </c>
      <c r="AP17" s="10">
        <f>AP7*salary_bizops*3*(1+salary_escalation)^5*(1+bhxh_rate)</f>
        <v>4109.2162650000018</v>
      </c>
      <c r="AQ17" s="10">
        <f>AQ7*salary_bizops*3*(1+salary_escalation)^5*(1+bhxh_rate)</f>
        <v>4109.2162650000018</v>
      </c>
      <c r="AR17" s="10">
        <f>AR7*salary_bizops*3*(1+salary_escalation)^5*(1+bhxh_rate)</f>
        <v>4109.2162650000018</v>
      </c>
    </row>
    <row r="18" spans="1:44" x14ac:dyDescent="0.3">
      <c r="A18" s="4" t="s">
        <v>437</v>
      </c>
      <c r="B18" s="12" t="s">
        <v>218</v>
      </c>
      <c r="C18" s="10">
        <f t="shared" ref="C18:H18" si="11">C8*salary_data*1*(1+salary_escalation)^0*(1+bhxh_rate)</f>
        <v>0</v>
      </c>
      <c r="D18" s="10">
        <f t="shared" si="11"/>
        <v>0</v>
      </c>
      <c r="E18" s="10">
        <f t="shared" si="11"/>
        <v>0</v>
      </c>
      <c r="F18" s="10">
        <f t="shared" si="11"/>
        <v>0</v>
      </c>
      <c r="G18" s="10">
        <f t="shared" si="11"/>
        <v>0</v>
      </c>
      <c r="H18" s="10">
        <f t="shared" si="11"/>
        <v>0</v>
      </c>
      <c r="I18" s="10">
        <f t="shared" ref="I18:T18" si="12">I8*salary_data*1*(1+salary_escalation)^1*(1+bhxh_rate)</f>
        <v>106.92</v>
      </c>
      <c r="J18" s="10">
        <f t="shared" si="12"/>
        <v>106.92</v>
      </c>
      <c r="K18" s="10">
        <f t="shared" si="12"/>
        <v>106.92</v>
      </c>
      <c r="L18" s="10">
        <f t="shared" si="12"/>
        <v>106.92</v>
      </c>
      <c r="M18" s="10">
        <f t="shared" si="12"/>
        <v>106.92</v>
      </c>
      <c r="N18" s="10">
        <f t="shared" si="12"/>
        <v>106.92</v>
      </c>
      <c r="O18" s="10">
        <f t="shared" si="12"/>
        <v>106.92</v>
      </c>
      <c r="P18" s="10">
        <f t="shared" si="12"/>
        <v>106.92</v>
      </c>
      <c r="Q18" s="10">
        <f t="shared" si="12"/>
        <v>106.92</v>
      </c>
      <c r="R18" s="10">
        <f t="shared" si="12"/>
        <v>106.92</v>
      </c>
      <c r="S18" s="10">
        <f t="shared" si="12"/>
        <v>106.92</v>
      </c>
      <c r="T18" s="10">
        <f t="shared" si="12"/>
        <v>106.92</v>
      </c>
      <c r="U18" s="10">
        <f t="shared" ref="U18:AF18" si="13">U8*salary_data*1*(1+salary_escalation)^2*(1+bhxh_rate)</f>
        <v>176.41800000000003</v>
      </c>
      <c r="V18" s="10">
        <f t="shared" si="13"/>
        <v>176.41800000000003</v>
      </c>
      <c r="W18" s="10">
        <f t="shared" si="13"/>
        <v>176.41800000000003</v>
      </c>
      <c r="X18" s="10">
        <f t="shared" si="13"/>
        <v>176.41800000000003</v>
      </c>
      <c r="Y18" s="10">
        <f t="shared" si="13"/>
        <v>176.41800000000003</v>
      </c>
      <c r="Z18" s="10">
        <f t="shared" si="13"/>
        <v>176.41800000000003</v>
      </c>
      <c r="AA18" s="10">
        <f t="shared" si="13"/>
        <v>176.41800000000003</v>
      </c>
      <c r="AB18" s="10">
        <f t="shared" si="13"/>
        <v>176.41800000000003</v>
      </c>
      <c r="AC18" s="10">
        <f t="shared" si="13"/>
        <v>176.41800000000003</v>
      </c>
      <c r="AD18" s="10">
        <f t="shared" si="13"/>
        <v>176.41800000000003</v>
      </c>
      <c r="AE18" s="10">
        <f t="shared" si="13"/>
        <v>176.41800000000003</v>
      </c>
      <c r="AF18" s="10">
        <f t="shared" si="13"/>
        <v>176.41800000000003</v>
      </c>
      <c r="AG18" s="10">
        <f>AG8*salary_data*3*(1+salary_escalation)^3*(1+bhxh_rate)</f>
        <v>776.23920000000032</v>
      </c>
      <c r="AH18" s="10">
        <f>AH8*salary_data*3*(1+salary_escalation)^3*(1+bhxh_rate)</f>
        <v>776.23920000000032</v>
      </c>
      <c r="AI18" s="10">
        <f>AI8*salary_data*3*(1+salary_escalation)^3*(1+bhxh_rate)</f>
        <v>776.23920000000032</v>
      </c>
      <c r="AJ18" s="10">
        <f>AJ8*salary_data*3*(1+salary_escalation)^3*(1+bhxh_rate)</f>
        <v>776.23920000000032</v>
      </c>
      <c r="AK18" s="10">
        <f>AK8*salary_data*3*(1+salary_escalation)^4*(1+bhxh_rate)</f>
        <v>1067.3289000000004</v>
      </c>
      <c r="AL18" s="10">
        <f>AL8*salary_data*3*(1+salary_escalation)^4*(1+bhxh_rate)</f>
        <v>1067.3289000000004</v>
      </c>
      <c r="AM18" s="10">
        <f>AM8*salary_data*3*(1+salary_escalation)^4*(1+bhxh_rate)</f>
        <v>1067.3289000000004</v>
      </c>
      <c r="AN18" s="10">
        <f>AN8*salary_data*3*(1+salary_escalation)^4*(1+bhxh_rate)</f>
        <v>1067.3289000000004</v>
      </c>
      <c r="AO18" s="10">
        <f>AO8*salary_data*3*(1+salary_escalation)^5*(1+bhxh_rate)</f>
        <v>1408.8741480000006</v>
      </c>
      <c r="AP18" s="10">
        <f>AP8*salary_data*3*(1+salary_escalation)^5*(1+bhxh_rate)</f>
        <v>1408.8741480000006</v>
      </c>
      <c r="AQ18" s="10">
        <f>AQ8*salary_data*3*(1+salary_escalation)^5*(1+bhxh_rate)</f>
        <v>1408.8741480000006</v>
      </c>
      <c r="AR18" s="10">
        <f>AR8*salary_data*3*(1+salary_escalation)^5*(1+bhxh_rate)</f>
        <v>1408.8741480000006</v>
      </c>
    </row>
    <row r="19" spans="1:44" x14ac:dyDescent="0.3">
      <c r="A19" s="4" t="s">
        <v>438</v>
      </c>
      <c r="B19" s="13" t="s">
        <v>218</v>
      </c>
      <c r="C19" s="9">
        <f t="shared" ref="C19:AR19" si="14">C15+C16+C17+C18</f>
        <v>668.25</v>
      </c>
      <c r="D19" s="9">
        <f t="shared" si="14"/>
        <v>668.25</v>
      </c>
      <c r="E19" s="9">
        <f t="shared" si="14"/>
        <v>668.25</v>
      </c>
      <c r="F19" s="9">
        <f t="shared" si="14"/>
        <v>668.25</v>
      </c>
      <c r="G19" s="9">
        <f t="shared" si="14"/>
        <v>668.25</v>
      </c>
      <c r="H19" s="9">
        <f t="shared" si="14"/>
        <v>668.25</v>
      </c>
      <c r="I19" s="9">
        <f t="shared" si="14"/>
        <v>948.91500000000019</v>
      </c>
      <c r="J19" s="9">
        <f t="shared" si="14"/>
        <v>948.91500000000019</v>
      </c>
      <c r="K19" s="9">
        <f t="shared" si="14"/>
        <v>948.91500000000019</v>
      </c>
      <c r="L19" s="9">
        <f t="shared" si="14"/>
        <v>948.91500000000019</v>
      </c>
      <c r="M19" s="9">
        <f t="shared" si="14"/>
        <v>948.91500000000019</v>
      </c>
      <c r="N19" s="9">
        <f t="shared" si="14"/>
        <v>948.91500000000019</v>
      </c>
      <c r="O19" s="9">
        <f t="shared" si="14"/>
        <v>948.91500000000019</v>
      </c>
      <c r="P19" s="9">
        <f t="shared" si="14"/>
        <v>948.91500000000019</v>
      </c>
      <c r="Q19" s="9">
        <f t="shared" si="14"/>
        <v>948.91500000000019</v>
      </c>
      <c r="R19" s="9">
        <f t="shared" si="14"/>
        <v>948.91500000000019</v>
      </c>
      <c r="S19" s="9">
        <f t="shared" si="14"/>
        <v>948.91500000000019</v>
      </c>
      <c r="T19" s="9">
        <f t="shared" si="14"/>
        <v>948.91500000000019</v>
      </c>
      <c r="U19" s="9">
        <f t="shared" si="14"/>
        <v>1389.2917500000003</v>
      </c>
      <c r="V19" s="9">
        <f t="shared" si="14"/>
        <v>1389.2917500000003</v>
      </c>
      <c r="W19" s="9">
        <f t="shared" si="14"/>
        <v>1389.2917500000003</v>
      </c>
      <c r="X19" s="9">
        <f t="shared" si="14"/>
        <v>1389.2917500000003</v>
      </c>
      <c r="Y19" s="9">
        <f t="shared" si="14"/>
        <v>1389.2917500000003</v>
      </c>
      <c r="Z19" s="9">
        <f t="shared" si="14"/>
        <v>1389.2917500000003</v>
      </c>
      <c r="AA19" s="9">
        <f t="shared" si="14"/>
        <v>1389.2917500000003</v>
      </c>
      <c r="AB19" s="9">
        <f t="shared" si="14"/>
        <v>1389.2917500000003</v>
      </c>
      <c r="AC19" s="9">
        <f t="shared" si="14"/>
        <v>1389.2917500000003</v>
      </c>
      <c r="AD19" s="9">
        <f t="shared" si="14"/>
        <v>1389.2917500000003</v>
      </c>
      <c r="AE19" s="9">
        <f t="shared" si="14"/>
        <v>1389.2917500000003</v>
      </c>
      <c r="AF19" s="9">
        <f t="shared" si="14"/>
        <v>1389.2917500000003</v>
      </c>
      <c r="AG19" s="9">
        <f t="shared" si="14"/>
        <v>5894.5664250000018</v>
      </c>
      <c r="AH19" s="9">
        <f t="shared" si="14"/>
        <v>5894.5664250000018</v>
      </c>
      <c r="AI19" s="9">
        <f t="shared" si="14"/>
        <v>5894.5664250000018</v>
      </c>
      <c r="AJ19" s="9">
        <f t="shared" si="14"/>
        <v>5894.5664250000018</v>
      </c>
      <c r="AK19" s="9">
        <f t="shared" si="14"/>
        <v>8378.5318650000027</v>
      </c>
      <c r="AL19" s="9">
        <f t="shared" si="14"/>
        <v>8378.5318650000027</v>
      </c>
      <c r="AM19" s="9">
        <f t="shared" si="14"/>
        <v>8378.5318650000027</v>
      </c>
      <c r="AN19" s="9">
        <f t="shared" si="14"/>
        <v>8378.5318650000027</v>
      </c>
      <c r="AO19" s="9">
        <f t="shared" si="14"/>
        <v>10683.962289000005</v>
      </c>
      <c r="AP19" s="9">
        <f t="shared" si="14"/>
        <v>10683.962289000005</v>
      </c>
      <c r="AQ19" s="9">
        <f t="shared" si="14"/>
        <v>10683.962289000005</v>
      </c>
      <c r="AR19" s="9">
        <f t="shared" si="14"/>
        <v>10683.962289000005</v>
      </c>
    </row>
    <row r="20" spans="1:44" x14ac:dyDescent="0.3">
      <c r="A20" s="4" t="s">
        <v>439</v>
      </c>
      <c r="B20" s="12" t="s">
        <v>218</v>
      </c>
      <c r="C20" s="10">
        <f t="shared" ref="C20:AR20" si="15">C12*30*12*recruit_cost_pct</f>
        <v>1152</v>
      </c>
      <c r="D20" s="10">
        <f t="shared" si="15"/>
        <v>0</v>
      </c>
      <c r="E20" s="10">
        <f t="shared" si="15"/>
        <v>0</v>
      </c>
      <c r="F20" s="10">
        <f t="shared" si="15"/>
        <v>0</v>
      </c>
      <c r="G20" s="10">
        <f t="shared" si="15"/>
        <v>0</v>
      </c>
      <c r="H20" s="10">
        <f t="shared" si="15"/>
        <v>0</v>
      </c>
      <c r="I20" s="10">
        <f t="shared" si="15"/>
        <v>432</v>
      </c>
      <c r="J20" s="10">
        <f t="shared" si="15"/>
        <v>0</v>
      </c>
      <c r="K20" s="10">
        <f t="shared" si="15"/>
        <v>0</v>
      </c>
      <c r="L20" s="10">
        <f t="shared" si="15"/>
        <v>0</v>
      </c>
      <c r="M20" s="10">
        <f t="shared" si="15"/>
        <v>0</v>
      </c>
      <c r="N20" s="10">
        <f t="shared" si="15"/>
        <v>0</v>
      </c>
      <c r="O20" s="10">
        <f t="shared" si="15"/>
        <v>0</v>
      </c>
      <c r="P20" s="10">
        <f t="shared" si="15"/>
        <v>0</v>
      </c>
      <c r="Q20" s="10">
        <f t="shared" si="15"/>
        <v>0</v>
      </c>
      <c r="R20" s="10">
        <f t="shared" si="15"/>
        <v>0</v>
      </c>
      <c r="S20" s="10">
        <f t="shared" si="15"/>
        <v>0</v>
      </c>
      <c r="T20" s="10">
        <f t="shared" si="15"/>
        <v>0</v>
      </c>
      <c r="U20" s="10">
        <f t="shared" si="15"/>
        <v>576</v>
      </c>
      <c r="V20" s="10">
        <f t="shared" si="15"/>
        <v>0</v>
      </c>
      <c r="W20" s="10">
        <f t="shared" si="15"/>
        <v>0</v>
      </c>
      <c r="X20" s="10">
        <f t="shared" si="15"/>
        <v>0</v>
      </c>
      <c r="Y20" s="10">
        <f t="shared" si="15"/>
        <v>0</v>
      </c>
      <c r="Z20" s="10">
        <f t="shared" si="15"/>
        <v>0</v>
      </c>
      <c r="AA20" s="10">
        <f t="shared" si="15"/>
        <v>0</v>
      </c>
      <c r="AB20" s="10">
        <f t="shared" si="15"/>
        <v>0</v>
      </c>
      <c r="AC20" s="10">
        <f t="shared" si="15"/>
        <v>0</v>
      </c>
      <c r="AD20" s="10">
        <f t="shared" si="15"/>
        <v>0</v>
      </c>
      <c r="AE20" s="10">
        <f t="shared" si="15"/>
        <v>0</v>
      </c>
      <c r="AF20" s="10">
        <f t="shared" si="15"/>
        <v>0</v>
      </c>
      <c r="AG20" s="10">
        <f t="shared" si="15"/>
        <v>792</v>
      </c>
      <c r="AH20" s="10">
        <f t="shared" si="15"/>
        <v>0</v>
      </c>
      <c r="AI20" s="10">
        <f t="shared" si="15"/>
        <v>0</v>
      </c>
      <c r="AJ20" s="10">
        <f t="shared" si="15"/>
        <v>0</v>
      </c>
      <c r="AK20" s="10">
        <f t="shared" si="15"/>
        <v>1008</v>
      </c>
      <c r="AL20" s="10">
        <f t="shared" si="15"/>
        <v>0</v>
      </c>
      <c r="AM20" s="10">
        <f t="shared" si="15"/>
        <v>0</v>
      </c>
      <c r="AN20" s="10">
        <f t="shared" si="15"/>
        <v>0</v>
      </c>
      <c r="AO20" s="10">
        <f t="shared" si="15"/>
        <v>720</v>
      </c>
      <c r="AP20" s="10">
        <f t="shared" si="15"/>
        <v>0</v>
      </c>
      <c r="AQ20" s="10">
        <f t="shared" si="15"/>
        <v>0</v>
      </c>
      <c r="AR20" s="10">
        <f t="shared" si="15"/>
        <v>0</v>
      </c>
    </row>
    <row r="21" spans="1:44" x14ac:dyDescent="0.3">
      <c r="A21" s="4" t="s">
        <v>440</v>
      </c>
      <c r="B21" s="13" t="s">
        <v>218</v>
      </c>
      <c r="C21" s="9">
        <f t="shared" ref="C21:AR21" si="16">C19+C20</f>
        <v>1820.25</v>
      </c>
      <c r="D21" s="9">
        <f t="shared" si="16"/>
        <v>668.25</v>
      </c>
      <c r="E21" s="9">
        <f t="shared" si="16"/>
        <v>668.25</v>
      </c>
      <c r="F21" s="9">
        <f t="shared" si="16"/>
        <v>668.25</v>
      </c>
      <c r="G21" s="9">
        <f t="shared" si="16"/>
        <v>668.25</v>
      </c>
      <c r="H21" s="9">
        <f t="shared" si="16"/>
        <v>668.25</v>
      </c>
      <c r="I21" s="9">
        <f t="shared" si="16"/>
        <v>1380.9150000000002</v>
      </c>
      <c r="J21" s="9">
        <f t="shared" si="16"/>
        <v>948.91500000000019</v>
      </c>
      <c r="K21" s="9">
        <f t="shared" si="16"/>
        <v>948.91500000000019</v>
      </c>
      <c r="L21" s="9">
        <f t="shared" si="16"/>
        <v>948.91500000000019</v>
      </c>
      <c r="M21" s="9">
        <f t="shared" si="16"/>
        <v>948.91500000000019</v>
      </c>
      <c r="N21" s="9">
        <f t="shared" si="16"/>
        <v>948.91500000000019</v>
      </c>
      <c r="O21" s="9">
        <f t="shared" si="16"/>
        <v>948.91500000000019</v>
      </c>
      <c r="P21" s="9">
        <f t="shared" si="16"/>
        <v>948.91500000000019</v>
      </c>
      <c r="Q21" s="9">
        <f t="shared" si="16"/>
        <v>948.91500000000019</v>
      </c>
      <c r="R21" s="9">
        <f t="shared" si="16"/>
        <v>948.91500000000019</v>
      </c>
      <c r="S21" s="9">
        <f t="shared" si="16"/>
        <v>948.91500000000019</v>
      </c>
      <c r="T21" s="9">
        <f t="shared" si="16"/>
        <v>948.91500000000019</v>
      </c>
      <c r="U21" s="9">
        <f t="shared" si="16"/>
        <v>1965.2917500000003</v>
      </c>
      <c r="V21" s="9">
        <f t="shared" si="16"/>
        <v>1389.2917500000003</v>
      </c>
      <c r="W21" s="9">
        <f t="shared" si="16"/>
        <v>1389.2917500000003</v>
      </c>
      <c r="X21" s="9">
        <f t="shared" si="16"/>
        <v>1389.2917500000003</v>
      </c>
      <c r="Y21" s="9">
        <f t="shared" si="16"/>
        <v>1389.2917500000003</v>
      </c>
      <c r="Z21" s="9">
        <f t="shared" si="16"/>
        <v>1389.2917500000003</v>
      </c>
      <c r="AA21" s="9">
        <f t="shared" si="16"/>
        <v>1389.2917500000003</v>
      </c>
      <c r="AB21" s="9">
        <f t="shared" si="16"/>
        <v>1389.2917500000003</v>
      </c>
      <c r="AC21" s="9">
        <f t="shared" si="16"/>
        <v>1389.2917500000003</v>
      </c>
      <c r="AD21" s="9">
        <f t="shared" si="16"/>
        <v>1389.2917500000003</v>
      </c>
      <c r="AE21" s="9">
        <f t="shared" si="16"/>
        <v>1389.2917500000003</v>
      </c>
      <c r="AF21" s="9">
        <f t="shared" si="16"/>
        <v>1389.2917500000003</v>
      </c>
      <c r="AG21" s="9">
        <f t="shared" si="16"/>
        <v>6686.5664250000018</v>
      </c>
      <c r="AH21" s="9">
        <f t="shared" si="16"/>
        <v>5894.5664250000018</v>
      </c>
      <c r="AI21" s="9">
        <f t="shared" si="16"/>
        <v>5894.5664250000018</v>
      </c>
      <c r="AJ21" s="9">
        <f t="shared" si="16"/>
        <v>5894.5664250000018</v>
      </c>
      <c r="AK21" s="9">
        <f t="shared" si="16"/>
        <v>9386.5318650000027</v>
      </c>
      <c r="AL21" s="9">
        <f t="shared" si="16"/>
        <v>8378.5318650000027</v>
      </c>
      <c r="AM21" s="9">
        <f t="shared" si="16"/>
        <v>8378.5318650000027</v>
      </c>
      <c r="AN21" s="9">
        <f t="shared" si="16"/>
        <v>8378.5318650000027</v>
      </c>
      <c r="AO21" s="9">
        <f t="shared" si="16"/>
        <v>11403.962289000005</v>
      </c>
      <c r="AP21" s="9">
        <f t="shared" si="16"/>
        <v>10683.962289000005</v>
      </c>
      <c r="AQ21" s="9">
        <f t="shared" si="16"/>
        <v>10683.962289000005</v>
      </c>
      <c r="AR21" s="9">
        <f t="shared" si="16"/>
        <v>10683.962289000005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4472C4"/>
  </sheetPr>
  <dimension ref="A1:AR17"/>
  <sheetViews>
    <sheetView workbookViewId="0"/>
  </sheetViews>
  <sheetFormatPr defaultRowHeight="14.4" x14ac:dyDescent="0.3"/>
  <cols>
    <col min="1" max="1" width="35" style="29" customWidth="1"/>
    <col min="2" max="2" width="10" style="29" customWidth="1"/>
    <col min="3" max="44" width="11" style="29" customWidth="1"/>
  </cols>
  <sheetData>
    <row r="1" spans="1:44" x14ac:dyDescent="0.3">
      <c r="A1" s="30" t="s">
        <v>441</v>
      </c>
    </row>
    <row r="3" spans="1:44" x14ac:dyDescent="0.3">
      <c r="A3" s="4" t="s">
        <v>442</v>
      </c>
      <c r="B3" s="12" t="s">
        <v>443</v>
      </c>
      <c r="C3" s="10">
        <v>0</v>
      </c>
      <c r="D3" s="10">
        <v>1</v>
      </c>
      <c r="E3" s="10">
        <v>2</v>
      </c>
      <c r="F3" s="10">
        <v>3</v>
      </c>
      <c r="G3" s="10">
        <v>4</v>
      </c>
      <c r="H3" s="10">
        <v>5</v>
      </c>
      <c r="I3" s="10">
        <v>6</v>
      </c>
      <c r="J3" s="10">
        <v>7</v>
      </c>
      <c r="K3" s="10">
        <v>8</v>
      </c>
      <c r="L3" s="10">
        <v>9</v>
      </c>
      <c r="M3" s="10">
        <v>10</v>
      </c>
      <c r="N3" s="10">
        <v>11</v>
      </c>
      <c r="O3" s="10">
        <v>12</v>
      </c>
      <c r="P3" s="10">
        <v>13</v>
      </c>
      <c r="Q3" s="10">
        <v>14</v>
      </c>
      <c r="R3" s="10">
        <v>15</v>
      </c>
      <c r="S3" s="10">
        <v>16</v>
      </c>
      <c r="T3" s="10">
        <v>17</v>
      </c>
      <c r="U3" s="10">
        <v>18</v>
      </c>
      <c r="V3" s="10">
        <v>19</v>
      </c>
      <c r="W3" s="10">
        <v>20</v>
      </c>
      <c r="X3" s="10">
        <v>21</v>
      </c>
      <c r="Y3" s="10">
        <v>22</v>
      </c>
      <c r="Z3" s="10">
        <v>23</v>
      </c>
      <c r="AA3" s="10">
        <v>24</v>
      </c>
      <c r="AB3" s="10">
        <v>25</v>
      </c>
      <c r="AC3" s="10">
        <v>26</v>
      </c>
      <c r="AD3" s="10">
        <v>27</v>
      </c>
      <c r="AE3" s="10">
        <v>28</v>
      </c>
      <c r="AF3" s="10">
        <v>29</v>
      </c>
      <c r="AG3" s="10">
        <v>30</v>
      </c>
      <c r="AH3" s="10">
        <v>31</v>
      </c>
      <c r="AI3" s="10">
        <v>32</v>
      </c>
      <c r="AJ3" s="10">
        <v>33</v>
      </c>
      <c r="AK3" s="10">
        <v>34</v>
      </c>
      <c r="AL3" s="10">
        <v>35</v>
      </c>
      <c r="AM3" s="10">
        <v>36</v>
      </c>
      <c r="AN3" s="10">
        <v>37</v>
      </c>
      <c r="AO3" s="10">
        <v>38</v>
      </c>
      <c r="AP3" s="10">
        <v>39</v>
      </c>
      <c r="AQ3" s="10">
        <v>40</v>
      </c>
      <c r="AR3" s="10">
        <v>41</v>
      </c>
    </row>
    <row r="4" spans="1:44" x14ac:dyDescent="0.3">
      <c r="A4" s="4" t="s">
        <v>444</v>
      </c>
      <c r="B4" s="12" t="s">
        <v>445</v>
      </c>
      <c r="C4" s="14">
        <f t="shared" ref="C4:AF4" si="0">base_year+(start_month-1+C3)/12</f>
        <v>2025.5</v>
      </c>
      <c r="D4" s="14">
        <f t="shared" si="0"/>
        <v>2025.5833333333333</v>
      </c>
      <c r="E4" s="14">
        <f t="shared" si="0"/>
        <v>2025.6666666666667</v>
      </c>
      <c r="F4" s="14">
        <f t="shared" si="0"/>
        <v>2025.75</v>
      </c>
      <c r="G4" s="14">
        <f t="shared" si="0"/>
        <v>2025.8333333333333</v>
      </c>
      <c r="H4" s="14">
        <f t="shared" si="0"/>
        <v>2025.9166666666667</v>
      </c>
      <c r="I4" s="14">
        <f t="shared" si="0"/>
        <v>2026</v>
      </c>
      <c r="J4" s="14">
        <f t="shared" si="0"/>
        <v>2026.0833333333333</v>
      </c>
      <c r="K4" s="14">
        <f t="shared" si="0"/>
        <v>2026.1666666666667</v>
      </c>
      <c r="L4" s="14">
        <f t="shared" si="0"/>
        <v>2026.25</v>
      </c>
      <c r="M4" s="14">
        <f t="shared" si="0"/>
        <v>2026.3333333333333</v>
      </c>
      <c r="N4" s="14">
        <f t="shared" si="0"/>
        <v>2026.4166666666667</v>
      </c>
      <c r="O4" s="14">
        <f t="shared" si="0"/>
        <v>2026.5</v>
      </c>
      <c r="P4" s="14">
        <f t="shared" si="0"/>
        <v>2026.5833333333333</v>
      </c>
      <c r="Q4" s="14">
        <f t="shared" si="0"/>
        <v>2026.6666666666667</v>
      </c>
      <c r="R4" s="14">
        <f t="shared" si="0"/>
        <v>2026.75</v>
      </c>
      <c r="S4" s="14">
        <f t="shared" si="0"/>
        <v>2026.8333333333333</v>
      </c>
      <c r="T4" s="14">
        <f t="shared" si="0"/>
        <v>2026.9166666666667</v>
      </c>
      <c r="U4" s="14">
        <f t="shared" si="0"/>
        <v>2027</v>
      </c>
      <c r="V4" s="14">
        <f t="shared" si="0"/>
        <v>2027.0833333333333</v>
      </c>
      <c r="W4" s="14">
        <f t="shared" si="0"/>
        <v>2027.1666666666667</v>
      </c>
      <c r="X4" s="14">
        <f t="shared" si="0"/>
        <v>2027.25</v>
      </c>
      <c r="Y4" s="14">
        <f t="shared" si="0"/>
        <v>2027.3333333333333</v>
      </c>
      <c r="Z4" s="14">
        <f t="shared" si="0"/>
        <v>2027.4166666666667</v>
      </c>
      <c r="AA4" s="14">
        <f t="shared" si="0"/>
        <v>2027.5</v>
      </c>
      <c r="AB4" s="14">
        <f t="shared" si="0"/>
        <v>2027.5833333333333</v>
      </c>
      <c r="AC4" s="14">
        <f t="shared" si="0"/>
        <v>2027.6666666666667</v>
      </c>
      <c r="AD4" s="14">
        <f t="shared" si="0"/>
        <v>2027.75</v>
      </c>
      <c r="AE4" s="14">
        <f t="shared" si="0"/>
        <v>2027.8333333333333</v>
      </c>
      <c r="AF4" s="14">
        <f t="shared" si="0"/>
        <v>2027.9166666666667</v>
      </c>
      <c r="AG4" s="14">
        <f>2028+(1-0.5)/12</f>
        <v>2028.0416666666667</v>
      </c>
      <c r="AH4" s="14">
        <f>2028+(4-0.5)/12</f>
        <v>2028.2916666666667</v>
      </c>
      <c r="AI4" s="14">
        <f>2028+(7-0.5)/12</f>
        <v>2028.5416666666667</v>
      </c>
      <c r="AJ4" s="14">
        <f>2028+(10-0.5)/12</f>
        <v>2028.7916666666667</v>
      </c>
      <c r="AK4" s="14">
        <f>2028+(13-0.5)/12</f>
        <v>2029.0416666666667</v>
      </c>
      <c r="AL4" s="14">
        <f>2028+(16-0.5)/12</f>
        <v>2029.2916666666667</v>
      </c>
      <c r="AM4" s="14">
        <f>2028+(19-0.5)/12</f>
        <v>2029.5416666666667</v>
      </c>
      <c r="AN4" s="14">
        <f>2028+(22-0.5)/12</f>
        <v>2029.7916666666667</v>
      </c>
      <c r="AO4" s="14">
        <f>2028+(25-0.5)/12</f>
        <v>2030.0416666666667</v>
      </c>
      <c r="AP4" s="14">
        <f>2028+(28-0.5)/12</f>
        <v>2030.2916666666667</v>
      </c>
      <c r="AQ4" s="14">
        <f>2028+(31-0.5)/12</f>
        <v>2030.5416666666667</v>
      </c>
      <c r="AR4" s="14">
        <f>2028+(34-0.5)/12</f>
        <v>2030.7916666666667</v>
      </c>
    </row>
    <row r="5" spans="1:44" x14ac:dyDescent="0.3">
      <c r="A5" s="4" t="s">
        <v>446</v>
      </c>
      <c r="B5" s="12" t="s">
        <v>447</v>
      </c>
      <c r="C5" s="10">
        <f t="shared" ref="C5:AR5" si="1">FLOOR(C4-base_year,1)</f>
        <v>0</v>
      </c>
      <c r="D5" s="10">
        <f t="shared" si="1"/>
        <v>0</v>
      </c>
      <c r="E5" s="10">
        <f t="shared" si="1"/>
        <v>0</v>
      </c>
      <c r="F5" s="10">
        <f t="shared" si="1"/>
        <v>0</v>
      </c>
      <c r="G5" s="10">
        <f t="shared" si="1"/>
        <v>0</v>
      </c>
      <c r="H5" s="10">
        <f t="shared" si="1"/>
        <v>0</v>
      </c>
      <c r="I5" s="10">
        <f t="shared" si="1"/>
        <v>1</v>
      </c>
      <c r="J5" s="10">
        <f t="shared" si="1"/>
        <v>1</v>
      </c>
      <c r="K5" s="10">
        <f t="shared" si="1"/>
        <v>1</v>
      </c>
      <c r="L5" s="10">
        <f t="shared" si="1"/>
        <v>1</v>
      </c>
      <c r="M5" s="10">
        <f t="shared" si="1"/>
        <v>1</v>
      </c>
      <c r="N5" s="10">
        <f t="shared" si="1"/>
        <v>1</v>
      </c>
      <c r="O5" s="10">
        <f t="shared" si="1"/>
        <v>1</v>
      </c>
      <c r="P5" s="10">
        <f t="shared" si="1"/>
        <v>1</v>
      </c>
      <c r="Q5" s="10">
        <f t="shared" si="1"/>
        <v>1</v>
      </c>
      <c r="R5" s="10">
        <f t="shared" si="1"/>
        <v>1</v>
      </c>
      <c r="S5" s="10">
        <f t="shared" si="1"/>
        <v>1</v>
      </c>
      <c r="T5" s="10">
        <f t="shared" si="1"/>
        <v>1</v>
      </c>
      <c r="U5" s="10">
        <f t="shared" si="1"/>
        <v>2</v>
      </c>
      <c r="V5" s="10">
        <f t="shared" si="1"/>
        <v>2</v>
      </c>
      <c r="W5" s="10">
        <f t="shared" si="1"/>
        <v>2</v>
      </c>
      <c r="X5" s="10">
        <f t="shared" si="1"/>
        <v>2</v>
      </c>
      <c r="Y5" s="10">
        <f t="shared" si="1"/>
        <v>2</v>
      </c>
      <c r="Z5" s="10">
        <f t="shared" si="1"/>
        <v>2</v>
      </c>
      <c r="AA5" s="10">
        <f t="shared" si="1"/>
        <v>2</v>
      </c>
      <c r="AB5" s="10">
        <f t="shared" si="1"/>
        <v>2</v>
      </c>
      <c r="AC5" s="10">
        <f t="shared" si="1"/>
        <v>2</v>
      </c>
      <c r="AD5" s="10">
        <f t="shared" si="1"/>
        <v>2</v>
      </c>
      <c r="AE5" s="10">
        <f t="shared" si="1"/>
        <v>2</v>
      </c>
      <c r="AF5" s="10">
        <f t="shared" si="1"/>
        <v>2</v>
      </c>
      <c r="AG5" s="10">
        <f t="shared" si="1"/>
        <v>3</v>
      </c>
      <c r="AH5" s="10">
        <f t="shared" si="1"/>
        <v>3</v>
      </c>
      <c r="AI5" s="10">
        <f t="shared" si="1"/>
        <v>3</v>
      </c>
      <c r="AJ5" s="10">
        <f t="shared" si="1"/>
        <v>3</v>
      </c>
      <c r="AK5" s="10">
        <f t="shared" si="1"/>
        <v>4</v>
      </c>
      <c r="AL5" s="10">
        <f t="shared" si="1"/>
        <v>4</v>
      </c>
      <c r="AM5" s="10">
        <f t="shared" si="1"/>
        <v>4</v>
      </c>
      <c r="AN5" s="10">
        <f t="shared" si="1"/>
        <v>4</v>
      </c>
      <c r="AO5" s="10">
        <f t="shared" si="1"/>
        <v>5</v>
      </c>
      <c r="AP5" s="10">
        <f t="shared" si="1"/>
        <v>5</v>
      </c>
      <c r="AQ5" s="10">
        <f t="shared" si="1"/>
        <v>5</v>
      </c>
      <c r="AR5" s="10">
        <f t="shared" si="1"/>
        <v>5</v>
      </c>
    </row>
    <row r="6" spans="1:44" x14ac:dyDescent="0.3">
      <c r="A6" s="4" t="s">
        <v>448</v>
      </c>
      <c r="B6" s="12" t="s">
        <v>449</v>
      </c>
      <c r="C6" s="10">
        <v>12</v>
      </c>
      <c r="D6" s="10">
        <v>12</v>
      </c>
      <c r="E6" s="10">
        <v>12</v>
      </c>
      <c r="F6" s="10">
        <v>12</v>
      </c>
      <c r="G6" s="10">
        <v>12</v>
      </c>
      <c r="H6" s="10">
        <v>12</v>
      </c>
      <c r="I6" s="10">
        <v>12</v>
      </c>
      <c r="J6" s="10">
        <v>12</v>
      </c>
      <c r="K6" s="10">
        <v>12</v>
      </c>
      <c r="L6" s="10">
        <v>12</v>
      </c>
      <c r="M6" s="10">
        <v>12</v>
      </c>
      <c r="N6" s="10">
        <v>12</v>
      </c>
      <c r="O6" s="10">
        <v>12</v>
      </c>
      <c r="P6" s="10">
        <v>12</v>
      </c>
      <c r="Q6" s="10">
        <v>12</v>
      </c>
      <c r="R6" s="10">
        <v>12</v>
      </c>
      <c r="S6" s="10">
        <v>12</v>
      </c>
      <c r="T6" s="10">
        <v>12</v>
      </c>
      <c r="U6" s="10">
        <v>12</v>
      </c>
      <c r="V6" s="10">
        <v>12</v>
      </c>
      <c r="W6" s="10">
        <v>12</v>
      </c>
      <c r="X6" s="10">
        <v>12</v>
      </c>
      <c r="Y6" s="10">
        <v>12</v>
      </c>
      <c r="Z6" s="10">
        <v>12</v>
      </c>
      <c r="AA6" s="10">
        <v>12</v>
      </c>
      <c r="AB6" s="10">
        <v>12</v>
      </c>
      <c r="AC6" s="10">
        <v>12</v>
      </c>
      <c r="AD6" s="10">
        <v>12</v>
      </c>
      <c r="AE6" s="10">
        <v>12</v>
      </c>
      <c r="AF6" s="10">
        <v>12</v>
      </c>
      <c r="AG6" s="10">
        <v>4</v>
      </c>
      <c r="AH6" s="10">
        <v>4</v>
      </c>
      <c r="AI6" s="10">
        <v>4</v>
      </c>
      <c r="AJ6" s="10">
        <v>4</v>
      </c>
      <c r="AK6" s="10">
        <v>4</v>
      </c>
      <c r="AL6" s="10">
        <v>4</v>
      </c>
      <c r="AM6" s="10">
        <v>4</v>
      </c>
      <c r="AN6" s="10">
        <v>4</v>
      </c>
      <c r="AO6" s="10">
        <v>4</v>
      </c>
      <c r="AP6" s="10">
        <v>4</v>
      </c>
      <c r="AQ6" s="10">
        <v>4</v>
      </c>
      <c r="AR6" s="10">
        <v>4</v>
      </c>
    </row>
    <row r="7" spans="1:44" x14ac:dyDescent="0.3">
      <c r="A7" s="4" t="s">
        <v>450</v>
      </c>
      <c r="B7" s="12" t="s">
        <v>451</v>
      </c>
      <c r="C7" s="10">
        <v>1</v>
      </c>
      <c r="D7" s="10">
        <v>1</v>
      </c>
      <c r="E7" s="10">
        <v>1</v>
      </c>
      <c r="F7" s="10">
        <v>1</v>
      </c>
      <c r="G7" s="10">
        <v>1</v>
      </c>
      <c r="H7" s="10">
        <v>1</v>
      </c>
      <c r="I7" s="10">
        <v>1</v>
      </c>
      <c r="J7" s="10">
        <v>1</v>
      </c>
      <c r="K7" s="10">
        <v>1</v>
      </c>
      <c r="L7" s="10">
        <v>1</v>
      </c>
      <c r="M7" s="10">
        <v>1</v>
      </c>
      <c r="N7" s="10">
        <v>1</v>
      </c>
      <c r="O7" s="10">
        <v>1</v>
      </c>
      <c r="P7" s="10">
        <v>1</v>
      </c>
      <c r="Q7" s="10">
        <v>1</v>
      </c>
      <c r="R7" s="10">
        <v>1</v>
      </c>
      <c r="S7" s="10">
        <v>1</v>
      </c>
      <c r="T7" s="10">
        <v>1</v>
      </c>
      <c r="U7" s="10">
        <v>1</v>
      </c>
      <c r="V7" s="10">
        <v>1</v>
      </c>
      <c r="W7" s="10">
        <v>1</v>
      </c>
      <c r="X7" s="10">
        <v>1</v>
      </c>
      <c r="Y7" s="10">
        <v>1</v>
      </c>
      <c r="Z7" s="10">
        <v>1</v>
      </c>
      <c r="AA7" s="10">
        <v>1</v>
      </c>
      <c r="AB7" s="10">
        <v>1</v>
      </c>
      <c r="AC7" s="10">
        <v>1</v>
      </c>
      <c r="AD7" s="10">
        <v>1</v>
      </c>
      <c r="AE7" s="10">
        <v>1</v>
      </c>
      <c r="AF7" s="10">
        <v>1</v>
      </c>
      <c r="AG7" s="10">
        <v>3</v>
      </c>
      <c r="AH7" s="10">
        <v>3</v>
      </c>
      <c r="AI7" s="10">
        <v>3</v>
      </c>
      <c r="AJ7" s="10">
        <v>3</v>
      </c>
      <c r="AK7" s="10">
        <v>3</v>
      </c>
      <c r="AL7" s="10">
        <v>3</v>
      </c>
      <c r="AM7" s="10">
        <v>3</v>
      </c>
      <c r="AN7" s="10">
        <v>3</v>
      </c>
      <c r="AO7" s="10">
        <v>3</v>
      </c>
      <c r="AP7" s="10">
        <v>3</v>
      </c>
      <c r="AQ7" s="10">
        <v>3</v>
      </c>
      <c r="AR7" s="10">
        <v>3</v>
      </c>
    </row>
    <row r="9" spans="1:44" x14ac:dyDescent="0.3">
      <c r="A9" s="3" t="s">
        <v>452</v>
      </c>
      <c r="B9" s="3" t="s">
        <v>188</v>
      </c>
      <c r="C9" s="3" t="s">
        <v>382</v>
      </c>
      <c r="D9" s="3" t="s">
        <v>383</v>
      </c>
      <c r="E9" s="3" t="s">
        <v>384</v>
      </c>
      <c r="F9" s="3" t="s">
        <v>385</v>
      </c>
      <c r="G9" s="3" t="s">
        <v>386</v>
      </c>
      <c r="H9" s="3" t="s">
        <v>387</v>
      </c>
      <c r="I9" s="3" t="s">
        <v>388</v>
      </c>
      <c r="J9" s="3" t="s">
        <v>389</v>
      </c>
      <c r="K9" s="3" t="s">
        <v>390</v>
      </c>
      <c r="L9" s="3" t="s">
        <v>391</v>
      </c>
      <c r="M9" s="3" t="s">
        <v>392</v>
      </c>
      <c r="N9" s="3" t="s">
        <v>393</v>
      </c>
      <c r="O9" s="3" t="s">
        <v>394</v>
      </c>
      <c r="P9" s="3" t="s">
        <v>395</v>
      </c>
      <c r="Q9" s="3" t="s">
        <v>396</v>
      </c>
      <c r="R9" s="3" t="s">
        <v>397</v>
      </c>
      <c r="S9" s="3" t="s">
        <v>398</v>
      </c>
      <c r="T9" s="3" t="s">
        <v>399</v>
      </c>
      <c r="U9" s="3" t="s">
        <v>400</v>
      </c>
      <c r="V9" s="3" t="s">
        <v>401</v>
      </c>
      <c r="W9" s="3" t="s">
        <v>402</v>
      </c>
      <c r="X9" s="3" t="s">
        <v>403</v>
      </c>
      <c r="Y9" s="3" t="s">
        <v>404</v>
      </c>
      <c r="Z9" s="3" t="s">
        <v>405</v>
      </c>
      <c r="AA9" s="3" t="s">
        <v>406</v>
      </c>
      <c r="AB9" s="3" t="s">
        <v>407</v>
      </c>
      <c r="AC9" s="3" t="s">
        <v>408</v>
      </c>
      <c r="AD9" s="3" t="s">
        <v>409</v>
      </c>
      <c r="AE9" s="3" t="s">
        <v>410</v>
      </c>
      <c r="AF9" s="3" t="s">
        <v>411</v>
      </c>
      <c r="AG9" s="3" t="s">
        <v>412</v>
      </c>
      <c r="AH9" s="3" t="s">
        <v>413</v>
      </c>
      <c r="AI9" s="3" t="s">
        <v>414</v>
      </c>
      <c r="AJ9" s="3" t="s">
        <v>415</v>
      </c>
      <c r="AK9" s="3" t="s">
        <v>416</v>
      </c>
      <c r="AL9" s="3" t="s">
        <v>417</v>
      </c>
      <c r="AM9" s="3" t="s">
        <v>418</v>
      </c>
      <c r="AN9" s="3" t="s">
        <v>419</v>
      </c>
      <c r="AO9" s="3" t="s">
        <v>420</v>
      </c>
      <c r="AP9" s="3" t="s">
        <v>421</v>
      </c>
      <c r="AQ9" s="3" t="s">
        <v>422</v>
      </c>
      <c r="AR9" s="3" t="s">
        <v>423</v>
      </c>
    </row>
    <row r="10" spans="1:44" x14ac:dyDescent="0.3">
      <c r="A10" s="4" t="s">
        <v>453</v>
      </c>
      <c r="B10" s="12" t="s">
        <v>200</v>
      </c>
      <c r="C10" s="15">
        <f t="shared" ref="C10:AR10" si="2">ecom_market_base*(1+ecom_growth_rate)^C5/C6</f>
        <v>6875</v>
      </c>
      <c r="D10" s="15">
        <f t="shared" si="2"/>
        <v>6875</v>
      </c>
      <c r="E10" s="15">
        <f t="shared" si="2"/>
        <v>6875</v>
      </c>
      <c r="F10" s="15">
        <f t="shared" si="2"/>
        <v>6875</v>
      </c>
      <c r="G10" s="15">
        <f t="shared" si="2"/>
        <v>6875</v>
      </c>
      <c r="H10" s="15">
        <f t="shared" si="2"/>
        <v>6875</v>
      </c>
      <c r="I10" s="15">
        <f t="shared" si="2"/>
        <v>7425</v>
      </c>
      <c r="J10" s="15">
        <f t="shared" si="2"/>
        <v>7425</v>
      </c>
      <c r="K10" s="15">
        <f t="shared" si="2"/>
        <v>7425</v>
      </c>
      <c r="L10" s="15">
        <f t="shared" si="2"/>
        <v>7425</v>
      </c>
      <c r="M10" s="15">
        <f t="shared" si="2"/>
        <v>7425</v>
      </c>
      <c r="N10" s="15">
        <f t="shared" si="2"/>
        <v>7425</v>
      </c>
      <c r="O10" s="15">
        <f t="shared" si="2"/>
        <v>7425</v>
      </c>
      <c r="P10" s="15">
        <f t="shared" si="2"/>
        <v>7425</v>
      </c>
      <c r="Q10" s="15">
        <f t="shared" si="2"/>
        <v>7425</v>
      </c>
      <c r="R10" s="15">
        <f t="shared" si="2"/>
        <v>7425</v>
      </c>
      <c r="S10" s="15">
        <f t="shared" si="2"/>
        <v>7425</v>
      </c>
      <c r="T10" s="15">
        <f t="shared" si="2"/>
        <v>7425</v>
      </c>
      <c r="U10" s="15">
        <f t="shared" si="2"/>
        <v>8019.0000000000009</v>
      </c>
      <c r="V10" s="15">
        <f t="shared" si="2"/>
        <v>8019.0000000000009</v>
      </c>
      <c r="W10" s="15">
        <f t="shared" si="2"/>
        <v>8019.0000000000009</v>
      </c>
      <c r="X10" s="15">
        <f t="shared" si="2"/>
        <v>8019.0000000000009</v>
      </c>
      <c r="Y10" s="15">
        <f t="shared" si="2"/>
        <v>8019.0000000000009</v>
      </c>
      <c r="Z10" s="15">
        <f t="shared" si="2"/>
        <v>8019.0000000000009</v>
      </c>
      <c r="AA10" s="15">
        <f t="shared" si="2"/>
        <v>8019.0000000000009</v>
      </c>
      <c r="AB10" s="15">
        <f t="shared" si="2"/>
        <v>8019.0000000000009</v>
      </c>
      <c r="AC10" s="15">
        <f t="shared" si="2"/>
        <v>8019.0000000000009</v>
      </c>
      <c r="AD10" s="15">
        <f t="shared" si="2"/>
        <v>8019.0000000000009</v>
      </c>
      <c r="AE10" s="15">
        <f t="shared" si="2"/>
        <v>8019.0000000000009</v>
      </c>
      <c r="AF10" s="15">
        <f t="shared" si="2"/>
        <v>8019.0000000000009</v>
      </c>
      <c r="AG10" s="15">
        <f t="shared" si="2"/>
        <v>25981.560000000005</v>
      </c>
      <c r="AH10" s="15">
        <f t="shared" si="2"/>
        <v>25981.560000000005</v>
      </c>
      <c r="AI10" s="15">
        <f t="shared" si="2"/>
        <v>25981.560000000005</v>
      </c>
      <c r="AJ10" s="15">
        <f t="shared" si="2"/>
        <v>25981.560000000005</v>
      </c>
      <c r="AK10" s="15">
        <f t="shared" si="2"/>
        <v>28060.084800000008</v>
      </c>
      <c r="AL10" s="15">
        <f t="shared" si="2"/>
        <v>28060.084800000008</v>
      </c>
      <c r="AM10" s="15">
        <f t="shared" si="2"/>
        <v>28060.084800000008</v>
      </c>
      <c r="AN10" s="15">
        <f t="shared" si="2"/>
        <v>28060.084800000008</v>
      </c>
      <c r="AO10" s="15">
        <f t="shared" si="2"/>
        <v>30304.891584000008</v>
      </c>
      <c r="AP10" s="15">
        <f t="shared" si="2"/>
        <v>30304.891584000008</v>
      </c>
      <c r="AQ10" s="15">
        <f t="shared" si="2"/>
        <v>30304.891584000008</v>
      </c>
      <c r="AR10" s="15">
        <f t="shared" si="2"/>
        <v>30304.891584000008</v>
      </c>
    </row>
    <row r="12" spans="1:44" x14ac:dyDescent="0.3">
      <c r="A12" s="30" t="s">
        <v>454</v>
      </c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</row>
    <row r="13" spans="1:44" x14ac:dyDescent="0.3">
      <c r="A13" s="4" t="s">
        <v>455</v>
      </c>
      <c r="B13" s="12" t="s">
        <v>456</v>
      </c>
      <c r="C13" s="10">
        <f t="shared" ref="C13:AR13" si="3">MAX(pilot_count,adoption_max/(1+EXP(-adoption_steepness*(C4-adoption_midpoint))))</f>
        <v>114.41935787893139</v>
      </c>
      <c r="D13" s="10">
        <f t="shared" si="3"/>
        <v>122.42168302694898</v>
      </c>
      <c r="E13" s="10">
        <f t="shared" si="3"/>
        <v>130.91618543474348</v>
      </c>
      <c r="F13" s="10">
        <f t="shared" si="3"/>
        <v>139.92356299336726</v>
      </c>
      <c r="G13" s="10">
        <f t="shared" si="3"/>
        <v>149.46402982489076</v>
      </c>
      <c r="H13" s="10">
        <f t="shared" si="3"/>
        <v>159.55708823740451</v>
      </c>
      <c r="I13" s="10">
        <f t="shared" si="3"/>
        <v>170.22127788058535</v>
      </c>
      <c r="J13" s="10">
        <f t="shared" si="3"/>
        <v>181.4739030108785</v>
      </c>
      <c r="K13" s="10">
        <f t="shared" si="3"/>
        <v>193.33073949191336</v>
      </c>
      <c r="L13" s="10">
        <f t="shared" si="3"/>
        <v>205.80572397048107</v>
      </c>
      <c r="M13" s="10">
        <f t="shared" si="3"/>
        <v>218.91062856761542</v>
      </c>
      <c r="N13" s="10">
        <f t="shared" si="3"/>
        <v>232.65472538864464</v>
      </c>
      <c r="O13" s="10">
        <f t="shared" si="3"/>
        <v>247.04444616113679</v>
      </c>
      <c r="P13" s="10">
        <f t="shared" si="3"/>
        <v>262.08304331714737</v>
      </c>
      <c r="Q13" s="10">
        <f t="shared" si="3"/>
        <v>277.77025980119333</v>
      </c>
      <c r="R13" s="10">
        <f t="shared" si="3"/>
        <v>294.10201575884605</v>
      </c>
      <c r="S13" s="10">
        <f t="shared" si="3"/>
        <v>311.0701209813995</v>
      </c>
      <c r="T13" s="10">
        <f t="shared" si="3"/>
        <v>328.66202248708129</v>
      </c>
      <c r="U13" s="10">
        <f t="shared" si="3"/>
        <v>346.8605968499952</v>
      </c>
      <c r="V13" s="10">
        <f t="shared" si="3"/>
        <v>365.6439967829042</v>
      </c>
      <c r="W13" s="10">
        <f t="shared" si="3"/>
        <v>384.98556098954623</v>
      </c>
      <c r="X13" s="10">
        <f t="shared" si="3"/>
        <v>404.85379539590093</v>
      </c>
      <c r="Y13" s="10">
        <f t="shared" si="3"/>
        <v>425.21243252902673</v>
      </c>
      <c r="Z13" s="10">
        <f t="shared" si="3"/>
        <v>446.02057404557956</v>
      </c>
      <c r="AA13" s="10">
        <f t="shared" si="3"/>
        <v>467.23291926093361</v>
      </c>
      <c r="AB13" s="10">
        <f t="shared" si="3"/>
        <v>488.8000800550966</v>
      </c>
      <c r="AC13" s="10">
        <f t="shared" si="3"/>
        <v>510.66897982602916</v>
      </c>
      <c r="AD13" s="10">
        <f t="shared" si="3"/>
        <v>532.78333134645607</v>
      </c>
      <c r="AE13" s="10">
        <f t="shared" si="3"/>
        <v>555.08418558748019</v>
      </c>
      <c r="AF13" s="10">
        <f t="shared" si="3"/>
        <v>577.51054094577808</v>
      </c>
      <c r="AG13" s="10">
        <f t="shared" si="3"/>
        <v>611.24868182601335</v>
      </c>
      <c r="AH13" s="10">
        <f t="shared" si="3"/>
        <v>678.30089708053993</v>
      </c>
      <c r="AI13" s="10">
        <f t="shared" si="3"/>
        <v>743.42078357652088</v>
      </c>
      <c r="AJ13" s="10">
        <f t="shared" si="3"/>
        <v>805.1439994869512</v>
      </c>
      <c r="AK13" s="10">
        <f t="shared" si="3"/>
        <v>862.31327108504399</v>
      </c>
      <c r="AL13" s="10">
        <f t="shared" si="3"/>
        <v>914.14401725557593</v>
      </c>
      <c r="AM13" s="10">
        <f t="shared" si="3"/>
        <v>960.23139894189626</v>
      </c>
      <c r="AN13" s="10">
        <f t="shared" si="3"/>
        <v>1000.5098271508404</v>
      </c>
      <c r="AO13" s="10">
        <f t="shared" si="3"/>
        <v>1035.1833221550921</v>
      </c>
      <c r="AP13" s="10">
        <f t="shared" si="3"/>
        <v>1064.6455124605363</v>
      </c>
      <c r="AQ13" s="10">
        <f t="shared" si="3"/>
        <v>1089.4037876854309</v>
      </c>
      <c r="AR13" s="10">
        <f t="shared" si="3"/>
        <v>1110.016180467278</v>
      </c>
    </row>
    <row r="14" spans="1:44" x14ac:dyDescent="0.3">
      <c r="A14" s="4" t="s">
        <v>457</v>
      </c>
      <c r="B14" s="12" t="s">
        <v>456</v>
      </c>
      <c r="C14" s="10">
        <f>0</f>
        <v>0</v>
      </c>
      <c r="D14" s="10">
        <f t="shared" ref="D14:AR14" si="4">ROUND(D13*churn_rate/D6,0)</f>
        <v>2</v>
      </c>
      <c r="E14" s="10">
        <f t="shared" si="4"/>
        <v>2</v>
      </c>
      <c r="F14" s="10">
        <f t="shared" si="4"/>
        <v>2</v>
      </c>
      <c r="G14" s="10">
        <f t="shared" si="4"/>
        <v>2</v>
      </c>
      <c r="H14" s="10">
        <f t="shared" si="4"/>
        <v>3</v>
      </c>
      <c r="I14" s="10">
        <f t="shared" si="4"/>
        <v>3</v>
      </c>
      <c r="J14" s="10">
        <f t="shared" si="4"/>
        <v>3</v>
      </c>
      <c r="K14" s="10">
        <f t="shared" si="4"/>
        <v>3</v>
      </c>
      <c r="L14" s="10">
        <f t="shared" si="4"/>
        <v>3</v>
      </c>
      <c r="M14" s="10">
        <f t="shared" si="4"/>
        <v>4</v>
      </c>
      <c r="N14" s="10">
        <f t="shared" si="4"/>
        <v>4</v>
      </c>
      <c r="O14" s="10">
        <f t="shared" si="4"/>
        <v>4</v>
      </c>
      <c r="P14" s="10">
        <f t="shared" si="4"/>
        <v>4</v>
      </c>
      <c r="Q14" s="10">
        <f t="shared" si="4"/>
        <v>5</v>
      </c>
      <c r="R14" s="10">
        <f t="shared" si="4"/>
        <v>5</v>
      </c>
      <c r="S14" s="10">
        <f t="shared" si="4"/>
        <v>5</v>
      </c>
      <c r="T14" s="10">
        <f t="shared" si="4"/>
        <v>5</v>
      </c>
      <c r="U14" s="10">
        <f t="shared" si="4"/>
        <v>6</v>
      </c>
      <c r="V14" s="10">
        <f t="shared" si="4"/>
        <v>6</v>
      </c>
      <c r="W14" s="10">
        <f t="shared" si="4"/>
        <v>6</v>
      </c>
      <c r="X14" s="10">
        <f t="shared" si="4"/>
        <v>7</v>
      </c>
      <c r="Y14" s="10">
        <f t="shared" si="4"/>
        <v>7</v>
      </c>
      <c r="Z14" s="10">
        <f t="shared" si="4"/>
        <v>7</v>
      </c>
      <c r="AA14" s="10">
        <f t="shared" si="4"/>
        <v>8</v>
      </c>
      <c r="AB14" s="10">
        <f t="shared" si="4"/>
        <v>8</v>
      </c>
      <c r="AC14" s="10">
        <f t="shared" si="4"/>
        <v>9</v>
      </c>
      <c r="AD14" s="10">
        <f t="shared" si="4"/>
        <v>9</v>
      </c>
      <c r="AE14" s="10">
        <f t="shared" si="4"/>
        <v>9</v>
      </c>
      <c r="AF14" s="10">
        <f t="shared" si="4"/>
        <v>10</v>
      </c>
      <c r="AG14" s="10">
        <f t="shared" si="4"/>
        <v>31</v>
      </c>
      <c r="AH14" s="10">
        <f t="shared" si="4"/>
        <v>34</v>
      </c>
      <c r="AI14" s="10">
        <f t="shared" si="4"/>
        <v>37</v>
      </c>
      <c r="AJ14" s="10">
        <f t="shared" si="4"/>
        <v>40</v>
      </c>
      <c r="AK14" s="10">
        <f t="shared" si="4"/>
        <v>43</v>
      </c>
      <c r="AL14" s="10">
        <f t="shared" si="4"/>
        <v>46</v>
      </c>
      <c r="AM14" s="10">
        <f t="shared" si="4"/>
        <v>48</v>
      </c>
      <c r="AN14" s="10">
        <f t="shared" si="4"/>
        <v>50</v>
      </c>
      <c r="AO14" s="10">
        <f t="shared" si="4"/>
        <v>52</v>
      </c>
      <c r="AP14" s="10">
        <f t="shared" si="4"/>
        <v>53</v>
      </c>
      <c r="AQ14" s="10">
        <f t="shared" si="4"/>
        <v>54</v>
      </c>
      <c r="AR14" s="10">
        <f t="shared" si="4"/>
        <v>56</v>
      </c>
    </row>
    <row r="15" spans="1:44" x14ac:dyDescent="0.3">
      <c r="A15" s="4" t="s">
        <v>458</v>
      </c>
      <c r="B15" s="12" t="s">
        <v>456</v>
      </c>
      <c r="C15" s="9">
        <f t="shared" ref="C15:AR15" si="5">C13-C14</f>
        <v>114.41935787893139</v>
      </c>
      <c r="D15" s="9">
        <f t="shared" si="5"/>
        <v>120.42168302694898</v>
      </c>
      <c r="E15" s="9">
        <f t="shared" si="5"/>
        <v>128.91618543474348</v>
      </c>
      <c r="F15" s="9">
        <f t="shared" si="5"/>
        <v>137.92356299336726</v>
      </c>
      <c r="G15" s="9">
        <f t="shared" si="5"/>
        <v>147.46402982489076</v>
      </c>
      <c r="H15" s="9">
        <f t="shared" si="5"/>
        <v>156.55708823740451</v>
      </c>
      <c r="I15" s="9">
        <f t="shared" si="5"/>
        <v>167.22127788058535</v>
      </c>
      <c r="J15" s="9">
        <f t="shared" si="5"/>
        <v>178.4739030108785</v>
      </c>
      <c r="K15" s="9">
        <f t="shared" si="5"/>
        <v>190.33073949191336</v>
      </c>
      <c r="L15" s="9">
        <f t="shared" si="5"/>
        <v>202.80572397048107</v>
      </c>
      <c r="M15" s="9">
        <f t="shared" si="5"/>
        <v>214.91062856761542</v>
      </c>
      <c r="N15" s="9">
        <f t="shared" si="5"/>
        <v>228.65472538864464</v>
      </c>
      <c r="O15" s="9">
        <f t="shared" si="5"/>
        <v>243.04444616113679</v>
      </c>
      <c r="P15" s="9">
        <f t="shared" si="5"/>
        <v>258.08304331714737</v>
      </c>
      <c r="Q15" s="9">
        <f t="shared" si="5"/>
        <v>272.77025980119333</v>
      </c>
      <c r="R15" s="9">
        <f t="shared" si="5"/>
        <v>289.10201575884605</v>
      </c>
      <c r="S15" s="9">
        <f t="shared" si="5"/>
        <v>306.0701209813995</v>
      </c>
      <c r="T15" s="9">
        <f t="shared" si="5"/>
        <v>323.66202248708129</v>
      </c>
      <c r="U15" s="9">
        <f t="shared" si="5"/>
        <v>340.8605968499952</v>
      </c>
      <c r="V15" s="9">
        <f t="shared" si="5"/>
        <v>359.6439967829042</v>
      </c>
      <c r="W15" s="9">
        <f t="shared" si="5"/>
        <v>378.98556098954623</v>
      </c>
      <c r="X15" s="9">
        <f t="shared" si="5"/>
        <v>397.85379539590093</v>
      </c>
      <c r="Y15" s="9">
        <f t="shared" si="5"/>
        <v>418.21243252902673</v>
      </c>
      <c r="Z15" s="9">
        <f t="shared" si="5"/>
        <v>439.02057404557956</v>
      </c>
      <c r="AA15" s="9">
        <f t="shared" si="5"/>
        <v>459.23291926093361</v>
      </c>
      <c r="AB15" s="9">
        <f t="shared" si="5"/>
        <v>480.8000800550966</v>
      </c>
      <c r="AC15" s="9">
        <f t="shared" si="5"/>
        <v>501.66897982602916</v>
      </c>
      <c r="AD15" s="9">
        <f t="shared" si="5"/>
        <v>523.78333134645607</v>
      </c>
      <c r="AE15" s="9">
        <f t="shared" si="5"/>
        <v>546.08418558748019</v>
      </c>
      <c r="AF15" s="9">
        <f t="shared" si="5"/>
        <v>567.51054094577808</v>
      </c>
      <c r="AG15" s="9">
        <f t="shared" si="5"/>
        <v>580.24868182601335</v>
      </c>
      <c r="AH15" s="9">
        <f t="shared" si="5"/>
        <v>644.30089708053993</v>
      </c>
      <c r="AI15" s="9">
        <f t="shared" si="5"/>
        <v>706.42078357652088</v>
      </c>
      <c r="AJ15" s="9">
        <f t="shared" si="5"/>
        <v>765.1439994869512</v>
      </c>
      <c r="AK15" s="9">
        <f t="shared" si="5"/>
        <v>819.31327108504399</v>
      </c>
      <c r="AL15" s="9">
        <f t="shared" si="5"/>
        <v>868.14401725557593</v>
      </c>
      <c r="AM15" s="9">
        <f t="shared" si="5"/>
        <v>912.23139894189626</v>
      </c>
      <c r="AN15" s="9">
        <f t="shared" si="5"/>
        <v>950.50982715084035</v>
      </c>
      <c r="AO15" s="9">
        <f t="shared" si="5"/>
        <v>983.18332215509213</v>
      </c>
      <c r="AP15" s="9">
        <f t="shared" si="5"/>
        <v>1011.6455124605363</v>
      </c>
      <c r="AQ15" s="9">
        <f t="shared" si="5"/>
        <v>1035.4037876854309</v>
      </c>
      <c r="AR15" s="9">
        <f t="shared" si="5"/>
        <v>1054.016180467278</v>
      </c>
    </row>
    <row r="16" spans="1:44" x14ac:dyDescent="0.3">
      <c r="A16" s="4" t="s">
        <v>459</v>
      </c>
      <c r="B16" s="12" t="s">
        <v>456</v>
      </c>
      <c r="C16" s="10">
        <f>C15</f>
        <v>114.41935787893139</v>
      </c>
      <c r="D16" s="10">
        <f t="shared" ref="D16:AR16" si="6">MAX(0,D15-C15)</f>
        <v>6.0023251480175901</v>
      </c>
      <c r="E16" s="10">
        <f t="shared" si="6"/>
        <v>8.4945024077944993</v>
      </c>
      <c r="F16" s="10">
        <f t="shared" si="6"/>
        <v>9.007377558623773</v>
      </c>
      <c r="G16" s="10">
        <f t="shared" si="6"/>
        <v>9.5404668315235028</v>
      </c>
      <c r="H16" s="10">
        <f t="shared" si="6"/>
        <v>9.0930584125137557</v>
      </c>
      <c r="I16" s="10">
        <f t="shared" si="6"/>
        <v>10.664189643180833</v>
      </c>
      <c r="J16" s="10">
        <f t="shared" si="6"/>
        <v>11.252625130293154</v>
      </c>
      <c r="K16" s="10">
        <f t="shared" si="6"/>
        <v>11.856836481034861</v>
      </c>
      <c r="L16" s="10">
        <f t="shared" si="6"/>
        <v>12.474984478567706</v>
      </c>
      <c r="M16" s="10">
        <f t="shared" si="6"/>
        <v>12.10490459713435</v>
      </c>
      <c r="N16" s="10">
        <f t="shared" si="6"/>
        <v>13.744096821029217</v>
      </c>
      <c r="O16" s="10">
        <f t="shared" si="6"/>
        <v>14.389720772492154</v>
      </c>
      <c r="P16" s="10">
        <f t="shared" si="6"/>
        <v>15.038597156010582</v>
      </c>
      <c r="Q16" s="10">
        <f t="shared" si="6"/>
        <v>14.687216484045962</v>
      </c>
      <c r="R16" s="10">
        <f t="shared" si="6"/>
        <v>16.331755957652717</v>
      </c>
      <c r="S16" s="10">
        <f t="shared" si="6"/>
        <v>16.968105222553447</v>
      </c>
      <c r="T16" s="10">
        <f t="shared" si="6"/>
        <v>17.59190150568179</v>
      </c>
      <c r="U16" s="10">
        <f t="shared" si="6"/>
        <v>17.198574362913917</v>
      </c>
      <c r="V16" s="10">
        <f t="shared" si="6"/>
        <v>18.783399932908992</v>
      </c>
      <c r="W16" s="10">
        <f t="shared" si="6"/>
        <v>19.341564206642033</v>
      </c>
      <c r="X16" s="10">
        <f t="shared" si="6"/>
        <v>18.868234406354702</v>
      </c>
      <c r="Y16" s="10">
        <f t="shared" si="6"/>
        <v>20.358637133125796</v>
      </c>
      <c r="Z16" s="10">
        <f t="shared" si="6"/>
        <v>20.808141516552837</v>
      </c>
      <c r="AA16" s="10">
        <f t="shared" si="6"/>
        <v>20.212345215354048</v>
      </c>
      <c r="AB16" s="10">
        <f t="shared" si="6"/>
        <v>21.567160794162987</v>
      </c>
      <c r="AC16" s="10">
        <f t="shared" si="6"/>
        <v>20.868899770932558</v>
      </c>
      <c r="AD16" s="10">
        <f t="shared" si="6"/>
        <v>22.114351520426908</v>
      </c>
      <c r="AE16" s="10">
        <f t="shared" si="6"/>
        <v>22.300854241024126</v>
      </c>
      <c r="AF16" s="10">
        <f t="shared" si="6"/>
        <v>21.426355358297883</v>
      </c>
      <c r="AG16" s="10">
        <f t="shared" si="6"/>
        <v>12.738140880235278</v>
      </c>
      <c r="AH16" s="10">
        <f t="shared" si="6"/>
        <v>64.052215254526573</v>
      </c>
      <c r="AI16" s="10">
        <f t="shared" si="6"/>
        <v>62.11988649598095</v>
      </c>
      <c r="AJ16" s="10">
        <f t="shared" si="6"/>
        <v>58.723215910430326</v>
      </c>
      <c r="AK16" s="10">
        <f t="shared" si="6"/>
        <v>54.169271598092791</v>
      </c>
      <c r="AL16" s="10">
        <f t="shared" si="6"/>
        <v>48.830746170531938</v>
      </c>
      <c r="AM16" s="10">
        <f t="shared" si="6"/>
        <v>44.087381686320327</v>
      </c>
      <c r="AN16" s="10">
        <f t="shared" si="6"/>
        <v>38.278428208944092</v>
      </c>
      <c r="AO16" s="10">
        <f t="shared" si="6"/>
        <v>32.673495004251777</v>
      </c>
      <c r="AP16" s="10">
        <f t="shared" si="6"/>
        <v>28.46219030544421</v>
      </c>
      <c r="AQ16" s="10">
        <f t="shared" si="6"/>
        <v>23.758275224894533</v>
      </c>
      <c r="AR16" s="10">
        <f t="shared" si="6"/>
        <v>18.61239278184712</v>
      </c>
    </row>
    <row r="17" spans="1:44" x14ac:dyDescent="0.3">
      <c r="A17" s="4" t="s">
        <v>460</v>
      </c>
      <c r="B17" s="12" t="s">
        <v>461</v>
      </c>
      <c r="C17" s="16">
        <f t="shared" ref="C17:AR17" si="7">C15*vcr_per_enterprise*C7/1000000</f>
        <v>1.144193578789314</v>
      </c>
      <c r="D17" s="16">
        <f t="shared" si="7"/>
        <v>1.20421683026949</v>
      </c>
      <c r="E17" s="16">
        <f t="shared" si="7"/>
        <v>1.2891618543474348</v>
      </c>
      <c r="F17" s="16">
        <f t="shared" si="7"/>
        <v>1.3792356299336725</v>
      </c>
      <c r="G17" s="16">
        <f t="shared" si="7"/>
        <v>1.4746402982489075</v>
      </c>
      <c r="H17" s="16">
        <f t="shared" si="7"/>
        <v>1.5655708823740453</v>
      </c>
      <c r="I17" s="16">
        <f t="shared" si="7"/>
        <v>1.6722127788058536</v>
      </c>
      <c r="J17" s="16">
        <f t="shared" si="7"/>
        <v>1.7847390301087851</v>
      </c>
      <c r="K17" s="16">
        <f t="shared" si="7"/>
        <v>1.9033073949191335</v>
      </c>
      <c r="L17" s="16">
        <f t="shared" si="7"/>
        <v>2.0280572397048107</v>
      </c>
      <c r="M17" s="16">
        <f t="shared" si="7"/>
        <v>2.1491062856761545</v>
      </c>
      <c r="N17" s="16">
        <f t="shared" si="7"/>
        <v>2.2865472538864462</v>
      </c>
      <c r="O17" s="16">
        <f t="shared" si="7"/>
        <v>2.4304444616113678</v>
      </c>
      <c r="P17" s="16">
        <f t="shared" si="7"/>
        <v>2.580830433171474</v>
      </c>
      <c r="Q17" s="16">
        <f t="shared" si="7"/>
        <v>2.7277025980119332</v>
      </c>
      <c r="R17" s="16">
        <f t="shared" si="7"/>
        <v>2.8910201575884606</v>
      </c>
      <c r="S17" s="16">
        <f t="shared" si="7"/>
        <v>3.060701209813995</v>
      </c>
      <c r="T17" s="16">
        <f t="shared" si="7"/>
        <v>3.2366202248708129</v>
      </c>
      <c r="U17" s="16">
        <f t="shared" si="7"/>
        <v>3.4086059684999519</v>
      </c>
      <c r="V17" s="16">
        <f t="shared" si="7"/>
        <v>3.596439967829042</v>
      </c>
      <c r="W17" s="16">
        <f t="shared" si="7"/>
        <v>3.7898556098954623</v>
      </c>
      <c r="X17" s="16">
        <f t="shared" si="7"/>
        <v>3.9785379539590093</v>
      </c>
      <c r="Y17" s="16">
        <f t="shared" si="7"/>
        <v>4.1821243252902676</v>
      </c>
      <c r="Z17" s="16">
        <f t="shared" si="7"/>
        <v>4.3902057404557961</v>
      </c>
      <c r="AA17" s="16">
        <f t="shared" si="7"/>
        <v>4.5923291926093359</v>
      </c>
      <c r="AB17" s="16">
        <f t="shared" si="7"/>
        <v>4.8080008005509658</v>
      </c>
      <c r="AC17" s="16">
        <f t="shared" si="7"/>
        <v>5.016689798260292</v>
      </c>
      <c r="AD17" s="16">
        <f t="shared" si="7"/>
        <v>5.2378333134645603</v>
      </c>
      <c r="AE17" s="16">
        <f t="shared" si="7"/>
        <v>5.4608418558748024</v>
      </c>
      <c r="AF17" s="16">
        <f t="shared" si="7"/>
        <v>5.6751054094577809</v>
      </c>
      <c r="AG17" s="16">
        <f t="shared" si="7"/>
        <v>17.407460454780399</v>
      </c>
      <c r="AH17" s="16">
        <f t="shared" si="7"/>
        <v>19.329026912416197</v>
      </c>
      <c r="AI17" s="16">
        <f t="shared" si="7"/>
        <v>21.192623507295629</v>
      </c>
      <c r="AJ17" s="16">
        <f t="shared" si="7"/>
        <v>22.954319984608535</v>
      </c>
      <c r="AK17" s="16">
        <f t="shared" si="7"/>
        <v>24.579398132551319</v>
      </c>
      <c r="AL17" s="16">
        <f t="shared" si="7"/>
        <v>26.044320517667277</v>
      </c>
      <c r="AM17" s="16">
        <f t="shared" si="7"/>
        <v>27.366941968256892</v>
      </c>
      <c r="AN17" s="16">
        <f t="shared" si="7"/>
        <v>28.515294814525209</v>
      </c>
      <c r="AO17" s="16">
        <f t="shared" si="7"/>
        <v>29.495499664652765</v>
      </c>
      <c r="AP17" s="16">
        <f t="shared" si="7"/>
        <v>30.349365373816088</v>
      </c>
      <c r="AQ17" s="16">
        <f t="shared" si="7"/>
        <v>31.062113630562923</v>
      </c>
      <c r="AR17" s="16">
        <f t="shared" si="7"/>
        <v>31.62048541401834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</sheetPr>
  <dimension ref="A1:AR20"/>
  <sheetViews>
    <sheetView workbookViewId="0"/>
  </sheetViews>
  <sheetFormatPr defaultRowHeight="14.4" x14ac:dyDescent="0.3"/>
  <cols>
    <col min="1" max="1" width="38" style="29" customWidth="1"/>
    <col min="2" max="2" width="10" style="29" customWidth="1"/>
    <col min="3" max="44" width="11" style="29" customWidth="1"/>
  </cols>
  <sheetData>
    <row r="1" spans="1:44" x14ac:dyDescent="0.3">
      <c r="A1" s="30" t="s">
        <v>462</v>
      </c>
    </row>
    <row r="3" spans="1:44" x14ac:dyDescent="0.3">
      <c r="A3" s="3" t="s">
        <v>463</v>
      </c>
      <c r="B3" s="3" t="s">
        <v>188</v>
      </c>
      <c r="C3" s="3" t="s">
        <v>382</v>
      </c>
      <c r="D3" s="3" t="s">
        <v>383</v>
      </c>
      <c r="E3" s="3" t="s">
        <v>384</v>
      </c>
      <c r="F3" s="3" t="s">
        <v>385</v>
      </c>
      <c r="G3" s="3" t="s">
        <v>386</v>
      </c>
      <c r="H3" s="3" t="s">
        <v>387</v>
      </c>
      <c r="I3" s="3" t="s">
        <v>388</v>
      </c>
      <c r="J3" s="3" t="s">
        <v>389</v>
      </c>
      <c r="K3" s="3" t="s">
        <v>390</v>
      </c>
      <c r="L3" s="3" t="s">
        <v>391</v>
      </c>
      <c r="M3" s="3" t="s">
        <v>392</v>
      </c>
      <c r="N3" s="3" t="s">
        <v>393</v>
      </c>
      <c r="O3" s="3" t="s">
        <v>394</v>
      </c>
      <c r="P3" s="3" t="s">
        <v>395</v>
      </c>
      <c r="Q3" s="3" t="s">
        <v>396</v>
      </c>
      <c r="R3" s="3" t="s">
        <v>397</v>
      </c>
      <c r="S3" s="3" t="s">
        <v>398</v>
      </c>
      <c r="T3" s="3" t="s">
        <v>399</v>
      </c>
      <c r="U3" s="3" t="s">
        <v>400</v>
      </c>
      <c r="V3" s="3" t="s">
        <v>401</v>
      </c>
      <c r="W3" s="3" t="s">
        <v>402</v>
      </c>
      <c r="X3" s="3" t="s">
        <v>403</v>
      </c>
      <c r="Y3" s="3" t="s">
        <v>404</v>
      </c>
      <c r="Z3" s="3" t="s">
        <v>405</v>
      </c>
      <c r="AA3" s="3" t="s">
        <v>406</v>
      </c>
      <c r="AB3" s="3" t="s">
        <v>407</v>
      </c>
      <c r="AC3" s="3" t="s">
        <v>408</v>
      </c>
      <c r="AD3" s="3" t="s">
        <v>409</v>
      </c>
      <c r="AE3" s="3" t="s">
        <v>410</v>
      </c>
      <c r="AF3" s="3" t="s">
        <v>411</v>
      </c>
      <c r="AG3" s="3" t="s">
        <v>412</v>
      </c>
      <c r="AH3" s="3" t="s">
        <v>413</v>
      </c>
      <c r="AI3" s="3" t="s">
        <v>414</v>
      </c>
      <c r="AJ3" s="3" t="s">
        <v>415</v>
      </c>
      <c r="AK3" s="3" t="s">
        <v>416</v>
      </c>
      <c r="AL3" s="3" t="s">
        <v>417</v>
      </c>
      <c r="AM3" s="3" t="s">
        <v>418</v>
      </c>
      <c r="AN3" s="3" t="s">
        <v>419</v>
      </c>
      <c r="AO3" s="3" t="s">
        <v>420</v>
      </c>
      <c r="AP3" s="3" t="s">
        <v>421</v>
      </c>
      <c r="AQ3" s="3" t="s">
        <v>422</v>
      </c>
      <c r="AR3" s="3" t="s">
        <v>423</v>
      </c>
    </row>
    <row r="4" spans="1:44" x14ac:dyDescent="0.3">
      <c r="A4" s="30" t="s">
        <v>464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</row>
    <row r="5" spans="1:44" x14ac:dyDescent="0.3">
      <c r="A5" s="4" t="s">
        <v>465</v>
      </c>
      <c r="B5" s="4" t="s">
        <v>218</v>
      </c>
      <c r="C5" s="10">
        <f>'Market Sizing'!C15*cert_fee_yr1*(1+cert_fee_escalation)^'Market Sizing'!C5/'Market Sizing'!C6</f>
        <v>238.37366224777372</v>
      </c>
      <c r="D5" s="10">
        <f>'Market Sizing'!D15*cert_fee_yr1*(1+cert_fee_escalation)^'Market Sizing'!D5/'Market Sizing'!D6</f>
        <v>250.87850630614369</v>
      </c>
      <c r="E5" s="10">
        <f>'Market Sizing'!E15*cert_fee_yr1*(1+cert_fee_escalation)^'Market Sizing'!E5/'Market Sizing'!E6</f>
        <v>268.57538632238226</v>
      </c>
      <c r="F5" s="10">
        <f>'Market Sizing'!F15*cert_fee_yr1*(1+cert_fee_escalation)^'Market Sizing'!F5/'Market Sizing'!F6</f>
        <v>287.34075623618179</v>
      </c>
      <c r="G5" s="10">
        <f>'Market Sizing'!G15*cert_fee_yr1*(1+cert_fee_escalation)^'Market Sizing'!G5/'Market Sizing'!G6</f>
        <v>307.21672880185571</v>
      </c>
      <c r="H5" s="10">
        <f>'Market Sizing'!H15*cert_fee_yr1*(1+cert_fee_escalation)^'Market Sizing'!H5/'Market Sizing'!H6</f>
        <v>326.16060049459276</v>
      </c>
      <c r="I5" s="10">
        <f>'Market Sizing'!I15*cert_fee_yr1*(1+cert_fee_escalation)^'Market Sizing'!I5/'Market Sizing'!I6</f>
        <v>365.79654536378047</v>
      </c>
      <c r="J5" s="10">
        <f>'Market Sizing'!J15*cert_fee_yr1*(1+cert_fee_escalation)^'Market Sizing'!J5/'Market Sizing'!J6</f>
        <v>390.41166283629673</v>
      </c>
      <c r="K5" s="10">
        <f>'Market Sizing'!K15*cert_fee_yr1*(1+cert_fee_escalation)^'Market Sizing'!K5/'Market Sizing'!K6</f>
        <v>416.34849263856057</v>
      </c>
      <c r="L5" s="10">
        <f>'Market Sizing'!L15*cert_fee_yr1*(1+cert_fee_escalation)^'Market Sizing'!L5/'Market Sizing'!L6</f>
        <v>443.63752118542737</v>
      </c>
      <c r="M5" s="10">
        <f>'Market Sizing'!M15*cert_fee_yr1*(1+cert_fee_escalation)^'Market Sizing'!M5/'Market Sizing'!M6</f>
        <v>470.11699999165876</v>
      </c>
      <c r="N5" s="10">
        <f>'Market Sizing'!N15*cert_fee_yr1*(1+cert_fee_escalation)^'Market Sizing'!N5/'Market Sizing'!N6</f>
        <v>500.18221178766015</v>
      </c>
      <c r="O5" s="10">
        <f>'Market Sizing'!O15*cert_fee_yr1*(1+cert_fee_escalation)^'Market Sizing'!O5/'Market Sizing'!O6</f>
        <v>531.6597259774868</v>
      </c>
      <c r="P5" s="10">
        <f>'Market Sizing'!P15*cert_fee_yr1*(1+cert_fee_escalation)^'Market Sizing'!P5/'Market Sizing'!P6</f>
        <v>564.55665725625988</v>
      </c>
      <c r="Q5" s="10">
        <f>'Market Sizing'!Q15*cert_fee_yr1*(1+cert_fee_escalation)^'Market Sizing'!Q5/'Market Sizing'!Q6</f>
        <v>596.68494331511044</v>
      </c>
      <c r="R5" s="10">
        <f>'Market Sizing'!R15*cert_fee_yr1*(1+cert_fee_escalation)^'Market Sizing'!R5/'Market Sizing'!R6</f>
        <v>632.4106594724758</v>
      </c>
      <c r="S5" s="10">
        <f>'Market Sizing'!S15*cert_fee_yr1*(1+cert_fee_escalation)^'Market Sizing'!S5/'Market Sizing'!S6</f>
        <v>669.52838964681143</v>
      </c>
      <c r="T5" s="10">
        <f>'Market Sizing'!T15*cert_fee_yr1*(1+cert_fee_escalation)^'Market Sizing'!T5/'Market Sizing'!T6</f>
        <v>708.01067419049048</v>
      </c>
      <c r="U5" s="10">
        <f>'Market Sizing'!U15*cert_fee_yr1*(1+cert_fee_escalation)^'Market Sizing'!U5/'Market Sizing'!U6</f>
        <v>782.91418338983283</v>
      </c>
      <c r="V5" s="10">
        <f>'Market Sizing'!V15*cert_fee_yr1*(1+cert_fee_escalation)^'Market Sizing'!V5/'Market Sizing'!V6</f>
        <v>826.05730511073307</v>
      </c>
      <c r="W5" s="10">
        <f>'Market Sizing'!W15*cert_fee_yr1*(1+cert_fee_escalation)^'Market Sizing'!W5/'Market Sizing'!W6</f>
        <v>870.48246039786397</v>
      </c>
      <c r="X5" s="10">
        <f>'Market Sizing'!X15*cert_fee_yr1*(1+cert_fee_escalation)^'Market Sizing'!X5/'Market Sizing'!X6</f>
        <v>913.82043629996008</v>
      </c>
      <c r="Y5" s="10">
        <f>'Market Sizing'!Y15*cert_fee_yr1*(1+cert_fee_escalation)^'Market Sizing'!Y5/'Market Sizing'!Y6</f>
        <v>960.58168096510826</v>
      </c>
      <c r="Z5" s="10">
        <f>'Market Sizing'!Z15*cert_fee_yr1*(1+cert_fee_escalation)^'Market Sizing'!Z5/'Market Sizing'!Z6</f>
        <v>1008.3753810109406</v>
      </c>
      <c r="AA5" s="10">
        <f>'Market Sizing'!AA15*cert_fee_yr1*(1+cert_fee_escalation)^'Market Sizing'!AA5/'Market Sizing'!AA6</f>
        <v>1054.8006114274569</v>
      </c>
      <c r="AB5" s="10">
        <f>'Market Sizing'!AB15*cert_fee_yr1*(1+cert_fee_escalation)^'Market Sizing'!AB5/'Market Sizing'!AB6</f>
        <v>1104.33768387655</v>
      </c>
      <c r="AC5" s="10">
        <f>'Market Sizing'!AC15*cert_fee_yr1*(1+cert_fee_escalation)^'Market Sizing'!AC5/'Market Sizing'!AC6</f>
        <v>1152.2709380379108</v>
      </c>
      <c r="AD5" s="10">
        <f>'Market Sizing'!AD15*cert_fee_yr1*(1+cert_fee_escalation)^'Market Sizing'!AD5/'Market Sizing'!AD6</f>
        <v>1203.0648391863913</v>
      </c>
      <c r="AE5" s="10">
        <f>'Market Sizing'!AE15*cert_fee_yr1*(1+cert_fee_escalation)^'Market Sizing'!AE5/'Market Sizing'!AE6</f>
        <v>1254.2871137712434</v>
      </c>
      <c r="AF5" s="10">
        <f>'Market Sizing'!AF15*cert_fee_yr1*(1+cert_fee_escalation)^'Market Sizing'!AF5/'Market Sizing'!AF6</f>
        <v>1303.500773734834</v>
      </c>
      <c r="AG5" s="10">
        <f>'Market Sizing'!AG15*cert_fee_yr1*(1+cert_fee_escalation)^'Market Sizing'!AG5/'Market Sizing'!AG6</f>
        <v>4198.189876867742</v>
      </c>
      <c r="AH5" s="10">
        <f>'Market Sizing'!AH15*cert_fee_yr1*(1+cert_fee_escalation)^'Market Sizing'!AH5/'Market Sizing'!AH6</f>
        <v>4661.6176623928759</v>
      </c>
      <c r="AI5" s="10">
        <f>'Market Sizing'!AI15*cert_fee_yr1*(1+cert_fee_escalation)^'Market Sizing'!AI5/'Market Sizing'!AI6</f>
        <v>5111.0647474235629</v>
      </c>
      <c r="AJ5" s="10">
        <f>'Market Sizing'!AJ15*cert_fee_yr1*(1+cert_fee_escalation)^'Market Sizing'!AJ5/'Market Sizing'!AJ6</f>
        <v>5535.9363900380122</v>
      </c>
      <c r="AK5" s="10">
        <f>'Market Sizing'!AK15*cert_fee_yr1*(1+cert_fee_escalation)^'Market Sizing'!AK5/'Market Sizing'!AK6</f>
        <v>6224.2525106988451</v>
      </c>
      <c r="AL5" s="10">
        <f>'Market Sizing'!AL15*cert_fee_yr1*(1+cert_fee_escalation)^'Market Sizing'!AL5/'Market Sizing'!AL6</f>
        <v>6595.2154929641274</v>
      </c>
      <c r="AM5" s="10">
        <f>'Market Sizing'!AM15*cert_fee_yr1*(1+cert_fee_escalation)^'Market Sizing'!AM5/'Market Sizing'!AM6</f>
        <v>6930.1435428757395</v>
      </c>
      <c r="AN5" s="10">
        <f>'Market Sizing'!AN15*cert_fee_yr1*(1+cert_fee_escalation)^'Market Sizing'!AN5/'Market Sizing'!AN6</f>
        <v>7220.9414724266626</v>
      </c>
      <c r="AO5" s="10">
        <f>'Market Sizing'!AO15*cert_fee_yr1*(1+cert_fee_escalation)^'Market Sizing'!AO5/'Market Sizing'!AO6</f>
        <v>7842.6171664002632</v>
      </c>
      <c r="AP5" s="10">
        <f>'Market Sizing'!AP15*cert_fee_yr1*(1+cert_fee_escalation)^'Market Sizing'!AP5/'Market Sizing'!AP6</f>
        <v>8069.6532208702911</v>
      </c>
      <c r="AQ5" s="10">
        <f>'Market Sizing'!AQ15*cert_fee_yr1*(1+cert_fee_escalation)^'Market Sizing'!AQ5/'Market Sizing'!AQ6</f>
        <v>8259.1672747848752</v>
      </c>
      <c r="AR5" s="10">
        <f>'Market Sizing'!AR15*cert_fee_yr1*(1+cert_fee_escalation)^'Market Sizing'!AR5/'Market Sizing'!AR6</f>
        <v>8407.6338606691224</v>
      </c>
    </row>
    <row r="6" spans="1:44" x14ac:dyDescent="0.3">
      <c r="A6" s="4" t="s">
        <v>466</v>
      </c>
      <c r="B6" s="4" t="s">
        <v>218</v>
      </c>
      <c r="C6" s="10">
        <f>'Market Sizing'!C15*training_pct*training_fee/'Market Sizing'!C6</f>
        <v>42.907259204599278</v>
      </c>
      <c r="D6" s="10">
        <f>'Market Sizing'!D15*training_pct*training_fee/'Market Sizing'!D6</f>
        <v>45.158131135105862</v>
      </c>
      <c r="E6" s="10">
        <f>'Market Sizing'!E15*training_pct*training_fee/'Market Sizing'!E6</f>
        <v>48.34356953802881</v>
      </c>
      <c r="F6" s="10">
        <f>'Market Sizing'!F15*training_pct*training_fee/'Market Sizing'!F6</f>
        <v>51.721336122512717</v>
      </c>
      <c r="G6" s="10">
        <f>'Market Sizing'!G15*training_pct*training_fee/'Market Sizing'!G6</f>
        <v>55.299011184334034</v>
      </c>
      <c r="H6" s="10">
        <f>'Market Sizing'!H15*training_pct*training_fee/'Market Sizing'!H6</f>
        <v>58.708908089026693</v>
      </c>
      <c r="I6" s="10">
        <f>'Market Sizing'!I15*training_pct*training_fee/'Market Sizing'!I6</f>
        <v>62.707979205219509</v>
      </c>
      <c r="J6" s="10">
        <f>'Market Sizing'!J15*training_pct*training_fee/'Market Sizing'!J6</f>
        <v>66.927713629079435</v>
      </c>
      <c r="K6" s="10">
        <f>'Market Sizing'!K15*training_pct*training_fee/'Market Sizing'!K6</f>
        <v>71.374027309467508</v>
      </c>
      <c r="L6" s="10">
        <f>'Market Sizing'!L15*training_pct*training_fee/'Market Sizing'!L6</f>
        <v>76.052146488930404</v>
      </c>
      <c r="M6" s="10">
        <f>'Market Sizing'!M15*training_pct*training_fee/'Market Sizing'!M6</f>
        <v>80.591485712855771</v>
      </c>
      <c r="N6" s="10">
        <f>'Market Sizing'!N15*training_pct*training_fee/'Market Sizing'!N6</f>
        <v>85.745522020741717</v>
      </c>
      <c r="O6" s="10">
        <f>'Market Sizing'!O15*training_pct*training_fee/'Market Sizing'!O6</f>
        <v>91.141667310426286</v>
      </c>
      <c r="P6" s="10">
        <f>'Market Sizing'!P15*training_pct*training_fee/'Market Sizing'!P6</f>
        <v>96.781141243930264</v>
      </c>
      <c r="Q6" s="10">
        <f>'Market Sizing'!Q15*training_pct*training_fee/'Market Sizing'!Q6</f>
        <v>102.2888474254475</v>
      </c>
      <c r="R6" s="10">
        <f>'Market Sizing'!R15*training_pct*training_fee/'Market Sizing'!R6</f>
        <v>108.41325590956727</v>
      </c>
      <c r="S6" s="10">
        <f>'Market Sizing'!S15*training_pct*training_fee/'Market Sizing'!S6</f>
        <v>114.7762953680248</v>
      </c>
      <c r="T6" s="10">
        <f>'Market Sizing'!T15*training_pct*training_fee/'Market Sizing'!T6</f>
        <v>121.37325843265548</v>
      </c>
      <c r="U6" s="10">
        <f>'Market Sizing'!U15*training_pct*training_fee/'Market Sizing'!U6</f>
        <v>127.8227238187482</v>
      </c>
      <c r="V6" s="10">
        <f>'Market Sizing'!V15*training_pct*training_fee/'Market Sizing'!V6</f>
        <v>134.86649879358907</v>
      </c>
      <c r="W6" s="10">
        <f>'Market Sizing'!W15*training_pct*training_fee/'Market Sizing'!W6</f>
        <v>142.11958537107984</v>
      </c>
      <c r="X6" s="10">
        <f>'Market Sizing'!X15*training_pct*training_fee/'Market Sizing'!X6</f>
        <v>149.19517327346284</v>
      </c>
      <c r="Y6" s="10">
        <f>'Market Sizing'!Y15*training_pct*training_fee/'Market Sizing'!Y6</f>
        <v>156.82966219838502</v>
      </c>
      <c r="Z6" s="10">
        <f>'Market Sizing'!Z15*training_pct*training_fee/'Market Sizing'!Z6</f>
        <v>164.63271526709232</v>
      </c>
      <c r="AA6" s="10">
        <f>'Market Sizing'!AA15*training_pct*training_fee/'Market Sizing'!AA6</f>
        <v>172.21234472285008</v>
      </c>
      <c r="AB6" s="10">
        <f>'Market Sizing'!AB15*training_pct*training_fee/'Market Sizing'!AB6</f>
        <v>180.30003002066121</v>
      </c>
      <c r="AC6" s="10">
        <f>'Market Sizing'!AC15*training_pct*training_fee/'Market Sizing'!AC6</f>
        <v>188.12586743476092</v>
      </c>
      <c r="AD6" s="10">
        <f>'Market Sizing'!AD15*training_pct*training_fee/'Market Sizing'!AD6</f>
        <v>196.41874925492098</v>
      </c>
      <c r="AE6" s="10">
        <f>'Market Sizing'!AE15*training_pct*training_fee/'Market Sizing'!AE6</f>
        <v>204.78156959530506</v>
      </c>
      <c r="AF6" s="10">
        <f>'Market Sizing'!AF15*training_pct*training_fee/'Market Sizing'!AF6</f>
        <v>212.81645285466678</v>
      </c>
      <c r="AG6" s="10">
        <f>'Market Sizing'!AG15*training_pct*training_fee/'Market Sizing'!AG6</f>
        <v>652.77976705426499</v>
      </c>
      <c r="AH6" s="10">
        <f>'Market Sizing'!AH15*training_pct*training_fee/'Market Sizing'!AH6</f>
        <v>724.83850921560736</v>
      </c>
      <c r="AI6" s="10">
        <f>'Market Sizing'!AI15*training_pct*training_fee/'Market Sizing'!AI6</f>
        <v>794.72338152358589</v>
      </c>
      <c r="AJ6" s="10">
        <f>'Market Sizing'!AJ15*training_pct*training_fee/'Market Sizing'!AJ6</f>
        <v>860.78699942282003</v>
      </c>
      <c r="AK6" s="10">
        <f>'Market Sizing'!AK15*training_pct*training_fee/'Market Sizing'!AK6</f>
        <v>921.72742997067439</v>
      </c>
      <c r="AL6" s="10">
        <f>'Market Sizing'!AL15*training_pct*training_fee/'Market Sizing'!AL6</f>
        <v>976.66201941252302</v>
      </c>
      <c r="AM6" s="10">
        <f>'Market Sizing'!AM15*training_pct*training_fee/'Market Sizing'!AM6</f>
        <v>1026.2603238096331</v>
      </c>
      <c r="AN6" s="10">
        <f>'Market Sizing'!AN15*training_pct*training_fee/'Market Sizing'!AN6</f>
        <v>1069.3235555446954</v>
      </c>
      <c r="AO6" s="10">
        <f>'Market Sizing'!AO15*training_pct*training_fee/'Market Sizing'!AO6</f>
        <v>1106.0812374244786</v>
      </c>
      <c r="AP6" s="10">
        <f>'Market Sizing'!AP15*training_pct*training_fee/'Market Sizing'!AP6</f>
        <v>1138.1012015181034</v>
      </c>
      <c r="AQ6" s="10">
        <f>'Market Sizing'!AQ15*training_pct*training_fee/'Market Sizing'!AQ6</f>
        <v>1164.8292611461097</v>
      </c>
      <c r="AR6" s="10">
        <f>'Market Sizing'!AR15*training_pct*training_fee/'Market Sizing'!AR6</f>
        <v>1185.7682030256876</v>
      </c>
    </row>
    <row r="7" spans="1:44" x14ac:dyDescent="0.3">
      <c r="A7" s="4" t="s">
        <v>467</v>
      </c>
      <c r="B7" s="4" t="s">
        <v>218</v>
      </c>
      <c r="C7" s="10">
        <f>'Market Sizing'!C15*audit_fee/'Market Sizing'!C6</f>
        <v>95.349464899109492</v>
      </c>
      <c r="D7" s="10">
        <f>'Market Sizing'!D15*audit_fee/'Market Sizing'!D6</f>
        <v>100.35140252245749</v>
      </c>
      <c r="E7" s="10">
        <f>'Market Sizing'!E15*audit_fee/'Market Sizing'!E6</f>
        <v>107.43015452895291</v>
      </c>
      <c r="F7" s="10">
        <f>'Market Sizing'!F15*audit_fee/'Market Sizing'!F6</f>
        <v>114.93630249447271</v>
      </c>
      <c r="G7" s="10">
        <f>'Market Sizing'!G15*audit_fee/'Market Sizing'!G6</f>
        <v>122.8866915207423</v>
      </c>
      <c r="H7" s="10">
        <f>'Market Sizing'!H15*audit_fee/'Market Sizing'!H6</f>
        <v>130.46424019783709</v>
      </c>
      <c r="I7" s="10">
        <f>'Market Sizing'!I15*audit_fee/'Market Sizing'!I6</f>
        <v>139.35106490048778</v>
      </c>
      <c r="J7" s="10">
        <f>'Market Sizing'!J15*audit_fee/'Market Sizing'!J6</f>
        <v>148.72825250906541</v>
      </c>
      <c r="K7" s="10">
        <f>'Market Sizing'!K15*audit_fee/'Market Sizing'!K6</f>
        <v>158.60894957659448</v>
      </c>
      <c r="L7" s="10">
        <f>'Market Sizing'!L15*audit_fee/'Market Sizing'!L6</f>
        <v>169.00476997540088</v>
      </c>
      <c r="M7" s="10">
        <f>'Market Sizing'!M15*audit_fee/'Market Sizing'!M6</f>
        <v>179.09219047301283</v>
      </c>
      <c r="N7" s="10">
        <f>'Market Sizing'!N15*audit_fee/'Market Sizing'!N6</f>
        <v>190.54560449053722</v>
      </c>
      <c r="O7" s="10">
        <f>'Market Sizing'!O15*audit_fee/'Market Sizing'!O6</f>
        <v>202.537038467614</v>
      </c>
      <c r="P7" s="10">
        <f>'Market Sizing'!P15*audit_fee/'Market Sizing'!P6</f>
        <v>215.06920276428946</v>
      </c>
      <c r="Q7" s="10">
        <f>'Market Sizing'!Q15*audit_fee/'Market Sizing'!Q6</f>
        <v>227.30854983432778</v>
      </c>
      <c r="R7" s="10">
        <f>'Market Sizing'!R15*audit_fee/'Market Sizing'!R6</f>
        <v>240.91834646570501</v>
      </c>
      <c r="S7" s="10">
        <f>'Market Sizing'!S15*audit_fee/'Market Sizing'!S6</f>
        <v>255.05843415116624</v>
      </c>
      <c r="T7" s="10">
        <f>'Market Sizing'!T15*audit_fee/'Market Sizing'!T6</f>
        <v>269.71835207256771</v>
      </c>
      <c r="U7" s="10">
        <f>'Market Sizing'!U15*audit_fee/'Market Sizing'!U6</f>
        <v>284.05049737499598</v>
      </c>
      <c r="V7" s="10">
        <f>'Market Sizing'!V15*audit_fee/'Market Sizing'!V6</f>
        <v>299.70333065242016</v>
      </c>
      <c r="W7" s="10">
        <f>'Market Sizing'!W15*audit_fee/'Market Sizing'!W6</f>
        <v>315.82130082462186</v>
      </c>
      <c r="X7" s="10">
        <f>'Market Sizing'!X15*audit_fee/'Market Sizing'!X6</f>
        <v>331.5448294965841</v>
      </c>
      <c r="Y7" s="10">
        <f>'Market Sizing'!Y15*audit_fee/'Market Sizing'!Y6</f>
        <v>348.51036044085566</v>
      </c>
      <c r="Z7" s="10">
        <f>'Market Sizing'!Z15*audit_fee/'Market Sizing'!Z6</f>
        <v>365.85047837131629</v>
      </c>
      <c r="AA7" s="10">
        <f>'Market Sizing'!AA15*audit_fee/'Market Sizing'!AA6</f>
        <v>382.69409938411133</v>
      </c>
      <c r="AB7" s="10">
        <f>'Market Sizing'!AB15*audit_fee/'Market Sizing'!AB6</f>
        <v>400.6667333792472</v>
      </c>
      <c r="AC7" s="10">
        <f>'Market Sizing'!AC15*audit_fee/'Market Sizing'!AC6</f>
        <v>418.05748318835759</v>
      </c>
      <c r="AD7" s="10">
        <f>'Market Sizing'!AD15*audit_fee/'Market Sizing'!AD6</f>
        <v>436.48610945538007</v>
      </c>
      <c r="AE7" s="10">
        <f>'Market Sizing'!AE15*audit_fee/'Market Sizing'!AE6</f>
        <v>455.07015465623346</v>
      </c>
      <c r="AF7" s="10">
        <f>'Market Sizing'!AF15*audit_fee/'Market Sizing'!AF6</f>
        <v>472.92545078814845</v>
      </c>
      <c r="AG7" s="10">
        <f>'Market Sizing'!AG15*audit_fee/'Market Sizing'!AG6</f>
        <v>1450.6217045650333</v>
      </c>
      <c r="AH7" s="10">
        <f>'Market Sizing'!AH15*audit_fee/'Market Sizing'!AH6</f>
        <v>1610.7522427013498</v>
      </c>
      <c r="AI7" s="10">
        <f>'Market Sizing'!AI15*audit_fee/'Market Sizing'!AI6</f>
        <v>1766.0519589413022</v>
      </c>
      <c r="AJ7" s="10">
        <f>'Market Sizing'!AJ15*audit_fee/'Market Sizing'!AJ6</f>
        <v>1912.8599987173779</v>
      </c>
      <c r="AK7" s="10">
        <f>'Market Sizing'!AK15*audit_fee/'Market Sizing'!AK6</f>
        <v>2048.2831777126098</v>
      </c>
      <c r="AL7" s="10">
        <f>'Market Sizing'!AL15*audit_fee/'Market Sizing'!AL6</f>
        <v>2170.36004313894</v>
      </c>
      <c r="AM7" s="10">
        <f>'Market Sizing'!AM15*audit_fee/'Market Sizing'!AM6</f>
        <v>2280.5784973547406</v>
      </c>
      <c r="AN7" s="10">
        <f>'Market Sizing'!AN15*audit_fee/'Market Sizing'!AN6</f>
        <v>2376.2745678771007</v>
      </c>
      <c r="AO7" s="10">
        <f>'Market Sizing'!AO15*audit_fee/'Market Sizing'!AO6</f>
        <v>2457.9583053877304</v>
      </c>
      <c r="AP7" s="10">
        <f>'Market Sizing'!AP15*audit_fee/'Market Sizing'!AP6</f>
        <v>2529.1137811513408</v>
      </c>
      <c r="AQ7" s="10">
        <f>'Market Sizing'!AQ15*audit_fee/'Market Sizing'!AQ6</f>
        <v>2588.5094692135772</v>
      </c>
      <c r="AR7" s="10">
        <f>'Market Sizing'!AR15*audit_fee/'Market Sizing'!AR6</f>
        <v>2635.040451168195</v>
      </c>
    </row>
    <row r="8" spans="1:44" x14ac:dyDescent="0.3">
      <c r="A8" s="4" t="s">
        <v>468</v>
      </c>
      <c r="C8" s="9">
        <f t="shared" ref="C8:AR8" si="0">SUM(C5:C7)</f>
        <v>376.63038635148246</v>
      </c>
      <c r="D8" s="9">
        <f t="shared" si="0"/>
        <v>396.38803996370706</v>
      </c>
      <c r="E8" s="9">
        <f t="shared" si="0"/>
        <v>424.349110389364</v>
      </c>
      <c r="F8" s="9">
        <f t="shared" si="0"/>
        <v>453.99839485316721</v>
      </c>
      <c r="G8" s="9">
        <f t="shared" si="0"/>
        <v>485.40243150693203</v>
      </c>
      <c r="H8" s="9">
        <f t="shared" si="0"/>
        <v>515.33374878145651</v>
      </c>
      <c r="I8" s="9">
        <f t="shared" si="0"/>
        <v>567.85558946948777</v>
      </c>
      <c r="J8" s="9">
        <f t="shared" si="0"/>
        <v>606.06762897444162</v>
      </c>
      <c r="K8" s="9">
        <f t="shared" si="0"/>
        <v>646.33146952462255</v>
      </c>
      <c r="L8" s="9">
        <f t="shared" si="0"/>
        <v>688.6944376497587</v>
      </c>
      <c r="M8" s="9">
        <f t="shared" si="0"/>
        <v>729.80067617752729</v>
      </c>
      <c r="N8" s="9">
        <f t="shared" si="0"/>
        <v>776.4733382989391</v>
      </c>
      <c r="O8" s="9">
        <f t="shared" si="0"/>
        <v>825.33843175552715</v>
      </c>
      <c r="P8" s="9">
        <f t="shared" si="0"/>
        <v>876.40700126447962</v>
      </c>
      <c r="Q8" s="9">
        <f t="shared" si="0"/>
        <v>926.28234057488567</v>
      </c>
      <c r="R8" s="9">
        <f t="shared" si="0"/>
        <v>981.74226184774807</v>
      </c>
      <c r="S8" s="9">
        <f t="shared" si="0"/>
        <v>1039.3631191660024</v>
      </c>
      <c r="T8" s="9">
        <f t="shared" si="0"/>
        <v>1099.1022846957137</v>
      </c>
      <c r="U8" s="9">
        <f t="shared" si="0"/>
        <v>1194.787404583577</v>
      </c>
      <c r="V8" s="9">
        <f t="shared" si="0"/>
        <v>1260.6271345567422</v>
      </c>
      <c r="W8" s="9">
        <f t="shared" si="0"/>
        <v>1328.4233465935656</v>
      </c>
      <c r="X8" s="9">
        <f t="shared" si="0"/>
        <v>1394.5604390700069</v>
      </c>
      <c r="Y8" s="9">
        <f t="shared" si="0"/>
        <v>1465.921703604349</v>
      </c>
      <c r="Z8" s="9">
        <f t="shared" si="0"/>
        <v>1538.8585746493493</v>
      </c>
      <c r="AA8" s="9">
        <f t="shared" si="0"/>
        <v>1609.7070555344183</v>
      </c>
      <c r="AB8" s="9">
        <f t="shared" si="0"/>
        <v>1685.3044472764584</v>
      </c>
      <c r="AC8" s="9">
        <f t="shared" si="0"/>
        <v>1758.4542886610293</v>
      </c>
      <c r="AD8" s="9">
        <f t="shared" si="0"/>
        <v>1835.9696978966924</v>
      </c>
      <c r="AE8" s="9">
        <f t="shared" si="0"/>
        <v>1914.1388380227818</v>
      </c>
      <c r="AF8" s="9">
        <f t="shared" si="0"/>
        <v>1989.2426773776492</v>
      </c>
      <c r="AG8" s="9">
        <f t="shared" si="0"/>
        <v>6301.5913484870398</v>
      </c>
      <c r="AH8" s="9">
        <f t="shared" si="0"/>
        <v>6997.2084143098336</v>
      </c>
      <c r="AI8" s="9">
        <f t="shared" si="0"/>
        <v>7671.8400878884513</v>
      </c>
      <c r="AJ8" s="9">
        <f t="shared" si="0"/>
        <v>8309.583388178211</v>
      </c>
      <c r="AK8" s="9">
        <f t="shared" si="0"/>
        <v>9194.2631183821286</v>
      </c>
      <c r="AL8" s="9">
        <f t="shared" si="0"/>
        <v>9742.2375555155904</v>
      </c>
      <c r="AM8" s="9">
        <f t="shared" si="0"/>
        <v>10236.982364040112</v>
      </c>
      <c r="AN8" s="9">
        <f t="shared" si="0"/>
        <v>10666.539595848459</v>
      </c>
      <c r="AO8" s="9">
        <f t="shared" si="0"/>
        <v>11406.656709212471</v>
      </c>
      <c r="AP8" s="9">
        <f t="shared" si="0"/>
        <v>11736.868203539736</v>
      </c>
      <c r="AQ8" s="9">
        <f t="shared" si="0"/>
        <v>12012.506005144562</v>
      </c>
      <c r="AR8" s="9">
        <f t="shared" si="0"/>
        <v>12228.442514863005</v>
      </c>
    </row>
    <row r="10" spans="1:44" x14ac:dyDescent="0.3">
      <c r="A10" s="30" t="s">
        <v>469</v>
      </c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</row>
    <row r="11" spans="1:44" x14ac:dyDescent="0.3">
      <c r="A11" s="4" t="s">
        <v>470</v>
      </c>
      <c r="B11" s="4" t="s">
        <v>218</v>
      </c>
      <c r="C11" s="10">
        <f>IF('Market Sizing'!C15&gt;=stage2_gate,'Market Sizing'!C10*platform_market_share*tx_take_rate*1000,0)</f>
        <v>0</v>
      </c>
      <c r="D11" s="10">
        <f>IF('Market Sizing'!D15&gt;=stage2_gate,'Market Sizing'!D10*platform_market_share*tx_take_rate*1000,0)</f>
        <v>0</v>
      </c>
      <c r="E11" s="10">
        <f>IF('Market Sizing'!E15&gt;=stage2_gate,'Market Sizing'!E10*platform_market_share*tx_take_rate*1000,0)</f>
        <v>0</v>
      </c>
      <c r="F11" s="10">
        <f>IF('Market Sizing'!F15&gt;=stage2_gate,'Market Sizing'!F10*platform_market_share*tx_take_rate*1000,0)</f>
        <v>0</v>
      </c>
      <c r="G11" s="10">
        <f>IF('Market Sizing'!G15&gt;=stage2_gate,'Market Sizing'!G10*platform_market_share*tx_take_rate*1000,0)</f>
        <v>0</v>
      </c>
      <c r="H11" s="10">
        <f>IF('Market Sizing'!H15&gt;=stage2_gate,'Market Sizing'!H10*platform_market_share*tx_take_rate*1000,0)</f>
        <v>0</v>
      </c>
      <c r="I11" s="10">
        <f>IF('Market Sizing'!I15&gt;=stage2_gate,'Market Sizing'!I10*platform_market_share*tx_take_rate*1000,0)</f>
        <v>0</v>
      </c>
      <c r="J11" s="10">
        <f>IF('Market Sizing'!J15&gt;=stage2_gate,'Market Sizing'!J10*platform_market_share*tx_take_rate*1000,0)</f>
        <v>0</v>
      </c>
      <c r="K11" s="10">
        <f>IF('Market Sizing'!K15&gt;=stage2_gate,'Market Sizing'!K10*platform_market_share*tx_take_rate*1000,0)</f>
        <v>0</v>
      </c>
      <c r="L11" s="10">
        <f>IF('Market Sizing'!L15&gt;=stage2_gate,'Market Sizing'!L10*platform_market_share*tx_take_rate*1000,0)</f>
        <v>0</v>
      </c>
      <c r="M11" s="10">
        <f>IF('Market Sizing'!M15&gt;=stage2_gate,'Market Sizing'!M10*platform_market_share*tx_take_rate*1000,0)</f>
        <v>0</v>
      </c>
      <c r="N11" s="10">
        <f>IF('Market Sizing'!N15&gt;=stage2_gate,'Market Sizing'!N10*platform_market_share*tx_take_rate*1000,0)</f>
        <v>0</v>
      </c>
      <c r="O11" s="10">
        <f>IF('Market Sizing'!O15&gt;=stage2_gate,'Market Sizing'!O10*platform_market_share*tx_take_rate*1000,0)</f>
        <v>0</v>
      </c>
      <c r="P11" s="10">
        <f>IF('Market Sizing'!P15&gt;=stage2_gate,'Market Sizing'!P10*platform_market_share*tx_take_rate*1000,0)</f>
        <v>0</v>
      </c>
      <c r="Q11" s="10">
        <f>IF('Market Sizing'!Q15&gt;=stage2_gate,'Market Sizing'!Q10*platform_market_share*tx_take_rate*1000,0)</f>
        <v>0</v>
      </c>
      <c r="R11" s="10">
        <f>IF('Market Sizing'!R15&gt;=stage2_gate,'Market Sizing'!R10*platform_market_share*tx_take_rate*1000,0)</f>
        <v>0</v>
      </c>
      <c r="S11" s="10">
        <f>IF('Market Sizing'!S15&gt;=stage2_gate,'Market Sizing'!S10*platform_market_share*tx_take_rate*1000,0)</f>
        <v>2970</v>
      </c>
      <c r="T11" s="10">
        <f>IF('Market Sizing'!T15&gt;=stage2_gate,'Market Sizing'!T10*platform_market_share*tx_take_rate*1000,0)</f>
        <v>2970</v>
      </c>
      <c r="U11" s="10">
        <f>IF('Market Sizing'!U15&gt;=stage2_gate,'Market Sizing'!U10*platform_market_share*tx_take_rate*1000,0)</f>
        <v>3207.6000000000008</v>
      </c>
      <c r="V11" s="10">
        <f>IF('Market Sizing'!V15&gt;=stage2_gate,'Market Sizing'!V10*platform_market_share*tx_take_rate*1000,0)</f>
        <v>3207.6000000000008</v>
      </c>
      <c r="W11" s="10">
        <f>IF('Market Sizing'!W15&gt;=stage2_gate,'Market Sizing'!W10*platform_market_share*tx_take_rate*1000,0)</f>
        <v>3207.6000000000008</v>
      </c>
      <c r="X11" s="10">
        <f>IF('Market Sizing'!X15&gt;=stage2_gate,'Market Sizing'!X10*platform_market_share*tx_take_rate*1000,0)</f>
        <v>3207.6000000000008</v>
      </c>
      <c r="Y11" s="10">
        <f>IF('Market Sizing'!Y15&gt;=stage2_gate,'Market Sizing'!Y10*platform_market_share*tx_take_rate*1000,0)</f>
        <v>3207.6000000000008</v>
      </c>
      <c r="Z11" s="10">
        <f>IF('Market Sizing'!Z15&gt;=stage2_gate,'Market Sizing'!Z10*platform_market_share*tx_take_rate*1000,0)</f>
        <v>3207.6000000000008</v>
      </c>
      <c r="AA11" s="10">
        <f>IF('Market Sizing'!AA15&gt;=stage2_gate,'Market Sizing'!AA10*platform_market_share*tx_take_rate*1000,0)</f>
        <v>3207.6000000000008</v>
      </c>
      <c r="AB11" s="10">
        <f>IF('Market Sizing'!AB15&gt;=stage2_gate,'Market Sizing'!AB10*platform_market_share*tx_take_rate*1000,0)</f>
        <v>3207.6000000000008</v>
      </c>
      <c r="AC11" s="10">
        <f>IF('Market Sizing'!AC15&gt;=stage2_gate,'Market Sizing'!AC10*platform_market_share*tx_take_rate*1000,0)</f>
        <v>3207.6000000000008</v>
      </c>
      <c r="AD11" s="10">
        <f>IF('Market Sizing'!AD15&gt;=stage2_gate,'Market Sizing'!AD10*platform_market_share*tx_take_rate*1000,0)</f>
        <v>3207.6000000000008</v>
      </c>
      <c r="AE11" s="10">
        <f>IF('Market Sizing'!AE15&gt;=stage2_gate,'Market Sizing'!AE10*platform_market_share*tx_take_rate*1000,0)</f>
        <v>3207.6000000000008</v>
      </c>
      <c r="AF11" s="10">
        <f>IF('Market Sizing'!AF15&gt;=stage2_gate,'Market Sizing'!AF10*platform_market_share*tx_take_rate*1000,0)</f>
        <v>3207.6000000000008</v>
      </c>
      <c r="AG11" s="10">
        <f>IF('Market Sizing'!AG15&gt;=stage2_gate,'Market Sizing'!AG10*platform_market_share*tx_take_rate*1000,0)</f>
        <v>10392.624000000003</v>
      </c>
      <c r="AH11" s="10">
        <f>IF('Market Sizing'!AH15&gt;=stage2_gate,'Market Sizing'!AH10*platform_market_share*tx_take_rate*1000,0)</f>
        <v>10392.624000000003</v>
      </c>
      <c r="AI11" s="10">
        <f>IF('Market Sizing'!AI15&gt;=stage2_gate,'Market Sizing'!AI10*platform_market_share*tx_take_rate*1000,0)</f>
        <v>10392.624000000003</v>
      </c>
      <c r="AJ11" s="10">
        <f>IF('Market Sizing'!AJ15&gt;=stage2_gate,'Market Sizing'!AJ10*platform_market_share*tx_take_rate*1000,0)</f>
        <v>10392.624000000003</v>
      </c>
      <c r="AK11" s="10">
        <f>IF('Market Sizing'!AK15&gt;=stage2_gate,'Market Sizing'!AK10*platform_market_share*tx_take_rate*1000,0)</f>
        <v>11224.033920000003</v>
      </c>
      <c r="AL11" s="10">
        <f>IF('Market Sizing'!AL15&gt;=stage2_gate,'Market Sizing'!AL10*platform_market_share*tx_take_rate*1000,0)</f>
        <v>11224.033920000003</v>
      </c>
      <c r="AM11" s="10">
        <f>IF('Market Sizing'!AM15&gt;=stage2_gate,'Market Sizing'!AM10*platform_market_share*tx_take_rate*1000,0)</f>
        <v>11224.033920000003</v>
      </c>
      <c r="AN11" s="10">
        <f>IF('Market Sizing'!AN15&gt;=stage2_gate,'Market Sizing'!AN10*platform_market_share*tx_take_rate*1000,0)</f>
        <v>11224.033920000003</v>
      </c>
      <c r="AO11" s="10">
        <f>IF('Market Sizing'!AO15&gt;=stage2_gate,'Market Sizing'!AO10*platform_market_share*tx_take_rate*1000,0)</f>
        <v>12121.956633600004</v>
      </c>
      <c r="AP11" s="10">
        <f>IF('Market Sizing'!AP15&gt;=stage2_gate,'Market Sizing'!AP10*platform_market_share*tx_take_rate*1000,0)</f>
        <v>12121.956633600004</v>
      </c>
      <c r="AQ11" s="10">
        <f>IF('Market Sizing'!AQ15&gt;=stage2_gate,'Market Sizing'!AQ10*platform_market_share*tx_take_rate*1000,0)</f>
        <v>12121.956633600004</v>
      </c>
      <c r="AR11" s="10">
        <f>IF('Market Sizing'!AR15&gt;=stage2_gate,'Market Sizing'!AR10*platform_market_share*tx_take_rate*1000,0)</f>
        <v>12121.956633600004</v>
      </c>
    </row>
    <row r="12" spans="1:44" x14ac:dyDescent="0.3">
      <c r="A12" s="4" t="s">
        <v>471</v>
      </c>
      <c r="B12" s="4" t="s">
        <v>218</v>
      </c>
      <c r="C12" s="10">
        <f>IF('Market Sizing'!C15&gt;=stage2_gate,'Market Sizing'!C17*daas_price,0)</f>
        <v>0</v>
      </c>
      <c r="D12" s="10">
        <f>IF('Market Sizing'!D15&gt;=stage2_gate,'Market Sizing'!D17*daas_price,0)</f>
        <v>0</v>
      </c>
      <c r="E12" s="10">
        <f>IF('Market Sizing'!E15&gt;=stage2_gate,'Market Sizing'!E17*daas_price,0)</f>
        <v>0</v>
      </c>
      <c r="F12" s="10">
        <f>IF('Market Sizing'!F15&gt;=stage2_gate,'Market Sizing'!F17*daas_price,0)</f>
        <v>0</v>
      </c>
      <c r="G12" s="10">
        <f>IF('Market Sizing'!G15&gt;=stage2_gate,'Market Sizing'!G17*daas_price,0)</f>
        <v>0</v>
      </c>
      <c r="H12" s="10">
        <f>IF('Market Sizing'!H15&gt;=stage2_gate,'Market Sizing'!H17*daas_price,0)</f>
        <v>0</v>
      </c>
      <c r="I12" s="10">
        <f>IF('Market Sizing'!I15&gt;=stage2_gate,'Market Sizing'!I17*daas_price,0)</f>
        <v>0</v>
      </c>
      <c r="J12" s="10">
        <f>IF('Market Sizing'!J15&gt;=stage2_gate,'Market Sizing'!J17*daas_price,0)</f>
        <v>0</v>
      </c>
      <c r="K12" s="10">
        <f>IF('Market Sizing'!K15&gt;=stage2_gate,'Market Sizing'!K17*daas_price,0)</f>
        <v>0</v>
      </c>
      <c r="L12" s="10">
        <f>IF('Market Sizing'!L15&gt;=stage2_gate,'Market Sizing'!L17*daas_price,0)</f>
        <v>0</v>
      </c>
      <c r="M12" s="10">
        <f>IF('Market Sizing'!M15&gt;=stage2_gate,'Market Sizing'!M17*daas_price,0)</f>
        <v>0</v>
      </c>
      <c r="N12" s="10">
        <f>IF('Market Sizing'!N15&gt;=stage2_gate,'Market Sizing'!N17*daas_price,0)</f>
        <v>0</v>
      </c>
      <c r="O12" s="10">
        <f>IF('Market Sizing'!O15&gt;=stage2_gate,'Market Sizing'!O17*daas_price,0)</f>
        <v>0</v>
      </c>
      <c r="P12" s="10">
        <f>IF('Market Sizing'!P15&gt;=stage2_gate,'Market Sizing'!P17*daas_price,0)</f>
        <v>0</v>
      </c>
      <c r="Q12" s="10">
        <f>IF('Market Sizing'!Q15&gt;=stage2_gate,'Market Sizing'!Q17*daas_price,0)</f>
        <v>0</v>
      </c>
      <c r="R12" s="10">
        <f>IF('Market Sizing'!R15&gt;=stage2_gate,'Market Sizing'!R17*daas_price,0)</f>
        <v>0</v>
      </c>
      <c r="S12" s="10">
        <f>IF('Market Sizing'!S15&gt;=stage2_gate,'Market Sizing'!S17*daas_price,0)</f>
        <v>91.821036294419855</v>
      </c>
      <c r="T12" s="10">
        <f>IF('Market Sizing'!T15&gt;=stage2_gate,'Market Sizing'!T17*daas_price,0)</f>
        <v>97.098606746124389</v>
      </c>
      <c r="U12" s="10">
        <f>IF('Market Sizing'!U15&gt;=stage2_gate,'Market Sizing'!U17*daas_price,0)</f>
        <v>102.25817905499855</v>
      </c>
      <c r="V12" s="10">
        <f>IF('Market Sizing'!V15&gt;=stage2_gate,'Market Sizing'!V17*daas_price,0)</f>
        <v>107.89319903487126</v>
      </c>
      <c r="W12" s="10">
        <f>IF('Market Sizing'!W15&gt;=stage2_gate,'Market Sizing'!W17*daas_price,0)</f>
        <v>113.69566829686387</v>
      </c>
      <c r="X12" s="10">
        <f>IF('Market Sizing'!X15&gt;=stage2_gate,'Market Sizing'!X17*daas_price,0)</f>
        <v>119.35613861877027</v>
      </c>
      <c r="Y12" s="10">
        <f>IF('Market Sizing'!Y15&gt;=stage2_gate,'Market Sizing'!Y17*daas_price,0)</f>
        <v>125.46372975870803</v>
      </c>
      <c r="Z12" s="10">
        <f>IF('Market Sizing'!Z15&gt;=stage2_gate,'Market Sizing'!Z17*daas_price,0)</f>
        <v>131.70617221367388</v>
      </c>
      <c r="AA12" s="10">
        <f>IF('Market Sizing'!AA15&gt;=stage2_gate,'Market Sizing'!AA17*daas_price,0)</f>
        <v>137.76987577828007</v>
      </c>
      <c r="AB12" s="10">
        <f>IF('Market Sizing'!AB15&gt;=stage2_gate,'Market Sizing'!AB17*daas_price,0)</f>
        <v>144.24002401652896</v>
      </c>
      <c r="AC12" s="10">
        <f>IF('Market Sizing'!AC15&gt;=stage2_gate,'Market Sizing'!AC17*daas_price,0)</f>
        <v>150.50069394780877</v>
      </c>
      <c r="AD12" s="10">
        <f>IF('Market Sizing'!AD15&gt;=stage2_gate,'Market Sizing'!AD17*daas_price,0)</f>
        <v>157.1349994039368</v>
      </c>
      <c r="AE12" s="10">
        <f>IF('Market Sizing'!AE15&gt;=stage2_gate,'Market Sizing'!AE17*daas_price,0)</f>
        <v>163.82525567624407</v>
      </c>
      <c r="AF12" s="10">
        <f>IF('Market Sizing'!AF15&gt;=stage2_gate,'Market Sizing'!AF17*daas_price,0)</f>
        <v>170.25316228373342</v>
      </c>
      <c r="AG12" s="10">
        <f>IF('Market Sizing'!AG15&gt;=stage2_gate,'Market Sizing'!AG17*daas_price,0)</f>
        <v>522.22381364341197</v>
      </c>
      <c r="AH12" s="10">
        <f>IF('Market Sizing'!AH15&gt;=stage2_gate,'Market Sizing'!AH17*daas_price,0)</f>
        <v>579.87080737248584</v>
      </c>
      <c r="AI12" s="10">
        <f>IF('Market Sizing'!AI15&gt;=stage2_gate,'Market Sizing'!AI17*daas_price,0)</f>
        <v>635.77870521886882</v>
      </c>
      <c r="AJ12" s="10">
        <f>IF('Market Sizing'!AJ15&gt;=stage2_gate,'Market Sizing'!AJ17*daas_price,0)</f>
        <v>688.629599538256</v>
      </c>
      <c r="AK12" s="10">
        <f>IF('Market Sizing'!AK15&gt;=stage2_gate,'Market Sizing'!AK17*daas_price,0)</f>
        <v>737.38194397653956</v>
      </c>
      <c r="AL12" s="10">
        <f>IF('Market Sizing'!AL15&gt;=stage2_gate,'Market Sizing'!AL17*daas_price,0)</f>
        <v>781.32961553001826</v>
      </c>
      <c r="AM12" s="10">
        <f>IF('Market Sizing'!AM15&gt;=stage2_gate,'Market Sizing'!AM17*daas_price,0)</f>
        <v>821.00825904770682</v>
      </c>
      <c r="AN12" s="10">
        <f>IF('Market Sizing'!AN15&gt;=stage2_gate,'Market Sizing'!AN17*daas_price,0)</f>
        <v>855.4588444357563</v>
      </c>
      <c r="AO12" s="10">
        <f>IF('Market Sizing'!AO15&gt;=stage2_gate,'Market Sizing'!AO17*daas_price,0)</f>
        <v>884.86498993958298</v>
      </c>
      <c r="AP12" s="10">
        <f>IF('Market Sizing'!AP15&gt;=stage2_gate,'Market Sizing'!AP17*daas_price,0)</f>
        <v>910.48096121448259</v>
      </c>
      <c r="AQ12" s="10">
        <f>IF('Market Sizing'!AQ15&gt;=stage2_gate,'Market Sizing'!AQ17*daas_price,0)</f>
        <v>931.86340891688769</v>
      </c>
      <c r="AR12" s="10">
        <f>IF('Market Sizing'!AR15&gt;=stage2_gate,'Market Sizing'!AR17*daas_price,0)</f>
        <v>948.61456242055021</v>
      </c>
    </row>
    <row r="13" spans="1:44" x14ac:dyDescent="0.3">
      <c r="A13" s="4" t="s">
        <v>472</v>
      </c>
      <c r="B13" s="4" t="s">
        <v>218</v>
      </c>
      <c r="C13" s="10">
        <f>IF('Market Sizing'!C15&gt;=stage2_gate,ad_impressions_base*'Market Sizing'!C7*'Market Sizing'!C15/1000*ad_cpm/1000,0)</f>
        <v>0</v>
      </c>
      <c r="D13" s="10">
        <f>IF('Market Sizing'!D15&gt;=stage2_gate,ad_impressions_base*'Market Sizing'!D7*'Market Sizing'!D15/1000*ad_cpm/1000,0)</f>
        <v>0</v>
      </c>
      <c r="E13" s="10">
        <f>IF('Market Sizing'!E15&gt;=stage2_gate,ad_impressions_base*'Market Sizing'!E7*'Market Sizing'!E15/1000*ad_cpm/1000,0)</f>
        <v>0</v>
      </c>
      <c r="F13" s="10">
        <f>IF('Market Sizing'!F15&gt;=stage2_gate,ad_impressions_base*'Market Sizing'!F7*'Market Sizing'!F15/1000*ad_cpm/1000,0)</f>
        <v>0</v>
      </c>
      <c r="G13" s="10">
        <f>IF('Market Sizing'!G15&gt;=stage2_gate,ad_impressions_base*'Market Sizing'!G7*'Market Sizing'!G15/1000*ad_cpm/1000,0)</f>
        <v>0</v>
      </c>
      <c r="H13" s="10">
        <f>IF('Market Sizing'!H15&gt;=stage2_gate,ad_impressions_base*'Market Sizing'!H7*'Market Sizing'!H15/1000*ad_cpm/1000,0)</f>
        <v>0</v>
      </c>
      <c r="I13" s="10">
        <f>IF('Market Sizing'!I15&gt;=stage2_gate,ad_impressions_base*'Market Sizing'!I7*'Market Sizing'!I15/1000*ad_cpm/1000,0)</f>
        <v>0</v>
      </c>
      <c r="J13" s="10">
        <f>IF('Market Sizing'!J15&gt;=stage2_gate,ad_impressions_base*'Market Sizing'!J7*'Market Sizing'!J15/1000*ad_cpm/1000,0)</f>
        <v>0</v>
      </c>
      <c r="K13" s="10">
        <f>IF('Market Sizing'!K15&gt;=stage2_gate,ad_impressions_base*'Market Sizing'!K7*'Market Sizing'!K15/1000*ad_cpm/1000,0)</f>
        <v>0</v>
      </c>
      <c r="L13" s="10">
        <f>IF('Market Sizing'!L15&gt;=stage2_gate,ad_impressions_base*'Market Sizing'!L7*'Market Sizing'!L15/1000*ad_cpm/1000,0)</f>
        <v>0</v>
      </c>
      <c r="M13" s="10">
        <f>IF('Market Sizing'!M15&gt;=stage2_gate,ad_impressions_base*'Market Sizing'!M7*'Market Sizing'!M15/1000*ad_cpm/1000,0)</f>
        <v>0</v>
      </c>
      <c r="N13" s="10">
        <f>IF('Market Sizing'!N15&gt;=stage2_gate,ad_impressions_base*'Market Sizing'!N7*'Market Sizing'!N15/1000*ad_cpm/1000,0)</f>
        <v>0</v>
      </c>
      <c r="O13" s="10">
        <f>IF('Market Sizing'!O15&gt;=stage2_gate,ad_impressions_base*'Market Sizing'!O7*'Market Sizing'!O15/1000*ad_cpm/1000,0)</f>
        <v>0</v>
      </c>
      <c r="P13" s="10">
        <f>IF('Market Sizing'!P15&gt;=stage2_gate,ad_impressions_base*'Market Sizing'!P7*'Market Sizing'!P15/1000*ad_cpm/1000,0)</f>
        <v>0</v>
      </c>
      <c r="Q13" s="10">
        <f>IF('Market Sizing'!Q15&gt;=stage2_gate,ad_impressions_base*'Market Sizing'!Q7*'Market Sizing'!Q15/1000*ad_cpm/1000,0)</f>
        <v>0</v>
      </c>
      <c r="R13" s="10">
        <f>IF('Market Sizing'!R15&gt;=stage2_gate,ad_impressions_base*'Market Sizing'!R7*'Market Sizing'!R15/1000*ad_cpm/1000,0)</f>
        <v>0</v>
      </c>
      <c r="S13" s="10">
        <f>IF('Market Sizing'!S15&gt;=stage2_gate,ad_impressions_base*'Market Sizing'!S7*'Market Sizing'!S15/1000*ad_cpm/1000,0)</f>
        <v>22.95525907360496</v>
      </c>
      <c r="T13" s="10">
        <f>IF('Market Sizing'!T15&gt;=stage2_gate,ad_impressions_base*'Market Sizing'!T7*'Market Sizing'!T15/1000*ad_cpm/1000,0)</f>
        <v>24.274651686531094</v>
      </c>
      <c r="U13" s="10">
        <f>IF('Market Sizing'!U15&gt;=stage2_gate,ad_impressions_base*'Market Sizing'!U7*'Market Sizing'!U15/1000*ad_cpm/1000,0)</f>
        <v>25.564544763749641</v>
      </c>
      <c r="V13" s="10">
        <f>IF('Market Sizing'!V15&gt;=stage2_gate,ad_impressions_base*'Market Sizing'!V7*'Market Sizing'!V15/1000*ad_cpm/1000,0)</f>
        <v>26.973299758717815</v>
      </c>
      <c r="W13" s="10">
        <f>IF('Market Sizing'!W15&gt;=stage2_gate,ad_impressions_base*'Market Sizing'!W7*'Market Sizing'!W15/1000*ad_cpm/1000,0)</f>
        <v>28.423917074215964</v>
      </c>
      <c r="X13" s="10">
        <f>IF('Market Sizing'!X15&gt;=stage2_gate,ad_impressions_base*'Market Sizing'!X7*'Market Sizing'!X15/1000*ad_cpm/1000,0)</f>
        <v>29.839034654692565</v>
      </c>
      <c r="Y13" s="10">
        <f>IF('Market Sizing'!Y15&gt;=stage2_gate,ad_impressions_base*'Market Sizing'!Y7*'Market Sizing'!Y15/1000*ad_cpm/1000,0)</f>
        <v>31.365932439677007</v>
      </c>
      <c r="Z13" s="10">
        <f>IF('Market Sizing'!Z15&gt;=stage2_gate,ad_impressions_base*'Market Sizing'!Z7*'Market Sizing'!Z15/1000*ad_cpm/1000,0)</f>
        <v>32.92654305341847</v>
      </c>
      <c r="AA13" s="10">
        <f>IF('Market Sizing'!AA15&gt;=stage2_gate,ad_impressions_base*'Market Sizing'!AA7*'Market Sizing'!AA15/1000*ad_cpm/1000,0)</f>
        <v>34.442468944570024</v>
      </c>
      <c r="AB13" s="10">
        <f>IF('Market Sizing'!AB15&gt;=stage2_gate,ad_impressions_base*'Market Sizing'!AB7*'Market Sizing'!AB15/1000*ad_cpm/1000,0)</f>
        <v>36.060006004132241</v>
      </c>
      <c r="AC13" s="10">
        <f>IF('Market Sizing'!AC15&gt;=stage2_gate,ad_impressions_base*'Market Sizing'!AC7*'Market Sizing'!AC15/1000*ad_cpm/1000,0)</f>
        <v>37.625173486952193</v>
      </c>
      <c r="AD13" s="10">
        <f>IF('Market Sizing'!AD15&gt;=stage2_gate,ad_impressions_base*'Market Sizing'!AD7*'Market Sizing'!AD15/1000*ad_cpm/1000,0)</f>
        <v>39.283749850984208</v>
      </c>
      <c r="AE13" s="10">
        <f>IF('Market Sizing'!AE15&gt;=stage2_gate,ad_impressions_base*'Market Sizing'!AE7*'Market Sizing'!AE15/1000*ad_cpm/1000,0)</f>
        <v>40.956313919061017</v>
      </c>
      <c r="AF13" s="10">
        <f>IF('Market Sizing'!AF15&gt;=stage2_gate,ad_impressions_base*'Market Sizing'!AF7*'Market Sizing'!AF15/1000*ad_cpm/1000,0)</f>
        <v>42.563290570933354</v>
      </c>
      <c r="AG13" s="10">
        <f>IF('Market Sizing'!AG15&gt;=stage2_gate,ad_impressions_base*'Market Sizing'!AG7*'Market Sizing'!AG15/1000*ad_cpm/1000,0)</f>
        <v>130.55595341085299</v>
      </c>
      <c r="AH13" s="10">
        <f>IF('Market Sizing'!AH15&gt;=stage2_gate,ad_impressions_base*'Market Sizing'!AH7*'Market Sizing'!AH15/1000*ad_cpm/1000,0)</f>
        <v>144.96770184312149</v>
      </c>
      <c r="AI13" s="10">
        <f>IF('Market Sizing'!AI15&gt;=stage2_gate,ad_impressions_base*'Market Sizing'!AI7*'Market Sizing'!AI15/1000*ad_cpm/1000,0)</f>
        <v>158.94467630471723</v>
      </c>
      <c r="AJ13" s="10">
        <f>IF('Market Sizing'!AJ15&gt;=stage2_gate,ad_impressions_base*'Market Sizing'!AJ7*'Market Sizing'!AJ15/1000*ad_cpm/1000,0)</f>
        <v>172.157399884564</v>
      </c>
      <c r="AK13" s="10">
        <f>IF('Market Sizing'!AK15&gt;=stage2_gate,ad_impressions_base*'Market Sizing'!AK7*'Market Sizing'!AK15/1000*ad_cpm/1000,0)</f>
        <v>184.34548599413492</v>
      </c>
      <c r="AL13" s="10">
        <f>IF('Market Sizing'!AL15&gt;=stage2_gate,ad_impressions_base*'Market Sizing'!AL7*'Market Sizing'!AL15/1000*ad_cpm/1000,0)</f>
        <v>195.33240388250456</v>
      </c>
      <c r="AM13" s="10">
        <f>IF('Market Sizing'!AM15&gt;=stage2_gate,ad_impressions_base*'Market Sizing'!AM7*'Market Sizing'!AM15/1000*ad_cpm/1000,0)</f>
        <v>205.25206476192665</v>
      </c>
      <c r="AN13" s="10">
        <f>IF('Market Sizing'!AN15&gt;=stage2_gate,ad_impressions_base*'Market Sizing'!AN7*'Market Sizing'!AN15/1000*ad_cpm/1000,0)</f>
        <v>213.86471110893908</v>
      </c>
      <c r="AO13" s="10">
        <f>IF('Market Sizing'!AO15&gt;=stage2_gate,ad_impressions_base*'Market Sizing'!AO7*'Market Sizing'!AO15/1000*ad_cpm/1000,0)</f>
        <v>221.21624748489572</v>
      </c>
      <c r="AP13" s="10">
        <f>IF('Market Sizing'!AP15&gt;=stage2_gate,ad_impressions_base*'Market Sizing'!AP7*'Market Sizing'!AP15/1000*ad_cpm/1000,0)</f>
        <v>227.62024030362068</v>
      </c>
      <c r="AQ13" s="10">
        <f>IF('Market Sizing'!AQ15&gt;=stage2_gate,ad_impressions_base*'Market Sizing'!AQ7*'Market Sizing'!AQ15/1000*ad_cpm/1000,0)</f>
        <v>232.96585222922195</v>
      </c>
      <c r="AR13" s="10">
        <f>IF('Market Sizing'!AR15&gt;=stage2_gate,ad_impressions_base*'Market Sizing'!AR7*'Market Sizing'!AR15/1000*ad_cpm/1000,0)</f>
        <v>237.15364060513753</v>
      </c>
    </row>
    <row r="14" spans="1:44" x14ac:dyDescent="0.3">
      <c r="A14" s="4" t="s">
        <v>473</v>
      </c>
      <c r="C14" s="9">
        <f t="shared" ref="C14:AR14" si="1">SUM(C11:C13)</f>
        <v>0</v>
      </c>
      <c r="D14" s="9">
        <f t="shared" si="1"/>
        <v>0</v>
      </c>
      <c r="E14" s="9">
        <f t="shared" si="1"/>
        <v>0</v>
      </c>
      <c r="F14" s="9">
        <f t="shared" si="1"/>
        <v>0</v>
      </c>
      <c r="G14" s="9">
        <f t="shared" si="1"/>
        <v>0</v>
      </c>
      <c r="H14" s="9">
        <f t="shared" si="1"/>
        <v>0</v>
      </c>
      <c r="I14" s="9">
        <f t="shared" si="1"/>
        <v>0</v>
      </c>
      <c r="J14" s="9">
        <f t="shared" si="1"/>
        <v>0</v>
      </c>
      <c r="K14" s="9">
        <f t="shared" si="1"/>
        <v>0</v>
      </c>
      <c r="L14" s="9">
        <f t="shared" si="1"/>
        <v>0</v>
      </c>
      <c r="M14" s="9">
        <f t="shared" si="1"/>
        <v>0</v>
      </c>
      <c r="N14" s="9">
        <f t="shared" si="1"/>
        <v>0</v>
      </c>
      <c r="O14" s="9">
        <f t="shared" si="1"/>
        <v>0</v>
      </c>
      <c r="P14" s="9">
        <f t="shared" si="1"/>
        <v>0</v>
      </c>
      <c r="Q14" s="9">
        <f t="shared" si="1"/>
        <v>0</v>
      </c>
      <c r="R14" s="9">
        <f t="shared" si="1"/>
        <v>0</v>
      </c>
      <c r="S14" s="9">
        <f t="shared" si="1"/>
        <v>3084.7762953680249</v>
      </c>
      <c r="T14" s="9">
        <f t="shared" si="1"/>
        <v>3091.3732584326553</v>
      </c>
      <c r="U14" s="9">
        <f t="shared" si="1"/>
        <v>3335.4227238187491</v>
      </c>
      <c r="V14" s="9">
        <f t="shared" si="1"/>
        <v>3342.4664987935903</v>
      </c>
      <c r="W14" s="9">
        <f t="shared" si="1"/>
        <v>3349.7195853710805</v>
      </c>
      <c r="X14" s="9">
        <f t="shared" si="1"/>
        <v>3356.7951732734637</v>
      </c>
      <c r="Y14" s="9">
        <f t="shared" si="1"/>
        <v>3364.4296621983858</v>
      </c>
      <c r="Z14" s="9">
        <f t="shared" si="1"/>
        <v>3372.2327152670928</v>
      </c>
      <c r="AA14" s="9">
        <f t="shared" si="1"/>
        <v>3379.8123447228509</v>
      </c>
      <c r="AB14" s="9">
        <f t="shared" si="1"/>
        <v>3387.9000300206621</v>
      </c>
      <c r="AC14" s="9">
        <f t="shared" si="1"/>
        <v>3395.7258674347618</v>
      </c>
      <c r="AD14" s="9">
        <f t="shared" si="1"/>
        <v>3404.0187492549221</v>
      </c>
      <c r="AE14" s="9">
        <f t="shared" si="1"/>
        <v>3412.3815695953058</v>
      </c>
      <c r="AF14" s="9">
        <f t="shared" si="1"/>
        <v>3420.4164528546676</v>
      </c>
      <c r="AG14" s="9">
        <f t="shared" si="1"/>
        <v>11045.403767054268</v>
      </c>
      <c r="AH14" s="9">
        <f t="shared" si="1"/>
        <v>11117.462509215611</v>
      </c>
      <c r="AI14" s="9">
        <f t="shared" si="1"/>
        <v>11187.34738152359</v>
      </c>
      <c r="AJ14" s="9">
        <f t="shared" si="1"/>
        <v>11253.410999422822</v>
      </c>
      <c r="AK14" s="9">
        <f t="shared" si="1"/>
        <v>12145.761349970679</v>
      </c>
      <c r="AL14" s="9">
        <f t="shared" si="1"/>
        <v>12200.695939412526</v>
      </c>
      <c r="AM14" s="9">
        <f t="shared" si="1"/>
        <v>12250.294243809636</v>
      </c>
      <c r="AN14" s="9">
        <f t="shared" si="1"/>
        <v>12293.357475544699</v>
      </c>
      <c r="AO14" s="9">
        <f t="shared" si="1"/>
        <v>13228.037871024482</v>
      </c>
      <c r="AP14" s="9">
        <f t="shared" si="1"/>
        <v>13260.057835118107</v>
      </c>
      <c r="AQ14" s="9">
        <f t="shared" si="1"/>
        <v>13286.785894746114</v>
      </c>
      <c r="AR14" s="9">
        <f t="shared" si="1"/>
        <v>13307.724836625694</v>
      </c>
    </row>
    <row r="16" spans="1:44" x14ac:dyDescent="0.3">
      <c r="A16" s="4" t="s">
        <v>474</v>
      </c>
      <c r="C16" s="9">
        <f t="shared" ref="C16:AR16" si="2">C8+C14</f>
        <v>376.63038635148246</v>
      </c>
      <c r="D16" s="9">
        <f t="shared" si="2"/>
        <v>396.38803996370706</v>
      </c>
      <c r="E16" s="9">
        <f t="shared" si="2"/>
        <v>424.349110389364</v>
      </c>
      <c r="F16" s="9">
        <f t="shared" si="2"/>
        <v>453.99839485316721</v>
      </c>
      <c r="G16" s="9">
        <f t="shared" si="2"/>
        <v>485.40243150693203</v>
      </c>
      <c r="H16" s="9">
        <f t="shared" si="2"/>
        <v>515.33374878145651</v>
      </c>
      <c r="I16" s="9">
        <f t="shared" si="2"/>
        <v>567.85558946948777</v>
      </c>
      <c r="J16" s="9">
        <f t="shared" si="2"/>
        <v>606.06762897444162</v>
      </c>
      <c r="K16" s="9">
        <f t="shared" si="2"/>
        <v>646.33146952462255</v>
      </c>
      <c r="L16" s="9">
        <f t="shared" si="2"/>
        <v>688.6944376497587</v>
      </c>
      <c r="M16" s="9">
        <f t="shared" si="2"/>
        <v>729.80067617752729</v>
      </c>
      <c r="N16" s="9">
        <f t="shared" si="2"/>
        <v>776.4733382989391</v>
      </c>
      <c r="O16" s="9">
        <f t="shared" si="2"/>
        <v>825.33843175552715</v>
      </c>
      <c r="P16" s="9">
        <f t="shared" si="2"/>
        <v>876.40700126447962</v>
      </c>
      <c r="Q16" s="9">
        <f t="shared" si="2"/>
        <v>926.28234057488567</v>
      </c>
      <c r="R16" s="9">
        <f t="shared" si="2"/>
        <v>981.74226184774807</v>
      </c>
      <c r="S16" s="9">
        <f t="shared" si="2"/>
        <v>4124.1394145340273</v>
      </c>
      <c r="T16" s="9">
        <f t="shared" si="2"/>
        <v>4190.4755431283693</v>
      </c>
      <c r="U16" s="9">
        <f t="shared" si="2"/>
        <v>4530.2101284023265</v>
      </c>
      <c r="V16" s="9">
        <f t="shared" si="2"/>
        <v>4603.0936333503323</v>
      </c>
      <c r="W16" s="9">
        <f t="shared" si="2"/>
        <v>4678.1429319646459</v>
      </c>
      <c r="X16" s="9">
        <f t="shared" si="2"/>
        <v>4751.3556123434701</v>
      </c>
      <c r="Y16" s="9">
        <f t="shared" si="2"/>
        <v>4830.351365802735</v>
      </c>
      <c r="Z16" s="9">
        <f t="shared" si="2"/>
        <v>4911.0912899164423</v>
      </c>
      <c r="AA16" s="9">
        <f t="shared" si="2"/>
        <v>4989.5194002572689</v>
      </c>
      <c r="AB16" s="9">
        <f t="shared" si="2"/>
        <v>5073.2044772971203</v>
      </c>
      <c r="AC16" s="9">
        <f t="shared" si="2"/>
        <v>5154.1801560957911</v>
      </c>
      <c r="AD16" s="9">
        <f t="shared" si="2"/>
        <v>5239.9884471516143</v>
      </c>
      <c r="AE16" s="9">
        <f t="shared" si="2"/>
        <v>5326.5204076180871</v>
      </c>
      <c r="AF16" s="9">
        <f t="shared" si="2"/>
        <v>5409.6591302323168</v>
      </c>
      <c r="AG16" s="9">
        <f t="shared" si="2"/>
        <v>17346.995115541307</v>
      </c>
      <c r="AH16" s="9">
        <f t="shared" si="2"/>
        <v>18114.670923525446</v>
      </c>
      <c r="AI16" s="9">
        <f t="shared" si="2"/>
        <v>18859.187469412042</v>
      </c>
      <c r="AJ16" s="9">
        <f t="shared" si="2"/>
        <v>19562.994387601033</v>
      </c>
      <c r="AK16" s="9">
        <f t="shared" si="2"/>
        <v>21340.024468352807</v>
      </c>
      <c r="AL16" s="9">
        <f t="shared" si="2"/>
        <v>21942.933494928118</v>
      </c>
      <c r="AM16" s="9">
        <f t="shared" si="2"/>
        <v>22487.276607849748</v>
      </c>
      <c r="AN16" s="9">
        <f t="shared" si="2"/>
        <v>22959.897071393156</v>
      </c>
      <c r="AO16" s="9">
        <f t="shared" si="2"/>
        <v>24634.694580236952</v>
      </c>
      <c r="AP16" s="9">
        <f t="shared" si="2"/>
        <v>24996.926038657843</v>
      </c>
      <c r="AQ16" s="9">
        <f t="shared" si="2"/>
        <v>25299.291899890675</v>
      </c>
      <c r="AR16" s="9">
        <f t="shared" si="2"/>
        <v>25536.167351488701</v>
      </c>
    </row>
    <row r="18" spans="1:44" x14ac:dyDescent="0.3">
      <c r="A18" s="30" t="s">
        <v>116</v>
      </c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</row>
    <row r="19" spans="1:44" x14ac:dyDescent="0.3">
      <c r="A19" s="4" t="s">
        <v>475</v>
      </c>
      <c r="B19" s="4" t="s">
        <v>218</v>
      </c>
      <c r="C19" s="10">
        <f t="shared" ref="C19:AR19" si="3">C11*payment_proc_pct</f>
        <v>0</v>
      </c>
      <c r="D19" s="10">
        <f t="shared" si="3"/>
        <v>0</v>
      </c>
      <c r="E19" s="10">
        <f t="shared" si="3"/>
        <v>0</v>
      </c>
      <c r="F19" s="10">
        <f t="shared" si="3"/>
        <v>0</v>
      </c>
      <c r="G19" s="10">
        <f t="shared" si="3"/>
        <v>0</v>
      </c>
      <c r="H19" s="10">
        <f t="shared" si="3"/>
        <v>0</v>
      </c>
      <c r="I19" s="10">
        <f t="shared" si="3"/>
        <v>0</v>
      </c>
      <c r="J19" s="10">
        <f t="shared" si="3"/>
        <v>0</v>
      </c>
      <c r="K19" s="10">
        <f t="shared" si="3"/>
        <v>0</v>
      </c>
      <c r="L19" s="10">
        <f t="shared" si="3"/>
        <v>0</v>
      </c>
      <c r="M19" s="10">
        <f t="shared" si="3"/>
        <v>0</v>
      </c>
      <c r="N19" s="10">
        <f t="shared" si="3"/>
        <v>0</v>
      </c>
      <c r="O19" s="10">
        <f t="shared" si="3"/>
        <v>0</v>
      </c>
      <c r="P19" s="10">
        <f t="shared" si="3"/>
        <v>0</v>
      </c>
      <c r="Q19" s="10">
        <f t="shared" si="3"/>
        <v>0</v>
      </c>
      <c r="R19" s="10">
        <f t="shared" si="3"/>
        <v>0</v>
      </c>
      <c r="S19" s="10">
        <f t="shared" si="3"/>
        <v>74.25</v>
      </c>
      <c r="T19" s="10">
        <f t="shared" si="3"/>
        <v>74.25</v>
      </c>
      <c r="U19" s="10">
        <f t="shared" si="3"/>
        <v>80.190000000000026</v>
      </c>
      <c r="V19" s="10">
        <f t="shared" si="3"/>
        <v>80.190000000000026</v>
      </c>
      <c r="W19" s="10">
        <f t="shared" si="3"/>
        <v>80.190000000000026</v>
      </c>
      <c r="X19" s="10">
        <f t="shared" si="3"/>
        <v>80.190000000000026</v>
      </c>
      <c r="Y19" s="10">
        <f t="shared" si="3"/>
        <v>80.190000000000026</v>
      </c>
      <c r="Z19" s="10">
        <f t="shared" si="3"/>
        <v>80.190000000000026</v>
      </c>
      <c r="AA19" s="10">
        <f t="shared" si="3"/>
        <v>80.190000000000026</v>
      </c>
      <c r="AB19" s="10">
        <f t="shared" si="3"/>
        <v>80.190000000000026</v>
      </c>
      <c r="AC19" s="10">
        <f t="shared" si="3"/>
        <v>80.190000000000026</v>
      </c>
      <c r="AD19" s="10">
        <f t="shared" si="3"/>
        <v>80.190000000000026</v>
      </c>
      <c r="AE19" s="10">
        <f t="shared" si="3"/>
        <v>80.190000000000026</v>
      </c>
      <c r="AF19" s="10">
        <f t="shared" si="3"/>
        <v>80.190000000000026</v>
      </c>
      <c r="AG19" s="10">
        <f t="shared" si="3"/>
        <v>259.81560000000007</v>
      </c>
      <c r="AH19" s="10">
        <f t="shared" si="3"/>
        <v>259.81560000000007</v>
      </c>
      <c r="AI19" s="10">
        <f t="shared" si="3"/>
        <v>259.81560000000007</v>
      </c>
      <c r="AJ19" s="10">
        <f t="shared" si="3"/>
        <v>259.81560000000007</v>
      </c>
      <c r="AK19" s="10">
        <f t="shared" si="3"/>
        <v>280.6008480000001</v>
      </c>
      <c r="AL19" s="10">
        <f t="shared" si="3"/>
        <v>280.6008480000001</v>
      </c>
      <c r="AM19" s="10">
        <f t="shared" si="3"/>
        <v>280.6008480000001</v>
      </c>
      <c r="AN19" s="10">
        <f t="shared" si="3"/>
        <v>280.6008480000001</v>
      </c>
      <c r="AO19" s="10">
        <f t="shared" si="3"/>
        <v>303.04891584000012</v>
      </c>
      <c r="AP19" s="10">
        <f t="shared" si="3"/>
        <v>303.04891584000012</v>
      </c>
      <c r="AQ19" s="10">
        <f t="shared" si="3"/>
        <v>303.04891584000012</v>
      </c>
      <c r="AR19" s="10">
        <f t="shared" si="3"/>
        <v>303.04891584000012</v>
      </c>
    </row>
    <row r="20" spans="1:44" x14ac:dyDescent="0.3">
      <c r="A20" s="4" t="s">
        <v>476</v>
      </c>
      <c r="C20" s="9">
        <f t="shared" ref="C20:AR20" si="4">C19</f>
        <v>0</v>
      </c>
      <c r="D20" s="9">
        <f t="shared" si="4"/>
        <v>0</v>
      </c>
      <c r="E20" s="9">
        <f t="shared" si="4"/>
        <v>0</v>
      </c>
      <c r="F20" s="9">
        <f t="shared" si="4"/>
        <v>0</v>
      </c>
      <c r="G20" s="9">
        <f t="shared" si="4"/>
        <v>0</v>
      </c>
      <c r="H20" s="9">
        <f t="shared" si="4"/>
        <v>0</v>
      </c>
      <c r="I20" s="9">
        <f t="shared" si="4"/>
        <v>0</v>
      </c>
      <c r="J20" s="9">
        <f t="shared" si="4"/>
        <v>0</v>
      </c>
      <c r="K20" s="9">
        <f t="shared" si="4"/>
        <v>0</v>
      </c>
      <c r="L20" s="9">
        <f t="shared" si="4"/>
        <v>0</v>
      </c>
      <c r="M20" s="9">
        <f t="shared" si="4"/>
        <v>0</v>
      </c>
      <c r="N20" s="9">
        <f t="shared" si="4"/>
        <v>0</v>
      </c>
      <c r="O20" s="9">
        <f t="shared" si="4"/>
        <v>0</v>
      </c>
      <c r="P20" s="9">
        <f t="shared" si="4"/>
        <v>0</v>
      </c>
      <c r="Q20" s="9">
        <f t="shared" si="4"/>
        <v>0</v>
      </c>
      <c r="R20" s="9">
        <f t="shared" si="4"/>
        <v>0</v>
      </c>
      <c r="S20" s="9">
        <f t="shared" si="4"/>
        <v>74.25</v>
      </c>
      <c r="T20" s="9">
        <f t="shared" si="4"/>
        <v>74.25</v>
      </c>
      <c r="U20" s="9">
        <f t="shared" si="4"/>
        <v>80.190000000000026</v>
      </c>
      <c r="V20" s="9">
        <f t="shared" si="4"/>
        <v>80.190000000000026</v>
      </c>
      <c r="W20" s="9">
        <f t="shared" si="4"/>
        <v>80.190000000000026</v>
      </c>
      <c r="X20" s="9">
        <f t="shared" si="4"/>
        <v>80.190000000000026</v>
      </c>
      <c r="Y20" s="9">
        <f t="shared" si="4"/>
        <v>80.190000000000026</v>
      </c>
      <c r="Z20" s="9">
        <f t="shared" si="4"/>
        <v>80.190000000000026</v>
      </c>
      <c r="AA20" s="9">
        <f t="shared" si="4"/>
        <v>80.190000000000026</v>
      </c>
      <c r="AB20" s="9">
        <f t="shared" si="4"/>
        <v>80.190000000000026</v>
      </c>
      <c r="AC20" s="9">
        <f t="shared" si="4"/>
        <v>80.190000000000026</v>
      </c>
      <c r="AD20" s="9">
        <f t="shared" si="4"/>
        <v>80.190000000000026</v>
      </c>
      <c r="AE20" s="9">
        <f t="shared" si="4"/>
        <v>80.190000000000026</v>
      </c>
      <c r="AF20" s="9">
        <f t="shared" si="4"/>
        <v>80.190000000000026</v>
      </c>
      <c r="AG20" s="9">
        <f t="shared" si="4"/>
        <v>259.81560000000007</v>
      </c>
      <c r="AH20" s="9">
        <f t="shared" si="4"/>
        <v>259.81560000000007</v>
      </c>
      <c r="AI20" s="9">
        <f t="shared" si="4"/>
        <v>259.81560000000007</v>
      </c>
      <c r="AJ20" s="9">
        <f t="shared" si="4"/>
        <v>259.81560000000007</v>
      </c>
      <c r="AK20" s="9">
        <f t="shared" si="4"/>
        <v>280.6008480000001</v>
      </c>
      <c r="AL20" s="9">
        <f t="shared" si="4"/>
        <v>280.6008480000001</v>
      </c>
      <c r="AM20" s="9">
        <f t="shared" si="4"/>
        <v>280.6008480000001</v>
      </c>
      <c r="AN20" s="9">
        <f t="shared" si="4"/>
        <v>280.6008480000001</v>
      </c>
      <c r="AO20" s="9">
        <f t="shared" si="4"/>
        <v>303.04891584000012</v>
      </c>
      <c r="AP20" s="9">
        <f t="shared" si="4"/>
        <v>303.04891584000012</v>
      </c>
      <c r="AQ20" s="9">
        <f t="shared" si="4"/>
        <v>303.04891584000012</v>
      </c>
      <c r="AR20" s="9">
        <f t="shared" si="4"/>
        <v>303.04891584000012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6600"/>
  </sheetPr>
  <dimension ref="A1:AR24"/>
  <sheetViews>
    <sheetView workbookViewId="0"/>
  </sheetViews>
  <sheetFormatPr defaultRowHeight="14.4" x14ac:dyDescent="0.3"/>
  <cols>
    <col min="1" max="1" width="38" style="29" customWidth="1"/>
    <col min="2" max="2" width="10" style="29" customWidth="1"/>
    <col min="3" max="44" width="11" style="29" customWidth="1"/>
  </cols>
  <sheetData>
    <row r="1" spans="1:44" x14ac:dyDescent="0.3">
      <c r="A1" s="30" t="s">
        <v>477</v>
      </c>
    </row>
    <row r="3" spans="1:44" x14ac:dyDescent="0.3">
      <c r="A3" s="3" t="s">
        <v>463</v>
      </c>
      <c r="B3" s="3" t="s">
        <v>188</v>
      </c>
      <c r="C3" s="3" t="s">
        <v>382</v>
      </c>
      <c r="D3" s="3" t="s">
        <v>383</v>
      </c>
      <c r="E3" s="3" t="s">
        <v>384</v>
      </c>
      <c r="F3" s="3" t="s">
        <v>385</v>
      </c>
      <c r="G3" s="3" t="s">
        <v>386</v>
      </c>
      <c r="H3" s="3" t="s">
        <v>387</v>
      </c>
      <c r="I3" s="3" t="s">
        <v>388</v>
      </c>
      <c r="J3" s="3" t="s">
        <v>389</v>
      </c>
      <c r="K3" s="3" t="s">
        <v>390</v>
      </c>
      <c r="L3" s="3" t="s">
        <v>391</v>
      </c>
      <c r="M3" s="3" t="s">
        <v>392</v>
      </c>
      <c r="N3" s="3" t="s">
        <v>393</v>
      </c>
      <c r="O3" s="3" t="s">
        <v>394</v>
      </c>
      <c r="P3" s="3" t="s">
        <v>395</v>
      </c>
      <c r="Q3" s="3" t="s">
        <v>396</v>
      </c>
      <c r="R3" s="3" t="s">
        <v>397</v>
      </c>
      <c r="S3" s="3" t="s">
        <v>398</v>
      </c>
      <c r="T3" s="3" t="s">
        <v>399</v>
      </c>
      <c r="U3" s="3" t="s">
        <v>400</v>
      </c>
      <c r="V3" s="3" t="s">
        <v>401</v>
      </c>
      <c r="W3" s="3" t="s">
        <v>402</v>
      </c>
      <c r="X3" s="3" t="s">
        <v>403</v>
      </c>
      <c r="Y3" s="3" t="s">
        <v>404</v>
      </c>
      <c r="Z3" s="3" t="s">
        <v>405</v>
      </c>
      <c r="AA3" s="3" t="s">
        <v>406</v>
      </c>
      <c r="AB3" s="3" t="s">
        <v>407</v>
      </c>
      <c r="AC3" s="3" t="s">
        <v>408</v>
      </c>
      <c r="AD3" s="3" t="s">
        <v>409</v>
      </c>
      <c r="AE3" s="3" t="s">
        <v>410</v>
      </c>
      <c r="AF3" s="3" t="s">
        <v>411</v>
      </c>
      <c r="AG3" s="3" t="s">
        <v>412</v>
      </c>
      <c r="AH3" s="3" t="s">
        <v>413</v>
      </c>
      <c r="AI3" s="3" t="s">
        <v>414</v>
      </c>
      <c r="AJ3" s="3" t="s">
        <v>415</v>
      </c>
      <c r="AK3" s="3" t="s">
        <v>416</v>
      </c>
      <c r="AL3" s="3" t="s">
        <v>417</v>
      </c>
      <c r="AM3" s="3" t="s">
        <v>418</v>
      </c>
      <c r="AN3" s="3" t="s">
        <v>419</v>
      </c>
      <c r="AO3" s="3" t="s">
        <v>420</v>
      </c>
      <c r="AP3" s="3" t="s">
        <v>421</v>
      </c>
      <c r="AQ3" s="3" t="s">
        <v>422</v>
      </c>
      <c r="AR3" s="3" t="s">
        <v>423</v>
      </c>
    </row>
    <row r="4" spans="1:44" x14ac:dyDescent="0.3">
      <c r="A4" s="30" t="s">
        <v>110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</row>
    <row r="5" spans="1:44" x14ac:dyDescent="0.3">
      <c r="A5" s="4" t="s">
        <v>478</v>
      </c>
      <c r="B5" s="4" t="s">
        <v>218</v>
      </c>
      <c r="C5" s="10">
        <f t="shared" ref="C5:H5" si="0">capex_total/6</f>
        <v>880</v>
      </c>
      <c r="D5" s="10">
        <f t="shared" si="0"/>
        <v>880</v>
      </c>
      <c r="E5" s="10">
        <f t="shared" si="0"/>
        <v>880</v>
      </c>
      <c r="F5" s="10">
        <f t="shared" si="0"/>
        <v>880</v>
      </c>
      <c r="G5" s="10">
        <f t="shared" si="0"/>
        <v>880</v>
      </c>
      <c r="H5" s="10">
        <f t="shared" si="0"/>
        <v>880</v>
      </c>
      <c r="I5" s="10">
        <f>0</f>
        <v>0</v>
      </c>
      <c r="J5" s="10">
        <f>0</f>
        <v>0</v>
      </c>
      <c r="K5" s="10">
        <f>0</f>
        <v>0</v>
      </c>
      <c r="L5" s="10">
        <f>0</f>
        <v>0</v>
      </c>
      <c r="M5" s="10">
        <f>0</f>
        <v>0</v>
      </c>
      <c r="N5" s="10">
        <f>0</f>
        <v>0</v>
      </c>
      <c r="O5" s="10">
        <f>0</f>
        <v>0</v>
      </c>
      <c r="P5" s="10">
        <f>0</f>
        <v>0</v>
      </c>
      <c r="Q5" s="10">
        <f>0</f>
        <v>0</v>
      </c>
      <c r="R5" s="10">
        <f>0</f>
        <v>0</v>
      </c>
      <c r="S5" s="10">
        <f>0</f>
        <v>0</v>
      </c>
      <c r="T5" s="10">
        <f>0</f>
        <v>0</v>
      </c>
      <c r="U5" s="10">
        <f>0</f>
        <v>0</v>
      </c>
      <c r="V5" s="10">
        <f>0</f>
        <v>0</v>
      </c>
      <c r="W5" s="10">
        <f>0</f>
        <v>0</v>
      </c>
      <c r="X5" s="10">
        <f>0</f>
        <v>0</v>
      </c>
      <c r="Y5" s="10">
        <f>0</f>
        <v>0</v>
      </c>
      <c r="Z5" s="10">
        <f>0</f>
        <v>0</v>
      </c>
      <c r="AA5" s="10">
        <f>0</f>
        <v>0</v>
      </c>
      <c r="AB5" s="10">
        <f>0</f>
        <v>0</v>
      </c>
      <c r="AC5" s="10">
        <f>0</f>
        <v>0</v>
      </c>
      <c r="AD5" s="10">
        <f>0</f>
        <v>0</v>
      </c>
      <c r="AE5" s="10">
        <f>0</f>
        <v>0</v>
      </c>
      <c r="AF5" s="10">
        <f>0</f>
        <v>0</v>
      </c>
      <c r="AG5" s="10">
        <f>0</f>
        <v>0</v>
      </c>
      <c r="AH5" s="10">
        <f>0</f>
        <v>0</v>
      </c>
      <c r="AI5" s="10">
        <f>0</f>
        <v>0</v>
      </c>
      <c r="AJ5" s="10">
        <f>0</f>
        <v>0</v>
      </c>
      <c r="AK5" s="10">
        <f>0</f>
        <v>0</v>
      </c>
      <c r="AL5" s="10">
        <f>0</f>
        <v>0</v>
      </c>
      <c r="AM5" s="10">
        <f>0</f>
        <v>0</v>
      </c>
      <c r="AN5" s="10">
        <f>0</f>
        <v>0</v>
      </c>
      <c r="AO5" s="10">
        <f>0</f>
        <v>0</v>
      </c>
      <c r="AP5" s="10">
        <f>0</f>
        <v>0</v>
      </c>
      <c r="AQ5" s="10">
        <f>0</f>
        <v>0</v>
      </c>
      <c r="AR5" s="10">
        <f>0</f>
        <v>0</v>
      </c>
    </row>
    <row r="6" spans="1:44" x14ac:dyDescent="0.3">
      <c r="A6" s="4" t="s">
        <v>479</v>
      </c>
      <c r="B6" s="4" t="s">
        <v>218</v>
      </c>
      <c r="C6" s="10">
        <f>0</f>
        <v>0</v>
      </c>
      <c r="D6" s="10">
        <f>0</f>
        <v>0</v>
      </c>
      <c r="E6" s="10">
        <f>0</f>
        <v>0</v>
      </c>
      <c r="F6" s="10">
        <f>0</f>
        <v>0</v>
      </c>
      <c r="G6" s="10">
        <f>0</f>
        <v>0</v>
      </c>
      <c r="H6" s="10">
        <f>0</f>
        <v>0</v>
      </c>
      <c r="I6" s="10">
        <f>capex_total*capex_maintenance_pct/'Market Sizing'!I6</f>
        <v>79.2</v>
      </c>
      <c r="J6" s="10">
        <f>capex_total*capex_maintenance_pct/'Market Sizing'!J6</f>
        <v>79.2</v>
      </c>
      <c r="K6" s="10">
        <f>capex_total*capex_maintenance_pct/'Market Sizing'!K6</f>
        <v>79.2</v>
      </c>
      <c r="L6" s="10">
        <f>capex_total*capex_maintenance_pct/'Market Sizing'!L6</f>
        <v>79.2</v>
      </c>
      <c r="M6" s="10">
        <f>capex_total*capex_maintenance_pct/'Market Sizing'!M6</f>
        <v>79.2</v>
      </c>
      <c r="N6" s="10">
        <f>capex_total*capex_maintenance_pct/'Market Sizing'!N6</f>
        <v>79.2</v>
      </c>
      <c r="O6" s="10">
        <f>capex_total*capex_maintenance_pct/'Market Sizing'!O6</f>
        <v>79.2</v>
      </c>
      <c r="P6" s="10">
        <f>capex_total*capex_maintenance_pct/'Market Sizing'!P6</f>
        <v>79.2</v>
      </c>
      <c r="Q6" s="10">
        <f>capex_total*capex_maintenance_pct/'Market Sizing'!Q6</f>
        <v>79.2</v>
      </c>
      <c r="R6" s="10">
        <f>capex_total*capex_maintenance_pct/'Market Sizing'!R6</f>
        <v>79.2</v>
      </c>
      <c r="S6" s="10">
        <f>capex_total*capex_maintenance_pct/'Market Sizing'!S6</f>
        <v>79.2</v>
      </c>
      <c r="T6" s="10">
        <f>capex_total*capex_maintenance_pct/'Market Sizing'!T6</f>
        <v>79.2</v>
      </c>
      <c r="U6" s="10">
        <f>capex_total*capex_maintenance_pct/'Market Sizing'!U6</f>
        <v>79.2</v>
      </c>
      <c r="V6" s="10">
        <f>capex_total*capex_maintenance_pct/'Market Sizing'!V6</f>
        <v>79.2</v>
      </c>
      <c r="W6" s="10">
        <f>capex_total*capex_maintenance_pct/'Market Sizing'!W6</f>
        <v>79.2</v>
      </c>
      <c r="X6" s="10">
        <f>capex_total*capex_maintenance_pct/'Market Sizing'!X6</f>
        <v>79.2</v>
      </c>
      <c r="Y6" s="10">
        <f>capex_total*capex_maintenance_pct/'Market Sizing'!Y6</f>
        <v>79.2</v>
      </c>
      <c r="Z6" s="10">
        <f>capex_total*capex_maintenance_pct/'Market Sizing'!Z6</f>
        <v>79.2</v>
      </c>
      <c r="AA6" s="10">
        <f>capex_total*capex_maintenance_pct/'Market Sizing'!AA6</f>
        <v>79.2</v>
      </c>
      <c r="AB6" s="10">
        <f>capex_total*capex_maintenance_pct/'Market Sizing'!AB6</f>
        <v>79.2</v>
      </c>
      <c r="AC6" s="10">
        <f>capex_total*capex_maintenance_pct/'Market Sizing'!AC6</f>
        <v>79.2</v>
      </c>
      <c r="AD6" s="10">
        <f>capex_total*capex_maintenance_pct/'Market Sizing'!AD6</f>
        <v>79.2</v>
      </c>
      <c r="AE6" s="10">
        <f>capex_total*capex_maintenance_pct/'Market Sizing'!AE6</f>
        <v>79.2</v>
      </c>
      <c r="AF6" s="10">
        <f>capex_total*capex_maintenance_pct/'Market Sizing'!AF6</f>
        <v>79.2</v>
      </c>
      <c r="AG6" s="10">
        <f>capex_total*capex_maintenance_pct/'Market Sizing'!AG6</f>
        <v>237.6</v>
      </c>
      <c r="AH6" s="10">
        <f>capex_total*capex_maintenance_pct/'Market Sizing'!AH6</f>
        <v>237.6</v>
      </c>
      <c r="AI6" s="10">
        <f>capex_total*capex_maintenance_pct/'Market Sizing'!AI6</f>
        <v>237.6</v>
      </c>
      <c r="AJ6" s="10">
        <f>capex_total*capex_maintenance_pct/'Market Sizing'!AJ6</f>
        <v>237.6</v>
      </c>
      <c r="AK6" s="10">
        <f>capex_total*capex_maintenance_pct/'Market Sizing'!AK6</f>
        <v>237.6</v>
      </c>
      <c r="AL6" s="10">
        <f>capex_total*capex_maintenance_pct/'Market Sizing'!AL6</f>
        <v>237.6</v>
      </c>
      <c r="AM6" s="10">
        <f>capex_total*capex_maintenance_pct/'Market Sizing'!AM6</f>
        <v>237.6</v>
      </c>
      <c r="AN6" s="10">
        <f>capex_total*capex_maintenance_pct/'Market Sizing'!AN6</f>
        <v>237.6</v>
      </c>
      <c r="AO6" s="10">
        <f>capex_total*capex_maintenance_pct/'Market Sizing'!AO6</f>
        <v>237.6</v>
      </c>
      <c r="AP6" s="10">
        <f>capex_total*capex_maintenance_pct/'Market Sizing'!AP6</f>
        <v>237.6</v>
      </c>
      <c r="AQ6" s="10">
        <f>capex_total*capex_maintenance_pct/'Market Sizing'!AQ6</f>
        <v>237.6</v>
      </c>
      <c r="AR6" s="10">
        <f>capex_total*capex_maintenance_pct/'Market Sizing'!AR6</f>
        <v>237.6</v>
      </c>
    </row>
    <row r="7" spans="1:44" x14ac:dyDescent="0.3">
      <c r="A7" s="4" t="s">
        <v>480</v>
      </c>
      <c r="C7" s="9">
        <f t="shared" ref="C7:AR7" si="1">C5+C6</f>
        <v>880</v>
      </c>
      <c r="D7" s="9">
        <f t="shared" si="1"/>
        <v>880</v>
      </c>
      <c r="E7" s="9">
        <f t="shared" si="1"/>
        <v>880</v>
      </c>
      <c r="F7" s="9">
        <f t="shared" si="1"/>
        <v>880</v>
      </c>
      <c r="G7" s="9">
        <f t="shared" si="1"/>
        <v>880</v>
      </c>
      <c r="H7" s="9">
        <f t="shared" si="1"/>
        <v>880</v>
      </c>
      <c r="I7" s="9">
        <f t="shared" si="1"/>
        <v>79.2</v>
      </c>
      <c r="J7" s="9">
        <f t="shared" si="1"/>
        <v>79.2</v>
      </c>
      <c r="K7" s="9">
        <f t="shared" si="1"/>
        <v>79.2</v>
      </c>
      <c r="L7" s="9">
        <f t="shared" si="1"/>
        <v>79.2</v>
      </c>
      <c r="M7" s="9">
        <f t="shared" si="1"/>
        <v>79.2</v>
      </c>
      <c r="N7" s="9">
        <f t="shared" si="1"/>
        <v>79.2</v>
      </c>
      <c r="O7" s="9">
        <f t="shared" si="1"/>
        <v>79.2</v>
      </c>
      <c r="P7" s="9">
        <f t="shared" si="1"/>
        <v>79.2</v>
      </c>
      <c r="Q7" s="9">
        <f t="shared" si="1"/>
        <v>79.2</v>
      </c>
      <c r="R7" s="9">
        <f t="shared" si="1"/>
        <v>79.2</v>
      </c>
      <c r="S7" s="9">
        <f t="shared" si="1"/>
        <v>79.2</v>
      </c>
      <c r="T7" s="9">
        <f t="shared" si="1"/>
        <v>79.2</v>
      </c>
      <c r="U7" s="9">
        <f t="shared" si="1"/>
        <v>79.2</v>
      </c>
      <c r="V7" s="9">
        <f t="shared" si="1"/>
        <v>79.2</v>
      </c>
      <c r="W7" s="9">
        <f t="shared" si="1"/>
        <v>79.2</v>
      </c>
      <c r="X7" s="9">
        <f t="shared" si="1"/>
        <v>79.2</v>
      </c>
      <c r="Y7" s="9">
        <f t="shared" si="1"/>
        <v>79.2</v>
      </c>
      <c r="Z7" s="9">
        <f t="shared" si="1"/>
        <v>79.2</v>
      </c>
      <c r="AA7" s="9">
        <f t="shared" si="1"/>
        <v>79.2</v>
      </c>
      <c r="AB7" s="9">
        <f t="shared" si="1"/>
        <v>79.2</v>
      </c>
      <c r="AC7" s="9">
        <f t="shared" si="1"/>
        <v>79.2</v>
      </c>
      <c r="AD7" s="9">
        <f t="shared" si="1"/>
        <v>79.2</v>
      </c>
      <c r="AE7" s="9">
        <f t="shared" si="1"/>
        <v>79.2</v>
      </c>
      <c r="AF7" s="9">
        <f t="shared" si="1"/>
        <v>79.2</v>
      </c>
      <c r="AG7" s="9">
        <f t="shared" si="1"/>
        <v>237.6</v>
      </c>
      <c r="AH7" s="9">
        <f t="shared" si="1"/>
        <v>237.6</v>
      </c>
      <c r="AI7" s="9">
        <f t="shared" si="1"/>
        <v>237.6</v>
      </c>
      <c r="AJ7" s="9">
        <f t="shared" si="1"/>
        <v>237.6</v>
      </c>
      <c r="AK7" s="9">
        <f t="shared" si="1"/>
        <v>237.6</v>
      </c>
      <c r="AL7" s="9">
        <f t="shared" si="1"/>
        <v>237.6</v>
      </c>
      <c r="AM7" s="9">
        <f t="shared" si="1"/>
        <v>237.6</v>
      </c>
      <c r="AN7" s="9">
        <f t="shared" si="1"/>
        <v>237.6</v>
      </c>
      <c r="AO7" s="9">
        <f t="shared" si="1"/>
        <v>237.6</v>
      </c>
      <c r="AP7" s="9">
        <f t="shared" si="1"/>
        <v>237.6</v>
      </c>
      <c r="AQ7" s="9">
        <f t="shared" si="1"/>
        <v>237.6</v>
      </c>
      <c r="AR7" s="9">
        <f t="shared" si="1"/>
        <v>237.6</v>
      </c>
    </row>
    <row r="9" spans="1:44" x14ac:dyDescent="0.3">
      <c r="A9" s="30" t="s">
        <v>113</v>
      </c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</row>
    <row r="10" spans="1:44" x14ac:dyDescent="0.3">
      <c r="A10" s="4" t="s">
        <v>481</v>
      </c>
      <c r="B10" s="4" t="s">
        <v>218</v>
      </c>
      <c r="C10" s="10">
        <f>'HR Plan'!C21</f>
        <v>1820.25</v>
      </c>
      <c r="D10" s="10">
        <f>'HR Plan'!D21</f>
        <v>668.25</v>
      </c>
      <c r="E10" s="10">
        <f>'HR Plan'!E21</f>
        <v>668.25</v>
      </c>
      <c r="F10" s="10">
        <f>'HR Plan'!F21</f>
        <v>668.25</v>
      </c>
      <c r="G10" s="10">
        <f>'HR Plan'!G21</f>
        <v>668.25</v>
      </c>
      <c r="H10" s="10">
        <f>'HR Plan'!H21</f>
        <v>668.25</v>
      </c>
      <c r="I10" s="10">
        <f>'HR Plan'!I21</f>
        <v>1380.9150000000002</v>
      </c>
      <c r="J10" s="10">
        <f>'HR Plan'!J21</f>
        <v>948.91500000000019</v>
      </c>
      <c r="K10" s="10">
        <f>'HR Plan'!K21</f>
        <v>948.91500000000019</v>
      </c>
      <c r="L10" s="10">
        <f>'HR Plan'!L21</f>
        <v>948.91500000000019</v>
      </c>
      <c r="M10" s="10">
        <f>'HR Plan'!M21</f>
        <v>948.91500000000019</v>
      </c>
      <c r="N10" s="10">
        <f>'HR Plan'!N21</f>
        <v>948.91500000000019</v>
      </c>
      <c r="O10" s="10">
        <f>'HR Plan'!O21</f>
        <v>948.91500000000019</v>
      </c>
      <c r="P10" s="10">
        <f>'HR Plan'!P21</f>
        <v>948.91500000000019</v>
      </c>
      <c r="Q10" s="10">
        <f>'HR Plan'!Q21</f>
        <v>948.91500000000019</v>
      </c>
      <c r="R10" s="10">
        <f>'HR Plan'!R21</f>
        <v>948.91500000000019</v>
      </c>
      <c r="S10" s="10">
        <f>'HR Plan'!S21</f>
        <v>948.91500000000019</v>
      </c>
      <c r="T10" s="10">
        <f>'HR Plan'!T21</f>
        <v>948.91500000000019</v>
      </c>
      <c r="U10" s="10">
        <f>'HR Plan'!U21</f>
        <v>1965.2917500000003</v>
      </c>
      <c r="V10" s="10">
        <f>'HR Plan'!V21</f>
        <v>1389.2917500000003</v>
      </c>
      <c r="W10" s="10">
        <f>'HR Plan'!W21</f>
        <v>1389.2917500000003</v>
      </c>
      <c r="X10" s="10">
        <f>'HR Plan'!X21</f>
        <v>1389.2917500000003</v>
      </c>
      <c r="Y10" s="10">
        <f>'HR Plan'!Y21</f>
        <v>1389.2917500000003</v>
      </c>
      <c r="Z10" s="10">
        <f>'HR Plan'!Z21</f>
        <v>1389.2917500000003</v>
      </c>
      <c r="AA10" s="10">
        <f>'HR Plan'!AA21</f>
        <v>1389.2917500000003</v>
      </c>
      <c r="AB10" s="10">
        <f>'HR Plan'!AB21</f>
        <v>1389.2917500000003</v>
      </c>
      <c r="AC10" s="10">
        <f>'HR Plan'!AC21</f>
        <v>1389.2917500000003</v>
      </c>
      <c r="AD10" s="10">
        <f>'HR Plan'!AD21</f>
        <v>1389.2917500000003</v>
      </c>
      <c r="AE10" s="10">
        <f>'HR Plan'!AE21</f>
        <v>1389.2917500000003</v>
      </c>
      <c r="AF10" s="10">
        <f>'HR Plan'!AF21</f>
        <v>1389.2917500000003</v>
      </c>
      <c r="AG10" s="10">
        <f>'HR Plan'!AG21</f>
        <v>6686.5664250000018</v>
      </c>
      <c r="AH10" s="10">
        <f>'HR Plan'!AH21</f>
        <v>5894.5664250000018</v>
      </c>
      <c r="AI10" s="10">
        <f>'HR Plan'!AI21</f>
        <v>5894.5664250000018</v>
      </c>
      <c r="AJ10" s="10">
        <f>'HR Plan'!AJ21</f>
        <v>5894.5664250000018</v>
      </c>
      <c r="AK10" s="10">
        <f>'HR Plan'!AK21</f>
        <v>9386.5318650000027</v>
      </c>
      <c r="AL10" s="10">
        <f>'HR Plan'!AL21</f>
        <v>8378.5318650000027</v>
      </c>
      <c r="AM10" s="10">
        <f>'HR Plan'!AM21</f>
        <v>8378.5318650000027</v>
      </c>
      <c r="AN10" s="10">
        <f>'HR Plan'!AN21</f>
        <v>8378.5318650000027</v>
      </c>
      <c r="AO10" s="10">
        <f>'HR Plan'!AO21</f>
        <v>11403.962289000005</v>
      </c>
      <c r="AP10" s="10">
        <f>'HR Plan'!AP21</f>
        <v>10683.962289000005</v>
      </c>
      <c r="AQ10" s="10">
        <f>'HR Plan'!AQ21</f>
        <v>10683.962289000005</v>
      </c>
      <c r="AR10" s="10">
        <f>'HR Plan'!AR21</f>
        <v>10683.962289000005</v>
      </c>
    </row>
    <row r="11" spans="1:44" x14ac:dyDescent="0.3">
      <c r="A11" s="4" t="s">
        <v>482</v>
      </c>
      <c r="B11" s="4" t="s">
        <v>218</v>
      </c>
      <c r="C11" s="43">
        <f>opex_marketing*(1+marketing_growth)^'Market Sizing'!C5/'Market Sizing'!C6*MAX(0.5,1-'Market Sizing'!C15*mkt_efficiency_per_100/100)</f>
        <v>569.98440824745808</v>
      </c>
      <c r="D11" s="43">
        <f>opex_marketing*(1+marketing_growth)^'Market Sizing'!D5/'Market Sizing'!D6*MAX(0.5,1-'Market Sizing'!D15*mkt_efficiency_per_100/100)</f>
        <v>569.28413698018937</v>
      </c>
      <c r="E11" s="43">
        <f>opex_marketing*(1+marketing_growth)^'Market Sizing'!E5/'Market Sizing'!E6*MAX(0.5,1-'Market Sizing'!E15*mkt_efficiency_per_100/100)</f>
        <v>568.29311169927996</v>
      </c>
      <c r="F11" s="43">
        <f>opex_marketing*(1+marketing_growth)^'Market Sizing'!F5/'Market Sizing'!F6*MAX(0.5,1-'Market Sizing'!F15*mkt_efficiency_per_100/100)</f>
        <v>567.24225098410716</v>
      </c>
      <c r="G11" s="43">
        <f>opex_marketing*(1+marketing_growth)^'Market Sizing'!G5/'Market Sizing'!G6*MAX(0.5,1-'Market Sizing'!G15*mkt_efficiency_per_100/100)</f>
        <v>566.12919652042945</v>
      </c>
      <c r="H11" s="43">
        <f>opex_marketing*(1+marketing_growth)^'Market Sizing'!H5/'Market Sizing'!H6*MAX(0.5,1-'Market Sizing'!H15*mkt_efficiency_per_100/100)</f>
        <v>565.06833970563616</v>
      </c>
      <c r="I11" s="43">
        <f>opex_marketing*(1+marketing_growth)^'Market Sizing'!I5/'Market Sizing'!I6*MAX(0.5,1-'Market Sizing'!I15*mkt_efficiency_per_100/100)</f>
        <v>648.39781188435472</v>
      </c>
      <c r="J11" s="43">
        <f>opex_marketing*(1+marketing_growth)^'Market Sizing'!J5/'Market Sizing'!J6*MAX(0.5,1-'Market Sizing'!J15*mkt_efficiency_per_100/100)</f>
        <v>646.88808467937372</v>
      </c>
      <c r="K11" s="43">
        <f>opex_marketing*(1+marketing_growth)^'Market Sizing'!K5/'Market Sizing'!K6*MAX(0.5,1-'Market Sizing'!K15*mkt_efficiency_per_100/100)</f>
        <v>645.29729245150156</v>
      </c>
      <c r="L11" s="43">
        <f>opex_marketing*(1+marketing_growth)^'Market Sizing'!L5/'Market Sizing'!L6*MAX(0.5,1-'Market Sizing'!L15*mkt_efficiency_per_100/100)</f>
        <v>643.62356536729374</v>
      </c>
      <c r="M11" s="43">
        <f>opex_marketing*(1+marketing_growth)^'Market Sizing'!M5/'Market Sizing'!M6*MAX(0.5,1-'Market Sizing'!M15*mkt_efficiency_per_100/100)</f>
        <v>641.99949066717818</v>
      </c>
      <c r="N11" s="43">
        <f>opex_marketing*(1+marketing_growth)^'Market Sizing'!N5/'Market Sizing'!N6*MAX(0.5,1-'Market Sizing'!N15*mkt_efficiency_per_100/100)</f>
        <v>640.15549101035674</v>
      </c>
      <c r="O11" s="43">
        <f>opex_marketing*(1+marketing_growth)^'Market Sizing'!O5/'Market Sizing'!O6*MAX(0.5,1-'Market Sizing'!O15*mkt_efficiency_per_100/100)</f>
        <v>638.22487014004741</v>
      </c>
      <c r="P11" s="43">
        <f>opex_marketing*(1+marketing_growth)^'Market Sizing'!P5/'Market Sizing'!P6*MAX(0.5,1-'Market Sizing'!P15*mkt_efficiency_per_100/100)</f>
        <v>636.20719168828271</v>
      </c>
      <c r="Q11" s="43">
        <f>opex_marketing*(1+marketing_growth)^'Market Sizing'!Q5/'Market Sizing'!Q6*MAX(0.5,1-'Market Sizing'!Q15*mkt_efficiency_per_100/100)</f>
        <v>634.23665681000648</v>
      </c>
      <c r="R11" s="43">
        <f>opex_marketing*(1+marketing_growth)^'Market Sizing'!R5/'Market Sizing'!R6*MAX(0.5,1-'Market Sizing'!R15*mkt_efficiency_per_100/100)</f>
        <v>632.04547955235478</v>
      </c>
      <c r="S11" s="43">
        <f>opex_marketing*(1+marketing_growth)^'Market Sizing'!S5/'Market Sizing'!S6*MAX(0.5,1-'Market Sizing'!S15*mkt_efficiency_per_100/100)</f>
        <v>629.76892543499548</v>
      </c>
      <c r="T11" s="43">
        <f>opex_marketing*(1+marketing_growth)^'Market Sizing'!T5/'Market Sizing'!T6*MAX(0.5,1-'Market Sizing'!T15*mkt_efficiency_per_100/100)</f>
        <v>627.40867864964991</v>
      </c>
      <c r="U11" s="43">
        <f>opex_marketing*(1+marketing_growth)^'Market Sizing'!U5/'Market Sizing'!U6*MAX(0.5,1-'Market Sizing'!U15*mkt_efficiency_per_100/100)</f>
        <v>718.86638374435267</v>
      </c>
      <c r="V11" s="43">
        <f>opex_marketing*(1+marketing_growth)^'Market Sizing'!V5/'Market Sizing'!V6*MAX(0.5,1-'Market Sizing'!V15*mkt_efficiency_per_100/100)</f>
        <v>715.96826166303754</v>
      </c>
      <c r="W11" s="43">
        <f>opex_marketing*(1+marketing_growth)^'Market Sizing'!W5/'Market Sizing'!W6*MAX(0.5,1-'Market Sizing'!W15*mkt_efficiency_per_100/100)</f>
        <v>712.98401948565436</v>
      </c>
      <c r="X11" s="43">
        <f>opex_marketing*(1+marketing_growth)^'Market Sizing'!X5/'Market Sizing'!X6*MAX(0.5,1-'Market Sizing'!X15*mkt_efficiency_per_100/100)</f>
        <v>710.07280815204058</v>
      </c>
      <c r="Y11" s="43">
        <f>opex_marketing*(1+marketing_growth)^'Market Sizing'!Y5/'Market Sizing'!Y6*MAX(0.5,1-'Market Sizing'!Y15*mkt_efficiency_per_100/100)</f>
        <v>706.93164009770874</v>
      </c>
      <c r="Z11" s="43">
        <f>opex_marketing*(1+marketing_growth)^'Market Sizing'!Z5/'Market Sizing'!Z6*MAX(0.5,1-'Market Sizing'!Z15*mkt_efficiency_per_100/100)</f>
        <v>703.72111726288392</v>
      </c>
      <c r="AA11" s="43">
        <f>opex_marketing*(1+marketing_growth)^'Market Sizing'!AA5/'Market Sizing'!AA6*MAX(0.5,1-'Market Sizing'!AA15*mkt_efficiency_per_100/100)</f>
        <v>700.60252083236492</v>
      </c>
      <c r="AB11" s="43">
        <f>opex_marketing*(1+marketing_growth)^'Market Sizing'!AB5/'Market Sizing'!AB6*MAX(0.5,1-'Market Sizing'!AB15*mkt_efficiency_per_100/100)</f>
        <v>697.27488764816553</v>
      </c>
      <c r="AC11" s="43">
        <f>opex_marketing*(1+marketing_growth)^'Market Sizing'!AC5/'Market Sizing'!AC6*MAX(0.5,1-'Market Sizing'!AC15*mkt_efficiency_per_100/100)</f>
        <v>694.05499032100875</v>
      </c>
      <c r="AD11" s="43">
        <f>opex_marketing*(1+marketing_growth)^'Market Sizing'!AD5/'Market Sizing'!AD6*MAX(0.5,1-'Market Sizing'!AD15*mkt_efficiency_per_100/100)</f>
        <v>690.64293016766953</v>
      </c>
      <c r="AE11" s="43">
        <f>opex_marketing*(1+marketing_growth)^'Market Sizing'!AE5/'Market Sizing'!AE6*MAX(0.5,1-'Market Sizing'!AE15*mkt_efficiency_per_100/100)</f>
        <v>687.20209419873152</v>
      </c>
      <c r="AF11" s="43">
        <f>opex_marketing*(1+marketing_growth)^'Market Sizing'!AF5/'Market Sizing'!AF6*MAX(0.5,1-'Market Sizing'!AF15*mkt_efficiency_per_100/100)</f>
        <v>683.8961861199075</v>
      </c>
      <c r="AG11" s="43">
        <f>opex_marketing*(1+marketing_growth)^'Market Sizing'!AG5/'Market Sizing'!AG6*MAX(0.5,1-'Market Sizing'!AG15*mkt_efficiency_per_100/100)</f>
        <v>2352.6612501097511</v>
      </c>
      <c r="AH11" s="43">
        <f>opex_marketing*(1+marketing_growth)^'Market Sizing'!AH5/'Market Sizing'!AH6*MAX(0.5,1-'Market Sizing'!AH15*mkt_efficiency_per_100/100)</f>
        <v>2318.5658556034214</v>
      </c>
      <c r="AI11" s="43">
        <f>opex_marketing*(1+marketing_growth)^'Market Sizing'!AI5/'Market Sizing'!AI6*MAX(0.5,1-'Market Sizing'!AI15*mkt_efficiency_per_100/100)</f>
        <v>2285.4990517723199</v>
      </c>
      <c r="AJ11" s="43">
        <f>opex_marketing*(1+marketing_growth)^'Market Sizing'!AJ5/'Market Sizing'!AJ6*MAX(0.5,1-'Market Sizing'!AJ15*mkt_efficiency_per_100/100)</f>
        <v>2254.2403169230984</v>
      </c>
      <c r="AK11" s="43">
        <f>opex_marketing*(1+marketing_growth)^'Market Sizing'!AK5/'Market Sizing'!AK6*MAX(0.5,1-'Market Sizing'!AK15*mkt_efficiency_per_100/100)</f>
        <v>2559.2165263575089</v>
      </c>
      <c r="AL11" s="43">
        <f>opex_marketing*(1+marketing_growth)^'Market Sizing'!AL5/'Market Sizing'!AL6*MAX(0.5,1-'Market Sizing'!AL15*mkt_efficiency_per_100/100)</f>
        <v>2529.3246782719602</v>
      </c>
      <c r="AM11" s="43">
        <f>opex_marketing*(1+marketing_growth)^'Market Sizing'!AM5/'Market Sizing'!AM6*MAX(0.5,1-'Market Sizing'!AM15*mkt_efficiency_per_100/100)</f>
        <v>2502.3364911315321</v>
      </c>
      <c r="AN11" s="43">
        <f>opex_marketing*(1+marketing_growth)^'Market Sizing'!AN5/'Market Sizing'!AN6*MAX(0.5,1-'Market Sizing'!AN15*mkt_efficiency_per_100/100)</f>
        <v>2478.9042675693649</v>
      </c>
      <c r="AO11" s="43">
        <f>opex_marketing*(1+marketing_growth)^'Market Sizing'!AO5/'Market Sizing'!AO6*MAX(0.5,1-'Market Sizing'!AO15*mkt_efficiency_per_100/100)</f>
        <v>2827.7385835486284</v>
      </c>
      <c r="AP11" s="43">
        <f>opex_marketing*(1+marketing_growth)^'Market Sizing'!AP5/'Market Sizing'!AP6*MAX(0.5,1-'Market Sizing'!AP15*mkt_efficiency_per_100/100)</f>
        <v>2807.7019126836317</v>
      </c>
      <c r="AQ11" s="43">
        <f>opex_marketing*(1+marketing_growth)^'Market Sizing'!AQ5/'Market Sizing'!AQ6*MAX(0.5,1-'Market Sizing'!AQ15*mkt_efficiency_per_100/100)</f>
        <v>2790.9766805109639</v>
      </c>
      <c r="AR11" s="43">
        <f>opex_marketing*(1+marketing_growth)^'Market Sizing'!AR5/'Market Sizing'!AR6*MAX(0.5,1-'Market Sizing'!AR15*mkt_efficiency_per_100/100)</f>
        <v>2777.8740210115443</v>
      </c>
    </row>
    <row r="12" spans="1:44" x14ac:dyDescent="0.3">
      <c r="A12" s="4" t="s">
        <v>483</v>
      </c>
      <c r="B12" s="4" t="s">
        <v>218</v>
      </c>
      <c r="C12" s="10">
        <f>opex_branding/'Market Sizing'!C6</f>
        <v>333.33333333333331</v>
      </c>
      <c r="D12" s="10">
        <f>opex_branding/'Market Sizing'!D6</f>
        <v>333.33333333333331</v>
      </c>
      <c r="E12" s="10">
        <f>opex_branding/'Market Sizing'!E6</f>
        <v>333.33333333333331</v>
      </c>
      <c r="F12" s="10">
        <f>opex_branding/'Market Sizing'!F6</f>
        <v>333.33333333333331</v>
      </c>
      <c r="G12" s="10">
        <f>opex_branding/'Market Sizing'!G6</f>
        <v>333.33333333333331</v>
      </c>
      <c r="H12" s="10">
        <f>opex_branding/'Market Sizing'!H6</f>
        <v>333.33333333333331</v>
      </c>
      <c r="I12" s="10">
        <f>opex_branding/'Market Sizing'!I6</f>
        <v>333.33333333333331</v>
      </c>
      <c r="J12" s="10">
        <f>opex_branding/'Market Sizing'!J6</f>
        <v>333.33333333333331</v>
      </c>
      <c r="K12" s="10">
        <f>opex_branding/'Market Sizing'!K6</f>
        <v>333.33333333333331</v>
      </c>
      <c r="L12" s="10">
        <f>opex_branding/'Market Sizing'!L6</f>
        <v>333.33333333333331</v>
      </c>
      <c r="M12" s="10">
        <f>opex_branding/'Market Sizing'!M6</f>
        <v>333.33333333333331</v>
      </c>
      <c r="N12" s="10">
        <f>opex_branding/'Market Sizing'!N6</f>
        <v>333.33333333333331</v>
      </c>
      <c r="O12" s="10">
        <f>opex_branding/'Market Sizing'!O6</f>
        <v>333.33333333333331</v>
      </c>
      <c r="P12" s="10">
        <f>opex_branding/'Market Sizing'!P6</f>
        <v>333.33333333333331</v>
      </c>
      <c r="Q12" s="10">
        <f>opex_branding/'Market Sizing'!Q6</f>
        <v>333.33333333333331</v>
      </c>
      <c r="R12" s="10">
        <f>opex_branding/'Market Sizing'!R6</f>
        <v>333.33333333333331</v>
      </c>
      <c r="S12" s="10">
        <f>opex_branding/'Market Sizing'!S6</f>
        <v>333.33333333333331</v>
      </c>
      <c r="T12" s="10">
        <f>opex_branding/'Market Sizing'!T6</f>
        <v>333.33333333333331</v>
      </c>
      <c r="U12" s="10">
        <f>opex_branding/'Market Sizing'!U6</f>
        <v>333.33333333333331</v>
      </c>
      <c r="V12" s="10">
        <f>opex_branding/'Market Sizing'!V6</f>
        <v>333.33333333333331</v>
      </c>
      <c r="W12" s="10">
        <f>opex_branding/'Market Sizing'!W6</f>
        <v>333.33333333333331</v>
      </c>
      <c r="X12" s="10">
        <f>opex_branding/'Market Sizing'!X6</f>
        <v>333.33333333333331</v>
      </c>
      <c r="Y12" s="10">
        <f>opex_branding/'Market Sizing'!Y6</f>
        <v>333.33333333333331</v>
      </c>
      <c r="Z12" s="10">
        <f>opex_branding/'Market Sizing'!Z6</f>
        <v>333.33333333333331</v>
      </c>
      <c r="AA12" s="10">
        <f>opex_branding/'Market Sizing'!AA6</f>
        <v>333.33333333333331</v>
      </c>
      <c r="AB12" s="10">
        <f>opex_branding/'Market Sizing'!AB6</f>
        <v>333.33333333333331</v>
      </c>
      <c r="AC12" s="10">
        <f>opex_branding/'Market Sizing'!AC6</f>
        <v>333.33333333333331</v>
      </c>
      <c r="AD12" s="10">
        <f>opex_branding/'Market Sizing'!AD6</f>
        <v>333.33333333333331</v>
      </c>
      <c r="AE12" s="10">
        <f>opex_branding/'Market Sizing'!AE6</f>
        <v>333.33333333333331</v>
      </c>
      <c r="AF12" s="10">
        <f>opex_branding/'Market Sizing'!AF6</f>
        <v>333.33333333333331</v>
      </c>
      <c r="AG12" s="10">
        <f>opex_branding/'Market Sizing'!AG6</f>
        <v>1000</v>
      </c>
      <c r="AH12" s="10">
        <f>opex_branding/'Market Sizing'!AH6</f>
        <v>1000</v>
      </c>
      <c r="AI12" s="10">
        <f>opex_branding/'Market Sizing'!AI6</f>
        <v>1000</v>
      </c>
      <c r="AJ12" s="10">
        <f>opex_branding/'Market Sizing'!AJ6</f>
        <v>1000</v>
      </c>
      <c r="AK12" s="10">
        <f>opex_branding/'Market Sizing'!AK6</f>
        <v>1000</v>
      </c>
      <c r="AL12" s="10">
        <f>opex_branding/'Market Sizing'!AL6</f>
        <v>1000</v>
      </c>
      <c r="AM12" s="10">
        <f>opex_branding/'Market Sizing'!AM6</f>
        <v>1000</v>
      </c>
      <c r="AN12" s="10">
        <f>opex_branding/'Market Sizing'!AN6</f>
        <v>1000</v>
      </c>
      <c r="AO12" s="10">
        <f>opex_branding/'Market Sizing'!AO6</f>
        <v>1000</v>
      </c>
      <c r="AP12" s="10">
        <f>opex_branding/'Market Sizing'!AP6</f>
        <v>1000</v>
      </c>
      <c r="AQ12" s="10">
        <f>opex_branding/'Market Sizing'!AQ6</f>
        <v>1000</v>
      </c>
      <c r="AR12" s="10">
        <f>opex_branding/'Market Sizing'!AR6</f>
        <v>1000</v>
      </c>
    </row>
    <row r="13" spans="1:44" x14ac:dyDescent="0.3">
      <c r="A13" s="4" t="s">
        <v>484</v>
      </c>
      <c r="B13" s="4" t="s">
        <v>218</v>
      </c>
      <c r="C13" s="43">
        <f>opex_cloud_base/'Market Sizing'!C6+'Market Sizing'!C17*cloud_per_1M_vcr*('Market Sizing'!C15/100)^(cloud_elasticity-1)+'Market Sizing'!C10*platform_market_share*cloud_gmv_factor</f>
        <v>348.98683042130813</v>
      </c>
      <c r="D13" s="43">
        <f>opex_cloud_base/'Market Sizing'!D6+'Market Sizing'!D17*cloud_per_1M_vcr*('Market Sizing'!D15/100)^(cloud_elasticity-1)+'Market Sizing'!D10*platform_market_share*cloud_gmv_factor</f>
        <v>349.58185099716462</v>
      </c>
      <c r="E13" s="43">
        <f>opex_cloud_base/'Market Sizing'!E6+'Market Sizing'!E17*cloud_per_1M_vcr*('Market Sizing'!E15/100)^(cloud_elasticity-1)+'Market Sizing'!E10*platform_market_share*cloud_gmv_factor</f>
        <v>350.43406247752449</v>
      </c>
      <c r="F13" s="43">
        <f>opex_cloud_base/'Market Sizing'!F6+'Market Sizing'!F17*cloud_per_1M_vcr*('Market Sizing'!F15/100)^(cloud_elasticity-1)+'Market Sizing'!F10*platform_market_share*cloud_gmv_factor</f>
        <v>351.35007309056385</v>
      </c>
      <c r="G13" s="43">
        <f>opex_cloud_base/'Market Sizing'!G6+'Market Sizing'!G17*cloud_per_1M_vcr*('Market Sizing'!G15/100)^(cloud_elasticity-1)+'Market Sizing'!G10*platform_market_share*cloud_gmv_factor</f>
        <v>352.33342492232754</v>
      </c>
      <c r="H13" s="43">
        <f>opex_cloud_base/'Market Sizing'!H6+'Market Sizing'!H17*cloud_per_1M_vcr*('Market Sizing'!H15/100)^(cloud_elasticity-1)+'Market Sizing'!H10*platform_market_share*cloud_gmv_factor</f>
        <v>353.28259841791822</v>
      </c>
      <c r="I13" s="43">
        <f>opex_cloud_base/'Market Sizing'!I6+'Market Sizing'!I17*cloud_per_1M_vcr*('Market Sizing'!I15/100)^(cloud_elasticity-1)+'Market Sizing'!I10*platform_market_share*cloud_gmv_factor</f>
        <v>359.90987397899892</v>
      </c>
      <c r="J13" s="43">
        <f>opex_cloud_base/'Market Sizing'!J6+'Market Sizing'!J17*cloud_per_1M_vcr*('Market Sizing'!J15/100)^(cloud_elasticity-1)+'Market Sizing'!J10*platform_market_share*cloud_gmv_factor</f>
        <v>361.11503610738464</v>
      </c>
      <c r="K13" s="43">
        <f>opex_cloud_base/'Market Sizing'!K6+'Market Sizing'!K17*cloud_per_1M_vcr*('Market Sizing'!K15/100)^(cloud_elasticity-1)+'Market Sizing'!K10*platform_market_share*cloud_gmv_factor</f>
        <v>362.40145191141045</v>
      </c>
      <c r="L13" s="43">
        <f>opex_cloud_base/'Market Sizing'!L6+'Market Sizing'!L17*cloud_per_1M_vcr*('Market Sizing'!L15/100)^(cloud_elasticity-1)+'Market Sizing'!L10*platform_market_share*cloud_gmv_factor</f>
        <v>363.77234077597188</v>
      </c>
      <c r="M13" s="43">
        <f>opex_cloud_base/'Market Sizing'!M6+'Market Sizing'!M17*cloud_per_1M_vcr*('Market Sizing'!M15/100)^(cloud_elasticity-1)+'Market Sizing'!M10*platform_market_share*cloud_gmv_factor</f>
        <v>365.11879989699611</v>
      </c>
      <c r="N13" s="43">
        <f>opex_cloud_base/'Market Sizing'!N6+'Market Sizing'!N17*cloud_per_1M_vcr*('Market Sizing'!N15/100)^(cloud_elasticity-1)+'Market Sizing'!N10*platform_market_share*cloud_gmv_factor</f>
        <v>366.66605470618555</v>
      </c>
      <c r="O13" s="43">
        <f>opex_cloud_base/'Market Sizing'!O6+'Market Sizing'!O17*cloud_per_1M_vcr*('Market Sizing'!O15/100)^(cloud_elasticity-1)+'Market Sizing'!O10*platform_market_share*cloud_gmv_factor</f>
        <v>368.30603958182729</v>
      </c>
      <c r="P13" s="43">
        <f>opex_cloud_base/'Market Sizing'!P6+'Market Sizing'!P17*cloud_per_1M_vcr*('Market Sizing'!P15/100)^(cloud_elasticity-1)+'Market Sizing'!P10*platform_market_share*cloud_gmv_factor</f>
        <v>370.04084900690356</v>
      </c>
      <c r="Q13" s="43">
        <f>opex_cloud_base/'Market Sizing'!Q6+'Market Sizing'!Q17*cloud_per_1M_vcr*('Market Sizing'!Q15/100)^(cloud_elasticity-1)+'Market Sizing'!Q10*platform_market_share*cloud_gmv_factor</f>
        <v>371.7547698807079</v>
      </c>
      <c r="R13" s="43">
        <f>opex_cloud_base/'Market Sizing'!R6+'Market Sizing'!R17*cloud_per_1M_vcr*('Market Sizing'!R15/100)^(cloud_elasticity-1)+'Market Sizing'!R10*platform_market_share*cloud_gmv_factor</f>
        <v>373.68236513972664</v>
      </c>
      <c r="S13" s="43">
        <f>opex_cloud_base/'Market Sizing'!S6+'Market Sizing'!S17*cloud_per_1M_vcr*('Market Sizing'!S15/100)^(cloud_elasticity-1)+'Market Sizing'!S10*platform_market_share*cloud_gmv_factor</f>
        <v>375.70826365268334</v>
      </c>
      <c r="T13" s="43">
        <f>opex_cloud_base/'Market Sizing'!T6+'Market Sizing'!T17*cloud_per_1M_vcr*('Market Sizing'!T15/100)^(cloud_elasticity-1)+'Market Sizing'!T10*platform_market_share*cloud_gmv_factor</f>
        <v>377.83248687001139</v>
      </c>
      <c r="U13" s="43">
        <f>opex_cloud_base/'Market Sizing'!U6+'Market Sizing'!U17*cloud_per_1M_vcr*('Market Sizing'!U15/100)^(cloud_elasticity-1)+'Market Sizing'!U10*platform_market_share*cloud_gmv_factor</f>
        <v>385.8716774908421</v>
      </c>
      <c r="V13" s="43">
        <f>opex_cloud_base/'Market Sizing'!V6+'Market Sizing'!V17*cloud_per_1M_vcr*('Market Sizing'!V15/100)^(cloud_elasticity-1)+'Market Sizing'!V10*platform_market_share*cloud_gmv_factor</f>
        <v>388.18860960143866</v>
      </c>
      <c r="W13" s="43">
        <f>opex_cloud_base/'Market Sizing'!W6+'Market Sizing'!W17*cloud_per_1M_vcr*('Market Sizing'!W15/100)^(cloud_elasticity-1)+'Market Sizing'!W10*platform_market_share*cloud_gmv_factor</f>
        <v>390.59981507960754</v>
      </c>
      <c r="X13" s="43">
        <f>opex_cloud_base/'Market Sizing'!X6+'Market Sizing'!X17*cloud_per_1M_vcr*('Market Sizing'!X15/100)^(cloud_elasticity-1)+'Market Sizing'!X10*platform_market_share*cloud_gmv_factor</f>
        <v>392.97586689760328</v>
      </c>
      <c r="Y13" s="43">
        <f>opex_cloud_base/'Market Sizing'!Y6+'Market Sizing'!Y17*cloud_per_1M_vcr*('Market Sizing'!Y15/100)^(cloud_elasticity-1)+'Market Sizing'!Y10*platform_market_share*cloud_gmv_factor</f>
        <v>395.56498468132168</v>
      </c>
      <c r="Z13" s="43">
        <f>opex_cloud_base/'Market Sizing'!Z6+'Market Sizing'!Z17*cloud_per_1M_vcr*('Market Sizing'!Z15/100)^(cloud_elasticity-1)+'Market Sizing'!Z10*platform_market_share*cloud_gmv_factor</f>
        <v>398.23744631348268</v>
      </c>
      <c r="AA13" s="43">
        <f>opex_cloud_base/'Market Sizing'!AA6+'Market Sizing'!AA17*cloud_per_1M_vcr*('Market Sizing'!AA15/100)^(cloud_elasticity-1)+'Market Sizing'!AA10*platform_market_share*cloud_gmv_factor</f>
        <v>400.85777553035791</v>
      </c>
      <c r="AB13" s="43">
        <f>opex_cloud_base/'Market Sizing'!AB6+'Market Sizing'!AB17*cloud_per_1M_vcr*('Market Sizing'!AB15/100)^(cloud_elasticity-1)+'Market Sizing'!AB10*platform_market_share*cloud_gmv_factor</f>
        <v>403.6792799382311</v>
      </c>
      <c r="AC13" s="43">
        <f>opex_cloud_base/'Market Sizing'!AC6+'Market Sizing'!AC17*cloud_per_1M_vcr*('Market Sizing'!AC15/100)^(cloud_elasticity-1)+'Market Sizing'!AC10*platform_market_share*cloud_gmv_factor</f>
        <v>406.43365664933401</v>
      </c>
      <c r="AD13" s="43">
        <f>opex_cloud_base/'Market Sizing'!AD6+'Market Sizing'!AD17*cloud_per_1M_vcr*('Market Sizing'!AD15/100)^(cloud_elasticity-1)+'Market Sizing'!AD10*platform_market_share*cloud_gmv_factor</f>
        <v>409.37751662851099</v>
      </c>
      <c r="AE13" s="43">
        <f>opex_cloud_base/'Market Sizing'!AE6+'Market Sizing'!AE17*cloud_per_1M_vcr*('Market Sizing'!AE15/100)^(cloud_elasticity-1)+'Market Sizing'!AE10*platform_market_share*cloud_gmv_factor</f>
        <v>412.37148839711</v>
      </c>
      <c r="AF13" s="43">
        <f>opex_cloud_base/'Market Sizing'!AF6+'Market Sizing'!AF17*cloud_per_1M_vcr*('Market Sizing'!AF15/100)^(cloud_elasticity-1)+'Market Sizing'!AF10*platform_market_share*cloud_gmv_factor</f>
        <v>415.27119917415263</v>
      </c>
      <c r="AG13" s="43">
        <f>opex_cloud_base/'Market Sizing'!AG6+'Market Sizing'!AG17*cloud_per_1M_vcr*('Market Sizing'!AG15/100)^(cloud_elasticity-1)+'Market Sizing'!AG10*platform_market_share*cloud_gmv_factor</f>
        <v>1270.2622866834156</v>
      </c>
      <c r="AH13" s="43">
        <f>opex_cloud_base/'Market Sizing'!AH6+'Market Sizing'!AH17*cloud_per_1M_vcr*('Market Sizing'!AH15/100)^(cloud_elasticity-1)+'Market Sizing'!AH10*platform_market_share*cloud_gmv_factor</f>
        <v>1296.7646259131234</v>
      </c>
      <c r="AI13" s="43">
        <f>opex_cloud_base/'Market Sizing'!AI6+'Market Sizing'!AI17*cloud_per_1M_vcr*('Market Sizing'!AI15/100)^(cloud_elasticity-1)+'Market Sizing'!AI10*platform_market_share*cloud_gmv_factor</f>
        <v>1322.9769668015881</v>
      </c>
      <c r="AJ13" s="43">
        <f>opex_cloud_base/'Market Sizing'!AJ6+'Market Sizing'!AJ17*cloud_per_1M_vcr*('Market Sizing'!AJ15/100)^(cloud_elasticity-1)+'Market Sizing'!AJ10*platform_market_share*cloud_gmv_factor</f>
        <v>1348.1846972950602</v>
      </c>
      <c r="AK13" s="43">
        <f>opex_cloud_base/'Market Sizing'!AK6+'Market Sizing'!AK17*cloud_per_1M_vcr*('Market Sizing'!AK15/100)^(cloud_elasticity-1)+'Market Sizing'!AK10*platform_market_share*cloud_gmv_factor</f>
        <v>1392.5694044627874</v>
      </c>
      <c r="AL13" s="43">
        <f>opex_cloud_base/'Market Sizing'!AL6+'Market Sizing'!AL17*cloud_per_1M_vcr*('Market Sizing'!AL15/100)^(cloud_elasticity-1)+'Market Sizing'!AL10*platform_market_share*cloud_gmv_factor</f>
        <v>1414.112926592386</v>
      </c>
      <c r="AM13" s="43">
        <f>opex_cloud_base/'Market Sizing'!AM6+'Market Sizing'!AM17*cloud_per_1M_vcr*('Market Sizing'!AM15/100)^(cloud_elasticity-1)+'Market Sizing'!AM10*platform_market_share*cloud_gmv_factor</f>
        <v>1433.7734923385124</v>
      </c>
      <c r="AN13" s="43">
        <f>opex_cloud_base/'Market Sizing'!AN6+'Market Sizing'!AN17*cloud_per_1M_vcr*('Market Sizing'!AN15/100)^(cloud_elasticity-1)+'Market Sizing'!AN10*platform_market_share*cloud_gmv_factor</f>
        <v>1450.9987687335999</v>
      </c>
      <c r="AO13" s="43">
        <f>opex_cloud_base/'Market Sizing'!AO6+'Market Sizing'!AO17*cloud_per_1M_vcr*('Market Sizing'!AO15/100)^(cloud_elasticity-1)+'Market Sizing'!AO10*platform_market_share*cloud_gmv_factor</f>
        <v>1488.2602889623072</v>
      </c>
      <c r="AP13" s="43">
        <f>opex_cloud_base/'Market Sizing'!AP6+'Market Sizing'!AP17*cloud_per_1M_vcr*('Market Sizing'!AP15/100)^(cloud_elasticity-1)+'Market Sizing'!AP10*platform_market_share*cloud_gmv_factor</f>
        <v>1501.2450384839153</v>
      </c>
      <c r="AQ13" s="43">
        <f>opex_cloud_base/'Market Sizing'!AQ6+'Market Sizing'!AQ17*cloud_per_1M_vcr*('Market Sizing'!AQ15/100)^(cloud_elasticity-1)+'Market Sizing'!AQ10*platform_market_share*cloud_gmv_factor</f>
        <v>1512.1399949201386</v>
      </c>
      <c r="AR13" s="43">
        <f>opex_cloud_base/'Market Sizing'!AR6+'Market Sizing'!AR17*cloud_per_1M_vcr*('Market Sizing'!AR15/100)^(cloud_elasticity-1)+'Market Sizing'!AR10*platform_market_share*cloud_gmv_factor</f>
        <v>1520.7102337904244</v>
      </c>
    </row>
    <row r="14" spans="1:44" x14ac:dyDescent="0.3">
      <c r="A14" s="4" t="s">
        <v>485</v>
      </c>
      <c r="B14" s="4" t="s">
        <v>218</v>
      </c>
      <c r="C14" s="10">
        <f>opex_security/'Market Sizing'!C6</f>
        <v>20.833333333333332</v>
      </c>
      <c r="D14" s="10">
        <f>opex_security/'Market Sizing'!D6</f>
        <v>20.833333333333332</v>
      </c>
      <c r="E14" s="10">
        <f>opex_security/'Market Sizing'!E6</f>
        <v>20.833333333333332</v>
      </c>
      <c r="F14" s="10">
        <f>opex_security/'Market Sizing'!F6</f>
        <v>20.833333333333332</v>
      </c>
      <c r="G14" s="10">
        <f>opex_security/'Market Sizing'!G6</f>
        <v>20.833333333333332</v>
      </c>
      <c r="H14" s="10">
        <f>opex_security/'Market Sizing'!H6</f>
        <v>20.833333333333332</v>
      </c>
      <c r="I14" s="10">
        <f>opex_security/'Market Sizing'!I6</f>
        <v>20.833333333333332</v>
      </c>
      <c r="J14" s="10">
        <f>opex_security/'Market Sizing'!J6</f>
        <v>20.833333333333332</v>
      </c>
      <c r="K14" s="10">
        <f>opex_security/'Market Sizing'!K6</f>
        <v>20.833333333333332</v>
      </c>
      <c r="L14" s="10">
        <f>opex_security/'Market Sizing'!L6</f>
        <v>20.833333333333332</v>
      </c>
      <c r="M14" s="10">
        <f>opex_security/'Market Sizing'!M6</f>
        <v>20.833333333333332</v>
      </c>
      <c r="N14" s="10">
        <f>opex_security/'Market Sizing'!N6</f>
        <v>20.833333333333332</v>
      </c>
      <c r="O14" s="10">
        <f>opex_security/'Market Sizing'!O6</f>
        <v>20.833333333333332</v>
      </c>
      <c r="P14" s="10">
        <f>opex_security/'Market Sizing'!P6</f>
        <v>20.833333333333332</v>
      </c>
      <c r="Q14" s="10">
        <f>opex_security/'Market Sizing'!Q6</f>
        <v>20.833333333333332</v>
      </c>
      <c r="R14" s="10">
        <f>opex_security/'Market Sizing'!R6</f>
        <v>20.833333333333332</v>
      </c>
      <c r="S14" s="10">
        <f>opex_security/'Market Sizing'!S6</f>
        <v>20.833333333333332</v>
      </c>
      <c r="T14" s="10">
        <f>opex_security/'Market Sizing'!T6</f>
        <v>20.833333333333332</v>
      </c>
      <c r="U14" s="10">
        <f>opex_security/'Market Sizing'!U6</f>
        <v>20.833333333333332</v>
      </c>
      <c r="V14" s="10">
        <f>opex_security/'Market Sizing'!V6</f>
        <v>20.833333333333332</v>
      </c>
      <c r="W14" s="10">
        <f>opex_security/'Market Sizing'!W6</f>
        <v>20.833333333333332</v>
      </c>
      <c r="X14" s="10">
        <f>opex_security/'Market Sizing'!X6</f>
        <v>20.833333333333332</v>
      </c>
      <c r="Y14" s="10">
        <f>opex_security/'Market Sizing'!Y6</f>
        <v>20.833333333333332</v>
      </c>
      <c r="Z14" s="10">
        <f>opex_security/'Market Sizing'!Z6</f>
        <v>20.833333333333332</v>
      </c>
      <c r="AA14" s="10">
        <f>opex_security/'Market Sizing'!AA6</f>
        <v>20.833333333333332</v>
      </c>
      <c r="AB14" s="10">
        <f>opex_security/'Market Sizing'!AB6</f>
        <v>20.833333333333332</v>
      </c>
      <c r="AC14" s="10">
        <f>opex_security/'Market Sizing'!AC6</f>
        <v>20.833333333333332</v>
      </c>
      <c r="AD14" s="10">
        <f>opex_security/'Market Sizing'!AD6</f>
        <v>20.833333333333332</v>
      </c>
      <c r="AE14" s="10">
        <f>opex_security/'Market Sizing'!AE6</f>
        <v>20.833333333333332</v>
      </c>
      <c r="AF14" s="10">
        <f>opex_security/'Market Sizing'!AF6</f>
        <v>20.833333333333332</v>
      </c>
      <c r="AG14" s="10">
        <f>opex_security/'Market Sizing'!AG6</f>
        <v>62.5</v>
      </c>
      <c r="AH14" s="10">
        <f>opex_security/'Market Sizing'!AH6</f>
        <v>62.5</v>
      </c>
      <c r="AI14" s="10">
        <f>opex_security/'Market Sizing'!AI6</f>
        <v>62.5</v>
      </c>
      <c r="AJ14" s="10">
        <f>opex_security/'Market Sizing'!AJ6</f>
        <v>62.5</v>
      </c>
      <c r="AK14" s="10">
        <f>opex_security/'Market Sizing'!AK6</f>
        <v>62.5</v>
      </c>
      <c r="AL14" s="10">
        <f>opex_security/'Market Sizing'!AL6</f>
        <v>62.5</v>
      </c>
      <c r="AM14" s="10">
        <f>opex_security/'Market Sizing'!AM6</f>
        <v>62.5</v>
      </c>
      <c r="AN14" s="10">
        <f>opex_security/'Market Sizing'!AN6</f>
        <v>62.5</v>
      </c>
      <c r="AO14" s="10">
        <f>opex_security/'Market Sizing'!AO6</f>
        <v>62.5</v>
      </c>
      <c r="AP14" s="10">
        <f>opex_security/'Market Sizing'!AP6</f>
        <v>62.5</v>
      </c>
      <c r="AQ14" s="10">
        <f>opex_security/'Market Sizing'!AQ6</f>
        <v>62.5</v>
      </c>
      <c r="AR14" s="10">
        <f>opex_security/'Market Sizing'!AR6</f>
        <v>62.5</v>
      </c>
    </row>
    <row r="15" spans="1:44" x14ac:dyDescent="0.3">
      <c r="A15" s="4" t="s">
        <v>486</v>
      </c>
      <c r="B15" s="4" t="s">
        <v>218</v>
      </c>
      <c r="C15" s="10">
        <f>opex_external/'Market Sizing'!C6</f>
        <v>33.333333333333336</v>
      </c>
      <c r="D15" s="10">
        <f>opex_external/'Market Sizing'!D6</f>
        <v>33.333333333333336</v>
      </c>
      <c r="E15" s="10">
        <f>opex_external/'Market Sizing'!E6</f>
        <v>33.333333333333336</v>
      </c>
      <c r="F15" s="10">
        <f>opex_external/'Market Sizing'!F6</f>
        <v>33.333333333333336</v>
      </c>
      <c r="G15" s="10">
        <f>opex_external/'Market Sizing'!G6</f>
        <v>33.333333333333336</v>
      </c>
      <c r="H15" s="10">
        <f>opex_external/'Market Sizing'!H6</f>
        <v>33.333333333333336</v>
      </c>
      <c r="I15" s="10">
        <f>opex_external/'Market Sizing'!I6</f>
        <v>33.333333333333336</v>
      </c>
      <c r="J15" s="10">
        <f>opex_external/'Market Sizing'!J6</f>
        <v>33.333333333333336</v>
      </c>
      <c r="K15" s="10">
        <f>opex_external/'Market Sizing'!K6</f>
        <v>33.333333333333336</v>
      </c>
      <c r="L15" s="10">
        <f>opex_external/'Market Sizing'!L6</f>
        <v>33.333333333333336</v>
      </c>
      <c r="M15" s="10">
        <f>opex_external/'Market Sizing'!M6</f>
        <v>33.333333333333336</v>
      </c>
      <c r="N15" s="10">
        <f>opex_external/'Market Sizing'!N6</f>
        <v>33.333333333333336</v>
      </c>
      <c r="O15" s="10">
        <f>opex_external/'Market Sizing'!O6</f>
        <v>33.333333333333336</v>
      </c>
      <c r="P15" s="10">
        <f>opex_external/'Market Sizing'!P6</f>
        <v>33.333333333333336</v>
      </c>
      <c r="Q15" s="10">
        <f>opex_external/'Market Sizing'!Q6</f>
        <v>33.333333333333336</v>
      </c>
      <c r="R15" s="10">
        <f>opex_external/'Market Sizing'!R6</f>
        <v>33.333333333333336</v>
      </c>
      <c r="S15" s="10">
        <f>opex_external/'Market Sizing'!S6</f>
        <v>33.333333333333336</v>
      </c>
      <c r="T15" s="10">
        <f>opex_external/'Market Sizing'!T6</f>
        <v>33.333333333333336</v>
      </c>
      <c r="U15" s="10">
        <f>opex_external/'Market Sizing'!U6</f>
        <v>33.333333333333336</v>
      </c>
      <c r="V15" s="10">
        <f>opex_external/'Market Sizing'!V6</f>
        <v>33.333333333333336</v>
      </c>
      <c r="W15" s="10">
        <f>opex_external/'Market Sizing'!W6</f>
        <v>33.333333333333336</v>
      </c>
      <c r="X15" s="10">
        <f>opex_external/'Market Sizing'!X6</f>
        <v>33.333333333333336</v>
      </c>
      <c r="Y15" s="10">
        <f>opex_external/'Market Sizing'!Y6</f>
        <v>33.333333333333336</v>
      </c>
      <c r="Z15" s="10">
        <f>opex_external/'Market Sizing'!Z6</f>
        <v>33.333333333333336</v>
      </c>
      <c r="AA15" s="10">
        <f>opex_external/'Market Sizing'!AA6</f>
        <v>33.333333333333336</v>
      </c>
      <c r="AB15" s="10">
        <f>opex_external/'Market Sizing'!AB6</f>
        <v>33.333333333333336</v>
      </c>
      <c r="AC15" s="10">
        <f>opex_external/'Market Sizing'!AC6</f>
        <v>33.333333333333336</v>
      </c>
      <c r="AD15" s="10">
        <f>opex_external/'Market Sizing'!AD6</f>
        <v>33.333333333333336</v>
      </c>
      <c r="AE15" s="10">
        <f>opex_external/'Market Sizing'!AE6</f>
        <v>33.333333333333336</v>
      </c>
      <c r="AF15" s="10">
        <f>opex_external/'Market Sizing'!AF6</f>
        <v>33.333333333333336</v>
      </c>
      <c r="AG15" s="10">
        <f>opex_external/'Market Sizing'!AG6</f>
        <v>100</v>
      </c>
      <c r="AH15" s="10">
        <f>opex_external/'Market Sizing'!AH6</f>
        <v>100</v>
      </c>
      <c r="AI15" s="10">
        <f>opex_external/'Market Sizing'!AI6</f>
        <v>100</v>
      </c>
      <c r="AJ15" s="10">
        <f>opex_external/'Market Sizing'!AJ6</f>
        <v>100</v>
      </c>
      <c r="AK15" s="10">
        <f>opex_external/'Market Sizing'!AK6</f>
        <v>100</v>
      </c>
      <c r="AL15" s="10">
        <f>opex_external/'Market Sizing'!AL6</f>
        <v>100</v>
      </c>
      <c r="AM15" s="10">
        <f>opex_external/'Market Sizing'!AM6</f>
        <v>100</v>
      </c>
      <c r="AN15" s="10">
        <f>opex_external/'Market Sizing'!AN6</f>
        <v>100</v>
      </c>
      <c r="AO15" s="10">
        <f>opex_external/'Market Sizing'!AO6</f>
        <v>100</v>
      </c>
      <c r="AP15" s="10">
        <f>opex_external/'Market Sizing'!AP6</f>
        <v>100</v>
      </c>
      <c r="AQ15" s="10">
        <f>opex_external/'Market Sizing'!AQ6</f>
        <v>100</v>
      </c>
      <c r="AR15" s="10">
        <f>opex_external/'Market Sizing'!AR6</f>
        <v>100</v>
      </c>
    </row>
    <row r="16" spans="1:44" x14ac:dyDescent="0.3">
      <c r="A16" s="4" t="s">
        <v>487</v>
      </c>
      <c r="B16" s="4" t="s">
        <v>218</v>
      </c>
      <c r="C16" s="10">
        <f>opex_legal/'Market Sizing'!C6</f>
        <v>20</v>
      </c>
      <c r="D16" s="10">
        <f>opex_legal/'Market Sizing'!D6</f>
        <v>20</v>
      </c>
      <c r="E16" s="10">
        <f>opex_legal/'Market Sizing'!E6</f>
        <v>20</v>
      </c>
      <c r="F16" s="10">
        <f>opex_legal/'Market Sizing'!F6</f>
        <v>20</v>
      </c>
      <c r="G16" s="10">
        <f>opex_legal/'Market Sizing'!G6</f>
        <v>20</v>
      </c>
      <c r="H16" s="10">
        <f>opex_legal/'Market Sizing'!H6</f>
        <v>20</v>
      </c>
      <c r="I16" s="10">
        <f>opex_legal/'Market Sizing'!I6</f>
        <v>20</v>
      </c>
      <c r="J16" s="10">
        <f>opex_legal/'Market Sizing'!J6</f>
        <v>20</v>
      </c>
      <c r="K16" s="10">
        <f>opex_legal/'Market Sizing'!K6</f>
        <v>20</v>
      </c>
      <c r="L16" s="10">
        <f>opex_legal/'Market Sizing'!L6</f>
        <v>20</v>
      </c>
      <c r="M16" s="10">
        <f>opex_legal/'Market Sizing'!M6</f>
        <v>20</v>
      </c>
      <c r="N16" s="10">
        <f>opex_legal/'Market Sizing'!N6</f>
        <v>20</v>
      </c>
      <c r="O16" s="10">
        <f>opex_legal/'Market Sizing'!O6</f>
        <v>20</v>
      </c>
      <c r="P16" s="10">
        <f>opex_legal/'Market Sizing'!P6</f>
        <v>20</v>
      </c>
      <c r="Q16" s="10">
        <f>opex_legal/'Market Sizing'!Q6</f>
        <v>20</v>
      </c>
      <c r="R16" s="10">
        <f>opex_legal/'Market Sizing'!R6</f>
        <v>20</v>
      </c>
      <c r="S16" s="10">
        <f>opex_legal/'Market Sizing'!S6</f>
        <v>20</v>
      </c>
      <c r="T16" s="10">
        <f>opex_legal/'Market Sizing'!T6</f>
        <v>20</v>
      </c>
      <c r="U16" s="10">
        <f>opex_legal/'Market Sizing'!U6</f>
        <v>20</v>
      </c>
      <c r="V16" s="10">
        <f>opex_legal/'Market Sizing'!V6</f>
        <v>20</v>
      </c>
      <c r="W16" s="10">
        <f>opex_legal/'Market Sizing'!W6</f>
        <v>20</v>
      </c>
      <c r="X16" s="10">
        <f>opex_legal/'Market Sizing'!X6</f>
        <v>20</v>
      </c>
      <c r="Y16" s="10">
        <f>opex_legal/'Market Sizing'!Y6</f>
        <v>20</v>
      </c>
      <c r="Z16" s="10">
        <f>opex_legal/'Market Sizing'!Z6</f>
        <v>20</v>
      </c>
      <c r="AA16" s="10">
        <f>opex_legal/'Market Sizing'!AA6</f>
        <v>20</v>
      </c>
      <c r="AB16" s="10">
        <f>opex_legal/'Market Sizing'!AB6</f>
        <v>20</v>
      </c>
      <c r="AC16" s="10">
        <f>opex_legal/'Market Sizing'!AC6</f>
        <v>20</v>
      </c>
      <c r="AD16" s="10">
        <f>opex_legal/'Market Sizing'!AD6</f>
        <v>20</v>
      </c>
      <c r="AE16" s="10">
        <f>opex_legal/'Market Sizing'!AE6</f>
        <v>20</v>
      </c>
      <c r="AF16" s="10">
        <f>opex_legal/'Market Sizing'!AF6</f>
        <v>20</v>
      </c>
      <c r="AG16" s="10">
        <f>opex_legal/'Market Sizing'!AG6</f>
        <v>60</v>
      </c>
      <c r="AH16" s="10">
        <f>opex_legal/'Market Sizing'!AH6</f>
        <v>60</v>
      </c>
      <c r="AI16" s="10">
        <f>opex_legal/'Market Sizing'!AI6</f>
        <v>60</v>
      </c>
      <c r="AJ16" s="10">
        <f>opex_legal/'Market Sizing'!AJ6</f>
        <v>60</v>
      </c>
      <c r="AK16" s="10">
        <f>opex_legal/'Market Sizing'!AK6</f>
        <v>60</v>
      </c>
      <c r="AL16" s="10">
        <f>opex_legal/'Market Sizing'!AL6</f>
        <v>60</v>
      </c>
      <c r="AM16" s="10">
        <f>opex_legal/'Market Sizing'!AM6</f>
        <v>60</v>
      </c>
      <c r="AN16" s="10">
        <f>opex_legal/'Market Sizing'!AN6</f>
        <v>60</v>
      </c>
      <c r="AO16" s="10">
        <f>opex_legal/'Market Sizing'!AO6</f>
        <v>60</v>
      </c>
      <c r="AP16" s="10">
        <f>opex_legal/'Market Sizing'!AP6</f>
        <v>60</v>
      </c>
      <c r="AQ16" s="10">
        <f>opex_legal/'Market Sizing'!AQ6</f>
        <v>60</v>
      </c>
      <c r="AR16" s="10">
        <f>opex_legal/'Market Sizing'!AR6</f>
        <v>60</v>
      </c>
    </row>
    <row r="17" spans="1:44" x14ac:dyDescent="0.3">
      <c r="A17" s="4" t="s">
        <v>488</v>
      </c>
      <c r="B17" s="4" t="s">
        <v>218</v>
      </c>
      <c r="C17" s="10">
        <f>opex_pilot_eval/'Market Sizing'!C6</f>
        <v>16.666666666666668</v>
      </c>
      <c r="D17" s="10">
        <f>opex_pilot_eval/'Market Sizing'!D6</f>
        <v>16.666666666666668</v>
      </c>
      <c r="E17" s="10">
        <f>opex_pilot_eval/'Market Sizing'!E6</f>
        <v>16.666666666666668</v>
      </c>
      <c r="F17" s="10">
        <f>opex_pilot_eval/'Market Sizing'!F6</f>
        <v>16.666666666666668</v>
      </c>
      <c r="G17" s="10">
        <f>opex_pilot_eval/'Market Sizing'!G6</f>
        <v>16.666666666666668</v>
      </c>
      <c r="H17" s="10">
        <f>opex_pilot_eval/'Market Sizing'!H6</f>
        <v>16.666666666666668</v>
      </c>
      <c r="I17" s="10">
        <f>0</f>
        <v>0</v>
      </c>
      <c r="J17" s="10">
        <f>0</f>
        <v>0</v>
      </c>
      <c r="K17" s="10">
        <f>0</f>
        <v>0</v>
      </c>
      <c r="L17" s="10">
        <f>0</f>
        <v>0</v>
      </c>
      <c r="M17" s="10">
        <f>0</f>
        <v>0</v>
      </c>
      <c r="N17" s="10">
        <f>0</f>
        <v>0</v>
      </c>
      <c r="O17" s="10">
        <f>0</f>
        <v>0</v>
      </c>
      <c r="P17" s="10">
        <f>0</f>
        <v>0</v>
      </c>
      <c r="Q17" s="10">
        <f>0</f>
        <v>0</v>
      </c>
      <c r="R17" s="10">
        <f>0</f>
        <v>0</v>
      </c>
      <c r="S17" s="10">
        <f>0</f>
        <v>0</v>
      </c>
      <c r="T17" s="10">
        <f>0</f>
        <v>0</v>
      </c>
      <c r="U17" s="10">
        <f>0</f>
        <v>0</v>
      </c>
      <c r="V17" s="10">
        <f>0</f>
        <v>0</v>
      </c>
      <c r="W17" s="10">
        <f>0</f>
        <v>0</v>
      </c>
      <c r="X17" s="10">
        <f>0</f>
        <v>0</v>
      </c>
      <c r="Y17" s="10">
        <f>0</f>
        <v>0</v>
      </c>
      <c r="Z17" s="10">
        <f>0</f>
        <v>0</v>
      </c>
      <c r="AA17" s="10">
        <f>0</f>
        <v>0</v>
      </c>
      <c r="AB17" s="10">
        <f>0</f>
        <v>0</v>
      </c>
      <c r="AC17" s="10">
        <f>0</f>
        <v>0</v>
      </c>
      <c r="AD17" s="10">
        <f>0</f>
        <v>0</v>
      </c>
      <c r="AE17" s="10">
        <f>0</f>
        <v>0</v>
      </c>
      <c r="AF17" s="10">
        <f>0</f>
        <v>0</v>
      </c>
      <c r="AG17" s="10">
        <f>0</f>
        <v>0</v>
      </c>
      <c r="AH17" s="10">
        <f>0</f>
        <v>0</v>
      </c>
      <c r="AI17" s="10">
        <f>0</f>
        <v>0</v>
      </c>
      <c r="AJ17" s="10">
        <f>0</f>
        <v>0</v>
      </c>
      <c r="AK17" s="10">
        <f>0</f>
        <v>0</v>
      </c>
      <c r="AL17" s="10">
        <f>0</f>
        <v>0</v>
      </c>
      <c r="AM17" s="10">
        <f>0</f>
        <v>0</v>
      </c>
      <c r="AN17" s="10">
        <f>0</f>
        <v>0</v>
      </c>
      <c r="AO17" s="10">
        <f>0</f>
        <v>0</v>
      </c>
      <c r="AP17" s="10">
        <f>0</f>
        <v>0</v>
      </c>
      <c r="AQ17" s="10">
        <f>0</f>
        <v>0</v>
      </c>
      <c r="AR17" s="10">
        <f>0</f>
        <v>0</v>
      </c>
    </row>
    <row r="18" spans="1:44" x14ac:dyDescent="0.3">
      <c r="A18" s="4" t="s">
        <v>489</v>
      </c>
      <c r="B18" s="4" t="s">
        <v>218</v>
      </c>
      <c r="C18" s="10">
        <f>opex_partner_mgmt/'Market Sizing'!C6</f>
        <v>41.666666666666664</v>
      </c>
      <c r="D18" s="10">
        <f>opex_partner_mgmt/'Market Sizing'!D6</f>
        <v>41.666666666666664</v>
      </c>
      <c r="E18" s="10">
        <f>opex_partner_mgmt/'Market Sizing'!E6</f>
        <v>41.666666666666664</v>
      </c>
      <c r="F18" s="10">
        <f>opex_partner_mgmt/'Market Sizing'!F6</f>
        <v>41.666666666666664</v>
      </c>
      <c r="G18" s="10">
        <f>opex_partner_mgmt/'Market Sizing'!G6</f>
        <v>41.666666666666664</v>
      </c>
      <c r="H18" s="10">
        <f>opex_partner_mgmt/'Market Sizing'!H6</f>
        <v>41.666666666666664</v>
      </c>
      <c r="I18" s="10">
        <f>opex_partner_mgmt/'Market Sizing'!I6</f>
        <v>41.666666666666664</v>
      </c>
      <c r="J18" s="10">
        <f>opex_partner_mgmt/'Market Sizing'!J6</f>
        <v>41.666666666666664</v>
      </c>
      <c r="K18" s="10">
        <f>opex_partner_mgmt/'Market Sizing'!K6</f>
        <v>41.666666666666664</v>
      </c>
      <c r="L18" s="10">
        <f>opex_partner_mgmt/'Market Sizing'!L6</f>
        <v>41.666666666666664</v>
      </c>
      <c r="M18" s="10">
        <f>opex_partner_mgmt/'Market Sizing'!M6</f>
        <v>41.666666666666664</v>
      </c>
      <c r="N18" s="10">
        <f>opex_partner_mgmt/'Market Sizing'!N6</f>
        <v>41.666666666666664</v>
      </c>
      <c r="O18" s="10">
        <f>opex_partner_mgmt/'Market Sizing'!O6</f>
        <v>41.666666666666664</v>
      </c>
      <c r="P18" s="10">
        <f>opex_partner_mgmt/'Market Sizing'!P6</f>
        <v>41.666666666666664</v>
      </c>
      <c r="Q18" s="10">
        <f>opex_partner_mgmt/'Market Sizing'!Q6</f>
        <v>41.666666666666664</v>
      </c>
      <c r="R18" s="10">
        <f>opex_partner_mgmt/'Market Sizing'!R6</f>
        <v>41.666666666666664</v>
      </c>
      <c r="S18" s="10">
        <f>opex_partner_mgmt/'Market Sizing'!S6</f>
        <v>41.666666666666664</v>
      </c>
      <c r="T18" s="10">
        <f>opex_partner_mgmt/'Market Sizing'!T6</f>
        <v>41.666666666666664</v>
      </c>
      <c r="U18" s="10">
        <f>opex_partner_mgmt/'Market Sizing'!U6</f>
        <v>41.666666666666664</v>
      </c>
      <c r="V18" s="10">
        <f>opex_partner_mgmt/'Market Sizing'!V6</f>
        <v>41.666666666666664</v>
      </c>
      <c r="W18" s="10">
        <f>opex_partner_mgmt/'Market Sizing'!W6</f>
        <v>41.666666666666664</v>
      </c>
      <c r="X18" s="10">
        <f>opex_partner_mgmt/'Market Sizing'!X6</f>
        <v>41.666666666666664</v>
      </c>
      <c r="Y18" s="10">
        <f>opex_partner_mgmt/'Market Sizing'!Y6</f>
        <v>41.666666666666664</v>
      </c>
      <c r="Z18" s="10">
        <f>opex_partner_mgmt/'Market Sizing'!Z6</f>
        <v>41.666666666666664</v>
      </c>
      <c r="AA18" s="10">
        <f>opex_partner_mgmt/'Market Sizing'!AA6</f>
        <v>41.666666666666664</v>
      </c>
      <c r="AB18" s="10">
        <f>opex_partner_mgmt/'Market Sizing'!AB6</f>
        <v>41.666666666666664</v>
      </c>
      <c r="AC18" s="10">
        <f>opex_partner_mgmt/'Market Sizing'!AC6</f>
        <v>41.666666666666664</v>
      </c>
      <c r="AD18" s="10">
        <f>opex_partner_mgmt/'Market Sizing'!AD6</f>
        <v>41.666666666666664</v>
      </c>
      <c r="AE18" s="10">
        <f>opex_partner_mgmt/'Market Sizing'!AE6</f>
        <v>41.666666666666664</v>
      </c>
      <c r="AF18" s="10">
        <f>opex_partner_mgmt/'Market Sizing'!AF6</f>
        <v>41.666666666666664</v>
      </c>
      <c r="AG18" s="10">
        <f>opex_partner_mgmt/'Market Sizing'!AG6</f>
        <v>125</v>
      </c>
      <c r="AH18" s="10">
        <f>opex_partner_mgmt/'Market Sizing'!AH6</f>
        <v>125</v>
      </c>
      <c r="AI18" s="10">
        <f>opex_partner_mgmt/'Market Sizing'!AI6</f>
        <v>125</v>
      </c>
      <c r="AJ18" s="10">
        <f>opex_partner_mgmt/'Market Sizing'!AJ6</f>
        <v>125</v>
      </c>
      <c r="AK18" s="10">
        <f>opex_partner_mgmt/'Market Sizing'!AK6</f>
        <v>125</v>
      </c>
      <c r="AL18" s="10">
        <f>opex_partner_mgmt/'Market Sizing'!AL6</f>
        <v>125</v>
      </c>
      <c r="AM18" s="10">
        <f>opex_partner_mgmt/'Market Sizing'!AM6</f>
        <v>125</v>
      </c>
      <c r="AN18" s="10">
        <f>opex_partner_mgmt/'Market Sizing'!AN6</f>
        <v>125</v>
      </c>
      <c r="AO18" s="10">
        <f>opex_partner_mgmt/'Market Sizing'!AO6</f>
        <v>125</v>
      </c>
      <c r="AP18" s="10">
        <f>opex_partner_mgmt/'Market Sizing'!AP6</f>
        <v>125</v>
      </c>
      <c r="AQ18" s="10">
        <f>opex_partner_mgmt/'Market Sizing'!AQ6</f>
        <v>125</v>
      </c>
      <c r="AR18" s="10">
        <f>opex_partner_mgmt/'Market Sizing'!AR6</f>
        <v>125</v>
      </c>
    </row>
    <row r="19" spans="1:44" x14ac:dyDescent="0.3">
      <c r="A19" s="4" t="s">
        <v>490</v>
      </c>
      <c r="B19" s="4" t="s">
        <v>218</v>
      </c>
      <c r="C19" s="43">
        <f>'Market Sizing'!C15*opex_support_per_ent*IF('Market Sizing'!C15&gt;support_scale_threshold,1-support_discount,1)/'Market Sizing'!C6</f>
        <v>19.069892979821898</v>
      </c>
      <c r="D19" s="43">
        <f>'Market Sizing'!D15*opex_support_per_ent*IF('Market Sizing'!D15&gt;support_scale_threshold,1-support_discount,1)/'Market Sizing'!D6</f>
        <v>20.070280504491496</v>
      </c>
      <c r="E19" s="43">
        <f>'Market Sizing'!E15*opex_support_per_ent*IF('Market Sizing'!E15&gt;support_scale_threshold,1-support_discount,1)/'Market Sizing'!E6</f>
        <v>21.486030905790582</v>
      </c>
      <c r="F19" s="43">
        <f>'Market Sizing'!F15*opex_support_per_ent*IF('Market Sizing'!F15&gt;support_scale_threshold,1-support_discount,1)/'Market Sizing'!F6</f>
        <v>22.987260498894543</v>
      </c>
      <c r="G19" s="43">
        <f>'Market Sizing'!G15*opex_support_per_ent*IF('Market Sizing'!G15&gt;support_scale_threshold,1-support_discount,1)/'Market Sizing'!G6</f>
        <v>24.577338304148459</v>
      </c>
      <c r="H19" s="43">
        <f>'Market Sizing'!H15*opex_support_per_ent*IF('Market Sizing'!H15&gt;support_scale_threshold,1-support_discount,1)/'Market Sizing'!H6</f>
        <v>26.092848039567418</v>
      </c>
      <c r="I19" s="43">
        <f>'Market Sizing'!I15*opex_support_per_ent*IF('Market Sizing'!I15&gt;support_scale_threshold,1-support_discount,1)/'Market Sizing'!I6</f>
        <v>27.870212980097559</v>
      </c>
      <c r="J19" s="43">
        <f>'Market Sizing'!J15*opex_support_per_ent*IF('Market Sizing'!J15&gt;support_scale_threshold,1-support_discount,1)/'Market Sizing'!J6</f>
        <v>29.745650501813085</v>
      </c>
      <c r="K19" s="43">
        <f>'Market Sizing'!K15*opex_support_per_ent*IF('Market Sizing'!K15&gt;support_scale_threshold,1-support_discount,1)/'Market Sizing'!K6</f>
        <v>31.721789915318894</v>
      </c>
      <c r="L19" s="43">
        <f>'Market Sizing'!L15*opex_support_per_ent*IF('Market Sizing'!L15&gt;support_scale_threshold,1-support_discount,1)/'Market Sizing'!L6</f>
        <v>33.800953995080178</v>
      </c>
      <c r="M19" s="43">
        <f>'Market Sizing'!M15*opex_support_per_ent*IF('Market Sizing'!M15&gt;support_scale_threshold,1-support_discount,1)/'Market Sizing'!M6</f>
        <v>35.81843809460257</v>
      </c>
      <c r="N19" s="43">
        <f>'Market Sizing'!N15*opex_support_per_ent*IF('Market Sizing'!N15&gt;support_scale_threshold,1-support_discount,1)/'Market Sizing'!N6</f>
        <v>38.109120898107442</v>
      </c>
      <c r="O19" s="43">
        <f>'Market Sizing'!O15*opex_support_per_ent*IF('Market Sizing'!O15&gt;support_scale_threshold,1-support_discount,1)/'Market Sizing'!O6</f>
        <v>40.507407693522801</v>
      </c>
      <c r="P19" s="43">
        <f>'Market Sizing'!P15*opex_support_per_ent*IF('Market Sizing'!P15&gt;support_scale_threshold,1-support_discount,1)/'Market Sizing'!P6</f>
        <v>43.013840552857893</v>
      </c>
      <c r="Q19" s="43">
        <f>'Market Sizing'!Q15*opex_support_per_ent*IF('Market Sizing'!Q15&gt;support_scale_threshold,1-support_discount,1)/'Market Sizing'!Q6</f>
        <v>45.461709966865556</v>
      </c>
      <c r="R19" s="43">
        <f>'Market Sizing'!R15*opex_support_per_ent*IF('Market Sizing'!R15&gt;support_scale_threshold,1-support_discount,1)/'Market Sizing'!R6</f>
        <v>48.183669293141008</v>
      </c>
      <c r="S19" s="43">
        <f>'Market Sizing'!S15*opex_support_per_ent*IF('Market Sizing'!S15&gt;support_scale_threshold,1-support_discount,1)/'Market Sizing'!S6</f>
        <v>51.011686830233252</v>
      </c>
      <c r="T19" s="43">
        <f>'Market Sizing'!T15*opex_support_per_ent*IF('Market Sizing'!T15&gt;support_scale_threshold,1-support_discount,1)/'Market Sizing'!T6</f>
        <v>53.943670414513548</v>
      </c>
      <c r="U19" s="43">
        <f>'Market Sizing'!U15*opex_support_per_ent*IF('Market Sizing'!U15&gt;support_scale_threshold,1-support_discount,1)/'Market Sizing'!U6</f>
        <v>56.810099474999198</v>
      </c>
      <c r="V19" s="43">
        <f>'Market Sizing'!V15*opex_support_per_ent*IF('Market Sizing'!V15&gt;support_scale_threshold,1-support_discount,1)/'Market Sizing'!V6</f>
        <v>59.940666130484033</v>
      </c>
      <c r="W19" s="43">
        <f>'Market Sizing'!W15*opex_support_per_ent*IF('Market Sizing'!W15&gt;support_scale_threshold,1-support_discount,1)/'Market Sizing'!W6</f>
        <v>63.164260164924372</v>
      </c>
      <c r="X19" s="43">
        <f>'Market Sizing'!X15*opex_support_per_ent*IF('Market Sizing'!X15&gt;support_scale_threshold,1-support_discount,1)/'Market Sizing'!X6</f>
        <v>66.308965899316817</v>
      </c>
      <c r="Y19" s="43">
        <f>'Market Sizing'!Y15*opex_support_per_ent*IF('Market Sizing'!Y15&gt;support_scale_threshold,1-support_discount,1)/'Market Sizing'!Y6</f>
        <v>69.702072088171121</v>
      </c>
      <c r="Z19" s="43">
        <f>'Market Sizing'!Z15*opex_support_per_ent*IF('Market Sizing'!Z15&gt;support_scale_threshold,1-support_discount,1)/'Market Sizing'!Z6</f>
        <v>73.170095674263266</v>
      </c>
      <c r="AA19" s="43">
        <f>'Market Sizing'!AA15*opex_support_per_ent*IF('Market Sizing'!AA15&gt;support_scale_threshold,1-support_discount,1)/'Market Sizing'!AA6</f>
        <v>76.538819876822274</v>
      </c>
      <c r="AB19" s="43">
        <f>'Market Sizing'!AB15*opex_support_per_ent*IF('Market Sizing'!AB15&gt;support_scale_threshold,1-support_discount,1)/'Market Sizing'!AB6</f>
        <v>80.133346675849438</v>
      </c>
      <c r="AC19" s="43">
        <f>'Market Sizing'!AC15*opex_support_per_ent*IF('Market Sizing'!AC15&gt;support_scale_threshold,1-support_discount,1)/'Market Sizing'!AC6</f>
        <v>58.528047646370062</v>
      </c>
      <c r="AD19" s="43">
        <f>'Market Sizing'!AD15*opex_support_per_ent*IF('Market Sizing'!AD15&gt;support_scale_threshold,1-support_discount,1)/'Market Sizing'!AD6</f>
        <v>61.108055323753206</v>
      </c>
      <c r="AE19" s="43">
        <f>'Market Sizing'!AE15*opex_support_per_ent*IF('Market Sizing'!AE15&gt;support_scale_threshold,1-support_discount,1)/'Market Sizing'!AE6</f>
        <v>63.709821651872687</v>
      </c>
      <c r="AF19" s="43">
        <f>'Market Sizing'!AF15*opex_support_per_ent*IF('Market Sizing'!AF15&gt;support_scale_threshold,1-support_discount,1)/'Market Sizing'!AF6</f>
        <v>66.209563110340767</v>
      </c>
      <c r="AG19" s="43">
        <f>'Market Sizing'!AG15*opex_support_per_ent*IF('Market Sizing'!AG15&gt;support_scale_threshold,1-support_discount,1)/'Market Sizing'!AG6</f>
        <v>203.08703863910466</v>
      </c>
      <c r="AH19" s="43">
        <f>'Market Sizing'!AH15*opex_support_per_ent*IF('Market Sizing'!AH15&gt;support_scale_threshold,1-support_discount,1)/'Market Sizing'!AH6</f>
        <v>225.50531397818895</v>
      </c>
      <c r="AI19" s="43">
        <f>'Market Sizing'!AI15*opex_support_per_ent*IF('Market Sizing'!AI15&gt;support_scale_threshold,1-support_discount,1)/'Market Sizing'!AI6</f>
        <v>247.2472742517823</v>
      </c>
      <c r="AJ19" s="43">
        <f>'Market Sizing'!AJ15*opex_support_per_ent*IF('Market Sizing'!AJ15&gt;support_scale_threshold,1-support_discount,1)/'Market Sizing'!AJ6</f>
        <v>267.80039982043292</v>
      </c>
      <c r="AK19" s="43">
        <f>'Market Sizing'!AK15*opex_support_per_ent*IF('Market Sizing'!AK15&gt;support_scale_threshold,1-support_discount,1)/'Market Sizing'!AK6</f>
        <v>286.7596448797654</v>
      </c>
      <c r="AL19" s="43">
        <f>'Market Sizing'!AL15*opex_support_per_ent*IF('Market Sizing'!AL15&gt;support_scale_threshold,1-support_discount,1)/'Market Sizing'!AL6</f>
        <v>303.85040603945157</v>
      </c>
      <c r="AM19" s="43">
        <f>'Market Sizing'!AM15*opex_support_per_ent*IF('Market Sizing'!AM15&gt;support_scale_threshold,1-support_discount,1)/'Market Sizing'!AM6</f>
        <v>319.28098962966368</v>
      </c>
      <c r="AN19" s="43">
        <f>'Market Sizing'!AN15*opex_support_per_ent*IF('Market Sizing'!AN15&gt;support_scale_threshold,1-support_discount,1)/'Market Sizing'!AN6</f>
        <v>332.67843950279411</v>
      </c>
      <c r="AO19" s="43">
        <f>'Market Sizing'!AO15*opex_support_per_ent*IF('Market Sizing'!AO15&gt;support_scale_threshold,1-support_discount,1)/'Market Sizing'!AO6</f>
        <v>344.11416275428223</v>
      </c>
      <c r="AP19" s="43">
        <f>'Market Sizing'!AP15*opex_support_per_ent*IF('Market Sizing'!AP15&gt;support_scale_threshold,1-support_discount,1)/'Market Sizing'!AP6</f>
        <v>354.07592936118772</v>
      </c>
      <c r="AQ19" s="43">
        <f>'Market Sizing'!AQ15*opex_support_per_ent*IF('Market Sizing'!AQ15&gt;support_scale_threshold,1-support_discount,1)/'Market Sizing'!AQ6</f>
        <v>362.39132568990078</v>
      </c>
      <c r="AR19" s="43">
        <f>'Market Sizing'!AR15*opex_support_per_ent*IF('Market Sizing'!AR15&gt;support_scale_threshold,1-support_discount,1)/'Market Sizing'!AR6</f>
        <v>368.90566316354727</v>
      </c>
    </row>
    <row r="20" spans="1:44" x14ac:dyDescent="0.3">
      <c r="A20" s="4" t="s">
        <v>491</v>
      </c>
      <c r="C20" s="9">
        <f t="shared" ref="C20:AR20" si="2">SUM(C10:C19)</f>
        <v>3224.1244649819218</v>
      </c>
      <c r="D20" s="9">
        <f t="shared" si="2"/>
        <v>2073.0196018151787</v>
      </c>
      <c r="E20" s="9">
        <f t="shared" si="2"/>
        <v>2074.2965384159279</v>
      </c>
      <c r="F20" s="9">
        <f t="shared" si="2"/>
        <v>2075.6629179068987</v>
      </c>
      <c r="G20" s="9">
        <f t="shared" si="2"/>
        <v>2077.1232930802385</v>
      </c>
      <c r="H20" s="9">
        <f t="shared" si="2"/>
        <v>2078.5271194964548</v>
      </c>
      <c r="I20" s="9">
        <f t="shared" si="2"/>
        <v>2866.2595655101181</v>
      </c>
      <c r="J20" s="9">
        <f t="shared" si="2"/>
        <v>2435.8304379552383</v>
      </c>
      <c r="K20" s="9">
        <f t="shared" si="2"/>
        <v>2437.5022009448976</v>
      </c>
      <c r="L20" s="9">
        <f t="shared" si="2"/>
        <v>2439.2785268050129</v>
      </c>
      <c r="M20" s="9">
        <f t="shared" si="2"/>
        <v>2441.0183953254441</v>
      </c>
      <c r="N20" s="9">
        <f t="shared" si="2"/>
        <v>2443.0123332813164</v>
      </c>
      <c r="O20" s="9">
        <f t="shared" si="2"/>
        <v>2445.1199840820645</v>
      </c>
      <c r="P20" s="9">
        <f t="shared" si="2"/>
        <v>2447.3435479147111</v>
      </c>
      <c r="Q20" s="9">
        <f t="shared" si="2"/>
        <v>2449.5348033242472</v>
      </c>
      <c r="R20" s="9">
        <f t="shared" si="2"/>
        <v>2451.9931806518894</v>
      </c>
      <c r="S20" s="9">
        <f t="shared" si="2"/>
        <v>2454.570542584579</v>
      </c>
      <c r="T20" s="9">
        <f t="shared" si="2"/>
        <v>2457.2665026008417</v>
      </c>
      <c r="U20" s="9">
        <f t="shared" si="2"/>
        <v>3576.0065773768615</v>
      </c>
      <c r="V20" s="9">
        <f t="shared" si="2"/>
        <v>3002.5559540616277</v>
      </c>
      <c r="W20" s="9">
        <f t="shared" si="2"/>
        <v>3005.2065113968538</v>
      </c>
      <c r="X20" s="9">
        <f t="shared" si="2"/>
        <v>3007.8160576156279</v>
      </c>
      <c r="Y20" s="9">
        <f t="shared" si="2"/>
        <v>3010.6571135338686</v>
      </c>
      <c r="Z20" s="9">
        <f t="shared" si="2"/>
        <v>3013.5870759172972</v>
      </c>
      <c r="AA20" s="9">
        <f t="shared" si="2"/>
        <v>3016.4575329062122</v>
      </c>
      <c r="AB20" s="9">
        <f t="shared" si="2"/>
        <v>3019.5459309289131</v>
      </c>
      <c r="AC20" s="9">
        <f t="shared" si="2"/>
        <v>2997.4751112833796</v>
      </c>
      <c r="AD20" s="9">
        <f t="shared" si="2"/>
        <v>2999.586918786601</v>
      </c>
      <c r="AE20" s="9">
        <f t="shared" si="2"/>
        <v>3001.7418209143816</v>
      </c>
      <c r="AF20" s="9">
        <f t="shared" si="2"/>
        <v>3003.8353650710683</v>
      </c>
      <c r="AG20" s="9">
        <f t="shared" si="2"/>
        <v>11860.077000432273</v>
      </c>
      <c r="AH20" s="9">
        <f t="shared" si="2"/>
        <v>11082.902220494734</v>
      </c>
      <c r="AI20" s="9">
        <f t="shared" si="2"/>
        <v>11097.789717825692</v>
      </c>
      <c r="AJ20" s="9">
        <f t="shared" si="2"/>
        <v>11112.291839038595</v>
      </c>
      <c r="AK20" s="9">
        <f t="shared" si="2"/>
        <v>14972.577440700064</v>
      </c>
      <c r="AL20" s="9">
        <f t="shared" si="2"/>
        <v>13973.3198759038</v>
      </c>
      <c r="AM20" s="9">
        <f t="shared" si="2"/>
        <v>13981.42283809971</v>
      </c>
      <c r="AN20" s="9">
        <f t="shared" si="2"/>
        <v>13988.613340805761</v>
      </c>
      <c r="AO20" s="9">
        <f t="shared" si="2"/>
        <v>17411.575324265224</v>
      </c>
      <c r="AP20" s="9">
        <f t="shared" si="2"/>
        <v>16694.48516952874</v>
      </c>
      <c r="AQ20" s="9">
        <f t="shared" si="2"/>
        <v>16696.970290121008</v>
      </c>
      <c r="AR20" s="9">
        <f t="shared" si="2"/>
        <v>16698.952206965521</v>
      </c>
    </row>
    <row r="21" spans="1:44" x14ac:dyDescent="0.3">
      <c r="A21" s="4" t="s">
        <v>492</v>
      </c>
      <c r="B21" s="4" t="s">
        <v>218</v>
      </c>
      <c r="C21" s="10">
        <f t="shared" ref="C21:AR21" si="3">C20*opex_contingency_pct</f>
        <v>322.4124464981922</v>
      </c>
      <c r="D21" s="10">
        <f t="shared" si="3"/>
        <v>207.30196018151787</v>
      </c>
      <c r="E21" s="10">
        <f t="shared" si="3"/>
        <v>207.4296538415928</v>
      </c>
      <c r="F21" s="10">
        <f t="shared" si="3"/>
        <v>207.56629179068989</v>
      </c>
      <c r="G21" s="10">
        <f t="shared" si="3"/>
        <v>207.71232930802387</v>
      </c>
      <c r="H21" s="10">
        <f t="shared" si="3"/>
        <v>207.85271194964548</v>
      </c>
      <c r="I21" s="10">
        <f t="shared" si="3"/>
        <v>286.62595655101183</v>
      </c>
      <c r="J21" s="10">
        <f t="shared" si="3"/>
        <v>243.58304379552385</v>
      </c>
      <c r="K21" s="10">
        <f t="shared" si="3"/>
        <v>243.75022009448978</v>
      </c>
      <c r="L21" s="10">
        <f t="shared" si="3"/>
        <v>243.9278526805013</v>
      </c>
      <c r="M21" s="10">
        <f t="shared" si="3"/>
        <v>244.10183953254443</v>
      </c>
      <c r="N21" s="10">
        <f t="shared" si="3"/>
        <v>244.30123332813164</v>
      </c>
      <c r="O21" s="10">
        <f t="shared" si="3"/>
        <v>244.51199840820647</v>
      </c>
      <c r="P21" s="10">
        <f t="shared" si="3"/>
        <v>244.73435479147111</v>
      </c>
      <c r="Q21" s="10">
        <f t="shared" si="3"/>
        <v>244.95348033242473</v>
      </c>
      <c r="R21" s="10">
        <f t="shared" si="3"/>
        <v>245.19931806518895</v>
      </c>
      <c r="S21" s="10">
        <f t="shared" si="3"/>
        <v>245.4570542584579</v>
      </c>
      <c r="T21" s="10">
        <f t="shared" si="3"/>
        <v>245.72665026008417</v>
      </c>
      <c r="U21" s="10">
        <f t="shared" si="3"/>
        <v>357.60065773768616</v>
      </c>
      <c r="V21" s="10">
        <f t="shared" si="3"/>
        <v>300.2555954061628</v>
      </c>
      <c r="W21" s="10">
        <f t="shared" si="3"/>
        <v>300.52065113968541</v>
      </c>
      <c r="X21" s="10">
        <f t="shared" si="3"/>
        <v>300.78160576156279</v>
      </c>
      <c r="Y21" s="10">
        <f t="shared" si="3"/>
        <v>301.06571135338686</v>
      </c>
      <c r="Z21" s="10">
        <f t="shared" si="3"/>
        <v>301.35870759172974</v>
      </c>
      <c r="AA21" s="10">
        <f t="shared" si="3"/>
        <v>301.64575329062126</v>
      </c>
      <c r="AB21" s="10">
        <f t="shared" si="3"/>
        <v>301.95459309289134</v>
      </c>
      <c r="AC21" s="10">
        <f t="shared" si="3"/>
        <v>299.74751112833798</v>
      </c>
      <c r="AD21" s="10">
        <f t="shared" si="3"/>
        <v>299.95869187866009</v>
      </c>
      <c r="AE21" s="10">
        <f t="shared" si="3"/>
        <v>300.17418209143818</v>
      </c>
      <c r="AF21" s="10">
        <f t="shared" si="3"/>
        <v>300.38353650710684</v>
      </c>
      <c r="AG21" s="10">
        <f t="shared" si="3"/>
        <v>1186.0077000432273</v>
      </c>
      <c r="AH21" s="10">
        <f t="shared" si="3"/>
        <v>1108.2902220494734</v>
      </c>
      <c r="AI21" s="10">
        <f t="shared" si="3"/>
        <v>1109.7789717825692</v>
      </c>
      <c r="AJ21" s="10">
        <f t="shared" si="3"/>
        <v>1111.2291839038596</v>
      </c>
      <c r="AK21" s="10">
        <f t="shared" si="3"/>
        <v>1497.2577440700065</v>
      </c>
      <c r="AL21" s="10">
        <f t="shared" si="3"/>
        <v>1397.3319875903801</v>
      </c>
      <c r="AM21" s="10">
        <f t="shared" si="3"/>
        <v>1398.1422838099711</v>
      </c>
      <c r="AN21" s="10">
        <f t="shared" si="3"/>
        <v>1398.8613340805762</v>
      </c>
      <c r="AO21" s="10">
        <f t="shared" si="3"/>
        <v>1741.1575324265225</v>
      </c>
      <c r="AP21" s="10">
        <f t="shared" si="3"/>
        <v>1669.4485169528741</v>
      </c>
      <c r="AQ21" s="10">
        <f t="shared" si="3"/>
        <v>1669.6970290121008</v>
      </c>
      <c r="AR21" s="10">
        <f t="shared" si="3"/>
        <v>1669.8952206965523</v>
      </c>
    </row>
    <row r="22" spans="1:44" x14ac:dyDescent="0.3">
      <c r="A22" s="4" t="s">
        <v>493</v>
      </c>
      <c r="C22" s="9">
        <f t="shared" ref="C22:AR22" si="4">C20+C21</f>
        <v>3546.5369114801142</v>
      </c>
      <c r="D22" s="9">
        <f t="shared" si="4"/>
        <v>2280.3215619966968</v>
      </c>
      <c r="E22" s="9">
        <f t="shared" si="4"/>
        <v>2281.7261922575208</v>
      </c>
      <c r="F22" s="9">
        <f t="shared" si="4"/>
        <v>2283.2292096975884</v>
      </c>
      <c r="G22" s="9">
        <f t="shared" si="4"/>
        <v>2284.8356223882624</v>
      </c>
      <c r="H22" s="9">
        <f t="shared" si="4"/>
        <v>2286.3798314461001</v>
      </c>
      <c r="I22" s="9">
        <f t="shared" si="4"/>
        <v>3152.8855220611299</v>
      </c>
      <c r="J22" s="9">
        <f t="shared" si="4"/>
        <v>2679.413481750762</v>
      </c>
      <c r="K22" s="9">
        <f t="shared" si="4"/>
        <v>2681.2524210393872</v>
      </c>
      <c r="L22" s="9">
        <f t="shared" si="4"/>
        <v>2683.2063794855144</v>
      </c>
      <c r="M22" s="9">
        <f t="shared" si="4"/>
        <v>2685.1202348579886</v>
      </c>
      <c r="N22" s="9">
        <f t="shared" si="4"/>
        <v>2687.3135666094481</v>
      </c>
      <c r="O22" s="9">
        <f t="shared" si="4"/>
        <v>2689.6319824902712</v>
      </c>
      <c r="P22" s="9">
        <f t="shared" si="4"/>
        <v>2692.0779027061822</v>
      </c>
      <c r="Q22" s="9">
        <f t="shared" si="4"/>
        <v>2694.4882836566717</v>
      </c>
      <c r="R22" s="9">
        <f t="shared" si="4"/>
        <v>2697.1924987170783</v>
      </c>
      <c r="S22" s="9">
        <f t="shared" si="4"/>
        <v>2700.0275968430369</v>
      </c>
      <c r="T22" s="9">
        <f t="shared" si="4"/>
        <v>2702.9931528609259</v>
      </c>
      <c r="U22" s="9">
        <f t="shared" si="4"/>
        <v>3933.6072351145476</v>
      </c>
      <c r="V22" s="9">
        <f t="shared" si="4"/>
        <v>3302.8115494677904</v>
      </c>
      <c r="W22" s="9">
        <f t="shared" si="4"/>
        <v>3305.7271625365393</v>
      </c>
      <c r="X22" s="9">
        <f t="shared" si="4"/>
        <v>3308.5976633771907</v>
      </c>
      <c r="Y22" s="9">
        <f t="shared" si="4"/>
        <v>3311.7228248872552</v>
      </c>
      <c r="Z22" s="9">
        <f t="shared" si="4"/>
        <v>3314.945783509027</v>
      </c>
      <c r="AA22" s="9">
        <f t="shared" si="4"/>
        <v>3318.1032861968333</v>
      </c>
      <c r="AB22" s="9">
        <f t="shared" si="4"/>
        <v>3321.5005240218043</v>
      </c>
      <c r="AC22" s="9">
        <f t="shared" si="4"/>
        <v>3297.2226224117176</v>
      </c>
      <c r="AD22" s="9">
        <f t="shared" si="4"/>
        <v>3299.5456106652609</v>
      </c>
      <c r="AE22" s="9">
        <f t="shared" si="4"/>
        <v>3301.9160030058197</v>
      </c>
      <c r="AF22" s="9">
        <f t="shared" si="4"/>
        <v>3304.2189015781751</v>
      </c>
      <c r="AG22" s="9">
        <f t="shared" si="4"/>
        <v>13046.0847004755</v>
      </c>
      <c r="AH22" s="9">
        <f t="shared" si="4"/>
        <v>12191.192442544208</v>
      </c>
      <c r="AI22" s="9">
        <f t="shared" si="4"/>
        <v>12207.568689608261</v>
      </c>
      <c r="AJ22" s="9">
        <f t="shared" si="4"/>
        <v>12223.521022942454</v>
      </c>
      <c r="AK22" s="9">
        <f t="shared" si="4"/>
        <v>16469.835184770072</v>
      </c>
      <c r="AL22" s="9">
        <f t="shared" si="4"/>
        <v>15370.65186349418</v>
      </c>
      <c r="AM22" s="9">
        <f t="shared" si="4"/>
        <v>15379.565121909682</v>
      </c>
      <c r="AN22" s="9">
        <f t="shared" si="4"/>
        <v>15387.474674886338</v>
      </c>
      <c r="AO22" s="9">
        <f t="shared" si="4"/>
        <v>19152.732856691746</v>
      </c>
      <c r="AP22" s="9">
        <f t="shared" si="4"/>
        <v>18363.933686481614</v>
      </c>
      <c r="AQ22" s="9">
        <f t="shared" si="4"/>
        <v>18366.667319133107</v>
      </c>
      <c r="AR22" s="9">
        <f t="shared" si="4"/>
        <v>18368.847427662073</v>
      </c>
    </row>
    <row r="24" spans="1:44" x14ac:dyDescent="0.3">
      <c r="A24" s="4" t="s">
        <v>494</v>
      </c>
      <c r="C24" s="9">
        <f t="shared" ref="C24:AR24" si="5">C7+C22</f>
        <v>4426.5369114801142</v>
      </c>
      <c r="D24" s="9">
        <f t="shared" si="5"/>
        <v>3160.3215619966968</v>
      </c>
      <c r="E24" s="9">
        <f t="shared" si="5"/>
        <v>3161.7261922575208</v>
      </c>
      <c r="F24" s="9">
        <f t="shared" si="5"/>
        <v>3163.2292096975884</v>
      </c>
      <c r="G24" s="9">
        <f t="shared" si="5"/>
        <v>3164.8356223882624</v>
      </c>
      <c r="H24" s="9">
        <f t="shared" si="5"/>
        <v>3166.3798314461001</v>
      </c>
      <c r="I24" s="9">
        <f t="shared" si="5"/>
        <v>3232.0855220611297</v>
      </c>
      <c r="J24" s="9">
        <f t="shared" si="5"/>
        <v>2758.6134817507618</v>
      </c>
      <c r="K24" s="9">
        <f t="shared" si="5"/>
        <v>2760.452421039387</v>
      </c>
      <c r="L24" s="9">
        <f t="shared" si="5"/>
        <v>2762.4063794855142</v>
      </c>
      <c r="M24" s="9">
        <f t="shared" si="5"/>
        <v>2764.3202348579885</v>
      </c>
      <c r="N24" s="9">
        <f t="shared" si="5"/>
        <v>2766.5135666094479</v>
      </c>
      <c r="O24" s="9">
        <f t="shared" si="5"/>
        <v>2768.831982490271</v>
      </c>
      <c r="P24" s="9">
        <f t="shared" si="5"/>
        <v>2771.277902706182</v>
      </c>
      <c r="Q24" s="9">
        <f t="shared" si="5"/>
        <v>2773.6882836566715</v>
      </c>
      <c r="R24" s="9">
        <f t="shared" si="5"/>
        <v>2776.3924987170781</v>
      </c>
      <c r="S24" s="9">
        <f t="shared" si="5"/>
        <v>2779.2275968430367</v>
      </c>
      <c r="T24" s="9">
        <f t="shared" si="5"/>
        <v>2782.1931528609257</v>
      </c>
      <c r="U24" s="9">
        <f t="shared" si="5"/>
        <v>4012.8072351145474</v>
      </c>
      <c r="V24" s="9">
        <f t="shared" si="5"/>
        <v>3382.0115494677902</v>
      </c>
      <c r="W24" s="9">
        <f t="shared" si="5"/>
        <v>3384.9271625365391</v>
      </c>
      <c r="X24" s="9">
        <f t="shared" si="5"/>
        <v>3387.7976633771905</v>
      </c>
      <c r="Y24" s="9">
        <f t="shared" si="5"/>
        <v>3390.922824887255</v>
      </c>
      <c r="Z24" s="9">
        <f t="shared" si="5"/>
        <v>3394.1457835090268</v>
      </c>
      <c r="AA24" s="9">
        <f t="shared" si="5"/>
        <v>3397.3032861968331</v>
      </c>
      <c r="AB24" s="9">
        <f t="shared" si="5"/>
        <v>3400.7005240218041</v>
      </c>
      <c r="AC24" s="9">
        <f t="shared" si="5"/>
        <v>3376.4226224117174</v>
      </c>
      <c r="AD24" s="9">
        <f t="shared" si="5"/>
        <v>3378.7456106652608</v>
      </c>
      <c r="AE24" s="9">
        <f t="shared" si="5"/>
        <v>3381.1160030058195</v>
      </c>
      <c r="AF24" s="9">
        <f t="shared" si="5"/>
        <v>3383.4189015781749</v>
      </c>
      <c r="AG24" s="9">
        <f t="shared" si="5"/>
        <v>13283.6847004755</v>
      </c>
      <c r="AH24" s="9">
        <f t="shared" si="5"/>
        <v>12428.792442544209</v>
      </c>
      <c r="AI24" s="9">
        <f t="shared" si="5"/>
        <v>12445.168689608261</v>
      </c>
      <c r="AJ24" s="9">
        <f t="shared" si="5"/>
        <v>12461.121022942454</v>
      </c>
      <c r="AK24" s="9">
        <f t="shared" si="5"/>
        <v>16707.435184770071</v>
      </c>
      <c r="AL24" s="9">
        <f t="shared" si="5"/>
        <v>15608.251863494181</v>
      </c>
      <c r="AM24" s="9">
        <f t="shared" si="5"/>
        <v>15617.165121909682</v>
      </c>
      <c r="AN24" s="9">
        <f t="shared" si="5"/>
        <v>15625.074674886338</v>
      </c>
      <c r="AO24" s="9">
        <f t="shared" si="5"/>
        <v>19390.332856691744</v>
      </c>
      <c r="AP24" s="9">
        <f t="shared" si="5"/>
        <v>18601.533686481613</v>
      </c>
      <c r="AQ24" s="9">
        <f t="shared" si="5"/>
        <v>18604.267319133105</v>
      </c>
      <c r="AR24" s="9">
        <f t="shared" si="5"/>
        <v>18606.447427662071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030A0"/>
  </sheetPr>
  <dimension ref="A1:AR18"/>
  <sheetViews>
    <sheetView workbookViewId="0"/>
  </sheetViews>
  <sheetFormatPr defaultRowHeight="14.4" x14ac:dyDescent="0.3"/>
  <cols>
    <col min="1" max="1" width="38" style="29" customWidth="1"/>
    <col min="2" max="2" width="10" style="29" customWidth="1"/>
    <col min="3" max="44" width="11" style="29" customWidth="1"/>
  </cols>
  <sheetData>
    <row r="1" spans="1:44" x14ac:dyDescent="0.3">
      <c r="A1" s="30" t="s">
        <v>495</v>
      </c>
    </row>
    <row r="3" spans="1:44" x14ac:dyDescent="0.3">
      <c r="A3" s="3" t="s">
        <v>463</v>
      </c>
      <c r="B3" s="3" t="s">
        <v>188</v>
      </c>
      <c r="C3" s="3" t="s">
        <v>382</v>
      </c>
      <c r="D3" s="3" t="s">
        <v>383</v>
      </c>
      <c r="E3" s="3" t="s">
        <v>384</v>
      </c>
      <c r="F3" s="3" t="s">
        <v>385</v>
      </c>
      <c r="G3" s="3" t="s">
        <v>386</v>
      </c>
      <c r="H3" s="3" t="s">
        <v>387</v>
      </c>
      <c r="I3" s="3" t="s">
        <v>388</v>
      </c>
      <c r="J3" s="3" t="s">
        <v>389</v>
      </c>
      <c r="K3" s="3" t="s">
        <v>390</v>
      </c>
      <c r="L3" s="3" t="s">
        <v>391</v>
      </c>
      <c r="M3" s="3" t="s">
        <v>392</v>
      </c>
      <c r="N3" s="3" t="s">
        <v>393</v>
      </c>
      <c r="O3" s="3" t="s">
        <v>394</v>
      </c>
      <c r="P3" s="3" t="s">
        <v>395</v>
      </c>
      <c r="Q3" s="3" t="s">
        <v>396</v>
      </c>
      <c r="R3" s="3" t="s">
        <v>397</v>
      </c>
      <c r="S3" s="3" t="s">
        <v>398</v>
      </c>
      <c r="T3" s="3" t="s">
        <v>399</v>
      </c>
      <c r="U3" s="3" t="s">
        <v>400</v>
      </c>
      <c r="V3" s="3" t="s">
        <v>401</v>
      </c>
      <c r="W3" s="3" t="s">
        <v>402</v>
      </c>
      <c r="X3" s="3" t="s">
        <v>403</v>
      </c>
      <c r="Y3" s="3" t="s">
        <v>404</v>
      </c>
      <c r="Z3" s="3" t="s">
        <v>405</v>
      </c>
      <c r="AA3" s="3" t="s">
        <v>406</v>
      </c>
      <c r="AB3" s="3" t="s">
        <v>407</v>
      </c>
      <c r="AC3" s="3" t="s">
        <v>408</v>
      </c>
      <c r="AD3" s="3" t="s">
        <v>409</v>
      </c>
      <c r="AE3" s="3" t="s">
        <v>410</v>
      </c>
      <c r="AF3" s="3" t="s">
        <v>411</v>
      </c>
      <c r="AG3" s="3" t="s">
        <v>412</v>
      </c>
      <c r="AH3" s="3" t="s">
        <v>413</v>
      </c>
      <c r="AI3" s="3" t="s">
        <v>414</v>
      </c>
      <c r="AJ3" s="3" t="s">
        <v>415</v>
      </c>
      <c r="AK3" s="3" t="s">
        <v>416</v>
      </c>
      <c r="AL3" s="3" t="s">
        <v>417</v>
      </c>
      <c r="AM3" s="3" t="s">
        <v>418</v>
      </c>
      <c r="AN3" s="3" t="s">
        <v>419</v>
      </c>
      <c r="AO3" s="3" t="s">
        <v>420</v>
      </c>
      <c r="AP3" s="3" t="s">
        <v>421</v>
      </c>
      <c r="AQ3" s="3" t="s">
        <v>422</v>
      </c>
      <c r="AR3" s="3" t="s">
        <v>423</v>
      </c>
    </row>
    <row r="4" spans="1:44" x14ac:dyDescent="0.3">
      <c r="A4" s="4" t="s">
        <v>496</v>
      </c>
      <c r="C4" s="10">
        <f>'Revenue Schedule'!C16</f>
        <v>376.63038635148246</v>
      </c>
      <c r="D4" s="10">
        <f>'Revenue Schedule'!D16</f>
        <v>396.38803996370706</v>
      </c>
      <c r="E4" s="10">
        <f>'Revenue Schedule'!E16</f>
        <v>424.349110389364</v>
      </c>
      <c r="F4" s="10">
        <f>'Revenue Schedule'!F16</f>
        <v>453.99839485316721</v>
      </c>
      <c r="G4" s="10">
        <f>'Revenue Schedule'!G16</f>
        <v>485.40243150693203</v>
      </c>
      <c r="H4" s="10">
        <f>'Revenue Schedule'!H16</f>
        <v>515.33374878145651</v>
      </c>
      <c r="I4" s="10">
        <f>'Revenue Schedule'!I16</f>
        <v>567.85558946948777</v>
      </c>
      <c r="J4" s="10">
        <f>'Revenue Schedule'!J16</f>
        <v>606.06762897444162</v>
      </c>
      <c r="K4" s="10">
        <f>'Revenue Schedule'!K16</f>
        <v>646.33146952462255</v>
      </c>
      <c r="L4" s="10">
        <f>'Revenue Schedule'!L16</f>
        <v>688.6944376497587</v>
      </c>
      <c r="M4" s="10">
        <f>'Revenue Schedule'!M16</f>
        <v>729.80067617752729</v>
      </c>
      <c r="N4" s="10">
        <f>'Revenue Schedule'!N16</f>
        <v>776.4733382989391</v>
      </c>
      <c r="O4" s="10">
        <f>'Revenue Schedule'!O16</f>
        <v>825.33843175552715</v>
      </c>
      <c r="P4" s="10">
        <f>'Revenue Schedule'!P16</f>
        <v>876.40700126447962</v>
      </c>
      <c r="Q4" s="10">
        <f>'Revenue Schedule'!Q16</f>
        <v>926.28234057488567</v>
      </c>
      <c r="R4" s="10">
        <f>'Revenue Schedule'!R16</f>
        <v>981.74226184774807</v>
      </c>
      <c r="S4" s="10">
        <f>'Revenue Schedule'!S16</f>
        <v>4124.1394145340273</v>
      </c>
      <c r="T4" s="10">
        <f>'Revenue Schedule'!T16</f>
        <v>4190.4755431283693</v>
      </c>
      <c r="U4" s="10">
        <f>'Revenue Schedule'!U16</f>
        <v>4530.2101284023265</v>
      </c>
      <c r="V4" s="10">
        <f>'Revenue Schedule'!V16</f>
        <v>4603.0936333503323</v>
      </c>
      <c r="W4" s="10">
        <f>'Revenue Schedule'!W16</f>
        <v>4678.1429319646459</v>
      </c>
      <c r="X4" s="10">
        <f>'Revenue Schedule'!X16</f>
        <v>4751.3556123434701</v>
      </c>
      <c r="Y4" s="10">
        <f>'Revenue Schedule'!Y16</f>
        <v>4830.351365802735</v>
      </c>
      <c r="Z4" s="10">
        <f>'Revenue Schedule'!Z16</f>
        <v>4911.0912899164423</v>
      </c>
      <c r="AA4" s="10">
        <f>'Revenue Schedule'!AA16</f>
        <v>4989.5194002572689</v>
      </c>
      <c r="AB4" s="10">
        <f>'Revenue Schedule'!AB16</f>
        <v>5073.2044772971203</v>
      </c>
      <c r="AC4" s="10">
        <f>'Revenue Schedule'!AC16</f>
        <v>5154.1801560957911</v>
      </c>
      <c r="AD4" s="10">
        <f>'Revenue Schedule'!AD16</f>
        <v>5239.9884471516143</v>
      </c>
      <c r="AE4" s="10">
        <f>'Revenue Schedule'!AE16</f>
        <v>5326.5204076180871</v>
      </c>
      <c r="AF4" s="10">
        <f>'Revenue Schedule'!AF16</f>
        <v>5409.6591302323168</v>
      </c>
      <c r="AG4" s="10">
        <f>'Revenue Schedule'!AG16</f>
        <v>17346.995115541307</v>
      </c>
      <c r="AH4" s="10">
        <f>'Revenue Schedule'!AH16</f>
        <v>18114.670923525446</v>
      </c>
      <c r="AI4" s="10">
        <f>'Revenue Schedule'!AI16</f>
        <v>18859.187469412042</v>
      </c>
      <c r="AJ4" s="10">
        <f>'Revenue Schedule'!AJ16</f>
        <v>19562.994387601033</v>
      </c>
      <c r="AK4" s="10">
        <f>'Revenue Schedule'!AK16</f>
        <v>21340.024468352807</v>
      </c>
      <c r="AL4" s="10">
        <f>'Revenue Schedule'!AL16</f>
        <v>21942.933494928118</v>
      </c>
      <c r="AM4" s="10">
        <f>'Revenue Schedule'!AM16</f>
        <v>22487.276607849748</v>
      </c>
      <c r="AN4" s="10">
        <f>'Revenue Schedule'!AN16</f>
        <v>22959.897071393156</v>
      </c>
      <c r="AO4" s="10">
        <f>'Revenue Schedule'!AO16</f>
        <v>24634.694580236952</v>
      </c>
      <c r="AP4" s="10">
        <f>'Revenue Schedule'!AP16</f>
        <v>24996.926038657843</v>
      </c>
      <c r="AQ4" s="10">
        <f>'Revenue Schedule'!AQ16</f>
        <v>25299.291899890675</v>
      </c>
      <c r="AR4" s="10">
        <f>'Revenue Schedule'!AR16</f>
        <v>25536.167351488701</v>
      </c>
    </row>
    <row r="5" spans="1:44" x14ac:dyDescent="0.3">
      <c r="A5" s="4" t="s">
        <v>116</v>
      </c>
      <c r="C5" s="10">
        <f>-'Revenue Schedule'!C20</f>
        <v>0</v>
      </c>
      <c r="D5" s="10">
        <f>-'Revenue Schedule'!D20</f>
        <v>0</v>
      </c>
      <c r="E5" s="10">
        <f>-'Revenue Schedule'!E20</f>
        <v>0</v>
      </c>
      <c r="F5" s="10">
        <f>-'Revenue Schedule'!F20</f>
        <v>0</v>
      </c>
      <c r="G5" s="10">
        <f>-'Revenue Schedule'!G20</f>
        <v>0</v>
      </c>
      <c r="H5" s="10">
        <f>-'Revenue Schedule'!H20</f>
        <v>0</v>
      </c>
      <c r="I5" s="10">
        <f>-'Revenue Schedule'!I20</f>
        <v>0</v>
      </c>
      <c r="J5" s="10">
        <f>-'Revenue Schedule'!J20</f>
        <v>0</v>
      </c>
      <c r="K5" s="10">
        <f>-'Revenue Schedule'!K20</f>
        <v>0</v>
      </c>
      <c r="L5" s="10">
        <f>-'Revenue Schedule'!L20</f>
        <v>0</v>
      </c>
      <c r="M5" s="10">
        <f>-'Revenue Schedule'!M20</f>
        <v>0</v>
      </c>
      <c r="N5" s="10">
        <f>-'Revenue Schedule'!N20</f>
        <v>0</v>
      </c>
      <c r="O5" s="10">
        <f>-'Revenue Schedule'!O20</f>
        <v>0</v>
      </c>
      <c r="P5" s="10">
        <f>-'Revenue Schedule'!P20</f>
        <v>0</v>
      </c>
      <c r="Q5" s="10">
        <f>-'Revenue Schedule'!Q20</f>
        <v>0</v>
      </c>
      <c r="R5" s="10">
        <f>-'Revenue Schedule'!R20</f>
        <v>0</v>
      </c>
      <c r="S5" s="10">
        <f>-'Revenue Schedule'!S20</f>
        <v>-74.25</v>
      </c>
      <c r="T5" s="10">
        <f>-'Revenue Schedule'!T20</f>
        <v>-74.25</v>
      </c>
      <c r="U5" s="10">
        <f>-'Revenue Schedule'!U20</f>
        <v>-80.190000000000026</v>
      </c>
      <c r="V5" s="10">
        <f>-'Revenue Schedule'!V20</f>
        <v>-80.190000000000026</v>
      </c>
      <c r="W5" s="10">
        <f>-'Revenue Schedule'!W20</f>
        <v>-80.190000000000026</v>
      </c>
      <c r="X5" s="10">
        <f>-'Revenue Schedule'!X20</f>
        <v>-80.190000000000026</v>
      </c>
      <c r="Y5" s="10">
        <f>-'Revenue Schedule'!Y20</f>
        <v>-80.190000000000026</v>
      </c>
      <c r="Z5" s="10">
        <f>-'Revenue Schedule'!Z20</f>
        <v>-80.190000000000026</v>
      </c>
      <c r="AA5" s="10">
        <f>-'Revenue Schedule'!AA20</f>
        <v>-80.190000000000026</v>
      </c>
      <c r="AB5" s="10">
        <f>-'Revenue Schedule'!AB20</f>
        <v>-80.190000000000026</v>
      </c>
      <c r="AC5" s="10">
        <f>-'Revenue Schedule'!AC20</f>
        <v>-80.190000000000026</v>
      </c>
      <c r="AD5" s="10">
        <f>-'Revenue Schedule'!AD20</f>
        <v>-80.190000000000026</v>
      </c>
      <c r="AE5" s="10">
        <f>-'Revenue Schedule'!AE20</f>
        <v>-80.190000000000026</v>
      </c>
      <c r="AF5" s="10">
        <f>-'Revenue Schedule'!AF20</f>
        <v>-80.190000000000026</v>
      </c>
      <c r="AG5" s="10">
        <f>-'Revenue Schedule'!AG20</f>
        <v>-259.81560000000007</v>
      </c>
      <c r="AH5" s="10">
        <f>-'Revenue Schedule'!AH20</f>
        <v>-259.81560000000007</v>
      </c>
      <c r="AI5" s="10">
        <f>-'Revenue Schedule'!AI20</f>
        <v>-259.81560000000007</v>
      </c>
      <c r="AJ5" s="10">
        <f>-'Revenue Schedule'!AJ20</f>
        <v>-259.81560000000007</v>
      </c>
      <c r="AK5" s="10">
        <f>-'Revenue Schedule'!AK20</f>
        <v>-280.6008480000001</v>
      </c>
      <c r="AL5" s="10">
        <f>-'Revenue Schedule'!AL20</f>
        <v>-280.6008480000001</v>
      </c>
      <c r="AM5" s="10">
        <f>-'Revenue Schedule'!AM20</f>
        <v>-280.6008480000001</v>
      </c>
      <c r="AN5" s="10">
        <f>-'Revenue Schedule'!AN20</f>
        <v>-280.6008480000001</v>
      </c>
      <c r="AO5" s="10">
        <f>-'Revenue Schedule'!AO20</f>
        <v>-303.04891584000012</v>
      </c>
      <c r="AP5" s="10">
        <f>-'Revenue Schedule'!AP20</f>
        <v>-303.04891584000012</v>
      </c>
      <c r="AQ5" s="10">
        <f>-'Revenue Schedule'!AQ20</f>
        <v>-303.04891584000012</v>
      </c>
      <c r="AR5" s="10">
        <f>-'Revenue Schedule'!AR20</f>
        <v>-303.04891584000012</v>
      </c>
    </row>
    <row r="6" spans="1:44" x14ac:dyDescent="0.3">
      <c r="A6" s="4" t="s">
        <v>497</v>
      </c>
      <c r="C6" s="9">
        <f t="shared" ref="C6:AR6" si="0">C4+C5</f>
        <v>376.63038635148246</v>
      </c>
      <c r="D6" s="9">
        <f t="shared" si="0"/>
        <v>396.38803996370706</v>
      </c>
      <c r="E6" s="9">
        <f t="shared" si="0"/>
        <v>424.349110389364</v>
      </c>
      <c r="F6" s="9">
        <f t="shared" si="0"/>
        <v>453.99839485316721</v>
      </c>
      <c r="G6" s="9">
        <f t="shared" si="0"/>
        <v>485.40243150693203</v>
      </c>
      <c r="H6" s="9">
        <f t="shared" si="0"/>
        <v>515.33374878145651</v>
      </c>
      <c r="I6" s="9">
        <f t="shared" si="0"/>
        <v>567.85558946948777</v>
      </c>
      <c r="J6" s="9">
        <f t="shared" si="0"/>
        <v>606.06762897444162</v>
      </c>
      <c r="K6" s="9">
        <f t="shared" si="0"/>
        <v>646.33146952462255</v>
      </c>
      <c r="L6" s="9">
        <f t="shared" si="0"/>
        <v>688.6944376497587</v>
      </c>
      <c r="M6" s="9">
        <f t="shared" si="0"/>
        <v>729.80067617752729</v>
      </c>
      <c r="N6" s="9">
        <f t="shared" si="0"/>
        <v>776.4733382989391</v>
      </c>
      <c r="O6" s="9">
        <f t="shared" si="0"/>
        <v>825.33843175552715</v>
      </c>
      <c r="P6" s="9">
        <f t="shared" si="0"/>
        <v>876.40700126447962</v>
      </c>
      <c r="Q6" s="9">
        <f t="shared" si="0"/>
        <v>926.28234057488567</v>
      </c>
      <c r="R6" s="9">
        <f t="shared" si="0"/>
        <v>981.74226184774807</v>
      </c>
      <c r="S6" s="9">
        <f t="shared" si="0"/>
        <v>4049.8894145340273</v>
      </c>
      <c r="T6" s="9">
        <f t="shared" si="0"/>
        <v>4116.2255431283693</v>
      </c>
      <c r="U6" s="9">
        <f t="shared" si="0"/>
        <v>4450.0201284023269</v>
      </c>
      <c r="V6" s="9">
        <f t="shared" si="0"/>
        <v>4522.9036333503327</v>
      </c>
      <c r="W6" s="9">
        <f t="shared" si="0"/>
        <v>4597.9529319646463</v>
      </c>
      <c r="X6" s="9">
        <f t="shared" si="0"/>
        <v>4671.1656123434705</v>
      </c>
      <c r="Y6" s="9">
        <f t="shared" si="0"/>
        <v>4750.1613658027354</v>
      </c>
      <c r="Z6" s="9">
        <f t="shared" si="0"/>
        <v>4830.9012899164427</v>
      </c>
      <c r="AA6" s="9">
        <f t="shared" si="0"/>
        <v>4909.3294002572693</v>
      </c>
      <c r="AB6" s="9">
        <f t="shared" si="0"/>
        <v>4993.0144772971207</v>
      </c>
      <c r="AC6" s="9">
        <f t="shared" si="0"/>
        <v>5073.9901560957915</v>
      </c>
      <c r="AD6" s="9">
        <f t="shared" si="0"/>
        <v>5159.7984471516147</v>
      </c>
      <c r="AE6" s="9">
        <f t="shared" si="0"/>
        <v>5246.3304076180875</v>
      </c>
      <c r="AF6" s="9">
        <f t="shared" si="0"/>
        <v>5329.4691302323172</v>
      </c>
      <c r="AG6" s="9">
        <f t="shared" si="0"/>
        <v>17087.179515541306</v>
      </c>
      <c r="AH6" s="9">
        <f t="shared" si="0"/>
        <v>17854.855323525444</v>
      </c>
      <c r="AI6" s="9">
        <f t="shared" si="0"/>
        <v>18599.37186941204</v>
      </c>
      <c r="AJ6" s="9">
        <f t="shared" si="0"/>
        <v>19303.178787601031</v>
      </c>
      <c r="AK6" s="9">
        <f t="shared" si="0"/>
        <v>21059.423620352805</v>
      </c>
      <c r="AL6" s="9">
        <f t="shared" si="0"/>
        <v>21662.332646928116</v>
      </c>
      <c r="AM6" s="9">
        <f t="shared" si="0"/>
        <v>22206.675759849746</v>
      </c>
      <c r="AN6" s="9">
        <f t="shared" si="0"/>
        <v>22679.296223393154</v>
      </c>
      <c r="AO6" s="9">
        <f t="shared" si="0"/>
        <v>24331.64566439695</v>
      </c>
      <c r="AP6" s="9">
        <f t="shared" si="0"/>
        <v>24693.877122817841</v>
      </c>
      <c r="AQ6" s="9">
        <f t="shared" si="0"/>
        <v>24996.242984050674</v>
      </c>
      <c r="AR6" s="9">
        <f t="shared" si="0"/>
        <v>25233.118435648699</v>
      </c>
    </row>
    <row r="8" spans="1:44" x14ac:dyDescent="0.3">
      <c r="A8" s="4" t="s">
        <v>113</v>
      </c>
      <c r="C8" s="10">
        <f>-'Cost Schedule'!C22</f>
        <v>-3546.5369114801142</v>
      </c>
      <c r="D8" s="10">
        <f>-'Cost Schedule'!D22</f>
        <v>-2280.3215619966968</v>
      </c>
      <c r="E8" s="10">
        <f>-'Cost Schedule'!E22</f>
        <v>-2281.7261922575208</v>
      </c>
      <c r="F8" s="10">
        <f>-'Cost Schedule'!F22</f>
        <v>-2283.2292096975884</v>
      </c>
      <c r="G8" s="10">
        <f>-'Cost Schedule'!G22</f>
        <v>-2284.8356223882624</v>
      </c>
      <c r="H8" s="10">
        <f>-'Cost Schedule'!H22</f>
        <v>-2286.3798314461001</v>
      </c>
      <c r="I8" s="10">
        <f>-'Cost Schedule'!I22</f>
        <v>-3152.8855220611299</v>
      </c>
      <c r="J8" s="10">
        <f>-'Cost Schedule'!J22</f>
        <v>-2679.413481750762</v>
      </c>
      <c r="K8" s="10">
        <f>-'Cost Schedule'!K22</f>
        <v>-2681.2524210393872</v>
      </c>
      <c r="L8" s="10">
        <f>-'Cost Schedule'!L22</f>
        <v>-2683.2063794855144</v>
      </c>
      <c r="M8" s="10">
        <f>-'Cost Schedule'!M22</f>
        <v>-2685.1202348579886</v>
      </c>
      <c r="N8" s="10">
        <f>-'Cost Schedule'!N22</f>
        <v>-2687.3135666094481</v>
      </c>
      <c r="O8" s="10">
        <f>-'Cost Schedule'!O22</f>
        <v>-2689.6319824902712</v>
      </c>
      <c r="P8" s="10">
        <f>-'Cost Schedule'!P22</f>
        <v>-2692.0779027061822</v>
      </c>
      <c r="Q8" s="10">
        <f>-'Cost Schedule'!Q22</f>
        <v>-2694.4882836566717</v>
      </c>
      <c r="R8" s="10">
        <f>-'Cost Schedule'!R22</f>
        <v>-2697.1924987170783</v>
      </c>
      <c r="S8" s="10">
        <f>-'Cost Schedule'!S22</f>
        <v>-2700.0275968430369</v>
      </c>
      <c r="T8" s="10">
        <f>-'Cost Schedule'!T22</f>
        <v>-2702.9931528609259</v>
      </c>
      <c r="U8" s="10">
        <f>-'Cost Schedule'!U22</f>
        <v>-3933.6072351145476</v>
      </c>
      <c r="V8" s="10">
        <f>-'Cost Schedule'!V22</f>
        <v>-3302.8115494677904</v>
      </c>
      <c r="W8" s="10">
        <f>-'Cost Schedule'!W22</f>
        <v>-3305.7271625365393</v>
      </c>
      <c r="X8" s="10">
        <f>-'Cost Schedule'!X22</f>
        <v>-3308.5976633771907</v>
      </c>
      <c r="Y8" s="10">
        <f>-'Cost Schedule'!Y22</f>
        <v>-3311.7228248872552</v>
      </c>
      <c r="Z8" s="10">
        <f>-'Cost Schedule'!Z22</f>
        <v>-3314.945783509027</v>
      </c>
      <c r="AA8" s="10">
        <f>-'Cost Schedule'!AA22</f>
        <v>-3318.1032861968333</v>
      </c>
      <c r="AB8" s="10">
        <f>-'Cost Schedule'!AB22</f>
        <v>-3321.5005240218043</v>
      </c>
      <c r="AC8" s="10">
        <f>-'Cost Schedule'!AC22</f>
        <v>-3297.2226224117176</v>
      </c>
      <c r="AD8" s="10">
        <f>-'Cost Schedule'!AD22</f>
        <v>-3299.5456106652609</v>
      </c>
      <c r="AE8" s="10">
        <f>-'Cost Schedule'!AE22</f>
        <v>-3301.9160030058197</v>
      </c>
      <c r="AF8" s="10">
        <f>-'Cost Schedule'!AF22</f>
        <v>-3304.2189015781751</v>
      </c>
      <c r="AG8" s="10">
        <f>-'Cost Schedule'!AG22</f>
        <v>-13046.0847004755</v>
      </c>
      <c r="AH8" s="10">
        <f>-'Cost Schedule'!AH22</f>
        <v>-12191.192442544208</v>
      </c>
      <c r="AI8" s="10">
        <f>-'Cost Schedule'!AI22</f>
        <v>-12207.568689608261</v>
      </c>
      <c r="AJ8" s="10">
        <f>-'Cost Schedule'!AJ22</f>
        <v>-12223.521022942454</v>
      </c>
      <c r="AK8" s="10">
        <f>-'Cost Schedule'!AK22</f>
        <v>-16469.835184770072</v>
      </c>
      <c r="AL8" s="10">
        <f>-'Cost Schedule'!AL22</f>
        <v>-15370.65186349418</v>
      </c>
      <c r="AM8" s="10">
        <f>-'Cost Schedule'!AM22</f>
        <v>-15379.565121909682</v>
      </c>
      <c r="AN8" s="10">
        <f>-'Cost Schedule'!AN22</f>
        <v>-15387.474674886338</v>
      </c>
      <c r="AO8" s="10">
        <f>-'Cost Schedule'!AO22</f>
        <v>-19152.732856691746</v>
      </c>
      <c r="AP8" s="10">
        <f>-'Cost Schedule'!AP22</f>
        <v>-18363.933686481614</v>
      </c>
      <c r="AQ8" s="10">
        <f>-'Cost Schedule'!AQ22</f>
        <v>-18366.667319133107</v>
      </c>
      <c r="AR8" s="10">
        <f>-'Cost Schedule'!AR22</f>
        <v>-18368.847427662073</v>
      </c>
    </row>
    <row r="9" spans="1:44" x14ac:dyDescent="0.3">
      <c r="A9" s="4" t="s">
        <v>93</v>
      </c>
      <c r="C9" s="9">
        <f t="shared" ref="C9:AR9" si="1">C6+C8</f>
        <v>-3169.906525128632</v>
      </c>
      <c r="D9" s="9">
        <f t="shared" si="1"/>
        <v>-1883.9335220329897</v>
      </c>
      <c r="E9" s="9">
        <f t="shared" si="1"/>
        <v>-1857.3770818681569</v>
      </c>
      <c r="F9" s="9">
        <f t="shared" si="1"/>
        <v>-1829.2308148444213</v>
      </c>
      <c r="G9" s="9">
        <f t="shared" si="1"/>
        <v>-1799.4331908813303</v>
      </c>
      <c r="H9" s="9">
        <f t="shared" si="1"/>
        <v>-1771.0460826646436</v>
      </c>
      <c r="I9" s="9">
        <f t="shared" si="1"/>
        <v>-2585.0299325916421</v>
      </c>
      <c r="J9" s="9">
        <f t="shared" si="1"/>
        <v>-2073.3458527763205</v>
      </c>
      <c r="K9" s="9">
        <f t="shared" si="1"/>
        <v>-2034.9209515147645</v>
      </c>
      <c r="L9" s="9">
        <f t="shared" si="1"/>
        <v>-1994.5119418357558</v>
      </c>
      <c r="M9" s="9">
        <f t="shared" si="1"/>
        <v>-1955.3195586804613</v>
      </c>
      <c r="N9" s="9">
        <f t="shared" si="1"/>
        <v>-1910.840228310509</v>
      </c>
      <c r="O9" s="9">
        <f t="shared" si="1"/>
        <v>-1864.293550734744</v>
      </c>
      <c r="P9" s="9">
        <f t="shared" si="1"/>
        <v>-1815.6709014417024</v>
      </c>
      <c r="Q9" s="9">
        <f t="shared" si="1"/>
        <v>-1768.205943081786</v>
      </c>
      <c r="R9" s="9">
        <f t="shared" si="1"/>
        <v>-1715.4502368693302</v>
      </c>
      <c r="S9" s="9">
        <f t="shared" si="1"/>
        <v>1349.8618176909904</v>
      </c>
      <c r="T9" s="9">
        <f t="shared" si="1"/>
        <v>1413.2323902674434</v>
      </c>
      <c r="U9" s="9">
        <f t="shared" si="1"/>
        <v>516.4128932877793</v>
      </c>
      <c r="V9" s="9">
        <f t="shared" si="1"/>
        <v>1220.0920838825423</v>
      </c>
      <c r="W9" s="9">
        <f t="shared" si="1"/>
        <v>1292.225769428107</v>
      </c>
      <c r="X9" s="9">
        <f t="shared" si="1"/>
        <v>1362.5679489662798</v>
      </c>
      <c r="Y9" s="9">
        <f t="shared" si="1"/>
        <v>1438.4385409154802</v>
      </c>
      <c r="Z9" s="9">
        <f t="shared" si="1"/>
        <v>1515.9555064074157</v>
      </c>
      <c r="AA9" s="9">
        <f t="shared" si="1"/>
        <v>1591.226114060436</v>
      </c>
      <c r="AB9" s="9">
        <f t="shared" si="1"/>
        <v>1671.5139532753165</v>
      </c>
      <c r="AC9" s="9">
        <f t="shared" si="1"/>
        <v>1776.7675336840739</v>
      </c>
      <c r="AD9" s="9">
        <f t="shared" si="1"/>
        <v>1860.2528364863538</v>
      </c>
      <c r="AE9" s="9">
        <f t="shared" si="1"/>
        <v>1944.4144046122678</v>
      </c>
      <c r="AF9" s="9">
        <f t="shared" si="1"/>
        <v>2025.2502286541421</v>
      </c>
      <c r="AG9" s="9">
        <f t="shared" si="1"/>
        <v>4041.094815065806</v>
      </c>
      <c r="AH9" s="9">
        <f t="shared" si="1"/>
        <v>5663.6628809812355</v>
      </c>
      <c r="AI9" s="9">
        <f t="shared" si="1"/>
        <v>6391.8031798037791</v>
      </c>
      <c r="AJ9" s="9">
        <f t="shared" si="1"/>
        <v>7079.6577646585774</v>
      </c>
      <c r="AK9" s="9">
        <f t="shared" si="1"/>
        <v>4589.5884355827329</v>
      </c>
      <c r="AL9" s="9">
        <f t="shared" si="1"/>
        <v>6291.6807834339361</v>
      </c>
      <c r="AM9" s="9">
        <f t="shared" si="1"/>
        <v>6827.1106379400644</v>
      </c>
      <c r="AN9" s="9">
        <f t="shared" si="1"/>
        <v>7291.8215485068158</v>
      </c>
      <c r="AO9" s="9">
        <f t="shared" si="1"/>
        <v>5178.9128077052046</v>
      </c>
      <c r="AP9" s="9">
        <f t="shared" si="1"/>
        <v>6329.943436336227</v>
      </c>
      <c r="AQ9" s="9">
        <f t="shared" si="1"/>
        <v>6629.5756649175673</v>
      </c>
      <c r="AR9" s="9">
        <f t="shared" si="1"/>
        <v>6864.2710079866265</v>
      </c>
    </row>
    <row r="10" spans="1:44" x14ac:dyDescent="0.3">
      <c r="A10" s="4" t="s">
        <v>498</v>
      </c>
      <c r="C10" s="10">
        <f>-capex_total/depreciation_years/'Market Sizing'!C6</f>
        <v>-88</v>
      </c>
      <c r="D10" s="10">
        <f>-capex_total/depreciation_years/'Market Sizing'!D6</f>
        <v>-88</v>
      </c>
      <c r="E10" s="10">
        <f>-capex_total/depreciation_years/'Market Sizing'!E6</f>
        <v>-88</v>
      </c>
      <c r="F10" s="10">
        <f>-capex_total/depreciation_years/'Market Sizing'!F6</f>
        <v>-88</v>
      </c>
      <c r="G10" s="10">
        <f>-capex_total/depreciation_years/'Market Sizing'!G6</f>
        <v>-88</v>
      </c>
      <c r="H10" s="10">
        <f>-capex_total/depreciation_years/'Market Sizing'!H6</f>
        <v>-88</v>
      </c>
      <c r="I10" s="10">
        <f>-capex_total/depreciation_years/'Market Sizing'!I6</f>
        <v>-88</v>
      </c>
      <c r="J10" s="10">
        <f>-capex_total/depreciation_years/'Market Sizing'!J6</f>
        <v>-88</v>
      </c>
      <c r="K10" s="10">
        <f>-capex_total/depreciation_years/'Market Sizing'!K6</f>
        <v>-88</v>
      </c>
      <c r="L10" s="10">
        <f>-capex_total/depreciation_years/'Market Sizing'!L6</f>
        <v>-88</v>
      </c>
      <c r="M10" s="10">
        <f>-capex_total/depreciation_years/'Market Sizing'!M6</f>
        <v>-88</v>
      </c>
      <c r="N10" s="10">
        <f>-capex_total/depreciation_years/'Market Sizing'!N6</f>
        <v>-88</v>
      </c>
      <c r="O10" s="10">
        <f>-capex_total/depreciation_years/'Market Sizing'!O6</f>
        <v>-88</v>
      </c>
      <c r="P10" s="10">
        <f>-capex_total/depreciation_years/'Market Sizing'!P6</f>
        <v>-88</v>
      </c>
      <c r="Q10" s="10">
        <f>-capex_total/depreciation_years/'Market Sizing'!Q6</f>
        <v>-88</v>
      </c>
      <c r="R10" s="10">
        <f>-capex_total/depreciation_years/'Market Sizing'!R6</f>
        <v>-88</v>
      </c>
      <c r="S10" s="10">
        <f>-capex_total/depreciation_years/'Market Sizing'!S6</f>
        <v>-88</v>
      </c>
      <c r="T10" s="10">
        <f>-capex_total/depreciation_years/'Market Sizing'!T6</f>
        <v>-88</v>
      </c>
      <c r="U10" s="10">
        <f>-capex_total/depreciation_years/'Market Sizing'!U6</f>
        <v>-88</v>
      </c>
      <c r="V10" s="10">
        <f>-capex_total/depreciation_years/'Market Sizing'!V6</f>
        <v>-88</v>
      </c>
      <c r="W10" s="10">
        <f>-capex_total/depreciation_years/'Market Sizing'!W6</f>
        <v>-88</v>
      </c>
      <c r="X10" s="10">
        <f>-capex_total/depreciation_years/'Market Sizing'!X6</f>
        <v>-88</v>
      </c>
      <c r="Y10" s="10">
        <f>-capex_total/depreciation_years/'Market Sizing'!Y6</f>
        <v>-88</v>
      </c>
      <c r="Z10" s="10">
        <f>-capex_total/depreciation_years/'Market Sizing'!Z6</f>
        <v>-88</v>
      </c>
      <c r="AA10" s="10">
        <f>-capex_total/depreciation_years/'Market Sizing'!AA6</f>
        <v>-88</v>
      </c>
      <c r="AB10" s="10">
        <f>-capex_total/depreciation_years/'Market Sizing'!AB6</f>
        <v>-88</v>
      </c>
      <c r="AC10" s="10">
        <f>-capex_total/depreciation_years/'Market Sizing'!AC6</f>
        <v>-88</v>
      </c>
      <c r="AD10" s="10">
        <f>-capex_total/depreciation_years/'Market Sizing'!AD6</f>
        <v>-88</v>
      </c>
      <c r="AE10" s="10">
        <f>-capex_total/depreciation_years/'Market Sizing'!AE6</f>
        <v>-88</v>
      </c>
      <c r="AF10" s="10">
        <f>-capex_total/depreciation_years/'Market Sizing'!AF6</f>
        <v>-88</v>
      </c>
      <c r="AG10" s="10">
        <f>-capex_total/depreciation_years/'Market Sizing'!AG6</f>
        <v>-264</v>
      </c>
      <c r="AH10" s="10">
        <f>-capex_total/depreciation_years/'Market Sizing'!AH6</f>
        <v>-264</v>
      </c>
      <c r="AI10" s="10">
        <f>-capex_total/depreciation_years/'Market Sizing'!AI6</f>
        <v>-264</v>
      </c>
      <c r="AJ10" s="10">
        <f>-capex_total/depreciation_years/'Market Sizing'!AJ6</f>
        <v>-264</v>
      </c>
      <c r="AK10" s="10">
        <f>-capex_total/depreciation_years/'Market Sizing'!AK6</f>
        <v>-264</v>
      </c>
      <c r="AL10" s="10">
        <f>-capex_total/depreciation_years/'Market Sizing'!AL6</f>
        <v>-264</v>
      </c>
      <c r="AM10" s="10">
        <f>-capex_total/depreciation_years/'Market Sizing'!AM6</f>
        <v>-264</v>
      </c>
      <c r="AN10" s="10">
        <f>-capex_total/depreciation_years/'Market Sizing'!AN6</f>
        <v>-264</v>
      </c>
      <c r="AO10" s="10">
        <f>0</f>
        <v>0</v>
      </c>
      <c r="AP10" s="10">
        <f>0</f>
        <v>0</v>
      </c>
      <c r="AQ10" s="10">
        <f>0</f>
        <v>0</v>
      </c>
      <c r="AR10" s="10">
        <f>0</f>
        <v>0</v>
      </c>
    </row>
    <row r="11" spans="1:44" x14ac:dyDescent="0.3">
      <c r="A11" s="4" t="s">
        <v>96</v>
      </c>
      <c r="C11" s="9">
        <f t="shared" ref="C11:AR11" si="2">C9+C10</f>
        <v>-3257.906525128632</v>
      </c>
      <c r="D11" s="9">
        <f t="shared" si="2"/>
        <v>-1971.9335220329897</v>
      </c>
      <c r="E11" s="9">
        <f t="shared" si="2"/>
        <v>-1945.3770818681569</v>
      </c>
      <c r="F11" s="9">
        <f t="shared" si="2"/>
        <v>-1917.2308148444213</v>
      </c>
      <c r="G11" s="9">
        <f t="shared" si="2"/>
        <v>-1887.4331908813303</v>
      </c>
      <c r="H11" s="9">
        <f t="shared" si="2"/>
        <v>-1859.0460826646436</v>
      </c>
      <c r="I11" s="9">
        <f t="shared" si="2"/>
        <v>-2673.0299325916421</v>
      </c>
      <c r="J11" s="9">
        <f t="shared" si="2"/>
        <v>-2161.3458527763205</v>
      </c>
      <c r="K11" s="9">
        <f t="shared" si="2"/>
        <v>-2122.9209515147645</v>
      </c>
      <c r="L11" s="9">
        <f t="shared" si="2"/>
        <v>-2082.5119418357558</v>
      </c>
      <c r="M11" s="9">
        <f t="shared" si="2"/>
        <v>-2043.3195586804613</v>
      </c>
      <c r="N11" s="9">
        <f t="shared" si="2"/>
        <v>-1998.840228310509</v>
      </c>
      <c r="O11" s="9">
        <f t="shared" si="2"/>
        <v>-1952.293550734744</v>
      </c>
      <c r="P11" s="9">
        <f t="shared" si="2"/>
        <v>-1903.6709014417024</v>
      </c>
      <c r="Q11" s="9">
        <f t="shared" si="2"/>
        <v>-1856.205943081786</v>
      </c>
      <c r="R11" s="9">
        <f t="shared" si="2"/>
        <v>-1803.4502368693302</v>
      </c>
      <c r="S11" s="9">
        <f t="shared" si="2"/>
        <v>1261.8618176909904</v>
      </c>
      <c r="T11" s="9">
        <f t="shared" si="2"/>
        <v>1325.2323902674434</v>
      </c>
      <c r="U11" s="9">
        <f t="shared" si="2"/>
        <v>428.4128932877793</v>
      </c>
      <c r="V11" s="9">
        <f t="shared" si="2"/>
        <v>1132.0920838825423</v>
      </c>
      <c r="W11" s="9">
        <f t="shared" si="2"/>
        <v>1204.225769428107</v>
      </c>
      <c r="X11" s="9">
        <f t="shared" si="2"/>
        <v>1274.5679489662798</v>
      </c>
      <c r="Y11" s="9">
        <f t="shared" si="2"/>
        <v>1350.4385409154802</v>
      </c>
      <c r="Z11" s="9">
        <f t="shared" si="2"/>
        <v>1427.9555064074157</v>
      </c>
      <c r="AA11" s="9">
        <f t="shared" si="2"/>
        <v>1503.226114060436</v>
      </c>
      <c r="AB11" s="9">
        <f t="shared" si="2"/>
        <v>1583.5139532753165</v>
      </c>
      <c r="AC11" s="9">
        <f t="shared" si="2"/>
        <v>1688.7675336840739</v>
      </c>
      <c r="AD11" s="9">
        <f t="shared" si="2"/>
        <v>1772.2528364863538</v>
      </c>
      <c r="AE11" s="9">
        <f t="shared" si="2"/>
        <v>1856.4144046122678</v>
      </c>
      <c r="AF11" s="9">
        <f t="shared" si="2"/>
        <v>1937.2502286541421</v>
      </c>
      <c r="AG11" s="9">
        <f t="shared" si="2"/>
        <v>3777.094815065806</v>
      </c>
      <c r="AH11" s="9">
        <f t="shared" si="2"/>
        <v>5399.6628809812355</v>
      </c>
      <c r="AI11" s="9">
        <f t="shared" si="2"/>
        <v>6127.8031798037791</v>
      </c>
      <c r="AJ11" s="9">
        <f t="shared" si="2"/>
        <v>6815.6577646585774</v>
      </c>
      <c r="AK11" s="9">
        <f t="shared" si="2"/>
        <v>4325.5884355827329</v>
      </c>
      <c r="AL11" s="9">
        <f t="shared" si="2"/>
        <v>6027.6807834339361</v>
      </c>
      <c r="AM11" s="9">
        <f t="shared" si="2"/>
        <v>6563.1106379400644</v>
      </c>
      <c r="AN11" s="9">
        <f t="shared" si="2"/>
        <v>7027.8215485068158</v>
      </c>
      <c r="AO11" s="9">
        <f t="shared" si="2"/>
        <v>5178.9128077052046</v>
      </c>
      <c r="AP11" s="9">
        <f t="shared" si="2"/>
        <v>6329.943436336227</v>
      </c>
      <c r="AQ11" s="9">
        <f t="shared" si="2"/>
        <v>6629.5756649175673</v>
      </c>
      <c r="AR11" s="9">
        <f t="shared" si="2"/>
        <v>6864.2710079866265</v>
      </c>
    </row>
    <row r="12" spans="1:44" x14ac:dyDescent="0.3">
      <c r="A12" s="4" t="s">
        <v>499</v>
      </c>
      <c r="C12" s="10">
        <f t="shared" ref="C12:AR12" si="3">IF(C11&gt;0,-C11*cit_rate,0)</f>
        <v>0</v>
      </c>
      <c r="D12" s="10">
        <f t="shared" si="3"/>
        <v>0</v>
      </c>
      <c r="E12" s="10">
        <f t="shared" si="3"/>
        <v>0</v>
      </c>
      <c r="F12" s="10">
        <f t="shared" si="3"/>
        <v>0</v>
      </c>
      <c r="G12" s="10">
        <f t="shared" si="3"/>
        <v>0</v>
      </c>
      <c r="H12" s="10">
        <f t="shared" si="3"/>
        <v>0</v>
      </c>
      <c r="I12" s="10">
        <f t="shared" si="3"/>
        <v>0</v>
      </c>
      <c r="J12" s="10">
        <f t="shared" si="3"/>
        <v>0</v>
      </c>
      <c r="K12" s="10">
        <f t="shared" si="3"/>
        <v>0</v>
      </c>
      <c r="L12" s="10">
        <f t="shared" si="3"/>
        <v>0</v>
      </c>
      <c r="M12" s="10">
        <f t="shared" si="3"/>
        <v>0</v>
      </c>
      <c r="N12" s="10">
        <f t="shared" si="3"/>
        <v>0</v>
      </c>
      <c r="O12" s="10">
        <f t="shared" si="3"/>
        <v>0</v>
      </c>
      <c r="P12" s="10">
        <f t="shared" si="3"/>
        <v>0</v>
      </c>
      <c r="Q12" s="10">
        <f t="shared" si="3"/>
        <v>0</v>
      </c>
      <c r="R12" s="10">
        <f t="shared" si="3"/>
        <v>0</v>
      </c>
      <c r="S12" s="10">
        <f t="shared" si="3"/>
        <v>-252.3723635381981</v>
      </c>
      <c r="T12" s="10">
        <f t="shared" si="3"/>
        <v>-265.04647805348867</v>
      </c>
      <c r="U12" s="10">
        <f t="shared" si="3"/>
        <v>-85.682578657555865</v>
      </c>
      <c r="V12" s="10">
        <f t="shared" si="3"/>
        <v>-226.41841677650848</v>
      </c>
      <c r="W12" s="10">
        <f t="shared" si="3"/>
        <v>-240.84515388562141</v>
      </c>
      <c r="X12" s="10">
        <f t="shared" si="3"/>
        <v>-254.91358979325597</v>
      </c>
      <c r="Y12" s="10">
        <f t="shared" si="3"/>
        <v>-270.08770818309603</v>
      </c>
      <c r="Z12" s="10">
        <f t="shared" si="3"/>
        <v>-285.59110128148313</v>
      </c>
      <c r="AA12" s="10">
        <f t="shared" si="3"/>
        <v>-300.64522281208718</v>
      </c>
      <c r="AB12" s="10">
        <f t="shared" si="3"/>
        <v>-316.70279065506332</v>
      </c>
      <c r="AC12" s="10">
        <f t="shared" si="3"/>
        <v>-337.75350673681481</v>
      </c>
      <c r="AD12" s="10">
        <f t="shared" si="3"/>
        <v>-354.45056729727077</v>
      </c>
      <c r="AE12" s="10">
        <f t="shared" si="3"/>
        <v>-371.28288092245361</v>
      </c>
      <c r="AF12" s="10">
        <f t="shared" si="3"/>
        <v>-387.45004573082844</v>
      </c>
      <c r="AG12" s="10">
        <f t="shared" si="3"/>
        <v>-755.41896301316126</v>
      </c>
      <c r="AH12" s="10">
        <f t="shared" si="3"/>
        <v>-1079.9325761962471</v>
      </c>
      <c r="AI12" s="10">
        <f t="shared" si="3"/>
        <v>-1225.5606359607559</v>
      </c>
      <c r="AJ12" s="10">
        <f t="shared" si="3"/>
        <v>-1363.1315529317155</v>
      </c>
      <c r="AK12" s="10">
        <f t="shared" si="3"/>
        <v>-865.11768711654668</v>
      </c>
      <c r="AL12" s="10">
        <f t="shared" si="3"/>
        <v>-1205.5361566867873</v>
      </c>
      <c r="AM12" s="10">
        <f t="shared" si="3"/>
        <v>-1312.622127588013</v>
      </c>
      <c r="AN12" s="10">
        <f t="shared" si="3"/>
        <v>-1405.5643097013633</v>
      </c>
      <c r="AO12" s="10">
        <f t="shared" si="3"/>
        <v>-1035.7825615410409</v>
      </c>
      <c r="AP12" s="10">
        <f t="shared" si="3"/>
        <v>-1265.9886872672455</v>
      </c>
      <c r="AQ12" s="10">
        <f t="shared" si="3"/>
        <v>-1325.9151329835136</v>
      </c>
      <c r="AR12" s="10">
        <f t="shared" si="3"/>
        <v>-1372.8542015973253</v>
      </c>
    </row>
    <row r="13" spans="1:44" x14ac:dyDescent="0.3">
      <c r="A13" s="4" t="s">
        <v>500</v>
      </c>
      <c r="C13" s="9">
        <f t="shared" ref="C13:AR13" si="4">C11+C12</f>
        <v>-3257.906525128632</v>
      </c>
      <c r="D13" s="9">
        <f t="shared" si="4"/>
        <v>-1971.9335220329897</v>
      </c>
      <c r="E13" s="9">
        <f t="shared" si="4"/>
        <v>-1945.3770818681569</v>
      </c>
      <c r="F13" s="9">
        <f t="shared" si="4"/>
        <v>-1917.2308148444213</v>
      </c>
      <c r="G13" s="9">
        <f t="shared" si="4"/>
        <v>-1887.4331908813303</v>
      </c>
      <c r="H13" s="9">
        <f t="shared" si="4"/>
        <v>-1859.0460826646436</v>
      </c>
      <c r="I13" s="9">
        <f t="shared" si="4"/>
        <v>-2673.0299325916421</v>
      </c>
      <c r="J13" s="9">
        <f t="shared" si="4"/>
        <v>-2161.3458527763205</v>
      </c>
      <c r="K13" s="9">
        <f t="shared" si="4"/>
        <v>-2122.9209515147645</v>
      </c>
      <c r="L13" s="9">
        <f t="shared" si="4"/>
        <v>-2082.5119418357558</v>
      </c>
      <c r="M13" s="9">
        <f t="shared" si="4"/>
        <v>-2043.3195586804613</v>
      </c>
      <c r="N13" s="9">
        <f t="shared" si="4"/>
        <v>-1998.840228310509</v>
      </c>
      <c r="O13" s="9">
        <f t="shared" si="4"/>
        <v>-1952.293550734744</v>
      </c>
      <c r="P13" s="9">
        <f t="shared" si="4"/>
        <v>-1903.6709014417024</v>
      </c>
      <c r="Q13" s="9">
        <f t="shared" si="4"/>
        <v>-1856.205943081786</v>
      </c>
      <c r="R13" s="9">
        <f t="shared" si="4"/>
        <v>-1803.4502368693302</v>
      </c>
      <c r="S13" s="9">
        <f t="shared" si="4"/>
        <v>1009.4894541527923</v>
      </c>
      <c r="T13" s="9">
        <f t="shared" si="4"/>
        <v>1060.1859122139547</v>
      </c>
      <c r="U13" s="9">
        <f t="shared" si="4"/>
        <v>342.73031463022346</v>
      </c>
      <c r="V13" s="9">
        <f t="shared" si="4"/>
        <v>905.6736671060338</v>
      </c>
      <c r="W13" s="9">
        <f t="shared" si="4"/>
        <v>963.38061554248566</v>
      </c>
      <c r="X13" s="9">
        <f t="shared" si="4"/>
        <v>1019.6543591730239</v>
      </c>
      <c r="Y13" s="9">
        <f t="shared" si="4"/>
        <v>1080.3508327323841</v>
      </c>
      <c r="Z13" s="9">
        <f t="shared" si="4"/>
        <v>1142.3644051259325</v>
      </c>
      <c r="AA13" s="9">
        <f t="shared" si="4"/>
        <v>1202.5808912483487</v>
      </c>
      <c r="AB13" s="9">
        <f t="shared" si="4"/>
        <v>1266.8111626202531</v>
      </c>
      <c r="AC13" s="9">
        <f t="shared" si="4"/>
        <v>1351.014026947259</v>
      </c>
      <c r="AD13" s="9">
        <f t="shared" si="4"/>
        <v>1417.8022691890831</v>
      </c>
      <c r="AE13" s="9">
        <f t="shared" si="4"/>
        <v>1485.1315236898142</v>
      </c>
      <c r="AF13" s="9">
        <f t="shared" si="4"/>
        <v>1549.8001829233137</v>
      </c>
      <c r="AG13" s="9">
        <f t="shared" si="4"/>
        <v>3021.6758520526446</v>
      </c>
      <c r="AH13" s="9">
        <f t="shared" si="4"/>
        <v>4319.7303047849882</v>
      </c>
      <c r="AI13" s="9">
        <f t="shared" si="4"/>
        <v>4902.2425438430237</v>
      </c>
      <c r="AJ13" s="9">
        <f t="shared" si="4"/>
        <v>5452.5262117268621</v>
      </c>
      <c r="AK13" s="9">
        <f t="shared" si="4"/>
        <v>3460.4707484661863</v>
      </c>
      <c r="AL13" s="9">
        <f t="shared" si="4"/>
        <v>4822.1446267471492</v>
      </c>
      <c r="AM13" s="9">
        <f t="shared" si="4"/>
        <v>5250.4885103520519</v>
      </c>
      <c r="AN13" s="9">
        <f t="shared" si="4"/>
        <v>5622.2572388054523</v>
      </c>
      <c r="AO13" s="9">
        <f t="shared" si="4"/>
        <v>4143.1302461641635</v>
      </c>
      <c r="AP13" s="9">
        <f t="shared" si="4"/>
        <v>5063.954749068982</v>
      </c>
      <c r="AQ13" s="9">
        <f t="shared" si="4"/>
        <v>5303.6605319340542</v>
      </c>
      <c r="AR13" s="9">
        <f t="shared" si="4"/>
        <v>5491.4168063893012</v>
      </c>
    </row>
    <row r="15" spans="1:44" x14ac:dyDescent="0.3">
      <c r="A15" s="30" t="s">
        <v>501</v>
      </c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</row>
    <row r="16" spans="1:44" x14ac:dyDescent="0.3">
      <c r="A16" s="4" t="s">
        <v>502</v>
      </c>
      <c r="C16" s="17">
        <f t="shared" ref="C16:AR16" si="5">IF(C4=0,0,C6/C4)</f>
        <v>1</v>
      </c>
      <c r="D16" s="17">
        <f t="shared" si="5"/>
        <v>1</v>
      </c>
      <c r="E16" s="17">
        <f t="shared" si="5"/>
        <v>1</v>
      </c>
      <c r="F16" s="17">
        <f t="shared" si="5"/>
        <v>1</v>
      </c>
      <c r="G16" s="17">
        <f t="shared" si="5"/>
        <v>1</v>
      </c>
      <c r="H16" s="17">
        <f t="shared" si="5"/>
        <v>1</v>
      </c>
      <c r="I16" s="17">
        <f t="shared" si="5"/>
        <v>1</v>
      </c>
      <c r="J16" s="17">
        <f t="shared" si="5"/>
        <v>1</v>
      </c>
      <c r="K16" s="17">
        <f t="shared" si="5"/>
        <v>1</v>
      </c>
      <c r="L16" s="17">
        <f t="shared" si="5"/>
        <v>1</v>
      </c>
      <c r="M16" s="17">
        <f t="shared" si="5"/>
        <v>1</v>
      </c>
      <c r="N16" s="17">
        <f t="shared" si="5"/>
        <v>1</v>
      </c>
      <c r="O16" s="17">
        <f t="shared" si="5"/>
        <v>1</v>
      </c>
      <c r="P16" s="17">
        <f t="shared" si="5"/>
        <v>1</v>
      </c>
      <c r="Q16" s="17">
        <f t="shared" si="5"/>
        <v>1</v>
      </c>
      <c r="R16" s="17">
        <f t="shared" si="5"/>
        <v>1</v>
      </c>
      <c r="S16" s="17">
        <f t="shared" si="5"/>
        <v>0.98199624393435081</v>
      </c>
      <c r="T16" s="17">
        <f t="shared" si="5"/>
        <v>0.98228124726279409</v>
      </c>
      <c r="U16" s="17">
        <f t="shared" si="5"/>
        <v>0.98229883433060972</v>
      </c>
      <c r="V16" s="17">
        <f t="shared" si="5"/>
        <v>0.98257910735966636</v>
      </c>
      <c r="W16" s="17">
        <f t="shared" si="5"/>
        <v>0.9828585827397277</v>
      </c>
      <c r="X16" s="17">
        <f t="shared" si="5"/>
        <v>0.9831227113812161</v>
      </c>
      <c r="Y16" s="17">
        <f t="shared" si="5"/>
        <v>0.98339872321344612</v>
      </c>
      <c r="Z16" s="17">
        <f t="shared" si="5"/>
        <v>0.98367165355597286</v>
      </c>
      <c r="AA16" s="17">
        <f t="shared" si="5"/>
        <v>0.98392831181378615</v>
      </c>
      <c r="AB16" s="17">
        <f t="shared" si="5"/>
        <v>0.98419342244948838</v>
      </c>
      <c r="AC16" s="17">
        <f t="shared" si="5"/>
        <v>0.9844417545426386</v>
      </c>
      <c r="AD16" s="17">
        <f t="shared" si="5"/>
        <v>0.98469653114529487</v>
      </c>
      <c r="AE16" s="17">
        <f t="shared" si="5"/>
        <v>0.98494514357153118</v>
      </c>
      <c r="AF16" s="17">
        <f t="shared" si="5"/>
        <v>0.9851765151796994</v>
      </c>
      <c r="AG16" s="17">
        <f t="shared" si="5"/>
        <v>0.9850224434681929</v>
      </c>
      <c r="AH16" s="17">
        <f t="shared" si="5"/>
        <v>0.98565717251520257</v>
      </c>
      <c r="AI16" s="17">
        <f t="shared" si="5"/>
        <v>0.98622339374793322</v>
      </c>
      <c r="AJ16" s="17">
        <f t="shared" si="5"/>
        <v>0.98671902701333536</v>
      </c>
      <c r="AK16" s="17">
        <f t="shared" si="5"/>
        <v>0.98685095940653056</v>
      </c>
      <c r="AL16" s="17">
        <f t="shared" si="5"/>
        <v>0.98721224543359898</v>
      </c>
      <c r="AM16" s="17">
        <f t="shared" si="5"/>
        <v>0.98752179497351622</v>
      </c>
      <c r="AN16" s="17">
        <f t="shared" si="5"/>
        <v>0.98777865392307806</v>
      </c>
      <c r="AO16" s="17">
        <f t="shared" si="5"/>
        <v>0.98769828808500348</v>
      </c>
      <c r="AP16" s="17">
        <f t="shared" si="5"/>
        <v>0.98787655268606489</v>
      </c>
      <c r="AQ16" s="17">
        <f t="shared" si="5"/>
        <v>0.98802144672510339</v>
      </c>
      <c r="AR16" s="17">
        <f t="shared" si="5"/>
        <v>0.98813256070620425</v>
      </c>
    </row>
    <row r="17" spans="1:44" x14ac:dyDescent="0.3">
      <c r="A17" s="4" t="s">
        <v>503</v>
      </c>
      <c r="C17" s="17">
        <f t="shared" ref="C17:AR17" si="6">IF(C4=0,0,C9/C4)</f>
        <v>-8.4164917117717177</v>
      </c>
      <c r="D17" s="17">
        <f t="shared" si="6"/>
        <v>-4.7527506687776979</v>
      </c>
      <c r="E17" s="17">
        <f t="shared" si="6"/>
        <v>-4.3770024170992361</v>
      </c>
      <c r="F17" s="17">
        <f t="shared" si="6"/>
        <v>-4.0291570093238622</v>
      </c>
      <c r="G17" s="17">
        <f t="shared" si="6"/>
        <v>-3.707095543990147</v>
      </c>
      <c r="H17" s="17">
        <f t="shared" si="6"/>
        <v>-3.4366972604693728</v>
      </c>
      <c r="I17" s="17">
        <f t="shared" si="6"/>
        <v>-4.5522664221843359</v>
      </c>
      <c r="J17" s="17">
        <f t="shared" si="6"/>
        <v>-3.4209810154103368</v>
      </c>
      <c r="K17" s="17">
        <f t="shared" si="6"/>
        <v>-3.1484169462016927</v>
      </c>
      <c r="L17" s="17">
        <f t="shared" si="6"/>
        <v>-2.8960767399868002</v>
      </c>
      <c r="M17" s="17">
        <f t="shared" si="6"/>
        <v>-2.6792515031937585</v>
      </c>
      <c r="N17" s="17">
        <f t="shared" si="6"/>
        <v>-2.4609218810998548</v>
      </c>
      <c r="O17" s="17">
        <f t="shared" si="6"/>
        <v>-2.2588231433368717</v>
      </c>
      <c r="P17" s="17">
        <f t="shared" si="6"/>
        <v>-2.0717211282224506</v>
      </c>
      <c r="Q17" s="17">
        <f t="shared" si="6"/>
        <v>-1.9089276191796671</v>
      </c>
      <c r="R17" s="17">
        <f t="shared" si="6"/>
        <v>-1.7473529494805105</v>
      </c>
      <c r="S17" s="17">
        <f t="shared" si="6"/>
        <v>0.32730751364366928</v>
      </c>
      <c r="T17" s="17">
        <f t="shared" si="6"/>
        <v>0.33724869068497293</v>
      </c>
      <c r="U17" s="17">
        <f t="shared" si="6"/>
        <v>0.11399314350787149</v>
      </c>
      <c r="V17" s="17">
        <f t="shared" si="6"/>
        <v>0.26505914957773868</v>
      </c>
      <c r="W17" s="17">
        <f t="shared" si="6"/>
        <v>0.27622622656495455</v>
      </c>
      <c r="X17" s="17">
        <f t="shared" si="6"/>
        <v>0.28677456712069427</v>
      </c>
      <c r="Y17" s="17">
        <f t="shared" si="6"/>
        <v>0.29779169919172793</v>
      </c>
      <c r="Z17" s="17">
        <f t="shared" si="6"/>
        <v>0.30867996885336013</v>
      </c>
      <c r="AA17" s="17">
        <f t="shared" si="6"/>
        <v>0.31891370418930315</v>
      </c>
      <c r="AB17" s="17">
        <f t="shared" si="6"/>
        <v>0.3294789241702038</v>
      </c>
      <c r="AC17" s="17">
        <f t="shared" si="6"/>
        <v>0.34472359907379468</v>
      </c>
      <c r="AD17" s="17">
        <f t="shared" si="6"/>
        <v>0.35501086600630993</v>
      </c>
      <c r="AE17" s="17">
        <f t="shared" si="6"/>
        <v>0.36504401669640291</v>
      </c>
      <c r="AF17" s="17">
        <f t="shared" si="6"/>
        <v>0.37437668065550889</v>
      </c>
      <c r="AG17" s="17">
        <f t="shared" si="6"/>
        <v>0.23295647391088256</v>
      </c>
      <c r="AH17" s="17">
        <f t="shared" si="6"/>
        <v>0.31265612855411362</v>
      </c>
      <c r="AI17" s="17">
        <f t="shared" si="6"/>
        <v>0.33892251138447649</v>
      </c>
      <c r="AJ17" s="17">
        <f t="shared" si="6"/>
        <v>0.36189029268165834</v>
      </c>
      <c r="AK17" s="17">
        <f t="shared" si="6"/>
        <v>0.21506950202372443</v>
      </c>
      <c r="AL17" s="17">
        <f t="shared" si="6"/>
        <v>0.28672924633746866</v>
      </c>
      <c r="AM17" s="17">
        <f t="shared" si="6"/>
        <v>0.30359881976801451</v>
      </c>
      <c r="AN17" s="17">
        <f t="shared" si="6"/>
        <v>0.31758947027650436</v>
      </c>
      <c r="AO17" s="17">
        <f t="shared" si="6"/>
        <v>0.21022841549088897</v>
      </c>
      <c r="AP17" s="17">
        <f t="shared" si="6"/>
        <v>0.25322887408423522</v>
      </c>
      <c r="AQ17" s="17">
        <f t="shared" si="6"/>
        <v>0.26204589800974687</v>
      </c>
      <c r="AR17" s="17">
        <f t="shared" si="6"/>
        <v>0.26880584362971977</v>
      </c>
    </row>
    <row r="18" spans="1:44" x14ac:dyDescent="0.3">
      <c r="A18" s="4" t="s">
        <v>504</v>
      </c>
      <c r="C18" s="17">
        <f t="shared" ref="C18:AR18" si="7">IF(C4=0,0,C13/C4)</f>
        <v>-8.6501425354678059</v>
      </c>
      <c r="D18" s="17">
        <f t="shared" si="7"/>
        <v>-4.974755348858503</v>
      </c>
      <c r="E18" s="17">
        <f t="shared" si="7"/>
        <v>-4.5843788386481235</v>
      </c>
      <c r="F18" s="17">
        <f t="shared" si="7"/>
        <v>-4.222990293753119</v>
      </c>
      <c r="G18" s="17">
        <f t="shared" si="7"/>
        <v>-3.8883884141696474</v>
      </c>
      <c r="H18" s="17">
        <f t="shared" si="7"/>
        <v>-3.6074603828305265</v>
      </c>
      <c r="I18" s="17">
        <f t="shared" si="7"/>
        <v>-4.7072353995650342</v>
      </c>
      <c r="J18" s="17">
        <f t="shared" si="7"/>
        <v>-3.5661793328801368</v>
      </c>
      <c r="K18" s="17">
        <f t="shared" si="7"/>
        <v>-3.2845699948297042</v>
      </c>
      <c r="L18" s="17">
        <f t="shared" si="7"/>
        <v>-3.0238547431028251</v>
      </c>
      <c r="M18" s="17">
        <f t="shared" si="7"/>
        <v>-2.7998323725633472</v>
      </c>
      <c r="N18" s="17">
        <f t="shared" si="7"/>
        <v>-2.5742548130364313</v>
      </c>
      <c r="O18" s="17">
        <f t="shared" si="7"/>
        <v>-2.3654460711130816</v>
      </c>
      <c r="P18" s="17">
        <f t="shared" si="7"/>
        <v>-2.1721310974183079</v>
      </c>
      <c r="Q18" s="17">
        <f t="shared" si="7"/>
        <v>-2.0039310497161749</v>
      </c>
      <c r="R18" s="17">
        <f t="shared" si="7"/>
        <v>-1.8369895103375058</v>
      </c>
      <c r="S18" s="17">
        <f t="shared" si="7"/>
        <v>0.24477578294157912</v>
      </c>
      <c r="T18" s="17">
        <f t="shared" si="7"/>
        <v>0.25299894995270167</v>
      </c>
      <c r="U18" s="17">
        <f t="shared" si="7"/>
        <v>7.5654396797504506E-2</v>
      </c>
      <c r="V18" s="17">
        <f t="shared" si="7"/>
        <v>0.19675325753624634</v>
      </c>
      <c r="W18" s="17">
        <f t="shared" si="7"/>
        <v>0.20593227474088777</v>
      </c>
      <c r="X18" s="17">
        <f t="shared" si="7"/>
        <v>0.21460282966909069</v>
      </c>
      <c r="Y18" s="17">
        <f t="shared" si="7"/>
        <v>0.22365885024035831</v>
      </c>
      <c r="Z18" s="17">
        <f t="shared" si="7"/>
        <v>0.23260907559821981</v>
      </c>
      <c r="AA18" s="17">
        <f t="shared" si="7"/>
        <v>0.24102138798905992</v>
      </c>
      <c r="AB18" s="17">
        <f t="shared" si="7"/>
        <v>0.24970630856479475</v>
      </c>
      <c r="AC18" s="17">
        <f t="shared" si="7"/>
        <v>0.26212006294530271</v>
      </c>
      <c r="AD18" s="17">
        <f t="shared" si="7"/>
        <v>0.27057354868020383</v>
      </c>
      <c r="AE18" s="17">
        <f t="shared" si="7"/>
        <v>0.27881832979852134</v>
      </c>
      <c r="AF18" s="17">
        <f t="shared" si="7"/>
        <v>0.28648758556008275</v>
      </c>
      <c r="AG18" s="17">
        <f t="shared" si="7"/>
        <v>0.17419015984765579</v>
      </c>
      <c r="AH18" s="17">
        <f t="shared" si="7"/>
        <v>0.23846584478523278</v>
      </c>
      <c r="AI18" s="17">
        <f t="shared" si="7"/>
        <v>0.25993922335169711</v>
      </c>
      <c r="AJ18" s="17">
        <f t="shared" si="7"/>
        <v>0.27871634084722002</v>
      </c>
      <c r="AK18" s="17">
        <f t="shared" si="7"/>
        <v>0.1621587057502232</v>
      </c>
      <c r="AL18" s="17">
        <f t="shared" si="7"/>
        <v>0.2197584305608791</v>
      </c>
      <c r="AM18" s="17">
        <f t="shared" si="7"/>
        <v>0.23348707813374062</v>
      </c>
      <c r="AN18" s="17">
        <f t="shared" si="7"/>
        <v>0.24487292871231961</v>
      </c>
      <c r="AO18" s="17">
        <f t="shared" si="7"/>
        <v>0.16818273239271117</v>
      </c>
      <c r="AP18" s="17">
        <f t="shared" si="7"/>
        <v>0.20258309926738818</v>
      </c>
      <c r="AQ18" s="17">
        <f t="shared" si="7"/>
        <v>0.20963671840779752</v>
      </c>
      <c r="AR18" s="17">
        <f t="shared" si="7"/>
        <v>0.2150446749037758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F0"/>
  </sheetPr>
  <dimension ref="A1:AR15"/>
  <sheetViews>
    <sheetView workbookViewId="0">
      <selection activeCell="A5" sqref="A5"/>
    </sheetView>
  </sheetViews>
  <sheetFormatPr defaultRowHeight="14.4" x14ac:dyDescent="0.3"/>
  <cols>
    <col min="1" max="1" width="38" style="29" customWidth="1"/>
    <col min="2" max="2" width="10" style="29" customWidth="1"/>
    <col min="3" max="44" width="11" style="29" customWidth="1"/>
  </cols>
  <sheetData>
    <row r="1" spans="1:44" x14ac:dyDescent="0.3">
      <c r="A1" s="30" t="s">
        <v>505</v>
      </c>
    </row>
    <row r="3" spans="1:44" x14ac:dyDescent="0.3">
      <c r="A3" s="3" t="s">
        <v>463</v>
      </c>
      <c r="B3" s="3" t="s">
        <v>188</v>
      </c>
      <c r="C3" s="3" t="s">
        <v>382</v>
      </c>
      <c r="D3" s="3" t="s">
        <v>383</v>
      </c>
      <c r="E3" s="3" t="s">
        <v>384</v>
      </c>
      <c r="F3" s="3" t="s">
        <v>385</v>
      </c>
      <c r="G3" s="3" t="s">
        <v>386</v>
      </c>
      <c r="H3" s="3" t="s">
        <v>387</v>
      </c>
      <c r="I3" s="3" t="s">
        <v>388</v>
      </c>
      <c r="J3" s="3" t="s">
        <v>389</v>
      </c>
      <c r="K3" s="3" t="s">
        <v>390</v>
      </c>
      <c r="L3" s="3" t="s">
        <v>391</v>
      </c>
      <c r="M3" s="3" t="s">
        <v>392</v>
      </c>
      <c r="N3" s="3" t="s">
        <v>393</v>
      </c>
      <c r="O3" s="3" t="s">
        <v>394</v>
      </c>
      <c r="P3" s="3" t="s">
        <v>395</v>
      </c>
      <c r="Q3" s="3" t="s">
        <v>396</v>
      </c>
      <c r="R3" s="3" t="s">
        <v>397</v>
      </c>
      <c r="S3" s="3" t="s">
        <v>398</v>
      </c>
      <c r="T3" s="3" t="s">
        <v>399</v>
      </c>
      <c r="U3" s="3" t="s">
        <v>400</v>
      </c>
      <c r="V3" s="3" t="s">
        <v>401</v>
      </c>
      <c r="W3" s="3" t="s">
        <v>402</v>
      </c>
      <c r="X3" s="3" t="s">
        <v>403</v>
      </c>
      <c r="Y3" s="3" t="s">
        <v>404</v>
      </c>
      <c r="Z3" s="3" t="s">
        <v>405</v>
      </c>
      <c r="AA3" s="3" t="s">
        <v>406</v>
      </c>
      <c r="AB3" s="3" t="s">
        <v>407</v>
      </c>
      <c r="AC3" s="3" t="s">
        <v>408</v>
      </c>
      <c r="AD3" s="3" t="s">
        <v>409</v>
      </c>
      <c r="AE3" s="3" t="s">
        <v>410</v>
      </c>
      <c r="AF3" s="3" t="s">
        <v>411</v>
      </c>
      <c r="AG3" s="3" t="s">
        <v>412</v>
      </c>
      <c r="AH3" s="3" t="s">
        <v>413</v>
      </c>
      <c r="AI3" s="3" t="s">
        <v>414</v>
      </c>
      <c r="AJ3" s="3" t="s">
        <v>415</v>
      </c>
      <c r="AK3" s="3" t="s">
        <v>416</v>
      </c>
      <c r="AL3" s="3" t="s">
        <v>417</v>
      </c>
      <c r="AM3" s="3" t="s">
        <v>418</v>
      </c>
      <c r="AN3" s="3" t="s">
        <v>419</v>
      </c>
      <c r="AO3" s="3" t="s">
        <v>420</v>
      </c>
      <c r="AP3" s="3" t="s">
        <v>421</v>
      </c>
      <c r="AQ3" s="3" t="s">
        <v>422</v>
      </c>
      <c r="AR3" s="3" t="s">
        <v>423</v>
      </c>
    </row>
    <row r="4" spans="1:44" x14ac:dyDescent="0.3">
      <c r="A4" s="30" t="s">
        <v>506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</row>
    <row r="5" spans="1:44" x14ac:dyDescent="0.3">
      <c r="A5" s="4" t="s">
        <v>507</v>
      </c>
      <c r="C5" s="10">
        <f>'P&amp;L'!C13</f>
        <v>-3257.906525128632</v>
      </c>
      <c r="D5" s="10">
        <f>'P&amp;L'!D13</f>
        <v>-1971.9335220329897</v>
      </c>
      <c r="E5" s="10">
        <f>'P&amp;L'!E13</f>
        <v>-1945.3770818681569</v>
      </c>
      <c r="F5" s="10">
        <f>'P&amp;L'!F13</f>
        <v>-1917.2308148444213</v>
      </c>
      <c r="G5" s="10">
        <f>'P&amp;L'!G13</f>
        <v>-1887.4331908813303</v>
      </c>
      <c r="H5" s="10">
        <f>'P&amp;L'!H13</f>
        <v>-1859.0460826646436</v>
      </c>
      <c r="I5" s="10">
        <f>'P&amp;L'!I13</f>
        <v>-2673.0299325916421</v>
      </c>
      <c r="J5" s="10">
        <f>'P&amp;L'!J13</f>
        <v>-2161.3458527763205</v>
      </c>
      <c r="K5" s="10">
        <f>'P&amp;L'!K13</f>
        <v>-2122.9209515147645</v>
      </c>
      <c r="L5" s="10">
        <f>'P&amp;L'!L13</f>
        <v>-2082.5119418357558</v>
      </c>
      <c r="M5" s="10">
        <f>'P&amp;L'!M13</f>
        <v>-2043.3195586804613</v>
      </c>
      <c r="N5" s="10">
        <f>'P&amp;L'!N13</f>
        <v>-1998.840228310509</v>
      </c>
      <c r="O5" s="10">
        <f>'P&amp;L'!O13</f>
        <v>-1952.293550734744</v>
      </c>
      <c r="P5" s="10">
        <f>'P&amp;L'!P13</f>
        <v>-1903.6709014417024</v>
      </c>
      <c r="Q5" s="10">
        <f>'P&amp;L'!Q13</f>
        <v>-1856.205943081786</v>
      </c>
      <c r="R5" s="10">
        <f>'P&amp;L'!R13</f>
        <v>-1803.4502368693302</v>
      </c>
      <c r="S5" s="10">
        <f>'P&amp;L'!S13</f>
        <v>1009.4894541527923</v>
      </c>
      <c r="T5" s="10">
        <f>'P&amp;L'!T13</f>
        <v>1060.1859122139547</v>
      </c>
      <c r="U5" s="10">
        <f>'P&amp;L'!U13</f>
        <v>342.73031463022346</v>
      </c>
      <c r="V5" s="10">
        <f>'P&amp;L'!V13</f>
        <v>905.6736671060338</v>
      </c>
      <c r="W5" s="10">
        <f>'P&amp;L'!W13</f>
        <v>963.38061554248566</v>
      </c>
      <c r="X5" s="10">
        <f>'P&amp;L'!X13</f>
        <v>1019.6543591730239</v>
      </c>
      <c r="Y5" s="10">
        <f>'P&amp;L'!Y13</f>
        <v>1080.3508327323841</v>
      </c>
      <c r="Z5" s="10">
        <f>'P&amp;L'!Z13</f>
        <v>1142.3644051259325</v>
      </c>
      <c r="AA5" s="10">
        <f>'P&amp;L'!AA13</f>
        <v>1202.5808912483487</v>
      </c>
      <c r="AB5" s="10">
        <f>'P&amp;L'!AB13</f>
        <v>1266.8111626202531</v>
      </c>
      <c r="AC5" s="10">
        <f>'P&amp;L'!AC13</f>
        <v>1351.014026947259</v>
      </c>
      <c r="AD5" s="10">
        <f>'P&amp;L'!AD13</f>
        <v>1417.8022691890831</v>
      </c>
      <c r="AE5" s="10">
        <f>'P&amp;L'!AE13</f>
        <v>1485.1315236898142</v>
      </c>
      <c r="AF5" s="10">
        <f>'P&amp;L'!AF13</f>
        <v>1549.8001829233137</v>
      </c>
      <c r="AG5" s="10">
        <f>'P&amp;L'!AG13</f>
        <v>3021.6758520526446</v>
      </c>
      <c r="AH5" s="10">
        <f>'P&amp;L'!AH13</f>
        <v>4319.7303047849882</v>
      </c>
      <c r="AI5" s="10">
        <f>'P&amp;L'!AI13</f>
        <v>4902.2425438430237</v>
      </c>
      <c r="AJ5" s="10">
        <f>'P&amp;L'!AJ13</f>
        <v>5452.5262117268621</v>
      </c>
      <c r="AK5" s="10">
        <f>'P&amp;L'!AK13</f>
        <v>3460.4707484661863</v>
      </c>
      <c r="AL5" s="10">
        <f>'P&amp;L'!AL13</f>
        <v>4822.1446267471492</v>
      </c>
      <c r="AM5" s="10">
        <f>'P&amp;L'!AM13</f>
        <v>5250.4885103520519</v>
      </c>
      <c r="AN5" s="10">
        <f>'P&amp;L'!AN13</f>
        <v>5622.2572388054523</v>
      </c>
      <c r="AO5" s="10">
        <f>'P&amp;L'!AO13</f>
        <v>4143.1302461641635</v>
      </c>
      <c r="AP5" s="10">
        <f>'P&amp;L'!AP13</f>
        <v>5063.954749068982</v>
      </c>
      <c r="AQ5" s="10">
        <f>'P&amp;L'!AQ13</f>
        <v>5303.6605319340542</v>
      </c>
      <c r="AR5" s="10">
        <f>'P&amp;L'!AR13</f>
        <v>5491.4168063893012</v>
      </c>
    </row>
    <row r="6" spans="1:44" x14ac:dyDescent="0.3">
      <c r="A6" s="4" t="s">
        <v>508</v>
      </c>
      <c r="C6" s="10">
        <f>-'P&amp;L'!C10</f>
        <v>88</v>
      </c>
      <c r="D6" s="10">
        <f>-'P&amp;L'!D10</f>
        <v>88</v>
      </c>
      <c r="E6" s="10">
        <f>-'P&amp;L'!E10</f>
        <v>88</v>
      </c>
      <c r="F6" s="10">
        <f>-'P&amp;L'!F10</f>
        <v>88</v>
      </c>
      <c r="G6" s="10">
        <f>-'P&amp;L'!G10</f>
        <v>88</v>
      </c>
      <c r="H6" s="10">
        <f>-'P&amp;L'!H10</f>
        <v>88</v>
      </c>
      <c r="I6" s="10">
        <f>-'P&amp;L'!I10</f>
        <v>88</v>
      </c>
      <c r="J6" s="10">
        <f>-'P&amp;L'!J10</f>
        <v>88</v>
      </c>
      <c r="K6" s="10">
        <f>-'P&amp;L'!K10</f>
        <v>88</v>
      </c>
      <c r="L6" s="10">
        <f>-'P&amp;L'!L10</f>
        <v>88</v>
      </c>
      <c r="M6" s="10">
        <f>-'P&amp;L'!M10</f>
        <v>88</v>
      </c>
      <c r="N6" s="10">
        <f>-'P&amp;L'!N10</f>
        <v>88</v>
      </c>
      <c r="O6" s="10">
        <f>-'P&amp;L'!O10</f>
        <v>88</v>
      </c>
      <c r="P6" s="10">
        <f>-'P&amp;L'!P10</f>
        <v>88</v>
      </c>
      <c r="Q6" s="10">
        <f>-'P&amp;L'!Q10</f>
        <v>88</v>
      </c>
      <c r="R6" s="10">
        <f>-'P&amp;L'!R10</f>
        <v>88</v>
      </c>
      <c r="S6" s="10">
        <f>-'P&amp;L'!S10</f>
        <v>88</v>
      </c>
      <c r="T6" s="10">
        <f>-'P&amp;L'!T10</f>
        <v>88</v>
      </c>
      <c r="U6" s="10">
        <f>-'P&amp;L'!U10</f>
        <v>88</v>
      </c>
      <c r="V6" s="10">
        <f>-'P&amp;L'!V10</f>
        <v>88</v>
      </c>
      <c r="W6" s="10">
        <f>-'P&amp;L'!W10</f>
        <v>88</v>
      </c>
      <c r="X6" s="10">
        <f>-'P&amp;L'!X10</f>
        <v>88</v>
      </c>
      <c r="Y6" s="10">
        <f>-'P&amp;L'!Y10</f>
        <v>88</v>
      </c>
      <c r="Z6" s="10">
        <f>-'P&amp;L'!Z10</f>
        <v>88</v>
      </c>
      <c r="AA6" s="10">
        <f>-'P&amp;L'!AA10</f>
        <v>88</v>
      </c>
      <c r="AB6" s="10">
        <f>-'P&amp;L'!AB10</f>
        <v>88</v>
      </c>
      <c r="AC6" s="10">
        <f>-'P&amp;L'!AC10</f>
        <v>88</v>
      </c>
      <c r="AD6" s="10">
        <f>-'P&amp;L'!AD10</f>
        <v>88</v>
      </c>
      <c r="AE6" s="10">
        <f>-'P&amp;L'!AE10</f>
        <v>88</v>
      </c>
      <c r="AF6" s="10">
        <f>-'P&amp;L'!AF10</f>
        <v>88</v>
      </c>
      <c r="AG6" s="10">
        <f>-'P&amp;L'!AG10</f>
        <v>264</v>
      </c>
      <c r="AH6" s="10">
        <f>-'P&amp;L'!AH10</f>
        <v>264</v>
      </c>
      <c r="AI6" s="10">
        <f>-'P&amp;L'!AI10</f>
        <v>264</v>
      </c>
      <c r="AJ6" s="10">
        <f>-'P&amp;L'!AJ10</f>
        <v>264</v>
      </c>
      <c r="AK6" s="10">
        <f>-'P&amp;L'!AK10</f>
        <v>264</v>
      </c>
      <c r="AL6" s="10">
        <f>-'P&amp;L'!AL10</f>
        <v>264</v>
      </c>
      <c r="AM6" s="10">
        <f>-'P&amp;L'!AM10</f>
        <v>264</v>
      </c>
      <c r="AN6" s="10">
        <f>-'P&amp;L'!AN10</f>
        <v>264</v>
      </c>
      <c r="AO6" s="10">
        <f>-'P&amp;L'!AO10</f>
        <v>0</v>
      </c>
      <c r="AP6" s="10">
        <f>-'P&amp;L'!AP10</f>
        <v>0</v>
      </c>
      <c r="AQ6" s="10">
        <f>-'P&amp;L'!AQ10</f>
        <v>0</v>
      </c>
      <c r="AR6" s="10">
        <f>-'P&amp;L'!AR10</f>
        <v>0</v>
      </c>
    </row>
    <row r="7" spans="1:44" x14ac:dyDescent="0.3">
      <c r="A7" s="4" t="s">
        <v>509</v>
      </c>
      <c r="C7" s="10">
        <f>-'P&amp;L'!C4*ar_days/365</f>
        <v>-46.433883248812904</v>
      </c>
      <c r="D7" s="10">
        <f>-('P&amp;L'!D4-'P&amp;L'!C4)*ar_days/365</f>
        <v>-2.4358751028770058</v>
      </c>
      <c r="E7" s="10">
        <f>-('P&amp;L'!E4-'P&amp;L'!D4)*ar_days/365</f>
        <v>-3.4472552579577052</v>
      </c>
      <c r="F7" s="10">
        <f>-('P&amp;L'!F4-'P&amp;L'!E4)*ar_days/365</f>
        <v>-3.6553912352634099</v>
      </c>
      <c r="G7" s="10">
        <f>-('P&amp;L'!G4-'P&amp;L'!F4)*ar_days/365</f>
        <v>-3.8717305463545664</v>
      </c>
      <c r="H7" s="10">
        <f>-('P&amp;L'!H4-'P&amp;L'!G4)*ar_days/365</f>
        <v>-3.6901624037084968</v>
      </c>
      <c r="I7" s="10">
        <f>-('P&amp;L'!I4-'P&amp;L'!H4)*ar_days/365</f>
        <v>-6.4752954272915257</v>
      </c>
      <c r="J7" s="10">
        <f>-('P&amp;L'!J4-'P&amp;L'!I4)*ar_days/365</f>
        <v>-4.7110733636244468</v>
      </c>
      <c r="K7" s="10">
        <f>-('P&amp;L'!K4-'P&amp;L'!J4)*ar_days/365</f>
        <v>-4.9640351363236768</v>
      </c>
      <c r="L7" s="10">
        <f>-('P&amp;L'!L4-'P&amp;L'!K4)*ar_days/365</f>
        <v>-5.222831686660621</v>
      </c>
      <c r="M7" s="10">
        <f>-('P&amp;L'!M4-'P&amp;L'!L4)*ar_days/365</f>
        <v>-5.0678924212317451</v>
      </c>
      <c r="N7" s="10">
        <f>-('P&amp;L'!N4-'P&amp;L'!M4)*ar_days/365</f>
        <v>-5.7541638231877572</v>
      </c>
      <c r="O7" s="10">
        <f>-('P&amp;L'!O4-'P&amp;L'!N4)*ar_days/365</f>
        <v>-6.0244635768396231</v>
      </c>
      <c r="P7" s="10">
        <f>-('P&amp;L'!P4-'P&amp;L'!O4)*ar_days/365</f>
        <v>-6.2961250079530435</v>
      </c>
      <c r="Q7" s="10">
        <f>-('P&amp;L'!Q4-'P&amp;L'!P4)*ar_days/365</f>
        <v>-6.1490144355295131</v>
      </c>
      <c r="R7" s="10">
        <f>-('P&amp;L'!R4-'P&amp;L'!Q4)*ar_days/365</f>
        <v>-6.8375245404898859</v>
      </c>
      <c r="S7" s="10">
        <f>-('P&amp;L'!S4-'P&amp;L'!R4)*ar_days/365</f>
        <v>-387.41882704351389</v>
      </c>
      <c r="T7" s="10">
        <f>-('P&amp;L'!T4-'P&amp;L'!S4)*ar_days/365</f>
        <v>-8.1784268130010656</v>
      </c>
      <c r="U7" s="10">
        <f>-('P&amp;L'!U4-'P&amp;L'!T4)*ar_days/365</f>
        <v>-41.885085855693355</v>
      </c>
      <c r="V7" s="10">
        <f>-('P&amp;L'!V4-'P&amp;L'!U4)*ar_days/365</f>
        <v>-8.9856375963294806</v>
      </c>
      <c r="W7" s="10">
        <f>-('P&amp;L'!W4-'P&amp;L'!V4)*ar_days/365</f>
        <v>-9.2526532538194797</v>
      </c>
      <c r="X7" s="10">
        <f>-('P&amp;L'!X4-'P&amp;L'!W4)*ar_days/365</f>
        <v>-9.0262208686221594</v>
      </c>
      <c r="Y7" s="10">
        <f>-('P&amp;L'!Y4-'P&amp;L'!X4)*ar_days/365</f>
        <v>-9.739202481279241</v>
      </c>
      <c r="Z7" s="10">
        <f>-('P&amp;L'!Z4-'P&amp;L'!Y4)*ar_days/365</f>
        <v>-9.9542372194981574</v>
      </c>
      <c r="AA7" s="10">
        <f>-('P&amp;L'!AA4-'P&amp;L'!Z4)*ar_days/365</f>
        <v>-9.6692190831156086</v>
      </c>
      <c r="AB7" s="10">
        <f>-('P&amp;L'!AB4-'P&amp;L'!AA4)*ar_days/365</f>
        <v>-10.317338265187162</v>
      </c>
      <c r="AC7" s="10">
        <f>-('P&amp;L'!AC4-'P&amp;L'!AB4)*ar_days/365</f>
        <v>-9.9833028655895433</v>
      </c>
      <c r="AD7" s="10">
        <f>-('P&amp;L'!AD4-'P&amp;L'!AC4)*ar_days/365</f>
        <v>-10.579104376745331</v>
      </c>
      <c r="AE7" s="10">
        <f>-('P&amp;L'!AE4-'P&amp;L'!AD4)*ar_days/365</f>
        <v>-10.668323893126784</v>
      </c>
      <c r="AF7" s="10">
        <f>-('P&amp;L'!AF4-'P&amp;L'!AE4)*ar_days/365</f>
        <v>-10.249979500384478</v>
      </c>
      <c r="AG7" s="10">
        <f>-('P&amp;L'!AG4-'P&amp;L'!AF4)*ar_days/365</f>
        <v>-1471.7263543531631</v>
      </c>
      <c r="AH7" s="10">
        <f>-('P&amp;L'!AH4-'P&amp;L'!AG4)*ar_days/365</f>
        <v>-94.644962628181446</v>
      </c>
      <c r="AI7" s="10">
        <f>-('P&amp;L'!AI4-'P&amp;L'!AH4)*ar_days/365</f>
        <v>-91.789711136703602</v>
      </c>
      <c r="AJ7" s="10">
        <f>-('P&amp;L'!AJ4-'P&amp;L'!AI4)*ar_days/365</f>
        <v>-86.770715941108534</v>
      </c>
      <c r="AK7" s="10">
        <f>-('P&amp;L'!AK4-'P&amp;L'!AJ4)*ar_days/365</f>
        <v>-219.08590036665711</v>
      </c>
      <c r="AL7" s="10">
        <f>-('P&amp;L'!AL4-'P&amp;L'!AK4)*ar_days/365</f>
        <v>-74.331249851750684</v>
      </c>
      <c r="AM7" s="10">
        <f>-('P&amp;L'!AM4-'P&amp;L'!AL4)*ar_days/365</f>
        <v>-67.110794743762554</v>
      </c>
      <c r="AN7" s="10">
        <f>-('P&amp;L'!AN4-'P&amp;L'!AM4)*ar_days/365</f>
        <v>-58.268276327269454</v>
      </c>
      <c r="AO7" s="10">
        <f>-('P&amp;L'!AO4-'P&amp;L'!AN4)*ar_days/365</f>
        <v>-206.48188465197487</v>
      </c>
      <c r="AP7" s="10">
        <f>-('P&amp;L'!AP4-'P&amp;L'!AO4)*ar_days/365</f>
        <v>-44.658672956000224</v>
      </c>
      <c r="AQ7" s="10">
        <f>-('P&amp;L'!AQ4-'P&amp;L'!AP4)*ar_days/365</f>
        <v>-37.277982891719098</v>
      </c>
      <c r="AR7" s="10">
        <f>-('P&amp;L'!AR4-'P&amp;L'!AQ4)*ar_days/365</f>
        <v>-29.203822799756555</v>
      </c>
    </row>
    <row r="8" spans="1:44" x14ac:dyDescent="0.3">
      <c r="A8" s="4" t="s">
        <v>510</v>
      </c>
      <c r="C8" s="9">
        <f t="shared" ref="C8:AR8" si="0">C5+C6+C7</f>
        <v>-3216.3404083774449</v>
      </c>
      <c r="D8" s="9">
        <f t="shared" si="0"/>
        <v>-1886.3693971358666</v>
      </c>
      <c r="E8" s="9">
        <f t="shared" si="0"/>
        <v>-1860.8243371261146</v>
      </c>
      <c r="F8" s="9">
        <f t="shared" si="0"/>
        <v>-1832.8862060796846</v>
      </c>
      <c r="G8" s="9">
        <f t="shared" si="0"/>
        <v>-1803.3049214276848</v>
      </c>
      <c r="H8" s="9">
        <f t="shared" si="0"/>
        <v>-1774.736245068352</v>
      </c>
      <c r="I8" s="9">
        <f t="shared" si="0"/>
        <v>-2591.5052280189338</v>
      </c>
      <c r="J8" s="9">
        <f t="shared" si="0"/>
        <v>-2078.0569261399451</v>
      </c>
      <c r="K8" s="9">
        <f t="shared" si="0"/>
        <v>-2039.8849866510882</v>
      </c>
      <c r="L8" s="9">
        <f t="shared" si="0"/>
        <v>-1999.7347735224164</v>
      </c>
      <c r="M8" s="9">
        <f t="shared" si="0"/>
        <v>-1960.3874511016932</v>
      </c>
      <c r="N8" s="9">
        <f t="shared" si="0"/>
        <v>-1916.5943921336968</v>
      </c>
      <c r="O8" s="9">
        <f t="shared" si="0"/>
        <v>-1870.3180143115837</v>
      </c>
      <c r="P8" s="9">
        <f t="shared" si="0"/>
        <v>-1821.9670264496556</v>
      </c>
      <c r="Q8" s="9">
        <f t="shared" si="0"/>
        <v>-1774.3549575173156</v>
      </c>
      <c r="R8" s="9">
        <f t="shared" si="0"/>
        <v>-1722.2877614098202</v>
      </c>
      <c r="S8" s="9">
        <f t="shared" si="0"/>
        <v>710.07062710927858</v>
      </c>
      <c r="T8" s="9">
        <f t="shared" si="0"/>
        <v>1140.0074854009536</v>
      </c>
      <c r="U8" s="9">
        <f t="shared" si="0"/>
        <v>388.84522877453009</v>
      </c>
      <c r="V8" s="9">
        <f t="shared" si="0"/>
        <v>984.68802950970428</v>
      </c>
      <c r="W8" s="9">
        <f t="shared" si="0"/>
        <v>1042.1279622886661</v>
      </c>
      <c r="X8" s="9">
        <f t="shared" si="0"/>
        <v>1098.6281383044015</v>
      </c>
      <c r="Y8" s="9">
        <f t="shared" si="0"/>
        <v>1158.6116302511048</v>
      </c>
      <c r="Z8" s="9">
        <f t="shared" si="0"/>
        <v>1220.4101679064345</v>
      </c>
      <c r="AA8" s="9">
        <f t="shared" si="0"/>
        <v>1280.9116721652331</v>
      </c>
      <c r="AB8" s="9">
        <f t="shared" si="0"/>
        <v>1344.493824355066</v>
      </c>
      <c r="AC8" s="9">
        <f t="shared" si="0"/>
        <v>1429.0307240816694</v>
      </c>
      <c r="AD8" s="9">
        <f t="shared" si="0"/>
        <v>1495.2231648123377</v>
      </c>
      <c r="AE8" s="9">
        <f t="shared" si="0"/>
        <v>1562.4631997966874</v>
      </c>
      <c r="AF8" s="9">
        <f t="shared" si="0"/>
        <v>1627.5502034229294</v>
      </c>
      <c r="AG8" s="9">
        <f t="shared" si="0"/>
        <v>1813.9494976994815</v>
      </c>
      <c r="AH8" s="9">
        <f t="shared" si="0"/>
        <v>4489.0853421568072</v>
      </c>
      <c r="AI8" s="9">
        <f t="shared" si="0"/>
        <v>5074.4528327063199</v>
      </c>
      <c r="AJ8" s="9">
        <f t="shared" si="0"/>
        <v>5629.7554957857537</v>
      </c>
      <c r="AK8" s="9">
        <f t="shared" si="0"/>
        <v>3505.3848480995293</v>
      </c>
      <c r="AL8" s="9">
        <f t="shared" si="0"/>
        <v>5011.8133768953985</v>
      </c>
      <c r="AM8" s="9">
        <f t="shared" si="0"/>
        <v>5447.3777156082897</v>
      </c>
      <c r="AN8" s="9">
        <f t="shared" si="0"/>
        <v>5827.9889624781827</v>
      </c>
      <c r="AO8" s="9">
        <f t="shared" si="0"/>
        <v>3936.6483615121888</v>
      </c>
      <c r="AP8" s="9">
        <f t="shared" si="0"/>
        <v>5019.2960761129816</v>
      </c>
      <c r="AQ8" s="9">
        <f t="shared" si="0"/>
        <v>5266.3825490423351</v>
      </c>
      <c r="AR8" s="9">
        <f t="shared" si="0"/>
        <v>5462.2129835895448</v>
      </c>
    </row>
    <row r="10" spans="1:44" x14ac:dyDescent="0.3">
      <c r="A10" s="30" t="s">
        <v>511</v>
      </c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</row>
    <row r="11" spans="1:44" x14ac:dyDescent="0.3">
      <c r="A11" s="4" t="s">
        <v>512</v>
      </c>
      <c r="C11" s="10">
        <f>-'Cost Schedule'!C7</f>
        <v>-880</v>
      </c>
      <c r="D11" s="10">
        <f>-'Cost Schedule'!D7</f>
        <v>-880</v>
      </c>
      <c r="E11" s="10">
        <f>-'Cost Schedule'!E7</f>
        <v>-880</v>
      </c>
      <c r="F11" s="10">
        <f>-'Cost Schedule'!F7</f>
        <v>-880</v>
      </c>
      <c r="G11" s="10">
        <f>-'Cost Schedule'!G7</f>
        <v>-880</v>
      </c>
      <c r="H11" s="10">
        <f>-'Cost Schedule'!H7</f>
        <v>-880</v>
      </c>
      <c r="I11" s="10">
        <f>-'Cost Schedule'!I7</f>
        <v>-79.2</v>
      </c>
      <c r="J11" s="10">
        <f>-'Cost Schedule'!J7</f>
        <v>-79.2</v>
      </c>
      <c r="K11" s="10">
        <f>-'Cost Schedule'!K7</f>
        <v>-79.2</v>
      </c>
      <c r="L11" s="10">
        <f>-'Cost Schedule'!L7</f>
        <v>-79.2</v>
      </c>
      <c r="M11" s="10">
        <f>-'Cost Schedule'!M7</f>
        <v>-79.2</v>
      </c>
      <c r="N11" s="10">
        <f>-'Cost Schedule'!N7</f>
        <v>-79.2</v>
      </c>
      <c r="O11" s="10">
        <f>-'Cost Schedule'!O7</f>
        <v>-79.2</v>
      </c>
      <c r="P11" s="10">
        <f>-'Cost Schedule'!P7</f>
        <v>-79.2</v>
      </c>
      <c r="Q11" s="10">
        <f>-'Cost Schedule'!Q7</f>
        <v>-79.2</v>
      </c>
      <c r="R11" s="10">
        <f>-'Cost Schedule'!R7</f>
        <v>-79.2</v>
      </c>
      <c r="S11" s="10">
        <f>-'Cost Schedule'!S7</f>
        <v>-79.2</v>
      </c>
      <c r="T11" s="10">
        <f>-'Cost Schedule'!T7</f>
        <v>-79.2</v>
      </c>
      <c r="U11" s="10">
        <f>-'Cost Schedule'!U7</f>
        <v>-79.2</v>
      </c>
      <c r="V11" s="10">
        <f>-'Cost Schedule'!V7</f>
        <v>-79.2</v>
      </c>
      <c r="W11" s="10">
        <f>-'Cost Schedule'!W7</f>
        <v>-79.2</v>
      </c>
      <c r="X11" s="10">
        <f>-'Cost Schedule'!X7</f>
        <v>-79.2</v>
      </c>
      <c r="Y11" s="10">
        <f>-'Cost Schedule'!Y7</f>
        <v>-79.2</v>
      </c>
      <c r="Z11" s="10">
        <f>-'Cost Schedule'!Z7</f>
        <v>-79.2</v>
      </c>
      <c r="AA11" s="10">
        <f>-'Cost Schedule'!AA7</f>
        <v>-79.2</v>
      </c>
      <c r="AB11" s="10">
        <f>-'Cost Schedule'!AB7</f>
        <v>-79.2</v>
      </c>
      <c r="AC11" s="10">
        <f>-'Cost Schedule'!AC7</f>
        <v>-79.2</v>
      </c>
      <c r="AD11" s="10">
        <f>-'Cost Schedule'!AD7</f>
        <v>-79.2</v>
      </c>
      <c r="AE11" s="10">
        <f>-'Cost Schedule'!AE7</f>
        <v>-79.2</v>
      </c>
      <c r="AF11" s="10">
        <f>-'Cost Schedule'!AF7</f>
        <v>-79.2</v>
      </c>
      <c r="AG11" s="10">
        <f>-'Cost Schedule'!AG7</f>
        <v>-237.6</v>
      </c>
      <c r="AH11" s="10">
        <f>-'Cost Schedule'!AH7</f>
        <v>-237.6</v>
      </c>
      <c r="AI11" s="10">
        <f>-'Cost Schedule'!AI7</f>
        <v>-237.6</v>
      </c>
      <c r="AJ11" s="10">
        <f>-'Cost Schedule'!AJ7</f>
        <v>-237.6</v>
      </c>
      <c r="AK11" s="10">
        <f>-'Cost Schedule'!AK7</f>
        <v>-237.6</v>
      </c>
      <c r="AL11" s="10">
        <f>-'Cost Schedule'!AL7</f>
        <v>-237.6</v>
      </c>
      <c r="AM11" s="10">
        <f>-'Cost Schedule'!AM7</f>
        <v>-237.6</v>
      </c>
      <c r="AN11" s="10">
        <f>-'Cost Schedule'!AN7</f>
        <v>-237.6</v>
      </c>
      <c r="AO11" s="10">
        <f>-'Cost Schedule'!AO7</f>
        <v>-237.6</v>
      </c>
      <c r="AP11" s="10">
        <f>-'Cost Schedule'!AP7</f>
        <v>-237.6</v>
      </c>
      <c r="AQ11" s="10">
        <f>-'Cost Schedule'!AQ7</f>
        <v>-237.6</v>
      </c>
      <c r="AR11" s="10">
        <f>-'Cost Schedule'!AR7</f>
        <v>-237.6</v>
      </c>
    </row>
    <row r="12" spans="1:44" x14ac:dyDescent="0.3">
      <c r="A12" s="4" t="s">
        <v>513</v>
      </c>
      <c r="C12" s="9">
        <f t="shared" ref="C12:AR12" si="1">C11</f>
        <v>-880</v>
      </c>
      <c r="D12" s="9">
        <f t="shared" si="1"/>
        <v>-880</v>
      </c>
      <c r="E12" s="9">
        <f t="shared" si="1"/>
        <v>-880</v>
      </c>
      <c r="F12" s="9">
        <f t="shared" si="1"/>
        <v>-880</v>
      </c>
      <c r="G12" s="9">
        <f t="shared" si="1"/>
        <v>-880</v>
      </c>
      <c r="H12" s="9">
        <f t="shared" si="1"/>
        <v>-880</v>
      </c>
      <c r="I12" s="9">
        <f t="shared" si="1"/>
        <v>-79.2</v>
      </c>
      <c r="J12" s="9">
        <f t="shared" si="1"/>
        <v>-79.2</v>
      </c>
      <c r="K12" s="9">
        <f t="shared" si="1"/>
        <v>-79.2</v>
      </c>
      <c r="L12" s="9">
        <f t="shared" si="1"/>
        <v>-79.2</v>
      </c>
      <c r="M12" s="9">
        <f t="shared" si="1"/>
        <v>-79.2</v>
      </c>
      <c r="N12" s="9">
        <f t="shared" si="1"/>
        <v>-79.2</v>
      </c>
      <c r="O12" s="9">
        <f t="shared" si="1"/>
        <v>-79.2</v>
      </c>
      <c r="P12" s="9">
        <f t="shared" si="1"/>
        <v>-79.2</v>
      </c>
      <c r="Q12" s="9">
        <f t="shared" si="1"/>
        <v>-79.2</v>
      </c>
      <c r="R12" s="9">
        <f t="shared" si="1"/>
        <v>-79.2</v>
      </c>
      <c r="S12" s="9">
        <f t="shared" si="1"/>
        <v>-79.2</v>
      </c>
      <c r="T12" s="9">
        <f t="shared" si="1"/>
        <v>-79.2</v>
      </c>
      <c r="U12" s="9">
        <f t="shared" si="1"/>
        <v>-79.2</v>
      </c>
      <c r="V12" s="9">
        <f t="shared" si="1"/>
        <v>-79.2</v>
      </c>
      <c r="W12" s="9">
        <f t="shared" si="1"/>
        <v>-79.2</v>
      </c>
      <c r="X12" s="9">
        <f t="shared" si="1"/>
        <v>-79.2</v>
      </c>
      <c r="Y12" s="9">
        <f t="shared" si="1"/>
        <v>-79.2</v>
      </c>
      <c r="Z12" s="9">
        <f t="shared" si="1"/>
        <v>-79.2</v>
      </c>
      <c r="AA12" s="9">
        <f t="shared" si="1"/>
        <v>-79.2</v>
      </c>
      <c r="AB12" s="9">
        <f t="shared" si="1"/>
        <v>-79.2</v>
      </c>
      <c r="AC12" s="9">
        <f t="shared" si="1"/>
        <v>-79.2</v>
      </c>
      <c r="AD12" s="9">
        <f t="shared" si="1"/>
        <v>-79.2</v>
      </c>
      <c r="AE12" s="9">
        <f t="shared" si="1"/>
        <v>-79.2</v>
      </c>
      <c r="AF12" s="9">
        <f t="shared" si="1"/>
        <v>-79.2</v>
      </c>
      <c r="AG12" s="9">
        <f t="shared" si="1"/>
        <v>-237.6</v>
      </c>
      <c r="AH12" s="9">
        <f t="shared" si="1"/>
        <v>-237.6</v>
      </c>
      <c r="AI12" s="9">
        <f t="shared" si="1"/>
        <v>-237.6</v>
      </c>
      <c r="AJ12" s="9">
        <f t="shared" si="1"/>
        <v>-237.6</v>
      </c>
      <c r="AK12" s="9">
        <f t="shared" si="1"/>
        <v>-237.6</v>
      </c>
      <c r="AL12" s="9">
        <f t="shared" si="1"/>
        <v>-237.6</v>
      </c>
      <c r="AM12" s="9">
        <f t="shared" si="1"/>
        <v>-237.6</v>
      </c>
      <c r="AN12" s="9">
        <f t="shared" si="1"/>
        <v>-237.6</v>
      </c>
      <c r="AO12" s="9">
        <f t="shared" si="1"/>
        <v>-237.6</v>
      </c>
      <c r="AP12" s="9">
        <f t="shared" si="1"/>
        <v>-237.6</v>
      </c>
      <c r="AQ12" s="9">
        <f t="shared" si="1"/>
        <v>-237.6</v>
      </c>
      <c r="AR12" s="9">
        <f t="shared" si="1"/>
        <v>-237.6</v>
      </c>
    </row>
    <row r="14" spans="1:44" x14ac:dyDescent="0.3">
      <c r="A14" s="4" t="s">
        <v>514</v>
      </c>
      <c r="C14" s="9">
        <f t="shared" ref="C14:AR14" si="2">C8+C12</f>
        <v>-4096.3404083774449</v>
      </c>
      <c r="D14" s="9">
        <f t="shared" si="2"/>
        <v>-2766.3693971358666</v>
      </c>
      <c r="E14" s="9">
        <f t="shared" si="2"/>
        <v>-2740.8243371261146</v>
      </c>
      <c r="F14" s="9">
        <f t="shared" si="2"/>
        <v>-2712.8862060796846</v>
      </c>
      <c r="G14" s="9">
        <f t="shared" si="2"/>
        <v>-2683.3049214276848</v>
      </c>
      <c r="H14" s="9">
        <f t="shared" si="2"/>
        <v>-2654.7362450683522</v>
      </c>
      <c r="I14" s="9">
        <f t="shared" si="2"/>
        <v>-2670.7052280189337</v>
      </c>
      <c r="J14" s="9">
        <f t="shared" si="2"/>
        <v>-2157.2569261399449</v>
      </c>
      <c r="K14" s="9">
        <f t="shared" si="2"/>
        <v>-2119.084986651088</v>
      </c>
      <c r="L14" s="9">
        <f t="shared" si="2"/>
        <v>-2078.9347735224164</v>
      </c>
      <c r="M14" s="9">
        <f t="shared" si="2"/>
        <v>-2039.5874511016932</v>
      </c>
      <c r="N14" s="9">
        <f t="shared" si="2"/>
        <v>-1995.7943921336969</v>
      </c>
      <c r="O14" s="9">
        <f t="shared" si="2"/>
        <v>-1949.5180143115838</v>
      </c>
      <c r="P14" s="9">
        <f t="shared" si="2"/>
        <v>-1901.1670264496556</v>
      </c>
      <c r="Q14" s="9">
        <f t="shared" si="2"/>
        <v>-1853.5549575173156</v>
      </c>
      <c r="R14" s="9">
        <f t="shared" si="2"/>
        <v>-1801.4877614098202</v>
      </c>
      <c r="S14" s="9">
        <f t="shared" si="2"/>
        <v>630.87062710927853</v>
      </c>
      <c r="T14" s="9">
        <f t="shared" si="2"/>
        <v>1060.8074854009535</v>
      </c>
      <c r="U14" s="9">
        <f t="shared" si="2"/>
        <v>309.6452287745301</v>
      </c>
      <c r="V14" s="9">
        <f t="shared" si="2"/>
        <v>905.48802950970423</v>
      </c>
      <c r="W14" s="9">
        <f t="shared" si="2"/>
        <v>962.92796228866609</v>
      </c>
      <c r="X14" s="9">
        <f t="shared" si="2"/>
        <v>1019.4281383044015</v>
      </c>
      <c r="Y14" s="9">
        <f t="shared" si="2"/>
        <v>1079.4116302511047</v>
      </c>
      <c r="Z14" s="9">
        <f t="shared" si="2"/>
        <v>1141.2101679064344</v>
      </c>
      <c r="AA14" s="9">
        <f t="shared" si="2"/>
        <v>1201.711672165233</v>
      </c>
      <c r="AB14" s="9">
        <f t="shared" si="2"/>
        <v>1265.2938243550659</v>
      </c>
      <c r="AC14" s="9">
        <f t="shared" si="2"/>
        <v>1349.8307240816694</v>
      </c>
      <c r="AD14" s="9">
        <f t="shared" si="2"/>
        <v>1416.0231648123377</v>
      </c>
      <c r="AE14" s="9">
        <f t="shared" si="2"/>
        <v>1483.2631997966873</v>
      </c>
      <c r="AF14" s="9">
        <f t="shared" si="2"/>
        <v>1548.3502034229293</v>
      </c>
      <c r="AG14" s="9">
        <f t="shared" si="2"/>
        <v>1576.3494976994816</v>
      </c>
      <c r="AH14" s="9">
        <f t="shared" si="2"/>
        <v>4251.4853421568068</v>
      </c>
      <c r="AI14" s="9">
        <f t="shared" si="2"/>
        <v>4836.8528327063195</v>
      </c>
      <c r="AJ14" s="9">
        <f t="shared" si="2"/>
        <v>5392.1554957857534</v>
      </c>
      <c r="AK14" s="9">
        <f t="shared" si="2"/>
        <v>3267.7848480995294</v>
      </c>
      <c r="AL14" s="9">
        <f t="shared" si="2"/>
        <v>4774.2133768953981</v>
      </c>
      <c r="AM14" s="9">
        <f t="shared" si="2"/>
        <v>5209.7777156082893</v>
      </c>
      <c r="AN14" s="9">
        <f t="shared" si="2"/>
        <v>5590.3889624781823</v>
      </c>
      <c r="AO14" s="9">
        <f t="shared" si="2"/>
        <v>3699.0483615121889</v>
      </c>
      <c r="AP14" s="9">
        <f t="shared" si="2"/>
        <v>4781.6960761129812</v>
      </c>
      <c r="AQ14" s="9">
        <f t="shared" si="2"/>
        <v>5028.7825490423347</v>
      </c>
      <c r="AR14" s="9">
        <f t="shared" si="2"/>
        <v>5224.6129835895445</v>
      </c>
    </row>
    <row r="15" spans="1:44" x14ac:dyDescent="0.3">
      <c r="A15" s="4" t="s">
        <v>515</v>
      </c>
      <c r="C15" s="10">
        <f>C14</f>
        <v>-4096.3404083774449</v>
      </c>
      <c r="D15" s="10">
        <f t="shared" ref="D15:AR15" si="3">C15+D14</f>
        <v>-6862.7098055133119</v>
      </c>
      <c r="E15" s="10">
        <f t="shared" si="3"/>
        <v>-9603.5341426394261</v>
      </c>
      <c r="F15" s="10">
        <f t="shared" si="3"/>
        <v>-12316.420348719112</v>
      </c>
      <c r="G15" s="10">
        <f t="shared" si="3"/>
        <v>-14999.725270146797</v>
      </c>
      <c r="H15" s="10">
        <f t="shared" si="3"/>
        <v>-17654.461515215149</v>
      </c>
      <c r="I15" s="10">
        <f t="shared" si="3"/>
        <v>-20325.166743234084</v>
      </c>
      <c r="J15" s="10">
        <f t="shared" si="3"/>
        <v>-22482.423669374028</v>
      </c>
      <c r="K15" s="10">
        <f t="shared" si="3"/>
        <v>-24601.508656025115</v>
      </c>
      <c r="L15" s="10">
        <f t="shared" si="3"/>
        <v>-26680.443429547529</v>
      </c>
      <c r="M15" s="10">
        <f t="shared" si="3"/>
        <v>-28720.030880649221</v>
      </c>
      <c r="N15" s="10">
        <f t="shared" si="3"/>
        <v>-30715.825272782917</v>
      </c>
      <c r="O15" s="10">
        <f t="shared" si="3"/>
        <v>-32665.3432870945</v>
      </c>
      <c r="P15" s="10">
        <f t="shared" si="3"/>
        <v>-34566.510313544153</v>
      </c>
      <c r="Q15" s="10">
        <f t="shared" si="3"/>
        <v>-36420.065271061467</v>
      </c>
      <c r="R15" s="10">
        <f t="shared" si="3"/>
        <v>-38221.553032471289</v>
      </c>
      <c r="S15" s="10">
        <f t="shared" si="3"/>
        <v>-37590.682405362008</v>
      </c>
      <c r="T15" s="10">
        <f t="shared" si="3"/>
        <v>-36529.874919961054</v>
      </c>
      <c r="U15" s="10">
        <f t="shared" si="3"/>
        <v>-36220.229691186527</v>
      </c>
      <c r="V15" s="10">
        <f t="shared" si="3"/>
        <v>-35314.741661676824</v>
      </c>
      <c r="W15" s="10">
        <f t="shared" si="3"/>
        <v>-34351.813699388156</v>
      </c>
      <c r="X15" s="10">
        <f t="shared" si="3"/>
        <v>-33332.385561083756</v>
      </c>
      <c r="Y15" s="10">
        <f t="shared" si="3"/>
        <v>-32252.973930832653</v>
      </c>
      <c r="Z15" s="10">
        <f t="shared" si="3"/>
        <v>-31111.763762926217</v>
      </c>
      <c r="AA15" s="10">
        <f t="shared" si="3"/>
        <v>-29910.052090760983</v>
      </c>
      <c r="AB15" s="10">
        <f t="shared" si="3"/>
        <v>-28644.758266405915</v>
      </c>
      <c r="AC15" s="10">
        <f t="shared" si="3"/>
        <v>-27294.927542324247</v>
      </c>
      <c r="AD15" s="10">
        <f t="shared" si="3"/>
        <v>-25878.90437751191</v>
      </c>
      <c r="AE15" s="10">
        <f t="shared" si="3"/>
        <v>-24395.641177715224</v>
      </c>
      <c r="AF15" s="10">
        <f t="shared" si="3"/>
        <v>-22847.290974292297</v>
      </c>
      <c r="AG15" s="10">
        <f t="shared" si="3"/>
        <v>-21270.941476592816</v>
      </c>
      <c r="AH15" s="10">
        <f t="shared" si="3"/>
        <v>-17019.456134436008</v>
      </c>
      <c r="AI15" s="10">
        <f t="shared" si="3"/>
        <v>-12182.603301729689</v>
      </c>
      <c r="AJ15" s="10">
        <f t="shared" si="3"/>
        <v>-6790.4478059439352</v>
      </c>
      <c r="AK15" s="10">
        <f t="shared" si="3"/>
        <v>-3522.6629578444058</v>
      </c>
      <c r="AL15" s="10">
        <f t="shared" si="3"/>
        <v>1251.5504190509923</v>
      </c>
      <c r="AM15" s="10">
        <f t="shared" si="3"/>
        <v>6461.3281346592812</v>
      </c>
      <c r="AN15" s="10">
        <f t="shared" si="3"/>
        <v>12051.717097137463</v>
      </c>
      <c r="AO15" s="10">
        <f t="shared" si="3"/>
        <v>15750.765458649652</v>
      </c>
      <c r="AP15" s="10">
        <f t="shared" si="3"/>
        <v>20532.461534762631</v>
      </c>
      <c r="AQ15" s="10">
        <f t="shared" si="3"/>
        <v>25561.244083804966</v>
      </c>
      <c r="AR15" s="10">
        <f t="shared" si="3"/>
        <v>30785.857067394511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C00000"/>
  </sheetPr>
  <dimension ref="A1:B18"/>
  <sheetViews>
    <sheetView workbookViewId="0">
      <selection activeCell="B10" sqref="B10"/>
    </sheetView>
  </sheetViews>
  <sheetFormatPr defaultRowHeight="14.4" x14ac:dyDescent="0.3"/>
  <cols>
    <col min="1" max="1" width="38" style="29" customWidth="1"/>
    <col min="2" max="2" width="18" style="29" customWidth="1"/>
  </cols>
  <sheetData>
    <row r="1" spans="1:2" x14ac:dyDescent="0.3">
      <c r="A1" s="30" t="s">
        <v>516</v>
      </c>
    </row>
    <row r="3" spans="1:2" x14ac:dyDescent="0.3">
      <c r="A3" s="30" t="s">
        <v>517</v>
      </c>
    </row>
    <row r="4" spans="1:2" x14ac:dyDescent="0.3">
      <c r="A4" s="3" t="s">
        <v>190</v>
      </c>
      <c r="B4" s="3" t="s">
        <v>518</v>
      </c>
    </row>
    <row r="5" spans="1:2" x14ac:dyDescent="0.3">
      <c r="A5" s="4" t="s">
        <v>519</v>
      </c>
      <c r="B5" s="10">
        <f>SUM('Cash Flow'!C14:H14)</f>
        <v>-17654.461515215149</v>
      </c>
    </row>
    <row r="6" spans="1:2" x14ac:dyDescent="0.3">
      <c r="A6" s="4" t="s">
        <v>520</v>
      </c>
      <c r="B6" s="10">
        <f>SUM('Cash Flow'!I14:T14)</f>
        <v>-18875.413404745919</v>
      </c>
    </row>
    <row r="7" spans="1:2" x14ac:dyDescent="0.3">
      <c r="A7" s="4" t="s">
        <v>521</v>
      </c>
      <c r="B7" s="10">
        <f>SUM('Cash Flow'!U14:AF14)</f>
        <v>13682.583945668764</v>
      </c>
    </row>
    <row r="8" spans="1:2" x14ac:dyDescent="0.3">
      <c r="A8" s="4" t="s">
        <v>522</v>
      </c>
      <c r="B8" s="10">
        <f>SUM('Cash Flow'!AG14:AJ14)</f>
        <v>16056.843168348361</v>
      </c>
    </row>
    <row r="9" spans="1:2" x14ac:dyDescent="0.3">
      <c r="A9" s="4" t="s">
        <v>523</v>
      </c>
      <c r="B9" s="10">
        <f>SUM('Cash Flow'!AK14:AN14)</f>
        <v>18842.164903081401</v>
      </c>
    </row>
    <row r="10" spans="1:2" x14ac:dyDescent="0.3">
      <c r="A10" s="4" t="s">
        <v>524</v>
      </c>
      <c r="B10" s="10">
        <f>SUM('Cash Flow'!AO14:AR14)</f>
        <v>18734.139970257049</v>
      </c>
    </row>
    <row r="12" spans="1:2" x14ac:dyDescent="0.3">
      <c r="A12" s="30" t="s">
        <v>525</v>
      </c>
    </row>
    <row r="13" spans="1:2" x14ac:dyDescent="0.3">
      <c r="A13" s="4" t="s">
        <v>82</v>
      </c>
      <c r="B13" s="10">
        <f>NPV(discount_rate,B6:B10)+B5</f>
        <v>6923.0172380835975</v>
      </c>
    </row>
    <row r="14" spans="1:2" x14ac:dyDescent="0.3">
      <c r="A14" s="4" t="s">
        <v>85</v>
      </c>
      <c r="B14" s="17">
        <f>IFERROR(IRR(B5:B10),"N/A")</f>
        <v>0.22434517898715201</v>
      </c>
    </row>
    <row r="15" spans="1:2" x14ac:dyDescent="0.3">
      <c r="A15" s="4" t="s">
        <v>526</v>
      </c>
      <c r="B15" s="10">
        <f>-MIN('Cash Flow'!C15:'Cash Flow'!AR15)</f>
        <v>38221.553032471289</v>
      </c>
    </row>
    <row r="16" spans="1:2" x14ac:dyDescent="0.3">
      <c r="A16" s="4" t="s">
        <v>90</v>
      </c>
      <c r="B16" s="17">
        <f>IF(B15=0,0,('Cash Flow'!AR15+B15)/B15)</f>
        <v>1.8054580367584814</v>
      </c>
    </row>
    <row r="17" spans="1:2" x14ac:dyDescent="0.3">
      <c r="A17" s="4" t="s">
        <v>527</v>
      </c>
      <c r="B17" s="17">
        <f>cit_rate</f>
        <v>0.2</v>
      </c>
    </row>
    <row r="18" spans="1:2" x14ac:dyDescent="0.3">
      <c r="A18" s="4" t="s">
        <v>73</v>
      </c>
      <c r="B18" s="17">
        <f>discount_rate</f>
        <v>0.15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66"/>
  </sheetPr>
  <dimension ref="A1:H66"/>
  <sheetViews>
    <sheetView topLeftCell="A36" workbookViewId="0">
      <selection activeCell="A50" sqref="A50"/>
    </sheetView>
  </sheetViews>
  <sheetFormatPr defaultRowHeight="14.4" x14ac:dyDescent="0.3"/>
  <cols>
    <col min="1" max="1" width="35" style="29" customWidth="1"/>
    <col min="2" max="2" width="19.5546875" style="29" bestFit="1" customWidth="1"/>
    <col min="3" max="8" width="16" style="29" customWidth="1"/>
  </cols>
  <sheetData>
    <row r="1" spans="1:8" ht="18" x14ac:dyDescent="0.35">
      <c r="A1" s="66" t="s">
        <v>528</v>
      </c>
      <c r="B1" s="56"/>
      <c r="C1" s="56"/>
      <c r="D1" s="56"/>
      <c r="E1" s="56"/>
      <c r="F1" s="56"/>
      <c r="G1" s="56"/>
      <c r="H1" s="56"/>
    </row>
    <row r="2" spans="1:8" x14ac:dyDescent="0.3">
      <c r="A2" s="44" t="s">
        <v>529</v>
      </c>
    </row>
    <row r="4" spans="1:8" x14ac:dyDescent="0.3">
      <c r="A4" s="62" t="s">
        <v>530</v>
      </c>
      <c r="B4" s="63"/>
      <c r="C4" s="63"/>
      <c r="D4" s="63"/>
      <c r="E4" s="63"/>
      <c r="F4" s="63"/>
      <c r="G4" s="63"/>
      <c r="H4" s="64"/>
    </row>
    <row r="5" spans="1:8" x14ac:dyDescent="0.3">
      <c r="A5" s="35" t="s">
        <v>186</v>
      </c>
      <c r="B5" s="35" t="s">
        <v>160</v>
      </c>
      <c r="C5" s="35" t="s">
        <v>531</v>
      </c>
      <c r="D5" s="35" t="s">
        <v>532</v>
      </c>
      <c r="E5" s="35" t="s">
        <v>533</v>
      </c>
      <c r="F5" s="35" t="s">
        <v>534</v>
      </c>
      <c r="G5" s="35" t="s">
        <v>535</v>
      </c>
      <c r="H5" s="35" t="s">
        <v>536</v>
      </c>
    </row>
    <row r="6" spans="1:8" x14ac:dyDescent="0.3">
      <c r="A6" s="36" t="s">
        <v>537</v>
      </c>
      <c r="B6" s="45" t="s">
        <v>51</v>
      </c>
      <c r="C6" s="46">
        <f>adoption_max*0.7</f>
        <v>840</v>
      </c>
      <c r="D6" s="46">
        <f>adoption_max*0.85</f>
        <v>1020</v>
      </c>
      <c r="E6" s="47">
        <f>adoption_max*1</f>
        <v>1200</v>
      </c>
      <c r="F6" s="48">
        <f>adoption_max*1.15</f>
        <v>1380</v>
      </c>
      <c r="G6" s="48">
        <f>adoption_max*1.3</f>
        <v>1560</v>
      </c>
      <c r="H6" s="49" t="s">
        <v>538</v>
      </c>
    </row>
    <row r="7" spans="1:8" x14ac:dyDescent="0.3">
      <c r="A7" s="36" t="s">
        <v>539</v>
      </c>
      <c r="B7" s="45" t="s">
        <v>540</v>
      </c>
      <c r="C7" s="46">
        <f>platform_market_share*0.7</f>
        <v>1.3999999999999999E-2</v>
      </c>
      <c r="D7" s="46">
        <f>platform_market_share*0.85</f>
        <v>1.7000000000000001E-2</v>
      </c>
      <c r="E7" s="47">
        <f>platform_market_share*1</f>
        <v>0.02</v>
      </c>
      <c r="F7" s="48">
        <f>platform_market_share*1.15</f>
        <v>2.3E-2</v>
      </c>
      <c r="G7" s="48">
        <f>platform_market_share*1.3</f>
        <v>2.6000000000000002E-2</v>
      </c>
      <c r="H7" s="49" t="s">
        <v>541</v>
      </c>
    </row>
    <row r="8" spans="1:8" x14ac:dyDescent="0.3">
      <c r="A8" s="36" t="s">
        <v>542</v>
      </c>
      <c r="B8" s="45" t="s">
        <v>543</v>
      </c>
      <c r="C8" s="46">
        <f>churn_rate*0.7</f>
        <v>0.13999999999999999</v>
      </c>
      <c r="D8" s="46">
        <f>churn_rate*0.85</f>
        <v>0.17</v>
      </c>
      <c r="E8" s="47">
        <f>churn_rate*1</f>
        <v>0.2</v>
      </c>
      <c r="F8" s="48">
        <f>churn_rate*1.15</f>
        <v>0.22999999999999998</v>
      </c>
      <c r="G8" s="48">
        <f>churn_rate*1.3</f>
        <v>0.26</v>
      </c>
      <c r="H8" s="49" t="s">
        <v>544</v>
      </c>
    </row>
    <row r="9" spans="1:8" x14ac:dyDescent="0.3">
      <c r="A9" s="36" t="s">
        <v>545</v>
      </c>
      <c r="B9" s="45" t="s">
        <v>54</v>
      </c>
      <c r="C9" s="46">
        <f>cert_fee_yr1*0.7</f>
        <v>17.5</v>
      </c>
      <c r="D9" s="46">
        <f>cert_fee_yr1*0.85</f>
        <v>21.25</v>
      </c>
      <c r="E9" s="47">
        <f>cert_fee_yr1*1</f>
        <v>25</v>
      </c>
      <c r="F9" s="48">
        <f>cert_fee_yr1*1.15</f>
        <v>28.749999999999996</v>
      </c>
      <c r="G9" s="48">
        <f>cert_fee_yr1*1.3</f>
        <v>32.5</v>
      </c>
      <c r="H9" s="49" t="s">
        <v>546</v>
      </c>
    </row>
    <row r="10" spans="1:8" x14ac:dyDescent="0.3">
      <c r="A10" s="36" t="s">
        <v>547</v>
      </c>
      <c r="B10" s="45" t="s">
        <v>548</v>
      </c>
      <c r="C10" s="46">
        <f>cert_fee_escalation*0.7</f>
        <v>3.4999999999999996E-2</v>
      </c>
      <c r="D10" s="46">
        <f>cert_fee_escalation*0.85</f>
        <v>4.2500000000000003E-2</v>
      </c>
      <c r="E10" s="47">
        <f>cert_fee_escalation*1</f>
        <v>0.05</v>
      </c>
      <c r="F10" s="48">
        <f>cert_fee_escalation*1.15</f>
        <v>5.7499999999999996E-2</v>
      </c>
      <c r="G10" s="48">
        <f>cert_fee_escalation*1.3</f>
        <v>6.5000000000000002E-2</v>
      </c>
      <c r="H10" s="49" t="s">
        <v>549</v>
      </c>
    </row>
    <row r="11" spans="1:8" x14ac:dyDescent="0.3">
      <c r="A11" s="36" t="s">
        <v>550</v>
      </c>
      <c r="B11" s="45" t="s">
        <v>72</v>
      </c>
      <c r="C11" s="46">
        <f>discount_rate*0.7</f>
        <v>0.105</v>
      </c>
      <c r="D11" s="46">
        <f>discount_rate*0.85</f>
        <v>0.1275</v>
      </c>
      <c r="E11" s="47">
        <f>discount_rate*1</f>
        <v>0.15</v>
      </c>
      <c r="F11" s="48">
        <f>discount_rate*1.15</f>
        <v>0.17249999999999999</v>
      </c>
      <c r="G11" s="48">
        <f>discount_rate*1.3</f>
        <v>0.19500000000000001</v>
      </c>
      <c r="H11" s="49" t="s">
        <v>551</v>
      </c>
    </row>
    <row r="12" spans="1:8" x14ac:dyDescent="0.3">
      <c r="A12" s="36" t="s">
        <v>552</v>
      </c>
      <c r="B12" s="45" t="s">
        <v>553</v>
      </c>
      <c r="C12" s="46">
        <f>opex_marketing*0.7</f>
        <v>4900</v>
      </c>
      <c r="D12" s="46">
        <f>opex_marketing*0.85</f>
        <v>5950</v>
      </c>
      <c r="E12" s="47">
        <f>opex_marketing*1</f>
        <v>7000</v>
      </c>
      <c r="F12" s="48">
        <f>opex_marketing*1.15</f>
        <v>8049.9999999999991</v>
      </c>
      <c r="G12" s="48">
        <f>opex_marketing*1.3</f>
        <v>9100</v>
      </c>
      <c r="H12" s="49" t="s">
        <v>554</v>
      </c>
    </row>
    <row r="13" spans="1:8" x14ac:dyDescent="0.3">
      <c r="A13" s="36" t="s">
        <v>555</v>
      </c>
      <c r="B13" s="45" t="s">
        <v>556</v>
      </c>
      <c r="C13" s="46">
        <f>adoption_steepness*0.7</f>
        <v>0.63</v>
      </c>
      <c r="D13" s="46">
        <f>adoption_steepness*0.85</f>
        <v>0.76500000000000001</v>
      </c>
      <c r="E13" s="47">
        <f>adoption_steepness*1</f>
        <v>0.9</v>
      </c>
      <c r="F13" s="48">
        <f>adoption_steepness*1.15</f>
        <v>1.0349999999999999</v>
      </c>
      <c r="G13" s="48">
        <f>adoption_steepness*1.3</f>
        <v>1.1700000000000002</v>
      </c>
      <c r="H13" s="49" t="s">
        <v>557</v>
      </c>
    </row>
    <row r="14" spans="1:8" x14ac:dyDescent="0.3">
      <c r="A14" s="36" t="s">
        <v>558</v>
      </c>
      <c r="B14" s="45" t="s">
        <v>75</v>
      </c>
      <c r="C14" s="46">
        <f>stage2_gate*0.7</f>
        <v>210</v>
      </c>
      <c r="D14" s="46">
        <f>stage2_gate*0.85</f>
        <v>255</v>
      </c>
      <c r="E14" s="47">
        <f>stage2_gate*1</f>
        <v>300</v>
      </c>
      <c r="F14" s="48">
        <f>stage2_gate*1.15</f>
        <v>345</v>
      </c>
      <c r="G14" s="48">
        <f>stage2_gate*1.3</f>
        <v>390</v>
      </c>
      <c r="H14" s="49" t="s">
        <v>559</v>
      </c>
    </row>
    <row r="15" spans="1:8" x14ac:dyDescent="0.3">
      <c r="A15" s="36" t="s">
        <v>560</v>
      </c>
      <c r="B15" s="45" t="s">
        <v>561</v>
      </c>
      <c r="C15" s="46">
        <f>opex_cloud_base*0.7</f>
        <v>2275</v>
      </c>
      <c r="D15" s="46">
        <f>opex_cloud_base*0.85</f>
        <v>2762.5</v>
      </c>
      <c r="E15" s="47">
        <f>opex_cloud_base*1</f>
        <v>3250</v>
      </c>
      <c r="F15" s="48">
        <f>opex_cloud_base*1.15</f>
        <v>3737.4999999999995</v>
      </c>
      <c r="G15" s="48">
        <f>opex_cloud_base*1.3</f>
        <v>4225</v>
      </c>
      <c r="H15" s="49" t="s">
        <v>562</v>
      </c>
    </row>
    <row r="16" spans="1:8" x14ac:dyDescent="0.3">
      <c r="A16" s="36" t="s">
        <v>563</v>
      </c>
      <c r="B16" s="45" t="s">
        <v>66</v>
      </c>
      <c r="C16" s="46">
        <f>bhxh_rate*0.7</f>
        <v>0.15049999999999999</v>
      </c>
      <c r="D16" s="46">
        <f>bhxh_rate*0.85</f>
        <v>0.18275</v>
      </c>
      <c r="E16" s="47">
        <f>bhxh_rate*1</f>
        <v>0.215</v>
      </c>
      <c r="F16" s="48">
        <f>bhxh_rate*1.15</f>
        <v>0.24724999999999997</v>
      </c>
      <c r="G16" s="48">
        <f>bhxh_rate*1.3</f>
        <v>0.27950000000000003</v>
      </c>
      <c r="H16" s="49" t="s">
        <v>564</v>
      </c>
    </row>
    <row r="17" spans="1:8" x14ac:dyDescent="0.3">
      <c r="A17" s="36" t="s">
        <v>527</v>
      </c>
      <c r="B17" s="45" t="s">
        <v>69</v>
      </c>
      <c r="C17" s="46">
        <f>cit_rate*0.7</f>
        <v>0.13999999999999999</v>
      </c>
      <c r="D17" s="46">
        <f>cit_rate*0.85</f>
        <v>0.17</v>
      </c>
      <c r="E17" s="47">
        <f>cit_rate*1</f>
        <v>0.2</v>
      </c>
      <c r="F17" s="48">
        <f>cit_rate*1.15</f>
        <v>0.22999999999999998</v>
      </c>
      <c r="G17" s="48">
        <f>cit_rate*1.3</f>
        <v>0.26</v>
      </c>
      <c r="H17" s="49" t="s">
        <v>565</v>
      </c>
    </row>
    <row r="20" spans="1:8" x14ac:dyDescent="0.3">
      <c r="A20" s="62" t="s">
        <v>566</v>
      </c>
      <c r="B20" s="63"/>
      <c r="C20" s="63"/>
      <c r="D20" s="63"/>
      <c r="E20" s="63"/>
      <c r="F20" s="63"/>
      <c r="G20" s="63"/>
      <c r="H20" s="64"/>
    </row>
    <row r="21" spans="1:8" x14ac:dyDescent="0.3">
      <c r="A21" s="65" t="s">
        <v>567</v>
      </c>
      <c r="B21" s="56"/>
      <c r="C21" s="56"/>
      <c r="D21" s="56"/>
      <c r="E21" s="56"/>
      <c r="F21" s="56"/>
      <c r="G21" s="56"/>
      <c r="H21" s="56"/>
    </row>
    <row r="22" spans="1:8" x14ac:dyDescent="0.3">
      <c r="A22" s="35" t="s">
        <v>568</v>
      </c>
      <c r="B22" s="50">
        <v>1E-3</v>
      </c>
      <c r="C22" s="50">
        <v>3.0000000000000001E-3</v>
      </c>
      <c r="D22" s="50">
        <v>5.0000000000000001E-3</v>
      </c>
      <c r="E22" s="50">
        <v>8.0000000000000002E-3</v>
      </c>
      <c r="F22" s="50">
        <v>0.01</v>
      </c>
      <c r="G22" s="50">
        <v>1.4999999999999999E-2</v>
      </c>
      <c r="H22" s="50">
        <v>0.02</v>
      </c>
    </row>
    <row r="23" spans="1:8" x14ac:dyDescent="0.3">
      <c r="A23" s="51">
        <v>200</v>
      </c>
      <c r="B23" s="52"/>
      <c r="C23" s="52"/>
      <c r="D23" s="52"/>
      <c r="E23" s="52"/>
      <c r="F23" s="52"/>
      <c r="G23" s="52"/>
      <c r="H23" s="52"/>
    </row>
    <row r="24" spans="1:8" x14ac:dyDescent="0.3">
      <c r="A24" s="51">
        <v>400</v>
      </c>
      <c r="B24" s="52"/>
      <c r="C24" s="52"/>
      <c r="D24" s="52"/>
      <c r="E24" s="52"/>
      <c r="F24" s="52"/>
      <c r="G24" s="52"/>
      <c r="H24" s="52"/>
    </row>
    <row r="25" spans="1:8" x14ac:dyDescent="0.3">
      <c r="A25" s="51">
        <v>600</v>
      </c>
      <c r="B25" s="52"/>
      <c r="C25" s="52"/>
      <c r="D25" s="52"/>
      <c r="E25" s="52"/>
      <c r="F25" s="52"/>
      <c r="G25" s="52"/>
      <c r="H25" s="52"/>
    </row>
    <row r="26" spans="1:8" x14ac:dyDescent="0.3">
      <c r="A26" s="51">
        <v>800</v>
      </c>
      <c r="B26" s="52"/>
      <c r="C26" s="52"/>
      <c r="D26" s="52"/>
      <c r="E26" s="52"/>
      <c r="F26" s="52"/>
      <c r="G26" s="52"/>
      <c r="H26" s="52"/>
    </row>
    <row r="27" spans="1:8" x14ac:dyDescent="0.3">
      <c r="A27" s="51">
        <v>1000</v>
      </c>
      <c r="B27" s="52"/>
      <c r="C27" s="52"/>
      <c r="D27" s="52"/>
      <c r="E27" s="52"/>
      <c r="F27" s="52"/>
      <c r="G27" s="52"/>
      <c r="H27" s="52"/>
    </row>
    <row r="28" spans="1:8" x14ac:dyDescent="0.3">
      <c r="A28" s="51">
        <v>1200</v>
      </c>
      <c r="B28" s="52"/>
      <c r="C28" s="52"/>
      <c r="D28" s="53" t="s">
        <v>569</v>
      </c>
      <c r="E28" s="52"/>
      <c r="F28" s="52"/>
      <c r="G28" s="52"/>
      <c r="H28" s="52"/>
    </row>
    <row r="29" spans="1:8" x14ac:dyDescent="0.3">
      <c r="A29" s="51">
        <v>1500</v>
      </c>
      <c r="B29" s="52"/>
      <c r="C29" s="52"/>
      <c r="D29" s="52"/>
      <c r="E29" s="52"/>
      <c r="F29" s="52"/>
      <c r="G29" s="52"/>
      <c r="H29" s="52"/>
    </row>
    <row r="30" spans="1:8" x14ac:dyDescent="0.3">
      <c r="A30" s="51">
        <v>2000</v>
      </c>
      <c r="B30" s="52"/>
      <c r="C30" s="52"/>
      <c r="D30" s="52"/>
      <c r="E30" s="52"/>
      <c r="F30" s="52"/>
      <c r="G30" s="52"/>
      <c r="H30" s="52"/>
    </row>
    <row r="31" spans="1:8" x14ac:dyDescent="0.3">
      <c r="A31" s="51">
        <v>3000</v>
      </c>
      <c r="B31" s="52"/>
      <c r="C31" s="52"/>
      <c r="D31" s="52"/>
      <c r="E31" s="52"/>
      <c r="F31" s="52"/>
      <c r="G31" s="52"/>
      <c r="H31" s="52"/>
    </row>
    <row r="34" spans="1:8" x14ac:dyDescent="0.3">
      <c r="A34" s="62" t="s">
        <v>570</v>
      </c>
      <c r="B34" s="63"/>
      <c r="C34" s="63"/>
      <c r="D34" s="63"/>
      <c r="E34" s="63"/>
      <c r="F34" s="63"/>
      <c r="G34" s="63"/>
      <c r="H34" s="64"/>
    </row>
    <row r="35" spans="1:8" x14ac:dyDescent="0.3">
      <c r="A35" s="65" t="s">
        <v>567</v>
      </c>
      <c r="B35" s="56"/>
      <c r="C35" s="56"/>
      <c r="D35" s="56"/>
      <c r="E35" s="56"/>
      <c r="F35" s="56"/>
      <c r="G35" s="56"/>
      <c r="H35" s="56"/>
    </row>
    <row r="36" spans="1:8" x14ac:dyDescent="0.3">
      <c r="A36" s="35" t="s">
        <v>571</v>
      </c>
      <c r="B36" s="54">
        <v>0.05</v>
      </c>
      <c r="C36" s="54">
        <v>0.1</v>
      </c>
      <c r="D36" s="54">
        <v>0.15</v>
      </c>
      <c r="E36" s="54">
        <v>0.2</v>
      </c>
      <c r="F36" s="54">
        <v>0.25</v>
      </c>
      <c r="G36" s="54">
        <v>0.3</v>
      </c>
      <c r="H36" s="54">
        <v>0.35</v>
      </c>
    </row>
    <row r="37" spans="1:8" x14ac:dyDescent="0.3">
      <c r="A37" s="51">
        <v>200</v>
      </c>
      <c r="B37" s="52"/>
      <c r="C37" s="52"/>
      <c r="D37" s="52"/>
      <c r="E37" s="52"/>
      <c r="F37" s="52"/>
      <c r="G37" s="52"/>
      <c r="H37" s="52"/>
    </row>
    <row r="38" spans="1:8" x14ac:dyDescent="0.3">
      <c r="A38" s="51">
        <v>400</v>
      </c>
      <c r="B38" s="52"/>
      <c r="C38" s="52"/>
      <c r="D38" s="52"/>
      <c r="E38" s="52"/>
      <c r="F38" s="52"/>
      <c r="G38" s="52"/>
      <c r="H38" s="52"/>
    </row>
    <row r="39" spans="1:8" x14ac:dyDescent="0.3">
      <c r="A39" s="51">
        <v>600</v>
      </c>
      <c r="B39" s="52"/>
      <c r="C39" s="52"/>
      <c r="D39" s="52"/>
      <c r="E39" s="52"/>
      <c r="F39" s="52"/>
      <c r="G39" s="52"/>
      <c r="H39" s="52"/>
    </row>
    <row r="40" spans="1:8" x14ac:dyDescent="0.3">
      <c r="A40" s="51">
        <v>800</v>
      </c>
      <c r="B40" s="52"/>
      <c r="C40" s="52"/>
      <c r="D40" s="52"/>
      <c r="E40" s="52"/>
      <c r="F40" s="52"/>
      <c r="G40" s="52"/>
      <c r="H40" s="52"/>
    </row>
    <row r="41" spans="1:8" x14ac:dyDescent="0.3">
      <c r="A41" s="51">
        <v>1000</v>
      </c>
      <c r="B41" s="52"/>
      <c r="C41" s="52"/>
      <c r="D41" s="52"/>
      <c r="E41" s="52"/>
      <c r="F41" s="52"/>
      <c r="G41" s="52"/>
      <c r="H41" s="52"/>
    </row>
    <row r="42" spans="1:8" x14ac:dyDescent="0.3">
      <c r="A42" s="51">
        <v>1200</v>
      </c>
      <c r="B42" s="52"/>
      <c r="C42" s="52"/>
      <c r="D42" s="52"/>
      <c r="E42" s="53" t="s">
        <v>569</v>
      </c>
      <c r="F42" s="52"/>
      <c r="G42" s="52"/>
      <c r="H42" s="52"/>
    </row>
    <row r="43" spans="1:8" x14ac:dyDescent="0.3">
      <c r="A43" s="51">
        <v>1500</v>
      </c>
      <c r="B43" s="52"/>
      <c r="C43" s="52"/>
      <c r="D43" s="52"/>
      <c r="E43" s="52"/>
      <c r="F43" s="52"/>
      <c r="G43" s="52"/>
      <c r="H43" s="52"/>
    </row>
    <row r="44" spans="1:8" x14ac:dyDescent="0.3">
      <c r="A44" s="51">
        <v>2000</v>
      </c>
      <c r="B44" s="52"/>
      <c r="C44" s="52"/>
      <c r="D44" s="52"/>
      <c r="E44" s="52"/>
      <c r="F44" s="52"/>
      <c r="G44" s="52"/>
      <c r="H44" s="52"/>
    </row>
    <row r="45" spans="1:8" x14ac:dyDescent="0.3">
      <c r="A45" s="51">
        <v>3000</v>
      </c>
      <c r="B45" s="52"/>
      <c r="C45" s="52"/>
      <c r="D45" s="52"/>
      <c r="E45" s="52"/>
      <c r="F45" s="52"/>
      <c r="G45" s="52"/>
      <c r="H45" s="52"/>
    </row>
    <row r="48" spans="1:8" x14ac:dyDescent="0.3">
      <c r="A48" s="62" t="s">
        <v>572</v>
      </c>
      <c r="B48" s="63"/>
      <c r="C48" s="63"/>
      <c r="D48" s="63"/>
      <c r="E48" s="63"/>
      <c r="F48" s="63"/>
      <c r="G48" s="63"/>
      <c r="H48" s="64"/>
    </row>
    <row r="49" spans="1:8" x14ac:dyDescent="0.3">
      <c r="A49" s="35" t="s">
        <v>573</v>
      </c>
      <c r="B49" s="35" t="s">
        <v>574</v>
      </c>
      <c r="C49" s="35" t="s">
        <v>575</v>
      </c>
      <c r="D49" s="35" t="s">
        <v>576</v>
      </c>
      <c r="E49" s="35" t="s">
        <v>577</v>
      </c>
      <c r="F49" s="35" t="s">
        <v>578</v>
      </c>
    </row>
    <row r="50" spans="1:8" x14ac:dyDescent="0.3">
      <c r="A50" s="36" t="s">
        <v>579</v>
      </c>
      <c r="B50" s="43">
        <f>ecom_market_base*(1+ecom_growth_rate)^5*0.001</f>
        <v>121.21956633600003</v>
      </c>
      <c r="C50" s="43">
        <f>ecom_market_base*(1+ecom_growth_rate)^5*0.003</f>
        <v>363.6586990080001</v>
      </c>
      <c r="D50" s="43">
        <f>ecom_market_base*(1+ecom_growth_rate)^5*platform_market_share</f>
        <v>2424.3913267200005</v>
      </c>
      <c r="E50" s="43">
        <f>ecom_market_base*(1+ecom_growth_rate)^5*0.01</f>
        <v>1212.1956633600003</v>
      </c>
      <c r="F50" s="43">
        <f>ecom_market_base*(1+ecom_growth_rate)^5*0.02</f>
        <v>2424.3913267200005</v>
      </c>
    </row>
    <row r="51" spans="1:8" x14ac:dyDescent="0.3">
      <c r="A51" s="36" t="s">
        <v>580</v>
      </c>
      <c r="B51" s="43">
        <f>ecom_market_base*(1+ecom_growth_rate)^5*0.001*tx_take_rate*1000</f>
        <v>2424.391326720001</v>
      </c>
      <c r="C51" s="43">
        <f>ecom_market_base*(1+ecom_growth_rate)^5*0.003*tx_take_rate*1000</f>
        <v>7273.1739801600015</v>
      </c>
      <c r="D51" s="43">
        <f>ecom_market_base*(1+ecom_growth_rate)^5*platform_market_share*tx_take_rate*1000</f>
        <v>48487.826534400017</v>
      </c>
      <c r="E51" s="43">
        <f>ecom_market_base*(1+ecom_growth_rate)^5*0.01*tx_take_rate*1000</f>
        <v>24243.913267200009</v>
      </c>
      <c r="F51" s="43">
        <f>ecom_market_base*(1+ecom_growth_rate)^5*0.02*tx_take_rate*1000</f>
        <v>48487.826534400017</v>
      </c>
    </row>
    <row r="52" spans="1:8" x14ac:dyDescent="0.3">
      <c r="A52" s="36" t="s">
        <v>581</v>
      </c>
      <c r="B52" s="43">
        <f>ecom_market_base*(1+ecom_growth_rate)^5*0.001*cloud_gmv_factor</f>
        <v>60.609783168000014</v>
      </c>
      <c r="C52" s="43">
        <f>ecom_market_base*(1+ecom_growth_rate)^5*0.003*cloud_gmv_factor</f>
        <v>181.82934950400005</v>
      </c>
      <c r="D52" s="43">
        <f>ecom_market_base*(1+ecom_growth_rate)^5*platform_market_share*cloud_gmv_factor</f>
        <v>1212.1956633600003</v>
      </c>
      <c r="E52" s="43">
        <f>ecom_market_base*(1+ecom_growth_rate)^5*0.01*cloud_gmv_factor</f>
        <v>606.09783168000013</v>
      </c>
      <c r="F52" s="43">
        <f>ecom_market_base*(1+ecom_growth_rate)^5*0.02*cloud_gmv_factor</f>
        <v>1212.1956633600003</v>
      </c>
    </row>
    <row r="53" spans="1:8" x14ac:dyDescent="0.3">
      <c r="A53" s="36" t="s">
        <v>582</v>
      </c>
      <c r="B53" s="43">
        <f>ecom_market_base*(1+ecom_growth_rate)^5*0.001*tx_take_rate*1000*payment_proc_pct</f>
        <v>60.609783168000028</v>
      </c>
      <c r="C53" s="43">
        <f>ecom_market_base*(1+ecom_growth_rate)^5*0.003*tx_take_rate*1000*payment_proc_pct</f>
        <v>181.82934950400005</v>
      </c>
      <c r="D53" s="43">
        <f>ecom_market_base*(1+ecom_growth_rate)^5*platform_market_share*tx_take_rate*1000*payment_proc_pct</f>
        <v>1212.1956633600005</v>
      </c>
      <c r="E53" s="43">
        <f>ecom_market_base*(1+ecom_growth_rate)^5*0.01*tx_take_rate*1000*payment_proc_pct</f>
        <v>606.09783168000024</v>
      </c>
      <c r="F53" s="43">
        <f>ecom_market_base*(1+ecom_growth_rate)^5*0.02*tx_take_rate*1000*payment_proc_pct</f>
        <v>1212.1956633600005</v>
      </c>
    </row>
    <row r="54" spans="1:8" x14ac:dyDescent="0.3">
      <c r="A54" s="36" t="s">
        <v>583</v>
      </c>
      <c r="B54" s="43">
        <f>(0.001-platform_market_share)*ecom_market_base*(1+ecom_growth_rate)^5*tx_take_rate*1000*(1-payment_proc_pct)</f>
        <v>-44911.849327488009</v>
      </c>
      <c r="C54" s="43">
        <f>(0.003-platform_market_share)*ecom_market_base*(1+ecom_growth_rate)^5*tx_take_rate*1000*(1-payment_proc_pct)</f>
        <v>-40184.286240384012</v>
      </c>
      <c r="D54" s="43">
        <f>0</f>
        <v>0</v>
      </c>
      <c r="E54" s="43">
        <f>(0.01-platform_market_share)*ecom_market_base*(1+ecom_growth_rate)^5*tx_take_rate*1000*(1-payment_proc_pct)</f>
        <v>-23637.815435520009</v>
      </c>
      <c r="F54" s="43">
        <f>(0.02-platform_market_share)*ecom_market_base*(1+ecom_growth_rate)^5*tx_take_rate*1000*(1-payment_proc_pct)</f>
        <v>0</v>
      </c>
    </row>
    <row r="57" spans="1:8" x14ac:dyDescent="0.3">
      <c r="A57" s="62" t="s">
        <v>584</v>
      </c>
      <c r="B57" s="63"/>
      <c r="C57" s="63"/>
      <c r="D57" s="63"/>
      <c r="E57" s="63"/>
      <c r="F57" s="63"/>
      <c r="G57" s="63"/>
      <c r="H57" s="64"/>
    </row>
    <row r="58" spans="1:8" x14ac:dyDescent="0.3">
      <c r="A58" s="55" t="s">
        <v>585</v>
      </c>
      <c r="B58" s="56"/>
      <c r="C58" s="56"/>
      <c r="D58" s="56"/>
      <c r="E58" s="56"/>
      <c r="F58" s="56"/>
      <c r="G58" s="56"/>
      <c r="H58" s="56"/>
    </row>
    <row r="59" spans="1:8" x14ac:dyDescent="0.3">
      <c r="A59" s="55" t="s">
        <v>586</v>
      </c>
      <c r="B59" s="56"/>
      <c r="C59" s="56"/>
      <c r="D59" s="56"/>
      <c r="E59" s="56"/>
      <c r="F59" s="56"/>
      <c r="G59" s="56"/>
      <c r="H59" s="56"/>
    </row>
    <row r="60" spans="1:8" x14ac:dyDescent="0.3">
      <c r="A60" s="55" t="s">
        <v>587</v>
      </c>
      <c r="B60" s="56"/>
      <c r="C60" s="56"/>
      <c r="D60" s="56"/>
      <c r="E60" s="56"/>
      <c r="F60" s="56"/>
      <c r="G60" s="56"/>
      <c r="H60" s="56"/>
    </row>
    <row r="61" spans="1:8" x14ac:dyDescent="0.3">
      <c r="A61" s="55" t="s">
        <v>588</v>
      </c>
      <c r="B61" s="56"/>
      <c r="C61" s="56"/>
      <c r="D61" s="56"/>
      <c r="E61" s="56"/>
      <c r="F61" s="56"/>
      <c r="G61" s="56"/>
      <c r="H61" s="56"/>
    </row>
    <row r="62" spans="1:8" x14ac:dyDescent="0.3">
      <c r="A62" s="55" t="s">
        <v>589</v>
      </c>
      <c r="B62" s="56"/>
      <c r="C62" s="56"/>
      <c r="D62" s="56"/>
      <c r="E62" s="56"/>
      <c r="F62" s="56"/>
      <c r="G62" s="56"/>
      <c r="H62" s="56"/>
    </row>
    <row r="63" spans="1:8" x14ac:dyDescent="0.3">
      <c r="A63" s="55" t="s">
        <v>590</v>
      </c>
      <c r="B63" s="56"/>
      <c r="C63" s="56"/>
      <c r="D63" s="56"/>
      <c r="E63" s="56"/>
      <c r="F63" s="56"/>
      <c r="G63" s="56"/>
      <c r="H63" s="56"/>
    </row>
    <row r="64" spans="1:8" x14ac:dyDescent="0.3">
      <c r="A64" s="55" t="s">
        <v>591</v>
      </c>
      <c r="B64" s="56"/>
      <c r="C64" s="56"/>
      <c r="D64" s="56"/>
      <c r="E64" s="56"/>
      <c r="F64" s="56"/>
      <c r="G64" s="56"/>
      <c r="H64" s="56"/>
    </row>
    <row r="65" spans="1:8" x14ac:dyDescent="0.3">
      <c r="A65" s="55" t="s">
        <v>592</v>
      </c>
      <c r="B65" s="56"/>
      <c r="C65" s="56"/>
      <c r="D65" s="56"/>
      <c r="E65" s="56"/>
      <c r="F65" s="56"/>
      <c r="G65" s="56"/>
      <c r="H65" s="56"/>
    </row>
    <row r="66" spans="1:8" x14ac:dyDescent="0.3">
      <c r="A66" s="55" t="s">
        <v>593</v>
      </c>
      <c r="B66" s="56"/>
      <c r="C66" s="56"/>
      <c r="D66" s="56"/>
      <c r="E66" s="56"/>
      <c r="F66" s="56"/>
      <c r="G66" s="56"/>
      <c r="H66" s="56"/>
    </row>
  </sheetData>
  <mergeCells count="17">
    <mergeCell ref="A66:H66"/>
    <mergeCell ref="A1:H1"/>
    <mergeCell ref="A61:H61"/>
    <mergeCell ref="A58:H58"/>
    <mergeCell ref="A34:H34"/>
    <mergeCell ref="A65:H65"/>
    <mergeCell ref="A20:H20"/>
    <mergeCell ref="A57:H57"/>
    <mergeCell ref="A63:H63"/>
    <mergeCell ref="A64:H64"/>
    <mergeCell ref="A60:H60"/>
    <mergeCell ref="A4:H4"/>
    <mergeCell ref="A48:H48"/>
    <mergeCell ref="A62:H62"/>
    <mergeCell ref="A21:H21"/>
    <mergeCell ref="A35:H35"/>
    <mergeCell ref="A59:H5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C000"/>
  </sheetPr>
  <dimension ref="A1:F95"/>
  <sheetViews>
    <sheetView topLeftCell="A10" workbookViewId="0">
      <selection activeCell="B15" sqref="B15"/>
    </sheetView>
  </sheetViews>
  <sheetFormatPr defaultRowHeight="14.4" x14ac:dyDescent="0.3"/>
  <cols>
    <col min="1" max="1" width="32" style="29" customWidth="1"/>
    <col min="2" max="6" width="16" style="29" customWidth="1"/>
  </cols>
  <sheetData>
    <row r="1" spans="1:6" x14ac:dyDescent="0.3">
      <c r="A1" s="75" t="s">
        <v>594</v>
      </c>
      <c r="B1" s="76"/>
      <c r="C1" s="76"/>
      <c r="D1" s="76"/>
      <c r="E1" s="76"/>
      <c r="F1" s="77"/>
    </row>
    <row r="2" spans="1:6" x14ac:dyDescent="0.3">
      <c r="A2" s="1" t="s">
        <v>595</v>
      </c>
    </row>
    <row r="4" spans="1:6" x14ac:dyDescent="0.3">
      <c r="A4" s="3" t="s">
        <v>186</v>
      </c>
      <c r="B4" s="3" t="s">
        <v>596</v>
      </c>
      <c r="C4" s="3" t="s">
        <v>597</v>
      </c>
      <c r="D4" s="3" t="s">
        <v>533</v>
      </c>
      <c r="E4" s="3" t="s">
        <v>598</v>
      </c>
      <c r="F4" s="3" t="s">
        <v>599</v>
      </c>
    </row>
    <row r="5" spans="1:6" x14ac:dyDescent="0.3">
      <c r="A5" s="4" t="s">
        <v>51</v>
      </c>
      <c r="B5" s="18">
        <v>200</v>
      </c>
      <c r="C5" s="19">
        <v>600</v>
      </c>
      <c r="D5" s="9">
        <f>adoption_max</f>
        <v>1200</v>
      </c>
      <c r="E5" s="19">
        <v>2000</v>
      </c>
      <c r="F5" s="20">
        <v>3500</v>
      </c>
    </row>
    <row r="6" spans="1:6" x14ac:dyDescent="0.3">
      <c r="A6" s="4" t="s">
        <v>556</v>
      </c>
      <c r="B6" s="21">
        <v>0.5</v>
      </c>
      <c r="C6" s="22">
        <v>0.7</v>
      </c>
      <c r="D6" s="23">
        <f>adoption_steepness</f>
        <v>0.9</v>
      </c>
      <c r="E6" s="22">
        <v>1.2</v>
      </c>
      <c r="F6" s="24">
        <v>1.5</v>
      </c>
    </row>
    <row r="7" spans="1:6" x14ac:dyDescent="0.3">
      <c r="A7" s="4" t="s">
        <v>543</v>
      </c>
      <c r="B7" s="21">
        <v>0.35</v>
      </c>
      <c r="C7" s="22">
        <v>0.25</v>
      </c>
      <c r="D7" s="23">
        <f>churn_rate</f>
        <v>0.2</v>
      </c>
      <c r="E7" s="22">
        <v>0.15</v>
      </c>
      <c r="F7" s="24">
        <v>0.1</v>
      </c>
    </row>
    <row r="8" spans="1:6" x14ac:dyDescent="0.3">
      <c r="A8" s="4" t="s">
        <v>540</v>
      </c>
      <c r="B8" s="21">
        <v>1E-3</v>
      </c>
      <c r="C8" s="22">
        <v>3.0000000000000001E-3</v>
      </c>
      <c r="D8" s="23">
        <f>platform_market_share</f>
        <v>0.02</v>
      </c>
      <c r="E8" s="22">
        <v>0.01</v>
      </c>
      <c r="F8" s="24">
        <v>0.02</v>
      </c>
    </row>
    <row r="9" spans="1:6" x14ac:dyDescent="0.3">
      <c r="A9" s="4" t="s">
        <v>54</v>
      </c>
      <c r="B9" s="18">
        <v>15</v>
      </c>
      <c r="C9" s="19">
        <v>20</v>
      </c>
      <c r="D9" s="9">
        <f>cert_fee_yr1</f>
        <v>25</v>
      </c>
      <c r="E9" s="19">
        <v>30</v>
      </c>
      <c r="F9" s="20">
        <v>40</v>
      </c>
    </row>
    <row r="10" spans="1:6" x14ac:dyDescent="0.3">
      <c r="A10" s="4" t="s">
        <v>548</v>
      </c>
      <c r="B10" s="21">
        <v>0</v>
      </c>
      <c r="C10" s="22">
        <v>0.03</v>
      </c>
      <c r="D10" s="23">
        <f>cert_fee_escalation</f>
        <v>0.05</v>
      </c>
      <c r="E10" s="22">
        <v>0.08</v>
      </c>
      <c r="F10" s="24">
        <v>0.12</v>
      </c>
    </row>
    <row r="11" spans="1:6" x14ac:dyDescent="0.3">
      <c r="A11" s="4" t="s">
        <v>600</v>
      </c>
      <c r="B11" s="21">
        <v>0.01</v>
      </c>
      <c r="C11" s="22">
        <v>1.4999999999999999E-2</v>
      </c>
      <c r="D11" s="23">
        <f>tx_take_rate</f>
        <v>0.02</v>
      </c>
      <c r="E11" s="22">
        <v>2.5000000000000001E-2</v>
      </c>
      <c r="F11" s="24">
        <v>0.03</v>
      </c>
    </row>
    <row r="12" spans="1:6" x14ac:dyDescent="0.3">
      <c r="A12" s="4" t="s">
        <v>553</v>
      </c>
      <c r="B12" s="18">
        <v>8000</v>
      </c>
      <c r="C12" s="19">
        <v>7500</v>
      </c>
      <c r="D12" s="9">
        <f>opex_marketing</f>
        <v>7000</v>
      </c>
      <c r="E12" s="19">
        <v>6000</v>
      </c>
      <c r="F12" s="20">
        <v>5000</v>
      </c>
    </row>
    <row r="13" spans="1:6" x14ac:dyDescent="0.3">
      <c r="A13" s="4" t="s">
        <v>72</v>
      </c>
      <c r="B13" s="21">
        <v>0.2</v>
      </c>
      <c r="C13" s="22">
        <v>0.18</v>
      </c>
      <c r="D13" s="23">
        <f>discount_rate</f>
        <v>0.15</v>
      </c>
      <c r="E13" s="22">
        <v>0.12</v>
      </c>
      <c r="F13" s="24">
        <v>0.1</v>
      </c>
    </row>
    <row r="14" spans="1:6" x14ac:dyDescent="0.3">
      <c r="A14" s="4" t="s">
        <v>75</v>
      </c>
      <c r="B14" s="18">
        <v>500</v>
      </c>
      <c r="C14" s="19">
        <v>400</v>
      </c>
      <c r="D14" s="9">
        <f>stage2_gate</f>
        <v>300</v>
      </c>
      <c r="E14" s="19">
        <v>200</v>
      </c>
      <c r="F14" s="20">
        <v>150</v>
      </c>
    </row>
    <row r="17" spans="1:6" x14ac:dyDescent="0.3">
      <c r="A17" s="68" t="s">
        <v>601</v>
      </c>
      <c r="B17" s="56"/>
      <c r="C17" s="56"/>
      <c r="D17" s="56"/>
      <c r="E17" s="56"/>
      <c r="F17" s="56"/>
    </row>
    <row r="19" spans="1:6" x14ac:dyDescent="0.3">
      <c r="A19" s="72" t="s">
        <v>602</v>
      </c>
      <c r="B19" s="56"/>
      <c r="C19" s="56"/>
      <c r="D19" s="56"/>
      <c r="E19" s="56"/>
      <c r="F19" s="56"/>
    </row>
    <row r="21" spans="1:6" x14ac:dyDescent="0.3">
      <c r="A21" s="70" t="s">
        <v>603</v>
      </c>
      <c r="B21" s="56"/>
      <c r="C21" s="56"/>
      <c r="D21" s="56"/>
      <c r="E21" s="56"/>
      <c r="F21" s="56"/>
    </row>
    <row r="22" spans="1:6" x14ac:dyDescent="0.3">
      <c r="A22" s="67" t="s">
        <v>604</v>
      </c>
      <c r="B22" s="56"/>
      <c r="C22" s="56"/>
      <c r="D22" s="56"/>
      <c r="E22" s="56"/>
      <c r="F22" s="56"/>
    </row>
    <row r="23" spans="1:6" x14ac:dyDescent="0.3">
      <c r="A23" s="67" t="s">
        <v>605</v>
      </c>
      <c r="B23" s="56"/>
      <c r="C23" s="56"/>
      <c r="D23" s="56"/>
      <c r="E23" s="56"/>
      <c r="F23" s="56"/>
    </row>
    <row r="24" spans="1:6" x14ac:dyDescent="0.3">
      <c r="A24" s="67" t="s">
        <v>606</v>
      </c>
      <c r="B24" s="56"/>
      <c r="C24" s="56"/>
      <c r="D24" s="56"/>
      <c r="E24" s="56"/>
      <c r="F24" s="56"/>
    </row>
    <row r="25" spans="1:6" x14ac:dyDescent="0.3">
      <c r="A25" s="67" t="s">
        <v>607</v>
      </c>
      <c r="B25" s="56"/>
      <c r="C25" s="56"/>
      <c r="D25" s="56"/>
      <c r="E25" s="56"/>
      <c r="F25" s="56"/>
    </row>
    <row r="26" spans="1:6" x14ac:dyDescent="0.3">
      <c r="A26" s="67" t="s">
        <v>608</v>
      </c>
      <c r="B26" s="56"/>
      <c r="C26" s="56"/>
      <c r="D26" s="56"/>
      <c r="E26" s="56"/>
      <c r="F26" s="56"/>
    </row>
    <row r="28" spans="1:6" x14ac:dyDescent="0.3">
      <c r="A28" s="70" t="s">
        <v>609</v>
      </c>
      <c r="B28" s="56"/>
      <c r="C28" s="56"/>
      <c r="D28" s="56"/>
      <c r="E28" s="56"/>
      <c r="F28" s="56"/>
    </row>
    <row r="29" spans="1:6" x14ac:dyDescent="0.3">
      <c r="A29" s="67" t="s">
        <v>610</v>
      </c>
      <c r="B29" s="56"/>
      <c r="C29" s="56"/>
      <c r="D29" s="56"/>
      <c r="E29" s="56"/>
      <c r="F29" s="56"/>
    </row>
    <row r="30" spans="1:6" x14ac:dyDescent="0.3">
      <c r="A30" s="67" t="s">
        <v>611</v>
      </c>
      <c r="B30" s="56"/>
      <c r="C30" s="56"/>
      <c r="D30" s="56"/>
      <c r="E30" s="56"/>
      <c r="F30" s="56"/>
    </row>
    <row r="31" spans="1:6" x14ac:dyDescent="0.3">
      <c r="A31" s="67" t="s">
        <v>612</v>
      </c>
      <c r="B31" s="56"/>
      <c r="C31" s="56"/>
      <c r="D31" s="56"/>
      <c r="E31" s="56"/>
      <c r="F31" s="56"/>
    </row>
    <row r="32" spans="1:6" x14ac:dyDescent="0.3">
      <c r="A32" s="67" t="s">
        <v>613</v>
      </c>
      <c r="B32" s="56"/>
      <c r="C32" s="56"/>
      <c r="D32" s="56"/>
      <c r="E32" s="56"/>
      <c r="F32" s="56"/>
    </row>
    <row r="33" spans="1:6" x14ac:dyDescent="0.3">
      <c r="A33" s="67" t="s">
        <v>614</v>
      </c>
      <c r="B33" s="56"/>
      <c r="C33" s="56"/>
      <c r="D33" s="56"/>
      <c r="E33" s="56"/>
      <c r="F33" s="56"/>
    </row>
    <row r="35" spans="1:6" x14ac:dyDescent="0.3">
      <c r="A35" s="70" t="s">
        <v>615</v>
      </c>
      <c r="B35" s="56"/>
      <c r="C35" s="56"/>
      <c r="D35" s="56"/>
      <c r="E35" s="56"/>
      <c r="F35" s="56"/>
    </row>
    <row r="36" spans="1:6" x14ac:dyDescent="0.3">
      <c r="A36" s="67" t="s">
        <v>616</v>
      </c>
      <c r="B36" s="56"/>
      <c r="C36" s="56"/>
      <c r="D36" s="56"/>
      <c r="E36" s="56"/>
      <c r="F36" s="56"/>
    </row>
    <row r="37" spans="1:6" x14ac:dyDescent="0.3">
      <c r="A37" s="67" t="s">
        <v>617</v>
      </c>
      <c r="B37" s="56"/>
      <c r="C37" s="56"/>
      <c r="D37" s="56"/>
      <c r="E37" s="56"/>
      <c r="F37" s="56"/>
    </row>
    <row r="38" spans="1:6" x14ac:dyDescent="0.3">
      <c r="A38" s="67" t="s">
        <v>618</v>
      </c>
      <c r="B38" s="56"/>
      <c r="C38" s="56"/>
      <c r="D38" s="56"/>
      <c r="E38" s="56"/>
      <c r="F38" s="56"/>
    </row>
    <row r="39" spans="1:6" x14ac:dyDescent="0.3">
      <c r="A39" s="67" t="s">
        <v>619</v>
      </c>
      <c r="B39" s="56"/>
      <c r="C39" s="56"/>
      <c r="D39" s="56"/>
      <c r="E39" s="56"/>
      <c r="F39" s="56"/>
    </row>
    <row r="40" spans="1:6" x14ac:dyDescent="0.3">
      <c r="A40" s="67" t="s">
        <v>620</v>
      </c>
      <c r="B40" s="56"/>
      <c r="C40" s="56"/>
      <c r="D40" s="56"/>
      <c r="E40" s="56"/>
      <c r="F40" s="56"/>
    </row>
    <row r="43" spans="1:6" x14ac:dyDescent="0.3">
      <c r="A43" s="68" t="s">
        <v>621</v>
      </c>
      <c r="B43" s="56"/>
      <c r="C43" s="56"/>
      <c r="D43" s="56"/>
      <c r="E43" s="56"/>
      <c r="F43" s="56"/>
    </row>
    <row r="45" spans="1:6" x14ac:dyDescent="0.3">
      <c r="A45" s="74" t="s">
        <v>622</v>
      </c>
      <c r="B45" s="56"/>
      <c r="C45" s="56"/>
      <c r="D45" s="56"/>
      <c r="E45" s="56"/>
      <c r="F45" s="56"/>
    </row>
    <row r="46" spans="1:6" x14ac:dyDescent="0.3">
      <c r="A46" s="67" t="s">
        <v>623</v>
      </c>
      <c r="B46" s="56"/>
      <c r="C46" s="56"/>
      <c r="D46" s="56"/>
      <c r="E46" s="56"/>
      <c r="F46" s="56"/>
    </row>
    <row r="47" spans="1:6" x14ac:dyDescent="0.3">
      <c r="A47" s="67" t="s">
        <v>624</v>
      </c>
      <c r="B47" s="56"/>
      <c r="C47" s="56"/>
      <c r="D47" s="56"/>
      <c r="E47" s="56"/>
      <c r="F47" s="56"/>
    </row>
    <row r="48" spans="1:6" x14ac:dyDescent="0.3">
      <c r="A48" s="67" t="s">
        <v>625</v>
      </c>
      <c r="B48" s="56"/>
      <c r="C48" s="56"/>
      <c r="D48" s="56"/>
      <c r="E48" s="56"/>
      <c r="F48" s="56"/>
    </row>
    <row r="49" spans="1:6" x14ac:dyDescent="0.3">
      <c r="A49" s="67" t="s">
        <v>626</v>
      </c>
      <c r="B49" s="56"/>
      <c r="C49" s="56"/>
      <c r="D49" s="56"/>
      <c r="E49" s="56"/>
      <c r="F49" s="56"/>
    </row>
    <row r="50" spans="1:6" x14ac:dyDescent="0.3">
      <c r="A50" s="67" t="s">
        <v>627</v>
      </c>
      <c r="B50" s="56"/>
      <c r="C50" s="56"/>
      <c r="D50" s="56"/>
      <c r="E50" s="56"/>
      <c r="F50" s="56"/>
    </row>
    <row r="52" spans="1:6" x14ac:dyDescent="0.3">
      <c r="A52" s="71" t="s">
        <v>628</v>
      </c>
      <c r="B52" s="56"/>
      <c r="C52" s="56"/>
      <c r="D52" s="56"/>
      <c r="E52" s="56"/>
      <c r="F52" s="56"/>
    </row>
    <row r="53" spans="1:6" x14ac:dyDescent="0.3">
      <c r="A53" s="67" t="s">
        <v>629</v>
      </c>
      <c r="B53" s="56"/>
      <c r="C53" s="56"/>
      <c r="D53" s="56"/>
      <c r="E53" s="56"/>
      <c r="F53" s="56"/>
    </row>
    <row r="54" spans="1:6" x14ac:dyDescent="0.3">
      <c r="A54" s="67" t="s">
        <v>630</v>
      </c>
      <c r="B54" s="56"/>
      <c r="C54" s="56"/>
      <c r="D54" s="56"/>
      <c r="E54" s="56"/>
      <c r="F54" s="56"/>
    </row>
    <row r="55" spans="1:6" x14ac:dyDescent="0.3">
      <c r="A55" s="67" t="s">
        <v>631</v>
      </c>
      <c r="B55" s="56"/>
      <c r="C55" s="56"/>
      <c r="D55" s="56"/>
      <c r="E55" s="56"/>
      <c r="F55" s="56"/>
    </row>
    <row r="56" spans="1:6" x14ac:dyDescent="0.3">
      <c r="A56" s="67" t="s">
        <v>632</v>
      </c>
      <c r="B56" s="56"/>
      <c r="C56" s="56"/>
      <c r="D56" s="56"/>
      <c r="E56" s="56"/>
      <c r="F56" s="56"/>
    </row>
    <row r="57" spans="1:6" x14ac:dyDescent="0.3">
      <c r="A57" s="67" t="s">
        <v>633</v>
      </c>
      <c r="B57" s="56"/>
      <c r="C57" s="56"/>
      <c r="D57" s="56"/>
      <c r="E57" s="56"/>
      <c r="F57" s="56"/>
    </row>
    <row r="59" spans="1:6" x14ac:dyDescent="0.3">
      <c r="A59" s="70" t="s">
        <v>634</v>
      </c>
      <c r="B59" s="56"/>
      <c r="C59" s="56"/>
      <c r="D59" s="56"/>
      <c r="E59" s="56"/>
      <c r="F59" s="56"/>
    </row>
    <row r="60" spans="1:6" x14ac:dyDescent="0.3">
      <c r="A60" s="67" t="s">
        <v>635</v>
      </c>
      <c r="B60" s="56"/>
      <c r="C60" s="56"/>
      <c r="D60" s="56"/>
      <c r="E60" s="56"/>
      <c r="F60" s="56"/>
    </row>
    <row r="61" spans="1:6" x14ac:dyDescent="0.3">
      <c r="A61" s="67" t="s">
        <v>636</v>
      </c>
      <c r="B61" s="56"/>
      <c r="C61" s="56"/>
      <c r="D61" s="56"/>
      <c r="E61" s="56"/>
      <c r="F61" s="56"/>
    </row>
    <row r="62" spans="1:6" x14ac:dyDescent="0.3">
      <c r="A62" s="67" t="s">
        <v>637</v>
      </c>
      <c r="B62" s="56"/>
      <c r="C62" s="56"/>
      <c r="D62" s="56"/>
      <c r="E62" s="56"/>
      <c r="F62" s="56"/>
    </row>
    <row r="63" spans="1:6" x14ac:dyDescent="0.3">
      <c r="A63" s="67" t="s">
        <v>638</v>
      </c>
      <c r="B63" s="56"/>
      <c r="C63" s="56"/>
      <c r="D63" s="56"/>
      <c r="E63" s="56"/>
      <c r="F63" s="56"/>
    </row>
    <row r="64" spans="1:6" x14ac:dyDescent="0.3">
      <c r="A64" s="67" t="s">
        <v>639</v>
      </c>
      <c r="B64" s="56"/>
      <c r="C64" s="56"/>
      <c r="D64" s="56"/>
      <c r="E64" s="56"/>
      <c r="F64" s="56"/>
    </row>
    <row r="65" spans="1:6" x14ac:dyDescent="0.3">
      <c r="A65" s="67" t="s">
        <v>640</v>
      </c>
      <c r="B65" s="56"/>
      <c r="C65" s="56"/>
      <c r="D65" s="56"/>
      <c r="E65" s="56"/>
      <c r="F65" s="56"/>
    </row>
    <row r="67" spans="1:6" x14ac:dyDescent="0.3">
      <c r="A67" s="73" t="s">
        <v>641</v>
      </c>
      <c r="B67" s="56"/>
      <c r="C67" s="56"/>
      <c r="D67" s="56"/>
      <c r="E67" s="56"/>
      <c r="F67" s="56"/>
    </row>
    <row r="68" spans="1:6" x14ac:dyDescent="0.3">
      <c r="A68" s="67" t="s">
        <v>642</v>
      </c>
      <c r="B68" s="56"/>
      <c r="C68" s="56"/>
      <c r="D68" s="56"/>
      <c r="E68" s="56"/>
      <c r="F68" s="56"/>
    </row>
    <row r="69" spans="1:6" x14ac:dyDescent="0.3">
      <c r="A69" s="67" t="s">
        <v>643</v>
      </c>
      <c r="B69" s="56"/>
      <c r="C69" s="56"/>
      <c r="D69" s="56"/>
      <c r="E69" s="56"/>
      <c r="F69" s="56"/>
    </row>
    <row r="70" spans="1:6" x14ac:dyDescent="0.3">
      <c r="A70" s="67" t="s">
        <v>644</v>
      </c>
      <c r="B70" s="56"/>
      <c r="C70" s="56"/>
      <c r="D70" s="56"/>
      <c r="E70" s="56"/>
      <c r="F70" s="56"/>
    </row>
    <row r="71" spans="1:6" x14ac:dyDescent="0.3">
      <c r="A71" s="67" t="s">
        <v>645</v>
      </c>
      <c r="B71" s="56"/>
      <c r="C71" s="56"/>
      <c r="D71" s="56"/>
      <c r="E71" s="56"/>
      <c r="F71" s="56"/>
    </row>
    <row r="72" spans="1:6" x14ac:dyDescent="0.3">
      <c r="A72" s="67" t="s">
        <v>646</v>
      </c>
      <c r="B72" s="56"/>
      <c r="C72" s="56"/>
      <c r="D72" s="56"/>
      <c r="E72" s="56"/>
      <c r="F72" s="56"/>
    </row>
    <row r="73" spans="1:6" x14ac:dyDescent="0.3">
      <c r="A73" s="67" t="s">
        <v>647</v>
      </c>
      <c r="B73" s="56"/>
      <c r="C73" s="56"/>
      <c r="D73" s="56"/>
      <c r="E73" s="56"/>
      <c r="F73" s="56"/>
    </row>
    <row r="75" spans="1:6" x14ac:dyDescent="0.3">
      <c r="A75" s="69" t="s">
        <v>648</v>
      </c>
      <c r="B75" s="56"/>
      <c r="C75" s="56"/>
      <c r="D75" s="56"/>
      <c r="E75" s="56"/>
      <c r="F75" s="56"/>
    </row>
    <row r="76" spans="1:6" x14ac:dyDescent="0.3">
      <c r="A76" s="67" t="s">
        <v>649</v>
      </c>
      <c r="B76" s="56"/>
      <c r="C76" s="56"/>
      <c r="D76" s="56"/>
      <c r="E76" s="56"/>
      <c r="F76" s="56"/>
    </row>
    <row r="77" spans="1:6" x14ac:dyDescent="0.3">
      <c r="A77" s="67" t="s">
        <v>650</v>
      </c>
      <c r="B77" s="56"/>
      <c r="C77" s="56"/>
      <c r="D77" s="56"/>
      <c r="E77" s="56"/>
      <c r="F77" s="56"/>
    </row>
    <row r="78" spans="1:6" x14ac:dyDescent="0.3">
      <c r="A78" s="67" t="s">
        <v>651</v>
      </c>
      <c r="B78" s="56"/>
      <c r="C78" s="56"/>
      <c r="D78" s="56"/>
      <c r="E78" s="56"/>
      <c r="F78" s="56"/>
    </row>
    <row r="79" spans="1:6" x14ac:dyDescent="0.3">
      <c r="A79" s="67" t="s">
        <v>652</v>
      </c>
      <c r="B79" s="56"/>
      <c r="C79" s="56"/>
      <c r="D79" s="56"/>
      <c r="E79" s="56"/>
      <c r="F79" s="56"/>
    </row>
    <row r="80" spans="1:6" x14ac:dyDescent="0.3">
      <c r="A80" s="67" t="s">
        <v>653</v>
      </c>
      <c r="B80" s="56"/>
      <c r="C80" s="56"/>
      <c r="D80" s="56"/>
      <c r="E80" s="56"/>
      <c r="F80" s="56"/>
    </row>
    <row r="81" spans="1:6" x14ac:dyDescent="0.3">
      <c r="A81" s="67" t="s">
        <v>654</v>
      </c>
      <c r="B81" s="56"/>
      <c r="C81" s="56"/>
      <c r="D81" s="56"/>
      <c r="E81" s="56"/>
      <c r="F81" s="56"/>
    </row>
    <row r="84" spans="1:6" x14ac:dyDescent="0.3">
      <c r="A84" s="68" t="s">
        <v>655</v>
      </c>
      <c r="B84" s="56"/>
      <c r="C84" s="56"/>
      <c r="D84" s="56"/>
      <c r="E84" s="56"/>
      <c r="F84" s="56"/>
    </row>
    <row r="86" spans="1:6" x14ac:dyDescent="0.3">
      <c r="A86" s="67" t="s">
        <v>656</v>
      </c>
      <c r="B86" s="56"/>
      <c r="C86" s="56"/>
      <c r="D86" s="56"/>
      <c r="E86" s="56"/>
      <c r="F86" s="56"/>
    </row>
    <row r="87" spans="1:6" x14ac:dyDescent="0.3">
      <c r="A87" s="67" t="s">
        <v>657</v>
      </c>
      <c r="B87" s="56"/>
      <c r="C87" s="56"/>
      <c r="D87" s="56"/>
      <c r="E87" s="56"/>
      <c r="F87" s="56"/>
    </row>
    <row r="88" spans="1:6" x14ac:dyDescent="0.3">
      <c r="A88" s="67" t="s">
        <v>658</v>
      </c>
      <c r="B88" s="56"/>
      <c r="C88" s="56"/>
      <c r="D88" s="56"/>
      <c r="E88" s="56"/>
      <c r="F88" s="56"/>
    </row>
    <row r="89" spans="1:6" x14ac:dyDescent="0.3">
      <c r="A89" s="67" t="s">
        <v>659</v>
      </c>
      <c r="B89" s="56"/>
      <c r="C89" s="56"/>
      <c r="D89" s="56"/>
      <c r="E89" s="56"/>
      <c r="F89" s="56"/>
    </row>
    <row r="90" spans="1:6" x14ac:dyDescent="0.3">
      <c r="A90" s="67" t="s">
        <v>660</v>
      </c>
      <c r="B90" s="56"/>
      <c r="C90" s="56"/>
      <c r="D90" s="56"/>
      <c r="E90" s="56"/>
      <c r="F90" s="56"/>
    </row>
    <row r="91" spans="1:6" x14ac:dyDescent="0.3">
      <c r="A91" s="67" t="s">
        <v>661</v>
      </c>
      <c r="B91" s="56"/>
      <c r="C91" s="56"/>
      <c r="D91" s="56"/>
      <c r="E91" s="56"/>
      <c r="F91" s="56"/>
    </row>
    <row r="92" spans="1:6" x14ac:dyDescent="0.3">
      <c r="A92" s="67" t="s">
        <v>662</v>
      </c>
      <c r="B92" s="56"/>
      <c r="C92" s="56"/>
      <c r="D92" s="56"/>
      <c r="E92" s="56"/>
      <c r="F92" s="56"/>
    </row>
    <row r="93" spans="1:6" x14ac:dyDescent="0.3">
      <c r="A93" s="67" t="s">
        <v>663</v>
      </c>
      <c r="B93" s="56"/>
      <c r="C93" s="56"/>
      <c r="D93" s="56"/>
      <c r="E93" s="56"/>
      <c r="F93" s="56"/>
    </row>
    <row r="94" spans="1:6" x14ac:dyDescent="0.3">
      <c r="A94" s="67" t="s">
        <v>664</v>
      </c>
      <c r="B94" s="56"/>
      <c r="C94" s="56"/>
      <c r="D94" s="56"/>
      <c r="E94" s="56"/>
      <c r="F94" s="56"/>
    </row>
    <row r="95" spans="1:6" x14ac:dyDescent="0.3">
      <c r="A95" s="67" t="s">
        <v>665</v>
      </c>
      <c r="B95" s="56"/>
      <c r="C95" s="56"/>
      <c r="D95" s="56"/>
      <c r="E95" s="56"/>
      <c r="F95" s="56"/>
    </row>
  </sheetData>
  <mergeCells count="66">
    <mergeCell ref="A94:F94"/>
    <mergeCell ref="A1:F1"/>
    <mergeCell ref="A70:F70"/>
    <mergeCell ref="A79:F79"/>
    <mergeCell ref="A61:F61"/>
    <mergeCell ref="A88:F88"/>
    <mergeCell ref="A78:F78"/>
    <mergeCell ref="A69:F69"/>
    <mergeCell ref="A87:F87"/>
    <mergeCell ref="A65:F65"/>
    <mergeCell ref="A17:F17"/>
    <mergeCell ref="A35:F35"/>
    <mergeCell ref="A25:F25"/>
    <mergeCell ref="A62:F62"/>
    <mergeCell ref="A53:F53"/>
    <mergeCell ref="A29:F29"/>
    <mergeCell ref="A43:F43"/>
    <mergeCell ref="A38:F38"/>
    <mergeCell ref="A52:F52"/>
    <mergeCell ref="A28:F28"/>
    <mergeCell ref="A19:F19"/>
    <mergeCell ref="A31:F31"/>
    <mergeCell ref="A40:F40"/>
    <mergeCell ref="A48:F48"/>
    <mergeCell ref="A30:F30"/>
    <mergeCell ref="A39:F39"/>
    <mergeCell ref="A95:F95"/>
    <mergeCell ref="A33:F33"/>
    <mergeCell ref="A71:F71"/>
    <mergeCell ref="A47:F47"/>
    <mergeCell ref="A76:F76"/>
    <mergeCell ref="A72:F72"/>
    <mergeCell ref="A91:F91"/>
    <mergeCell ref="A81:F81"/>
    <mergeCell ref="A63:F63"/>
    <mergeCell ref="A93:F93"/>
    <mergeCell ref="A68:F68"/>
    <mergeCell ref="A67:F67"/>
    <mergeCell ref="A92:F92"/>
    <mergeCell ref="A77:F77"/>
    <mergeCell ref="A64:F64"/>
    <mergeCell ref="A59:F59"/>
    <mergeCell ref="A26:F26"/>
    <mergeCell ref="A21:F21"/>
    <mergeCell ref="A55:F55"/>
    <mergeCell ref="A86:F86"/>
    <mergeCell ref="A57:F57"/>
    <mergeCell ref="A23:F23"/>
    <mergeCell ref="A32:F32"/>
    <mergeCell ref="A22:F22"/>
    <mergeCell ref="A73:F73"/>
    <mergeCell ref="A24:F24"/>
    <mergeCell ref="A49:F49"/>
    <mergeCell ref="A60:F60"/>
    <mergeCell ref="A36:F36"/>
    <mergeCell ref="A45:F45"/>
    <mergeCell ref="A37:F37"/>
    <mergeCell ref="A75:F75"/>
    <mergeCell ref="A89:F89"/>
    <mergeCell ref="A50:F50"/>
    <mergeCell ref="A56:F56"/>
    <mergeCell ref="A54:F54"/>
    <mergeCell ref="A46:F46"/>
    <mergeCell ref="A90:F90"/>
    <mergeCell ref="A84:F84"/>
    <mergeCell ref="A80:F80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4472C4"/>
  </sheetPr>
  <dimension ref="A1:I47"/>
  <sheetViews>
    <sheetView workbookViewId="0">
      <selection activeCell="I45" sqref="I45"/>
    </sheetView>
  </sheetViews>
  <sheetFormatPr defaultRowHeight="14.4" x14ac:dyDescent="0.3"/>
  <cols>
    <col min="1" max="1" width="35" style="29" customWidth="1"/>
    <col min="2" max="8" width="12" style="29" customWidth="1"/>
    <col min="9" max="9" width="14" style="29" customWidth="1"/>
  </cols>
  <sheetData>
    <row r="1" spans="1:9" x14ac:dyDescent="0.3">
      <c r="A1" s="30" t="s">
        <v>666</v>
      </c>
    </row>
    <row r="3" spans="1:9" x14ac:dyDescent="0.3">
      <c r="A3" s="3" t="s">
        <v>463</v>
      </c>
      <c r="B3" s="3" t="s">
        <v>188</v>
      </c>
      <c r="C3" s="3" t="s">
        <v>667</v>
      </c>
      <c r="D3" s="3" t="s">
        <v>668</v>
      </c>
      <c r="E3" s="3" t="s">
        <v>669</v>
      </c>
      <c r="F3" s="3" t="s">
        <v>670</v>
      </c>
      <c r="G3" s="3" t="s">
        <v>671</v>
      </c>
      <c r="H3" s="3" t="s">
        <v>672</v>
      </c>
      <c r="I3" s="3" t="s">
        <v>673</v>
      </c>
    </row>
    <row r="4" spans="1:9" x14ac:dyDescent="0.3">
      <c r="A4" s="30" t="s">
        <v>674</v>
      </c>
      <c r="C4" s="11"/>
      <c r="D4" s="11"/>
      <c r="E4" s="11"/>
      <c r="F4" s="11"/>
      <c r="G4" s="11"/>
      <c r="H4" s="11"/>
      <c r="I4" s="11"/>
    </row>
    <row r="5" spans="1:9" x14ac:dyDescent="0.3">
      <c r="A5" s="4" t="s">
        <v>675</v>
      </c>
      <c r="B5" s="4" t="s">
        <v>218</v>
      </c>
      <c r="C5" s="10">
        <f>MAX(pilot_count,adoption_max/(1+EXP(-adoption_steepness*(2025.542-adoption_midpoint))))*cert_fee_yr1*(1+cert_fee_escalation)^0/12</f>
        <v>246.65065563399014</v>
      </c>
      <c r="D5" s="10">
        <f>MAX(pilot_count,adoption_max/(1+EXP(-adoption_steepness*(2025.625-adoption_midpoint))))*cert_fee_yr1*(1+cert_fee_escalation)^0/12</f>
        <v>263.7627283986339</v>
      </c>
      <c r="E5" s="10">
        <f>MAX(pilot_count,adoption_max/(1+EXP(-adoption_steepness*(2025.708-adoption_midpoint))))*cert_fee_yr1*(1+cert_fee_escalation)^0/12</f>
        <v>281.9134699732773</v>
      </c>
      <c r="F5" s="10">
        <f>MAX(pilot_count,adoption_max/(1+EXP(-adoption_steepness*(2025.792-adoption_midpoint))))*cert_fee_yr1*(1+cert_fee_escalation)^0/12</f>
        <v>301.38350999876781</v>
      </c>
      <c r="G5" s="10">
        <f>MAX(pilot_count,adoption_max/(1+EXP(-adoption_steepness*(2025.875-adoption_midpoint))))*cert_fee_yr1*(1+cert_fee_escalation)^0/12</f>
        <v>321.75062645987242</v>
      </c>
      <c r="H5" s="10">
        <f>MAX(pilot_count,adoption_max/(1+EXP(-adoption_steepness*(2025.958-adoption_midpoint))))*cert_fee_yr1*(1+cert_fee_escalation)^0/12</f>
        <v>343.27922628391002</v>
      </c>
      <c r="I5" s="9">
        <f>SUM(C5:H5)</f>
        <v>1758.7402167484515</v>
      </c>
    </row>
    <row r="6" spans="1:9" x14ac:dyDescent="0.3">
      <c r="A6" s="4" t="s">
        <v>466</v>
      </c>
      <c r="B6" s="4" t="s">
        <v>218</v>
      </c>
      <c r="C6" s="10">
        <f>MAX(pilot_count,adoption_max/(1+EXP(-adoption_steepness*(2025.542-adoption_midpoint))))*training_pct*training_fee/12</f>
        <v>44.397118014118227</v>
      </c>
      <c r="D6" s="10">
        <f>MAX(pilot_count,adoption_max/(1+EXP(-adoption_steepness*(2025.625-adoption_midpoint))))*training_pct*training_fee/12</f>
        <v>47.477291111754091</v>
      </c>
      <c r="E6" s="10">
        <f>MAX(pilot_count,adoption_max/(1+EXP(-adoption_steepness*(2025.708-adoption_midpoint))))*training_pct*training_fee/12</f>
        <v>50.744424595189912</v>
      </c>
      <c r="F6" s="10">
        <f>MAX(pilot_count,adoption_max/(1+EXP(-adoption_steepness*(2025.792-adoption_midpoint))))*training_pct*training_fee/12</f>
        <v>54.249031799778209</v>
      </c>
      <c r="G6" s="10">
        <f>MAX(pilot_count,adoption_max/(1+EXP(-adoption_steepness*(2025.875-adoption_midpoint))))*training_pct*training_fee/12</f>
        <v>57.915112762777035</v>
      </c>
      <c r="H6" s="10">
        <f>MAX(pilot_count,adoption_max/(1+EXP(-adoption_steepness*(2025.958-adoption_midpoint))))*training_pct*training_fee/12</f>
        <v>61.790260731103807</v>
      </c>
      <c r="I6" s="9">
        <f>SUM(C6:H6)</f>
        <v>316.57323901472125</v>
      </c>
    </row>
    <row r="7" spans="1:9" x14ac:dyDescent="0.3">
      <c r="A7" s="4" t="s">
        <v>676</v>
      </c>
      <c r="B7" s="4" t="s">
        <v>218</v>
      </c>
      <c r="C7" s="10">
        <f>MAX(pilot_count,adoption_max/(1+EXP(-adoption_steepness*(2025.542-adoption_midpoint))))*audit_fee/12</f>
        <v>98.660262253596059</v>
      </c>
      <c r="D7" s="10">
        <f>MAX(pilot_count,adoption_max/(1+EXP(-adoption_steepness*(2025.625-adoption_midpoint))))*audit_fee/12</f>
        <v>105.50509135945354</v>
      </c>
      <c r="E7" s="10">
        <f>MAX(pilot_count,adoption_max/(1+EXP(-adoption_steepness*(2025.708-adoption_midpoint))))*audit_fee/12</f>
        <v>112.76538798931092</v>
      </c>
      <c r="F7" s="10">
        <f>MAX(pilot_count,adoption_max/(1+EXP(-adoption_steepness*(2025.792-adoption_midpoint))))*audit_fee/12</f>
        <v>120.55340399950713</v>
      </c>
      <c r="G7" s="10">
        <f>MAX(pilot_count,adoption_max/(1+EXP(-adoption_steepness*(2025.875-adoption_midpoint))))*audit_fee/12</f>
        <v>128.70025058394899</v>
      </c>
      <c r="H7" s="10">
        <f>MAX(pilot_count,adoption_max/(1+EXP(-adoption_steepness*(2025.958-adoption_midpoint))))*audit_fee/12</f>
        <v>137.311690513564</v>
      </c>
      <c r="I7" s="9">
        <f>SUM(C7:H7)</f>
        <v>703.49608669938061</v>
      </c>
    </row>
    <row r="8" spans="1:9" x14ac:dyDescent="0.3">
      <c r="A8" s="4" t="s">
        <v>474</v>
      </c>
      <c r="C8" s="9">
        <f t="shared" ref="C8:H8" si="0">SUM(C5:C7)</f>
        <v>389.70803590170442</v>
      </c>
      <c r="D8" s="9">
        <f t="shared" si="0"/>
        <v>416.74511086984154</v>
      </c>
      <c r="E8" s="9">
        <f t="shared" si="0"/>
        <v>445.42328255777812</v>
      </c>
      <c r="F8" s="9">
        <f t="shared" si="0"/>
        <v>476.18594579805313</v>
      </c>
      <c r="G8" s="9">
        <f t="shared" si="0"/>
        <v>508.36598980659846</v>
      </c>
      <c r="H8" s="9">
        <f t="shared" si="0"/>
        <v>542.38117752857784</v>
      </c>
      <c r="I8" s="9">
        <f>SUM(C8:H8)</f>
        <v>2778.8095424625535</v>
      </c>
    </row>
    <row r="10" spans="1:9" x14ac:dyDescent="0.3">
      <c r="A10" s="30" t="s">
        <v>110</v>
      </c>
      <c r="C10" s="11"/>
      <c r="D10" s="11"/>
      <c r="E10" s="11"/>
      <c r="F10" s="11"/>
      <c r="G10" s="11"/>
      <c r="H10" s="11"/>
      <c r="I10" s="11"/>
    </row>
    <row r="11" spans="1:9" x14ac:dyDescent="0.3">
      <c r="A11" s="4" t="s">
        <v>677</v>
      </c>
      <c r="B11" s="4" t="s">
        <v>218</v>
      </c>
      <c r="C11" s="10">
        <f t="shared" ref="C11:H11" si="1">capex_cloud_setup/6</f>
        <v>133.33333333333334</v>
      </c>
      <c r="D11" s="10">
        <f t="shared" si="1"/>
        <v>133.33333333333334</v>
      </c>
      <c r="E11" s="10">
        <f t="shared" si="1"/>
        <v>133.33333333333334</v>
      </c>
      <c r="F11" s="10">
        <f t="shared" si="1"/>
        <v>133.33333333333334</v>
      </c>
      <c r="G11" s="10">
        <f t="shared" si="1"/>
        <v>133.33333333333334</v>
      </c>
      <c r="H11" s="10">
        <f t="shared" si="1"/>
        <v>133.33333333333334</v>
      </c>
      <c r="I11" s="9">
        <f t="shared" ref="I11:I21" si="2">SUM(C11:H11)</f>
        <v>800.00000000000011</v>
      </c>
    </row>
    <row r="12" spans="1:9" x14ac:dyDescent="0.3">
      <c r="A12" s="4" t="s">
        <v>678</v>
      </c>
      <c r="B12" s="4" t="s">
        <v>218</v>
      </c>
      <c r="C12" s="10">
        <f t="shared" ref="C12:H12" si="3">capex_backend/6</f>
        <v>200</v>
      </c>
      <c r="D12" s="10">
        <f t="shared" si="3"/>
        <v>200</v>
      </c>
      <c r="E12" s="10">
        <f t="shared" si="3"/>
        <v>200</v>
      </c>
      <c r="F12" s="10">
        <f t="shared" si="3"/>
        <v>200</v>
      </c>
      <c r="G12" s="10">
        <f t="shared" si="3"/>
        <v>200</v>
      </c>
      <c r="H12" s="10">
        <f t="shared" si="3"/>
        <v>200</v>
      </c>
      <c r="I12" s="9">
        <f t="shared" si="2"/>
        <v>1200</v>
      </c>
    </row>
    <row r="13" spans="1:9" x14ac:dyDescent="0.3">
      <c r="A13" s="4" t="s">
        <v>679</v>
      </c>
      <c r="B13" s="4" t="s">
        <v>218</v>
      </c>
      <c r="C13" s="10">
        <f t="shared" ref="C13:H13" si="4">capex_frontend/6</f>
        <v>150</v>
      </c>
      <c r="D13" s="10">
        <f t="shared" si="4"/>
        <v>150</v>
      </c>
      <c r="E13" s="10">
        <f t="shared" si="4"/>
        <v>150</v>
      </c>
      <c r="F13" s="10">
        <f t="shared" si="4"/>
        <v>150</v>
      </c>
      <c r="G13" s="10">
        <f t="shared" si="4"/>
        <v>150</v>
      </c>
      <c r="H13" s="10">
        <f t="shared" si="4"/>
        <v>150</v>
      </c>
      <c r="I13" s="9">
        <f t="shared" si="2"/>
        <v>900</v>
      </c>
    </row>
    <row r="14" spans="1:9" x14ac:dyDescent="0.3">
      <c r="A14" s="4" t="s">
        <v>680</v>
      </c>
      <c r="B14" s="4" t="s">
        <v>218</v>
      </c>
      <c r="C14" s="10">
        <f t="shared" ref="C14:H14" si="5">capex_data_platform/6</f>
        <v>100</v>
      </c>
      <c r="D14" s="10">
        <f t="shared" si="5"/>
        <v>100</v>
      </c>
      <c r="E14" s="10">
        <f t="shared" si="5"/>
        <v>100</v>
      </c>
      <c r="F14" s="10">
        <f t="shared" si="5"/>
        <v>100</v>
      </c>
      <c r="G14" s="10">
        <f t="shared" si="5"/>
        <v>100</v>
      </c>
      <c r="H14" s="10">
        <f t="shared" si="5"/>
        <v>100</v>
      </c>
      <c r="I14" s="9">
        <f t="shared" si="2"/>
        <v>600</v>
      </c>
    </row>
    <row r="15" spans="1:9" x14ac:dyDescent="0.3">
      <c r="A15" s="4" t="s">
        <v>485</v>
      </c>
      <c r="B15" s="4" t="s">
        <v>218</v>
      </c>
      <c r="C15" s="10">
        <f t="shared" ref="C15:H15" si="6">capex_security_setup/6</f>
        <v>41.666666666666664</v>
      </c>
      <c r="D15" s="10">
        <f t="shared" si="6"/>
        <v>41.666666666666664</v>
      </c>
      <c r="E15" s="10">
        <f t="shared" si="6"/>
        <v>41.666666666666664</v>
      </c>
      <c r="F15" s="10">
        <f t="shared" si="6"/>
        <v>41.666666666666664</v>
      </c>
      <c r="G15" s="10">
        <f t="shared" si="6"/>
        <v>41.666666666666664</v>
      </c>
      <c r="H15" s="10">
        <f t="shared" si="6"/>
        <v>41.666666666666664</v>
      </c>
      <c r="I15" s="9">
        <f t="shared" si="2"/>
        <v>249.99999999999997</v>
      </c>
    </row>
    <row r="16" spans="1:9" x14ac:dyDescent="0.3">
      <c r="A16" s="4" t="s">
        <v>681</v>
      </c>
      <c r="B16" s="4" t="s">
        <v>218</v>
      </c>
      <c r="C16" s="10">
        <f t="shared" ref="C16:H16" si="7">capex_ux_design/6</f>
        <v>58.333333333333336</v>
      </c>
      <c r="D16" s="10">
        <f t="shared" si="7"/>
        <v>58.333333333333336</v>
      </c>
      <c r="E16" s="10">
        <f t="shared" si="7"/>
        <v>58.333333333333336</v>
      </c>
      <c r="F16" s="10">
        <f t="shared" si="7"/>
        <v>58.333333333333336</v>
      </c>
      <c r="G16" s="10">
        <f t="shared" si="7"/>
        <v>58.333333333333336</v>
      </c>
      <c r="H16" s="10">
        <f t="shared" si="7"/>
        <v>58.333333333333336</v>
      </c>
      <c r="I16" s="9">
        <f t="shared" si="2"/>
        <v>350</v>
      </c>
    </row>
    <row r="17" spans="1:9" x14ac:dyDescent="0.3">
      <c r="A17" s="4" t="s">
        <v>682</v>
      </c>
      <c r="B17" s="4" t="s">
        <v>218</v>
      </c>
      <c r="C17" s="10">
        <f t="shared" ref="C17:H17" si="8">capex_integration/6</f>
        <v>66.666666666666671</v>
      </c>
      <c r="D17" s="10">
        <f t="shared" si="8"/>
        <v>66.666666666666671</v>
      </c>
      <c r="E17" s="10">
        <f t="shared" si="8"/>
        <v>66.666666666666671</v>
      </c>
      <c r="F17" s="10">
        <f t="shared" si="8"/>
        <v>66.666666666666671</v>
      </c>
      <c r="G17" s="10">
        <f t="shared" si="8"/>
        <v>66.666666666666671</v>
      </c>
      <c r="H17" s="10">
        <f t="shared" si="8"/>
        <v>66.666666666666671</v>
      </c>
      <c r="I17" s="9">
        <f t="shared" si="2"/>
        <v>400.00000000000006</v>
      </c>
    </row>
    <row r="18" spans="1:9" x14ac:dyDescent="0.3">
      <c r="A18" s="4" t="s">
        <v>683</v>
      </c>
      <c r="B18" s="4" t="s">
        <v>218</v>
      </c>
      <c r="C18" s="10">
        <f t="shared" ref="C18:H18" si="9">capex_devops/6</f>
        <v>46.666666666666664</v>
      </c>
      <c r="D18" s="10">
        <f t="shared" si="9"/>
        <v>46.666666666666664</v>
      </c>
      <c r="E18" s="10">
        <f t="shared" si="9"/>
        <v>46.666666666666664</v>
      </c>
      <c r="F18" s="10">
        <f t="shared" si="9"/>
        <v>46.666666666666664</v>
      </c>
      <c r="G18" s="10">
        <f t="shared" si="9"/>
        <v>46.666666666666664</v>
      </c>
      <c r="H18" s="10">
        <f t="shared" si="9"/>
        <v>46.666666666666664</v>
      </c>
      <c r="I18" s="9">
        <f t="shared" si="2"/>
        <v>280</v>
      </c>
    </row>
    <row r="19" spans="1:9" x14ac:dyDescent="0.3">
      <c r="A19" s="4" t="s">
        <v>684</v>
      </c>
      <c r="B19" s="4" t="s">
        <v>218</v>
      </c>
      <c r="C19" s="10">
        <f t="shared" ref="C19:H19" si="10">capex_testing/6</f>
        <v>33.333333333333336</v>
      </c>
      <c r="D19" s="10">
        <f t="shared" si="10"/>
        <v>33.333333333333336</v>
      </c>
      <c r="E19" s="10">
        <f t="shared" si="10"/>
        <v>33.333333333333336</v>
      </c>
      <c r="F19" s="10">
        <f t="shared" si="10"/>
        <v>33.333333333333336</v>
      </c>
      <c r="G19" s="10">
        <f t="shared" si="10"/>
        <v>33.333333333333336</v>
      </c>
      <c r="H19" s="10">
        <f t="shared" si="10"/>
        <v>33.333333333333336</v>
      </c>
      <c r="I19" s="9">
        <f t="shared" si="2"/>
        <v>200.00000000000003</v>
      </c>
    </row>
    <row r="20" spans="1:9" x14ac:dyDescent="0.3">
      <c r="A20" s="4" t="s">
        <v>492</v>
      </c>
      <c r="B20" s="4" t="s">
        <v>218</v>
      </c>
      <c r="C20" s="10">
        <f t="shared" ref="C20:H20" si="11">capex_contingency/6</f>
        <v>50</v>
      </c>
      <c r="D20" s="10">
        <f t="shared" si="11"/>
        <v>50</v>
      </c>
      <c r="E20" s="10">
        <f t="shared" si="11"/>
        <v>50</v>
      </c>
      <c r="F20" s="10">
        <f t="shared" si="11"/>
        <v>50</v>
      </c>
      <c r="G20" s="10">
        <f t="shared" si="11"/>
        <v>50</v>
      </c>
      <c r="H20" s="10">
        <f t="shared" si="11"/>
        <v>50</v>
      </c>
      <c r="I20" s="9">
        <f t="shared" si="2"/>
        <v>300</v>
      </c>
    </row>
    <row r="21" spans="1:9" x14ac:dyDescent="0.3">
      <c r="A21" s="4" t="s">
        <v>480</v>
      </c>
      <c r="C21" s="9">
        <f t="shared" ref="C21:H21" si="12">SUM(C11:C20)</f>
        <v>880</v>
      </c>
      <c r="D21" s="9">
        <f t="shared" si="12"/>
        <v>880</v>
      </c>
      <c r="E21" s="9">
        <f t="shared" si="12"/>
        <v>880</v>
      </c>
      <c r="F21" s="9">
        <f t="shared" si="12"/>
        <v>880</v>
      </c>
      <c r="G21" s="9">
        <f t="shared" si="12"/>
        <v>880</v>
      </c>
      <c r="H21" s="9">
        <f t="shared" si="12"/>
        <v>880</v>
      </c>
      <c r="I21" s="9">
        <f t="shared" si="2"/>
        <v>5280</v>
      </c>
    </row>
    <row r="23" spans="1:9" x14ac:dyDescent="0.3">
      <c r="A23" s="30" t="s">
        <v>113</v>
      </c>
      <c r="C23" s="11"/>
      <c r="D23" s="11"/>
      <c r="E23" s="11"/>
      <c r="F23" s="11"/>
      <c r="G23" s="11"/>
      <c r="H23" s="11"/>
      <c r="I23" s="11"/>
    </row>
    <row r="24" spans="1:9" x14ac:dyDescent="0.3">
      <c r="A24" s="4" t="s">
        <v>685</v>
      </c>
      <c r="B24" s="4" t="s">
        <v>218</v>
      </c>
      <c r="C24" s="10">
        <f t="shared" ref="C24:H24" si="13">salary_mgmt*2*(1+salary_escalation)^0*(1+bhxh_rate)</f>
        <v>109.35000000000001</v>
      </c>
      <c r="D24" s="10">
        <f t="shared" si="13"/>
        <v>109.35000000000001</v>
      </c>
      <c r="E24" s="10">
        <f t="shared" si="13"/>
        <v>109.35000000000001</v>
      </c>
      <c r="F24" s="10">
        <f t="shared" si="13"/>
        <v>109.35000000000001</v>
      </c>
      <c r="G24" s="10">
        <f t="shared" si="13"/>
        <v>109.35000000000001</v>
      </c>
      <c r="H24" s="10">
        <f t="shared" si="13"/>
        <v>109.35000000000001</v>
      </c>
      <c r="I24" s="9">
        <f t="shared" ref="I24:I39" si="14">SUM(C24:H24)</f>
        <v>656.1</v>
      </c>
    </row>
    <row r="25" spans="1:9" x14ac:dyDescent="0.3">
      <c r="A25" s="4" t="s">
        <v>686</v>
      </c>
      <c r="B25" s="4" t="s">
        <v>218</v>
      </c>
      <c r="C25" s="10">
        <f t="shared" ref="C25:H25" si="15">salary_dev*12*(1+salary_escalation)^0*(1+bhxh_rate)</f>
        <v>510.3</v>
      </c>
      <c r="D25" s="10">
        <f t="shared" si="15"/>
        <v>510.3</v>
      </c>
      <c r="E25" s="10">
        <f t="shared" si="15"/>
        <v>510.3</v>
      </c>
      <c r="F25" s="10">
        <f t="shared" si="15"/>
        <v>510.3</v>
      </c>
      <c r="G25" s="10">
        <f t="shared" si="15"/>
        <v>510.3</v>
      </c>
      <c r="H25" s="10">
        <f t="shared" si="15"/>
        <v>510.3</v>
      </c>
      <c r="I25" s="9">
        <f t="shared" si="14"/>
        <v>3061.8</v>
      </c>
    </row>
    <row r="26" spans="1:9" x14ac:dyDescent="0.3">
      <c r="A26" s="4" t="s">
        <v>687</v>
      </c>
      <c r="B26" s="4" t="s">
        <v>218</v>
      </c>
      <c r="C26" s="10">
        <f t="shared" ref="C26:H26" si="16">salary_bizops*2*(1+salary_escalation)^0*(1+bhxh_rate)</f>
        <v>48.6</v>
      </c>
      <c r="D26" s="10">
        <f t="shared" si="16"/>
        <v>48.6</v>
      </c>
      <c r="E26" s="10">
        <f t="shared" si="16"/>
        <v>48.6</v>
      </c>
      <c r="F26" s="10">
        <f t="shared" si="16"/>
        <v>48.6</v>
      </c>
      <c r="G26" s="10">
        <f t="shared" si="16"/>
        <v>48.6</v>
      </c>
      <c r="H26" s="10">
        <f t="shared" si="16"/>
        <v>48.6</v>
      </c>
      <c r="I26" s="9">
        <f t="shared" si="14"/>
        <v>291.60000000000002</v>
      </c>
    </row>
    <row r="27" spans="1:9" x14ac:dyDescent="0.3">
      <c r="A27" s="4" t="s">
        <v>688</v>
      </c>
      <c r="B27" s="4" t="s">
        <v>218</v>
      </c>
      <c r="C27" s="10">
        <f>16*30*12*recruit_cost_pct</f>
        <v>1152</v>
      </c>
      <c r="D27" s="10">
        <f>0</f>
        <v>0</v>
      </c>
      <c r="E27" s="10">
        <f>0</f>
        <v>0</v>
      </c>
      <c r="F27" s="10">
        <f>0</f>
        <v>0</v>
      </c>
      <c r="G27" s="10">
        <f>0</f>
        <v>0</v>
      </c>
      <c r="H27" s="10">
        <f>0</f>
        <v>0</v>
      </c>
      <c r="I27" s="9">
        <f t="shared" si="14"/>
        <v>1152</v>
      </c>
    </row>
    <row r="28" spans="1:9" x14ac:dyDescent="0.3">
      <c r="A28" s="4" t="s">
        <v>482</v>
      </c>
      <c r="B28" s="4" t="s">
        <v>218</v>
      </c>
      <c r="C28" s="10">
        <f t="shared" ref="C28:H28" si="17">opex_marketing*(1+marketing_growth)^0/12</f>
        <v>583.33333333333337</v>
      </c>
      <c r="D28" s="10">
        <f t="shared" si="17"/>
        <v>583.33333333333337</v>
      </c>
      <c r="E28" s="10">
        <f t="shared" si="17"/>
        <v>583.33333333333337</v>
      </c>
      <c r="F28" s="10">
        <f t="shared" si="17"/>
        <v>583.33333333333337</v>
      </c>
      <c r="G28" s="10">
        <f t="shared" si="17"/>
        <v>583.33333333333337</v>
      </c>
      <c r="H28" s="10">
        <f t="shared" si="17"/>
        <v>583.33333333333337</v>
      </c>
      <c r="I28" s="9">
        <f t="shared" si="14"/>
        <v>3500.0000000000005</v>
      </c>
    </row>
    <row r="29" spans="1:9" x14ac:dyDescent="0.3">
      <c r="A29" s="4" t="s">
        <v>689</v>
      </c>
      <c r="B29" s="4" t="s">
        <v>218</v>
      </c>
      <c r="C29" s="10">
        <f t="shared" ref="C29:H29" si="18">opex_branding/12</f>
        <v>333.33333333333331</v>
      </c>
      <c r="D29" s="10">
        <f t="shared" si="18"/>
        <v>333.33333333333331</v>
      </c>
      <c r="E29" s="10">
        <f t="shared" si="18"/>
        <v>333.33333333333331</v>
      </c>
      <c r="F29" s="10">
        <f t="shared" si="18"/>
        <v>333.33333333333331</v>
      </c>
      <c r="G29" s="10">
        <f t="shared" si="18"/>
        <v>333.33333333333331</v>
      </c>
      <c r="H29" s="10">
        <f t="shared" si="18"/>
        <v>333.33333333333331</v>
      </c>
      <c r="I29" s="9">
        <f t="shared" si="14"/>
        <v>1999.9999999999998</v>
      </c>
    </row>
    <row r="30" spans="1:9" x14ac:dyDescent="0.3">
      <c r="A30" s="4" t="s">
        <v>690</v>
      </c>
      <c r="B30" s="4" t="s">
        <v>218</v>
      </c>
      <c r="C30" s="10">
        <f t="shared" ref="C30:H30" si="19">opex_cloud_base/12</f>
        <v>270.83333333333331</v>
      </c>
      <c r="D30" s="10">
        <f t="shared" si="19"/>
        <v>270.83333333333331</v>
      </c>
      <c r="E30" s="10">
        <f t="shared" si="19"/>
        <v>270.83333333333331</v>
      </c>
      <c r="F30" s="10">
        <f t="shared" si="19"/>
        <v>270.83333333333331</v>
      </c>
      <c r="G30" s="10">
        <f t="shared" si="19"/>
        <v>270.83333333333331</v>
      </c>
      <c r="H30" s="10">
        <f t="shared" si="19"/>
        <v>270.83333333333331</v>
      </c>
      <c r="I30" s="9">
        <f t="shared" si="14"/>
        <v>1624.9999999999998</v>
      </c>
    </row>
    <row r="31" spans="1:9" x14ac:dyDescent="0.3">
      <c r="A31" s="4" t="s">
        <v>485</v>
      </c>
      <c r="B31" s="4" t="s">
        <v>218</v>
      </c>
      <c r="C31" s="10">
        <f t="shared" ref="C31:H31" si="20">opex_security/12</f>
        <v>20.833333333333332</v>
      </c>
      <c r="D31" s="10">
        <f t="shared" si="20"/>
        <v>20.833333333333332</v>
      </c>
      <c r="E31" s="10">
        <f t="shared" si="20"/>
        <v>20.833333333333332</v>
      </c>
      <c r="F31" s="10">
        <f t="shared" si="20"/>
        <v>20.833333333333332</v>
      </c>
      <c r="G31" s="10">
        <f t="shared" si="20"/>
        <v>20.833333333333332</v>
      </c>
      <c r="H31" s="10">
        <f t="shared" si="20"/>
        <v>20.833333333333332</v>
      </c>
      <c r="I31" s="9">
        <f t="shared" si="14"/>
        <v>124.99999999999999</v>
      </c>
    </row>
    <row r="32" spans="1:9" x14ac:dyDescent="0.3">
      <c r="A32" s="4" t="s">
        <v>691</v>
      </c>
      <c r="B32" s="4" t="s">
        <v>218</v>
      </c>
      <c r="C32" s="10">
        <f t="shared" ref="C32:H32" si="21">opex_external/12</f>
        <v>33.333333333333336</v>
      </c>
      <c r="D32" s="10">
        <f t="shared" si="21"/>
        <v>33.333333333333336</v>
      </c>
      <c r="E32" s="10">
        <f t="shared" si="21"/>
        <v>33.333333333333336</v>
      </c>
      <c r="F32" s="10">
        <f t="shared" si="21"/>
        <v>33.333333333333336</v>
      </c>
      <c r="G32" s="10">
        <f t="shared" si="21"/>
        <v>33.333333333333336</v>
      </c>
      <c r="H32" s="10">
        <f t="shared" si="21"/>
        <v>33.333333333333336</v>
      </c>
      <c r="I32" s="9">
        <f t="shared" si="14"/>
        <v>200.00000000000003</v>
      </c>
    </row>
    <row r="33" spans="1:9" x14ac:dyDescent="0.3">
      <c r="A33" s="4" t="s">
        <v>692</v>
      </c>
      <c r="B33" s="4" t="s">
        <v>218</v>
      </c>
      <c r="C33" s="10">
        <f t="shared" ref="C33:H33" si="22">opex_legal/12</f>
        <v>20</v>
      </c>
      <c r="D33" s="10">
        <f t="shared" si="22"/>
        <v>20</v>
      </c>
      <c r="E33" s="10">
        <f t="shared" si="22"/>
        <v>20</v>
      </c>
      <c r="F33" s="10">
        <f t="shared" si="22"/>
        <v>20</v>
      </c>
      <c r="G33" s="10">
        <f t="shared" si="22"/>
        <v>20</v>
      </c>
      <c r="H33" s="10">
        <f t="shared" si="22"/>
        <v>20</v>
      </c>
      <c r="I33" s="9">
        <f t="shared" si="14"/>
        <v>120</v>
      </c>
    </row>
    <row r="34" spans="1:9" x14ac:dyDescent="0.3">
      <c r="A34" s="4" t="s">
        <v>489</v>
      </c>
      <c r="B34" s="4" t="s">
        <v>218</v>
      </c>
      <c r="C34" s="10">
        <f t="shared" ref="C34:H34" si="23">opex_partner_mgmt/12</f>
        <v>41.666666666666664</v>
      </c>
      <c r="D34" s="10">
        <f t="shared" si="23"/>
        <v>41.666666666666664</v>
      </c>
      <c r="E34" s="10">
        <f t="shared" si="23"/>
        <v>41.666666666666664</v>
      </c>
      <c r="F34" s="10">
        <f t="shared" si="23"/>
        <v>41.666666666666664</v>
      </c>
      <c r="G34" s="10">
        <f t="shared" si="23"/>
        <v>41.666666666666664</v>
      </c>
      <c r="H34" s="10">
        <f t="shared" si="23"/>
        <v>41.666666666666664</v>
      </c>
      <c r="I34" s="9">
        <f t="shared" si="14"/>
        <v>249.99999999999997</v>
      </c>
    </row>
    <row r="35" spans="1:9" x14ac:dyDescent="0.3">
      <c r="A35" s="4" t="s">
        <v>693</v>
      </c>
      <c r="B35" s="4" t="s">
        <v>218</v>
      </c>
      <c r="C35" s="10">
        <f t="shared" ref="C35:H35" si="24">opex_pilot_eval/6</f>
        <v>33.333333333333336</v>
      </c>
      <c r="D35" s="10">
        <f t="shared" si="24"/>
        <v>33.333333333333336</v>
      </c>
      <c r="E35" s="10">
        <f t="shared" si="24"/>
        <v>33.333333333333336</v>
      </c>
      <c r="F35" s="10">
        <f t="shared" si="24"/>
        <v>33.333333333333336</v>
      </c>
      <c r="G35" s="10">
        <f t="shared" si="24"/>
        <v>33.333333333333336</v>
      </c>
      <c r="H35" s="10">
        <f t="shared" si="24"/>
        <v>33.333333333333336</v>
      </c>
      <c r="I35" s="9">
        <f t="shared" si="14"/>
        <v>200.00000000000003</v>
      </c>
    </row>
    <row r="36" spans="1:9" x14ac:dyDescent="0.3">
      <c r="A36" s="4" t="s">
        <v>490</v>
      </c>
      <c r="B36" s="4" t="s">
        <v>218</v>
      </c>
      <c r="C36" s="10">
        <f>MAX(pilot_count,adoption_max/(1+EXP(-adoption_steepness*(2025.542-adoption_midpoint))))*opex_support_per_ent/12</f>
        <v>19.732052450719213</v>
      </c>
      <c r="D36" s="10">
        <f>MAX(pilot_count,adoption_max/(1+EXP(-adoption_steepness*(2025.625-adoption_midpoint))))*opex_support_per_ent/12</f>
        <v>21.101018271890709</v>
      </c>
      <c r="E36" s="10">
        <f>MAX(pilot_count,adoption_max/(1+EXP(-adoption_steepness*(2025.708-adoption_midpoint))))*opex_support_per_ent/12</f>
        <v>22.553077597862185</v>
      </c>
      <c r="F36" s="10">
        <f>MAX(pilot_count,adoption_max/(1+EXP(-adoption_steepness*(2025.792-adoption_midpoint))))*opex_support_per_ent/12</f>
        <v>24.110680799901427</v>
      </c>
      <c r="G36" s="10">
        <f>MAX(pilot_count,adoption_max/(1+EXP(-adoption_steepness*(2025.875-adoption_midpoint))))*opex_support_per_ent/12</f>
        <v>25.740050116789792</v>
      </c>
      <c r="H36" s="10">
        <f>MAX(pilot_count,adoption_max/(1+EXP(-adoption_steepness*(2025.958-adoption_midpoint))))*opex_support_per_ent/12</f>
        <v>27.462338102712803</v>
      </c>
      <c r="I36" s="9">
        <f t="shared" si="14"/>
        <v>140.69921733987613</v>
      </c>
    </row>
    <row r="37" spans="1:9" x14ac:dyDescent="0.3">
      <c r="A37" s="4" t="s">
        <v>491</v>
      </c>
      <c r="C37" s="9">
        <f t="shared" ref="C37:H37" si="25">SUM(C24:C36)</f>
        <v>3176.6487191173865</v>
      </c>
      <c r="D37" s="9">
        <f t="shared" si="25"/>
        <v>2026.0176849385573</v>
      </c>
      <c r="E37" s="9">
        <f t="shared" si="25"/>
        <v>2027.4697442645288</v>
      </c>
      <c r="F37" s="9">
        <f t="shared" si="25"/>
        <v>2029.027347466568</v>
      </c>
      <c r="G37" s="9">
        <f t="shared" si="25"/>
        <v>2030.6567167834562</v>
      </c>
      <c r="H37" s="9">
        <f t="shared" si="25"/>
        <v>2032.3790047693792</v>
      </c>
      <c r="I37" s="9">
        <f t="shared" si="14"/>
        <v>13322.199217339876</v>
      </c>
    </row>
    <row r="38" spans="1:9" x14ac:dyDescent="0.3">
      <c r="A38" s="4" t="s">
        <v>492</v>
      </c>
      <c r="B38" s="4" t="s">
        <v>218</v>
      </c>
      <c r="C38" s="10">
        <f t="shared" ref="C38:H38" si="26">C37*opex_contingency_pct</f>
        <v>317.66487191173866</v>
      </c>
      <c r="D38" s="10">
        <f t="shared" si="26"/>
        <v>202.60176849385573</v>
      </c>
      <c r="E38" s="10">
        <f t="shared" si="26"/>
        <v>202.74697442645288</v>
      </c>
      <c r="F38" s="10">
        <f t="shared" si="26"/>
        <v>202.90273474665682</v>
      </c>
      <c r="G38" s="10">
        <f t="shared" si="26"/>
        <v>203.06567167834564</v>
      </c>
      <c r="H38" s="10">
        <f t="shared" si="26"/>
        <v>203.23790047693794</v>
      </c>
      <c r="I38" s="9">
        <f t="shared" si="14"/>
        <v>1332.2199217339878</v>
      </c>
    </row>
    <row r="39" spans="1:9" x14ac:dyDescent="0.3">
      <c r="A39" s="4" t="s">
        <v>493</v>
      </c>
      <c r="C39" s="9">
        <f t="shared" ref="C39:H39" si="27">C37+C38</f>
        <v>3494.3135910291253</v>
      </c>
      <c r="D39" s="9">
        <f t="shared" si="27"/>
        <v>2228.6194534324131</v>
      </c>
      <c r="E39" s="9">
        <f t="shared" si="27"/>
        <v>2230.2167186909819</v>
      </c>
      <c r="F39" s="9">
        <f t="shared" si="27"/>
        <v>2231.930082213225</v>
      </c>
      <c r="G39" s="9">
        <f t="shared" si="27"/>
        <v>2233.722388461802</v>
      </c>
      <c r="H39" s="9">
        <f t="shared" si="27"/>
        <v>2235.6169052463169</v>
      </c>
      <c r="I39" s="9">
        <f t="shared" si="14"/>
        <v>14654.419139073865</v>
      </c>
    </row>
    <row r="41" spans="1:9" x14ac:dyDescent="0.3">
      <c r="A41" s="30" t="s">
        <v>694</v>
      </c>
      <c r="C41" s="11"/>
      <c r="D41" s="11"/>
      <c r="E41" s="11"/>
      <c r="F41" s="11"/>
      <c r="G41" s="11"/>
      <c r="H41" s="11"/>
      <c r="I41" s="11"/>
    </row>
    <row r="42" spans="1:9" x14ac:dyDescent="0.3">
      <c r="A42" s="4" t="s">
        <v>496</v>
      </c>
      <c r="C42" s="10">
        <f t="shared" ref="C42:H42" si="28">C8</f>
        <v>389.70803590170442</v>
      </c>
      <c r="D42" s="10">
        <f t="shared" si="28"/>
        <v>416.74511086984154</v>
      </c>
      <c r="E42" s="10">
        <f t="shared" si="28"/>
        <v>445.42328255777812</v>
      </c>
      <c r="F42" s="10">
        <f t="shared" si="28"/>
        <v>476.18594579805313</v>
      </c>
      <c r="G42" s="10">
        <f t="shared" si="28"/>
        <v>508.36598980659846</v>
      </c>
      <c r="H42" s="10">
        <f t="shared" si="28"/>
        <v>542.38117752857784</v>
      </c>
      <c r="I42" s="9">
        <f>SUM(C42:H42)</f>
        <v>2778.8095424625535</v>
      </c>
    </row>
    <row r="43" spans="1:9" x14ac:dyDescent="0.3">
      <c r="A43" s="4" t="s">
        <v>110</v>
      </c>
      <c r="C43" s="10">
        <f t="shared" ref="C43:H43" si="29">C21</f>
        <v>880</v>
      </c>
      <c r="D43" s="10">
        <f t="shared" si="29"/>
        <v>880</v>
      </c>
      <c r="E43" s="10">
        <f t="shared" si="29"/>
        <v>880</v>
      </c>
      <c r="F43" s="10">
        <f t="shared" si="29"/>
        <v>880</v>
      </c>
      <c r="G43" s="10">
        <f t="shared" si="29"/>
        <v>880</v>
      </c>
      <c r="H43" s="10">
        <f t="shared" si="29"/>
        <v>880</v>
      </c>
      <c r="I43" s="9">
        <f>SUM(C43:H43)</f>
        <v>5280</v>
      </c>
    </row>
    <row r="44" spans="1:9" x14ac:dyDescent="0.3">
      <c r="A44" s="4" t="s">
        <v>113</v>
      </c>
      <c r="C44" s="10">
        <f t="shared" ref="C44:H44" si="30">C39</f>
        <v>3494.3135910291253</v>
      </c>
      <c r="D44" s="10">
        <f t="shared" si="30"/>
        <v>2228.6194534324131</v>
      </c>
      <c r="E44" s="10">
        <f t="shared" si="30"/>
        <v>2230.2167186909819</v>
      </c>
      <c r="F44" s="10">
        <f t="shared" si="30"/>
        <v>2231.930082213225</v>
      </c>
      <c r="G44" s="10">
        <f t="shared" si="30"/>
        <v>2233.722388461802</v>
      </c>
      <c r="H44" s="10">
        <f t="shared" si="30"/>
        <v>2235.6169052463169</v>
      </c>
      <c r="I44" s="9">
        <f>SUM(C44:H44)</f>
        <v>14654.419139073865</v>
      </c>
    </row>
    <row r="45" spans="1:9" x14ac:dyDescent="0.3">
      <c r="A45" s="4" t="s">
        <v>695</v>
      </c>
      <c r="C45" s="9">
        <f t="shared" ref="C45:H45" si="31">C43+C44</f>
        <v>4374.3135910291257</v>
      </c>
      <c r="D45" s="9">
        <f t="shared" si="31"/>
        <v>3108.6194534324131</v>
      </c>
      <c r="E45" s="9">
        <f t="shared" si="31"/>
        <v>3110.2167186909819</v>
      </c>
      <c r="F45" s="9">
        <f t="shared" si="31"/>
        <v>3111.930082213225</v>
      </c>
      <c r="G45" s="9">
        <f t="shared" si="31"/>
        <v>3113.722388461802</v>
      </c>
      <c r="H45" s="9">
        <f t="shared" si="31"/>
        <v>3115.6169052463169</v>
      </c>
      <c r="I45" s="9">
        <f>SUM(C45:H45)</f>
        <v>19934.419139073863</v>
      </c>
    </row>
    <row r="46" spans="1:9" x14ac:dyDescent="0.3">
      <c r="A46" s="4" t="s">
        <v>696</v>
      </c>
      <c r="C46" s="9">
        <f t="shared" ref="C46:H46" si="32">C42-C45</f>
        <v>-3984.6055551274212</v>
      </c>
      <c r="D46" s="9">
        <f t="shared" si="32"/>
        <v>-2691.8743425625717</v>
      </c>
      <c r="E46" s="9">
        <f t="shared" si="32"/>
        <v>-2664.7934361332036</v>
      </c>
      <c r="F46" s="9">
        <f t="shared" si="32"/>
        <v>-2635.7441364151719</v>
      </c>
      <c r="G46" s="9">
        <f t="shared" si="32"/>
        <v>-2605.3563986552035</v>
      </c>
      <c r="H46" s="9">
        <f t="shared" si="32"/>
        <v>-2573.2357277177389</v>
      </c>
      <c r="I46" s="9">
        <f>SUM(C46:H46)</f>
        <v>-17155.60959661131</v>
      </c>
    </row>
    <row r="47" spans="1:9" x14ac:dyDescent="0.3">
      <c r="A47" s="4" t="s">
        <v>697</v>
      </c>
      <c r="C47" s="10">
        <f>C46</f>
        <v>-3984.6055551274212</v>
      </c>
      <c r="D47" s="10">
        <f>C47+D46</f>
        <v>-6676.4798976899929</v>
      </c>
      <c r="E47" s="10">
        <f>D47+E46</f>
        <v>-9341.2733338231956</v>
      </c>
      <c r="F47" s="10">
        <f>E47+F46</f>
        <v>-11977.017470238367</v>
      </c>
      <c r="G47" s="10">
        <f>F47+G46</f>
        <v>-14582.37386889357</v>
      </c>
      <c r="H47" s="10">
        <f>G47+H46</f>
        <v>-17155.60959661131</v>
      </c>
      <c r="I47" s="9">
        <f>H47</f>
        <v>-17155.60959661131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4472C4"/>
  </sheetPr>
  <dimension ref="A1:O38"/>
  <sheetViews>
    <sheetView workbookViewId="0"/>
  </sheetViews>
  <sheetFormatPr defaultRowHeight="14.4" x14ac:dyDescent="0.3"/>
  <cols>
    <col min="1" max="1" width="35" style="29" customWidth="1"/>
    <col min="2" max="14" width="12" style="29" customWidth="1"/>
    <col min="15" max="15" width="14" style="29" customWidth="1"/>
  </cols>
  <sheetData>
    <row r="1" spans="1:15" x14ac:dyDescent="0.3">
      <c r="A1" s="30" t="s">
        <v>698</v>
      </c>
    </row>
    <row r="3" spans="1:15" x14ac:dyDescent="0.3">
      <c r="A3" s="3" t="s">
        <v>463</v>
      </c>
      <c r="B3" s="3" t="s">
        <v>188</v>
      </c>
      <c r="C3" s="3" t="s">
        <v>699</v>
      </c>
      <c r="D3" s="3" t="s">
        <v>700</v>
      </c>
      <c r="E3" s="3" t="s">
        <v>701</v>
      </c>
      <c r="F3" s="3" t="s">
        <v>702</v>
      </c>
      <c r="G3" s="3" t="s">
        <v>703</v>
      </c>
      <c r="H3" s="3" t="s">
        <v>704</v>
      </c>
      <c r="I3" s="3" t="s">
        <v>667</v>
      </c>
      <c r="J3" s="3" t="s">
        <v>668</v>
      </c>
      <c r="K3" s="3" t="s">
        <v>669</v>
      </c>
      <c r="L3" s="3" t="s">
        <v>670</v>
      </c>
      <c r="M3" s="3" t="s">
        <v>671</v>
      </c>
      <c r="N3" s="3" t="s">
        <v>672</v>
      </c>
      <c r="O3" s="3" t="s">
        <v>673</v>
      </c>
    </row>
    <row r="4" spans="1:15" x14ac:dyDescent="0.3">
      <c r="A4" s="30" t="s">
        <v>674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</row>
    <row r="5" spans="1:15" x14ac:dyDescent="0.3">
      <c r="A5" s="4" t="s">
        <v>675</v>
      </c>
      <c r="B5" s="4" t="s">
        <v>218</v>
      </c>
      <c r="C5" s="10">
        <f>MAX(pilot_count,adoption_max/(1+EXP(-adoption_steepness*(2026.042-adoption_midpoint))))*cert_fee_yr1*(1+cert_fee_escalation)^1/12</f>
        <v>384.60192590968603</v>
      </c>
      <c r="D5" s="10">
        <f>MAX(pilot_count,adoption_max/(1+EXP(-adoption_steepness*(2026.125-adoption_midpoint))))*cert_fee_yr1*(1+cert_fee_escalation)^1/12</f>
        <v>409.77535579432566</v>
      </c>
      <c r="E5" s="10">
        <f>MAX(pilot_count,adoption_max/(1+EXP(-adoption_steepness*(2026.208-adoption_midpoint))))*cert_fee_yr1*(1+cert_fee_escalation)^1/12</f>
        <v>436.2756122279302</v>
      </c>
      <c r="F5" s="10">
        <f>MAX(pilot_count,adoption_max/(1+EXP(-adoption_steepness*(2026.292-adoption_midpoint))))*cert_fee_yr1*(1+cert_fee_escalation)^1/12</f>
        <v>464.47453789182367</v>
      </c>
      <c r="G5" s="10">
        <f>MAX(pilot_count,adoption_max/(1+EXP(-adoption_steepness*(2026.375-adoption_midpoint))))*cert_fee_yr1*(1+cert_fee_escalation)^1/12</f>
        <v>493.72379306313411</v>
      </c>
      <c r="H5" s="10">
        <f>MAX(pilot_count,adoption_max/(1+EXP(-adoption_steepness*(2026.458-adoption_midpoint))))*cert_fee_yr1*(1+cert_fee_escalation)^1/12</f>
        <v>524.36791729628214</v>
      </c>
      <c r="I5" s="10">
        <f>MAX(pilot_count,adoption_max/(1+EXP(-adoption_steepness*(2026.542-adoption_midpoint))))*cert_fee_yr1*(1+cert_fee_escalation)^1/12</f>
        <v>556.81221060976191</v>
      </c>
      <c r="J5" s="10">
        <f>MAX(pilot_count,adoption_max/(1+EXP(-adoption_steepness*(2026.625-adoption_midpoint))))*cert_fee_yr1*(1+cert_fee_escalation)^1/12</f>
        <v>590.28754754193926</v>
      </c>
      <c r="K5" s="10">
        <f>MAX(pilot_count,adoption_max/(1+EXP(-adoption_steepness*(2026.708-adoption_midpoint))))*cert_fee_yr1*(1+cert_fee_escalation)^1/12</f>
        <v>625.16706763670902</v>
      </c>
      <c r="L5" s="10">
        <f>MAX(pilot_count,adoption_max/(1+EXP(-adoption_steepness*(2026.792-adoption_midpoint))))*cert_fee_yr1*(1+cert_fee_escalation)^1/12</f>
        <v>661.88299603619885</v>
      </c>
      <c r="M5" s="10">
        <f>MAX(pilot_count,adoption_max/(1+EXP(-adoption_steepness*(2026.875-adoption_midpoint))))*cert_fee_yr1*(1+cert_fee_escalation)^1/12</f>
        <v>699.53856482926403</v>
      </c>
      <c r="N5" s="10">
        <f>MAX(pilot_count,adoption_max/(1+EXP(-adoption_steepness*(2026.958-adoption_midpoint))))*cert_fee_yr1*(1+cert_fee_escalation)^1/12</f>
        <v>738.53048445801824</v>
      </c>
      <c r="O5" s="9">
        <f>SUM(C5:N5)</f>
        <v>6585.4380132950737</v>
      </c>
    </row>
    <row r="6" spans="1:15" x14ac:dyDescent="0.3">
      <c r="A6" s="4" t="s">
        <v>466</v>
      </c>
      <c r="B6" s="4" t="s">
        <v>218</v>
      </c>
      <c r="C6" s="10">
        <f>MAX(pilot_count,adoption_max/(1+EXP(-adoption_steepness*(2026.042-adoption_midpoint))))*training_pct*training_fee/12</f>
        <v>65.931758727374742</v>
      </c>
      <c r="D6" s="10">
        <f>MAX(pilot_count,adoption_max/(1+EXP(-adoption_steepness*(2026.125-adoption_midpoint))))*training_pct*training_fee/12</f>
        <v>70.247203850455833</v>
      </c>
      <c r="E6" s="10">
        <f>MAX(pilot_count,adoption_max/(1+EXP(-adoption_steepness*(2026.208-adoption_midpoint))))*training_pct*training_fee/12</f>
        <v>74.79010495335946</v>
      </c>
      <c r="F6" s="10">
        <f>MAX(pilot_count,adoption_max/(1+EXP(-adoption_steepness*(2026.292-adoption_midpoint))))*training_pct*training_fee/12</f>
        <v>79.624206495741191</v>
      </c>
      <c r="G6" s="10">
        <f>MAX(pilot_count,adoption_max/(1+EXP(-adoption_steepness*(2026.375-adoption_midpoint))))*training_pct*training_fee/12</f>
        <v>84.638364525108699</v>
      </c>
      <c r="H6" s="10">
        <f>MAX(pilot_count,adoption_max/(1+EXP(-adoption_steepness*(2026.458-adoption_midpoint))))*training_pct*training_fee/12</f>
        <v>89.89164296507694</v>
      </c>
      <c r="I6" s="10">
        <f>MAX(pilot_count,adoption_max/(1+EXP(-adoption_steepness*(2026.542-adoption_midpoint))))*training_pct*training_fee/12</f>
        <v>95.453521818816299</v>
      </c>
      <c r="J6" s="10">
        <f>MAX(pilot_count,adoption_max/(1+EXP(-adoption_steepness*(2026.625-adoption_midpoint))))*training_pct*training_fee/12</f>
        <v>101.19215100718959</v>
      </c>
      <c r="K6" s="10">
        <f>MAX(pilot_count,adoption_max/(1+EXP(-adoption_steepness*(2026.708-adoption_midpoint))))*training_pct*training_fee/12</f>
        <v>107.1714973091501</v>
      </c>
      <c r="L6" s="10">
        <f>MAX(pilot_count,adoption_max/(1+EXP(-adoption_steepness*(2026.792-adoption_midpoint))))*training_pct*training_fee/12</f>
        <v>113.46565646334837</v>
      </c>
      <c r="M6" s="10">
        <f>MAX(pilot_count,adoption_max/(1+EXP(-adoption_steepness*(2026.875-adoption_midpoint))))*training_pct*training_fee/12</f>
        <v>119.92089682787382</v>
      </c>
      <c r="N6" s="10">
        <f>MAX(pilot_count,adoption_max/(1+EXP(-adoption_steepness*(2026.958-adoption_midpoint))))*training_pct*training_fee/12</f>
        <v>126.60522590708881</v>
      </c>
      <c r="O6" s="9">
        <f>SUM(C6:N6)</f>
        <v>1128.9322308505839</v>
      </c>
    </row>
    <row r="7" spans="1:15" x14ac:dyDescent="0.3">
      <c r="A7" s="4" t="s">
        <v>676</v>
      </c>
      <c r="B7" s="4" t="s">
        <v>218</v>
      </c>
      <c r="C7" s="10">
        <f>MAX(pilot_count,adoption_max/(1+EXP(-adoption_steepness*(2026.042-adoption_midpoint))))*audit_fee/12</f>
        <v>146.5150193941661</v>
      </c>
      <c r="D7" s="10">
        <f>MAX(pilot_count,adoption_max/(1+EXP(-adoption_steepness*(2026.125-adoption_midpoint))))*audit_fee/12</f>
        <v>156.1048974454574</v>
      </c>
      <c r="E7" s="10">
        <f>MAX(pilot_count,adoption_max/(1+EXP(-adoption_steepness*(2026.208-adoption_midpoint))))*audit_fee/12</f>
        <v>166.20023322968771</v>
      </c>
      <c r="F7" s="10">
        <f>MAX(pilot_count,adoption_max/(1+EXP(-adoption_steepness*(2026.292-adoption_midpoint))))*audit_fee/12</f>
        <v>176.94268110164708</v>
      </c>
      <c r="G7" s="10">
        <f>MAX(pilot_count,adoption_max/(1+EXP(-adoption_steepness*(2026.375-adoption_midpoint))))*audit_fee/12</f>
        <v>188.08525450024158</v>
      </c>
      <c r="H7" s="10">
        <f>MAX(pilot_count,adoption_max/(1+EXP(-adoption_steepness*(2026.458-adoption_midpoint))))*audit_fee/12</f>
        <v>199.75920658905989</v>
      </c>
      <c r="I7" s="10">
        <f>MAX(pilot_count,adoption_max/(1+EXP(-adoption_steepness*(2026.542-adoption_midpoint))))*audit_fee/12</f>
        <v>212.1189373751474</v>
      </c>
      <c r="J7" s="10">
        <f>MAX(pilot_count,adoption_max/(1+EXP(-adoption_steepness*(2026.625-adoption_midpoint))))*audit_fee/12</f>
        <v>224.87144668264355</v>
      </c>
      <c r="K7" s="10">
        <f>MAX(pilot_count,adoption_max/(1+EXP(-adoption_steepness*(2026.708-adoption_midpoint))))*audit_fee/12</f>
        <v>238.15888290922246</v>
      </c>
      <c r="L7" s="10">
        <f>MAX(pilot_count,adoption_max/(1+EXP(-adoption_steepness*(2026.792-adoption_midpoint))))*audit_fee/12</f>
        <v>252.14590325188524</v>
      </c>
      <c r="M7" s="10">
        <f>MAX(pilot_count,adoption_max/(1+EXP(-adoption_steepness*(2026.875-adoption_midpoint))))*audit_fee/12</f>
        <v>266.49088183971958</v>
      </c>
      <c r="N7" s="10">
        <f>MAX(pilot_count,adoption_max/(1+EXP(-adoption_steepness*(2026.958-adoption_midpoint))))*audit_fee/12</f>
        <v>281.34494646019738</v>
      </c>
      <c r="O7" s="9">
        <f>SUM(C7:N7)</f>
        <v>2508.7382907790752</v>
      </c>
    </row>
    <row r="8" spans="1:15" x14ac:dyDescent="0.3">
      <c r="A8" s="4" t="s">
        <v>474</v>
      </c>
      <c r="C8" s="9">
        <f t="shared" ref="C8:N8" si="0">SUM(C5:C7)</f>
        <v>597.04870403122686</v>
      </c>
      <c r="D8" s="9">
        <f t="shared" si="0"/>
        <v>636.12745709023886</v>
      </c>
      <c r="E8" s="9">
        <f t="shared" si="0"/>
        <v>677.26595041097733</v>
      </c>
      <c r="F8" s="9">
        <f t="shared" si="0"/>
        <v>721.04142548921197</v>
      </c>
      <c r="G8" s="9">
        <f t="shared" si="0"/>
        <v>766.44741208848438</v>
      </c>
      <c r="H8" s="9">
        <f t="shared" si="0"/>
        <v>814.01876685041896</v>
      </c>
      <c r="I8" s="9">
        <f t="shared" si="0"/>
        <v>864.38466980372561</v>
      </c>
      <c r="J8" s="9">
        <f t="shared" si="0"/>
        <v>916.35114523177242</v>
      </c>
      <c r="K8" s="9">
        <f t="shared" si="0"/>
        <v>970.49744785508165</v>
      </c>
      <c r="L8" s="9">
        <f t="shared" si="0"/>
        <v>1027.4945557514325</v>
      </c>
      <c r="M8" s="9">
        <f t="shared" si="0"/>
        <v>1085.9503434968574</v>
      </c>
      <c r="N8" s="9">
        <f t="shared" si="0"/>
        <v>1146.4806568253043</v>
      </c>
      <c r="O8" s="9">
        <f>SUM(C8:N8)</f>
        <v>10223.108534924733</v>
      </c>
    </row>
    <row r="10" spans="1:15" x14ac:dyDescent="0.3">
      <c r="A10" s="30" t="s">
        <v>110</v>
      </c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spans="1:15" x14ac:dyDescent="0.3">
      <c r="A11" s="4" t="s">
        <v>479</v>
      </c>
      <c r="B11" s="4" t="s">
        <v>218</v>
      </c>
      <c r="C11" s="10">
        <f t="shared" ref="C11:N11" si="1">capex_total*capex_maintenance_pct/12</f>
        <v>79.2</v>
      </c>
      <c r="D11" s="10">
        <f t="shared" si="1"/>
        <v>79.2</v>
      </c>
      <c r="E11" s="10">
        <f t="shared" si="1"/>
        <v>79.2</v>
      </c>
      <c r="F11" s="10">
        <f t="shared" si="1"/>
        <v>79.2</v>
      </c>
      <c r="G11" s="10">
        <f t="shared" si="1"/>
        <v>79.2</v>
      </c>
      <c r="H11" s="10">
        <f t="shared" si="1"/>
        <v>79.2</v>
      </c>
      <c r="I11" s="10">
        <f t="shared" si="1"/>
        <v>79.2</v>
      </c>
      <c r="J11" s="10">
        <f t="shared" si="1"/>
        <v>79.2</v>
      </c>
      <c r="K11" s="10">
        <f t="shared" si="1"/>
        <v>79.2</v>
      </c>
      <c r="L11" s="10">
        <f t="shared" si="1"/>
        <v>79.2</v>
      </c>
      <c r="M11" s="10">
        <f t="shared" si="1"/>
        <v>79.2</v>
      </c>
      <c r="N11" s="10">
        <f t="shared" si="1"/>
        <v>79.2</v>
      </c>
      <c r="O11" s="9">
        <f>SUM(C11:N11)</f>
        <v>950.4000000000002</v>
      </c>
    </row>
    <row r="12" spans="1:15" x14ac:dyDescent="0.3">
      <c r="A12" s="4" t="s">
        <v>480</v>
      </c>
      <c r="C12" s="9">
        <f t="shared" ref="C12:N12" si="2">SUM(C11:C11)</f>
        <v>79.2</v>
      </c>
      <c r="D12" s="9">
        <f t="shared" si="2"/>
        <v>79.2</v>
      </c>
      <c r="E12" s="9">
        <f t="shared" si="2"/>
        <v>79.2</v>
      </c>
      <c r="F12" s="9">
        <f t="shared" si="2"/>
        <v>79.2</v>
      </c>
      <c r="G12" s="9">
        <f t="shared" si="2"/>
        <v>79.2</v>
      </c>
      <c r="H12" s="9">
        <f t="shared" si="2"/>
        <v>79.2</v>
      </c>
      <c r="I12" s="9">
        <f t="shared" si="2"/>
        <v>79.2</v>
      </c>
      <c r="J12" s="9">
        <f t="shared" si="2"/>
        <v>79.2</v>
      </c>
      <c r="K12" s="9">
        <f t="shared" si="2"/>
        <v>79.2</v>
      </c>
      <c r="L12" s="9">
        <f t="shared" si="2"/>
        <v>79.2</v>
      </c>
      <c r="M12" s="9">
        <f t="shared" si="2"/>
        <v>79.2</v>
      </c>
      <c r="N12" s="9">
        <f t="shared" si="2"/>
        <v>79.2</v>
      </c>
      <c r="O12" s="9">
        <f>SUM(C12:N12)</f>
        <v>950.4000000000002</v>
      </c>
    </row>
    <row r="14" spans="1:15" x14ac:dyDescent="0.3">
      <c r="A14" s="30" t="s">
        <v>113</v>
      </c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spans="1:15" x14ac:dyDescent="0.3">
      <c r="A15" s="4" t="s">
        <v>685</v>
      </c>
      <c r="B15" s="4" t="s">
        <v>218</v>
      </c>
      <c r="C15" s="10">
        <f t="shared" ref="C15:N15" si="3">salary_mgmt*2*(1+salary_escalation)^1*(1+bhxh_rate)</f>
        <v>120.28500000000003</v>
      </c>
      <c r="D15" s="10">
        <f t="shared" si="3"/>
        <v>120.28500000000003</v>
      </c>
      <c r="E15" s="10">
        <f t="shared" si="3"/>
        <v>120.28500000000003</v>
      </c>
      <c r="F15" s="10">
        <f t="shared" si="3"/>
        <v>120.28500000000003</v>
      </c>
      <c r="G15" s="10">
        <f t="shared" si="3"/>
        <v>120.28500000000003</v>
      </c>
      <c r="H15" s="10">
        <f t="shared" si="3"/>
        <v>120.28500000000003</v>
      </c>
      <c r="I15" s="10">
        <f t="shared" si="3"/>
        <v>120.28500000000003</v>
      </c>
      <c r="J15" s="10">
        <f t="shared" si="3"/>
        <v>120.28500000000003</v>
      </c>
      <c r="K15" s="10">
        <f t="shared" si="3"/>
        <v>120.28500000000003</v>
      </c>
      <c r="L15" s="10">
        <f t="shared" si="3"/>
        <v>120.28500000000003</v>
      </c>
      <c r="M15" s="10">
        <f t="shared" si="3"/>
        <v>120.28500000000003</v>
      </c>
      <c r="N15" s="10">
        <f t="shared" si="3"/>
        <v>120.28500000000003</v>
      </c>
      <c r="O15" s="9">
        <f t="shared" ref="O15:O30" si="4">SUM(C15:N15)</f>
        <v>1443.4200000000008</v>
      </c>
    </row>
    <row r="16" spans="1:15" x14ac:dyDescent="0.3">
      <c r="A16" s="4" t="s">
        <v>686</v>
      </c>
      <c r="B16" s="4" t="s">
        <v>218</v>
      </c>
      <c r="C16" s="10">
        <f t="shared" ref="C16:N16" si="5">salary_dev*12*(1+salary_escalation)^1*(1+bhxh_rate)</f>
        <v>561.33000000000015</v>
      </c>
      <c r="D16" s="10">
        <f t="shared" si="5"/>
        <v>561.33000000000015</v>
      </c>
      <c r="E16" s="10">
        <f t="shared" si="5"/>
        <v>561.33000000000015</v>
      </c>
      <c r="F16" s="10">
        <f t="shared" si="5"/>
        <v>561.33000000000015</v>
      </c>
      <c r="G16" s="10">
        <f t="shared" si="5"/>
        <v>561.33000000000015</v>
      </c>
      <c r="H16" s="10">
        <f t="shared" si="5"/>
        <v>561.33000000000015</v>
      </c>
      <c r="I16" s="10">
        <f t="shared" si="5"/>
        <v>561.33000000000015</v>
      </c>
      <c r="J16" s="10">
        <f t="shared" si="5"/>
        <v>561.33000000000015</v>
      </c>
      <c r="K16" s="10">
        <f t="shared" si="5"/>
        <v>561.33000000000015</v>
      </c>
      <c r="L16" s="10">
        <f t="shared" si="5"/>
        <v>561.33000000000015</v>
      </c>
      <c r="M16" s="10">
        <f t="shared" si="5"/>
        <v>561.33000000000015</v>
      </c>
      <c r="N16" s="10">
        <f t="shared" si="5"/>
        <v>561.33000000000015</v>
      </c>
      <c r="O16" s="9">
        <f t="shared" si="4"/>
        <v>6735.96</v>
      </c>
    </row>
    <row r="17" spans="1:15" x14ac:dyDescent="0.3">
      <c r="A17" s="4" t="s">
        <v>705</v>
      </c>
      <c r="B17" s="4" t="s">
        <v>218</v>
      </c>
      <c r="C17" s="10">
        <f t="shared" ref="C17:N17" si="6">salary_bizops*6*(1+salary_escalation)^1*(1+bhxh_rate)</f>
        <v>160.38000000000002</v>
      </c>
      <c r="D17" s="10">
        <f t="shared" si="6"/>
        <v>160.38000000000002</v>
      </c>
      <c r="E17" s="10">
        <f t="shared" si="6"/>
        <v>160.38000000000002</v>
      </c>
      <c r="F17" s="10">
        <f t="shared" si="6"/>
        <v>160.38000000000002</v>
      </c>
      <c r="G17" s="10">
        <f t="shared" si="6"/>
        <v>160.38000000000002</v>
      </c>
      <c r="H17" s="10">
        <f t="shared" si="6"/>
        <v>160.38000000000002</v>
      </c>
      <c r="I17" s="10">
        <f t="shared" si="6"/>
        <v>160.38000000000002</v>
      </c>
      <c r="J17" s="10">
        <f t="shared" si="6"/>
        <v>160.38000000000002</v>
      </c>
      <c r="K17" s="10">
        <f t="shared" si="6"/>
        <v>160.38000000000002</v>
      </c>
      <c r="L17" s="10">
        <f t="shared" si="6"/>
        <v>160.38000000000002</v>
      </c>
      <c r="M17" s="10">
        <f t="shared" si="6"/>
        <v>160.38000000000002</v>
      </c>
      <c r="N17" s="10">
        <f t="shared" si="6"/>
        <v>160.38000000000002</v>
      </c>
      <c r="O17" s="9">
        <f t="shared" si="4"/>
        <v>1924.5600000000006</v>
      </c>
    </row>
    <row r="18" spans="1:15" x14ac:dyDescent="0.3">
      <c r="A18" s="4" t="s">
        <v>706</v>
      </c>
      <c r="B18" s="4" t="s">
        <v>218</v>
      </c>
      <c r="C18" s="10">
        <f t="shared" ref="C18:N18" si="7">salary_data*2*(1+salary_escalation)^1*(1+bhxh_rate)</f>
        <v>106.92</v>
      </c>
      <c r="D18" s="10">
        <f t="shared" si="7"/>
        <v>106.92</v>
      </c>
      <c r="E18" s="10">
        <f t="shared" si="7"/>
        <v>106.92</v>
      </c>
      <c r="F18" s="10">
        <f t="shared" si="7"/>
        <v>106.92</v>
      </c>
      <c r="G18" s="10">
        <f t="shared" si="7"/>
        <v>106.92</v>
      </c>
      <c r="H18" s="10">
        <f t="shared" si="7"/>
        <v>106.92</v>
      </c>
      <c r="I18" s="10">
        <f t="shared" si="7"/>
        <v>106.92</v>
      </c>
      <c r="J18" s="10">
        <f t="shared" si="7"/>
        <v>106.92</v>
      </c>
      <c r="K18" s="10">
        <f t="shared" si="7"/>
        <v>106.92</v>
      </c>
      <c r="L18" s="10">
        <f t="shared" si="7"/>
        <v>106.92</v>
      </c>
      <c r="M18" s="10">
        <f t="shared" si="7"/>
        <v>106.92</v>
      </c>
      <c r="N18" s="10">
        <f t="shared" si="7"/>
        <v>106.92</v>
      </c>
      <c r="O18" s="9">
        <f t="shared" si="4"/>
        <v>1283.04</v>
      </c>
    </row>
    <row r="19" spans="1:15" x14ac:dyDescent="0.3">
      <c r="A19" s="4" t="s">
        <v>688</v>
      </c>
      <c r="B19" s="4" t="s">
        <v>218</v>
      </c>
      <c r="C19" s="10">
        <f>6*30*12*recruit_cost_pct</f>
        <v>432</v>
      </c>
      <c r="D19" s="10">
        <f>0</f>
        <v>0</v>
      </c>
      <c r="E19" s="10">
        <f>0</f>
        <v>0</v>
      </c>
      <c r="F19" s="10">
        <f>0</f>
        <v>0</v>
      </c>
      <c r="G19" s="10">
        <f>0</f>
        <v>0</v>
      </c>
      <c r="H19" s="10">
        <f>0</f>
        <v>0</v>
      </c>
      <c r="I19" s="10">
        <f>0</f>
        <v>0</v>
      </c>
      <c r="J19" s="10">
        <f>0</f>
        <v>0</v>
      </c>
      <c r="K19" s="10">
        <f>0</f>
        <v>0</v>
      </c>
      <c r="L19" s="10">
        <f>0</f>
        <v>0</v>
      </c>
      <c r="M19" s="10">
        <f>0</f>
        <v>0</v>
      </c>
      <c r="N19" s="10">
        <f>0</f>
        <v>0</v>
      </c>
      <c r="O19" s="9">
        <f t="shared" si="4"/>
        <v>432</v>
      </c>
    </row>
    <row r="20" spans="1:15" x14ac:dyDescent="0.3">
      <c r="A20" s="4" t="s">
        <v>482</v>
      </c>
      <c r="B20" s="4" t="s">
        <v>218</v>
      </c>
      <c r="C20" s="10">
        <f t="shared" ref="C20:N20" si="8">opex_marketing*(1+marketing_growth)^1/12</f>
        <v>670.83333333333326</v>
      </c>
      <c r="D20" s="10">
        <f t="shared" si="8"/>
        <v>670.83333333333326</v>
      </c>
      <c r="E20" s="10">
        <f t="shared" si="8"/>
        <v>670.83333333333326</v>
      </c>
      <c r="F20" s="10">
        <f t="shared" si="8"/>
        <v>670.83333333333326</v>
      </c>
      <c r="G20" s="10">
        <f t="shared" si="8"/>
        <v>670.83333333333326</v>
      </c>
      <c r="H20" s="10">
        <f t="shared" si="8"/>
        <v>670.83333333333326</v>
      </c>
      <c r="I20" s="10">
        <f t="shared" si="8"/>
        <v>670.83333333333326</v>
      </c>
      <c r="J20" s="10">
        <f t="shared" si="8"/>
        <v>670.83333333333326</v>
      </c>
      <c r="K20" s="10">
        <f t="shared" si="8"/>
        <v>670.83333333333326</v>
      </c>
      <c r="L20" s="10">
        <f t="shared" si="8"/>
        <v>670.83333333333326</v>
      </c>
      <c r="M20" s="10">
        <f t="shared" si="8"/>
        <v>670.83333333333326</v>
      </c>
      <c r="N20" s="10">
        <f t="shared" si="8"/>
        <v>670.83333333333326</v>
      </c>
      <c r="O20" s="9">
        <f t="shared" si="4"/>
        <v>8049.9999999999973</v>
      </c>
    </row>
    <row r="21" spans="1:15" x14ac:dyDescent="0.3">
      <c r="A21" s="4" t="s">
        <v>689</v>
      </c>
      <c r="B21" s="4" t="s">
        <v>218</v>
      </c>
      <c r="C21" s="10">
        <f t="shared" ref="C21:N21" si="9">opex_branding/12</f>
        <v>333.33333333333331</v>
      </c>
      <c r="D21" s="10">
        <f t="shared" si="9"/>
        <v>333.33333333333331</v>
      </c>
      <c r="E21" s="10">
        <f t="shared" si="9"/>
        <v>333.33333333333331</v>
      </c>
      <c r="F21" s="10">
        <f t="shared" si="9"/>
        <v>333.33333333333331</v>
      </c>
      <c r="G21" s="10">
        <f t="shared" si="9"/>
        <v>333.33333333333331</v>
      </c>
      <c r="H21" s="10">
        <f t="shared" si="9"/>
        <v>333.33333333333331</v>
      </c>
      <c r="I21" s="10">
        <f t="shared" si="9"/>
        <v>333.33333333333331</v>
      </c>
      <c r="J21" s="10">
        <f t="shared" si="9"/>
        <v>333.33333333333331</v>
      </c>
      <c r="K21" s="10">
        <f t="shared" si="9"/>
        <v>333.33333333333331</v>
      </c>
      <c r="L21" s="10">
        <f t="shared" si="9"/>
        <v>333.33333333333331</v>
      </c>
      <c r="M21" s="10">
        <f t="shared" si="9"/>
        <v>333.33333333333331</v>
      </c>
      <c r="N21" s="10">
        <f t="shared" si="9"/>
        <v>333.33333333333331</v>
      </c>
      <c r="O21" s="9">
        <f t="shared" si="4"/>
        <v>4000.0000000000005</v>
      </c>
    </row>
    <row r="22" spans="1:15" x14ac:dyDescent="0.3">
      <c r="A22" s="4" t="s">
        <v>690</v>
      </c>
      <c r="B22" s="4" t="s">
        <v>218</v>
      </c>
      <c r="C22" s="10">
        <f t="shared" ref="C22:N22" si="10">opex_cloud_base/12</f>
        <v>270.83333333333331</v>
      </c>
      <c r="D22" s="10">
        <f t="shared" si="10"/>
        <v>270.83333333333331</v>
      </c>
      <c r="E22" s="10">
        <f t="shared" si="10"/>
        <v>270.83333333333331</v>
      </c>
      <c r="F22" s="10">
        <f t="shared" si="10"/>
        <v>270.83333333333331</v>
      </c>
      <c r="G22" s="10">
        <f t="shared" si="10"/>
        <v>270.83333333333331</v>
      </c>
      <c r="H22" s="10">
        <f t="shared" si="10"/>
        <v>270.83333333333331</v>
      </c>
      <c r="I22" s="10">
        <f t="shared" si="10"/>
        <v>270.83333333333331</v>
      </c>
      <c r="J22" s="10">
        <f t="shared" si="10"/>
        <v>270.83333333333331</v>
      </c>
      <c r="K22" s="10">
        <f t="shared" si="10"/>
        <v>270.83333333333331</v>
      </c>
      <c r="L22" s="10">
        <f t="shared" si="10"/>
        <v>270.83333333333331</v>
      </c>
      <c r="M22" s="10">
        <f t="shared" si="10"/>
        <v>270.83333333333331</v>
      </c>
      <c r="N22" s="10">
        <f t="shared" si="10"/>
        <v>270.83333333333331</v>
      </c>
      <c r="O22" s="9">
        <f t="shared" si="4"/>
        <v>3250.0000000000005</v>
      </c>
    </row>
    <row r="23" spans="1:15" x14ac:dyDescent="0.3">
      <c r="A23" s="4" t="s">
        <v>485</v>
      </c>
      <c r="B23" s="4" t="s">
        <v>218</v>
      </c>
      <c r="C23" s="10">
        <f t="shared" ref="C23:N23" si="11">opex_security/12</f>
        <v>20.833333333333332</v>
      </c>
      <c r="D23" s="10">
        <f t="shared" si="11"/>
        <v>20.833333333333332</v>
      </c>
      <c r="E23" s="10">
        <f t="shared" si="11"/>
        <v>20.833333333333332</v>
      </c>
      <c r="F23" s="10">
        <f t="shared" si="11"/>
        <v>20.833333333333332</v>
      </c>
      <c r="G23" s="10">
        <f t="shared" si="11"/>
        <v>20.833333333333332</v>
      </c>
      <c r="H23" s="10">
        <f t="shared" si="11"/>
        <v>20.833333333333332</v>
      </c>
      <c r="I23" s="10">
        <f t="shared" si="11"/>
        <v>20.833333333333332</v>
      </c>
      <c r="J23" s="10">
        <f t="shared" si="11"/>
        <v>20.833333333333332</v>
      </c>
      <c r="K23" s="10">
        <f t="shared" si="11"/>
        <v>20.833333333333332</v>
      </c>
      <c r="L23" s="10">
        <f t="shared" si="11"/>
        <v>20.833333333333332</v>
      </c>
      <c r="M23" s="10">
        <f t="shared" si="11"/>
        <v>20.833333333333332</v>
      </c>
      <c r="N23" s="10">
        <f t="shared" si="11"/>
        <v>20.833333333333332</v>
      </c>
      <c r="O23" s="9">
        <f t="shared" si="4"/>
        <v>250.00000000000003</v>
      </c>
    </row>
    <row r="24" spans="1:15" x14ac:dyDescent="0.3">
      <c r="A24" s="4" t="s">
        <v>691</v>
      </c>
      <c r="B24" s="4" t="s">
        <v>218</v>
      </c>
      <c r="C24" s="10">
        <f t="shared" ref="C24:N24" si="12">opex_external/12</f>
        <v>33.333333333333336</v>
      </c>
      <c r="D24" s="10">
        <f t="shared" si="12"/>
        <v>33.333333333333336</v>
      </c>
      <c r="E24" s="10">
        <f t="shared" si="12"/>
        <v>33.333333333333336</v>
      </c>
      <c r="F24" s="10">
        <f t="shared" si="12"/>
        <v>33.333333333333336</v>
      </c>
      <c r="G24" s="10">
        <f t="shared" si="12"/>
        <v>33.333333333333336</v>
      </c>
      <c r="H24" s="10">
        <f t="shared" si="12"/>
        <v>33.333333333333336</v>
      </c>
      <c r="I24" s="10">
        <f t="shared" si="12"/>
        <v>33.333333333333336</v>
      </c>
      <c r="J24" s="10">
        <f t="shared" si="12"/>
        <v>33.333333333333336</v>
      </c>
      <c r="K24" s="10">
        <f t="shared" si="12"/>
        <v>33.333333333333336</v>
      </c>
      <c r="L24" s="10">
        <f t="shared" si="12"/>
        <v>33.333333333333336</v>
      </c>
      <c r="M24" s="10">
        <f t="shared" si="12"/>
        <v>33.333333333333336</v>
      </c>
      <c r="N24" s="10">
        <f t="shared" si="12"/>
        <v>33.333333333333336</v>
      </c>
      <c r="O24" s="9">
        <f t="shared" si="4"/>
        <v>399.99999999999994</v>
      </c>
    </row>
    <row r="25" spans="1:15" x14ac:dyDescent="0.3">
      <c r="A25" s="4" t="s">
        <v>692</v>
      </c>
      <c r="B25" s="4" t="s">
        <v>218</v>
      </c>
      <c r="C25" s="10">
        <f t="shared" ref="C25:N25" si="13">opex_legal/12</f>
        <v>20</v>
      </c>
      <c r="D25" s="10">
        <f t="shared" si="13"/>
        <v>20</v>
      </c>
      <c r="E25" s="10">
        <f t="shared" si="13"/>
        <v>20</v>
      </c>
      <c r="F25" s="10">
        <f t="shared" si="13"/>
        <v>20</v>
      </c>
      <c r="G25" s="10">
        <f t="shared" si="13"/>
        <v>20</v>
      </c>
      <c r="H25" s="10">
        <f t="shared" si="13"/>
        <v>20</v>
      </c>
      <c r="I25" s="10">
        <f t="shared" si="13"/>
        <v>20</v>
      </c>
      <c r="J25" s="10">
        <f t="shared" si="13"/>
        <v>20</v>
      </c>
      <c r="K25" s="10">
        <f t="shared" si="13"/>
        <v>20</v>
      </c>
      <c r="L25" s="10">
        <f t="shared" si="13"/>
        <v>20</v>
      </c>
      <c r="M25" s="10">
        <f t="shared" si="13"/>
        <v>20</v>
      </c>
      <c r="N25" s="10">
        <f t="shared" si="13"/>
        <v>20</v>
      </c>
      <c r="O25" s="9">
        <f t="shared" si="4"/>
        <v>240</v>
      </c>
    </row>
    <row r="26" spans="1:15" x14ac:dyDescent="0.3">
      <c r="A26" s="4" t="s">
        <v>489</v>
      </c>
      <c r="B26" s="4" t="s">
        <v>218</v>
      </c>
      <c r="C26" s="10">
        <f t="shared" ref="C26:N26" si="14">opex_partner_mgmt/12</f>
        <v>41.666666666666664</v>
      </c>
      <c r="D26" s="10">
        <f t="shared" si="14"/>
        <v>41.666666666666664</v>
      </c>
      <c r="E26" s="10">
        <f t="shared" si="14"/>
        <v>41.666666666666664</v>
      </c>
      <c r="F26" s="10">
        <f t="shared" si="14"/>
        <v>41.666666666666664</v>
      </c>
      <c r="G26" s="10">
        <f t="shared" si="14"/>
        <v>41.666666666666664</v>
      </c>
      <c r="H26" s="10">
        <f t="shared" si="14"/>
        <v>41.666666666666664</v>
      </c>
      <c r="I26" s="10">
        <f t="shared" si="14"/>
        <v>41.666666666666664</v>
      </c>
      <c r="J26" s="10">
        <f t="shared" si="14"/>
        <v>41.666666666666664</v>
      </c>
      <c r="K26" s="10">
        <f t="shared" si="14"/>
        <v>41.666666666666664</v>
      </c>
      <c r="L26" s="10">
        <f t="shared" si="14"/>
        <v>41.666666666666664</v>
      </c>
      <c r="M26" s="10">
        <f t="shared" si="14"/>
        <v>41.666666666666664</v>
      </c>
      <c r="N26" s="10">
        <f t="shared" si="14"/>
        <v>41.666666666666664</v>
      </c>
      <c r="O26" s="9">
        <f t="shared" si="4"/>
        <v>500.00000000000006</v>
      </c>
    </row>
    <row r="27" spans="1:15" x14ac:dyDescent="0.3">
      <c r="A27" s="4" t="s">
        <v>490</v>
      </c>
      <c r="B27" s="4" t="s">
        <v>218</v>
      </c>
      <c r="C27" s="10">
        <f>MAX(pilot_count,adoption_max/(1+EXP(-adoption_steepness*(2026.042-adoption_midpoint))))*opex_support_per_ent/12</f>
        <v>29.30300387883322</v>
      </c>
      <c r="D27" s="10">
        <f>MAX(pilot_count,adoption_max/(1+EXP(-adoption_steepness*(2026.125-adoption_midpoint))))*opex_support_per_ent/12</f>
        <v>31.22097948909148</v>
      </c>
      <c r="E27" s="10">
        <f>MAX(pilot_count,adoption_max/(1+EXP(-adoption_steepness*(2026.208-adoption_midpoint))))*opex_support_per_ent/12</f>
        <v>33.240046645937539</v>
      </c>
      <c r="F27" s="10">
        <f>MAX(pilot_count,adoption_max/(1+EXP(-adoption_steepness*(2026.292-adoption_midpoint))))*opex_support_per_ent/12</f>
        <v>35.388536220329421</v>
      </c>
      <c r="G27" s="10">
        <f>MAX(pilot_count,adoption_max/(1+EXP(-adoption_steepness*(2026.375-adoption_midpoint))))*opex_support_per_ent/12</f>
        <v>37.617050900048312</v>
      </c>
      <c r="H27" s="10">
        <f>MAX(pilot_count,adoption_max/(1+EXP(-adoption_steepness*(2026.458-adoption_midpoint))))*opex_support_per_ent/12</f>
        <v>39.951841317811976</v>
      </c>
      <c r="I27" s="10">
        <f>MAX(pilot_count,adoption_max/(1+EXP(-adoption_steepness*(2026.542-adoption_midpoint))))*opex_support_per_ent/12</f>
        <v>42.423787475029478</v>
      </c>
      <c r="J27" s="10">
        <f>MAX(pilot_count,adoption_max/(1+EXP(-adoption_steepness*(2026.625-adoption_midpoint))))*opex_support_per_ent/12</f>
        <v>44.974289336528706</v>
      </c>
      <c r="K27" s="10">
        <f>MAX(pilot_count,adoption_max/(1+EXP(-adoption_steepness*(2026.708-adoption_midpoint))))*opex_support_per_ent/12</f>
        <v>47.631776581844491</v>
      </c>
      <c r="L27" s="10">
        <f>MAX(pilot_count,adoption_max/(1+EXP(-adoption_steepness*(2026.792-adoption_midpoint))))*opex_support_per_ent/12</f>
        <v>50.429180650377049</v>
      </c>
      <c r="M27" s="10">
        <f>MAX(pilot_count,adoption_max/(1+EXP(-adoption_steepness*(2026.875-adoption_midpoint))))*opex_support_per_ent/12</f>
        <v>53.298176367943917</v>
      </c>
      <c r="N27" s="10">
        <f>MAX(pilot_count,adoption_max/(1+EXP(-adoption_steepness*(2026.958-adoption_midpoint))))*opex_support_per_ent/12</f>
        <v>56.268989292039471</v>
      </c>
      <c r="O27" s="9">
        <f t="shared" si="4"/>
        <v>501.74765815581509</v>
      </c>
    </row>
    <row r="28" spans="1:15" x14ac:dyDescent="0.3">
      <c r="A28" s="4" t="s">
        <v>491</v>
      </c>
      <c r="C28" s="9">
        <f t="shared" ref="C28:N28" si="15">SUM(C15:C27)</f>
        <v>2801.0513372121673</v>
      </c>
      <c r="D28" s="9">
        <f t="shared" si="15"/>
        <v>2370.9693128224249</v>
      </c>
      <c r="E28" s="9">
        <f t="shared" si="15"/>
        <v>2372.988379979271</v>
      </c>
      <c r="F28" s="9">
        <f t="shared" si="15"/>
        <v>2375.136869553663</v>
      </c>
      <c r="G28" s="9">
        <f t="shared" si="15"/>
        <v>2377.365384233382</v>
      </c>
      <c r="H28" s="9">
        <f t="shared" si="15"/>
        <v>2379.7001746511455</v>
      </c>
      <c r="I28" s="9">
        <f t="shared" si="15"/>
        <v>2382.1721208083627</v>
      </c>
      <c r="J28" s="9">
        <f t="shared" si="15"/>
        <v>2384.7226226698622</v>
      </c>
      <c r="K28" s="9">
        <f t="shared" si="15"/>
        <v>2387.3801099151779</v>
      </c>
      <c r="L28" s="9">
        <f t="shared" si="15"/>
        <v>2390.1775139837105</v>
      </c>
      <c r="M28" s="9">
        <f t="shared" si="15"/>
        <v>2393.0465097012775</v>
      </c>
      <c r="N28" s="9">
        <f t="shared" si="15"/>
        <v>2396.0173226253728</v>
      </c>
      <c r="O28" s="9">
        <f t="shared" si="4"/>
        <v>29010.727658155822</v>
      </c>
    </row>
    <row r="29" spans="1:15" x14ac:dyDescent="0.3">
      <c r="A29" s="4" t="s">
        <v>492</v>
      </c>
      <c r="B29" s="4" t="s">
        <v>218</v>
      </c>
      <c r="C29" s="10">
        <f t="shared" ref="C29:N29" si="16">C28*opex_contingency_pct</f>
        <v>280.10513372121676</v>
      </c>
      <c r="D29" s="10">
        <f t="shared" si="16"/>
        <v>237.09693128224251</v>
      </c>
      <c r="E29" s="10">
        <f t="shared" si="16"/>
        <v>237.29883799792711</v>
      </c>
      <c r="F29" s="10">
        <f t="shared" si="16"/>
        <v>237.51368695536632</v>
      </c>
      <c r="G29" s="10">
        <f t="shared" si="16"/>
        <v>237.7365384233382</v>
      </c>
      <c r="H29" s="10">
        <f t="shared" si="16"/>
        <v>237.97001746511455</v>
      </c>
      <c r="I29" s="10">
        <f t="shared" si="16"/>
        <v>238.21721208083628</v>
      </c>
      <c r="J29" s="10">
        <f t="shared" si="16"/>
        <v>238.47226226698623</v>
      </c>
      <c r="K29" s="10">
        <f t="shared" si="16"/>
        <v>238.7380109915178</v>
      </c>
      <c r="L29" s="10">
        <f t="shared" si="16"/>
        <v>239.01775139837105</v>
      </c>
      <c r="M29" s="10">
        <f t="shared" si="16"/>
        <v>239.30465097012777</v>
      </c>
      <c r="N29" s="10">
        <f t="shared" si="16"/>
        <v>239.6017322625373</v>
      </c>
      <c r="O29" s="9">
        <f t="shared" si="4"/>
        <v>2901.072765815582</v>
      </c>
    </row>
    <row r="30" spans="1:15" x14ac:dyDescent="0.3">
      <c r="A30" s="4" t="s">
        <v>493</v>
      </c>
      <c r="C30" s="9">
        <f t="shared" ref="C30:N30" si="17">C28+C29</f>
        <v>3081.1564709333838</v>
      </c>
      <c r="D30" s="9">
        <f t="shared" si="17"/>
        <v>2608.0662441046675</v>
      </c>
      <c r="E30" s="9">
        <f t="shared" si="17"/>
        <v>2610.287217977198</v>
      </c>
      <c r="F30" s="9">
        <f t="shared" si="17"/>
        <v>2612.6505565090292</v>
      </c>
      <c r="G30" s="9">
        <f t="shared" si="17"/>
        <v>2615.10192265672</v>
      </c>
      <c r="H30" s="9">
        <f t="shared" si="17"/>
        <v>2617.6701921162603</v>
      </c>
      <c r="I30" s="9">
        <f t="shared" si="17"/>
        <v>2620.3893328891991</v>
      </c>
      <c r="J30" s="9">
        <f t="shared" si="17"/>
        <v>2623.1948849368482</v>
      </c>
      <c r="K30" s="9">
        <f t="shared" si="17"/>
        <v>2626.1181209066958</v>
      </c>
      <c r="L30" s="9">
        <f t="shared" si="17"/>
        <v>2629.1952653820817</v>
      </c>
      <c r="M30" s="9">
        <f t="shared" si="17"/>
        <v>2632.3511606714051</v>
      </c>
      <c r="N30" s="9">
        <f t="shared" si="17"/>
        <v>2635.6190548879099</v>
      </c>
      <c r="O30" s="9">
        <f t="shared" si="4"/>
        <v>31911.800423971399</v>
      </c>
    </row>
    <row r="32" spans="1:15" x14ac:dyDescent="0.3">
      <c r="A32" s="30" t="s">
        <v>694</v>
      </c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</row>
    <row r="33" spans="1:15" x14ac:dyDescent="0.3">
      <c r="A33" s="4" t="s">
        <v>496</v>
      </c>
      <c r="C33" s="10">
        <f t="shared" ref="C33:N33" si="18">C8</f>
        <v>597.04870403122686</v>
      </c>
      <c r="D33" s="10">
        <f t="shared" si="18"/>
        <v>636.12745709023886</v>
      </c>
      <c r="E33" s="10">
        <f t="shared" si="18"/>
        <v>677.26595041097733</v>
      </c>
      <c r="F33" s="10">
        <f t="shared" si="18"/>
        <v>721.04142548921197</v>
      </c>
      <c r="G33" s="10">
        <f t="shared" si="18"/>
        <v>766.44741208848438</v>
      </c>
      <c r="H33" s="10">
        <f t="shared" si="18"/>
        <v>814.01876685041896</v>
      </c>
      <c r="I33" s="10">
        <f t="shared" si="18"/>
        <v>864.38466980372561</v>
      </c>
      <c r="J33" s="10">
        <f t="shared" si="18"/>
        <v>916.35114523177242</v>
      </c>
      <c r="K33" s="10">
        <f t="shared" si="18"/>
        <v>970.49744785508165</v>
      </c>
      <c r="L33" s="10">
        <f t="shared" si="18"/>
        <v>1027.4945557514325</v>
      </c>
      <c r="M33" s="10">
        <f t="shared" si="18"/>
        <v>1085.9503434968574</v>
      </c>
      <c r="N33" s="10">
        <f t="shared" si="18"/>
        <v>1146.4806568253043</v>
      </c>
      <c r="O33" s="9">
        <f>SUM(C33:N33)</f>
        <v>10223.108534924733</v>
      </c>
    </row>
    <row r="34" spans="1:15" x14ac:dyDescent="0.3">
      <c r="A34" s="4" t="s">
        <v>110</v>
      </c>
      <c r="C34" s="10">
        <f t="shared" ref="C34:N34" si="19">C12</f>
        <v>79.2</v>
      </c>
      <c r="D34" s="10">
        <f t="shared" si="19"/>
        <v>79.2</v>
      </c>
      <c r="E34" s="10">
        <f t="shared" si="19"/>
        <v>79.2</v>
      </c>
      <c r="F34" s="10">
        <f t="shared" si="19"/>
        <v>79.2</v>
      </c>
      <c r="G34" s="10">
        <f t="shared" si="19"/>
        <v>79.2</v>
      </c>
      <c r="H34" s="10">
        <f t="shared" si="19"/>
        <v>79.2</v>
      </c>
      <c r="I34" s="10">
        <f t="shared" si="19"/>
        <v>79.2</v>
      </c>
      <c r="J34" s="10">
        <f t="shared" si="19"/>
        <v>79.2</v>
      </c>
      <c r="K34" s="10">
        <f t="shared" si="19"/>
        <v>79.2</v>
      </c>
      <c r="L34" s="10">
        <f t="shared" si="19"/>
        <v>79.2</v>
      </c>
      <c r="M34" s="10">
        <f t="shared" si="19"/>
        <v>79.2</v>
      </c>
      <c r="N34" s="10">
        <f t="shared" si="19"/>
        <v>79.2</v>
      </c>
      <c r="O34" s="9">
        <f>SUM(C34:N34)</f>
        <v>950.4000000000002</v>
      </c>
    </row>
    <row r="35" spans="1:15" x14ac:dyDescent="0.3">
      <c r="A35" s="4" t="s">
        <v>113</v>
      </c>
      <c r="C35" s="10">
        <f t="shared" ref="C35:N35" si="20">C30</f>
        <v>3081.1564709333838</v>
      </c>
      <c r="D35" s="10">
        <f t="shared" si="20"/>
        <v>2608.0662441046675</v>
      </c>
      <c r="E35" s="10">
        <f t="shared" si="20"/>
        <v>2610.287217977198</v>
      </c>
      <c r="F35" s="10">
        <f t="shared" si="20"/>
        <v>2612.6505565090292</v>
      </c>
      <c r="G35" s="10">
        <f t="shared" si="20"/>
        <v>2615.10192265672</v>
      </c>
      <c r="H35" s="10">
        <f t="shared" si="20"/>
        <v>2617.6701921162603</v>
      </c>
      <c r="I35" s="10">
        <f t="shared" si="20"/>
        <v>2620.3893328891991</v>
      </c>
      <c r="J35" s="10">
        <f t="shared" si="20"/>
        <v>2623.1948849368482</v>
      </c>
      <c r="K35" s="10">
        <f t="shared" si="20"/>
        <v>2626.1181209066958</v>
      </c>
      <c r="L35" s="10">
        <f t="shared" si="20"/>
        <v>2629.1952653820817</v>
      </c>
      <c r="M35" s="10">
        <f t="shared" si="20"/>
        <v>2632.3511606714051</v>
      </c>
      <c r="N35" s="10">
        <f t="shared" si="20"/>
        <v>2635.6190548879099</v>
      </c>
      <c r="O35" s="9">
        <f>SUM(C35:N35)</f>
        <v>31911.800423971399</v>
      </c>
    </row>
    <row r="36" spans="1:15" x14ac:dyDescent="0.3">
      <c r="A36" s="4" t="s">
        <v>695</v>
      </c>
      <c r="C36" s="9">
        <f t="shared" ref="C36:N36" si="21">C34+C35</f>
        <v>3160.3564709333837</v>
      </c>
      <c r="D36" s="9">
        <f t="shared" si="21"/>
        <v>2687.2662441046673</v>
      </c>
      <c r="E36" s="9">
        <f t="shared" si="21"/>
        <v>2689.4872179771978</v>
      </c>
      <c r="F36" s="9">
        <f t="shared" si="21"/>
        <v>2691.850556509029</v>
      </c>
      <c r="G36" s="9">
        <f t="shared" si="21"/>
        <v>2694.3019226567199</v>
      </c>
      <c r="H36" s="9">
        <f t="shared" si="21"/>
        <v>2696.8701921162601</v>
      </c>
      <c r="I36" s="9">
        <f t="shared" si="21"/>
        <v>2699.5893328891989</v>
      </c>
      <c r="J36" s="9">
        <f t="shared" si="21"/>
        <v>2702.394884936848</v>
      </c>
      <c r="K36" s="9">
        <f t="shared" si="21"/>
        <v>2705.3181209066956</v>
      </c>
      <c r="L36" s="9">
        <f t="shared" si="21"/>
        <v>2708.3952653820816</v>
      </c>
      <c r="M36" s="9">
        <f t="shared" si="21"/>
        <v>2711.5511606714049</v>
      </c>
      <c r="N36" s="9">
        <f t="shared" si="21"/>
        <v>2714.8190548879097</v>
      </c>
      <c r="O36" s="9">
        <f>SUM(C36:N36)</f>
        <v>32862.200423971393</v>
      </c>
    </row>
    <row r="37" spans="1:15" x14ac:dyDescent="0.3">
      <c r="A37" s="4" t="s">
        <v>696</v>
      </c>
      <c r="C37" s="9">
        <f t="shared" ref="C37:N37" si="22">C33-C36</f>
        <v>-2563.3077669021568</v>
      </c>
      <c r="D37" s="9">
        <f t="shared" si="22"/>
        <v>-2051.1387870144285</v>
      </c>
      <c r="E37" s="9">
        <f t="shared" si="22"/>
        <v>-2012.2212675662204</v>
      </c>
      <c r="F37" s="9">
        <f t="shared" si="22"/>
        <v>-1970.809131019817</v>
      </c>
      <c r="G37" s="9">
        <f t="shared" si="22"/>
        <v>-1927.8545105682356</v>
      </c>
      <c r="H37" s="9">
        <f t="shared" si="22"/>
        <v>-1882.851425265841</v>
      </c>
      <c r="I37" s="9">
        <f t="shared" si="22"/>
        <v>-1835.2046630854734</v>
      </c>
      <c r="J37" s="9">
        <f t="shared" si="22"/>
        <v>-1786.0437397050755</v>
      </c>
      <c r="K37" s="9">
        <f t="shared" si="22"/>
        <v>-1734.820673051614</v>
      </c>
      <c r="L37" s="9">
        <f t="shared" si="22"/>
        <v>-1680.9007096306491</v>
      </c>
      <c r="M37" s="9">
        <f t="shared" si="22"/>
        <v>-1625.6008171745475</v>
      </c>
      <c r="N37" s="9">
        <f t="shared" si="22"/>
        <v>-1568.3383980626054</v>
      </c>
      <c r="O37" s="9">
        <f>SUM(C37:N37)</f>
        <v>-22639.091889046664</v>
      </c>
    </row>
    <row r="38" spans="1:15" x14ac:dyDescent="0.3">
      <c r="A38" s="4" t="s">
        <v>697</v>
      </c>
      <c r="C38" s="10">
        <f>C37</f>
        <v>-2563.3077669021568</v>
      </c>
      <c r="D38" s="10">
        <f t="shared" ref="D38:N38" si="23">C38+D37</f>
        <v>-4614.4465539165849</v>
      </c>
      <c r="E38" s="10">
        <f t="shared" si="23"/>
        <v>-6626.6678214828053</v>
      </c>
      <c r="F38" s="10">
        <f t="shared" si="23"/>
        <v>-8597.4769525026222</v>
      </c>
      <c r="G38" s="10">
        <f t="shared" si="23"/>
        <v>-10525.331463070857</v>
      </c>
      <c r="H38" s="10">
        <f t="shared" si="23"/>
        <v>-12408.182888336698</v>
      </c>
      <c r="I38" s="10">
        <f t="shared" si="23"/>
        <v>-14243.387551422171</v>
      </c>
      <c r="J38" s="10">
        <f t="shared" si="23"/>
        <v>-16029.431291127246</v>
      </c>
      <c r="K38" s="10">
        <f t="shared" si="23"/>
        <v>-17764.25196417886</v>
      </c>
      <c r="L38" s="10">
        <f t="shared" si="23"/>
        <v>-19445.152673809509</v>
      </c>
      <c r="M38" s="10">
        <f t="shared" si="23"/>
        <v>-21070.753490984058</v>
      </c>
      <c r="N38" s="10">
        <f t="shared" si="23"/>
        <v>-22639.091889046664</v>
      </c>
      <c r="O38" s="9">
        <f>N38</f>
        <v>-22639.091889046664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66</vt:i4>
      </vt:variant>
    </vt:vector>
  </HeadingPairs>
  <TitlesOfParts>
    <vt:vector size="80" baseType="lpstr">
      <vt:lpstr>Guide</vt:lpstr>
      <vt:lpstr>Assumptions</vt:lpstr>
      <vt:lpstr>Initial Investment</vt:lpstr>
      <vt:lpstr>HR Plan</vt:lpstr>
      <vt:lpstr>Market Sizing</vt:lpstr>
      <vt:lpstr>Revenue Schedule</vt:lpstr>
      <vt:lpstr>Cost Schedule</vt:lpstr>
      <vt:lpstr>P&amp;L</vt:lpstr>
      <vt:lpstr>Cash Flow</vt:lpstr>
      <vt:lpstr>DCF &amp; Returns</vt:lpstr>
      <vt:lpstr>Sensitivity</vt:lpstr>
      <vt:lpstr>Scenarios</vt:lpstr>
      <vt:lpstr>Budget 2025</vt:lpstr>
      <vt:lpstr>Budget 2026</vt:lpstr>
      <vt:lpstr>ad_cpm</vt:lpstr>
      <vt:lpstr>ad_impressions_base</vt:lpstr>
      <vt:lpstr>adoption_max</vt:lpstr>
      <vt:lpstr>adoption_midpoint</vt:lpstr>
      <vt:lpstr>adoption_steepness</vt:lpstr>
      <vt:lpstr>ap_days</vt:lpstr>
      <vt:lpstr>ar_days</vt:lpstr>
      <vt:lpstr>audit_fee</vt:lpstr>
      <vt:lpstr>base_year</vt:lpstr>
      <vt:lpstr>bhxh_rate</vt:lpstr>
      <vt:lpstr>capex_backend</vt:lpstr>
      <vt:lpstr>capex_cloud_setup</vt:lpstr>
      <vt:lpstr>capex_contingency</vt:lpstr>
      <vt:lpstr>capex_data_platform</vt:lpstr>
      <vt:lpstr>capex_devops</vt:lpstr>
      <vt:lpstr>capex_frontend</vt:lpstr>
      <vt:lpstr>capex_integration</vt:lpstr>
      <vt:lpstr>capex_maintenance_pct</vt:lpstr>
      <vt:lpstr>capex_security_setup</vt:lpstr>
      <vt:lpstr>capex_testing</vt:lpstr>
      <vt:lpstr>capex_total</vt:lpstr>
      <vt:lpstr>capex_ux_design</vt:lpstr>
      <vt:lpstr>cert_fee_escalation</vt:lpstr>
      <vt:lpstr>cert_fee_yr1</vt:lpstr>
      <vt:lpstr>churn_rate</vt:lpstr>
      <vt:lpstr>cit_rate</vt:lpstr>
      <vt:lpstr>cloud_elasticity</vt:lpstr>
      <vt:lpstr>cloud_gmv_factor</vt:lpstr>
      <vt:lpstr>cloud_per_1M_vcr</vt:lpstr>
      <vt:lpstr>daas_price</vt:lpstr>
      <vt:lpstr>depreciation_years</vt:lpstr>
      <vt:lpstr>discount_rate</vt:lpstr>
      <vt:lpstr>ecom_growth_rate</vt:lpstr>
      <vt:lpstr>ecom_market_base</vt:lpstr>
      <vt:lpstr>hr_bizops_per_100_ent</vt:lpstr>
      <vt:lpstr>marketing_growth</vt:lpstr>
      <vt:lpstr>mkt_efficiency_per_100</vt:lpstr>
      <vt:lpstr>opex_branding</vt:lpstr>
      <vt:lpstr>opex_cloud_base</vt:lpstr>
      <vt:lpstr>opex_contingency_pct</vt:lpstr>
      <vt:lpstr>opex_external</vt:lpstr>
      <vt:lpstr>opex_legal</vt:lpstr>
      <vt:lpstr>opex_marketing</vt:lpstr>
      <vt:lpstr>opex_partner_mgmt</vt:lpstr>
      <vt:lpstr>opex_pilot_eval</vt:lpstr>
      <vt:lpstr>opex_security</vt:lpstr>
      <vt:lpstr>opex_support_per_ent</vt:lpstr>
      <vt:lpstr>payment_proc_pct</vt:lpstr>
      <vt:lpstr>pilot_count</vt:lpstr>
      <vt:lpstr>platform_market_share</vt:lpstr>
      <vt:lpstr>recruit_cost_pct</vt:lpstr>
      <vt:lpstr>salary_bizops</vt:lpstr>
      <vt:lpstr>salary_data</vt:lpstr>
      <vt:lpstr>salary_dev</vt:lpstr>
      <vt:lpstr>salary_escalation</vt:lpstr>
      <vt:lpstr>salary_mgmt</vt:lpstr>
      <vt:lpstr>SAM_enterprises</vt:lpstr>
      <vt:lpstr>stage2_gate</vt:lpstr>
      <vt:lpstr>start_month</vt:lpstr>
      <vt:lpstr>support_discount</vt:lpstr>
      <vt:lpstr>support_scale_threshold</vt:lpstr>
      <vt:lpstr>TAM_enterprises</vt:lpstr>
      <vt:lpstr>training_fee</vt:lpstr>
      <vt:lpstr>training_pct</vt:lpstr>
      <vt:lpstr>tx_take_rate</vt:lpstr>
      <vt:lpstr>vcr_per_enterprise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Hoai Nam (VPBDH)</cp:lastModifiedBy>
  <dcterms:created xsi:type="dcterms:W3CDTF">2026-03-21T10:20:37Z</dcterms:created>
  <dcterms:modified xsi:type="dcterms:W3CDTF">2026-03-21T11:32:41Z</dcterms:modified>
</cp:coreProperties>
</file>