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Initial Investment" sheetId="3" state="visible" r:id="rId3"/>
    <sheet xmlns:r="http://schemas.openxmlformats.org/officeDocument/2006/relationships" name="HR Plan" sheetId="4" state="visible" r:id="rId4"/>
    <sheet xmlns:r="http://schemas.openxmlformats.org/officeDocument/2006/relationships" name="Market Sizing" sheetId="5" state="visible" r:id="rId5"/>
    <sheet xmlns:r="http://schemas.openxmlformats.org/officeDocument/2006/relationships" name="Revenue Schedule" sheetId="6" state="visible" r:id="rId6"/>
    <sheet xmlns:r="http://schemas.openxmlformats.org/officeDocument/2006/relationships" name="Cost Schedule" sheetId="7" state="visible" r:id="rId7"/>
    <sheet xmlns:r="http://schemas.openxmlformats.org/officeDocument/2006/relationships" name="P&amp;L" sheetId="8" state="visible" r:id="rId8"/>
    <sheet xmlns:r="http://schemas.openxmlformats.org/officeDocument/2006/relationships" name="Cash Flow" sheetId="9" state="visible" r:id="rId9"/>
    <sheet xmlns:r="http://schemas.openxmlformats.org/officeDocument/2006/relationships" name="DCF &amp; Returns" sheetId="10" state="visible" r:id="rId10"/>
    <sheet xmlns:r="http://schemas.openxmlformats.org/officeDocument/2006/relationships" name="Sensitivity" sheetId="11" state="visible" r:id="rId11"/>
    <sheet xmlns:r="http://schemas.openxmlformats.org/officeDocument/2006/relationships" name="Scenarios" sheetId="12" state="visible" r:id="rId12"/>
    <sheet xmlns:r="http://schemas.openxmlformats.org/officeDocument/2006/relationships" name="Budget 2025" sheetId="13" state="visible" r:id="rId13"/>
    <sheet xmlns:r="http://schemas.openxmlformats.org/officeDocument/2006/relationships" name="Budget 2026" sheetId="14" state="visible" r:id="rId14"/>
  </sheets>
  <definedNames>
    <definedName name="ad_cpm">Assumptions!$B$31</definedName>
    <definedName name="ad_impressions_base">Assumptions!$B$32</definedName>
    <definedName name="adoption_max">Assumptions!$B$18</definedName>
    <definedName name="adoption_midpoint">Assumptions!$B$19</definedName>
    <definedName name="adoption_steepness">Assumptions!$B$20</definedName>
    <definedName name="ap_days">Assumptions!$B$71</definedName>
    <definedName name="ar_days">Assumptions!$B$70</definedName>
    <definedName name="audit_fee">Assumptions!$B$34</definedName>
    <definedName name="base_year">Assumptions!$B$6</definedName>
    <definedName name="bhxh_rate">Assumptions!$B$62</definedName>
    <definedName name="bizops_floor">Assumptions!$B$83</definedName>
    <definedName name="capex_backend">'Initial Investment'!$B$5</definedName>
    <definedName name="capex_cloud_setup">'Initial Investment'!$B$4</definedName>
    <definedName name="capex_contingency">'Initial Investment'!$B$13</definedName>
    <definedName name="capex_data_platform">'Initial Investment'!$B$7</definedName>
    <definedName name="capex_devops">'Initial Investment'!$B$11</definedName>
    <definedName name="capex_frontend">'Initial Investment'!$B$6</definedName>
    <definedName name="capex_integration">'Initial Investment'!$B$10</definedName>
    <definedName name="capex_maintenance_pct">Assumptions!$B$39</definedName>
    <definedName name="capex_security_setup">'Initial Investment'!$B$8</definedName>
    <definedName name="capex_testing">'Initial Investment'!$B$12</definedName>
    <definedName name="capex_total">'Initial Investment'!$B$15</definedName>
    <definedName name="capex_ux_design">'Initial Investment'!$B$9</definedName>
    <definedName name="cert_fee_escalation">Assumptions!$B$27</definedName>
    <definedName name="cert_fee_yr1">Assumptions!$B$26</definedName>
    <definedName name="churn_rate">Assumptions!$B$22</definedName>
    <definedName name="cit_rate">Assumptions!$B$67</definedName>
    <definedName name="cloud_elasticity">Assumptions!$B$82</definedName>
    <definedName name="cloud_gmv_factor">Assumptions!$B$77</definedName>
    <definedName name="cloud_per_1M_vcr">Assumptions!$B$43</definedName>
    <definedName name="daas_price">Assumptions!$B$30</definedName>
    <definedName name="depreciation_years">Assumptions!$B$69</definedName>
    <definedName name="discount_rate">Assumptions!$B$68</definedName>
    <definedName name="ecom_growth_rate">Assumptions!$B$14</definedName>
    <definedName name="ecom_market_base">Assumptions!$B$13</definedName>
    <definedName name="hr_bizops_per_100_ent">Assumptions!$B$81</definedName>
    <definedName name="marketing_growth">Assumptions!$B$41</definedName>
    <definedName name="mkt_efficiency_per_100">Assumptions!$B$78</definedName>
    <definedName name="opex_branding">Assumptions!$B$47</definedName>
    <definedName name="opex_cloud_base">Assumptions!$B$42</definedName>
    <definedName name="opex_contingency_pct">Assumptions!$B$53</definedName>
    <definedName name="opex_external">Assumptions!$B$45</definedName>
    <definedName name="opex_legal">Assumptions!$B$46</definedName>
    <definedName name="opex_marketing">Assumptions!$B$40</definedName>
    <definedName name="opex_partner_mgmt">Assumptions!$B$52</definedName>
    <definedName name="opex_pilot_eval">Assumptions!$B$49</definedName>
    <definedName name="opex_security">Assumptions!$B$48</definedName>
    <definedName name="opex_support_per_ent">Assumptions!$B$51</definedName>
    <definedName name="payment_proc_pct">Assumptions!$B$50</definedName>
    <definedName name="pilot_count">Assumptions!$B$21</definedName>
    <definedName name="platform_market_share">Assumptions!$B$29</definedName>
    <definedName name="recruit_cost_pct">Assumptions!$B$63</definedName>
    <definedName name="salary_bizops">Assumptions!$B$59</definedName>
    <definedName name="salary_data">Assumptions!$B$60</definedName>
    <definedName name="salary_dev">Assumptions!$B$58</definedName>
    <definedName name="salary_escalation">Assumptions!$B$61</definedName>
    <definedName name="salary_mgmt">Assumptions!$B$57</definedName>
    <definedName name="SAM_enterprises">Assumptions!$B$12</definedName>
    <definedName name="stage2_gate">Assumptions!$B$72</definedName>
    <definedName name="start_month">Assumptions!$B$7</definedName>
    <definedName name="support_discount">Assumptions!$B$80</definedName>
    <definedName name="support_scale_threshold">Assumptions!$B$79</definedName>
    <definedName name="TAM_enterprises">Assumptions!$B$11</definedName>
    <definedName name="training_fee">Assumptions!$B$33</definedName>
    <definedName name="training_pct">Assumptions!$B$35</definedName>
    <definedName name="tx_take_rate">Assumptions!$B$28</definedName>
    <definedName name="vcr_per_enterprise">Assumptions!$B$44</definedName>
    <definedName name="months_to_first_revenue">'Assumptions'!$B$103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"/>
    <numFmt numFmtId="166" formatCode="0.000"/>
    <numFmt numFmtId="167" formatCode="#,##0.0"/>
    <numFmt numFmtId="168" formatCode="#,##0.000"/>
  </numFmts>
  <fonts count="51">
    <font>
      <name val="Calibri"/>
      <family val="2"/>
      <color theme="1"/>
      <sz val="11"/>
      <scheme val="minor"/>
    </font>
    <font>
      <name val="Calibri"/>
      <b val="1"/>
      <color rgb="FF1F4E79"/>
      <sz val="14"/>
    </font>
    <font>
      <name val="Calibri"/>
      <i val="1"/>
      <color rgb="FF666666"/>
      <sz val="10"/>
    </font>
    <font>
      <name val="Calibri"/>
      <b val="1"/>
      <color rgb="FF1F4E79"/>
      <sz val="11"/>
    </font>
    <font>
      <name val="Calibri"/>
      <b val="1"/>
      <color rgb="FFFFFFFF"/>
      <sz val="11"/>
    </font>
    <font>
      <name val="Calibri"/>
      <sz val="11"/>
    </font>
    <font>
      <name val="Calibri"/>
      <color rgb="FF0000FF"/>
      <sz val="11"/>
    </font>
    <font>
      <name val="Calibri"/>
      <i val="1"/>
      <color rgb="FF888888"/>
      <sz val="10"/>
    </font>
    <font>
      <name val="Calibri"/>
      <b val="1"/>
      <sz val="11"/>
    </font>
    <font>
      <name val="Calibri"/>
      <color rgb="FFCC0000"/>
      <sz val="11"/>
    </font>
    <font>
      <name val="Calibri"/>
      <color rgb="FF00B050"/>
      <sz val="11"/>
    </font>
    <font>
      <name val="Calibri"/>
      <b val="1"/>
      <color rgb="FF1F4E79"/>
      <sz val="16"/>
    </font>
    <font>
      <name val="Calibri"/>
      <b val="1"/>
      <color rgb="FF1F4E79"/>
      <sz val="11"/>
    </font>
    <font>
      <name val="Calibri"/>
      <b val="1"/>
      <color rgb="FF333333"/>
      <sz val="10"/>
    </font>
    <font>
      <name val="Calibri"/>
      <b val="1"/>
      <color rgb="FF1F4E79"/>
      <sz val="10"/>
    </font>
    <font>
      <name val="Calibri"/>
      <color rgb="FF333333"/>
      <sz val="10"/>
    </font>
    <font>
      <name val="Calibri"/>
      <b val="1"/>
      <color rgb="FFCC0000"/>
      <sz val="10"/>
    </font>
    <font>
      <name val="Calibri"/>
      <b val="1"/>
      <color rgb="FF996600"/>
      <sz val="10"/>
    </font>
    <font>
      <name val="Calibri"/>
      <b val="1"/>
      <color rgb="FF0070C0"/>
      <sz val="10"/>
    </font>
    <font>
      <name val="Calibri"/>
      <b val="1"/>
      <color rgb="FF00B050"/>
      <sz val="10"/>
    </font>
    <font>
      <name val="Calibri"/>
      <b val="1"/>
      <color rgb="FFFFFFFF"/>
      <sz val="11"/>
    </font>
    <font>
      <name val="Calibri"/>
      <sz val="11"/>
    </font>
    <font>
      <name val="Calibri"/>
      <b val="1"/>
      <color rgb="FFBF8F00"/>
      <sz val="11"/>
    </font>
    <font>
      <name val="Calibri"/>
      <b val="1"/>
      <color rgb="FFFFFFFF"/>
      <sz val="11"/>
    </font>
    <font>
      <name val="Calibri"/>
      <sz val="11"/>
    </font>
    <font>
      <name val="Calibri"/>
      <color rgb="FF0000FF"/>
      <sz val="11"/>
    </font>
    <font>
      <name val="Calibri"/>
      <i val="1"/>
      <color rgb="FF888888"/>
      <sz val="10"/>
    </font>
    <font>
      <name val="Calibri"/>
      <color rgb="FF1F4E79"/>
      <sz val="9"/>
    </font>
    <font>
      <name val="Calibri"/>
      <color rgb="FF444444"/>
      <sz val="9"/>
    </font>
    <font>
      <name val="Calibri"/>
      <b val="1"/>
      <color rgb="FF1F4E79"/>
      <sz val="11"/>
    </font>
    <font>
      <name val="Calibri"/>
      <color rgb="FF444444"/>
      <sz val="10"/>
    </font>
    <font>
      <name val="Calibri"/>
      <sz val="11"/>
    </font>
    <font>
      <name val="Calibri"/>
      <color rgb="FF0000FF"/>
      <sz val="11"/>
    </font>
    <font>
      <name val="Calibri"/>
      <i val="1"/>
      <color rgb="FF888888"/>
      <sz val="10"/>
    </font>
    <font>
      <name val="Calibri"/>
      <b val="1"/>
      <color rgb="FF1F4E79"/>
      <sz val="14"/>
    </font>
    <font>
      <name val="Calibri"/>
      <b val="1"/>
      <color rgb="FF1F4E79"/>
      <sz val="11"/>
    </font>
    <font>
      <name val="Calibri"/>
      <b val="1"/>
      <color rgb="FFFFFFFF"/>
      <sz val="11"/>
    </font>
    <font>
      <name val="Calibri"/>
      <color rgb="FFCC0000"/>
      <sz val="11"/>
    </font>
    <font>
      <name val="Calibri"/>
      <b val="1"/>
      <sz val="11"/>
    </font>
    <font>
      <name val="Calibri"/>
      <color rgb="FF00B050"/>
      <sz val="11"/>
    </font>
    <font>
      <name val="Calibri"/>
      <color rgb="FF666666"/>
      <sz val="9"/>
    </font>
    <font>
      <name val="Calibri"/>
      <color rgb="FF444444"/>
      <sz val="10"/>
    </font>
    <font>
      <b val="1"/>
      <color rgb="001F4E79"/>
      <sz val="11"/>
    </font>
    <font>
      <b val="1"/>
      <color rgb="00FFFFFF"/>
      <sz val="11"/>
    </font>
    <font>
      <sz val="11"/>
    </font>
    <font>
      <color rgb="000000FF"/>
      <sz val="11"/>
    </font>
    <font>
      <i val="1"/>
      <color rgb="00888888"/>
      <sz val="10"/>
    </font>
    <font>
      <b val="1"/>
      <color rgb="001F4E79"/>
      <sz val="16"/>
    </font>
    <font>
      <i val="1"/>
      <color rgb="00666666"/>
      <sz val="10"/>
    </font>
    <font>
      <b val="1"/>
      <color rgb="001F4E79"/>
      <sz val="10"/>
    </font>
    <font>
      <color rgb="00444444"/>
      <sz val="10"/>
    </font>
  </fonts>
  <fills count="19">
    <fill>
      <patternFill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1F4E79"/>
        <bgColor rgb="FF1F4E79"/>
      </patternFill>
    </fill>
    <fill>
      <patternFill patternType="solid">
        <fgColor rgb="FFFFFFCC"/>
        <bgColor rgb="FFFFFFCC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1F4E79"/>
        <bgColor rgb="FF1F4E79"/>
      </patternFill>
    </fill>
    <fill>
      <patternFill patternType="solid">
        <fgColor rgb="FFFFFFCC"/>
        <bgColor rgb="FFFFFFCC"/>
      </patternFill>
    </fill>
    <fill>
      <patternFill patternType="solid">
        <fgColor rgb="FFD6E4F0"/>
        <bgColor rgb="FFD6E4F0"/>
      </patternFill>
    </fill>
    <fill>
      <patternFill patternType="solid">
        <fgColor rgb="FFFFFFCC"/>
        <bgColor rgb="FFFFFFCC"/>
      </patternFill>
    </fill>
    <fill>
      <patternFill patternType="solid">
        <fgColor rgb="FFD6E4F0"/>
        <bgColor rgb="FFD6E4F0"/>
      </patternFill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FFFCC"/>
        <bgColor rgb="00FFFFCC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4" fillId="3" borderId="1" applyAlignment="1" pivotButton="0" quotePrefix="0" xfId="0">
      <alignment horizontal="center"/>
    </xf>
    <xf numFmtId="0" fontId="5" fillId="0" borderId="1" pivotButton="0" quotePrefix="0" xfId="0"/>
    <xf numFmtId="3" fontId="6" fillId="4" borderId="1" pivotButton="0" quotePrefix="0" xfId="0"/>
    <xf numFmtId="0" fontId="7" fillId="0" borderId="1" pivotButton="0" quotePrefix="0" xfId="0"/>
    <xf numFmtId="164" fontId="6" fillId="4" borderId="1" pivotButton="0" quotePrefix="0" xfId="0"/>
    <xf numFmtId="165" fontId="6" fillId="4" borderId="1" pivotButton="0" quotePrefix="0" xfId="0"/>
    <xf numFmtId="3" fontId="8" fillId="5" borderId="1" pivotButton="0" quotePrefix="0" xfId="0"/>
    <xf numFmtId="3" fontId="5" fillId="0" borderId="1" pivotButton="0" quotePrefix="0" xfId="0"/>
    <xf numFmtId="0" fontId="0" fillId="2" borderId="0" pivotButton="0" quotePrefix="0" xfId="0"/>
    <xf numFmtId="0" fontId="5" fillId="0" borderId="0" pivotButton="0" quotePrefix="0" xfId="0"/>
    <xf numFmtId="0" fontId="8" fillId="0" borderId="0" pivotButton="0" quotePrefix="0" xfId="0"/>
    <xf numFmtId="166" fontId="5" fillId="0" borderId="1" pivotButton="0" quotePrefix="0" xfId="0"/>
    <xf numFmtId="167" fontId="5" fillId="0" borderId="1" pivotButton="0" quotePrefix="0" xfId="0"/>
    <xf numFmtId="2" fontId="5" fillId="0" borderId="1" pivotButton="0" quotePrefix="0" xfId="0"/>
    <xf numFmtId="164" fontId="5" fillId="0" borderId="1" pivotButton="0" quotePrefix="0" xfId="0"/>
    <xf numFmtId="3" fontId="9" fillId="0" borderId="1" pivotButton="0" quotePrefix="0" xfId="0"/>
    <xf numFmtId="3" fontId="0" fillId="0" borderId="1" pivotButton="0" quotePrefix="0" xfId="0"/>
    <xf numFmtId="3" fontId="10" fillId="0" borderId="1" pivotButton="0" quotePrefix="0" xfId="0"/>
    <xf numFmtId="164" fontId="9" fillId="0" borderId="1" pivotButton="0" quotePrefix="0" xfId="0"/>
    <xf numFmtId="164" fontId="0" fillId="0" borderId="1" pivotButton="0" quotePrefix="0" xfId="0"/>
    <xf numFmtId="164" fontId="8" fillId="5" borderId="1" pivotButton="0" quotePrefix="0" xfId="0"/>
    <xf numFmtId="164" fontId="10" fillId="0" borderId="1" pivotButton="0" quotePrefix="0" xfId="0"/>
    <xf numFmtId="0" fontId="12" fillId="6" borderId="2" pivotButton="0" quotePrefix="0" xfId="0"/>
    <xf numFmtId="0" fontId="0" fillId="6" borderId="2" pivotButton="0" quotePrefix="0" xfId="0"/>
    <xf numFmtId="0" fontId="20" fillId="7" borderId="2" applyAlignment="1" pivotButton="0" quotePrefix="0" xfId="0">
      <alignment horizontal="center"/>
    </xf>
    <xf numFmtId="0" fontId="21" fillId="0" borderId="2" pivotButton="0" quotePrefix="0" xfId="0"/>
    <xf numFmtId="0" fontId="3" fillId="2" borderId="1" pivotButton="0" quotePrefix="0" xfId="0"/>
    <xf numFmtId="0" fontId="5" fillId="0" borderId="2" pivotButton="0" quotePrefix="1" xfId="0"/>
    <xf numFmtId="0" fontId="0" fillId="8" borderId="3" pivotButton="0" quotePrefix="0" xfId="0"/>
    <xf numFmtId="0" fontId="23" fillId="9" borderId="3" applyAlignment="1" pivotButton="0" quotePrefix="0" xfId="0">
      <alignment horizontal="center"/>
    </xf>
    <xf numFmtId="0" fontId="24" fillId="0" borderId="3" pivotButton="0" quotePrefix="0" xfId="0"/>
    <xf numFmtId="165" fontId="25" fillId="10" borderId="3" pivotButton="0" quotePrefix="0" xfId="0"/>
    <xf numFmtId="0" fontId="26" fillId="0" borderId="3" pivotButton="0" quotePrefix="0" xfId="0"/>
    <xf numFmtId="164" fontId="25" fillId="10" borderId="3" pivotButton="0" quotePrefix="0" xfId="0"/>
    <xf numFmtId="3" fontId="25" fillId="10" borderId="3" pivotButton="0" quotePrefix="0" xfId="0"/>
    <xf numFmtId="0" fontId="27" fillId="0" borderId="3" pivotButton="0" quotePrefix="0" xfId="0"/>
    <xf numFmtId="0" fontId="28" fillId="0" borderId="3" pivotButton="0" quotePrefix="0" xfId="0"/>
    <xf numFmtId="3" fontId="24" fillId="0" borderId="3" pivotButton="0" quotePrefix="0" xfId="0"/>
    <xf numFmtId="0" fontId="0" fillId="0" borderId="0" pivotButton="0" quotePrefix="0" xfId="0"/>
    <xf numFmtId="0" fontId="22" fillId="8" borderId="3" pivotButton="0" quotePrefix="0" xfId="0"/>
    <xf numFmtId="0" fontId="29" fillId="11" borderId="3" pivotButton="0" quotePrefix="0" xfId="0"/>
    <xf numFmtId="0" fontId="35" fillId="13" borderId="6" pivotButton="0" quotePrefix="0" xfId="0"/>
    <xf numFmtId="0" fontId="31" fillId="0" borderId="6" pivotButton="0" quotePrefix="0" xfId="0"/>
    <xf numFmtId="3" fontId="32" fillId="12" borderId="6" pivotButton="0" quotePrefix="0" xfId="0"/>
    <xf numFmtId="0" fontId="33" fillId="0" borderId="6" pivotButton="0" quotePrefix="0" xfId="0"/>
    <xf numFmtId="0" fontId="31" fillId="0" borderId="1" pivotButton="0" quotePrefix="0" xfId="0"/>
    <xf numFmtId="3" fontId="31" fillId="4" borderId="6" pivotButton="0" quotePrefix="0" xfId="0"/>
    <xf numFmtId="0" fontId="36" fillId="14" borderId="6" applyAlignment="1" pivotButton="0" quotePrefix="0" xfId="0">
      <alignment horizontal="center"/>
    </xf>
    <xf numFmtId="3" fontId="37" fillId="0" borderId="6" pivotButton="0" quotePrefix="0" xfId="0"/>
    <xf numFmtId="3" fontId="38" fillId="15" borderId="6" pivotButton="0" quotePrefix="0" xfId="0"/>
    <xf numFmtId="3" fontId="39" fillId="0" borderId="6" pivotButton="0" quotePrefix="0" xfId="0"/>
    <xf numFmtId="168" fontId="31" fillId="0" borderId="6" pivotButton="0" quotePrefix="0" xfId="0"/>
    <xf numFmtId="0" fontId="40" fillId="0" borderId="6" pivotButton="0" quotePrefix="0" xfId="0"/>
    <xf numFmtId="164" fontId="36" fillId="14" borderId="6" pivotButton="0" quotePrefix="0" xfId="0"/>
    <xf numFmtId="0" fontId="38" fillId="0" borderId="6" pivotButton="0" quotePrefix="0" xfId="0"/>
    <xf numFmtId="3" fontId="0" fillId="0" borderId="6" pivotButton="0" quotePrefix="0" xfId="0"/>
    <xf numFmtId="9" fontId="36" fillId="14" borderId="6" pivotButton="0" quotePrefix="0" xfId="0"/>
    <xf numFmtId="164" fontId="38" fillId="0" borderId="6" pivotButton="0" quotePrefix="0" xfId="0"/>
    <xf numFmtId="0" fontId="41" fillId="0" borderId="0" pivotButton="0" quotePrefix="0" xfId="0"/>
    <xf numFmtId="0" fontId="0" fillId="0" borderId="0" pivotButton="0" quotePrefix="0" xfId="0"/>
    <xf numFmtId="0" fontId="30" fillId="0" borderId="0" pivotButton="0" quotePrefix="0" xfId="0"/>
    <xf numFmtId="0" fontId="11" fillId="0" borderId="0" pivotButton="0" quotePrefix="0" xfId="0"/>
    <xf numFmtId="0" fontId="1" fillId="0" borderId="0" pivotButton="0" quotePrefix="0" xfId="0"/>
    <xf numFmtId="0" fontId="22" fillId="8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0" fillId="0" borderId="0" pivotButton="0" quotePrefix="0" xfId="0"/>
    <xf numFmtId="0" fontId="35" fillId="13" borderId="6" pivotButton="0" quotePrefix="0" xfId="0"/>
    <xf numFmtId="0" fontId="0" fillId="13" borderId="7" pivotButton="0" quotePrefix="0" xfId="0"/>
    <xf numFmtId="0" fontId="0" fillId="13" borderId="8" pivotButton="0" quotePrefix="0" xfId="0"/>
    <xf numFmtId="0" fontId="34" fillId="0" borderId="0" pivotButton="0" quotePrefix="0" xfId="0"/>
    <xf numFmtId="0" fontId="15" fillId="0" borderId="0" pivotButton="0" quotePrefix="0" xfId="0"/>
    <xf numFmtId="0" fontId="12" fillId="6" borderId="0" pivotButton="0" quotePrefix="0" xfId="0"/>
    <xf numFmtId="0" fontId="19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3" fillId="0" borderId="0" pivotButton="0" quotePrefix="0" xfId="0"/>
    <xf numFmtId="0" fontId="18" fillId="0" borderId="0" pivotButton="0" quotePrefix="0" xfId="0"/>
    <xf numFmtId="0" fontId="3" fillId="2" borderId="3" pivotButton="0" quotePrefix="0" xfId="0"/>
    <xf numFmtId="0" fontId="16" fillId="0" borderId="0" pivotButton="0" quotePrefix="0" xfId="0"/>
    <xf numFmtId="0" fontId="47" fillId="0" borderId="0" pivotButton="0" quotePrefix="0" xfId="0"/>
    <xf numFmtId="0" fontId="48" fillId="0" borderId="0" pivotButton="0" quotePrefix="0" xfId="0"/>
    <xf numFmtId="0" fontId="42" fillId="16" borderId="11" pivotButton="0" quotePrefix="0" xfId="0"/>
    <xf numFmtId="0" fontId="43" fillId="17" borderId="11" applyAlignment="1" pivotButton="0" quotePrefix="0" xfId="0">
      <alignment horizontal="center"/>
    </xf>
    <xf numFmtId="0" fontId="44" fillId="0" borderId="11" pivotButton="0" quotePrefix="0" xfId="0"/>
    <xf numFmtId="0" fontId="0" fillId="16" borderId="11" pivotButton="0" quotePrefix="0" xfId="0"/>
    <xf numFmtId="0" fontId="49" fillId="0" borderId="0" pivotButton="0" quotePrefix="0" xfId="0"/>
    <xf numFmtId="0" fontId="50" fillId="0" borderId="0" pivotButton="0" quotePrefix="0" xfId="0"/>
    <xf numFmtId="0" fontId="22" fillId="8" borderId="6" pivotButton="0" quotePrefix="0" xfId="0"/>
    <xf numFmtId="0" fontId="0" fillId="0" borderId="7" pivotButton="0" quotePrefix="0" xfId="0"/>
    <xf numFmtId="0" fontId="0" fillId="0" borderId="8" pivotButton="0" quotePrefix="0" xfId="0"/>
    <xf numFmtId="3" fontId="45" fillId="18" borderId="11" pivotButton="0" quotePrefix="0" xfId="0"/>
    <xf numFmtId="0" fontId="46" fillId="0" borderId="11" pivotButton="0" quotePrefix="0" xfId="0"/>
    <xf numFmtId="3" fontId="44" fillId="0" borderId="11" pivotButton="0" quotePrefix="0" xfId="0"/>
    <xf numFmtId="0" fontId="3" fillId="2" borderId="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C194"/>
  <sheetViews>
    <sheetView workbookViewId="0">
      <selection activeCell="A1" sqref="A1"/>
    </sheetView>
  </sheetViews>
  <sheetFormatPr baseColWidth="8" defaultRowHeight="15"/>
  <cols>
    <col width="30" customWidth="1" style="62" min="1" max="1"/>
    <col width="50" customWidth="1" style="62" min="2" max="2"/>
    <col width="45" customWidth="1" style="62" min="3" max="3"/>
  </cols>
  <sheetData>
    <row r="1">
      <c r="A1" s="83" t="inlineStr">
        <is>
          <t>VISIT VIETNAM — FINANCIAL MODEL v6 — HƯỚNG DẪN TOÀN DIỆN</t>
        </is>
      </c>
    </row>
    <row r="2">
      <c r="A2" s="84" t="inlineStr">
        <is>
          <t>v6.1 | 2026-03-21 | Revenue timing + cascading relationships + sensitivity + 55 named ranges</t>
        </is>
      </c>
    </row>
    <row r="4">
      <c r="A4" s="85" t="inlineStr">
        <is>
          <t>1. DANH SÁCH CÁC SHEET (14 sheets)</t>
        </is>
      </c>
    </row>
    <row r="5">
      <c r="A5" s="86" t="inlineStr">
        <is>
          <t>Sheet</t>
        </is>
      </c>
      <c r="B5" s="86" t="inlineStr">
        <is>
          <t>Mục đích</t>
        </is>
      </c>
      <c r="C5" s="86" t="inlineStr">
        <is>
          <t>Ghi chú quan trọng</t>
        </is>
      </c>
    </row>
    <row r="6">
      <c r="A6" s="87" t="inlineStr">
        <is>
          <t>Guide</t>
        </is>
      </c>
      <c r="B6" s="87" t="inlineStr">
        <is>
          <t>Hướng dẫn toàn diện: thuật ngữ, công thức, cách dùng</t>
        </is>
      </c>
      <c r="C6" s="87" t="inlineStr">
        <is>
          <t>Đọc trước khi dùng mô hình</t>
        </is>
      </c>
    </row>
    <row r="7">
      <c r="A7" s="87" t="inlineStr">
        <is>
          <t>Assumptions</t>
        </is>
      </c>
      <c r="B7" s="87" t="inlineStr">
        <is>
          <t>55 named ranges — TẤT CẢ đầu vào tập trung tại đây</t>
        </is>
      </c>
      <c r="C7" s="87" t="inlineStr">
        <is>
          <t>Chỉ sửa ô vàng (nền vàng, chữ xanh)</t>
        </is>
      </c>
    </row>
    <row r="8">
      <c r="A8" s="87" t="inlineStr">
        <is>
          <t>Initial Investment</t>
        </is>
      </c>
      <c r="B8" s="87" t="inlineStr">
        <is>
          <t>10 hạng mục CAPEX → named range capex_total = 5,280 Tr VND</t>
        </is>
      </c>
      <c r="C8" s="87" t="inlineStr">
        <is>
          <t>Khấu hao 5 năm đường thẳng</t>
        </is>
      </c>
    </row>
    <row r="9">
      <c r="A9" s="87" t="inlineStr">
        <is>
          <t>HR Plan</t>
        </is>
      </c>
      <c r="B9" s="87" t="inlineStr">
        <is>
          <t>4 bộ phận × 42 kỳ. BizOps tự scale theo số DN</t>
        </is>
      </c>
      <c r="C9" s="87" t="inlineStr">
        <is>
          <t>Lương = hc × salary × (1+esc)^yr × (1+bhxh)</t>
        </is>
      </c>
    </row>
    <row r="10">
      <c r="A10" s="87" t="inlineStr">
        <is>
          <t>Market Sizing</t>
        </is>
      </c>
      <c r="B10" s="87" t="inlineStr">
        <is>
          <t>S-curve tăng trưởng DN + 6 hàng tham chiếu thời gian</t>
        </is>
      </c>
      <c r="C10" s="87" t="inlineStr">
        <is>
          <t>Year fraction tính từ base_year + start_month</t>
        </is>
      </c>
    </row>
    <row r="11">
      <c r="A11" s="87" t="inlineStr">
        <is>
          <t>Revenue Schedule</t>
        </is>
      </c>
      <c r="B11" s="87" t="inlineStr">
        <is>
          <t>6 nguồn DT. Tất cả gated bởi months_to_first_revenue</t>
        </is>
      </c>
      <c r="C11" s="87">
        <f>0 trước khi đạt tháng bắt đầu doanh thu</f>
        <v/>
      </c>
    </row>
    <row r="12">
      <c r="A12" s="87" t="inlineStr">
        <is>
          <t>Cost Schedule</t>
        </is>
      </c>
      <c r="B12" s="87" t="inlineStr">
        <is>
          <t>CAPEX + OPEX (10 mục + dự phòng). Cloud scales theo GMV</t>
        </is>
      </c>
      <c r="C12" s="87" t="inlineStr">
        <is>
          <t>Marketing giảm hiệu quả theo DN, Support economies of scale</t>
        </is>
      </c>
    </row>
    <row r="13">
      <c r="A13" s="87" t="inlineStr">
        <is>
          <t>P&amp;L</t>
        </is>
      </c>
      <c r="B13" s="87" t="inlineStr">
        <is>
          <t>DT → Giá vốn → LN gộp → OPEX → EBITDA → KH → Thuế TNDN → LN ròng</t>
        </is>
      </c>
      <c r="C13" s="87" t="inlineStr">
        <is>
          <t>CIT 20% chỉ khi EBIT &gt; 0</t>
        </is>
      </c>
    </row>
    <row r="14">
      <c r="A14" s="87" t="inlineStr">
        <is>
          <t>Cash Flow</t>
        </is>
      </c>
      <c r="B14" s="87" t="inlineStr">
        <is>
          <t>ĐTHĐ + ĐTĐT → DTTD + Lũy kế. Vốn lưu động qua ar_days</t>
        </is>
      </c>
      <c r="C14" s="87" t="inlineStr">
        <is>
          <t>OCF + ICF = FCF</t>
        </is>
      </c>
    </row>
    <row r="15">
      <c r="A15" s="87" t="inlineStr">
        <is>
          <t>DCF &amp; Returns</t>
        </is>
      </c>
      <c r="B15" s="87" t="inlineStr">
        <is>
          <t>FCF theo năm, NPV, IRR, ROI, đốt tiền max</t>
        </is>
      </c>
      <c r="C15" s="87" t="inlineStr">
        <is>
          <t>NPV = NPV(discount_rate, FCF)</t>
        </is>
      </c>
    </row>
    <row r="16">
      <c r="A16" s="87" t="inlineStr">
        <is>
          <t>Sensitivity</t>
        </is>
      </c>
      <c r="B16" s="87" t="inlineStr">
        <is>
          <t>235 ô NPV tính sẵn: 1-at-a-time + 3 bảng 2 chiều</t>
        </is>
      </c>
      <c r="C16" s="87" t="inlineStr">
        <is>
          <t>Tất cả dùng named ranges, tự cập nhật</t>
        </is>
      </c>
    </row>
    <row r="17">
      <c r="A17" s="87" t="inlineStr">
        <is>
          <t>Scenarios</t>
        </is>
      </c>
      <c r="B17" s="87" t="inlineStr">
        <is>
          <t>5 kịch bản + giải thích yếu tố ảnh hưởng + mô tả chi tiết</t>
        </is>
      </c>
      <c r="C17" s="87" t="inlineStr">
        <is>
          <t>Copy giá trị vào Assumptions để thử</t>
        </is>
      </c>
    </row>
    <row r="18">
      <c r="A18" s="87" t="inlineStr">
        <is>
          <t>Budget 2025</t>
        </is>
      </c>
      <c r="B18" s="87" t="inlineStr">
        <is>
          <t>Ngân sách tháng 7-12/2025 chi tiết</t>
        </is>
      </c>
      <c r="C18" s="87" t="inlineStr">
        <is>
          <t>Dùng cho phê duyệt ngân sách</t>
        </is>
      </c>
    </row>
    <row r="19">
      <c r="A19" s="87" t="inlineStr">
        <is>
          <t>Budget 2026</t>
        </is>
      </c>
      <c r="B19" s="87" t="inlineStr">
        <is>
          <t>Ngân sách tháng 1-12/2026 chi tiết</t>
        </is>
      </c>
      <c r="C19" s="87" t="inlineStr">
        <is>
          <t>Dùng cho phê duyệt ngân sách</t>
        </is>
      </c>
    </row>
    <row r="21">
      <c r="A21" s="85" t="inlineStr">
        <is>
          <t>2. CÁCH SỬ DỤNG (8 bước)</t>
        </is>
      </c>
    </row>
    <row r="22">
      <c r="A22" s="86" t="inlineStr">
        <is>
          <t>Bước</t>
        </is>
      </c>
      <c r="B22" s="86" t="inlineStr">
        <is>
          <t>Hành động</t>
        </is>
      </c>
      <c r="C22" s="86" t="inlineStr">
        <is>
          <t>Chi tiết</t>
        </is>
      </c>
    </row>
    <row r="23">
      <c r="A23" s="87" t="inlineStr">
        <is>
          <t>Bước 1</t>
        </is>
      </c>
      <c r="B23" s="87" t="inlineStr">
        <is>
          <t>Mở sheet Assumptions</t>
        </is>
      </c>
      <c r="C23" s="87" t="inlineStr">
        <is>
          <t>Đây là nơi DUY NHẤT bạn cần sửa</t>
        </is>
      </c>
    </row>
    <row r="24">
      <c r="A24" s="87" t="inlineStr">
        <is>
          <t>Bước 2</t>
        </is>
      </c>
      <c r="B24" s="87" t="inlineStr">
        <is>
          <t>Sửa ô vàng (nền vàng, chữ xanh)</t>
        </is>
      </c>
      <c r="C24" s="87" t="inlineStr">
        <is>
          <t>Ô trắng = công thức, KHÔNG sửa</t>
        </is>
      </c>
    </row>
    <row r="25">
      <c r="A25" s="87" t="inlineStr">
        <is>
          <t>Bước 3</t>
        </is>
      </c>
      <c r="B25" s="87" t="inlineStr">
        <is>
          <t>Đặt months_to_first_revenue</t>
        </is>
      </c>
      <c r="C25" s="87" t="inlineStr">
        <is>
          <t>0 = DT ngay tháng đầu, 3 = 3 tháng setup, 6 = nửa năm</t>
        </is>
      </c>
    </row>
    <row r="26">
      <c r="A26" s="87" t="inlineStr">
        <is>
          <t>Bước 4</t>
        </is>
      </c>
      <c r="B26" s="87" t="inlineStr">
        <is>
          <t>Kiểm tra P&amp;L</t>
        </is>
      </c>
      <c r="C26" s="87" t="inlineStr">
        <is>
          <t>Xem các năm nào lỗ, năm nào lãi</t>
        </is>
      </c>
    </row>
    <row r="27">
      <c r="A27" s="87" t="inlineStr">
        <is>
          <t>Bước 5</t>
        </is>
      </c>
      <c r="B27" s="87" t="inlineStr">
        <is>
          <t>Kiểm tra Cash Flow</t>
        </is>
      </c>
      <c r="C27" s="87" t="inlineStr">
        <is>
          <t>Xem dòng tiền lũy kế, đốt tiền max</t>
        </is>
      </c>
    </row>
    <row r="28">
      <c r="A28" s="87" t="inlineStr">
        <is>
          <t>Bước 6</t>
        </is>
      </c>
      <c r="B28" s="87" t="inlineStr">
        <is>
          <t>Kiểm tra DCF &amp; Returns</t>
        </is>
      </c>
      <c r="C28" s="87" t="inlineStr">
        <is>
          <t>NPV dương = dự án tạo giá trị, IRR &gt; WACC = đáng đầu tư</t>
        </is>
      </c>
    </row>
    <row r="29">
      <c r="A29" s="87" t="inlineStr">
        <is>
          <t>Bước 7</t>
        </is>
      </c>
      <c r="B29" s="87" t="inlineStr">
        <is>
          <t>Xem Sensitivity</t>
        </is>
      </c>
      <c r="C29" s="87" t="inlineStr">
        <is>
          <t>Biết tham số nào ảnh hưởng NPV nhiều nhất</t>
        </is>
      </c>
    </row>
    <row r="30">
      <c r="A30" s="87" t="inlineStr">
        <is>
          <t>Bước 8</t>
        </is>
      </c>
      <c r="B30" s="87" t="inlineStr">
        <is>
          <t>Thử kịch bản</t>
        </is>
      </c>
      <c r="C30" s="87" t="inlineStr">
        <is>
          <t>Copy giá trị từ Scenarios vào Assumptions → xem kết quả</t>
        </is>
      </c>
    </row>
    <row r="32">
      <c r="A32" s="85" t="inlineStr">
        <is>
          <t>3. QUY ƯỚC Ô (Cell Color Convention)</t>
        </is>
      </c>
    </row>
    <row r="33">
      <c r="A33" s="86" t="inlineStr">
        <is>
          <t>Màu nền / chữ</t>
        </is>
      </c>
      <c r="B33" s="86" t="inlineStr">
        <is>
          <t>Ý nghĩa</t>
        </is>
      </c>
      <c r="C33" s="86" t="inlineStr">
        <is>
          <t>Hành động</t>
        </is>
      </c>
    </row>
    <row r="34">
      <c r="A34" s="87" t="inlineStr">
        <is>
          <t>Nền VÀNG + chữ XANH</t>
        </is>
      </c>
      <c r="B34" s="87" t="inlineStr">
        <is>
          <t>Đầu vào (placeholder) — giá trị bạn có thể thay đổi</t>
        </is>
      </c>
      <c r="C34" s="87" t="inlineStr">
        <is>
          <t>SỬA giá trị tại đây</t>
        </is>
      </c>
    </row>
    <row r="35">
      <c r="A35" s="87" t="inlineStr">
        <is>
          <t>Nền XANH LÁ + chữ ĐEN ĐẬM</t>
        </is>
      </c>
      <c r="B35" s="87" t="inlineStr">
        <is>
          <t>Tổng / Subtotal — công thức SUM hoặc tổng hợp</t>
        </is>
      </c>
      <c r="C35" s="87" t="inlineStr">
        <is>
          <t>KHÔNG sửa</t>
        </is>
      </c>
    </row>
    <row r="36">
      <c r="A36" s="87" t="inlineStr">
        <is>
          <t>Nền XANH ĐẬM + chữ TRẮNG</t>
        </is>
      </c>
      <c r="B36" s="87" t="inlineStr">
        <is>
          <t>Tiêu đề cột hoặc mục</t>
        </is>
      </c>
      <c r="C36" s="87" t="inlineStr">
        <is>
          <t>KHÔNG sửa</t>
        </is>
      </c>
    </row>
    <row r="37">
      <c r="A37" s="87" t="inlineStr">
        <is>
          <t>Nền TRẮNG + chữ ĐEN</t>
        </is>
      </c>
      <c r="B37" s="87" t="inlineStr">
        <is>
          <t>Công thức tính toán — tự cập nhật</t>
        </is>
      </c>
      <c r="C37" s="87" t="inlineStr">
        <is>
          <t>KHÔNG sửa</t>
        </is>
      </c>
    </row>
    <row r="38">
      <c r="A38" s="87" t="inlineStr">
        <is>
          <t>Nền XANH NHẠT + chữ ĐẬM</t>
        </is>
      </c>
      <c r="B38" s="87" t="inlineStr">
        <is>
          <t>Tiêu đề phần (section header)</t>
        </is>
      </c>
      <c r="C38" s="87" t="inlineStr">
        <is>
          <t>KHÔNG sửa</t>
        </is>
      </c>
    </row>
    <row r="39">
      <c r="A39" s="87" t="inlineStr">
        <is>
          <t>Nền VÀNG NHẠT + chữ NÂU</t>
        </is>
      </c>
      <c r="B39" s="87" t="inlineStr">
        <is>
          <t>Tham số quan hệ cascading</t>
        </is>
      </c>
      <c r="C39" s="87" t="inlineStr">
        <is>
          <t>SỬA được</t>
        </is>
      </c>
    </row>
    <row r="41">
      <c r="A41" s="85" t="inlineStr">
        <is>
          <t>4. DANH SÁCH NAMED RANGES (55 tham số)</t>
        </is>
      </c>
    </row>
    <row r="42">
      <c r="A42" s="86" t="inlineStr">
        <is>
          <t>Named Range</t>
        </is>
      </c>
      <c r="B42" s="86" t="inlineStr">
        <is>
          <t>Mô tả + Giá trị mặc định</t>
        </is>
      </c>
      <c r="C42" s="86" t="inlineStr">
        <is>
          <t>Công thức sử dụng (ví dụ)</t>
        </is>
      </c>
    </row>
    <row r="43">
      <c r="A43" s="85" t="inlineStr">
        <is>
          <t>THỜI GIAN</t>
        </is>
      </c>
      <c r="B43" s="88" t="n"/>
      <c r="C43" s="88" t="n"/>
    </row>
    <row r="44">
      <c r="A44" s="87" t="inlineStr">
        <is>
          <t>base_year</t>
        </is>
      </c>
      <c r="B44" s="87" t="inlineStr">
        <is>
          <t>Năm gốc = 2025</t>
        </is>
      </c>
      <c r="C44" s="87" t="inlineStr">
        <is>
          <t>Year frac = base_year + (start_month-1+idx)/12</t>
        </is>
      </c>
    </row>
    <row r="45">
      <c r="A45" s="87" t="inlineStr">
        <is>
          <t>start_month</t>
        </is>
      </c>
      <c r="B45" s="87" t="inlineStr">
        <is>
          <t>Tháng bắt đầu = 7 (Tháng 7)</t>
        </is>
      </c>
      <c r="C45" s="87" t="inlineStr">
        <is>
          <t>Cùng base_year tính year fraction</t>
        </is>
      </c>
    </row>
    <row r="46">
      <c r="A46" s="87" t="inlineStr">
        <is>
          <t>months_to_first_revenue</t>
        </is>
      </c>
      <c r="B46" s="87" t="inlineStr">
        <is>
          <t>Tháng setup trước DT = 3 (DT từ tháng 10/2025)</t>
        </is>
      </c>
      <c r="C46" s="87" t="inlineStr">
        <is>
          <t>IF(idx &gt;= months_to_first_revenue, revenue, 0)</t>
        </is>
      </c>
    </row>
    <row r="47">
      <c r="A47" s="85" t="inlineStr">
        <is>
          <t>THỊ TRƯỜNG</t>
        </is>
      </c>
      <c r="B47" s="88" t="n"/>
      <c r="C47" s="88" t="n"/>
    </row>
    <row r="48">
      <c r="A48" s="87" t="inlineStr">
        <is>
          <t>TAM_enterprises</t>
        </is>
      </c>
      <c r="B48" s="87" t="inlineStr">
        <is>
          <t>Tổng DN du lịch VN = 40,000</t>
        </is>
      </c>
      <c r="C48" s="87" t="inlineStr">
        <is>
          <t>Tham khảo, không dùng trực tiếp</t>
        </is>
      </c>
    </row>
    <row r="49">
      <c r="A49" s="87" t="inlineStr">
        <is>
          <t>SAM_enterprises</t>
        </is>
      </c>
      <c r="B49" s="87" t="inlineStr">
        <is>
          <t>DN phục vụ được = 15,000</t>
        </is>
      </c>
      <c r="C49" s="87" t="inlineStr">
        <is>
          <t>Tham khảo, adoption_max &lt; SAM</t>
        </is>
      </c>
    </row>
    <row r="50">
      <c r="A50" s="87" t="inlineStr">
        <is>
          <t>ecom_market_base</t>
        </is>
      </c>
      <c r="B50" s="87" t="inlineStr">
        <is>
          <t>TMĐT du lịch gốc = 82,500 Tỷ VND</t>
        </is>
      </c>
      <c r="C50" s="87" t="inlineStr">
        <is>
          <t>ecom × (1+growth)^yr = thị trường tương lai</t>
        </is>
      </c>
    </row>
    <row r="51">
      <c r="A51" s="87" t="inlineStr">
        <is>
          <t>ecom_growth_rate</t>
        </is>
      </c>
      <c r="B51" s="87" t="inlineStr">
        <is>
          <t>Tăng trưởng TMĐT = 8%/năm</t>
        </is>
      </c>
      <c r="C51" s="87" t="inlineStr">
        <is>
          <t>ecom_market_base × (1+rate)^years</t>
        </is>
      </c>
    </row>
    <row r="52">
      <c r="A52" s="85" t="inlineStr">
        <is>
          <t>ĐƯỜNG CONG S</t>
        </is>
      </c>
      <c r="B52" s="88" t="n"/>
      <c r="C52" s="88" t="n"/>
    </row>
    <row r="53">
      <c r="A53" s="87" t="inlineStr">
        <is>
          <t>adoption_max</t>
        </is>
      </c>
      <c r="B53" s="87" t="inlineStr">
        <is>
          <t>Trần DN = 1,200 (#1 driver)</t>
        </is>
      </c>
      <c r="C53" s="87" t="inlineStr">
        <is>
          <t>max/(1+EXP(-steepness*(year-midpoint)))</t>
        </is>
      </c>
    </row>
    <row r="54">
      <c r="A54" s="87" t="inlineStr">
        <is>
          <t>adoption_midpoint</t>
        </is>
      </c>
      <c r="B54" s="87" t="inlineStr">
        <is>
          <t>Năm uốn = 2028</t>
        </is>
      </c>
      <c r="C54" s="87" t="inlineStr">
        <is>
          <t>Điểm tăng nhanh nhất trên S-curve</t>
        </is>
      </c>
    </row>
    <row r="55">
      <c r="A55" s="87" t="inlineStr">
        <is>
          <t>adoption_steepness</t>
        </is>
      </c>
      <c r="B55" s="87" t="inlineStr">
        <is>
          <t>Hệ số dốc = 0.9</t>
        </is>
      </c>
      <c r="C55" s="87" t="inlineStr">
        <is>
          <t>Cao hơn = tăng nhanh hơn quanh midpoint</t>
        </is>
      </c>
    </row>
    <row r="56">
      <c r="A56" s="87" t="inlineStr">
        <is>
          <t>pilot_count</t>
        </is>
      </c>
      <c r="B56" s="87" t="inlineStr">
        <is>
          <t>DN thí điểm = 15</t>
        </is>
      </c>
      <c r="C56" s="87">
        <f>MAX(pilot_count, S_curve_result)</f>
        <v/>
      </c>
    </row>
    <row r="57">
      <c r="A57" s="87" t="inlineStr">
        <is>
          <t>churn_rate</t>
        </is>
      </c>
      <c r="B57" s="87" t="inlineStr">
        <is>
          <t>Tỷ lệ rời bỏ = 20%/năm (#3 driver)</t>
        </is>
      </c>
      <c r="C57" s="87" t="inlineStr">
        <is>
          <t>churned = gross × churn / div</t>
        </is>
      </c>
    </row>
    <row r="58">
      <c r="A58" s="85" t="inlineStr">
        <is>
          <t>GIÁ DỊCH VỤ</t>
        </is>
      </c>
      <c r="B58" s="88" t="n"/>
      <c r="C58" s="88" t="n"/>
    </row>
    <row r="59">
      <c r="A59" s="87" t="inlineStr">
        <is>
          <t>cert_fee_yr1</t>
        </is>
      </c>
      <c r="B59" s="87" t="inlineStr">
        <is>
          <t>Phí chứng nhận = 25 Tr/DN/năm</t>
        </is>
      </c>
      <c r="C59" s="87" t="inlineStr">
        <is>
          <t>net × cert × (1+esc)^yr / div</t>
        </is>
      </c>
    </row>
    <row r="60">
      <c r="A60" s="87" t="inlineStr">
        <is>
          <t>cert_fee_escalation</t>
        </is>
      </c>
      <c r="B60" s="87" t="inlineStr">
        <is>
          <t>Tăng phí = 5%/năm</t>
        </is>
      </c>
      <c r="C60" s="87" t="inlineStr">
        <is>
          <t>Compound: (1+0.05)^5 = tăng 28% sau 5 năm</t>
        </is>
      </c>
    </row>
    <row r="61">
      <c r="A61" s="87" t="inlineStr">
        <is>
          <t>tx_take_rate</t>
        </is>
      </c>
      <c r="B61" s="87" t="inlineStr">
        <is>
          <t>Hoa hồng GD = 2% GMV</t>
        </is>
      </c>
      <c r="C61" s="87" t="inlineStr">
        <is>
          <t>ecom × market_share × take_rate × 1000</t>
        </is>
      </c>
    </row>
    <row r="62">
      <c r="A62" s="87" t="inlineStr">
        <is>
          <t>platform_market_share</t>
        </is>
      </c>
      <c r="B62" s="87" t="inlineStr">
        <is>
          <t>Thị phần GMV = 0.5% (#2 driver)</t>
        </is>
      </c>
      <c r="C62" s="87" t="inlineStr">
        <is>
          <t>Chỉ áp dụng khi net_ent ≥ stage2_gate</t>
        </is>
      </c>
    </row>
    <row r="63">
      <c r="A63" s="87" t="inlineStr">
        <is>
          <t>daas_price</t>
        </is>
      </c>
      <c r="B63" s="87" t="inlineStr">
        <is>
          <t>Giá DaaS = 30 Tr/triệu VCR</t>
        </is>
      </c>
      <c r="C63" s="87" t="inlineStr">
        <is>
          <t>VCR_millions × daas_price</t>
        </is>
      </c>
    </row>
    <row r="64">
      <c r="A64" s="87" t="inlineStr">
        <is>
          <t>ad_cpm</t>
        </is>
      </c>
      <c r="B64" s="87" t="inlineStr">
        <is>
          <t>CPM quảng cáo = 150K VND</t>
        </is>
      </c>
      <c r="C64" s="87" t="inlineStr">
        <is>
          <t>impressions × ent × CPM / 1000</t>
        </is>
      </c>
    </row>
    <row r="65">
      <c r="A65" s="87" t="inlineStr">
        <is>
          <t>ad_impressions_base</t>
        </is>
      </c>
      <c r="B65" s="87" t="inlineStr">
        <is>
          <t>Lượt QC/tháng = 500K</t>
        </is>
      </c>
      <c r="C65" s="87" t="inlineStr">
        <is>
          <t>Nhân với số DN và số tháng</t>
        </is>
      </c>
    </row>
    <row r="66">
      <c r="A66" s="87" t="inlineStr">
        <is>
          <t>training_fee</t>
        </is>
      </c>
      <c r="B66" s="87" t="inlineStr">
        <is>
          <t>Phí đào tạo = 15 Tr/phiên</t>
        </is>
      </c>
      <c r="C66" s="87" t="inlineStr">
        <is>
          <t>net × training_pct × fee / div</t>
        </is>
      </c>
    </row>
    <row r="67">
      <c r="A67" s="87" t="inlineStr">
        <is>
          <t>audit_fee</t>
        </is>
      </c>
      <c r="B67" s="87" t="inlineStr">
        <is>
          <t>Phí kiểm toán = 10 Tr</t>
        </is>
      </c>
      <c r="C67" s="87" t="inlineStr">
        <is>
          <t>net × audit_fee / div</t>
        </is>
      </c>
    </row>
    <row r="68">
      <c r="A68" s="87" t="inlineStr">
        <is>
          <t>training_pct</t>
        </is>
      </c>
      <c r="B68" s="87" t="inlineStr">
        <is>
          <t>% DN mua ĐT = 30%</t>
        </is>
      </c>
      <c r="C68" s="87" t="inlineStr">
        <is>
          <t>Tỷ lệ cross-sell</t>
        </is>
      </c>
    </row>
    <row r="69">
      <c r="A69" s="85" t="inlineStr">
        <is>
          <t>CHI PHÍ</t>
        </is>
      </c>
      <c r="B69" s="88" t="n"/>
      <c r="C69" s="88" t="n"/>
    </row>
    <row r="70">
      <c r="A70" s="87" t="inlineStr">
        <is>
          <t>capex_maintenance_pct</t>
        </is>
      </c>
      <c r="B70" s="87" t="inlineStr">
        <is>
          <t>Bảo trì = 18% CAPEX/năm</t>
        </is>
      </c>
      <c r="C70" s="87" t="inlineStr">
        <is>
          <t>capex_total × 0.18 / div (từ 2026)</t>
        </is>
      </c>
    </row>
    <row r="71">
      <c r="A71" s="87" t="inlineStr">
        <is>
          <t>opex_marketing</t>
        </is>
      </c>
      <c r="B71" s="87" t="inlineStr">
        <is>
          <t>Marketing gốc = 7,000 Tr/năm</t>
        </is>
      </c>
      <c r="C71" s="87" t="inlineStr">
        <is>
          <t>mkt × (1+growth)^yr × efficiency_factor / div</t>
        </is>
      </c>
    </row>
    <row r="72">
      <c r="A72" s="87" t="inlineStr">
        <is>
          <t>marketing_growth</t>
        </is>
      </c>
      <c r="B72" s="87" t="inlineStr">
        <is>
          <t>Tăng marketing = 15%/năm</t>
        </is>
      </c>
      <c r="C72" s="87" t="inlineStr">
        <is>
          <t>Compound growth applied annually</t>
        </is>
      </c>
    </row>
    <row r="73">
      <c r="A73" s="87" t="inlineStr">
        <is>
          <t>opex_cloud_base</t>
        </is>
      </c>
      <c r="B73" s="87" t="inlineStr">
        <is>
          <t>Cloud gốc = 3,250 Tr/năm</t>
        </is>
      </c>
      <c r="C73" s="87" t="inlineStr">
        <is>
          <t>cloud/div + VCR×per_1M + GMV×gmv_factor</t>
        </is>
      </c>
    </row>
    <row r="74">
      <c r="A74" s="87" t="inlineStr">
        <is>
          <t>cloud_per_1M_vcr</t>
        </is>
      </c>
      <c r="B74" s="87" t="inlineStr">
        <is>
          <t>Cloud biến đổi = 8 Tr/triệu VCR</t>
        </is>
      </c>
      <c r="C74" s="87" t="inlineStr">
        <is>
          <t>Tỷ lệ theo traffic</t>
        </is>
      </c>
    </row>
    <row r="75">
      <c r="A75" s="87" t="inlineStr">
        <is>
          <t>vcr_per_enterprise</t>
        </is>
      </c>
      <c r="B75" s="87" t="inlineStr">
        <is>
          <t>VCR/DN/tháng = 10,000 bản ghi</t>
        </is>
      </c>
      <c r="C75" s="87" t="inlineStr">
        <is>
          <t>net_ent × vcr × months / 1M = VCR_millions</t>
        </is>
      </c>
    </row>
    <row r="76">
      <c r="A76" s="87" t="inlineStr">
        <is>
          <t>opex_external</t>
        </is>
      </c>
      <c r="B76" s="87" t="inlineStr">
        <is>
          <t>Đối ngoại = 400 Tr/năm</t>
        </is>
      </c>
      <c r="C76" s="87" t="inlineStr">
        <is>
          <t>Chia đều theo kỳ: 400/div</t>
        </is>
      </c>
    </row>
    <row r="77">
      <c r="A77" s="87" t="inlineStr">
        <is>
          <t>opex_legal</t>
        </is>
      </c>
      <c r="B77" s="87" t="inlineStr">
        <is>
          <t>Pháp lý = 240 Tr/năm</t>
        </is>
      </c>
      <c r="C77" s="87" t="inlineStr">
        <is>
          <t>Chia đều theo kỳ: 240/div</t>
        </is>
      </c>
    </row>
    <row r="78">
      <c r="A78" s="87" t="inlineStr">
        <is>
          <t>opex_branding</t>
        </is>
      </c>
      <c r="B78" s="87" t="inlineStr">
        <is>
          <t>Thương hiệu = 4,000 Tr/năm</t>
        </is>
      </c>
      <c r="C78" s="87" t="inlineStr">
        <is>
          <t>Chia đều: 4000/div</t>
        </is>
      </c>
    </row>
    <row r="79">
      <c r="A79" s="87" t="inlineStr">
        <is>
          <t>opex_security</t>
        </is>
      </c>
      <c r="B79" s="87" t="inlineStr">
        <is>
          <t>Bảo mật = 250 Tr/năm</t>
        </is>
      </c>
      <c r="C79" s="87" t="inlineStr">
        <is>
          <t>Chia đều: 250/div</t>
        </is>
      </c>
    </row>
    <row r="80">
      <c r="A80" s="87" t="inlineStr">
        <is>
          <t>opex_pilot_eval</t>
        </is>
      </c>
      <c r="B80" s="87" t="inlineStr">
        <is>
          <t>Thí điểm = 200 Tr (chỉ giai đoạn setup)</t>
        </is>
      </c>
      <c r="C80" s="87" t="inlineStr">
        <is>
          <t>Chỉ khi idx &lt; months_to_first_revenue</t>
        </is>
      </c>
    </row>
    <row r="81">
      <c r="A81" s="87" t="inlineStr">
        <is>
          <t>payment_proc_pct</t>
        </is>
      </c>
      <c r="B81" s="87" t="inlineStr">
        <is>
          <t>Phí cổng TT = 2.5%</t>
        </is>
      </c>
      <c r="C81" s="87" t="inlineStr">
        <is>
          <t>COGS = tx_revenue × 2.5%</t>
        </is>
      </c>
    </row>
    <row r="82">
      <c r="A82" s="87" t="inlineStr">
        <is>
          <t>opex_support_per_ent</t>
        </is>
      </c>
      <c r="B82" s="87" t="inlineStr">
        <is>
          <t>Hỗ trợ KH = 2 Tr/DN/năm</t>
        </is>
      </c>
      <c r="C82" s="87" t="inlineStr">
        <is>
          <t>net × 2 × economy_factor / div</t>
        </is>
      </c>
    </row>
    <row r="83">
      <c r="A83" s="87" t="inlineStr">
        <is>
          <t>opex_partner_mgmt</t>
        </is>
      </c>
      <c r="B83" s="87" t="inlineStr">
        <is>
          <t>Đối tác = 500 Tr/năm</t>
        </is>
      </c>
      <c r="C83" s="87" t="inlineStr">
        <is>
          <t>Chia đều: 500/div</t>
        </is>
      </c>
    </row>
    <row r="84">
      <c r="A84" s="87" t="inlineStr">
        <is>
          <t>opex_contingency_pct</t>
        </is>
      </c>
      <c r="B84" s="87" t="inlineStr">
        <is>
          <t>Dự phòng = 10% OPEX</t>
        </is>
      </c>
      <c r="C84" s="87" t="inlineStr">
        <is>
          <t>Buffer: OPEX_sub × 10%</t>
        </is>
      </c>
    </row>
    <row r="85">
      <c r="A85" s="85" t="inlineStr">
        <is>
          <t>NHÂN SỰ</t>
        </is>
      </c>
      <c r="B85" s="88" t="n"/>
      <c r="C85" s="88" t="n"/>
    </row>
    <row r="86">
      <c r="A86" s="87" t="inlineStr">
        <is>
          <t>salary_mgmt</t>
        </is>
      </c>
      <c r="B86" s="87" t="inlineStr">
        <is>
          <t>Lương QL = 45 Tr/tháng</t>
        </is>
      </c>
      <c r="C86" s="87" t="inlineStr">
        <is>
          <t>hc × 45 × months × (1+esc)^yr × (1+bhxh)</t>
        </is>
      </c>
    </row>
    <row r="87">
      <c r="A87" s="87" t="inlineStr">
        <is>
          <t>salary_dev</t>
        </is>
      </c>
      <c r="B87" s="87" t="inlineStr">
        <is>
          <t>Lương PT = 35 Tr/tháng</t>
        </is>
      </c>
      <c r="C87" s="87" t="inlineStr">
        <is>
          <t>Tương tự salary_mgmt</t>
        </is>
      </c>
    </row>
    <row r="88">
      <c r="A88" s="87" t="inlineStr">
        <is>
          <t>salary_bizops</t>
        </is>
      </c>
      <c r="B88" s="87" t="inlineStr">
        <is>
          <t>Lương VH = 20 Tr/tháng</t>
        </is>
      </c>
      <c r="C88" s="87" t="inlineStr">
        <is>
          <t>BizOps hc scales theo DN</t>
        </is>
      </c>
    </row>
    <row r="89">
      <c r="A89" s="87" t="inlineStr">
        <is>
          <t>salary_data</t>
        </is>
      </c>
      <c r="B89" s="87" t="inlineStr">
        <is>
          <t>Lương DL = 40 Tr/tháng</t>
        </is>
      </c>
      <c r="C89" s="87" t="inlineStr">
        <is>
          <t>Tương tự salary_mgmt</t>
        </is>
      </c>
    </row>
    <row r="90">
      <c r="A90" s="87" t="inlineStr">
        <is>
          <t>salary_escalation</t>
        </is>
      </c>
      <c r="B90" s="87" t="inlineStr">
        <is>
          <t>Tăng lương = 10%/năm</t>
        </is>
      </c>
      <c r="C90" s="87" t="inlineStr">
        <is>
          <t>(1+0.10)^years = compound</t>
        </is>
      </c>
    </row>
    <row r="91">
      <c r="A91" s="87" t="inlineStr">
        <is>
          <t>bhxh_rate</t>
        </is>
      </c>
      <c r="B91" s="87" t="inlineStr">
        <is>
          <t>BHXH phần DN = 21.5%</t>
        </is>
      </c>
      <c r="C91" s="87" t="inlineStr">
        <is>
          <t>BHXH 17.5% + BHYT 3% + BHTN 1%</t>
        </is>
      </c>
    </row>
    <row r="92">
      <c r="A92" s="87" t="inlineStr">
        <is>
          <t>recruit_cost_pct</t>
        </is>
      </c>
      <c r="B92" s="87" t="inlineStr">
        <is>
          <t>Phí tuyển = 20% lương năm</t>
        </is>
      </c>
      <c r="C92" s="87" t="inlineStr">
        <is>
          <t>new_hire × 30 × 12 × 20%</t>
        </is>
      </c>
    </row>
    <row r="93">
      <c r="A93" s="85" t="inlineStr">
        <is>
          <t>TÀI CHÍNH</t>
        </is>
      </c>
      <c r="B93" s="88" t="n"/>
      <c r="C93" s="88" t="n"/>
    </row>
    <row r="94">
      <c r="A94" s="87" t="inlineStr">
        <is>
          <t>cit_rate</t>
        </is>
      </c>
      <c r="B94" s="87" t="inlineStr">
        <is>
          <t>Thuế TNDN = 20%</t>
        </is>
      </c>
      <c r="C94" s="87" t="inlineStr">
        <is>
          <t>IF(EBIT&gt;0, -EBIT×20%, 0)</t>
        </is>
      </c>
    </row>
    <row r="95">
      <c r="A95" s="87" t="inlineStr">
        <is>
          <t>discount_rate</t>
        </is>
      </c>
      <c r="B95" s="87" t="inlineStr">
        <is>
          <t>WACC = 15%</t>
        </is>
      </c>
      <c r="C95" s="87" t="inlineStr">
        <is>
          <t>NPV(15%, FCF_array)</t>
        </is>
      </c>
    </row>
    <row r="96">
      <c r="A96" s="87" t="inlineStr">
        <is>
          <t>depreciation_years</t>
        </is>
      </c>
      <c r="B96" s="87" t="inlineStr">
        <is>
          <t>Khấu hao = 5 năm</t>
        </is>
      </c>
      <c r="C96" s="87" t="inlineStr">
        <is>
          <t>capex_total / 5 / div per period</t>
        </is>
      </c>
    </row>
    <row r="97">
      <c r="A97" s="87" t="inlineStr">
        <is>
          <t>ar_days</t>
        </is>
      </c>
      <c r="B97" s="87" t="inlineStr">
        <is>
          <t>Phải thu = 45 ngày</t>
        </is>
      </c>
      <c r="C97" s="87" t="inlineStr">
        <is>
          <t>Working capital = ΔRevenue × 45/365</t>
        </is>
      </c>
    </row>
    <row r="98">
      <c r="A98" s="87" t="inlineStr">
        <is>
          <t>ap_days</t>
        </is>
      </c>
      <c r="B98" s="87" t="inlineStr">
        <is>
          <t>Phải trả = 30 ngày</t>
        </is>
      </c>
      <c r="C98" s="87" t="inlineStr">
        <is>
          <t>Hiện chưa dùng trong model</t>
        </is>
      </c>
    </row>
    <row r="99">
      <c r="A99" s="87" t="inlineStr">
        <is>
          <t>stage2_gate</t>
        </is>
      </c>
      <c r="B99" s="87" t="inlineStr">
        <is>
          <t>Ngưỡng GĐ2 = 300 DN</t>
        </is>
      </c>
      <c r="C99" s="87" t="inlineStr">
        <is>
          <t>IF(net ≥ 300, Stage2_revenue, 0)</t>
        </is>
      </c>
    </row>
    <row r="100">
      <c r="A100" s="85" t="inlineStr">
        <is>
          <t>QUAN HỆ CASCADING</t>
        </is>
      </c>
      <c r="B100" s="88" t="n"/>
      <c r="C100" s="88" t="n"/>
    </row>
    <row r="101">
      <c r="A101" s="87" t="inlineStr">
        <is>
          <t>cloud_gmv_factor</t>
        </is>
      </c>
      <c r="B101" s="87" t="inlineStr">
        <is>
          <t>Cloud/Bn GMV = 0.5 Tr</t>
        </is>
      </c>
      <c r="C101" s="87" t="inlineStr">
        <is>
          <t>Cloud += ecom × share × 0.5</t>
        </is>
      </c>
    </row>
    <row r="102">
      <c r="A102" s="87" t="inlineStr">
        <is>
          <t>mkt_efficiency_per_100</t>
        </is>
      </c>
      <c r="B102" s="87" t="inlineStr">
        <is>
          <t>Giảm mkt/100 DN = 2%</t>
        </is>
      </c>
      <c r="C102" s="87" t="inlineStr">
        <is>
          <t>mkt × MAX(0.5, 1 - ent×2%/100)</t>
        </is>
      </c>
    </row>
    <row r="103">
      <c r="A103" s="87" t="inlineStr">
        <is>
          <t>support_scale_threshold</t>
        </is>
      </c>
      <c r="B103" s="87" t="inlineStr">
        <is>
          <t>Ngưỡng economies = 500 DN</t>
        </is>
      </c>
      <c r="C103" s="87" t="inlineStr">
        <is>
          <t>IF(ent&gt;500, cost×0.7, cost)</t>
        </is>
      </c>
    </row>
    <row r="104">
      <c r="A104" s="87" t="inlineStr">
        <is>
          <t>support_discount</t>
        </is>
      </c>
      <c r="B104" s="87" t="inlineStr">
        <is>
          <t>Giảm support = 30%</t>
        </is>
      </c>
      <c r="C104" s="87" t="inlineStr">
        <is>
          <t>Khi &gt; 500 DN: support × (1-0.3)</t>
        </is>
      </c>
    </row>
    <row r="105">
      <c r="A105" s="87" t="inlineStr">
        <is>
          <t>hr_bizops_per_100_ent</t>
        </is>
      </c>
      <c r="B105" s="87" t="inlineStr">
        <is>
          <t>BizOps/100 DN = 2.0</t>
        </is>
      </c>
      <c r="C105" s="87" t="inlineStr">
        <is>
          <t>MAX(floor, ent × 2 / 100)</t>
        </is>
      </c>
    </row>
    <row r="106">
      <c r="A106" s="87" t="inlineStr">
        <is>
          <t>cloud_elasticity</t>
        </is>
      </c>
      <c r="B106" s="87" t="inlineStr">
        <is>
          <t>Elasticity cloud = 1.2</t>
        </is>
      </c>
      <c r="C106" s="87" t="inlineStr">
        <is>
          <t>VCR × (ent/100)^0.2 = super-linear</t>
        </is>
      </c>
    </row>
    <row r="107">
      <c r="A107" s="87" t="inlineStr">
        <is>
          <t>bizops_floor</t>
        </is>
      </c>
      <c r="B107" s="87" t="inlineStr">
        <is>
          <t>Sàn BizOps = 2 người</t>
        </is>
      </c>
      <c r="C107" s="87" t="inlineStr">
        <is>
          <t>MIN headcount trước khi scaling</t>
        </is>
      </c>
    </row>
    <row r="108">
      <c r="A108" s="85" t="inlineStr">
        <is>
          <t>THỜI GIAN DOANH THU</t>
        </is>
      </c>
      <c r="B108" s="88" t="n"/>
      <c r="C108" s="88" t="n"/>
    </row>
    <row r="109">
      <c r="A109" s="87" t="inlineStr">
        <is>
          <t>months_to_first_revenue</t>
        </is>
      </c>
      <c r="B109" s="87" t="inlineStr">
        <is>
          <t>Tháng setup = 3</t>
        </is>
      </c>
      <c r="C109" s="87" t="inlineStr">
        <is>
          <t>0=DT ngay, 3=Th10/2025, 6=Th1/2026</t>
        </is>
      </c>
    </row>
    <row r="111">
      <c r="A111" s="85" t="inlineStr">
        <is>
          <t>5. CÔNG THỨC QUAN TRỌNG (Key Formulas)</t>
        </is>
      </c>
    </row>
    <row r="112">
      <c r="A112" s="86" t="inlineStr">
        <is>
          <t>Công thức</t>
        </is>
      </c>
      <c r="B112" s="86" t="inlineStr">
        <is>
          <t>Vị trí</t>
        </is>
      </c>
      <c r="C112" s="86" t="inlineStr">
        <is>
          <t>Giải thích</t>
        </is>
      </c>
    </row>
    <row r="113">
      <c r="A113" s="87" t="inlineStr">
        <is>
          <t>S-curve: MAX(pilot, max/(1+EXP(-k*(t-mid))))</t>
        </is>
      </c>
      <c r="B113" s="87" t="inlineStr">
        <is>
          <t>Market Sizing</t>
        </is>
      </c>
      <c r="C113" s="87" t="inlineStr">
        <is>
          <t>DN theo đường cong logistic. t = year fraction</t>
        </is>
      </c>
    </row>
    <row r="114">
      <c r="A114" s="87" t="inlineStr">
        <is>
          <t>Year frac: base_year+(start_month-1+idx)/12</t>
        </is>
      </c>
      <c r="B114" s="87" t="inlineStr">
        <is>
          <t>Market Sizing</t>
        </is>
      </c>
      <c r="C114" s="87" t="inlineStr">
        <is>
          <t>Chuyển period index → năm thập phân</t>
        </is>
      </c>
    </row>
    <row r="115">
      <c r="A115" s="87" t="inlineStr">
        <is>
          <t>Revenue gate: IF(idx&gt;=months_to_first_revenue,1,0)</t>
        </is>
      </c>
      <c r="B115" s="87" t="inlineStr">
        <is>
          <t>Revenue Schedule</t>
        </is>
      </c>
      <c r="C115" s="87" t="inlineStr">
        <is>
          <t>Tắt DT trước tháng bắt đầu</t>
        </is>
      </c>
    </row>
    <row r="116">
      <c r="A116" s="87" t="inlineStr">
        <is>
          <t>Cert: flag × net × cert_fee × (1+esc)^yr / div</t>
        </is>
      </c>
      <c r="B116" s="87" t="inlineStr">
        <is>
          <t>Revenue Schedule</t>
        </is>
      </c>
      <c r="C116" s="87" t="inlineStr">
        <is>
          <t>Phí chứng nhận, escalate hàng năm</t>
        </is>
      </c>
    </row>
    <row r="117">
      <c r="A117" s="87" t="inlineStr">
        <is>
          <t>Tx: IF(AND(flag,net≥gate), ecom×share×rate×1000, 0)</t>
        </is>
      </c>
      <c r="B117" s="87" t="inlineStr">
        <is>
          <t>Revenue Schedule</t>
        </is>
      </c>
      <c r="C117" s="87" t="inlineStr">
        <is>
          <t>Phí GD chỉ khi ≥300 DN + đã có DT</t>
        </is>
      </c>
    </row>
    <row r="118">
      <c r="A118" s="87" t="inlineStr">
        <is>
          <t>Salary: hc × named_sal × months × (1+esc)^yr × (1+bhxh)</t>
        </is>
      </c>
      <c r="B118" s="87" t="inlineStr">
        <is>
          <t>HR Plan</t>
        </is>
      </c>
      <c r="C118" s="87" t="inlineStr">
        <is>
          <t>Lương all-in: gốc + tăng + bảo hiểm</t>
        </is>
      </c>
    </row>
    <row r="119">
      <c r="A119" s="87" t="inlineStr">
        <is>
          <t>BizOps hc: MAX(floor, ROUND(net×ratio/100, 0))</t>
        </is>
      </c>
      <c r="B119" s="87" t="inlineStr">
        <is>
          <t>HR Plan</t>
        </is>
      </c>
      <c r="C119" s="87" t="inlineStr">
        <is>
          <t>Tự scale theo số doanh nghiệp</t>
        </is>
      </c>
    </row>
    <row r="120">
      <c r="A120" s="87" t="inlineStr">
        <is>
          <t>Cloud: base/div + VCR×per_1M×elasticity + GMV×factor</t>
        </is>
      </c>
      <c r="B120" s="87" t="inlineStr">
        <is>
          <t>Cost Schedule</t>
        </is>
      </c>
      <c r="C120" s="87" t="inlineStr">
        <is>
          <t>3 thành phần: cố định + biến đổi + GMV</t>
        </is>
      </c>
    </row>
    <row r="121">
      <c r="A121" s="87" t="inlineStr">
        <is>
          <t>Marketing: mkt×(1+growth)^yr/div × MAX(0.5,1-ent×eff)</t>
        </is>
      </c>
      <c r="B121" s="87" t="inlineStr">
        <is>
          <t>Cost Schedule</t>
        </is>
      </c>
      <c r="C121" s="87" t="inlineStr">
        <is>
          <t>Tăng trưởng + giảm hiệu quả theo DN</t>
        </is>
      </c>
    </row>
    <row r="122">
      <c r="A122" s="87" t="inlineStr">
        <is>
          <t>Support: flag × net × cost × economy_factor / div</t>
        </is>
      </c>
      <c r="B122" s="87" t="inlineStr">
        <is>
          <t>Cost Schedule</t>
        </is>
      </c>
      <c r="C122" s="87" t="inlineStr">
        <is>
          <t>Chỉ khi có DT, economies of scale &gt; 500 DN</t>
        </is>
      </c>
    </row>
    <row r="123">
      <c r="A123" s="87" t="inlineStr">
        <is>
          <t>Pilot: IF(idx&lt;months_to_first_revenue, cost/div, 0)</t>
        </is>
      </c>
      <c r="B123" s="87" t="inlineStr">
        <is>
          <t>Cost Schedule</t>
        </is>
      </c>
      <c r="C123" s="87" t="inlineStr">
        <is>
          <t>Chỉ trong giai đoạn setup</t>
        </is>
      </c>
    </row>
    <row r="124">
      <c r="A124" s="87" t="inlineStr">
        <is>
          <t>D&amp;A: -capex_total / depreciation_years / div</t>
        </is>
      </c>
      <c r="B124" s="87" t="inlineStr">
        <is>
          <t>P&amp;L</t>
        </is>
      </c>
      <c r="C124" s="87" t="inlineStr">
        <is>
          <t>Khấu hao 5 năm đường thẳng</t>
        </is>
      </c>
    </row>
    <row r="125">
      <c r="A125" s="87" t="inlineStr">
        <is>
          <t>CIT: IF(EBIT&gt;0, -EBIT×cit_rate, 0)</t>
        </is>
      </c>
      <c r="B125" s="87" t="inlineStr">
        <is>
          <t>P&amp;L</t>
        </is>
      </c>
      <c r="C125" s="87" t="inlineStr">
        <is>
          <t>Thuế 20% chỉ khi có lãi</t>
        </is>
      </c>
    </row>
    <row r="126">
      <c r="A126" s="87" t="inlineStr">
        <is>
          <t>Working capital: -ΔRevenue × ar_days / 365</t>
        </is>
      </c>
      <c r="B126" s="87" t="inlineStr">
        <is>
          <t>Cash Flow</t>
        </is>
      </c>
      <c r="C126" s="87" t="inlineStr">
        <is>
          <t>Tăng DT → cần thêm vốn lưu động</t>
        </is>
      </c>
    </row>
    <row r="127">
      <c r="A127" s="87" t="inlineStr">
        <is>
          <t>NPV: NPV(discount_rate, FCF_Y1:Y5) + FCF_Y0</t>
        </is>
      </c>
      <c r="B127" s="87" t="inlineStr">
        <is>
          <t>DCF &amp; Returns</t>
        </is>
      </c>
      <c r="C127" s="87" t="inlineStr">
        <is>
          <t>Giá trị quy về hiện tại</t>
        </is>
      </c>
    </row>
    <row r="128">
      <c r="A128" s="87" t="inlineStr">
        <is>
          <t>IRR: IFERROR(IRR(FCF_Y0:Y5), 'N/A')</t>
        </is>
      </c>
      <c r="B128" s="87" t="inlineStr">
        <is>
          <t>DCF &amp; Returns</t>
        </is>
      </c>
      <c r="C128" s="87" t="inlineStr">
        <is>
          <t>Tỷ suất khi NPV = 0</t>
        </is>
      </c>
    </row>
    <row r="130">
      <c r="A130" s="85" t="inlineStr">
        <is>
          <t>6. THUẬT NGỮ (Glossary — 30 terms)</t>
        </is>
      </c>
    </row>
    <row r="131">
      <c r="A131" s="86" t="inlineStr">
        <is>
          <t>Thuật ngữ</t>
        </is>
      </c>
      <c r="B131" s="86" t="inlineStr">
        <is>
          <t>Tên đầy đủ / Ý nghĩa</t>
        </is>
      </c>
      <c r="C131" s="86" t="inlineStr">
        <is>
          <t>Trong mô hình này</t>
        </is>
      </c>
    </row>
    <row r="132">
      <c r="A132" s="87" t="inlineStr">
        <is>
          <t>NPV</t>
        </is>
      </c>
      <c r="B132" s="87" t="inlineStr">
        <is>
          <t>Giá trị hiện tại ròng (Net Present Value)</t>
        </is>
      </c>
      <c r="C132" s="87" t="inlineStr">
        <is>
          <t>Tổng dòng tiền chiết khấu. Dương = tạo giá trị cho NĐT.</t>
        </is>
      </c>
    </row>
    <row r="133">
      <c r="A133" s="87" t="inlineStr">
        <is>
          <t>IRR</t>
        </is>
      </c>
      <c r="B133" s="87" t="inlineStr">
        <is>
          <t>Tỷ suất hoàn vốn nội bộ (Internal Rate of Return)</t>
        </is>
      </c>
      <c r="C133" s="87" t="inlineStr">
        <is>
          <t>WACC khi NPV = 0. IRR &gt; WACC → đáng đầu tư.</t>
        </is>
      </c>
    </row>
    <row r="134">
      <c r="A134" s="87" t="inlineStr">
        <is>
          <t>WACC</t>
        </is>
      </c>
      <c r="B134" s="87" t="inlineStr">
        <is>
          <t>Chi phí vốn bình quân (Weighted Avg Cost of Capital)</t>
        </is>
      </c>
      <c r="C134" s="87">
        <f> discount_rate = 15%. Lợi nhuận tối thiểu NĐT kỳ vọng.</f>
        <v/>
      </c>
    </row>
    <row r="135">
      <c r="A135" s="87" t="inlineStr">
        <is>
          <t>ROI</t>
        </is>
      </c>
      <c r="B135" s="87" t="inlineStr">
        <is>
          <t>Lợi nhuận trên đầu tư (Return on Investment)</t>
        </is>
      </c>
      <c r="C135" s="87">
        <f>(CF lũy kế + max burn) / max burn</f>
        <v/>
      </c>
    </row>
    <row r="136">
      <c r="A136" s="87" t="inlineStr">
        <is>
          <t>EBITDA</t>
        </is>
      </c>
      <c r="B136" s="87" t="inlineStr">
        <is>
          <t>LN trước lãi, thuế, khấu hao, TSCĐ</t>
        </is>
      </c>
      <c r="C136" s="87" t="inlineStr">
        <is>
          <t>LN hoạt động trước phi tiền mặt. Đo hiệu quả core biz.</t>
        </is>
      </c>
    </row>
    <row r="137">
      <c r="A137" s="87" t="inlineStr">
        <is>
          <t>EBIT</t>
        </is>
      </c>
      <c r="B137" s="87" t="inlineStr">
        <is>
          <t>LN trước lãi và thuế (Earnings Before Interest &amp; Tax)</t>
        </is>
      </c>
      <c r="C137" s="87">
        <f> EBITDA - Khấu hao. Basis cho tính thuế.</f>
        <v/>
      </c>
    </row>
    <row r="138">
      <c r="A138" s="87" t="inlineStr">
        <is>
          <t>CIT</t>
        </is>
      </c>
      <c r="B138" s="87" t="inlineStr">
        <is>
          <t>Thuế thu nhập doanh nghiệp (Corporate Income Tax)</t>
        </is>
      </c>
      <c r="C138" s="87" t="inlineStr">
        <is>
          <t>20% theo luật VN. Chỉ áp dụng khi EBIT &gt; 0.</t>
        </is>
      </c>
    </row>
    <row r="139">
      <c r="A139" s="87" t="inlineStr">
        <is>
          <t>FCF</t>
        </is>
      </c>
      <c r="B139" s="87" t="inlineStr">
        <is>
          <t>Dòng tiền tự do (Free Cash Flow)</t>
        </is>
      </c>
      <c r="C139" s="87">
        <f> OCF + ICF. Tiền thực có sau mọi chi tiêu.</f>
        <v/>
      </c>
    </row>
    <row r="140">
      <c r="A140" s="87" t="inlineStr">
        <is>
          <t>OCF</t>
        </is>
      </c>
      <c r="B140" s="87" t="inlineStr">
        <is>
          <t>Dòng tiền hoạt động (Operating Cash Flow)</t>
        </is>
      </c>
      <c r="C140" s="87">
        <f> Lãi ròng + Khấu hao - ΔVốn lưu động</f>
        <v/>
      </c>
    </row>
    <row r="141">
      <c r="A141" s="87" t="inlineStr">
        <is>
          <t>ICF</t>
        </is>
      </c>
      <c r="B141" s="87" t="inlineStr">
        <is>
          <t>Dòng tiền đầu tư (Investing Cash Flow)</t>
        </is>
      </c>
      <c r="C141" s="87">
        <f> -CAPEX. Tiền đổ vào tài sản.</f>
        <v/>
      </c>
    </row>
    <row r="142">
      <c r="A142" s="87" t="inlineStr">
        <is>
          <t>D&amp;A</t>
        </is>
      </c>
      <c r="B142" s="87" t="inlineStr">
        <is>
          <t>Khấu hao (Depreciation &amp; Amortization)</t>
        </is>
      </c>
      <c r="C142" s="87" t="inlineStr">
        <is>
          <t>Chi phí phi tiền mặt. Cộng lại vào OCF.</t>
        </is>
      </c>
    </row>
    <row r="143">
      <c r="A143" s="87" t="inlineStr">
        <is>
          <t>CAPEX</t>
        </is>
      </c>
      <c r="B143" s="87" t="inlineStr">
        <is>
          <t>Chi phí đầu tư (Capital Expenditure)</t>
        </is>
      </c>
      <c r="C143" s="87" t="inlineStr">
        <is>
          <t>5,280 Tr VND. Khấu hao 5 năm.</t>
        </is>
      </c>
    </row>
    <row r="144">
      <c r="A144" s="87" t="inlineStr">
        <is>
          <t>OPEX</t>
        </is>
      </c>
      <c r="B144" s="87" t="inlineStr">
        <is>
          <t>Chi phí hoạt động (Operating Expenditure)</t>
        </is>
      </c>
      <c r="C144" s="87" t="inlineStr">
        <is>
          <t>HR + Marketing + Cloud + Pháp lý + ...</t>
        </is>
      </c>
    </row>
    <row r="145">
      <c r="A145" s="87" t="inlineStr">
        <is>
          <t>COGS</t>
        </is>
      </c>
      <c r="B145" s="87" t="inlineStr">
        <is>
          <t>Giá vốn (Cost of Goods Sold)</t>
        </is>
      </c>
      <c r="C145" s="87">
        <f> payment_proc_pct × tx_revenue. Chi phí trực tiếp.</f>
        <v/>
      </c>
    </row>
    <row r="146">
      <c r="A146" s="87" t="inlineStr">
        <is>
          <t>BHXH</t>
        </is>
      </c>
      <c r="B146" s="87" t="inlineStr">
        <is>
          <t>Bảo hiểm xã hội (Social Insurance)</t>
        </is>
      </c>
      <c r="C146" s="87" t="inlineStr">
        <is>
          <t>DN đóng 21.5%: BHXH 17.5% + BHYT 3% + BHTN 1%</t>
        </is>
      </c>
    </row>
    <row r="147">
      <c r="A147" s="87" t="inlineStr">
        <is>
          <t>TAM</t>
        </is>
      </c>
      <c r="B147" s="87" t="inlineStr">
        <is>
          <t>Tổng thị trường (Total Addressable Market)</t>
        </is>
      </c>
      <c r="C147" s="87" t="inlineStr">
        <is>
          <t>40,000 DN du lịch VN</t>
        </is>
      </c>
    </row>
    <row r="148">
      <c r="A148" s="87" t="inlineStr">
        <is>
          <t>SAM</t>
        </is>
      </c>
      <c r="B148" s="87" t="inlineStr">
        <is>
          <t>Thị trường phục vụ được (Serviceable Addressable)</t>
        </is>
      </c>
      <c r="C148" s="87" t="inlineStr">
        <is>
          <t>15,000 DN hoạt động số</t>
        </is>
      </c>
    </row>
    <row r="149">
      <c r="A149" s="87" t="inlineStr">
        <is>
          <t>SOM</t>
        </is>
      </c>
      <c r="B149" s="87" t="inlineStr">
        <is>
          <t>Thị trường chiếm được (Serviceable Obtainable)</t>
        </is>
      </c>
      <c r="C149" s="87">
        <f> adoption_max = 1,200 DN</f>
        <v/>
      </c>
    </row>
    <row r="150">
      <c r="A150" s="87" t="inlineStr">
        <is>
          <t>GMV</t>
        </is>
      </c>
      <c r="B150" s="87" t="inlineStr">
        <is>
          <t>Tổng giá trị giao dịch (Gross Merchandise Value)</t>
        </is>
      </c>
      <c r="C150" s="87" t="inlineStr">
        <is>
          <t>TMĐT du lịch qua nền tảng VV</t>
        </is>
      </c>
    </row>
    <row r="151">
      <c r="A151" s="87" t="inlineStr">
        <is>
          <t>VCR</t>
        </is>
      </c>
      <c r="B151" s="87" t="inlineStr">
        <is>
          <t>Bản ghi du khách (Visitor Certified Records)</t>
        </is>
      </c>
      <c r="C151" s="87" t="inlineStr">
        <is>
          <t>Dữ liệu/DN. Cơ sở tính DaaS.</t>
        </is>
      </c>
    </row>
    <row r="152">
      <c r="A152" s="87" t="inlineStr">
        <is>
          <t>S-curve</t>
        </is>
      </c>
      <c r="B152" s="87" t="inlineStr">
        <is>
          <t>Đường cong logistic</t>
        </is>
      </c>
      <c r="C152" s="87" t="inlineStr">
        <is>
          <t>Tăng trưởng: chậm → nhanh → chậm. Midpoint = năm nhanh nhất.</t>
        </is>
      </c>
    </row>
    <row r="153">
      <c r="A153" s="87" t="inlineStr">
        <is>
          <t>Stage 1</t>
        </is>
      </c>
      <c r="B153" s="87" t="inlineStr">
        <is>
          <t>Giai đoạn chứng nhận (2025-2027)</t>
        </is>
      </c>
      <c r="C153" s="87" t="inlineStr">
        <is>
          <t>DT: cert + training + audit. Không cần GMV.</t>
        </is>
      </c>
    </row>
    <row r="154">
      <c r="A154" s="87" t="inlineStr">
        <is>
          <t>Stage 2</t>
        </is>
      </c>
      <c r="B154" s="87" t="inlineStr">
        <is>
          <t>Giai đoạn giao dịch (2028-2030)</t>
        </is>
      </c>
      <c r="C154" s="87" t="inlineStr">
        <is>
          <t>DT: tx + DaaS + ads. Cần ≥ 300 DN.</t>
        </is>
      </c>
    </row>
    <row r="155">
      <c r="A155" s="87" t="inlineStr">
        <is>
          <t>Gate</t>
        </is>
      </c>
      <c r="B155" s="87" t="inlineStr">
        <is>
          <t>Ngưỡng kích hoạt GĐ2</t>
        </is>
      </c>
      <c r="C155" s="87">
        <f> stage2_gate = 300 DN. IF(net ≥ 300, activate).</f>
        <v/>
      </c>
    </row>
    <row r="156">
      <c r="A156" s="87" t="inlineStr">
        <is>
          <t>Churn</t>
        </is>
      </c>
      <c r="B156" s="87" t="inlineStr">
        <is>
          <t>Tỷ lệ rời bỏ (Non-renewal rate)</t>
        </is>
      </c>
      <c r="C156" s="87" t="inlineStr">
        <is>
          <t>20%/năm. Giảm net_enterprises.</t>
        </is>
      </c>
    </row>
    <row r="157">
      <c r="A157" s="87" t="inlineStr">
        <is>
          <t>Named Range</t>
        </is>
      </c>
      <c r="B157" s="87" t="inlineStr">
        <is>
          <t>Tên Excel cho 1 ô</t>
        </is>
      </c>
      <c r="C157" s="87" t="inlineStr">
        <is>
          <t>VD: cert_fee_yr1 → Assumptions!$B$26</t>
        </is>
      </c>
    </row>
    <row r="158">
      <c r="A158" s="87" t="inlineStr">
        <is>
          <t>Placeholder</t>
        </is>
      </c>
      <c r="B158" s="87" t="inlineStr">
        <is>
          <t>Ô vàng + chữ xanh</t>
        </is>
      </c>
      <c r="C158" s="87" t="inlineStr">
        <is>
          <t>Đầu vào chỉnh được. Sửa → mô hình tự cập nhật.</t>
        </is>
      </c>
    </row>
    <row r="159">
      <c r="A159" s="87" t="inlineStr">
        <is>
          <t>Period Index</t>
        </is>
      </c>
      <c r="B159" s="87" t="inlineStr">
        <is>
          <t>Chỉ số kỳ (0-41)</t>
        </is>
      </c>
      <c r="C159" s="87" t="inlineStr">
        <is>
          <t>0 = Th7/2025, 5 = Th12/2025, 41 = Q4/2030</t>
        </is>
      </c>
    </row>
    <row r="160">
      <c r="A160" s="87" t="inlineStr">
        <is>
          <t>Year Fraction</t>
        </is>
      </c>
      <c r="B160" s="87" t="inlineStr">
        <is>
          <t>Năm thập phân</t>
        </is>
      </c>
      <c r="C160" s="87" t="inlineStr">
        <is>
          <t>2025.500 = giữa năm 2025 (Th7)</t>
        </is>
      </c>
    </row>
    <row r="161">
      <c r="A161" s="87" t="inlineStr">
        <is>
          <t>Cascading</t>
        </is>
      </c>
      <c r="B161" s="87" t="inlineStr">
        <is>
          <t>Quan hệ liên hoàn giữa giả định</t>
        </is>
      </c>
      <c r="C161" s="87" t="inlineStr">
        <is>
          <t>↑ market_share → ↑ GMV → ↑ cloud cost</t>
        </is>
      </c>
    </row>
    <row r="163">
      <c r="A163" s="85" t="inlineStr">
        <is>
          <t>7. ĐIỀU KHIỂN THỜI GIAN DOANH THU</t>
        </is>
      </c>
    </row>
    <row r="164">
      <c r="A164" s="86" t="inlineStr">
        <is>
          <t>Giá trị</t>
        </is>
      </c>
      <c r="B164" s="86" t="inlineStr">
        <is>
          <t>Kết quả</t>
        </is>
      </c>
      <c r="C164" s="86" t="inlineStr">
        <is>
          <t>Tương ứng thực tế</t>
        </is>
      </c>
    </row>
    <row r="165">
      <c r="A165" s="87" t="inlineStr">
        <is>
          <t>months_to_first_revenue = 0</t>
        </is>
      </c>
      <c r="B165" s="87" t="inlineStr">
        <is>
          <t>Doanh thu từ tháng 7/2025 (ngay khi bắt đầu)</t>
        </is>
      </c>
      <c r="C165" s="87" t="inlineStr">
        <is>
          <t>Không thực tế — cần thời gian phát triển</t>
        </is>
      </c>
    </row>
    <row r="166">
      <c r="A166" s="87" t="inlineStr">
        <is>
          <t>months_to_first_revenue = 3</t>
        </is>
      </c>
      <c r="B166" s="87" t="inlineStr">
        <is>
          <t>Doanh thu từ tháng 10/2025 (MẶC ĐỊNH)</t>
        </is>
      </c>
      <c r="C166" s="87" t="inlineStr">
        <is>
          <t>3 tháng setup (Jul-Sep), DT từ Oct</t>
        </is>
      </c>
    </row>
    <row r="167">
      <c r="A167" s="87" t="inlineStr">
        <is>
          <t>months_to_first_revenue = 6</t>
        </is>
      </c>
      <c r="B167" s="87" t="inlineStr">
        <is>
          <t>Doanh thu từ tháng 1/2026</t>
        </is>
      </c>
      <c r="C167" s="87" t="inlineStr">
        <is>
          <t>6 tháng phát triển, DT năm sau</t>
        </is>
      </c>
    </row>
    <row r="168">
      <c r="A168" s="87" t="inlineStr">
        <is>
          <t>months_to_first_revenue = 12</t>
        </is>
      </c>
      <c r="B168" s="87" t="inlineStr">
        <is>
          <t>Doanh thu từ tháng 7/2026</t>
        </is>
      </c>
      <c r="C168" s="87" t="inlineStr">
        <is>
          <t>1 năm full phát triển</t>
        </is>
      </c>
    </row>
    <row r="170">
      <c r="A170" s="89" t="inlineStr">
        <is>
          <t>Khi thay đổi months_to_first_revenue, các sheet sau TỰ ĐỘNG cập nhật:</t>
        </is>
      </c>
    </row>
    <row r="171">
      <c r="A171" s="90" t="inlineStr">
        <is>
          <t>• Revenue Schedule: Tất cả 6 nguồn DT = 0 trước tháng bắt đầu</t>
        </is>
      </c>
    </row>
    <row r="172">
      <c r="A172" s="90" t="inlineStr">
        <is>
          <t>• Cost Schedule: Support = 0 trước khi có khách hàng</t>
        </is>
      </c>
    </row>
    <row r="173">
      <c r="A173" s="90" t="inlineStr">
        <is>
          <t>• Cost Schedule: Pilot eval chỉ trong giai đoạn setup (trước DT)</t>
        </is>
      </c>
    </row>
    <row r="174">
      <c r="A174" s="90" t="inlineStr">
        <is>
          <t>• P&amp;L: Cập nhật theo Revenue → EBIT → Thuế</t>
        </is>
      </c>
    </row>
    <row r="175">
      <c r="A175" s="90" t="inlineStr">
        <is>
          <t>• Cash Flow: FCF thay đổi → NPV/IRR thay đổi</t>
        </is>
      </c>
    </row>
    <row r="176">
      <c r="A176" s="90" t="inlineStr">
        <is>
          <t>• Sensitivity: 235 ô NPV tự tính lại</t>
        </is>
      </c>
    </row>
    <row r="178">
      <c r="A178" s="85" t="inlineStr">
        <is>
          <t>8. SƠ ĐỒ QUAN HỆ CASCADING</t>
        </is>
      </c>
    </row>
    <row r="179">
      <c r="A179" s="86" t="inlineStr">
        <is>
          <t>Khi thay đổi...</t>
        </is>
      </c>
      <c r="B179" s="86" t="inlineStr">
        <is>
          <t>...dẫn đến...</t>
        </is>
      </c>
      <c r="C179" s="86" t="inlineStr">
        <is>
          <t>...ảnh hưởng cuối cùng</t>
        </is>
      </c>
    </row>
    <row r="180">
      <c r="A180" s="87" t="inlineStr">
        <is>
          <t>adoption_max ↑</t>
        </is>
      </c>
      <c r="B180" s="87" t="inlineStr">
        <is>
          <t>→ net_enterprises ↑</t>
        </is>
      </c>
      <c r="C180" s="87" t="inlineStr">
        <is>
          <t>→ Revenue ↑ (cert, training, audit) + HR BizOps ↑ + Cloud ↑ + Support ↑</t>
        </is>
      </c>
    </row>
    <row r="181">
      <c r="A181" s="87" t="inlineStr">
        <is>
          <t>platform_market_share ↑</t>
        </is>
      </c>
      <c r="B181" s="87" t="inlineStr">
        <is>
          <t>→ GMV ↑</t>
        </is>
      </c>
      <c r="C181" s="87" t="inlineStr">
        <is>
          <t>→ Tx revenue ↑ + Cloud cost ↑ (GMV factor) + COGS ↑ (payment)</t>
        </is>
      </c>
    </row>
    <row r="182">
      <c r="A182" s="87" t="inlineStr">
        <is>
          <t>churn_rate ↑</t>
        </is>
      </c>
      <c r="B182" s="87" t="inlineStr">
        <is>
          <t>→ net_enterprises ↓</t>
        </is>
      </c>
      <c r="C182" s="87" t="inlineStr">
        <is>
          <t>→ All revenue ↓ + Marketing pressure ↑ + Cost/DN ↑</t>
        </is>
      </c>
    </row>
    <row r="183">
      <c r="A183" s="87" t="inlineStr">
        <is>
          <t>cert_fee_yr1 ↑</t>
        </is>
      </c>
      <c r="B183" s="87" t="inlineStr">
        <is>
          <t>→ Stage 1 revenue ↑</t>
        </is>
      </c>
      <c r="C183" s="87" t="inlineStr">
        <is>
          <t>→ But may increase churn (price sensitivity)</t>
        </is>
      </c>
    </row>
    <row r="184">
      <c r="A184" s="87" t="inlineStr">
        <is>
          <t>discount_rate ↑</t>
        </is>
      </c>
      <c r="B184" s="87" t="inlineStr">
        <is>
          <t>→ NPV ↓</t>
        </is>
      </c>
      <c r="C184" s="87" t="inlineStr">
        <is>
          <t>→ Future CFs worth less. No operational impact.</t>
        </is>
      </c>
    </row>
    <row r="186">
      <c r="A186" s="85" t="inlineStr">
        <is>
          <t>9. LỊCH SỬ PHIÊN BẢN</t>
        </is>
      </c>
    </row>
    <row r="187">
      <c r="A187" s="86" t="inlineStr">
        <is>
          <t>Phiên bản</t>
        </is>
      </c>
      <c r="B187" s="86" t="inlineStr">
        <is>
          <t>Ngày</t>
        </is>
      </c>
      <c r="C187" s="86" t="inlineStr">
        <is>
          <t>Thay đổi chính</t>
        </is>
      </c>
    </row>
    <row r="188">
      <c r="A188" s="87" t="inlineStr">
        <is>
          <t>v1</t>
        </is>
      </c>
      <c r="B188" s="87" t="inlineStr">
        <is>
          <t>2026-03-21</t>
        </is>
      </c>
      <c r="C188" s="87" t="inlineStr">
        <is>
          <t>Mô hình ban đầu (3.0/10 — thiếu CIT, giả định phi thực tế)</t>
        </is>
      </c>
    </row>
    <row r="189">
      <c r="A189" s="87" t="inlineStr">
        <is>
          <t>v2</t>
        </is>
      </c>
      <c r="B189" s="87" t="inlineStr">
        <is>
          <t>2026-03-21</t>
        </is>
      </c>
      <c r="C189" s="87" t="inlineStr">
        <is>
          <t>Named ranges, Guide, Initial Investment, HR Plan riêng</t>
        </is>
      </c>
    </row>
    <row r="190">
      <c r="A190" s="87" t="inlineStr">
        <is>
          <t>v3</t>
        </is>
      </c>
      <c r="B190" s="87" t="inlineStr">
        <is>
          <t>2026-03-21</t>
        </is>
      </c>
      <c r="C190" s="87" t="inlineStr">
        <is>
          <t>Sửa NPV/IRR quá cao, thêm Scenarios + Budget 2025/2026</t>
        </is>
      </c>
    </row>
    <row r="191">
      <c r="A191" s="87" t="inlineStr">
        <is>
          <t>v4</t>
        </is>
      </c>
      <c r="B191" s="87" t="inlineStr">
        <is>
          <t>2026-03-21</t>
        </is>
      </c>
      <c r="C191" s="87" t="inlineStr">
        <is>
          <t>Rebuild toàn bộ — sửa named ranges bị lệch do chèn hàng</t>
        </is>
      </c>
    </row>
    <row r="192">
      <c r="A192" s="87" t="inlineStr">
        <is>
          <t>v5</t>
        </is>
      </c>
      <c r="B192" s="87" t="inlineStr">
        <is>
          <t>2026-03-21</t>
        </is>
      </c>
      <c r="C192" s="87" t="inlineStr">
        <is>
          <t>Thêm cascading relationships, cập nhật Cloud/Marketing/Support</t>
        </is>
      </c>
    </row>
    <row r="193">
      <c r="A193" s="87" t="inlineStr">
        <is>
          <t>v6.0</t>
        </is>
      </c>
      <c r="B193" s="87" t="inlineStr">
        <is>
          <t>2026-03-21</t>
        </is>
      </c>
      <c r="C193" s="87" t="inlineStr">
        <is>
          <t>HR BizOps scaling, Sensitivity 235 ô NPV tính sẵn</t>
        </is>
      </c>
    </row>
    <row r="194">
      <c r="A194" s="87" t="inlineStr">
        <is>
          <t>v6.1</t>
        </is>
      </c>
      <c r="B194" s="87" t="inlineStr">
        <is>
          <t>2026-03-21</t>
        </is>
      </c>
      <c r="C194" s="87" t="inlineStr">
        <is>
          <t>months_to_first_revenue gate, Guide toàn diện, 55 named ranges</t>
        </is>
      </c>
    </row>
  </sheetData>
  <mergeCells count="8">
    <mergeCell ref="A175:C175"/>
    <mergeCell ref="A170:C170"/>
    <mergeCell ref="A1:C1"/>
    <mergeCell ref="A173:C173"/>
    <mergeCell ref="A174:C174"/>
    <mergeCell ref="A176:C176"/>
    <mergeCell ref="A172:C172"/>
    <mergeCell ref="A171:C17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FD700"/>
    <outlinePr summaryBelow="1" summaryRight="1"/>
    <pageSetUpPr/>
  </sheetPr>
  <dimension ref="A1:D104"/>
  <sheetViews>
    <sheetView tabSelected="1" topLeftCell="A72" workbookViewId="0">
      <selection activeCell="A90" sqref="A90"/>
    </sheetView>
  </sheetViews>
  <sheetFormatPr baseColWidth="8" defaultRowHeight="14.4"/>
  <cols>
    <col width="42" customWidth="1" style="62" min="1" max="1"/>
    <col width="18" customWidth="1" style="62" min="2" max="2"/>
    <col width="42.5546875" bestFit="1" customWidth="1" style="62" min="3" max="3"/>
    <col width="45" customWidth="1" style="62" min="4" max="4"/>
  </cols>
  <sheetData>
    <row r="1" ht="18" customHeight="1" s="62">
      <c r="A1" s="65" t="inlineStr">
        <is>
          <t>VISIT VIETNAM — FINANCIAL MODEL v6 — ASSUMPTIONS</t>
        </is>
      </c>
    </row>
    <row r="2">
      <c r="A2" s="1" t="inlineStr">
        <is>
          <t>v6.1 | Revenue timing control + cascading relationships + 55 named ranges</t>
        </is>
      </c>
    </row>
    <row r="3"/>
    <row r="4">
      <c r="A4" s="29" t="inlineStr">
        <is>
          <t>TIMING</t>
        </is>
      </c>
      <c r="B4" s="2" t="n"/>
      <c r="C4" s="2" t="n"/>
      <c r="D4" s="2" t="n"/>
    </row>
    <row r="5">
      <c r="A5" s="3" t="inlineStr">
        <is>
          <t>Parameter</t>
        </is>
      </c>
      <c r="B5" s="3" t="inlineStr">
        <is>
          <t>Value</t>
        </is>
      </c>
      <c r="C5" s="3" t="inlineStr">
        <is>
          <t>Unit</t>
        </is>
      </c>
      <c r="D5" s="3" t="inlineStr">
        <is>
          <t>Notes</t>
        </is>
      </c>
    </row>
    <row r="6">
      <c r="A6" s="4" t="inlineStr">
        <is>
          <t>Base year</t>
        </is>
      </c>
      <c r="B6" s="5" t="n">
        <v>2025</v>
      </c>
      <c r="C6" s="4" t="inlineStr">
        <is>
          <t>Year</t>
        </is>
      </c>
      <c r="D6" s="6" t="inlineStr">
        <is>
          <t>Project start year</t>
        </is>
      </c>
    </row>
    <row r="7">
      <c r="A7" s="4" t="inlineStr">
        <is>
          <t>Start month</t>
        </is>
      </c>
      <c r="B7" s="5" t="n">
        <v>7</v>
      </c>
      <c r="C7" s="4" t="inlineStr">
        <is>
          <t>Month</t>
        </is>
      </c>
      <c r="D7" s="6" t="inlineStr">
        <is>
          <t>July=7</t>
        </is>
      </c>
    </row>
    <row r="8"/>
    <row r="9">
      <c r="A9" s="29" t="inlineStr">
        <is>
          <t>MARKET DATA</t>
        </is>
      </c>
      <c r="B9" s="2" t="n"/>
      <c r="C9" s="2" t="n"/>
      <c r="D9" s="2" t="n"/>
    </row>
    <row r="10">
      <c r="A10" s="3" t="inlineStr">
        <is>
          <t>Parameter</t>
        </is>
      </c>
      <c r="B10" s="3" t="inlineStr">
        <is>
          <t>Value</t>
        </is>
      </c>
      <c r="C10" s="3" t="inlineStr">
        <is>
          <t>Unit</t>
        </is>
      </c>
      <c r="D10" s="3" t="inlineStr">
        <is>
          <t>Notes</t>
        </is>
      </c>
    </row>
    <row r="11">
      <c r="A11" s="4" t="inlineStr">
        <is>
          <t>Total tourism enterprises</t>
        </is>
      </c>
      <c r="B11" s="5" t="n">
        <v>40000</v>
      </c>
      <c r="C11" s="4" t="n"/>
      <c r="D11" s="6" t="inlineStr">
        <is>
          <t>GSO/VNAT</t>
        </is>
      </c>
    </row>
    <row r="12">
      <c r="A12" s="4" t="inlineStr">
        <is>
          <t>Serviceable enterprises</t>
        </is>
      </c>
      <c r="B12" s="5" t="n">
        <v>15000</v>
      </c>
      <c r="C12" s="4" t="n"/>
      <c r="D12" s="6" t="inlineStr">
        <is>
          <t>Digitally active</t>
        </is>
      </c>
    </row>
    <row r="13">
      <c r="A13" s="4" t="inlineStr">
        <is>
          <t>E-commerce tourism market (base yr)</t>
        </is>
      </c>
      <c r="B13" s="5" t="n">
        <v>82500</v>
      </c>
      <c r="C13" s="4" t="inlineStr">
        <is>
          <t>Bn VND</t>
        </is>
      </c>
      <c r="D13" s="6" t="inlineStr">
        <is>
          <t>e-Conomy SEA</t>
        </is>
      </c>
    </row>
    <row r="14">
      <c r="A14" s="4" t="inlineStr">
        <is>
          <t>E-tourism YoY growth</t>
        </is>
      </c>
      <c r="B14" s="7" t="n">
        <v>0.08</v>
      </c>
      <c r="C14" s="4" t="inlineStr">
        <is>
          <t>%</t>
        </is>
      </c>
      <c r="D14" s="6" t="inlineStr">
        <is>
          <t>Historical</t>
        </is>
      </c>
    </row>
    <row r="15"/>
    <row r="16">
      <c r="A16" s="29" t="inlineStr">
        <is>
          <t>ADOPTION S-CURVE</t>
        </is>
      </c>
      <c r="B16" s="2" t="n"/>
      <c r="C16" s="2" t="n"/>
      <c r="D16" s="2" t="n"/>
    </row>
    <row r="17">
      <c r="A17" s="3" t="inlineStr">
        <is>
          <t>Parameter</t>
        </is>
      </c>
      <c r="B17" s="3" t="inlineStr">
        <is>
          <t>Value</t>
        </is>
      </c>
      <c r="C17" s="3" t="inlineStr">
        <is>
          <t>Unit</t>
        </is>
      </c>
      <c r="D17" s="3" t="inlineStr">
        <is>
          <t>Notes</t>
        </is>
      </c>
    </row>
    <row r="18">
      <c r="A18" s="4" t="inlineStr">
        <is>
          <t>Maximum enterprises (ceiling)</t>
        </is>
      </c>
      <c r="B18" s="5" t="n">
        <v>1200</v>
      </c>
      <c r="C18" s="4" t="n"/>
      <c r="D18" s="6" t="inlineStr">
        <is>
          <t>S-curve asymptote (v3: was 3000)</t>
        </is>
      </c>
    </row>
    <row r="19">
      <c r="A19" s="4" t="inlineStr">
        <is>
          <t>Midpoint year</t>
        </is>
      </c>
      <c r="B19" s="5" t="n">
        <v>2028</v>
      </c>
      <c r="C19" s="4" t="inlineStr">
        <is>
          <t>Year</t>
        </is>
      </c>
      <c r="D19" s="6" t="inlineStr">
        <is>
          <t>Inflection point</t>
        </is>
      </c>
    </row>
    <row r="20">
      <c r="A20" s="4" t="inlineStr">
        <is>
          <t>Steepness factor</t>
        </is>
      </c>
      <c r="B20" s="8" t="n">
        <v>0.9</v>
      </c>
      <c r="C20" s="4" t="n"/>
      <c r="D20" s="6" t="inlineStr">
        <is>
          <t>v3: was 1.2</t>
        </is>
      </c>
    </row>
    <row r="21">
      <c r="A21" s="4" t="inlineStr">
        <is>
          <t>Starting enterprises</t>
        </is>
      </c>
      <c r="B21" s="5" t="n">
        <v>15</v>
      </c>
      <c r="C21" s="4" t="n"/>
      <c r="D21" s="6" t="inlineStr">
        <is>
          <t>Pilot partners</t>
        </is>
      </c>
    </row>
    <row r="22">
      <c r="A22" s="4" t="inlineStr">
        <is>
          <t>Annual non-renewal rate</t>
        </is>
      </c>
      <c r="B22" s="7" t="n">
        <v>0.2</v>
      </c>
      <c r="C22" s="4" t="inlineStr">
        <is>
          <t>%</t>
        </is>
      </c>
      <c r="D22" s="6" t="inlineStr">
        <is>
          <t>v3: was 0.15</t>
        </is>
      </c>
    </row>
    <row r="23"/>
    <row r="24">
      <c r="A24" s="29" t="inlineStr">
        <is>
          <t>PRICING</t>
        </is>
      </c>
      <c r="B24" s="2" t="n"/>
      <c r="C24" s="2" t="n"/>
      <c r="D24" s="2" t="n"/>
    </row>
    <row r="25">
      <c r="A25" s="3" t="inlineStr">
        <is>
          <t>Parameter</t>
        </is>
      </c>
      <c r="B25" s="3" t="inlineStr">
        <is>
          <t>Value</t>
        </is>
      </c>
      <c r="C25" s="3" t="inlineStr">
        <is>
          <t>Unit</t>
        </is>
      </c>
      <c r="D25" s="3" t="inlineStr">
        <is>
          <t>Notes</t>
        </is>
      </c>
    </row>
    <row r="26">
      <c r="A26" s="4" t="inlineStr">
        <is>
          <t>Certification fee/enterprise/yr</t>
        </is>
      </c>
      <c r="B26" s="5" t="n">
        <v>25</v>
      </c>
      <c r="C26" s="4" t="inlineStr">
        <is>
          <t>M VND</t>
        </is>
      </c>
      <c r="D26" s="6" t="inlineStr">
        <is>
          <t>v3: was 30M</t>
        </is>
      </c>
    </row>
    <row r="27">
      <c r="A27" s="4" t="inlineStr">
        <is>
          <t>Cert fee annual increase</t>
        </is>
      </c>
      <c r="B27" s="7" t="n">
        <v>0.05</v>
      </c>
      <c r="C27" s="4" t="inlineStr">
        <is>
          <t>%</t>
        </is>
      </c>
      <c r="D27" s="6" t="inlineStr">
        <is>
          <t>v3: was 0.08</t>
        </is>
      </c>
    </row>
    <row r="28">
      <c r="A28" s="4" t="inlineStr">
        <is>
          <t>Transaction fee (% of GMV)</t>
        </is>
      </c>
      <c r="B28" s="7" t="n">
        <v>0.02</v>
      </c>
      <c r="C28" s="4" t="inlineStr">
        <is>
          <t>%</t>
        </is>
      </c>
      <c r="D28" s="6" t="inlineStr">
        <is>
          <t>Platform commission</t>
        </is>
      </c>
    </row>
    <row r="29">
      <c r="A29" s="4" t="inlineStr">
        <is>
          <t>% e-tourism GMV via VV</t>
        </is>
      </c>
      <c r="B29" s="7" t="n">
        <v>0.02</v>
      </c>
      <c r="C29" s="4" t="inlineStr">
        <is>
          <t>%</t>
        </is>
      </c>
      <c r="D29" s="6" t="inlineStr">
        <is>
          <t>v3: was 0.02</t>
        </is>
      </c>
    </row>
    <row r="30">
      <c r="A30" s="4" t="inlineStr">
        <is>
          <t>DaaS price per M VCR</t>
        </is>
      </c>
      <c r="B30" s="5" t="n">
        <v>30</v>
      </c>
      <c r="C30" s="4" t="inlineStr">
        <is>
          <t>M VND</t>
        </is>
      </c>
      <c r="D30" s="6" t="inlineStr">
        <is>
          <t>v3: was 50</t>
        </is>
      </c>
    </row>
    <row r="31">
      <c r="A31" s="4" t="inlineStr">
        <is>
          <t>Advertising CPM</t>
        </is>
      </c>
      <c r="B31" s="5" t="n">
        <v>150</v>
      </c>
      <c r="C31" s="4" t="inlineStr">
        <is>
          <t>K VND</t>
        </is>
      </c>
      <c r="D31" s="6" t="inlineStr">
        <is>
          <t>B2B benchmark</t>
        </is>
      </c>
    </row>
    <row r="32">
      <c r="A32" s="4" t="inlineStr">
        <is>
          <t>Monthly impressions (K)</t>
        </is>
      </c>
      <c r="B32" s="5" t="n">
        <v>500</v>
      </c>
      <c r="C32" s="4" t="inlineStr">
        <is>
          <t>K</t>
        </is>
      </c>
      <c r="D32" s="6" t="inlineStr">
        <is>
          <t>Scales w/ enterprises</t>
        </is>
      </c>
    </row>
    <row r="33">
      <c r="A33" s="4" t="inlineStr">
        <is>
          <t>Training fee per engagement</t>
        </is>
      </c>
      <c r="B33" s="5" t="n">
        <v>15</v>
      </c>
      <c r="C33" s="4" t="inlineStr">
        <is>
          <t>M VND</t>
        </is>
      </c>
      <c r="D33" s="6" t="inlineStr">
        <is>
          <t>NEW stream</t>
        </is>
      </c>
    </row>
    <row r="34">
      <c r="A34" s="4" t="inlineStr">
        <is>
          <t>Audit fee per certification</t>
        </is>
      </c>
      <c r="B34" s="5" t="n">
        <v>10</v>
      </c>
      <c r="C34" s="4" t="inlineStr">
        <is>
          <t>M VND</t>
        </is>
      </c>
      <c r="D34" s="6" t="inlineStr">
        <is>
          <t>NEW stream</t>
        </is>
      </c>
    </row>
    <row r="35">
      <c r="A35" s="4" t="inlineStr">
        <is>
          <t>% enterprises buying training</t>
        </is>
      </c>
      <c r="B35" s="7" t="n">
        <v>0.3</v>
      </c>
      <c r="C35" s="4" t="inlineStr">
        <is>
          <t>%</t>
        </is>
      </c>
      <c r="D35" s="6" t="inlineStr">
        <is>
          <t>Estimated</t>
        </is>
      </c>
    </row>
    <row r="36"/>
    <row r="37">
      <c r="A37" s="29" t="inlineStr">
        <is>
          <t>COST PARAMETERS</t>
        </is>
      </c>
      <c r="B37" s="2" t="n"/>
      <c r="C37" s="2" t="n"/>
      <c r="D37" s="2" t="n"/>
    </row>
    <row r="38">
      <c r="A38" s="3" t="inlineStr">
        <is>
          <t>Parameter</t>
        </is>
      </c>
      <c r="B38" s="3" t="inlineStr">
        <is>
          <t>Value</t>
        </is>
      </c>
      <c r="C38" s="3" t="inlineStr">
        <is>
          <t>Unit</t>
        </is>
      </c>
      <c r="D38" s="3" t="inlineStr">
        <is>
          <t>Notes</t>
        </is>
      </c>
    </row>
    <row r="39">
      <c r="A39" s="4" t="inlineStr">
        <is>
          <t>Maintenance (% of CAPEX/yr)</t>
        </is>
      </c>
      <c r="B39" s="7" t="n">
        <v>0.18</v>
      </c>
      <c r="C39" s="4" t="inlineStr">
        <is>
          <t>%</t>
        </is>
      </c>
      <c r="D39" s="6" t="inlineStr">
        <is>
          <t>Industry 15-20%</t>
        </is>
      </c>
    </row>
    <row r="40">
      <c r="A40" s="4" t="inlineStr">
        <is>
          <t>Marketing (annual base)</t>
        </is>
      </c>
      <c r="B40" s="5" t="n">
        <v>7000</v>
      </c>
      <c r="C40" s="4" t="inlineStr">
        <is>
          <t>M VND</t>
        </is>
      </c>
      <c r="D40" s="6" t="inlineStr">
        <is>
          <t>v3: was 6000</t>
        </is>
      </c>
    </row>
    <row r="41">
      <c r="A41" s="4" t="inlineStr">
        <is>
          <t>Marketing annual growth</t>
        </is>
      </c>
      <c r="B41" s="7" t="n">
        <v>0.15</v>
      </c>
      <c r="C41" s="4" t="inlineStr">
        <is>
          <t>%</t>
        </is>
      </c>
      <c r="D41" s="6" t="inlineStr">
        <is>
          <t>v3: was 0.10</t>
        </is>
      </c>
    </row>
    <row r="42">
      <c r="A42" s="4" t="inlineStr">
        <is>
          <t>Cloud base (annual)</t>
        </is>
      </c>
      <c r="B42" s="5" t="n">
        <v>3250</v>
      </c>
      <c r="C42" s="4" t="inlineStr">
        <is>
          <t>M VND</t>
        </is>
      </c>
      <c r="D42" s="6" t="inlineStr">
        <is>
          <t>From original data</t>
        </is>
      </c>
    </row>
    <row r="43">
      <c r="A43" s="4" t="inlineStr">
        <is>
          <t>Cloud cost per M VCR</t>
        </is>
      </c>
      <c r="B43" s="5" t="n">
        <v>8</v>
      </c>
      <c r="C43" s="4" t="inlineStr">
        <is>
          <t>M VND</t>
        </is>
      </c>
      <c r="D43" s="6" t="inlineStr">
        <is>
          <t>v3: was 5</t>
        </is>
      </c>
    </row>
    <row r="44">
      <c r="A44" s="4" t="inlineStr">
        <is>
          <t>VCR per enterprise/month</t>
        </is>
      </c>
      <c r="B44" s="5" t="n">
        <v>10000</v>
      </c>
      <c r="C44" s="4" t="inlineStr">
        <is>
          <t>records</t>
        </is>
      </c>
      <c r="D44" s="6" t="inlineStr">
        <is>
          <t>Traffic estimate</t>
        </is>
      </c>
    </row>
    <row r="45">
      <c r="A45" s="4" t="inlineStr">
        <is>
          <t>External affairs (annual)</t>
        </is>
      </c>
      <c r="B45" s="5" t="n">
        <v>400</v>
      </c>
      <c r="C45" s="4" t="inlineStr">
        <is>
          <t>M VND</t>
        </is>
      </c>
      <c r="D45" s="6" t="inlineStr">
        <is>
          <t>Current data</t>
        </is>
      </c>
    </row>
    <row r="46">
      <c r="A46" s="4" t="inlineStr">
        <is>
          <t>Legal &amp; compliance (annual)</t>
        </is>
      </c>
      <c r="B46" s="5" t="n">
        <v>240</v>
      </c>
      <c r="C46" s="4" t="inlineStr">
        <is>
          <t>M VND</t>
        </is>
      </c>
      <c r="D46" s="6" t="inlineStr">
        <is>
          <t>Current data</t>
        </is>
      </c>
    </row>
    <row r="47">
      <c r="A47" s="4" t="inlineStr">
        <is>
          <t>Branding &amp; events (annual)</t>
        </is>
      </c>
      <c r="B47" s="5" t="n">
        <v>4000</v>
      </c>
      <c r="C47" s="4" t="inlineStr">
        <is>
          <t>M VND</t>
        </is>
      </c>
      <c r="D47" s="6" t="inlineStr">
        <is>
          <t>Current data</t>
        </is>
      </c>
    </row>
    <row r="48">
      <c r="A48" s="4" t="inlineStr">
        <is>
          <t>Security/pentest (annual)</t>
        </is>
      </c>
      <c r="B48" s="5" t="n">
        <v>250</v>
      </c>
      <c r="C48" s="4" t="inlineStr">
        <is>
          <t>M VND</t>
        </is>
      </c>
      <c r="D48" s="6" t="inlineStr">
        <is>
          <t>Current data</t>
        </is>
      </c>
    </row>
    <row r="49">
      <c r="A49" s="4" t="inlineStr">
        <is>
          <t>Pilot evaluation (Y1 only)</t>
        </is>
      </c>
      <c r="B49" s="5" t="n">
        <v>200</v>
      </c>
      <c r="C49" s="4" t="inlineStr">
        <is>
          <t>M VND</t>
        </is>
      </c>
      <c r="D49" s="6" t="inlineStr">
        <is>
          <t>One-time</t>
        </is>
      </c>
    </row>
    <row r="50">
      <c r="A50" s="4" t="inlineStr">
        <is>
          <t>Payment gateway fee</t>
        </is>
      </c>
      <c r="B50" s="7" t="n">
        <v>0.025</v>
      </c>
      <c r="C50" s="4" t="inlineStr">
        <is>
          <t>%</t>
        </is>
      </c>
      <c r="D50" s="6" t="inlineStr">
        <is>
          <t>COGS on tx revenue</t>
        </is>
      </c>
    </row>
    <row r="51">
      <c r="A51" s="4" t="inlineStr">
        <is>
          <t>Support cost per enterprise/yr</t>
        </is>
      </c>
      <c r="B51" s="5" t="n">
        <v>2</v>
      </c>
      <c r="C51" s="4" t="inlineStr">
        <is>
          <t>M VND</t>
        </is>
      </c>
      <c r="D51" s="6" t="inlineStr">
        <is>
          <t>Scales w/ count</t>
        </is>
      </c>
    </row>
    <row r="52">
      <c r="A52" s="4" t="inlineStr">
        <is>
          <t>Partner management (annual)</t>
        </is>
      </c>
      <c r="B52" s="5" t="n">
        <v>500</v>
      </c>
      <c r="C52" s="4" t="inlineStr">
        <is>
          <t>M VND</t>
        </is>
      </c>
      <c r="D52" s="6" t="inlineStr">
        <is>
          <t>Relationship mgmt</t>
        </is>
      </c>
    </row>
    <row r="53">
      <c r="A53" s="4" t="inlineStr">
        <is>
          <t>Contingency (% total OPEX)</t>
        </is>
      </c>
      <c r="B53" s="7" t="n">
        <v>0.1</v>
      </c>
      <c r="C53" s="4" t="inlineStr">
        <is>
          <t>%</t>
        </is>
      </c>
      <c r="D53" s="6" t="inlineStr">
        <is>
          <t>Buffer</t>
        </is>
      </c>
    </row>
    <row r="54"/>
    <row r="55">
      <c r="A55" s="29" t="inlineStr">
        <is>
          <t>HR PARAMETERS</t>
        </is>
      </c>
      <c r="B55" s="2" t="n"/>
      <c r="C55" s="2" t="n"/>
      <c r="D55" s="2" t="n"/>
    </row>
    <row r="56">
      <c r="A56" s="3" t="inlineStr">
        <is>
          <t>Parameter</t>
        </is>
      </c>
      <c r="B56" s="3" t="inlineStr">
        <is>
          <t>Value</t>
        </is>
      </c>
      <c r="C56" s="3" t="inlineStr">
        <is>
          <t>Unit</t>
        </is>
      </c>
      <c r="D56" s="3" t="inlineStr">
        <is>
          <t>Notes</t>
        </is>
      </c>
    </row>
    <row r="57">
      <c r="A57" s="4" t="inlineStr">
        <is>
          <t>Avg monthly — Management</t>
        </is>
      </c>
      <c r="B57" s="5" t="n">
        <v>45</v>
      </c>
      <c r="C57" s="4" t="inlineStr">
        <is>
          <t>M VND</t>
        </is>
      </c>
      <c r="D57" s="6" t="inlineStr">
        <is>
          <t>Director/PM</t>
        </is>
      </c>
    </row>
    <row r="58">
      <c r="A58" s="4" t="inlineStr">
        <is>
          <t>Avg monthly — Development</t>
        </is>
      </c>
      <c r="B58" s="5" t="n">
        <v>35</v>
      </c>
      <c r="C58" s="4" t="inlineStr">
        <is>
          <t>M VND</t>
        </is>
      </c>
      <c r="D58" s="6" t="inlineStr">
        <is>
          <t>Engineers</t>
        </is>
      </c>
    </row>
    <row r="59">
      <c r="A59" s="4" t="inlineStr">
        <is>
          <t>Avg monthly — BizOps</t>
        </is>
      </c>
      <c r="B59" s="5" t="n">
        <v>20</v>
      </c>
      <c r="C59" s="4" t="inlineStr">
        <is>
          <t>M VND</t>
        </is>
      </c>
      <c r="D59" s="6" t="inlineStr">
        <is>
          <t>BD/support</t>
        </is>
      </c>
    </row>
    <row r="60">
      <c r="A60" s="4" t="inlineStr">
        <is>
          <t>Avg monthly — Data/Analytics</t>
        </is>
      </c>
      <c r="B60" s="5" t="n">
        <v>40</v>
      </c>
      <c r="C60" s="4" t="inlineStr">
        <is>
          <t>M VND</t>
        </is>
      </c>
      <c r="D60" s="6" t="inlineStr">
        <is>
          <t>Data eng</t>
        </is>
      </c>
    </row>
    <row r="61">
      <c r="A61" s="4" t="inlineStr">
        <is>
          <t>Annual salary increase</t>
        </is>
      </c>
      <c r="B61" s="7" t="n">
        <v>0.1</v>
      </c>
      <c r="C61" s="4" t="inlineStr">
        <is>
          <t>%</t>
        </is>
      </c>
      <c r="D61" s="6" t="inlineStr">
        <is>
          <t>VN market</t>
        </is>
      </c>
    </row>
    <row r="62">
      <c r="A62" s="4" t="inlineStr">
        <is>
          <t>Social insurance (employer)</t>
        </is>
      </c>
      <c r="B62" s="7" t="n">
        <v>0.215</v>
      </c>
      <c r="C62" s="4" t="inlineStr">
        <is>
          <t>%</t>
        </is>
      </c>
      <c r="D62" s="6" t="inlineStr">
        <is>
          <t>BHXH+BHYT+BHTN</t>
        </is>
      </c>
    </row>
    <row r="63">
      <c r="A63" s="4" t="inlineStr">
        <is>
          <t>Recruitment fee (% Y1 sal)</t>
        </is>
      </c>
      <c r="B63" s="7" t="n">
        <v>0.2</v>
      </c>
      <c r="C63" s="4" t="inlineStr">
        <is>
          <t>%</t>
        </is>
      </c>
      <c r="D63" s="6" t="inlineStr">
        <is>
          <t>Headhunter</t>
        </is>
      </c>
    </row>
    <row r="64"/>
    <row r="65">
      <c r="A65" s="29" t="inlineStr">
        <is>
          <t>FINANCIAL PARAMETERS</t>
        </is>
      </c>
      <c r="B65" s="2" t="n"/>
      <c r="C65" s="2" t="n"/>
      <c r="D65" s="2" t="n"/>
    </row>
    <row r="66">
      <c r="A66" s="3" t="inlineStr">
        <is>
          <t>Parameter</t>
        </is>
      </c>
      <c r="B66" s="3" t="inlineStr">
        <is>
          <t>Value</t>
        </is>
      </c>
      <c r="C66" s="3" t="inlineStr">
        <is>
          <t>Unit</t>
        </is>
      </c>
      <c r="D66" s="3" t="inlineStr">
        <is>
          <t>Notes</t>
        </is>
      </c>
    </row>
    <row r="67">
      <c r="A67" s="4" t="inlineStr">
        <is>
          <t>Corporate income tax</t>
        </is>
      </c>
      <c r="B67" s="7" t="n">
        <v>0.2</v>
      </c>
      <c r="C67" s="4" t="inlineStr">
        <is>
          <t>%</t>
        </is>
      </c>
      <c r="D67" s="6" t="inlineStr">
        <is>
          <t>Vietnamese law</t>
        </is>
      </c>
    </row>
    <row r="68">
      <c r="A68" s="4" t="inlineStr">
        <is>
          <t>Discount rate (WACC)</t>
        </is>
      </c>
      <c r="B68" s="7" t="n">
        <v>0.15</v>
      </c>
      <c r="C68" s="4" t="inlineStr">
        <is>
          <t>%</t>
        </is>
      </c>
      <c r="D68" s="6" t="inlineStr">
        <is>
          <t>v3: was 0.12</t>
        </is>
      </c>
    </row>
    <row r="69">
      <c r="A69" s="4" t="inlineStr">
        <is>
          <t>Depreciation period</t>
        </is>
      </c>
      <c r="B69" s="5" t="n">
        <v>5</v>
      </c>
      <c r="C69" s="4" t="inlineStr">
        <is>
          <t>Years</t>
        </is>
      </c>
      <c r="D69" s="6" t="inlineStr">
        <is>
          <t>Straight-line</t>
        </is>
      </c>
    </row>
    <row r="70">
      <c r="A70" s="4" t="inlineStr">
        <is>
          <t>Accounts receivable days</t>
        </is>
      </c>
      <c r="B70" s="5" t="n">
        <v>45</v>
      </c>
      <c r="C70" s="4" t="inlineStr">
        <is>
          <t>Days</t>
        </is>
      </c>
      <c r="D70" s="6" t="inlineStr">
        <is>
          <t>Collection period</t>
        </is>
      </c>
    </row>
    <row r="71">
      <c r="A71" s="4" t="inlineStr">
        <is>
          <t>Accounts payable days</t>
        </is>
      </c>
      <c r="B71" s="5" t="n">
        <v>30</v>
      </c>
      <c r="C71" s="4" t="inlineStr">
        <is>
          <t>Days</t>
        </is>
      </c>
      <c r="D71" s="6" t="inlineStr">
        <is>
          <t>Payment terms</t>
        </is>
      </c>
    </row>
    <row r="72">
      <c r="A72" s="4" t="inlineStr">
        <is>
          <t>Stage 2 gate (min enterprises)</t>
        </is>
      </c>
      <c r="B72" s="5" t="n">
        <v>300</v>
      </c>
      <c r="C72" s="4" t="n"/>
      <c r="D72" s="6" t="inlineStr">
        <is>
          <t>Activate tx fees</t>
        </is>
      </c>
    </row>
    <row r="73"/>
    <row r="74"/>
    <row r="75">
      <c r="A75" s="66" t="inlineStr">
        <is>
          <t>CASCADING RELATIONSHIPS (how assumptions affect each other)</t>
        </is>
      </c>
      <c r="B75" s="31" t="n"/>
      <c r="C75" s="31" t="n"/>
      <c r="D75" s="31" t="n"/>
    </row>
    <row r="76">
      <c r="A76" s="32" t="inlineStr">
        <is>
          <t>Parameter</t>
        </is>
      </c>
      <c r="B76" s="32" t="inlineStr">
        <is>
          <t>Value</t>
        </is>
      </c>
      <c r="C76" s="32" t="inlineStr">
        <is>
          <t>Unit</t>
        </is>
      </c>
      <c r="D76" s="32" t="inlineStr">
        <is>
          <t>Cascade logic</t>
        </is>
      </c>
    </row>
    <row r="77">
      <c r="A77" s="33" t="inlineStr">
        <is>
          <t>Cloud cost per Bn VND GMV processed</t>
        </is>
      </c>
      <c r="B77" s="34" t="n">
        <v>0.5</v>
      </c>
      <c r="C77" s="33" t="inlineStr">
        <is>
          <t>Tr VND/Bn</t>
        </is>
      </c>
      <c r="D77" s="35" t="inlineStr">
        <is>
          <t>↑ market_share → ↑ GMV → ↑ cloud cost. Formula: GMV × this factor</t>
        </is>
      </c>
    </row>
    <row r="78">
      <c r="A78" s="33" t="inlineStr">
        <is>
          <t>Marketing cost reduction per 100 enterprises</t>
        </is>
      </c>
      <c r="B78" s="36" t="n">
        <v>0.02</v>
      </c>
      <c r="C78" s="33" t="inlineStr">
        <is>
          <t>%/100 ent</t>
        </is>
      </c>
      <c r="D78" s="35" t="inlineStr">
        <is>
          <t>↑ adoption → ↓ marketing/ent. Formula: marketing × MAX(0.5, 1 - ent×factor/100)</t>
        </is>
      </c>
    </row>
    <row r="79">
      <c r="A79" s="33" t="inlineStr">
        <is>
          <t>Enterprises threshold for economies of scale</t>
        </is>
      </c>
      <c r="B79" s="37" t="n">
        <v>500</v>
      </c>
      <c r="C79" s="33" t="inlineStr">
        <is>
          <t>enterprises</t>
        </is>
      </c>
      <c r="D79" s="35" t="inlineStr">
        <is>
          <t>When net_ent &gt; threshold → support cost drops by support_discount</t>
        </is>
      </c>
    </row>
    <row r="80">
      <c r="A80" s="33" t="inlineStr">
        <is>
          <t>Support cost reduction after threshold</t>
        </is>
      </c>
      <c r="B80" s="36" t="n">
        <v>0.3</v>
      </c>
      <c r="C80" s="33" t="inlineStr">
        <is>
          <t>ratio</t>
        </is>
      </c>
      <c r="D80" s="35" t="inlineStr">
        <is>
          <t>↑ ent past threshold → support/ent × (1 - discount). Economies of scale.</t>
        </is>
      </c>
    </row>
    <row r="81">
      <c r="A81" s="33" t="inlineStr">
        <is>
          <t>BizOps staff needed per 100 enterprises (floor)</t>
        </is>
      </c>
      <c r="B81" s="34" t="n">
        <v>2</v>
      </c>
      <c r="C81" s="33" t="inlineStr">
        <is>
          <t>people/100</t>
        </is>
      </c>
      <c r="D81" s="35" t="inlineStr">
        <is>
          <t>↑ adoption → ↑ BizOps needed. Floor = MAX(manual_hc, ent×ratio/100)</t>
        </is>
      </c>
    </row>
    <row r="82">
      <c r="A82" s="33" t="inlineStr">
        <is>
          <t>Cloud cost elasticity to enterprise count</t>
        </is>
      </c>
      <c r="B82" s="34" t="n">
        <v>1.2</v>
      </c>
      <c r="C82" s="33" t="inlineStr">
        <is>
          <t>factor</t>
        </is>
      </c>
      <c r="D82" s="35" t="inlineStr">
        <is>
          <t>VCR cost scales by ent^elasticity instead of linear. &gt;1 = super-linear.</t>
        </is>
      </c>
    </row>
    <row r="83">
      <c r="A83" s="45" t="inlineStr">
        <is>
          <t>BizOps minimum floor headcount</t>
        </is>
      </c>
      <c r="B83" s="46" t="n">
        <v>2</v>
      </c>
      <c r="C83" s="45" t="inlineStr">
        <is>
          <t>people</t>
        </is>
      </c>
      <c r="D83" s="47" t="inlineStr">
        <is>
          <t>MIN BizOps before scaling kicks in</t>
        </is>
      </c>
    </row>
    <row r="85">
      <c r="A85" s="91" t="inlineStr">
        <is>
          <t>IMPACT MAP — How market_share cascades to costs</t>
        </is>
      </c>
      <c r="B85" s="92" t="n"/>
      <c r="C85" s="92" t="n"/>
      <c r="D85" s="93" t="n"/>
    </row>
    <row r="86">
      <c r="A86" s="38" t="inlineStr">
        <is>
          <t>adoption_max ↑</t>
        </is>
      </c>
      <c r="B86" s="38" t="inlineStr">
        <is>
          <t>→ net_enterprises ↑</t>
        </is>
      </c>
      <c r="C86" s="38" t="inlineStr">
        <is>
          <t>→ HR BizOps headcount ↑ (hr_bizops_per_100_ent)</t>
        </is>
      </c>
      <c r="D86" s="38" t="inlineStr">
        <is>
          <t>→ HR Cost ↑</t>
        </is>
      </c>
    </row>
    <row r="87">
      <c r="A87" s="39" t="n"/>
      <c r="B87" s="39" t="n"/>
      <c r="C87" s="39" t="inlineStr">
        <is>
          <t>→ VCR volume ↑ (vcr_per_enterprise × net_ent)</t>
        </is>
      </c>
      <c r="D87" s="39" t="inlineStr">
        <is>
          <t>→ Cloud Cost ↑ (cloud_per_1M_vcr)</t>
        </is>
      </c>
    </row>
    <row r="88">
      <c r="A88" s="39" t="n"/>
      <c r="B88" s="39" t="n"/>
      <c r="C88" s="39" t="inlineStr">
        <is>
          <t>→ Support demand ↑ (opex_support_per_ent × net_ent)</t>
        </is>
      </c>
      <c r="D88" s="39" t="inlineStr">
        <is>
          <t>→ OPEX ↑</t>
        </is>
      </c>
    </row>
    <row r="89">
      <c r="A89" s="39" t="n"/>
      <c r="B89" s="39" t="n"/>
      <c r="C89" s="39" t="inlineStr">
        <is>
          <t>→ Marketing efficiency ↑ (cost/ent decreases)</t>
        </is>
      </c>
      <c r="D89" s="39" t="inlineStr">
        <is>
          <t>→ Per-unit OPEX ↓</t>
        </is>
      </c>
    </row>
    <row r="90">
      <c r="A90" s="39" t="n"/>
      <c r="B90" s="39" t="n"/>
      <c r="C90" s="39" t="inlineStr">
        <is>
          <t>→ Cert/Training/Audit revenue ↑</t>
        </is>
      </c>
      <c r="D90" s="39" t="inlineStr">
        <is>
          <t>→ Revenue ↑</t>
        </is>
      </c>
    </row>
    <row r="91">
      <c r="A91" s="39" t="n"/>
      <c r="B91" s="39" t="n"/>
      <c r="C91" s="39" t="n"/>
      <c r="D91" s="39" t="n"/>
    </row>
    <row r="92">
      <c r="A92" s="38" t="inlineStr">
        <is>
          <t>platform_market_share ↑</t>
        </is>
      </c>
      <c r="B92" s="38" t="inlineStr">
        <is>
          <t>→ GMV through platform ↑</t>
        </is>
      </c>
      <c r="C92" s="38" t="inlineStr">
        <is>
          <t>→ Transaction fees ↑ (tx_take_rate × GMV)</t>
        </is>
      </c>
      <c r="D92" s="38" t="inlineStr">
        <is>
          <t>→ Revenue ↑</t>
        </is>
      </c>
    </row>
    <row r="93">
      <c r="A93" s="39" t="n"/>
      <c r="B93" s="39" t="n"/>
      <c r="C93" s="39" t="inlineStr">
        <is>
          <t>→ Cloud processing load ↑ (cloud_gmv_factor × GMV)</t>
        </is>
      </c>
      <c r="D93" s="39" t="inlineStr">
        <is>
          <t>→ Cloud Cost ↑</t>
        </is>
      </c>
    </row>
    <row r="94">
      <c r="A94" s="39" t="n"/>
      <c r="B94" s="39" t="n"/>
      <c r="C94" s="39" t="inlineStr">
        <is>
          <t>→ Payment processing fees ↑ (payment_proc_pct × tx_rev)</t>
        </is>
      </c>
      <c r="D94" s="39" t="inlineStr">
        <is>
          <t>→ COGS ↑</t>
        </is>
      </c>
    </row>
    <row r="95">
      <c r="A95" s="39" t="n"/>
      <c r="B95" s="39" t="n"/>
      <c r="C95" s="39" t="inlineStr">
        <is>
          <t>→ DaaS &amp; Ads potential ↑</t>
        </is>
      </c>
      <c r="D95" s="39" t="inlineStr">
        <is>
          <t>→ Revenue ↑</t>
        </is>
      </c>
    </row>
    <row r="96">
      <c r="A96" s="39" t="n"/>
      <c r="B96" s="39" t="n"/>
      <c r="C96" s="39" t="n"/>
      <c r="D96" s="39" t="n"/>
    </row>
    <row r="97">
      <c r="A97" s="38" t="inlineStr">
        <is>
          <t>churn_rate ↑</t>
        </is>
      </c>
      <c r="B97" s="38" t="inlineStr">
        <is>
          <t>→ net_enterprises ↓</t>
        </is>
      </c>
      <c r="C97" s="38" t="inlineStr">
        <is>
          <t>→ All enterprise-linked revenue ↓</t>
        </is>
      </c>
      <c r="D97" s="38" t="inlineStr">
        <is>
          <t>→ Revenue ↓</t>
        </is>
      </c>
    </row>
    <row r="98">
      <c r="A98" s="39" t="n"/>
      <c r="B98" s="39" t="n"/>
      <c r="C98" s="39" t="inlineStr">
        <is>
          <t>→ Need more new sales to replace</t>
        </is>
      </c>
      <c r="D98" s="39" t="inlineStr">
        <is>
          <t>→ Marketing cost pressure ↑</t>
        </is>
      </c>
    </row>
    <row r="99">
      <c r="A99" s="39" t="n"/>
      <c r="B99" s="39" t="n"/>
      <c r="C99" s="39" t="inlineStr">
        <is>
          <t>→ Support &amp; HR needs more stable</t>
        </is>
      </c>
      <c r="D99" s="39" t="inlineStr">
        <is>
          <t>→ Cost stays high vs falling revenue</t>
        </is>
      </c>
    </row>
    <row r="101">
      <c r="A101" s="85" t="inlineStr">
        <is>
          <t>REVENUE TIMING</t>
        </is>
      </c>
      <c r="B101" s="88" t="n"/>
      <c r="C101" s="88" t="n"/>
      <c r="D101" s="88" t="n"/>
    </row>
    <row r="102">
      <c r="A102" s="86" t="inlineStr">
        <is>
          <t>Parameter</t>
        </is>
      </c>
      <c r="B102" s="86" t="inlineStr">
        <is>
          <t>Value</t>
        </is>
      </c>
      <c r="C102" s="86" t="inlineStr">
        <is>
          <t>Unit</t>
        </is>
      </c>
      <c r="D102" s="86" t="inlineStr">
        <is>
          <t>Notes</t>
        </is>
      </c>
    </row>
    <row r="103">
      <c r="A103" s="87" t="inlineStr">
        <is>
          <t>Months before first revenue</t>
        </is>
      </c>
      <c r="B103" s="94" t="n">
        <v>3</v>
      </c>
      <c r="C103" s="87" t="inlineStr">
        <is>
          <t>months</t>
        </is>
      </c>
      <c r="D103" s="95" t="inlineStr">
        <is>
          <t>0=revenue from day 1, 3=3 months setup (Oct 2025), 6=Jan 2026</t>
        </is>
      </c>
    </row>
    <row r="104">
      <c r="A104" s="87" t="inlineStr">
        <is>
          <t>Revenue active flag formula</t>
        </is>
      </c>
      <c r="B104" s="95" t="inlineStr">
        <is>
          <t>Used in Revenue/Cost sheets</t>
        </is>
      </c>
      <c r="D104" s="95" t="inlineStr">
        <is>
          <t>IF(period_idx &gt;= months_to_first_revenue, 1, 0) — auto gate for all revenue</t>
        </is>
      </c>
    </row>
  </sheetData>
  <mergeCells count="2">
    <mergeCell ref="A1:D1"/>
    <mergeCell ref="A85:D8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C00000"/>
    <outlinePr summaryBelow="1" summaryRight="1"/>
    <pageSetUpPr/>
  </sheetPr>
  <dimension ref="A1:D24"/>
  <sheetViews>
    <sheetView workbookViewId="0">
      <selection activeCell="B19" sqref="B19"/>
    </sheetView>
  </sheetViews>
  <sheetFormatPr baseColWidth="8" defaultRowHeight="14.4"/>
  <cols>
    <col width="40" customWidth="1" style="62" min="1" max="1"/>
    <col width="18" customWidth="1" style="62" min="2" max="2"/>
    <col width="12" customWidth="1" style="62" min="3" max="3"/>
    <col width="40" customWidth="1" style="62" min="4" max="4"/>
  </cols>
  <sheetData>
    <row r="1">
      <c r="A1" s="29" t="inlineStr">
        <is>
          <t>INITIAL INVESTMENT — CAPEX BREAKDOWN (M VND)</t>
        </is>
      </c>
    </row>
    <row r="3">
      <c r="A3" s="3" t="inlineStr">
        <is>
          <t>CAPEX Item</t>
        </is>
      </c>
      <c r="B3" s="3" t="inlineStr">
        <is>
          <t>Amount (M VND)</t>
        </is>
      </c>
      <c r="C3" s="3" t="inlineStr">
        <is>
          <t>Timing</t>
        </is>
      </c>
      <c r="D3" s="3" t="inlineStr">
        <is>
          <t>Notes</t>
        </is>
      </c>
    </row>
    <row r="4">
      <c r="A4" s="4" t="inlineStr">
        <is>
          <t>Cloud infrastructure setup</t>
        </is>
      </c>
      <c r="B4" s="5" t="n">
        <v>800</v>
      </c>
      <c r="C4" s="4" t="inlineStr">
        <is>
          <t>H2 2025</t>
        </is>
      </c>
      <c r="D4" s="6" t="inlineStr">
        <is>
          <t>AWS/GCP initial</t>
        </is>
      </c>
    </row>
    <row r="5">
      <c r="A5" s="4" t="inlineStr">
        <is>
          <t>Backend development</t>
        </is>
      </c>
      <c r="B5" s="5" t="n">
        <v>1200</v>
      </c>
      <c r="C5" s="4" t="inlineStr">
        <is>
          <t>H2 2025</t>
        </is>
      </c>
      <c r="D5" s="6" t="inlineStr">
        <is>
          <t>API, DB, core</t>
        </is>
      </c>
    </row>
    <row r="6">
      <c r="A6" s="4" t="inlineStr">
        <is>
          <t>Frontend + mobile</t>
        </is>
      </c>
      <c r="B6" s="5" t="n">
        <v>900</v>
      </c>
      <c r="C6" s="4" t="inlineStr">
        <is>
          <t>H2 2025</t>
        </is>
      </c>
      <c r="D6" s="6" t="inlineStr">
        <is>
          <t>Web + mobile</t>
        </is>
      </c>
    </row>
    <row r="7">
      <c r="A7" s="4" t="inlineStr">
        <is>
          <t>Data platform</t>
        </is>
      </c>
      <c r="B7" s="5" t="n">
        <v>600</v>
      </c>
      <c r="C7" s="4" t="inlineStr">
        <is>
          <t>H2 2025</t>
        </is>
      </c>
      <c r="D7" s="6" t="inlineStr">
        <is>
          <t>Pipeline, analytics</t>
        </is>
      </c>
    </row>
    <row r="8">
      <c r="A8" s="4" t="inlineStr">
        <is>
          <t>Security infrastructure</t>
        </is>
      </c>
      <c r="B8" s="5" t="n">
        <v>250</v>
      </c>
      <c r="C8" s="4" t="inlineStr">
        <is>
          <t>H2 2025</t>
        </is>
      </c>
      <c r="D8" s="6" t="inlineStr">
        <is>
          <t>Pentest, auth</t>
        </is>
      </c>
    </row>
    <row r="9">
      <c r="A9" s="4" t="inlineStr">
        <is>
          <t>UX/UI design</t>
        </is>
      </c>
      <c r="B9" s="5" t="n">
        <v>350</v>
      </c>
      <c r="C9" s="4" t="inlineStr">
        <is>
          <t>H2 2025</t>
        </is>
      </c>
      <c r="D9" s="6" t="inlineStr">
        <is>
          <t>Design system</t>
        </is>
      </c>
    </row>
    <row r="10">
      <c r="A10" s="4" t="inlineStr">
        <is>
          <t>3rd-party integrations</t>
        </is>
      </c>
      <c r="B10" s="5" t="n">
        <v>400</v>
      </c>
      <c r="C10" s="4" t="inlineStr">
        <is>
          <t>H2 2025</t>
        </is>
      </c>
      <c r="D10" s="6" t="inlineStr">
        <is>
          <t>Payment, OTA APIs</t>
        </is>
      </c>
    </row>
    <row r="11">
      <c r="A11" s="4" t="inlineStr">
        <is>
          <t>DevOps &amp; CI/CD</t>
        </is>
      </c>
      <c r="B11" s="5" t="n">
        <v>280</v>
      </c>
      <c r="C11" s="4" t="inlineStr">
        <is>
          <t>H2 2025</t>
        </is>
      </c>
      <c r="D11" s="6" t="inlineStr">
        <is>
          <t>Deploy pipeline</t>
        </is>
      </c>
    </row>
    <row r="12">
      <c r="A12" s="4" t="inlineStr">
        <is>
          <t>QA &amp; testing</t>
        </is>
      </c>
      <c r="B12" s="5" t="n">
        <v>200</v>
      </c>
      <c r="C12" s="4" t="inlineStr">
        <is>
          <t>H2 2025</t>
        </is>
      </c>
      <c r="D12" s="6" t="inlineStr">
        <is>
          <t>Auto + load test</t>
        </is>
      </c>
    </row>
    <row r="13">
      <c r="A13" s="4" t="inlineStr">
        <is>
          <t>CAPEX contingency (10%)</t>
        </is>
      </c>
      <c r="B13" s="5" t="n">
        <v>300</v>
      </c>
      <c r="C13" s="4" t="inlineStr">
        <is>
          <t>H2 2025</t>
        </is>
      </c>
      <c r="D13" s="6" t="inlineStr">
        <is>
          <t>Buffer</t>
        </is>
      </c>
    </row>
    <row r="15">
      <c r="A15" s="4" t="inlineStr">
        <is>
          <t>TOTAL INITIAL CAPEX</t>
        </is>
      </c>
      <c r="B15" s="9">
        <f>SUM(B4:B13)</f>
        <v/>
      </c>
    </row>
    <row r="17">
      <c r="A17" s="29" t="inlineStr">
        <is>
          <t>DEPRECIATION SCHEDULE</t>
        </is>
      </c>
    </row>
    <row r="18">
      <c r="A18" s="3" t="inlineStr">
        <is>
          <t>Year</t>
        </is>
      </c>
      <c r="B18" s="3" t="inlineStr">
        <is>
          <t>Annual D&amp;A</t>
        </is>
      </c>
      <c r="C18" s="3" t="inlineStr">
        <is>
          <t>Accum D&amp;A</t>
        </is>
      </c>
      <c r="D18" s="3" t="inlineStr">
        <is>
          <t>Net Book Value</t>
        </is>
      </c>
    </row>
    <row r="19">
      <c r="A19" s="4" t="inlineStr">
        <is>
          <t>2025</t>
        </is>
      </c>
      <c r="B19" s="10">
        <f>capex_total/depreciation_years</f>
        <v/>
      </c>
      <c r="C19" s="10">
        <f>B19</f>
        <v/>
      </c>
      <c r="D19" s="10">
        <f>capex_total-C19</f>
        <v/>
      </c>
    </row>
    <row r="20">
      <c r="A20" s="4" t="inlineStr">
        <is>
          <t>2026</t>
        </is>
      </c>
      <c r="B20" s="10">
        <f>capex_total/depreciation_years</f>
        <v/>
      </c>
      <c r="C20" s="10">
        <f>C19+B20</f>
        <v/>
      </c>
      <c r="D20" s="10">
        <f>capex_total-C20</f>
        <v/>
      </c>
    </row>
    <row r="21">
      <c r="A21" s="4" t="inlineStr">
        <is>
          <t>2027</t>
        </is>
      </c>
      <c r="B21" s="10">
        <f>capex_total/depreciation_years</f>
        <v/>
      </c>
      <c r="C21" s="10">
        <f>C20+B21</f>
        <v/>
      </c>
      <c r="D21" s="10">
        <f>capex_total-C21</f>
        <v/>
      </c>
    </row>
    <row r="22">
      <c r="A22" s="4" t="inlineStr">
        <is>
          <t>2028</t>
        </is>
      </c>
      <c r="B22" s="10">
        <f>capex_total/depreciation_years</f>
        <v/>
      </c>
      <c r="C22" s="10">
        <f>C21+B22</f>
        <v/>
      </c>
      <c r="D22" s="10">
        <f>capex_total-C22</f>
        <v/>
      </c>
    </row>
    <row r="23">
      <c r="A23" s="4" t="inlineStr">
        <is>
          <t>2029</t>
        </is>
      </c>
      <c r="B23" s="10">
        <f>capex_total/depreciation_years</f>
        <v/>
      </c>
      <c r="C23" s="10">
        <f>C22+B23</f>
        <v/>
      </c>
      <c r="D23" s="10">
        <f>capex_total-C23</f>
        <v/>
      </c>
    </row>
    <row r="24">
      <c r="A24" s="4" t="inlineStr">
        <is>
          <t>2030</t>
        </is>
      </c>
      <c r="B24" s="10">
        <f>0</f>
        <v/>
      </c>
      <c r="C24" s="10">
        <f>C23+B24</f>
        <v/>
      </c>
      <c r="D24" s="10">
        <f>capex_total-C24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030A0"/>
    <outlinePr summaryBelow="1" summaryRight="1"/>
    <pageSetUpPr/>
  </sheetPr>
  <dimension ref="A1:AR21"/>
  <sheetViews>
    <sheetView workbookViewId="0">
      <selection activeCell="C7" sqref="C7"/>
    </sheetView>
  </sheetViews>
  <sheetFormatPr baseColWidth="8" defaultRowHeight="14.4"/>
  <cols>
    <col width="30" customWidth="1" style="62" min="1" max="1"/>
    <col width="14" customWidth="1" style="62" min="2" max="2"/>
    <col width="11" customWidth="1" style="62" min="3" max="44"/>
  </cols>
  <sheetData>
    <row r="1">
      <c r="A1" s="29" t="inlineStr">
        <is>
          <t>HR PLAN — HEADCOUNT &amp; COST</t>
        </is>
      </c>
    </row>
    <row r="3">
      <c r="A3" s="3" t="inlineStr">
        <is>
          <t>Dept / Item</t>
        </is>
      </c>
      <c r="B3" s="3" t="inlineStr">
        <is>
          <t>Unit</t>
        </is>
      </c>
      <c r="C3" s="3" t="inlineStr">
        <is>
          <t>Jul 2025</t>
        </is>
      </c>
      <c r="D3" s="3" t="inlineStr">
        <is>
          <t>Aug 2025</t>
        </is>
      </c>
      <c r="E3" s="3" t="inlineStr">
        <is>
          <t>Sep 2025</t>
        </is>
      </c>
      <c r="F3" s="3" t="inlineStr">
        <is>
          <t>Oct 2025</t>
        </is>
      </c>
      <c r="G3" s="3" t="inlineStr">
        <is>
          <t>Nov 2025</t>
        </is>
      </c>
      <c r="H3" s="3" t="inlineStr">
        <is>
          <t>Dec 2025</t>
        </is>
      </c>
      <c r="I3" s="3" t="inlineStr">
        <is>
          <t>Jan 2026</t>
        </is>
      </c>
      <c r="J3" s="3" t="inlineStr">
        <is>
          <t>Feb 2026</t>
        </is>
      </c>
      <c r="K3" s="3" t="inlineStr">
        <is>
          <t>Mar 2026</t>
        </is>
      </c>
      <c r="L3" s="3" t="inlineStr">
        <is>
          <t>Apr 2026</t>
        </is>
      </c>
      <c r="M3" s="3" t="inlineStr">
        <is>
          <t>May 2026</t>
        </is>
      </c>
      <c r="N3" s="3" t="inlineStr">
        <is>
          <t>Jun 2026</t>
        </is>
      </c>
      <c r="O3" s="3" t="inlineStr">
        <is>
          <t>Jul 2026</t>
        </is>
      </c>
      <c r="P3" s="3" t="inlineStr">
        <is>
          <t>Aug 2026</t>
        </is>
      </c>
      <c r="Q3" s="3" t="inlineStr">
        <is>
          <t>Sep 2026</t>
        </is>
      </c>
      <c r="R3" s="3" t="inlineStr">
        <is>
          <t>Oct 2026</t>
        </is>
      </c>
      <c r="S3" s="3" t="inlineStr">
        <is>
          <t>Nov 2026</t>
        </is>
      </c>
      <c r="T3" s="3" t="inlineStr">
        <is>
          <t>Dec 2026</t>
        </is>
      </c>
      <c r="U3" s="3" t="inlineStr">
        <is>
          <t>Jan 2027</t>
        </is>
      </c>
      <c r="V3" s="3" t="inlineStr">
        <is>
          <t>Feb 2027</t>
        </is>
      </c>
      <c r="W3" s="3" t="inlineStr">
        <is>
          <t>Mar 2027</t>
        </is>
      </c>
      <c r="X3" s="3" t="inlineStr">
        <is>
          <t>Apr 2027</t>
        </is>
      </c>
      <c r="Y3" s="3" t="inlineStr">
        <is>
          <t>May 2027</t>
        </is>
      </c>
      <c r="Z3" s="3" t="inlineStr">
        <is>
          <t>Jun 2027</t>
        </is>
      </c>
      <c r="AA3" s="3" t="inlineStr">
        <is>
          <t>Jul 2027</t>
        </is>
      </c>
      <c r="AB3" s="3" t="inlineStr">
        <is>
          <t>Aug 2027</t>
        </is>
      </c>
      <c r="AC3" s="3" t="inlineStr">
        <is>
          <t>Sep 2027</t>
        </is>
      </c>
      <c r="AD3" s="3" t="inlineStr">
        <is>
          <t>Oct 2027</t>
        </is>
      </c>
      <c r="AE3" s="3" t="inlineStr">
        <is>
          <t>Nov 2027</t>
        </is>
      </c>
      <c r="AF3" s="3" t="inlineStr">
        <is>
          <t>Dec 2027</t>
        </is>
      </c>
      <c r="AG3" s="3" t="inlineStr">
        <is>
          <t>Q1 2028</t>
        </is>
      </c>
      <c r="AH3" s="3" t="inlineStr">
        <is>
          <t>Q2 2028</t>
        </is>
      </c>
      <c r="AI3" s="3" t="inlineStr">
        <is>
          <t>Q3 2028</t>
        </is>
      </c>
      <c r="AJ3" s="3" t="inlineStr">
        <is>
          <t>Q4 2028</t>
        </is>
      </c>
      <c r="AK3" s="3" t="inlineStr">
        <is>
          <t>Q1 2029</t>
        </is>
      </c>
      <c r="AL3" s="3" t="inlineStr">
        <is>
          <t>Q2 2029</t>
        </is>
      </c>
      <c r="AM3" s="3" t="inlineStr">
        <is>
          <t>Q3 2029</t>
        </is>
      </c>
      <c r="AN3" s="3" t="inlineStr">
        <is>
          <t>Q4 2029</t>
        </is>
      </c>
      <c r="AO3" s="3" t="inlineStr">
        <is>
          <t>Q1 2030</t>
        </is>
      </c>
      <c r="AP3" s="3" t="inlineStr">
        <is>
          <t>Q2 2030</t>
        </is>
      </c>
      <c r="AQ3" s="3" t="inlineStr">
        <is>
          <t>Q3 2030</t>
        </is>
      </c>
      <c r="AR3" s="3" t="inlineStr">
        <is>
          <t>Q4 2030</t>
        </is>
      </c>
    </row>
    <row r="4">
      <c r="A4" s="29" t="inlineStr">
        <is>
          <t>HEADCOUNT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</row>
    <row r="5">
      <c r="A5" s="4" t="inlineStr">
        <is>
          <t>Management</t>
        </is>
      </c>
      <c r="B5" s="12" t="inlineStr">
        <is>
          <t>people</t>
        </is>
      </c>
      <c r="C5" s="5" t="n">
        <v>2</v>
      </c>
      <c r="D5" s="5" t="n">
        <v>2</v>
      </c>
      <c r="E5" s="5" t="n">
        <v>2</v>
      </c>
      <c r="F5" s="5" t="n">
        <v>2</v>
      </c>
      <c r="G5" s="5" t="n">
        <v>2</v>
      </c>
      <c r="H5" s="5" t="n">
        <v>2</v>
      </c>
      <c r="I5" s="5" t="n">
        <v>2</v>
      </c>
      <c r="J5" s="5" t="n">
        <v>2</v>
      </c>
      <c r="K5" s="5" t="n">
        <v>2</v>
      </c>
      <c r="L5" s="5" t="n">
        <v>2</v>
      </c>
      <c r="M5" s="5" t="n">
        <v>2</v>
      </c>
      <c r="N5" s="5" t="n">
        <v>2</v>
      </c>
      <c r="O5" s="5" t="n">
        <v>2</v>
      </c>
      <c r="P5" s="5" t="n">
        <v>2</v>
      </c>
      <c r="Q5" s="5" t="n">
        <v>2</v>
      </c>
      <c r="R5" s="5" t="n">
        <v>2</v>
      </c>
      <c r="S5" s="5" t="n">
        <v>2</v>
      </c>
      <c r="T5" s="5" t="n">
        <v>2</v>
      </c>
      <c r="U5" s="5" t="n">
        <v>3</v>
      </c>
      <c r="V5" s="5" t="n">
        <v>3</v>
      </c>
      <c r="W5" s="5" t="n">
        <v>3</v>
      </c>
      <c r="X5" s="5" t="n">
        <v>3</v>
      </c>
      <c r="Y5" s="5" t="n">
        <v>3</v>
      </c>
      <c r="Z5" s="5" t="n">
        <v>3</v>
      </c>
      <c r="AA5" s="5" t="n">
        <v>3</v>
      </c>
      <c r="AB5" s="5" t="n">
        <v>3</v>
      </c>
      <c r="AC5" s="5" t="n">
        <v>3</v>
      </c>
      <c r="AD5" s="5" t="n">
        <v>3</v>
      </c>
      <c r="AE5" s="5" t="n">
        <v>3</v>
      </c>
      <c r="AF5" s="5" t="n">
        <v>3</v>
      </c>
      <c r="AG5" s="5" t="n">
        <v>3</v>
      </c>
      <c r="AH5" s="5" t="n">
        <v>3</v>
      </c>
      <c r="AI5" s="5" t="n">
        <v>3</v>
      </c>
      <c r="AJ5" s="5" t="n">
        <v>3</v>
      </c>
      <c r="AK5" s="5" t="n">
        <v>4</v>
      </c>
      <c r="AL5" s="5" t="n">
        <v>4</v>
      </c>
      <c r="AM5" s="5" t="n">
        <v>4</v>
      </c>
      <c r="AN5" s="5" t="n">
        <v>4</v>
      </c>
      <c r="AO5" s="5" t="n">
        <v>4</v>
      </c>
      <c r="AP5" s="5" t="n">
        <v>4</v>
      </c>
      <c r="AQ5" s="5" t="n">
        <v>4</v>
      </c>
      <c r="AR5" s="5" t="n">
        <v>4</v>
      </c>
    </row>
    <row r="6">
      <c r="A6" s="4" t="inlineStr">
        <is>
          <t>Development</t>
        </is>
      </c>
      <c r="B6" s="12" t="inlineStr">
        <is>
          <t>people</t>
        </is>
      </c>
      <c r="C6" s="5" t="n">
        <v>12</v>
      </c>
      <c r="D6" s="5" t="n">
        <v>12</v>
      </c>
      <c r="E6" s="5" t="n">
        <v>12</v>
      </c>
      <c r="F6" s="5" t="n">
        <v>12</v>
      </c>
      <c r="G6" s="5" t="n">
        <v>12</v>
      </c>
      <c r="H6" s="5" t="n">
        <v>12</v>
      </c>
      <c r="I6" s="5" t="n">
        <v>12</v>
      </c>
      <c r="J6" s="5" t="n">
        <v>12</v>
      </c>
      <c r="K6" s="5" t="n">
        <v>12</v>
      </c>
      <c r="L6" s="5" t="n">
        <v>12</v>
      </c>
      <c r="M6" s="5" t="n">
        <v>12</v>
      </c>
      <c r="N6" s="5" t="n">
        <v>12</v>
      </c>
      <c r="O6" s="5" t="n">
        <v>12</v>
      </c>
      <c r="P6" s="5" t="n">
        <v>12</v>
      </c>
      <c r="Q6" s="5" t="n">
        <v>12</v>
      </c>
      <c r="R6" s="5" t="n">
        <v>12</v>
      </c>
      <c r="S6" s="5" t="n">
        <v>12</v>
      </c>
      <c r="T6" s="5" t="n">
        <v>12</v>
      </c>
      <c r="U6" s="5" t="n">
        <v>14</v>
      </c>
      <c r="V6" s="5" t="n">
        <v>14</v>
      </c>
      <c r="W6" s="5" t="n">
        <v>14</v>
      </c>
      <c r="X6" s="5" t="n">
        <v>14</v>
      </c>
      <c r="Y6" s="5" t="n">
        <v>14</v>
      </c>
      <c r="Z6" s="5" t="n">
        <v>14</v>
      </c>
      <c r="AA6" s="5" t="n">
        <v>14</v>
      </c>
      <c r="AB6" s="5" t="n">
        <v>14</v>
      </c>
      <c r="AC6" s="5" t="n">
        <v>14</v>
      </c>
      <c r="AD6" s="5" t="n">
        <v>14</v>
      </c>
      <c r="AE6" s="5" t="n">
        <v>14</v>
      </c>
      <c r="AF6" s="5" t="n">
        <v>14</v>
      </c>
      <c r="AG6" s="5" t="n">
        <v>16</v>
      </c>
      <c r="AH6" s="5" t="n">
        <v>16</v>
      </c>
      <c r="AI6" s="5" t="n">
        <v>16</v>
      </c>
      <c r="AJ6" s="5" t="n">
        <v>16</v>
      </c>
      <c r="AK6" s="5" t="n">
        <v>18</v>
      </c>
      <c r="AL6" s="5" t="n">
        <v>18</v>
      </c>
      <c r="AM6" s="5" t="n">
        <v>18</v>
      </c>
      <c r="AN6" s="5" t="n">
        <v>18</v>
      </c>
      <c r="AO6" s="5" t="n">
        <v>20</v>
      </c>
      <c r="AP6" s="5" t="n">
        <v>20</v>
      </c>
      <c r="AQ6" s="5" t="n">
        <v>20</v>
      </c>
      <c r="AR6" s="5" t="n">
        <v>20</v>
      </c>
    </row>
    <row r="7">
      <c r="A7" s="48" t="inlineStr">
        <is>
          <t>Biz Ops (scaled)</t>
        </is>
      </c>
      <c r="B7" s="12" t="inlineStr">
        <is>
          <t>people</t>
        </is>
      </c>
      <c r="C7" s="49">
        <f>MAX(bizops_floor,ROUND('Market Sizing'!C15*hr_bizops_per_100_ent/100,0))</f>
        <v/>
      </c>
      <c r="D7" s="49">
        <f>MAX(bizops_floor,ROUND('Market Sizing'!D15*hr_bizops_per_100_ent/100,0))</f>
        <v/>
      </c>
      <c r="E7" s="49">
        <f>MAX(bizops_floor,ROUND('Market Sizing'!E15*hr_bizops_per_100_ent/100,0))</f>
        <v/>
      </c>
      <c r="F7" s="49">
        <f>MAX(bizops_floor,ROUND('Market Sizing'!F15*hr_bizops_per_100_ent/100,0))</f>
        <v/>
      </c>
      <c r="G7" s="49">
        <f>MAX(bizops_floor,ROUND('Market Sizing'!G15*hr_bizops_per_100_ent/100,0))</f>
        <v/>
      </c>
      <c r="H7" s="49">
        <f>MAX(bizops_floor,ROUND('Market Sizing'!H15*hr_bizops_per_100_ent/100,0))</f>
        <v/>
      </c>
      <c r="I7" s="49">
        <f>MAX(bizops_floor,ROUND('Market Sizing'!I15*hr_bizops_per_100_ent/100,0))</f>
        <v/>
      </c>
      <c r="J7" s="49">
        <f>MAX(bizops_floor,ROUND('Market Sizing'!J15*hr_bizops_per_100_ent/100,0))</f>
        <v/>
      </c>
      <c r="K7" s="49">
        <f>MAX(bizops_floor,ROUND('Market Sizing'!K15*hr_bizops_per_100_ent/100,0))</f>
        <v/>
      </c>
      <c r="L7" s="49">
        <f>MAX(bizops_floor,ROUND('Market Sizing'!L15*hr_bizops_per_100_ent/100,0))</f>
        <v/>
      </c>
      <c r="M7" s="49">
        <f>MAX(bizops_floor,ROUND('Market Sizing'!M15*hr_bizops_per_100_ent/100,0))</f>
        <v/>
      </c>
      <c r="N7" s="49">
        <f>MAX(bizops_floor,ROUND('Market Sizing'!N15*hr_bizops_per_100_ent/100,0))</f>
        <v/>
      </c>
      <c r="O7" s="49">
        <f>MAX(bizops_floor,ROUND('Market Sizing'!O15*hr_bizops_per_100_ent/100,0))</f>
        <v/>
      </c>
      <c r="P7" s="49">
        <f>MAX(bizops_floor,ROUND('Market Sizing'!P15*hr_bizops_per_100_ent/100,0))</f>
        <v/>
      </c>
      <c r="Q7" s="49">
        <f>MAX(bizops_floor,ROUND('Market Sizing'!Q15*hr_bizops_per_100_ent/100,0))</f>
        <v/>
      </c>
      <c r="R7" s="49">
        <f>MAX(bizops_floor,ROUND('Market Sizing'!R15*hr_bizops_per_100_ent/100,0))</f>
        <v/>
      </c>
      <c r="S7" s="49">
        <f>MAX(bizops_floor,ROUND('Market Sizing'!S15*hr_bizops_per_100_ent/100,0))</f>
        <v/>
      </c>
      <c r="T7" s="49">
        <f>MAX(bizops_floor,ROUND('Market Sizing'!T15*hr_bizops_per_100_ent/100,0))</f>
        <v/>
      </c>
      <c r="U7" s="49">
        <f>MAX(bizops_floor,ROUND('Market Sizing'!U15*hr_bizops_per_100_ent/100,0))</f>
        <v/>
      </c>
      <c r="V7" s="49">
        <f>MAX(bizops_floor,ROUND('Market Sizing'!V15*hr_bizops_per_100_ent/100,0))</f>
        <v/>
      </c>
      <c r="W7" s="49">
        <f>MAX(bizops_floor,ROUND('Market Sizing'!W15*hr_bizops_per_100_ent/100,0))</f>
        <v/>
      </c>
      <c r="X7" s="49">
        <f>MAX(bizops_floor,ROUND('Market Sizing'!X15*hr_bizops_per_100_ent/100,0))</f>
        <v/>
      </c>
      <c r="Y7" s="49">
        <f>MAX(bizops_floor,ROUND('Market Sizing'!Y15*hr_bizops_per_100_ent/100,0))</f>
        <v/>
      </c>
      <c r="Z7" s="49">
        <f>MAX(bizops_floor,ROUND('Market Sizing'!Z15*hr_bizops_per_100_ent/100,0))</f>
        <v/>
      </c>
      <c r="AA7" s="49">
        <f>MAX(bizops_floor,ROUND('Market Sizing'!AA15*hr_bizops_per_100_ent/100,0))</f>
        <v/>
      </c>
      <c r="AB7" s="49">
        <f>MAX(bizops_floor,ROUND('Market Sizing'!AB15*hr_bizops_per_100_ent/100,0))</f>
        <v/>
      </c>
      <c r="AC7" s="49">
        <f>MAX(bizops_floor,ROUND('Market Sizing'!AC15*hr_bizops_per_100_ent/100,0))</f>
        <v/>
      </c>
      <c r="AD7" s="49">
        <f>MAX(bizops_floor,ROUND('Market Sizing'!AD15*hr_bizops_per_100_ent/100,0))</f>
        <v/>
      </c>
      <c r="AE7" s="49">
        <f>MAX(bizops_floor,ROUND('Market Sizing'!AE15*hr_bizops_per_100_ent/100,0))</f>
        <v/>
      </c>
      <c r="AF7" s="49">
        <f>MAX(bizops_floor,ROUND('Market Sizing'!AF15*hr_bizops_per_100_ent/100,0))</f>
        <v/>
      </c>
      <c r="AG7" s="49">
        <f>MAX(bizops_floor,ROUND('Market Sizing'!AG15*hr_bizops_per_100_ent/100,0))</f>
        <v/>
      </c>
      <c r="AH7" s="49">
        <f>MAX(bizops_floor,ROUND('Market Sizing'!AH15*hr_bizops_per_100_ent/100,0))</f>
        <v/>
      </c>
      <c r="AI7" s="49">
        <f>MAX(bizops_floor,ROUND('Market Sizing'!AI15*hr_bizops_per_100_ent/100,0))</f>
        <v/>
      </c>
      <c r="AJ7" s="49">
        <f>MAX(bizops_floor,ROUND('Market Sizing'!AJ15*hr_bizops_per_100_ent/100,0))</f>
        <v/>
      </c>
      <c r="AK7" s="49">
        <f>MAX(bizops_floor,ROUND('Market Sizing'!AK15*hr_bizops_per_100_ent/100,0))</f>
        <v/>
      </c>
      <c r="AL7" s="49">
        <f>MAX(bizops_floor,ROUND('Market Sizing'!AL15*hr_bizops_per_100_ent/100,0))</f>
        <v/>
      </c>
      <c r="AM7" s="49">
        <f>MAX(bizops_floor,ROUND('Market Sizing'!AM15*hr_bizops_per_100_ent/100,0))</f>
        <v/>
      </c>
      <c r="AN7" s="49">
        <f>MAX(bizops_floor,ROUND('Market Sizing'!AN15*hr_bizops_per_100_ent/100,0))</f>
        <v/>
      </c>
      <c r="AO7" s="49">
        <f>MAX(bizops_floor,ROUND('Market Sizing'!AO15*hr_bizops_per_100_ent/100,0))</f>
        <v/>
      </c>
      <c r="AP7" s="49">
        <f>MAX(bizops_floor,ROUND('Market Sizing'!AP15*hr_bizops_per_100_ent/100,0))</f>
        <v/>
      </c>
      <c r="AQ7" s="49">
        <f>MAX(bizops_floor,ROUND('Market Sizing'!AQ15*hr_bizops_per_100_ent/100,0))</f>
        <v/>
      </c>
      <c r="AR7" s="49">
        <f>MAX(bizops_floor,ROUND('Market Sizing'!AR15*hr_bizops_per_100_ent/100,0))</f>
        <v/>
      </c>
    </row>
    <row r="8">
      <c r="A8" s="4" t="inlineStr">
        <is>
          <t>Data &amp; Analytics</t>
        </is>
      </c>
      <c r="B8" s="12" t="inlineStr">
        <is>
          <t>people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2</v>
      </c>
      <c r="J8" s="5" t="n">
        <v>2</v>
      </c>
      <c r="K8" s="5" t="n">
        <v>2</v>
      </c>
      <c r="L8" s="5" t="n">
        <v>2</v>
      </c>
      <c r="M8" s="5" t="n">
        <v>2</v>
      </c>
      <c r="N8" s="5" t="n">
        <v>2</v>
      </c>
      <c r="O8" s="5" t="n">
        <v>2</v>
      </c>
      <c r="P8" s="5" t="n">
        <v>2</v>
      </c>
      <c r="Q8" s="5" t="n">
        <v>2</v>
      </c>
      <c r="R8" s="5" t="n">
        <v>2</v>
      </c>
      <c r="S8" s="5" t="n">
        <v>2</v>
      </c>
      <c r="T8" s="5" t="n">
        <v>2</v>
      </c>
      <c r="U8" s="5" t="n">
        <v>3</v>
      </c>
      <c r="V8" s="5" t="n">
        <v>3</v>
      </c>
      <c r="W8" s="5" t="n">
        <v>3</v>
      </c>
      <c r="X8" s="5" t="n">
        <v>3</v>
      </c>
      <c r="Y8" s="5" t="n">
        <v>3</v>
      </c>
      <c r="Z8" s="5" t="n">
        <v>3</v>
      </c>
      <c r="AA8" s="5" t="n">
        <v>3</v>
      </c>
      <c r="AB8" s="5" t="n">
        <v>3</v>
      </c>
      <c r="AC8" s="5" t="n">
        <v>3</v>
      </c>
      <c r="AD8" s="5" t="n">
        <v>3</v>
      </c>
      <c r="AE8" s="5" t="n">
        <v>3</v>
      </c>
      <c r="AF8" s="5" t="n">
        <v>3</v>
      </c>
      <c r="AG8" s="5" t="n">
        <v>4</v>
      </c>
      <c r="AH8" s="5" t="n">
        <v>4</v>
      </c>
      <c r="AI8" s="5" t="n">
        <v>4</v>
      </c>
      <c r="AJ8" s="5" t="n">
        <v>4</v>
      </c>
      <c r="AK8" s="5" t="n">
        <v>5</v>
      </c>
      <c r="AL8" s="5" t="n">
        <v>5</v>
      </c>
      <c r="AM8" s="5" t="n">
        <v>5</v>
      </c>
      <c r="AN8" s="5" t="n">
        <v>5</v>
      </c>
      <c r="AO8" s="5" t="n">
        <v>6</v>
      </c>
      <c r="AP8" s="5" t="n">
        <v>6</v>
      </c>
      <c r="AQ8" s="5" t="n">
        <v>6</v>
      </c>
      <c r="AR8" s="5" t="n">
        <v>6</v>
      </c>
    </row>
    <row r="9">
      <c r="A9" s="4" t="inlineStr">
        <is>
          <t>TOTAL HEADCOUNT</t>
        </is>
      </c>
      <c r="B9" s="13" t="inlineStr">
        <is>
          <t>people</t>
        </is>
      </c>
      <c r="C9" s="9">
        <f>C5+C6+C7+C8</f>
        <v/>
      </c>
      <c r="D9" s="9">
        <f>D5+D6+D7+D8</f>
        <v/>
      </c>
      <c r="E9" s="9">
        <f>E5+E6+E7+E8</f>
        <v/>
      </c>
      <c r="F9" s="9">
        <f>F5+F6+F7+F8</f>
        <v/>
      </c>
      <c r="G9" s="9">
        <f>G5+G6+G7+G8</f>
        <v/>
      </c>
      <c r="H9" s="9">
        <f>H5+H6+H7+H8</f>
        <v/>
      </c>
      <c r="I9" s="9">
        <f>I5+I6+I7+I8</f>
        <v/>
      </c>
      <c r="J9" s="9">
        <f>J5+J6+J7+J8</f>
        <v/>
      </c>
      <c r="K9" s="9">
        <f>K5+K6+K7+K8</f>
        <v/>
      </c>
      <c r="L9" s="9">
        <f>L5+L6+L7+L8</f>
        <v/>
      </c>
      <c r="M9" s="9">
        <f>M5+M6+M7+M8</f>
        <v/>
      </c>
      <c r="N9" s="9">
        <f>N5+N6+N7+N8</f>
        <v/>
      </c>
      <c r="O9" s="9">
        <f>O5+O6+O7+O8</f>
        <v/>
      </c>
      <c r="P9" s="9">
        <f>P5+P6+P7+P8</f>
        <v/>
      </c>
      <c r="Q9" s="9">
        <f>Q5+Q6+Q7+Q8</f>
        <v/>
      </c>
      <c r="R9" s="9">
        <f>R5+R6+R7+R8</f>
        <v/>
      </c>
      <c r="S9" s="9">
        <f>S5+S6+S7+S8</f>
        <v/>
      </c>
      <c r="T9" s="9">
        <f>T5+T6+T7+T8</f>
        <v/>
      </c>
      <c r="U9" s="9">
        <f>U5+U6+U7+U8</f>
        <v/>
      </c>
      <c r="V9" s="9">
        <f>V5+V6+V7+V8</f>
        <v/>
      </c>
      <c r="W9" s="9">
        <f>W5+W6+W7+W8</f>
        <v/>
      </c>
      <c r="X9" s="9">
        <f>X5+X6+X7+X8</f>
        <v/>
      </c>
      <c r="Y9" s="9">
        <f>Y5+Y6+Y7+Y8</f>
        <v/>
      </c>
      <c r="Z9" s="9">
        <f>Z5+Z6+Z7+Z8</f>
        <v/>
      </c>
      <c r="AA9" s="9">
        <f>AA5+AA6+AA7+AA8</f>
        <v/>
      </c>
      <c r="AB9" s="9">
        <f>AB5+AB6+AB7+AB8</f>
        <v/>
      </c>
      <c r="AC9" s="9">
        <f>AC5+AC6+AC7+AC8</f>
        <v/>
      </c>
      <c r="AD9" s="9">
        <f>AD5+AD6+AD7+AD8</f>
        <v/>
      </c>
      <c r="AE9" s="9">
        <f>AE5+AE6+AE7+AE8</f>
        <v/>
      </c>
      <c r="AF9" s="9">
        <f>AF5+AF6+AF7+AF8</f>
        <v/>
      </c>
      <c r="AG9" s="9">
        <f>AG5+AG6+AG7+AG8</f>
        <v/>
      </c>
      <c r="AH9" s="9">
        <f>AH5+AH6+AH7+AH8</f>
        <v/>
      </c>
      <c r="AI9" s="9">
        <f>AI5+AI6+AI7+AI8</f>
        <v/>
      </c>
      <c r="AJ9" s="9">
        <f>AJ5+AJ6+AJ7+AJ8</f>
        <v/>
      </c>
      <c r="AK9" s="9">
        <f>AK5+AK6+AK7+AK8</f>
        <v/>
      </c>
      <c r="AL9" s="9">
        <f>AL5+AL6+AL7+AL8</f>
        <v/>
      </c>
      <c r="AM9" s="9">
        <f>AM5+AM6+AM7+AM8</f>
        <v/>
      </c>
      <c r="AN9" s="9">
        <f>AN5+AN6+AN7+AN8</f>
        <v/>
      </c>
      <c r="AO9" s="9">
        <f>AO5+AO6+AO7+AO8</f>
        <v/>
      </c>
      <c r="AP9" s="9">
        <f>AP5+AP6+AP7+AP8</f>
        <v/>
      </c>
      <c r="AQ9" s="9">
        <f>AQ5+AQ6+AQ7+AQ8</f>
        <v/>
      </c>
      <c r="AR9" s="9">
        <f>AR5+AR6+AR7+AR8</f>
        <v/>
      </c>
    </row>
    <row r="11">
      <c r="A11" s="29" t="inlineStr">
        <is>
          <t>NEW HIRES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  <c r="AN11" s="11" t="n"/>
      <c r="AO11" s="11" t="n"/>
      <c r="AP11" s="11" t="n"/>
      <c r="AQ11" s="11" t="n"/>
      <c r="AR11" s="11" t="n"/>
    </row>
    <row r="12">
      <c r="A12" s="4" t="inlineStr">
        <is>
          <t>New hires</t>
        </is>
      </c>
      <c r="B12" s="12" t="inlineStr">
        <is>
          <t>people</t>
        </is>
      </c>
      <c r="C12" s="10">
        <f>C9</f>
        <v/>
      </c>
      <c r="D12" s="10">
        <f>MAX(0,D9-C9)</f>
        <v/>
      </c>
      <c r="E12" s="10">
        <f>MAX(0,E9-D9)</f>
        <v/>
      </c>
      <c r="F12" s="10">
        <f>MAX(0,F9-E9)</f>
        <v/>
      </c>
      <c r="G12" s="10">
        <f>MAX(0,G9-F9)</f>
        <v/>
      </c>
      <c r="H12" s="10">
        <f>MAX(0,H9-G9)</f>
        <v/>
      </c>
      <c r="I12" s="10">
        <f>MAX(0,I9-H9)</f>
        <v/>
      </c>
      <c r="J12" s="10">
        <f>MAX(0,J9-I9)</f>
        <v/>
      </c>
      <c r="K12" s="10">
        <f>MAX(0,K9-J9)</f>
        <v/>
      </c>
      <c r="L12" s="10">
        <f>MAX(0,L9-K9)</f>
        <v/>
      </c>
      <c r="M12" s="10">
        <f>MAX(0,M9-L9)</f>
        <v/>
      </c>
      <c r="N12" s="10">
        <f>MAX(0,N9-M9)</f>
        <v/>
      </c>
      <c r="O12" s="10">
        <f>MAX(0,O9-N9)</f>
        <v/>
      </c>
      <c r="P12" s="10">
        <f>MAX(0,P9-O9)</f>
        <v/>
      </c>
      <c r="Q12" s="10">
        <f>MAX(0,Q9-P9)</f>
        <v/>
      </c>
      <c r="R12" s="10">
        <f>MAX(0,R9-Q9)</f>
        <v/>
      </c>
      <c r="S12" s="10">
        <f>MAX(0,S9-R9)</f>
        <v/>
      </c>
      <c r="T12" s="10">
        <f>MAX(0,T9-S9)</f>
        <v/>
      </c>
      <c r="U12" s="10">
        <f>MAX(0,U9-T9)</f>
        <v/>
      </c>
      <c r="V12" s="10">
        <f>MAX(0,V9-U9)</f>
        <v/>
      </c>
      <c r="W12" s="10">
        <f>MAX(0,W9-V9)</f>
        <v/>
      </c>
      <c r="X12" s="10">
        <f>MAX(0,X9-W9)</f>
        <v/>
      </c>
      <c r="Y12" s="10">
        <f>MAX(0,Y9-X9)</f>
        <v/>
      </c>
      <c r="Z12" s="10">
        <f>MAX(0,Z9-Y9)</f>
        <v/>
      </c>
      <c r="AA12" s="10">
        <f>MAX(0,AA9-Z9)</f>
        <v/>
      </c>
      <c r="AB12" s="10">
        <f>MAX(0,AB9-AA9)</f>
        <v/>
      </c>
      <c r="AC12" s="10">
        <f>MAX(0,AC9-AB9)</f>
        <v/>
      </c>
      <c r="AD12" s="10">
        <f>MAX(0,AD9-AC9)</f>
        <v/>
      </c>
      <c r="AE12" s="10">
        <f>MAX(0,AE9-AD9)</f>
        <v/>
      </c>
      <c r="AF12" s="10">
        <f>MAX(0,AF9-AE9)</f>
        <v/>
      </c>
      <c r="AG12" s="10">
        <f>MAX(0,AG9-AF9)</f>
        <v/>
      </c>
      <c r="AH12" s="10">
        <f>MAX(0,AH9-AG9)</f>
        <v/>
      </c>
      <c r="AI12" s="10">
        <f>MAX(0,AI9-AH9)</f>
        <v/>
      </c>
      <c r="AJ12" s="10">
        <f>MAX(0,AJ9-AI9)</f>
        <v/>
      </c>
      <c r="AK12" s="10">
        <f>MAX(0,AK9-AJ9)</f>
        <v/>
      </c>
      <c r="AL12" s="10">
        <f>MAX(0,AL9-AK9)</f>
        <v/>
      </c>
      <c r="AM12" s="10">
        <f>MAX(0,AM9-AL9)</f>
        <v/>
      </c>
      <c r="AN12" s="10">
        <f>MAX(0,AN9-AM9)</f>
        <v/>
      </c>
      <c r="AO12" s="10">
        <f>MAX(0,AO9-AN9)</f>
        <v/>
      </c>
      <c r="AP12" s="10">
        <f>MAX(0,AP9-AO9)</f>
        <v/>
      </c>
      <c r="AQ12" s="10">
        <f>MAX(0,AQ9-AP9)</f>
        <v/>
      </c>
      <c r="AR12" s="10">
        <f>MAX(0,AR9-AQ9)</f>
        <v/>
      </c>
    </row>
    <row r="14">
      <c r="A14" s="29" t="inlineStr">
        <is>
          <t>SALARY COST (M VND)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  <c r="AR14" s="11" t="n"/>
    </row>
    <row r="15">
      <c r="A15" s="4" t="inlineStr">
        <is>
          <t>Management cost</t>
        </is>
      </c>
      <c r="B15" s="12" t="inlineStr">
        <is>
          <t>M VND</t>
        </is>
      </c>
      <c r="C15" s="10">
        <f>C5*salary_mgmt*1*(1+salary_escalation)^0*(1+bhxh_rate)</f>
        <v/>
      </c>
      <c r="D15" s="10">
        <f>D5*salary_mgmt*1*(1+salary_escalation)^0*(1+bhxh_rate)</f>
        <v/>
      </c>
      <c r="E15" s="10">
        <f>E5*salary_mgmt*1*(1+salary_escalation)^0*(1+bhxh_rate)</f>
        <v/>
      </c>
      <c r="F15" s="10">
        <f>F5*salary_mgmt*1*(1+salary_escalation)^0*(1+bhxh_rate)</f>
        <v/>
      </c>
      <c r="G15" s="10">
        <f>G5*salary_mgmt*1*(1+salary_escalation)^0*(1+bhxh_rate)</f>
        <v/>
      </c>
      <c r="H15" s="10">
        <f>H5*salary_mgmt*1*(1+salary_escalation)^0*(1+bhxh_rate)</f>
        <v/>
      </c>
      <c r="I15" s="10">
        <f>I5*salary_mgmt*1*(1+salary_escalation)^1*(1+bhxh_rate)</f>
        <v/>
      </c>
      <c r="J15" s="10">
        <f>J5*salary_mgmt*1*(1+salary_escalation)^1*(1+bhxh_rate)</f>
        <v/>
      </c>
      <c r="K15" s="10">
        <f>K5*salary_mgmt*1*(1+salary_escalation)^1*(1+bhxh_rate)</f>
        <v/>
      </c>
      <c r="L15" s="10">
        <f>L5*salary_mgmt*1*(1+salary_escalation)^1*(1+bhxh_rate)</f>
        <v/>
      </c>
      <c r="M15" s="10">
        <f>M5*salary_mgmt*1*(1+salary_escalation)^1*(1+bhxh_rate)</f>
        <v/>
      </c>
      <c r="N15" s="10">
        <f>N5*salary_mgmt*1*(1+salary_escalation)^1*(1+bhxh_rate)</f>
        <v/>
      </c>
      <c r="O15" s="10">
        <f>O5*salary_mgmt*1*(1+salary_escalation)^1*(1+bhxh_rate)</f>
        <v/>
      </c>
      <c r="P15" s="10">
        <f>P5*salary_mgmt*1*(1+salary_escalation)^1*(1+bhxh_rate)</f>
        <v/>
      </c>
      <c r="Q15" s="10">
        <f>Q5*salary_mgmt*1*(1+salary_escalation)^1*(1+bhxh_rate)</f>
        <v/>
      </c>
      <c r="R15" s="10">
        <f>R5*salary_mgmt*1*(1+salary_escalation)^1*(1+bhxh_rate)</f>
        <v/>
      </c>
      <c r="S15" s="10">
        <f>S5*salary_mgmt*1*(1+salary_escalation)^1*(1+bhxh_rate)</f>
        <v/>
      </c>
      <c r="T15" s="10">
        <f>T5*salary_mgmt*1*(1+salary_escalation)^1*(1+bhxh_rate)</f>
        <v/>
      </c>
      <c r="U15" s="10">
        <f>U5*salary_mgmt*1*(1+salary_escalation)^2*(1+bhxh_rate)</f>
        <v/>
      </c>
      <c r="V15" s="10">
        <f>V5*salary_mgmt*1*(1+salary_escalation)^2*(1+bhxh_rate)</f>
        <v/>
      </c>
      <c r="W15" s="10">
        <f>W5*salary_mgmt*1*(1+salary_escalation)^2*(1+bhxh_rate)</f>
        <v/>
      </c>
      <c r="X15" s="10">
        <f>X5*salary_mgmt*1*(1+salary_escalation)^2*(1+bhxh_rate)</f>
        <v/>
      </c>
      <c r="Y15" s="10">
        <f>Y5*salary_mgmt*1*(1+salary_escalation)^2*(1+bhxh_rate)</f>
        <v/>
      </c>
      <c r="Z15" s="10">
        <f>Z5*salary_mgmt*1*(1+salary_escalation)^2*(1+bhxh_rate)</f>
        <v/>
      </c>
      <c r="AA15" s="10">
        <f>AA5*salary_mgmt*1*(1+salary_escalation)^2*(1+bhxh_rate)</f>
        <v/>
      </c>
      <c r="AB15" s="10">
        <f>AB5*salary_mgmt*1*(1+salary_escalation)^2*(1+bhxh_rate)</f>
        <v/>
      </c>
      <c r="AC15" s="10">
        <f>AC5*salary_mgmt*1*(1+salary_escalation)^2*(1+bhxh_rate)</f>
        <v/>
      </c>
      <c r="AD15" s="10">
        <f>AD5*salary_mgmt*1*(1+salary_escalation)^2*(1+bhxh_rate)</f>
        <v/>
      </c>
      <c r="AE15" s="10">
        <f>AE5*salary_mgmt*1*(1+salary_escalation)^2*(1+bhxh_rate)</f>
        <v/>
      </c>
      <c r="AF15" s="10">
        <f>AF5*salary_mgmt*1*(1+salary_escalation)^2*(1+bhxh_rate)</f>
        <v/>
      </c>
      <c r="AG15" s="10">
        <f>AG5*salary_mgmt*3*(1+salary_escalation)^3*(1+bhxh_rate)</f>
        <v/>
      </c>
      <c r="AH15" s="10">
        <f>AH5*salary_mgmt*3*(1+salary_escalation)^3*(1+bhxh_rate)</f>
        <v/>
      </c>
      <c r="AI15" s="10">
        <f>AI5*salary_mgmt*3*(1+salary_escalation)^3*(1+bhxh_rate)</f>
        <v/>
      </c>
      <c r="AJ15" s="10">
        <f>AJ5*salary_mgmt*3*(1+salary_escalation)^3*(1+bhxh_rate)</f>
        <v/>
      </c>
      <c r="AK15" s="10">
        <f>AK5*salary_mgmt*3*(1+salary_escalation)^4*(1+bhxh_rate)</f>
        <v/>
      </c>
      <c r="AL15" s="10">
        <f>AL5*salary_mgmt*3*(1+salary_escalation)^4*(1+bhxh_rate)</f>
        <v/>
      </c>
      <c r="AM15" s="10">
        <f>AM5*salary_mgmt*3*(1+salary_escalation)^4*(1+bhxh_rate)</f>
        <v/>
      </c>
      <c r="AN15" s="10">
        <f>AN5*salary_mgmt*3*(1+salary_escalation)^4*(1+bhxh_rate)</f>
        <v/>
      </c>
      <c r="AO15" s="10">
        <f>AO5*salary_mgmt*3*(1+salary_escalation)^5*(1+bhxh_rate)</f>
        <v/>
      </c>
      <c r="AP15" s="10">
        <f>AP5*salary_mgmt*3*(1+salary_escalation)^5*(1+bhxh_rate)</f>
        <v/>
      </c>
      <c r="AQ15" s="10">
        <f>AQ5*salary_mgmt*3*(1+salary_escalation)^5*(1+bhxh_rate)</f>
        <v/>
      </c>
      <c r="AR15" s="10">
        <f>AR5*salary_mgmt*3*(1+salary_escalation)^5*(1+bhxh_rate)</f>
        <v/>
      </c>
    </row>
    <row r="16">
      <c r="A16" s="4" t="inlineStr">
        <is>
          <t>Development cost</t>
        </is>
      </c>
      <c r="B16" s="12" t="inlineStr">
        <is>
          <t>M VND</t>
        </is>
      </c>
      <c r="C16" s="10">
        <f>C6*salary_dev*1*(1+salary_escalation)^0*(1+bhxh_rate)</f>
        <v/>
      </c>
      <c r="D16" s="10">
        <f>D6*salary_dev*1*(1+salary_escalation)^0*(1+bhxh_rate)</f>
        <v/>
      </c>
      <c r="E16" s="10">
        <f>E6*salary_dev*1*(1+salary_escalation)^0*(1+bhxh_rate)</f>
        <v/>
      </c>
      <c r="F16" s="10">
        <f>F6*salary_dev*1*(1+salary_escalation)^0*(1+bhxh_rate)</f>
        <v/>
      </c>
      <c r="G16" s="10">
        <f>G6*salary_dev*1*(1+salary_escalation)^0*(1+bhxh_rate)</f>
        <v/>
      </c>
      <c r="H16" s="10">
        <f>H6*salary_dev*1*(1+salary_escalation)^0*(1+bhxh_rate)</f>
        <v/>
      </c>
      <c r="I16" s="10">
        <f>I6*salary_dev*1*(1+salary_escalation)^1*(1+bhxh_rate)</f>
        <v/>
      </c>
      <c r="J16" s="10">
        <f>J6*salary_dev*1*(1+salary_escalation)^1*(1+bhxh_rate)</f>
        <v/>
      </c>
      <c r="K16" s="10">
        <f>K6*salary_dev*1*(1+salary_escalation)^1*(1+bhxh_rate)</f>
        <v/>
      </c>
      <c r="L16" s="10">
        <f>L6*salary_dev*1*(1+salary_escalation)^1*(1+bhxh_rate)</f>
        <v/>
      </c>
      <c r="M16" s="10">
        <f>M6*salary_dev*1*(1+salary_escalation)^1*(1+bhxh_rate)</f>
        <v/>
      </c>
      <c r="N16" s="10">
        <f>N6*salary_dev*1*(1+salary_escalation)^1*(1+bhxh_rate)</f>
        <v/>
      </c>
      <c r="O16" s="10">
        <f>O6*salary_dev*1*(1+salary_escalation)^1*(1+bhxh_rate)</f>
        <v/>
      </c>
      <c r="P16" s="10">
        <f>P6*salary_dev*1*(1+salary_escalation)^1*(1+bhxh_rate)</f>
        <v/>
      </c>
      <c r="Q16" s="10">
        <f>Q6*salary_dev*1*(1+salary_escalation)^1*(1+bhxh_rate)</f>
        <v/>
      </c>
      <c r="R16" s="10">
        <f>R6*salary_dev*1*(1+salary_escalation)^1*(1+bhxh_rate)</f>
        <v/>
      </c>
      <c r="S16" s="10">
        <f>S6*salary_dev*1*(1+salary_escalation)^1*(1+bhxh_rate)</f>
        <v/>
      </c>
      <c r="T16" s="10">
        <f>T6*salary_dev*1*(1+salary_escalation)^1*(1+bhxh_rate)</f>
        <v/>
      </c>
      <c r="U16" s="10">
        <f>U6*salary_dev*1*(1+salary_escalation)^2*(1+bhxh_rate)</f>
        <v/>
      </c>
      <c r="V16" s="10">
        <f>V6*salary_dev*1*(1+salary_escalation)^2*(1+bhxh_rate)</f>
        <v/>
      </c>
      <c r="W16" s="10">
        <f>W6*salary_dev*1*(1+salary_escalation)^2*(1+bhxh_rate)</f>
        <v/>
      </c>
      <c r="X16" s="10">
        <f>X6*salary_dev*1*(1+salary_escalation)^2*(1+bhxh_rate)</f>
        <v/>
      </c>
      <c r="Y16" s="10">
        <f>Y6*salary_dev*1*(1+salary_escalation)^2*(1+bhxh_rate)</f>
        <v/>
      </c>
      <c r="Z16" s="10">
        <f>Z6*salary_dev*1*(1+salary_escalation)^2*(1+bhxh_rate)</f>
        <v/>
      </c>
      <c r="AA16" s="10">
        <f>AA6*salary_dev*1*(1+salary_escalation)^2*(1+bhxh_rate)</f>
        <v/>
      </c>
      <c r="AB16" s="10">
        <f>AB6*salary_dev*1*(1+salary_escalation)^2*(1+bhxh_rate)</f>
        <v/>
      </c>
      <c r="AC16" s="10">
        <f>AC6*salary_dev*1*(1+salary_escalation)^2*(1+bhxh_rate)</f>
        <v/>
      </c>
      <c r="AD16" s="10">
        <f>AD6*salary_dev*1*(1+salary_escalation)^2*(1+bhxh_rate)</f>
        <v/>
      </c>
      <c r="AE16" s="10">
        <f>AE6*salary_dev*1*(1+salary_escalation)^2*(1+bhxh_rate)</f>
        <v/>
      </c>
      <c r="AF16" s="10">
        <f>AF6*salary_dev*1*(1+salary_escalation)^2*(1+bhxh_rate)</f>
        <v/>
      </c>
      <c r="AG16" s="10">
        <f>AG6*salary_dev*3*(1+salary_escalation)^3*(1+bhxh_rate)</f>
        <v/>
      </c>
      <c r="AH16" s="10">
        <f>AH6*salary_dev*3*(1+salary_escalation)^3*(1+bhxh_rate)</f>
        <v/>
      </c>
      <c r="AI16" s="10">
        <f>AI6*salary_dev*3*(1+salary_escalation)^3*(1+bhxh_rate)</f>
        <v/>
      </c>
      <c r="AJ16" s="10">
        <f>AJ6*salary_dev*3*(1+salary_escalation)^3*(1+bhxh_rate)</f>
        <v/>
      </c>
      <c r="AK16" s="10">
        <f>AK6*salary_dev*3*(1+salary_escalation)^4*(1+bhxh_rate)</f>
        <v/>
      </c>
      <c r="AL16" s="10">
        <f>AL6*salary_dev*3*(1+salary_escalation)^4*(1+bhxh_rate)</f>
        <v/>
      </c>
      <c r="AM16" s="10">
        <f>AM6*salary_dev*3*(1+salary_escalation)^4*(1+bhxh_rate)</f>
        <v/>
      </c>
      <c r="AN16" s="10">
        <f>AN6*salary_dev*3*(1+salary_escalation)^4*(1+bhxh_rate)</f>
        <v/>
      </c>
      <c r="AO16" s="10">
        <f>AO6*salary_dev*3*(1+salary_escalation)^5*(1+bhxh_rate)</f>
        <v/>
      </c>
      <c r="AP16" s="10">
        <f>AP6*salary_dev*3*(1+salary_escalation)^5*(1+bhxh_rate)</f>
        <v/>
      </c>
      <c r="AQ16" s="10">
        <f>AQ6*salary_dev*3*(1+salary_escalation)^5*(1+bhxh_rate)</f>
        <v/>
      </c>
      <c r="AR16" s="10">
        <f>AR6*salary_dev*3*(1+salary_escalation)^5*(1+bhxh_rate)</f>
        <v/>
      </c>
    </row>
    <row r="17">
      <c r="A17" s="4" t="inlineStr">
        <is>
          <t>Biz Ops cost</t>
        </is>
      </c>
      <c r="B17" s="12" t="inlineStr">
        <is>
          <t>M VND</t>
        </is>
      </c>
      <c r="C17" s="10">
        <f>C7*salary_bizops*1*(1+salary_escalation)^0*(1+bhxh_rate)</f>
        <v/>
      </c>
      <c r="D17" s="10">
        <f>D7*salary_bizops*1*(1+salary_escalation)^0*(1+bhxh_rate)</f>
        <v/>
      </c>
      <c r="E17" s="10">
        <f>E7*salary_bizops*1*(1+salary_escalation)^0*(1+bhxh_rate)</f>
        <v/>
      </c>
      <c r="F17" s="10">
        <f>F7*salary_bizops*1*(1+salary_escalation)^0*(1+bhxh_rate)</f>
        <v/>
      </c>
      <c r="G17" s="10">
        <f>G7*salary_bizops*1*(1+salary_escalation)^0*(1+bhxh_rate)</f>
        <v/>
      </c>
      <c r="H17" s="10">
        <f>H7*salary_bizops*1*(1+salary_escalation)^0*(1+bhxh_rate)</f>
        <v/>
      </c>
      <c r="I17" s="10">
        <f>I7*salary_bizops*1*(1+salary_escalation)^1*(1+bhxh_rate)</f>
        <v/>
      </c>
      <c r="J17" s="10">
        <f>J7*salary_bizops*1*(1+salary_escalation)^1*(1+bhxh_rate)</f>
        <v/>
      </c>
      <c r="K17" s="10">
        <f>K7*salary_bizops*1*(1+salary_escalation)^1*(1+bhxh_rate)</f>
        <v/>
      </c>
      <c r="L17" s="10">
        <f>L7*salary_bizops*1*(1+salary_escalation)^1*(1+bhxh_rate)</f>
        <v/>
      </c>
      <c r="M17" s="10">
        <f>M7*salary_bizops*1*(1+salary_escalation)^1*(1+bhxh_rate)</f>
        <v/>
      </c>
      <c r="N17" s="10">
        <f>N7*salary_bizops*1*(1+salary_escalation)^1*(1+bhxh_rate)</f>
        <v/>
      </c>
      <c r="O17" s="10">
        <f>O7*salary_bizops*1*(1+salary_escalation)^1*(1+bhxh_rate)</f>
        <v/>
      </c>
      <c r="P17" s="10">
        <f>P7*salary_bizops*1*(1+salary_escalation)^1*(1+bhxh_rate)</f>
        <v/>
      </c>
      <c r="Q17" s="10">
        <f>Q7*salary_bizops*1*(1+salary_escalation)^1*(1+bhxh_rate)</f>
        <v/>
      </c>
      <c r="R17" s="10">
        <f>R7*salary_bizops*1*(1+salary_escalation)^1*(1+bhxh_rate)</f>
        <v/>
      </c>
      <c r="S17" s="10">
        <f>S7*salary_bizops*1*(1+salary_escalation)^1*(1+bhxh_rate)</f>
        <v/>
      </c>
      <c r="T17" s="10">
        <f>T7*salary_bizops*1*(1+salary_escalation)^1*(1+bhxh_rate)</f>
        <v/>
      </c>
      <c r="U17" s="10">
        <f>U7*salary_bizops*1*(1+salary_escalation)^2*(1+bhxh_rate)</f>
        <v/>
      </c>
      <c r="V17" s="10">
        <f>V7*salary_bizops*1*(1+salary_escalation)^2*(1+bhxh_rate)</f>
        <v/>
      </c>
      <c r="W17" s="10">
        <f>W7*salary_bizops*1*(1+salary_escalation)^2*(1+bhxh_rate)</f>
        <v/>
      </c>
      <c r="X17" s="10">
        <f>X7*salary_bizops*1*(1+salary_escalation)^2*(1+bhxh_rate)</f>
        <v/>
      </c>
      <c r="Y17" s="10">
        <f>Y7*salary_bizops*1*(1+salary_escalation)^2*(1+bhxh_rate)</f>
        <v/>
      </c>
      <c r="Z17" s="10">
        <f>Z7*salary_bizops*1*(1+salary_escalation)^2*(1+bhxh_rate)</f>
        <v/>
      </c>
      <c r="AA17" s="10">
        <f>AA7*salary_bizops*1*(1+salary_escalation)^2*(1+bhxh_rate)</f>
        <v/>
      </c>
      <c r="AB17" s="10">
        <f>AB7*salary_bizops*1*(1+salary_escalation)^2*(1+bhxh_rate)</f>
        <v/>
      </c>
      <c r="AC17" s="10">
        <f>AC7*salary_bizops*1*(1+salary_escalation)^2*(1+bhxh_rate)</f>
        <v/>
      </c>
      <c r="AD17" s="10">
        <f>AD7*salary_bizops*1*(1+salary_escalation)^2*(1+bhxh_rate)</f>
        <v/>
      </c>
      <c r="AE17" s="10">
        <f>AE7*salary_bizops*1*(1+salary_escalation)^2*(1+bhxh_rate)</f>
        <v/>
      </c>
      <c r="AF17" s="10">
        <f>AF7*salary_bizops*1*(1+salary_escalation)^2*(1+bhxh_rate)</f>
        <v/>
      </c>
      <c r="AG17" s="10">
        <f>AG7*salary_bizops*3*(1+salary_escalation)^3*(1+bhxh_rate)</f>
        <v/>
      </c>
      <c r="AH17" s="10">
        <f>AH7*salary_bizops*3*(1+salary_escalation)^3*(1+bhxh_rate)</f>
        <v/>
      </c>
      <c r="AI17" s="10">
        <f>AI7*salary_bizops*3*(1+salary_escalation)^3*(1+bhxh_rate)</f>
        <v/>
      </c>
      <c r="AJ17" s="10">
        <f>AJ7*salary_bizops*3*(1+salary_escalation)^3*(1+bhxh_rate)</f>
        <v/>
      </c>
      <c r="AK17" s="10">
        <f>AK7*salary_bizops*3*(1+salary_escalation)^4*(1+bhxh_rate)</f>
        <v/>
      </c>
      <c r="AL17" s="10">
        <f>AL7*salary_bizops*3*(1+salary_escalation)^4*(1+bhxh_rate)</f>
        <v/>
      </c>
      <c r="AM17" s="10">
        <f>AM7*salary_bizops*3*(1+salary_escalation)^4*(1+bhxh_rate)</f>
        <v/>
      </c>
      <c r="AN17" s="10">
        <f>AN7*salary_bizops*3*(1+salary_escalation)^4*(1+bhxh_rate)</f>
        <v/>
      </c>
      <c r="AO17" s="10">
        <f>AO7*salary_bizops*3*(1+salary_escalation)^5*(1+bhxh_rate)</f>
        <v/>
      </c>
      <c r="AP17" s="10">
        <f>AP7*salary_bizops*3*(1+salary_escalation)^5*(1+bhxh_rate)</f>
        <v/>
      </c>
      <c r="AQ17" s="10">
        <f>AQ7*salary_bizops*3*(1+salary_escalation)^5*(1+bhxh_rate)</f>
        <v/>
      </c>
      <c r="AR17" s="10">
        <f>AR7*salary_bizops*3*(1+salary_escalation)^5*(1+bhxh_rate)</f>
        <v/>
      </c>
    </row>
    <row r="18">
      <c r="A18" s="4" t="inlineStr">
        <is>
          <t>Data &amp; Analytics cost</t>
        </is>
      </c>
      <c r="B18" s="12" t="inlineStr">
        <is>
          <t>M VND</t>
        </is>
      </c>
      <c r="C18" s="10">
        <f>C8*salary_data*1*(1+salary_escalation)^0*(1+bhxh_rate)</f>
        <v/>
      </c>
      <c r="D18" s="10">
        <f>D8*salary_data*1*(1+salary_escalation)^0*(1+bhxh_rate)</f>
        <v/>
      </c>
      <c r="E18" s="10">
        <f>E8*salary_data*1*(1+salary_escalation)^0*(1+bhxh_rate)</f>
        <v/>
      </c>
      <c r="F18" s="10">
        <f>F8*salary_data*1*(1+salary_escalation)^0*(1+bhxh_rate)</f>
        <v/>
      </c>
      <c r="G18" s="10">
        <f>G8*salary_data*1*(1+salary_escalation)^0*(1+bhxh_rate)</f>
        <v/>
      </c>
      <c r="H18" s="10">
        <f>H8*salary_data*1*(1+salary_escalation)^0*(1+bhxh_rate)</f>
        <v/>
      </c>
      <c r="I18" s="10">
        <f>I8*salary_data*1*(1+salary_escalation)^1*(1+bhxh_rate)</f>
        <v/>
      </c>
      <c r="J18" s="10">
        <f>J8*salary_data*1*(1+salary_escalation)^1*(1+bhxh_rate)</f>
        <v/>
      </c>
      <c r="K18" s="10">
        <f>K8*salary_data*1*(1+salary_escalation)^1*(1+bhxh_rate)</f>
        <v/>
      </c>
      <c r="L18" s="10">
        <f>L8*salary_data*1*(1+salary_escalation)^1*(1+bhxh_rate)</f>
        <v/>
      </c>
      <c r="M18" s="10">
        <f>M8*salary_data*1*(1+salary_escalation)^1*(1+bhxh_rate)</f>
        <v/>
      </c>
      <c r="N18" s="10">
        <f>N8*salary_data*1*(1+salary_escalation)^1*(1+bhxh_rate)</f>
        <v/>
      </c>
      <c r="O18" s="10">
        <f>O8*salary_data*1*(1+salary_escalation)^1*(1+bhxh_rate)</f>
        <v/>
      </c>
      <c r="P18" s="10">
        <f>P8*salary_data*1*(1+salary_escalation)^1*(1+bhxh_rate)</f>
        <v/>
      </c>
      <c r="Q18" s="10">
        <f>Q8*salary_data*1*(1+salary_escalation)^1*(1+bhxh_rate)</f>
        <v/>
      </c>
      <c r="R18" s="10">
        <f>R8*salary_data*1*(1+salary_escalation)^1*(1+bhxh_rate)</f>
        <v/>
      </c>
      <c r="S18" s="10">
        <f>S8*salary_data*1*(1+salary_escalation)^1*(1+bhxh_rate)</f>
        <v/>
      </c>
      <c r="T18" s="10">
        <f>T8*salary_data*1*(1+salary_escalation)^1*(1+bhxh_rate)</f>
        <v/>
      </c>
      <c r="U18" s="10">
        <f>U8*salary_data*1*(1+salary_escalation)^2*(1+bhxh_rate)</f>
        <v/>
      </c>
      <c r="V18" s="10">
        <f>V8*salary_data*1*(1+salary_escalation)^2*(1+bhxh_rate)</f>
        <v/>
      </c>
      <c r="W18" s="10">
        <f>W8*salary_data*1*(1+salary_escalation)^2*(1+bhxh_rate)</f>
        <v/>
      </c>
      <c r="X18" s="10">
        <f>X8*salary_data*1*(1+salary_escalation)^2*(1+bhxh_rate)</f>
        <v/>
      </c>
      <c r="Y18" s="10">
        <f>Y8*salary_data*1*(1+salary_escalation)^2*(1+bhxh_rate)</f>
        <v/>
      </c>
      <c r="Z18" s="10">
        <f>Z8*salary_data*1*(1+salary_escalation)^2*(1+bhxh_rate)</f>
        <v/>
      </c>
      <c r="AA18" s="10">
        <f>AA8*salary_data*1*(1+salary_escalation)^2*(1+bhxh_rate)</f>
        <v/>
      </c>
      <c r="AB18" s="10">
        <f>AB8*salary_data*1*(1+salary_escalation)^2*(1+bhxh_rate)</f>
        <v/>
      </c>
      <c r="AC18" s="10">
        <f>AC8*salary_data*1*(1+salary_escalation)^2*(1+bhxh_rate)</f>
        <v/>
      </c>
      <c r="AD18" s="10">
        <f>AD8*salary_data*1*(1+salary_escalation)^2*(1+bhxh_rate)</f>
        <v/>
      </c>
      <c r="AE18" s="10">
        <f>AE8*salary_data*1*(1+salary_escalation)^2*(1+bhxh_rate)</f>
        <v/>
      </c>
      <c r="AF18" s="10">
        <f>AF8*salary_data*1*(1+salary_escalation)^2*(1+bhxh_rate)</f>
        <v/>
      </c>
      <c r="AG18" s="10">
        <f>AG8*salary_data*3*(1+salary_escalation)^3*(1+bhxh_rate)</f>
        <v/>
      </c>
      <c r="AH18" s="10">
        <f>AH8*salary_data*3*(1+salary_escalation)^3*(1+bhxh_rate)</f>
        <v/>
      </c>
      <c r="AI18" s="10">
        <f>AI8*salary_data*3*(1+salary_escalation)^3*(1+bhxh_rate)</f>
        <v/>
      </c>
      <c r="AJ18" s="10">
        <f>AJ8*salary_data*3*(1+salary_escalation)^3*(1+bhxh_rate)</f>
        <v/>
      </c>
      <c r="AK18" s="10">
        <f>AK8*salary_data*3*(1+salary_escalation)^4*(1+bhxh_rate)</f>
        <v/>
      </c>
      <c r="AL18" s="10">
        <f>AL8*salary_data*3*(1+salary_escalation)^4*(1+bhxh_rate)</f>
        <v/>
      </c>
      <c r="AM18" s="10">
        <f>AM8*salary_data*3*(1+salary_escalation)^4*(1+bhxh_rate)</f>
        <v/>
      </c>
      <c r="AN18" s="10">
        <f>AN8*salary_data*3*(1+salary_escalation)^4*(1+bhxh_rate)</f>
        <v/>
      </c>
      <c r="AO18" s="10">
        <f>AO8*salary_data*3*(1+salary_escalation)^5*(1+bhxh_rate)</f>
        <v/>
      </c>
      <c r="AP18" s="10">
        <f>AP8*salary_data*3*(1+salary_escalation)^5*(1+bhxh_rate)</f>
        <v/>
      </c>
      <c r="AQ18" s="10">
        <f>AQ8*salary_data*3*(1+salary_escalation)^5*(1+bhxh_rate)</f>
        <v/>
      </c>
      <c r="AR18" s="10">
        <f>AR8*salary_data*3*(1+salary_escalation)^5*(1+bhxh_rate)</f>
        <v/>
      </c>
    </row>
    <row r="19">
      <c r="A19" s="4" t="inlineStr">
        <is>
          <t>TOTAL SALARY</t>
        </is>
      </c>
      <c r="B19" s="13" t="inlineStr">
        <is>
          <t>M VND</t>
        </is>
      </c>
      <c r="C19" s="9">
        <f>C15+C16+C17+C18</f>
        <v/>
      </c>
      <c r="D19" s="9">
        <f>D15+D16+D17+D18</f>
        <v/>
      </c>
      <c r="E19" s="9">
        <f>E15+E16+E17+E18</f>
        <v/>
      </c>
      <c r="F19" s="9">
        <f>F15+F16+F17+F18</f>
        <v/>
      </c>
      <c r="G19" s="9">
        <f>G15+G16+G17+G18</f>
        <v/>
      </c>
      <c r="H19" s="9">
        <f>H15+H16+H17+H18</f>
        <v/>
      </c>
      <c r="I19" s="9">
        <f>I15+I16+I17+I18</f>
        <v/>
      </c>
      <c r="J19" s="9">
        <f>J15+J16+J17+J18</f>
        <v/>
      </c>
      <c r="K19" s="9">
        <f>K15+K16+K17+K18</f>
        <v/>
      </c>
      <c r="L19" s="9">
        <f>L15+L16+L17+L18</f>
        <v/>
      </c>
      <c r="M19" s="9">
        <f>M15+M16+M17+M18</f>
        <v/>
      </c>
      <c r="N19" s="9">
        <f>N15+N16+N17+N18</f>
        <v/>
      </c>
      <c r="O19" s="9">
        <f>O15+O16+O17+O18</f>
        <v/>
      </c>
      <c r="P19" s="9">
        <f>P15+P16+P17+P18</f>
        <v/>
      </c>
      <c r="Q19" s="9">
        <f>Q15+Q16+Q17+Q18</f>
        <v/>
      </c>
      <c r="R19" s="9">
        <f>R15+R16+R17+R18</f>
        <v/>
      </c>
      <c r="S19" s="9">
        <f>S15+S16+S17+S18</f>
        <v/>
      </c>
      <c r="T19" s="9">
        <f>T15+T16+T17+T18</f>
        <v/>
      </c>
      <c r="U19" s="9">
        <f>U15+U16+U17+U18</f>
        <v/>
      </c>
      <c r="V19" s="9">
        <f>V15+V16+V17+V18</f>
        <v/>
      </c>
      <c r="W19" s="9">
        <f>W15+W16+W17+W18</f>
        <v/>
      </c>
      <c r="X19" s="9">
        <f>X15+X16+X17+X18</f>
        <v/>
      </c>
      <c r="Y19" s="9">
        <f>Y15+Y16+Y17+Y18</f>
        <v/>
      </c>
      <c r="Z19" s="9">
        <f>Z15+Z16+Z17+Z18</f>
        <v/>
      </c>
      <c r="AA19" s="9">
        <f>AA15+AA16+AA17+AA18</f>
        <v/>
      </c>
      <c r="AB19" s="9">
        <f>AB15+AB16+AB17+AB18</f>
        <v/>
      </c>
      <c r="AC19" s="9">
        <f>AC15+AC16+AC17+AC18</f>
        <v/>
      </c>
      <c r="AD19" s="9">
        <f>AD15+AD16+AD17+AD18</f>
        <v/>
      </c>
      <c r="AE19" s="9">
        <f>AE15+AE16+AE17+AE18</f>
        <v/>
      </c>
      <c r="AF19" s="9">
        <f>AF15+AF16+AF17+AF18</f>
        <v/>
      </c>
      <c r="AG19" s="9">
        <f>AG15+AG16+AG17+AG18</f>
        <v/>
      </c>
      <c r="AH19" s="9">
        <f>AH15+AH16+AH17+AH18</f>
        <v/>
      </c>
      <c r="AI19" s="9">
        <f>AI15+AI16+AI17+AI18</f>
        <v/>
      </c>
      <c r="AJ19" s="9">
        <f>AJ15+AJ16+AJ17+AJ18</f>
        <v/>
      </c>
      <c r="AK19" s="9">
        <f>AK15+AK16+AK17+AK18</f>
        <v/>
      </c>
      <c r="AL19" s="9">
        <f>AL15+AL16+AL17+AL18</f>
        <v/>
      </c>
      <c r="AM19" s="9">
        <f>AM15+AM16+AM17+AM18</f>
        <v/>
      </c>
      <c r="AN19" s="9">
        <f>AN15+AN16+AN17+AN18</f>
        <v/>
      </c>
      <c r="AO19" s="9">
        <f>AO15+AO16+AO17+AO18</f>
        <v/>
      </c>
      <c r="AP19" s="9">
        <f>AP15+AP16+AP17+AP18</f>
        <v/>
      </c>
      <c r="AQ19" s="9">
        <f>AQ15+AQ16+AQ17+AQ18</f>
        <v/>
      </c>
      <c r="AR19" s="9">
        <f>AR15+AR16+AR17+AR18</f>
        <v/>
      </c>
    </row>
    <row r="20">
      <c r="A20" s="4" t="inlineStr">
        <is>
          <t>Recruitment</t>
        </is>
      </c>
      <c r="B20" s="12" t="inlineStr">
        <is>
          <t>M VND</t>
        </is>
      </c>
      <c r="C20" s="10">
        <f>C12*30*12*recruit_cost_pct</f>
        <v/>
      </c>
      <c r="D20" s="10">
        <f>D12*30*12*recruit_cost_pct</f>
        <v/>
      </c>
      <c r="E20" s="10">
        <f>E12*30*12*recruit_cost_pct</f>
        <v/>
      </c>
      <c r="F20" s="10">
        <f>F12*30*12*recruit_cost_pct</f>
        <v/>
      </c>
      <c r="G20" s="10">
        <f>G12*30*12*recruit_cost_pct</f>
        <v/>
      </c>
      <c r="H20" s="10">
        <f>H12*30*12*recruit_cost_pct</f>
        <v/>
      </c>
      <c r="I20" s="10">
        <f>I12*30*12*recruit_cost_pct</f>
        <v/>
      </c>
      <c r="J20" s="10">
        <f>J12*30*12*recruit_cost_pct</f>
        <v/>
      </c>
      <c r="K20" s="10">
        <f>K12*30*12*recruit_cost_pct</f>
        <v/>
      </c>
      <c r="L20" s="10">
        <f>L12*30*12*recruit_cost_pct</f>
        <v/>
      </c>
      <c r="M20" s="10">
        <f>M12*30*12*recruit_cost_pct</f>
        <v/>
      </c>
      <c r="N20" s="10">
        <f>N12*30*12*recruit_cost_pct</f>
        <v/>
      </c>
      <c r="O20" s="10">
        <f>O12*30*12*recruit_cost_pct</f>
        <v/>
      </c>
      <c r="P20" s="10">
        <f>P12*30*12*recruit_cost_pct</f>
        <v/>
      </c>
      <c r="Q20" s="10">
        <f>Q12*30*12*recruit_cost_pct</f>
        <v/>
      </c>
      <c r="R20" s="10">
        <f>R12*30*12*recruit_cost_pct</f>
        <v/>
      </c>
      <c r="S20" s="10">
        <f>S12*30*12*recruit_cost_pct</f>
        <v/>
      </c>
      <c r="T20" s="10">
        <f>T12*30*12*recruit_cost_pct</f>
        <v/>
      </c>
      <c r="U20" s="10">
        <f>U12*30*12*recruit_cost_pct</f>
        <v/>
      </c>
      <c r="V20" s="10">
        <f>V12*30*12*recruit_cost_pct</f>
        <v/>
      </c>
      <c r="W20" s="10">
        <f>W12*30*12*recruit_cost_pct</f>
        <v/>
      </c>
      <c r="X20" s="10">
        <f>X12*30*12*recruit_cost_pct</f>
        <v/>
      </c>
      <c r="Y20" s="10">
        <f>Y12*30*12*recruit_cost_pct</f>
        <v/>
      </c>
      <c r="Z20" s="10">
        <f>Z12*30*12*recruit_cost_pct</f>
        <v/>
      </c>
      <c r="AA20" s="10">
        <f>AA12*30*12*recruit_cost_pct</f>
        <v/>
      </c>
      <c r="AB20" s="10">
        <f>AB12*30*12*recruit_cost_pct</f>
        <v/>
      </c>
      <c r="AC20" s="10">
        <f>AC12*30*12*recruit_cost_pct</f>
        <v/>
      </c>
      <c r="AD20" s="10">
        <f>AD12*30*12*recruit_cost_pct</f>
        <v/>
      </c>
      <c r="AE20" s="10">
        <f>AE12*30*12*recruit_cost_pct</f>
        <v/>
      </c>
      <c r="AF20" s="10">
        <f>AF12*30*12*recruit_cost_pct</f>
        <v/>
      </c>
      <c r="AG20" s="10">
        <f>AG12*30*12*recruit_cost_pct</f>
        <v/>
      </c>
      <c r="AH20" s="10">
        <f>AH12*30*12*recruit_cost_pct</f>
        <v/>
      </c>
      <c r="AI20" s="10">
        <f>AI12*30*12*recruit_cost_pct</f>
        <v/>
      </c>
      <c r="AJ20" s="10">
        <f>AJ12*30*12*recruit_cost_pct</f>
        <v/>
      </c>
      <c r="AK20" s="10">
        <f>AK12*30*12*recruit_cost_pct</f>
        <v/>
      </c>
      <c r="AL20" s="10">
        <f>AL12*30*12*recruit_cost_pct</f>
        <v/>
      </c>
      <c r="AM20" s="10">
        <f>AM12*30*12*recruit_cost_pct</f>
        <v/>
      </c>
      <c r="AN20" s="10">
        <f>AN12*30*12*recruit_cost_pct</f>
        <v/>
      </c>
      <c r="AO20" s="10">
        <f>AO12*30*12*recruit_cost_pct</f>
        <v/>
      </c>
      <c r="AP20" s="10">
        <f>AP12*30*12*recruit_cost_pct</f>
        <v/>
      </c>
      <c r="AQ20" s="10">
        <f>AQ12*30*12*recruit_cost_pct</f>
        <v/>
      </c>
      <c r="AR20" s="10">
        <f>AR12*30*12*recruit_cost_pct</f>
        <v/>
      </c>
    </row>
    <row r="21">
      <c r="A21" s="4" t="inlineStr">
        <is>
          <t>TOTAL HR COST</t>
        </is>
      </c>
      <c r="B21" s="13" t="inlineStr">
        <is>
          <t>M VND</t>
        </is>
      </c>
      <c r="C21" s="9">
        <f>C19+C20</f>
        <v/>
      </c>
      <c r="D21" s="9">
        <f>D19+D20</f>
        <v/>
      </c>
      <c r="E21" s="9">
        <f>E19+E20</f>
        <v/>
      </c>
      <c r="F21" s="9">
        <f>F19+F20</f>
        <v/>
      </c>
      <c r="G21" s="9">
        <f>G19+G20</f>
        <v/>
      </c>
      <c r="H21" s="9">
        <f>H19+H20</f>
        <v/>
      </c>
      <c r="I21" s="9">
        <f>I19+I20</f>
        <v/>
      </c>
      <c r="J21" s="9">
        <f>J19+J20</f>
        <v/>
      </c>
      <c r="K21" s="9">
        <f>K19+K20</f>
        <v/>
      </c>
      <c r="L21" s="9">
        <f>L19+L20</f>
        <v/>
      </c>
      <c r="M21" s="9">
        <f>M19+M20</f>
        <v/>
      </c>
      <c r="N21" s="9">
        <f>N19+N20</f>
        <v/>
      </c>
      <c r="O21" s="9">
        <f>O19+O20</f>
        <v/>
      </c>
      <c r="P21" s="9">
        <f>P19+P20</f>
        <v/>
      </c>
      <c r="Q21" s="9">
        <f>Q19+Q20</f>
        <v/>
      </c>
      <c r="R21" s="9">
        <f>R19+R20</f>
        <v/>
      </c>
      <c r="S21" s="9">
        <f>S19+S20</f>
        <v/>
      </c>
      <c r="T21" s="9">
        <f>T19+T20</f>
        <v/>
      </c>
      <c r="U21" s="9">
        <f>U19+U20</f>
        <v/>
      </c>
      <c r="V21" s="9">
        <f>V19+V20</f>
        <v/>
      </c>
      <c r="W21" s="9">
        <f>W19+W20</f>
        <v/>
      </c>
      <c r="X21" s="9">
        <f>X19+X20</f>
        <v/>
      </c>
      <c r="Y21" s="9">
        <f>Y19+Y20</f>
        <v/>
      </c>
      <c r="Z21" s="9">
        <f>Z19+Z20</f>
        <v/>
      </c>
      <c r="AA21" s="9">
        <f>AA19+AA20</f>
        <v/>
      </c>
      <c r="AB21" s="9">
        <f>AB19+AB20</f>
        <v/>
      </c>
      <c r="AC21" s="9">
        <f>AC19+AC20</f>
        <v/>
      </c>
      <c r="AD21" s="9">
        <f>AD19+AD20</f>
        <v/>
      </c>
      <c r="AE21" s="9">
        <f>AE19+AE20</f>
        <v/>
      </c>
      <c r="AF21" s="9">
        <f>AF19+AF20</f>
        <v/>
      </c>
      <c r="AG21" s="9">
        <f>AG19+AG20</f>
        <v/>
      </c>
      <c r="AH21" s="9">
        <f>AH19+AH20</f>
        <v/>
      </c>
      <c r="AI21" s="9">
        <f>AI19+AI20</f>
        <v/>
      </c>
      <c r="AJ21" s="9">
        <f>AJ19+AJ20</f>
        <v/>
      </c>
      <c r="AK21" s="9">
        <f>AK19+AK20</f>
        <v/>
      </c>
      <c r="AL21" s="9">
        <f>AL19+AL20</f>
        <v/>
      </c>
      <c r="AM21" s="9">
        <f>AM19+AM20</f>
        <v/>
      </c>
      <c r="AN21" s="9">
        <f>AN19+AN20</f>
        <v/>
      </c>
      <c r="AO21" s="9">
        <f>AO19+AO20</f>
        <v/>
      </c>
      <c r="AP21" s="9">
        <f>AP19+AP20</f>
        <v/>
      </c>
      <c r="AQ21" s="9">
        <f>AQ19+AQ20</f>
        <v/>
      </c>
      <c r="AR21" s="9">
        <f>AR19+AR20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AR17"/>
  <sheetViews>
    <sheetView workbookViewId="0">
      <selection activeCell="A1" sqref="A1"/>
    </sheetView>
  </sheetViews>
  <sheetFormatPr baseColWidth="8" defaultRowHeight="14.4"/>
  <cols>
    <col width="35" customWidth="1" style="62" min="1" max="1"/>
    <col width="10" customWidth="1" style="62" min="2" max="2"/>
    <col width="11" customWidth="1" style="62" min="3" max="44"/>
  </cols>
  <sheetData>
    <row r="1">
      <c r="A1" s="29" t="inlineStr">
        <is>
          <t>MARKET SIZING &amp; ADOPTION</t>
        </is>
      </c>
    </row>
    <row r="2"/>
    <row r="3">
      <c r="A3" s="4" t="inlineStr">
        <is>
          <t>Period index</t>
        </is>
      </c>
      <c r="B3" s="12" t="inlineStr">
        <is>
          <t>idx</t>
        </is>
      </c>
      <c r="C3" s="10" t="n">
        <v>0</v>
      </c>
      <c r="D3" s="10" t="n">
        <v>1</v>
      </c>
      <c r="E3" s="10" t="n">
        <v>2</v>
      </c>
      <c r="F3" s="10" t="n">
        <v>3</v>
      </c>
      <c r="G3" s="10" t="n">
        <v>4</v>
      </c>
      <c r="H3" s="10" t="n">
        <v>5</v>
      </c>
      <c r="I3" s="10" t="n">
        <v>6</v>
      </c>
      <c r="J3" s="10" t="n">
        <v>7</v>
      </c>
      <c r="K3" s="10" t="n">
        <v>8</v>
      </c>
      <c r="L3" s="10" t="n">
        <v>9</v>
      </c>
      <c r="M3" s="10" t="n">
        <v>10</v>
      </c>
      <c r="N3" s="10" t="n">
        <v>11</v>
      </c>
      <c r="O3" s="10" t="n">
        <v>12</v>
      </c>
      <c r="P3" s="10" t="n">
        <v>13</v>
      </c>
      <c r="Q3" s="10" t="n">
        <v>14</v>
      </c>
      <c r="R3" s="10" t="n">
        <v>15</v>
      </c>
      <c r="S3" s="10" t="n">
        <v>16</v>
      </c>
      <c r="T3" s="10" t="n">
        <v>17</v>
      </c>
      <c r="U3" s="10" t="n">
        <v>18</v>
      </c>
      <c r="V3" s="10" t="n">
        <v>19</v>
      </c>
      <c r="W3" s="10" t="n">
        <v>20</v>
      </c>
      <c r="X3" s="10" t="n">
        <v>21</v>
      </c>
      <c r="Y3" s="10" t="n">
        <v>22</v>
      </c>
      <c r="Z3" s="10" t="n">
        <v>23</v>
      </c>
      <c r="AA3" s="10" t="n">
        <v>24</v>
      </c>
      <c r="AB3" s="10" t="n">
        <v>25</v>
      </c>
      <c r="AC3" s="10" t="n">
        <v>26</v>
      </c>
      <c r="AD3" s="10" t="n">
        <v>27</v>
      </c>
      <c r="AE3" s="10" t="n">
        <v>28</v>
      </c>
      <c r="AF3" s="10" t="n">
        <v>29</v>
      </c>
      <c r="AG3" s="10" t="n">
        <v>30</v>
      </c>
      <c r="AH3" s="10" t="n">
        <v>31</v>
      </c>
      <c r="AI3" s="10" t="n">
        <v>32</v>
      </c>
      <c r="AJ3" s="10" t="n">
        <v>33</v>
      </c>
      <c r="AK3" s="10" t="n">
        <v>34</v>
      </c>
      <c r="AL3" s="10" t="n">
        <v>35</v>
      </c>
      <c r="AM3" s="10" t="n">
        <v>36</v>
      </c>
      <c r="AN3" s="10" t="n">
        <v>37</v>
      </c>
      <c r="AO3" s="10" t="n">
        <v>38</v>
      </c>
      <c r="AP3" s="10" t="n">
        <v>39</v>
      </c>
      <c r="AQ3" s="10" t="n">
        <v>40</v>
      </c>
      <c r="AR3" s="10" t="n">
        <v>41</v>
      </c>
    </row>
    <row r="4">
      <c r="A4" s="4" t="inlineStr">
        <is>
          <t>Year fraction</t>
        </is>
      </c>
      <c r="B4" s="12" t="inlineStr">
        <is>
          <t>year</t>
        </is>
      </c>
      <c r="C4" s="14">
        <f>base_year+(start_month-1+C3)/12</f>
        <v/>
      </c>
      <c r="D4" s="14">
        <f>base_year+(start_month-1+D3)/12</f>
        <v/>
      </c>
      <c r="E4" s="14">
        <f>base_year+(start_month-1+E3)/12</f>
        <v/>
      </c>
      <c r="F4" s="14">
        <f>base_year+(start_month-1+F3)/12</f>
        <v/>
      </c>
      <c r="G4" s="14">
        <f>base_year+(start_month-1+G3)/12</f>
        <v/>
      </c>
      <c r="H4" s="14">
        <f>base_year+(start_month-1+H3)/12</f>
        <v/>
      </c>
      <c r="I4" s="14">
        <f>base_year+(start_month-1+I3)/12</f>
        <v/>
      </c>
      <c r="J4" s="14">
        <f>base_year+(start_month-1+J3)/12</f>
        <v/>
      </c>
      <c r="K4" s="14">
        <f>base_year+(start_month-1+K3)/12</f>
        <v/>
      </c>
      <c r="L4" s="14">
        <f>base_year+(start_month-1+L3)/12</f>
        <v/>
      </c>
      <c r="M4" s="14">
        <f>base_year+(start_month-1+M3)/12</f>
        <v/>
      </c>
      <c r="N4" s="14">
        <f>base_year+(start_month-1+N3)/12</f>
        <v/>
      </c>
      <c r="O4" s="14">
        <f>base_year+(start_month-1+O3)/12</f>
        <v/>
      </c>
      <c r="P4" s="14">
        <f>base_year+(start_month-1+P3)/12</f>
        <v/>
      </c>
      <c r="Q4" s="14">
        <f>base_year+(start_month-1+Q3)/12</f>
        <v/>
      </c>
      <c r="R4" s="14">
        <f>base_year+(start_month-1+R3)/12</f>
        <v/>
      </c>
      <c r="S4" s="14">
        <f>base_year+(start_month-1+S3)/12</f>
        <v/>
      </c>
      <c r="T4" s="14">
        <f>base_year+(start_month-1+T3)/12</f>
        <v/>
      </c>
      <c r="U4" s="14">
        <f>base_year+(start_month-1+U3)/12</f>
        <v/>
      </c>
      <c r="V4" s="14">
        <f>base_year+(start_month-1+V3)/12</f>
        <v/>
      </c>
      <c r="W4" s="14">
        <f>base_year+(start_month-1+W3)/12</f>
        <v/>
      </c>
      <c r="X4" s="14">
        <f>base_year+(start_month-1+X3)/12</f>
        <v/>
      </c>
      <c r="Y4" s="14">
        <f>base_year+(start_month-1+Y3)/12</f>
        <v/>
      </c>
      <c r="Z4" s="14">
        <f>base_year+(start_month-1+Z3)/12</f>
        <v/>
      </c>
      <c r="AA4" s="14">
        <f>base_year+(start_month-1+AA3)/12</f>
        <v/>
      </c>
      <c r="AB4" s="14">
        <f>base_year+(start_month-1+AB3)/12</f>
        <v/>
      </c>
      <c r="AC4" s="14">
        <f>base_year+(start_month-1+AC3)/12</f>
        <v/>
      </c>
      <c r="AD4" s="14">
        <f>base_year+(start_month-1+AD3)/12</f>
        <v/>
      </c>
      <c r="AE4" s="14">
        <f>base_year+(start_month-1+AE3)/12</f>
        <v/>
      </c>
      <c r="AF4" s="14">
        <f>base_year+(start_month-1+AF3)/12</f>
        <v/>
      </c>
      <c r="AG4" s="14">
        <f>2028+(1-0.5)/12</f>
        <v/>
      </c>
      <c r="AH4" s="14">
        <f>2028+(4-0.5)/12</f>
        <v/>
      </c>
      <c r="AI4" s="14">
        <f>2028+(7-0.5)/12</f>
        <v/>
      </c>
      <c r="AJ4" s="14">
        <f>2028+(10-0.5)/12</f>
        <v/>
      </c>
      <c r="AK4" s="14">
        <f>2028+(13-0.5)/12</f>
        <v/>
      </c>
      <c r="AL4" s="14">
        <f>2028+(16-0.5)/12</f>
        <v/>
      </c>
      <c r="AM4" s="14">
        <f>2028+(19-0.5)/12</f>
        <v/>
      </c>
      <c r="AN4" s="14">
        <f>2028+(22-0.5)/12</f>
        <v/>
      </c>
      <c r="AO4" s="14">
        <f>2028+(25-0.5)/12</f>
        <v/>
      </c>
      <c r="AP4" s="14">
        <f>2028+(28-0.5)/12</f>
        <v/>
      </c>
      <c r="AQ4" s="14">
        <f>2028+(31-0.5)/12</f>
        <v/>
      </c>
      <c r="AR4" s="14">
        <f>2028+(34-0.5)/12</f>
        <v/>
      </c>
    </row>
    <row r="5">
      <c r="A5" s="4" t="inlineStr">
        <is>
          <t>Years from base</t>
        </is>
      </c>
      <c r="B5" s="12" t="inlineStr">
        <is>
          <t>yrs</t>
        </is>
      </c>
      <c r="C5" s="10">
        <f>FLOOR(C4-base_year,1)</f>
        <v/>
      </c>
      <c r="D5" s="10">
        <f>FLOOR(D4-base_year,1)</f>
        <v/>
      </c>
      <c r="E5" s="10">
        <f>FLOOR(E4-base_year,1)</f>
        <v/>
      </c>
      <c r="F5" s="10">
        <f>FLOOR(F4-base_year,1)</f>
        <v/>
      </c>
      <c r="G5" s="10">
        <f>FLOOR(G4-base_year,1)</f>
        <v/>
      </c>
      <c r="H5" s="10">
        <f>FLOOR(H4-base_year,1)</f>
        <v/>
      </c>
      <c r="I5" s="10">
        <f>FLOOR(I4-base_year,1)</f>
        <v/>
      </c>
      <c r="J5" s="10">
        <f>FLOOR(J4-base_year,1)</f>
        <v/>
      </c>
      <c r="K5" s="10">
        <f>FLOOR(K4-base_year,1)</f>
        <v/>
      </c>
      <c r="L5" s="10">
        <f>FLOOR(L4-base_year,1)</f>
        <v/>
      </c>
      <c r="M5" s="10">
        <f>FLOOR(M4-base_year,1)</f>
        <v/>
      </c>
      <c r="N5" s="10">
        <f>FLOOR(N4-base_year,1)</f>
        <v/>
      </c>
      <c r="O5" s="10">
        <f>FLOOR(O4-base_year,1)</f>
        <v/>
      </c>
      <c r="P5" s="10">
        <f>FLOOR(P4-base_year,1)</f>
        <v/>
      </c>
      <c r="Q5" s="10">
        <f>FLOOR(Q4-base_year,1)</f>
        <v/>
      </c>
      <c r="R5" s="10">
        <f>FLOOR(R4-base_year,1)</f>
        <v/>
      </c>
      <c r="S5" s="10">
        <f>FLOOR(S4-base_year,1)</f>
        <v/>
      </c>
      <c r="T5" s="10">
        <f>FLOOR(T4-base_year,1)</f>
        <v/>
      </c>
      <c r="U5" s="10">
        <f>FLOOR(U4-base_year,1)</f>
        <v/>
      </c>
      <c r="V5" s="10">
        <f>FLOOR(V4-base_year,1)</f>
        <v/>
      </c>
      <c r="W5" s="10">
        <f>FLOOR(W4-base_year,1)</f>
        <v/>
      </c>
      <c r="X5" s="10">
        <f>FLOOR(X4-base_year,1)</f>
        <v/>
      </c>
      <c r="Y5" s="10">
        <f>FLOOR(Y4-base_year,1)</f>
        <v/>
      </c>
      <c r="Z5" s="10">
        <f>FLOOR(Z4-base_year,1)</f>
        <v/>
      </c>
      <c r="AA5" s="10">
        <f>FLOOR(AA4-base_year,1)</f>
        <v/>
      </c>
      <c r="AB5" s="10">
        <f>FLOOR(AB4-base_year,1)</f>
        <v/>
      </c>
      <c r="AC5" s="10">
        <f>FLOOR(AC4-base_year,1)</f>
        <v/>
      </c>
      <c r="AD5" s="10">
        <f>FLOOR(AD4-base_year,1)</f>
        <v/>
      </c>
      <c r="AE5" s="10">
        <f>FLOOR(AE4-base_year,1)</f>
        <v/>
      </c>
      <c r="AF5" s="10">
        <f>FLOOR(AF4-base_year,1)</f>
        <v/>
      </c>
      <c r="AG5" s="10">
        <f>FLOOR(AG4-base_year,1)</f>
        <v/>
      </c>
      <c r="AH5" s="10">
        <f>FLOOR(AH4-base_year,1)</f>
        <v/>
      </c>
      <c r="AI5" s="10">
        <f>FLOOR(AI4-base_year,1)</f>
        <v/>
      </c>
      <c r="AJ5" s="10">
        <f>FLOOR(AJ4-base_year,1)</f>
        <v/>
      </c>
      <c r="AK5" s="10">
        <f>FLOOR(AK4-base_year,1)</f>
        <v/>
      </c>
      <c r="AL5" s="10">
        <f>FLOOR(AL4-base_year,1)</f>
        <v/>
      </c>
      <c r="AM5" s="10">
        <f>FLOOR(AM4-base_year,1)</f>
        <v/>
      </c>
      <c r="AN5" s="10">
        <f>FLOOR(AN4-base_year,1)</f>
        <v/>
      </c>
      <c r="AO5" s="10">
        <f>FLOOR(AO4-base_year,1)</f>
        <v/>
      </c>
      <c r="AP5" s="10">
        <f>FLOOR(AP4-base_year,1)</f>
        <v/>
      </c>
      <c r="AQ5" s="10">
        <f>FLOOR(AQ4-base_year,1)</f>
        <v/>
      </c>
      <c r="AR5" s="10">
        <f>FLOOR(AR4-base_year,1)</f>
        <v/>
      </c>
    </row>
    <row r="6">
      <c r="A6" s="4" t="inlineStr">
        <is>
          <t>Period divisor</t>
        </is>
      </c>
      <c r="B6" s="12" t="inlineStr">
        <is>
          <t>div</t>
        </is>
      </c>
      <c r="C6" s="10" t="n">
        <v>12</v>
      </c>
      <c r="D6" s="10" t="n">
        <v>12</v>
      </c>
      <c r="E6" s="10" t="n">
        <v>12</v>
      </c>
      <c r="F6" s="10" t="n">
        <v>12</v>
      </c>
      <c r="G6" s="10" t="n">
        <v>12</v>
      </c>
      <c r="H6" s="10" t="n">
        <v>12</v>
      </c>
      <c r="I6" s="10" t="n">
        <v>12</v>
      </c>
      <c r="J6" s="10" t="n">
        <v>12</v>
      </c>
      <c r="K6" s="10" t="n">
        <v>12</v>
      </c>
      <c r="L6" s="10" t="n">
        <v>12</v>
      </c>
      <c r="M6" s="10" t="n">
        <v>12</v>
      </c>
      <c r="N6" s="10" t="n">
        <v>12</v>
      </c>
      <c r="O6" s="10" t="n">
        <v>12</v>
      </c>
      <c r="P6" s="10" t="n">
        <v>12</v>
      </c>
      <c r="Q6" s="10" t="n">
        <v>12</v>
      </c>
      <c r="R6" s="10" t="n">
        <v>12</v>
      </c>
      <c r="S6" s="10" t="n">
        <v>12</v>
      </c>
      <c r="T6" s="10" t="n">
        <v>12</v>
      </c>
      <c r="U6" s="10" t="n">
        <v>12</v>
      </c>
      <c r="V6" s="10" t="n">
        <v>12</v>
      </c>
      <c r="W6" s="10" t="n">
        <v>12</v>
      </c>
      <c r="X6" s="10" t="n">
        <v>12</v>
      </c>
      <c r="Y6" s="10" t="n">
        <v>12</v>
      </c>
      <c r="Z6" s="10" t="n">
        <v>12</v>
      </c>
      <c r="AA6" s="10" t="n">
        <v>12</v>
      </c>
      <c r="AB6" s="10" t="n">
        <v>12</v>
      </c>
      <c r="AC6" s="10" t="n">
        <v>12</v>
      </c>
      <c r="AD6" s="10" t="n">
        <v>12</v>
      </c>
      <c r="AE6" s="10" t="n">
        <v>12</v>
      </c>
      <c r="AF6" s="10" t="n">
        <v>12</v>
      </c>
      <c r="AG6" s="10" t="n">
        <v>4</v>
      </c>
      <c r="AH6" s="10" t="n">
        <v>4</v>
      </c>
      <c r="AI6" s="10" t="n">
        <v>4</v>
      </c>
      <c r="AJ6" s="10" t="n">
        <v>4</v>
      </c>
      <c r="AK6" s="10" t="n">
        <v>4</v>
      </c>
      <c r="AL6" s="10" t="n">
        <v>4</v>
      </c>
      <c r="AM6" s="10" t="n">
        <v>4</v>
      </c>
      <c r="AN6" s="10" t="n">
        <v>4</v>
      </c>
      <c r="AO6" s="10" t="n">
        <v>4</v>
      </c>
      <c r="AP6" s="10" t="n">
        <v>4</v>
      </c>
      <c r="AQ6" s="10" t="n">
        <v>4</v>
      </c>
      <c r="AR6" s="10" t="n">
        <v>4</v>
      </c>
    </row>
    <row r="7">
      <c r="A7" s="4" t="inlineStr">
        <is>
          <t>Months in period</t>
        </is>
      </c>
      <c r="B7" s="12" t="inlineStr">
        <is>
          <t>mon</t>
        </is>
      </c>
      <c r="C7" s="10" t="n">
        <v>1</v>
      </c>
      <c r="D7" s="10" t="n">
        <v>1</v>
      </c>
      <c r="E7" s="10" t="n">
        <v>1</v>
      </c>
      <c r="F7" s="10" t="n">
        <v>1</v>
      </c>
      <c r="G7" s="10" t="n">
        <v>1</v>
      </c>
      <c r="H7" s="10" t="n">
        <v>1</v>
      </c>
      <c r="I7" s="10" t="n">
        <v>1</v>
      </c>
      <c r="J7" s="10" t="n">
        <v>1</v>
      </c>
      <c r="K7" s="10" t="n">
        <v>1</v>
      </c>
      <c r="L7" s="10" t="n">
        <v>1</v>
      </c>
      <c r="M7" s="10" t="n">
        <v>1</v>
      </c>
      <c r="N7" s="10" t="n">
        <v>1</v>
      </c>
      <c r="O7" s="10" t="n">
        <v>1</v>
      </c>
      <c r="P7" s="10" t="n">
        <v>1</v>
      </c>
      <c r="Q7" s="10" t="n">
        <v>1</v>
      </c>
      <c r="R7" s="10" t="n">
        <v>1</v>
      </c>
      <c r="S7" s="10" t="n">
        <v>1</v>
      </c>
      <c r="T7" s="10" t="n">
        <v>1</v>
      </c>
      <c r="U7" s="10" t="n">
        <v>1</v>
      </c>
      <c r="V7" s="10" t="n">
        <v>1</v>
      </c>
      <c r="W7" s="10" t="n">
        <v>1</v>
      </c>
      <c r="X7" s="10" t="n">
        <v>1</v>
      </c>
      <c r="Y7" s="10" t="n">
        <v>1</v>
      </c>
      <c r="Z7" s="10" t="n">
        <v>1</v>
      </c>
      <c r="AA7" s="10" t="n">
        <v>1</v>
      </c>
      <c r="AB7" s="10" t="n">
        <v>1</v>
      </c>
      <c r="AC7" s="10" t="n">
        <v>1</v>
      </c>
      <c r="AD7" s="10" t="n">
        <v>1</v>
      </c>
      <c r="AE7" s="10" t="n">
        <v>1</v>
      </c>
      <c r="AF7" s="10" t="n">
        <v>1</v>
      </c>
      <c r="AG7" s="10" t="n">
        <v>3</v>
      </c>
      <c r="AH7" s="10" t="n">
        <v>3</v>
      </c>
      <c r="AI7" s="10" t="n">
        <v>3</v>
      </c>
      <c r="AJ7" s="10" t="n">
        <v>3</v>
      </c>
      <c r="AK7" s="10" t="n">
        <v>3</v>
      </c>
      <c r="AL7" s="10" t="n">
        <v>3</v>
      </c>
      <c r="AM7" s="10" t="n">
        <v>3</v>
      </c>
      <c r="AN7" s="10" t="n">
        <v>3</v>
      </c>
      <c r="AO7" s="10" t="n">
        <v>3</v>
      </c>
      <c r="AP7" s="10" t="n">
        <v>3</v>
      </c>
      <c r="AQ7" s="10" t="n">
        <v>3</v>
      </c>
      <c r="AR7" s="10" t="n">
        <v>3</v>
      </c>
    </row>
    <row r="8"/>
    <row r="9">
      <c r="A9" s="3" t="inlineStr">
        <is>
          <t>Metric</t>
        </is>
      </c>
      <c r="B9" s="3" t="inlineStr">
        <is>
          <t>Unit</t>
        </is>
      </c>
      <c r="C9" s="3" t="inlineStr">
        <is>
          <t>Jul 2025</t>
        </is>
      </c>
      <c r="D9" s="3" t="inlineStr">
        <is>
          <t>Aug 2025</t>
        </is>
      </c>
      <c r="E9" s="3" t="inlineStr">
        <is>
          <t>Sep 2025</t>
        </is>
      </c>
      <c r="F9" s="3" t="inlineStr">
        <is>
          <t>Oct 2025</t>
        </is>
      </c>
      <c r="G9" s="3" t="inlineStr">
        <is>
          <t>Nov 2025</t>
        </is>
      </c>
      <c r="H9" s="3" t="inlineStr">
        <is>
          <t>Dec 2025</t>
        </is>
      </c>
      <c r="I9" s="3" t="inlineStr">
        <is>
          <t>Jan 2026</t>
        </is>
      </c>
      <c r="J9" s="3" t="inlineStr">
        <is>
          <t>Feb 2026</t>
        </is>
      </c>
      <c r="K9" s="3" t="inlineStr">
        <is>
          <t>Mar 2026</t>
        </is>
      </c>
      <c r="L9" s="3" t="inlineStr">
        <is>
          <t>Apr 2026</t>
        </is>
      </c>
      <c r="M9" s="3" t="inlineStr">
        <is>
          <t>May 2026</t>
        </is>
      </c>
      <c r="N9" s="3" t="inlineStr">
        <is>
          <t>Jun 2026</t>
        </is>
      </c>
      <c r="O9" s="3" t="inlineStr">
        <is>
          <t>Jul 2026</t>
        </is>
      </c>
      <c r="P9" s="3" t="inlineStr">
        <is>
          <t>Aug 2026</t>
        </is>
      </c>
      <c r="Q9" s="3" t="inlineStr">
        <is>
          <t>Sep 2026</t>
        </is>
      </c>
      <c r="R9" s="3" t="inlineStr">
        <is>
          <t>Oct 2026</t>
        </is>
      </c>
      <c r="S9" s="3" t="inlineStr">
        <is>
          <t>Nov 2026</t>
        </is>
      </c>
      <c r="T9" s="3" t="inlineStr">
        <is>
          <t>Dec 2026</t>
        </is>
      </c>
      <c r="U9" s="3" t="inlineStr">
        <is>
          <t>Jan 2027</t>
        </is>
      </c>
      <c r="V9" s="3" t="inlineStr">
        <is>
          <t>Feb 2027</t>
        </is>
      </c>
      <c r="W9" s="3" t="inlineStr">
        <is>
          <t>Mar 2027</t>
        </is>
      </c>
      <c r="X9" s="3" t="inlineStr">
        <is>
          <t>Apr 2027</t>
        </is>
      </c>
      <c r="Y9" s="3" t="inlineStr">
        <is>
          <t>May 2027</t>
        </is>
      </c>
      <c r="Z9" s="3" t="inlineStr">
        <is>
          <t>Jun 2027</t>
        </is>
      </c>
      <c r="AA9" s="3" t="inlineStr">
        <is>
          <t>Jul 2027</t>
        </is>
      </c>
      <c r="AB9" s="3" t="inlineStr">
        <is>
          <t>Aug 2027</t>
        </is>
      </c>
      <c r="AC9" s="3" t="inlineStr">
        <is>
          <t>Sep 2027</t>
        </is>
      </c>
      <c r="AD9" s="3" t="inlineStr">
        <is>
          <t>Oct 2027</t>
        </is>
      </c>
      <c r="AE9" s="3" t="inlineStr">
        <is>
          <t>Nov 2027</t>
        </is>
      </c>
      <c r="AF9" s="3" t="inlineStr">
        <is>
          <t>Dec 2027</t>
        </is>
      </c>
      <c r="AG9" s="3" t="inlineStr">
        <is>
          <t>Q1 2028</t>
        </is>
      </c>
      <c r="AH9" s="3" t="inlineStr">
        <is>
          <t>Q2 2028</t>
        </is>
      </c>
      <c r="AI9" s="3" t="inlineStr">
        <is>
          <t>Q3 2028</t>
        </is>
      </c>
      <c r="AJ9" s="3" t="inlineStr">
        <is>
          <t>Q4 2028</t>
        </is>
      </c>
      <c r="AK9" s="3" t="inlineStr">
        <is>
          <t>Q1 2029</t>
        </is>
      </c>
      <c r="AL9" s="3" t="inlineStr">
        <is>
          <t>Q2 2029</t>
        </is>
      </c>
      <c r="AM9" s="3" t="inlineStr">
        <is>
          <t>Q3 2029</t>
        </is>
      </c>
      <c r="AN9" s="3" t="inlineStr">
        <is>
          <t>Q4 2029</t>
        </is>
      </c>
      <c r="AO9" s="3" t="inlineStr">
        <is>
          <t>Q1 2030</t>
        </is>
      </c>
      <c r="AP9" s="3" t="inlineStr">
        <is>
          <t>Q2 2030</t>
        </is>
      </c>
      <c r="AQ9" s="3" t="inlineStr">
        <is>
          <t>Q3 2030</t>
        </is>
      </c>
      <c r="AR9" s="3" t="inlineStr">
        <is>
          <t>Q4 2030</t>
        </is>
      </c>
    </row>
    <row r="10">
      <c r="A10" s="4" t="inlineStr">
        <is>
          <t>E-commerce tourism market</t>
        </is>
      </c>
      <c r="B10" s="12" t="inlineStr">
        <is>
          <t>Bn VND</t>
        </is>
      </c>
      <c r="C10" s="15">
        <f>ecom_market_base*(1+ecom_growth_rate)^C5/C6</f>
        <v/>
      </c>
      <c r="D10" s="15">
        <f>ecom_market_base*(1+ecom_growth_rate)^D5/D6</f>
        <v/>
      </c>
      <c r="E10" s="15">
        <f>ecom_market_base*(1+ecom_growth_rate)^E5/E6</f>
        <v/>
      </c>
      <c r="F10" s="15">
        <f>ecom_market_base*(1+ecom_growth_rate)^F5/F6</f>
        <v/>
      </c>
      <c r="G10" s="15">
        <f>ecom_market_base*(1+ecom_growth_rate)^G5/G6</f>
        <v/>
      </c>
      <c r="H10" s="15">
        <f>ecom_market_base*(1+ecom_growth_rate)^H5/H6</f>
        <v/>
      </c>
      <c r="I10" s="15">
        <f>ecom_market_base*(1+ecom_growth_rate)^I5/I6</f>
        <v/>
      </c>
      <c r="J10" s="15">
        <f>ecom_market_base*(1+ecom_growth_rate)^J5/J6</f>
        <v/>
      </c>
      <c r="K10" s="15">
        <f>ecom_market_base*(1+ecom_growth_rate)^K5/K6</f>
        <v/>
      </c>
      <c r="L10" s="15">
        <f>ecom_market_base*(1+ecom_growth_rate)^L5/L6</f>
        <v/>
      </c>
      <c r="M10" s="15">
        <f>ecom_market_base*(1+ecom_growth_rate)^M5/M6</f>
        <v/>
      </c>
      <c r="N10" s="15">
        <f>ecom_market_base*(1+ecom_growth_rate)^N5/N6</f>
        <v/>
      </c>
      <c r="O10" s="15">
        <f>ecom_market_base*(1+ecom_growth_rate)^O5/O6</f>
        <v/>
      </c>
      <c r="P10" s="15">
        <f>ecom_market_base*(1+ecom_growth_rate)^P5/P6</f>
        <v/>
      </c>
      <c r="Q10" s="15">
        <f>ecom_market_base*(1+ecom_growth_rate)^Q5/Q6</f>
        <v/>
      </c>
      <c r="R10" s="15">
        <f>ecom_market_base*(1+ecom_growth_rate)^R5/R6</f>
        <v/>
      </c>
      <c r="S10" s="15">
        <f>ecom_market_base*(1+ecom_growth_rate)^S5/S6</f>
        <v/>
      </c>
      <c r="T10" s="15">
        <f>ecom_market_base*(1+ecom_growth_rate)^T5/T6</f>
        <v/>
      </c>
      <c r="U10" s="15">
        <f>ecom_market_base*(1+ecom_growth_rate)^U5/U6</f>
        <v/>
      </c>
      <c r="V10" s="15">
        <f>ecom_market_base*(1+ecom_growth_rate)^V5/V6</f>
        <v/>
      </c>
      <c r="W10" s="15">
        <f>ecom_market_base*(1+ecom_growth_rate)^W5/W6</f>
        <v/>
      </c>
      <c r="X10" s="15">
        <f>ecom_market_base*(1+ecom_growth_rate)^X5/X6</f>
        <v/>
      </c>
      <c r="Y10" s="15">
        <f>ecom_market_base*(1+ecom_growth_rate)^Y5/Y6</f>
        <v/>
      </c>
      <c r="Z10" s="15">
        <f>ecom_market_base*(1+ecom_growth_rate)^Z5/Z6</f>
        <v/>
      </c>
      <c r="AA10" s="15">
        <f>ecom_market_base*(1+ecom_growth_rate)^AA5/AA6</f>
        <v/>
      </c>
      <c r="AB10" s="15">
        <f>ecom_market_base*(1+ecom_growth_rate)^AB5/AB6</f>
        <v/>
      </c>
      <c r="AC10" s="15">
        <f>ecom_market_base*(1+ecom_growth_rate)^AC5/AC6</f>
        <v/>
      </c>
      <c r="AD10" s="15">
        <f>ecom_market_base*(1+ecom_growth_rate)^AD5/AD6</f>
        <v/>
      </c>
      <c r="AE10" s="15">
        <f>ecom_market_base*(1+ecom_growth_rate)^AE5/AE6</f>
        <v/>
      </c>
      <c r="AF10" s="15">
        <f>ecom_market_base*(1+ecom_growth_rate)^AF5/AF6</f>
        <v/>
      </c>
      <c r="AG10" s="15">
        <f>ecom_market_base*(1+ecom_growth_rate)^AG5/AG6</f>
        <v/>
      </c>
      <c r="AH10" s="15">
        <f>ecom_market_base*(1+ecom_growth_rate)^AH5/AH6</f>
        <v/>
      </c>
      <c r="AI10" s="15">
        <f>ecom_market_base*(1+ecom_growth_rate)^AI5/AI6</f>
        <v/>
      </c>
      <c r="AJ10" s="15">
        <f>ecom_market_base*(1+ecom_growth_rate)^AJ5/AJ6</f>
        <v/>
      </c>
      <c r="AK10" s="15">
        <f>ecom_market_base*(1+ecom_growth_rate)^AK5/AK6</f>
        <v/>
      </c>
      <c r="AL10" s="15">
        <f>ecom_market_base*(1+ecom_growth_rate)^AL5/AL6</f>
        <v/>
      </c>
      <c r="AM10" s="15">
        <f>ecom_market_base*(1+ecom_growth_rate)^AM5/AM6</f>
        <v/>
      </c>
      <c r="AN10" s="15">
        <f>ecom_market_base*(1+ecom_growth_rate)^AN5/AN6</f>
        <v/>
      </c>
      <c r="AO10" s="15">
        <f>ecom_market_base*(1+ecom_growth_rate)^AO5/AO6</f>
        <v/>
      </c>
      <c r="AP10" s="15">
        <f>ecom_market_base*(1+ecom_growth_rate)^AP5/AP6</f>
        <v/>
      </c>
      <c r="AQ10" s="15">
        <f>ecom_market_base*(1+ecom_growth_rate)^AQ5/AQ6</f>
        <v/>
      </c>
      <c r="AR10" s="15">
        <f>ecom_market_base*(1+ecom_growth_rate)^AR5/AR6</f>
        <v/>
      </c>
    </row>
    <row r="11"/>
    <row r="12">
      <c r="A12" s="29" t="inlineStr">
        <is>
          <t>S-CURVE ADOPTION</t>
        </is>
      </c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</row>
    <row r="13">
      <c r="A13" s="4" t="inlineStr">
        <is>
          <t>Gross enterprises</t>
        </is>
      </c>
      <c r="B13" s="12" t="inlineStr">
        <is>
          <t>cnt</t>
        </is>
      </c>
      <c r="C13" s="10">
        <f>MAX(pilot_count,adoption_max/(1+EXP(-adoption_steepness*(C4-adoption_midpoint))))</f>
        <v/>
      </c>
      <c r="D13" s="10">
        <f>MAX(pilot_count,adoption_max/(1+EXP(-adoption_steepness*(D4-adoption_midpoint))))</f>
        <v/>
      </c>
      <c r="E13" s="10">
        <f>MAX(pilot_count,adoption_max/(1+EXP(-adoption_steepness*(E4-adoption_midpoint))))</f>
        <v/>
      </c>
      <c r="F13" s="10">
        <f>MAX(pilot_count,adoption_max/(1+EXP(-adoption_steepness*(F4-adoption_midpoint))))</f>
        <v/>
      </c>
      <c r="G13" s="10">
        <f>MAX(pilot_count,adoption_max/(1+EXP(-adoption_steepness*(G4-adoption_midpoint))))</f>
        <v/>
      </c>
      <c r="H13" s="10">
        <f>MAX(pilot_count,adoption_max/(1+EXP(-adoption_steepness*(H4-adoption_midpoint))))</f>
        <v/>
      </c>
      <c r="I13" s="10">
        <f>MAX(pilot_count,adoption_max/(1+EXP(-adoption_steepness*(I4-adoption_midpoint))))</f>
        <v/>
      </c>
      <c r="J13" s="10">
        <f>MAX(pilot_count,adoption_max/(1+EXP(-adoption_steepness*(J4-adoption_midpoint))))</f>
        <v/>
      </c>
      <c r="K13" s="10">
        <f>MAX(pilot_count,adoption_max/(1+EXP(-adoption_steepness*(K4-adoption_midpoint))))</f>
        <v/>
      </c>
      <c r="L13" s="10">
        <f>MAX(pilot_count,adoption_max/(1+EXP(-adoption_steepness*(L4-adoption_midpoint))))</f>
        <v/>
      </c>
      <c r="M13" s="10">
        <f>MAX(pilot_count,adoption_max/(1+EXP(-adoption_steepness*(M4-adoption_midpoint))))</f>
        <v/>
      </c>
      <c r="N13" s="10">
        <f>MAX(pilot_count,adoption_max/(1+EXP(-adoption_steepness*(N4-adoption_midpoint))))</f>
        <v/>
      </c>
      <c r="O13" s="10">
        <f>MAX(pilot_count,adoption_max/(1+EXP(-adoption_steepness*(O4-adoption_midpoint))))</f>
        <v/>
      </c>
      <c r="P13" s="10">
        <f>MAX(pilot_count,adoption_max/(1+EXP(-adoption_steepness*(P4-adoption_midpoint))))</f>
        <v/>
      </c>
      <c r="Q13" s="10">
        <f>MAX(pilot_count,adoption_max/(1+EXP(-adoption_steepness*(Q4-adoption_midpoint))))</f>
        <v/>
      </c>
      <c r="R13" s="10">
        <f>MAX(pilot_count,adoption_max/(1+EXP(-adoption_steepness*(R4-adoption_midpoint))))</f>
        <v/>
      </c>
      <c r="S13" s="10">
        <f>MAX(pilot_count,adoption_max/(1+EXP(-adoption_steepness*(S4-adoption_midpoint))))</f>
        <v/>
      </c>
      <c r="T13" s="10">
        <f>MAX(pilot_count,adoption_max/(1+EXP(-adoption_steepness*(T4-adoption_midpoint))))</f>
        <v/>
      </c>
      <c r="U13" s="10">
        <f>MAX(pilot_count,adoption_max/(1+EXP(-adoption_steepness*(U4-adoption_midpoint))))</f>
        <v/>
      </c>
      <c r="V13" s="10">
        <f>MAX(pilot_count,adoption_max/(1+EXP(-adoption_steepness*(V4-adoption_midpoint))))</f>
        <v/>
      </c>
      <c r="W13" s="10">
        <f>MAX(pilot_count,adoption_max/(1+EXP(-adoption_steepness*(W4-adoption_midpoint))))</f>
        <v/>
      </c>
      <c r="X13" s="10">
        <f>MAX(pilot_count,adoption_max/(1+EXP(-adoption_steepness*(X4-adoption_midpoint))))</f>
        <v/>
      </c>
      <c r="Y13" s="10">
        <f>MAX(pilot_count,adoption_max/(1+EXP(-adoption_steepness*(Y4-adoption_midpoint))))</f>
        <v/>
      </c>
      <c r="Z13" s="10">
        <f>MAX(pilot_count,adoption_max/(1+EXP(-adoption_steepness*(Z4-adoption_midpoint))))</f>
        <v/>
      </c>
      <c r="AA13" s="10">
        <f>MAX(pilot_count,adoption_max/(1+EXP(-adoption_steepness*(AA4-adoption_midpoint))))</f>
        <v/>
      </c>
      <c r="AB13" s="10">
        <f>MAX(pilot_count,adoption_max/(1+EXP(-adoption_steepness*(AB4-adoption_midpoint))))</f>
        <v/>
      </c>
      <c r="AC13" s="10">
        <f>MAX(pilot_count,adoption_max/(1+EXP(-adoption_steepness*(AC4-adoption_midpoint))))</f>
        <v/>
      </c>
      <c r="AD13" s="10">
        <f>MAX(pilot_count,adoption_max/(1+EXP(-adoption_steepness*(AD4-adoption_midpoint))))</f>
        <v/>
      </c>
      <c r="AE13" s="10">
        <f>MAX(pilot_count,adoption_max/(1+EXP(-adoption_steepness*(AE4-adoption_midpoint))))</f>
        <v/>
      </c>
      <c r="AF13" s="10">
        <f>MAX(pilot_count,adoption_max/(1+EXP(-adoption_steepness*(AF4-adoption_midpoint))))</f>
        <v/>
      </c>
      <c r="AG13" s="10">
        <f>MAX(pilot_count,adoption_max/(1+EXP(-adoption_steepness*(AG4-adoption_midpoint))))</f>
        <v/>
      </c>
      <c r="AH13" s="10">
        <f>MAX(pilot_count,adoption_max/(1+EXP(-adoption_steepness*(AH4-adoption_midpoint))))</f>
        <v/>
      </c>
      <c r="AI13" s="10">
        <f>MAX(pilot_count,adoption_max/(1+EXP(-adoption_steepness*(AI4-adoption_midpoint))))</f>
        <v/>
      </c>
      <c r="AJ13" s="10">
        <f>MAX(pilot_count,adoption_max/(1+EXP(-adoption_steepness*(AJ4-adoption_midpoint))))</f>
        <v/>
      </c>
      <c r="AK13" s="10">
        <f>MAX(pilot_count,adoption_max/(1+EXP(-adoption_steepness*(AK4-adoption_midpoint))))</f>
        <v/>
      </c>
      <c r="AL13" s="10">
        <f>MAX(pilot_count,adoption_max/(1+EXP(-adoption_steepness*(AL4-adoption_midpoint))))</f>
        <v/>
      </c>
      <c r="AM13" s="10">
        <f>MAX(pilot_count,adoption_max/(1+EXP(-adoption_steepness*(AM4-adoption_midpoint))))</f>
        <v/>
      </c>
      <c r="AN13" s="10">
        <f>MAX(pilot_count,adoption_max/(1+EXP(-adoption_steepness*(AN4-adoption_midpoint))))</f>
        <v/>
      </c>
      <c r="AO13" s="10">
        <f>MAX(pilot_count,adoption_max/(1+EXP(-adoption_steepness*(AO4-adoption_midpoint))))</f>
        <v/>
      </c>
      <c r="AP13" s="10">
        <f>MAX(pilot_count,adoption_max/(1+EXP(-adoption_steepness*(AP4-adoption_midpoint))))</f>
        <v/>
      </c>
      <c r="AQ13" s="10">
        <f>MAX(pilot_count,adoption_max/(1+EXP(-adoption_steepness*(AQ4-adoption_midpoint))))</f>
        <v/>
      </c>
      <c r="AR13" s="10">
        <f>MAX(pilot_count,adoption_max/(1+EXP(-adoption_steepness*(AR4-adoption_midpoint))))</f>
        <v/>
      </c>
    </row>
    <row r="14">
      <c r="A14" s="4" t="inlineStr">
        <is>
          <t>Churned</t>
        </is>
      </c>
      <c r="B14" s="12" t="inlineStr">
        <is>
          <t>cnt</t>
        </is>
      </c>
      <c r="C14" s="10">
        <f>0</f>
        <v/>
      </c>
      <c r="D14" s="10">
        <f>ROUND(D13*churn_rate/D6,0)</f>
        <v/>
      </c>
      <c r="E14" s="10">
        <f>ROUND(E13*churn_rate/E6,0)</f>
        <v/>
      </c>
      <c r="F14" s="10">
        <f>ROUND(F13*churn_rate/F6,0)</f>
        <v/>
      </c>
      <c r="G14" s="10">
        <f>ROUND(G13*churn_rate/G6,0)</f>
        <v/>
      </c>
      <c r="H14" s="10">
        <f>ROUND(H13*churn_rate/H6,0)</f>
        <v/>
      </c>
      <c r="I14" s="10">
        <f>ROUND(I13*churn_rate/I6,0)</f>
        <v/>
      </c>
      <c r="J14" s="10">
        <f>ROUND(J13*churn_rate/J6,0)</f>
        <v/>
      </c>
      <c r="K14" s="10">
        <f>ROUND(K13*churn_rate/K6,0)</f>
        <v/>
      </c>
      <c r="L14" s="10">
        <f>ROUND(L13*churn_rate/L6,0)</f>
        <v/>
      </c>
      <c r="M14" s="10">
        <f>ROUND(M13*churn_rate/M6,0)</f>
        <v/>
      </c>
      <c r="N14" s="10">
        <f>ROUND(N13*churn_rate/N6,0)</f>
        <v/>
      </c>
      <c r="O14" s="10">
        <f>ROUND(O13*churn_rate/O6,0)</f>
        <v/>
      </c>
      <c r="P14" s="10">
        <f>ROUND(P13*churn_rate/P6,0)</f>
        <v/>
      </c>
      <c r="Q14" s="10">
        <f>ROUND(Q13*churn_rate/Q6,0)</f>
        <v/>
      </c>
      <c r="R14" s="10">
        <f>ROUND(R13*churn_rate/R6,0)</f>
        <v/>
      </c>
      <c r="S14" s="10">
        <f>ROUND(S13*churn_rate/S6,0)</f>
        <v/>
      </c>
      <c r="T14" s="10">
        <f>ROUND(T13*churn_rate/T6,0)</f>
        <v/>
      </c>
      <c r="U14" s="10">
        <f>ROUND(U13*churn_rate/U6,0)</f>
        <v/>
      </c>
      <c r="V14" s="10">
        <f>ROUND(V13*churn_rate/V6,0)</f>
        <v/>
      </c>
      <c r="W14" s="10">
        <f>ROUND(W13*churn_rate/W6,0)</f>
        <v/>
      </c>
      <c r="X14" s="10">
        <f>ROUND(X13*churn_rate/X6,0)</f>
        <v/>
      </c>
      <c r="Y14" s="10">
        <f>ROUND(Y13*churn_rate/Y6,0)</f>
        <v/>
      </c>
      <c r="Z14" s="10">
        <f>ROUND(Z13*churn_rate/Z6,0)</f>
        <v/>
      </c>
      <c r="AA14" s="10">
        <f>ROUND(AA13*churn_rate/AA6,0)</f>
        <v/>
      </c>
      <c r="AB14" s="10">
        <f>ROUND(AB13*churn_rate/AB6,0)</f>
        <v/>
      </c>
      <c r="AC14" s="10">
        <f>ROUND(AC13*churn_rate/AC6,0)</f>
        <v/>
      </c>
      <c r="AD14" s="10">
        <f>ROUND(AD13*churn_rate/AD6,0)</f>
        <v/>
      </c>
      <c r="AE14" s="10">
        <f>ROUND(AE13*churn_rate/AE6,0)</f>
        <v/>
      </c>
      <c r="AF14" s="10">
        <f>ROUND(AF13*churn_rate/AF6,0)</f>
        <v/>
      </c>
      <c r="AG14" s="10">
        <f>ROUND(AG13*churn_rate/AG6,0)</f>
        <v/>
      </c>
      <c r="AH14" s="10">
        <f>ROUND(AH13*churn_rate/AH6,0)</f>
        <v/>
      </c>
      <c r="AI14" s="10">
        <f>ROUND(AI13*churn_rate/AI6,0)</f>
        <v/>
      </c>
      <c r="AJ14" s="10">
        <f>ROUND(AJ13*churn_rate/AJ6,0)</f>
        <v/>
      </c>
      <c r="AK14" s="10">
        <f>ROUND(AK13*churn_rate/AK6,0)</f>
        <v/>
      </c>
      <c r="AL14" s="10">
        <f>ROUND(AL13*churn_rate/AL6,0)</f>
        <v/>
      </c>
      <c r="AM14" s="10">
        <f>ROUND(AM13*churn_rate/AM6,0)</f>
        <v/>
      </c>
      <c r="AN14" s="10">
        <f>ROUND(AN13*churn_rate/AN6,0)</f>
        <v/>
      </c>
      <c r="AO14" s="10">
        <f>ROUND(AO13*churn_rate/AO6,0)</f>
        <v/>
      </c>
      <c r="AP14" s="10">
        <f>ROUND(AP13*churn_rate/AP6,0)</f>
        <v/>
      </c>
      <c r="AQ14" s="10">
        <f>ROUND(AQ13*churn_rate/AQ6,0)</f>
        <v/>
      </c>
      <c r="AR14" s="10">
        <f>ROUND(AR13*churn_rate/AR6,0)</f>
        <v/>
      </c>
    </row>
    <row r="15">
      <c r="A15" s="4" t="inlineStr">
        <is>
          <t>Net active enterprises</t>
        </is>
      </c>
      <c r="B15" s="12" t="inlineStr">
        <is>
          <t>cnt</t>
        </is>
      </c>
      <c r="C15" s="9">
        <f>C13-C14</f>
        <v/>
      </c>
      <c r="D15" s="9">
        <f>D13-D14</f>
        <v/>
      </c>
      <c r="E15" s="9">
        <f>E13-E14</f>
        <v/>
      </c>
      <c r="F15" s="9">
        <f>F13-F14</f>
        <v/>
      </c>
      <c r="G15" s="9">
        <f>G13-G14</f>
        <v/>
      </c>
      <c r="H15" s="9">
        <f>H13-H14</f>
        <v/>
      </c>
      <c r="I15" s="9">
        <f>I13-I14</f>
        <v/>
      </c>
      <c r="J15" s="9">
        <f>J13-J14</f>
        <v/>
      </c>
      <c r="K15" s="9">
        <f>K13-K14</f>
        <v/>
      </c>
      <c r="L15" s="9">
        <f>L13-L14</f>
        <v/>
      </c>
      <c r="M15" s="9">
        <f>M13-M14</f>
        <v/>
      </c>
      <c r="N15" s="9">
        <f>N13-N14</f>
        <v/>
      </c>
      <c r="O15" s="9">
        <f>O13-O14</f>
        <v/>
      </c>
      <c r="P15" s="9">
        <f>P13-P14</f>
        <v/>
      </c>
      <c r="Q15" s="9">
        <f>Q13-Q14</f>
        <v/>
      </c>
      <c r="R15" s="9">
        <f>R13-R14</f>
        <v/>
      </c>
      <c r="S15" s="9">
        <f>S13-S14</f>
        <v/>
      </c>
      <c r="T15" s="9">
        <f>T13-T14</f>
        <v/>
      </c>
      <c r="U15" s="9">
        <f>U13-U14</f>
        <v/>
      </c>
      <c r="V15" s="9">
        <f>V13-V14</f>
        <v/>
      </c>
      <c r="W15" s="9">
        <f>W13-W14</f>
        <v/>
      </c>
      <c r="X15" s="9">
        <f>X13-X14</f>
        <v/>
      </c>
      <c r="Y15" s="9">
        <f>Y13-Y14</f>
        <v/>
      </c>
      <c r="Z15" s="9">
        <f>Z13-Z14</f>
        <v/>
      </c>
      <c r="AA15" s="9">
        <f>AA13-AA14</f>
        <v/>
      </c>
      <c r="AB15" s="9">
        <f>AB13-AB14</f>
        <v/>
      </c>
      <c r="AC15" s="9">
        <f>AC13-AC14</f>
        <v/>
      </c>
      <c r="AD15" s="9">
        <f>AD13-AD14</f>
        <v/>
      </c>
      <c r="AE15" s="9">
        <f>AE13-AE14</f>
        <v/>
      </c>
      <c r="AF15" s="9">
        <f>AF13-AF14</f>
        <v/>
      </c>
      <c r="AG15" s="9">
        <f>AG13-AG14</f>
        <v/>
      </c>
      <c r="AH15" s="9">
        <f>AH13-AH14</f>
        <v/>
      </c>
      <c r="AI15" s="9">
        <f>AI13-AI14</f>
        <v/>
      </c>
      <c r="AJ15" s="9">
        <f>AJ13-AJ14</f>
        <v/>
      </c>
      <c r="AK15" s="9">
        <f>AK13-AK14</f>
        <v/>
      </c>
      <c r="AL15" s="9">
        <f>AL13-AL14</f>
        <v/>
      </c>
      <c r="AM15" s="9">
        <f>AM13-AM14</f>
        <v/>
      </c>
      <c r="AN15" s="9">
        <f>AN13-AN14</f>
        <v/>
      </c>
      <c r="AO15" s="9">
        <f>AO13-AO14</f>
        <v/>
      </c>
      <c r="AP15" s="9">
        <f>AP13-AP14</f>
        <v/>
      </c>
      <c r="AQ15" s="9">
        <f>AQ13-AQ14</f>
        <v/>
      </c>
      <c r="AR15" s="9">
        <f>AR13-AR14</f>
        <v/>
      </c>
    </row>
    <row r="16">
      <c r="A16" s="4" t="inlineStr">
        <is>
          <t>New enterprises</t>
        </is>
      </c>
      <c r="B16" s="12" t="inlineStr">
        <is>
          <t>cnt</t>
        </is>
      </c>
      <c r="C16" s="10">
        <f>C15</f>
        <v/>
      </c>
      <c r="D16" s="10">
        <f>MAX(0,D15-C15)</f>
        <v/>
      </c>
      <c r="E16" s="10">
        <f>MAX(0,E15-D15)</f>
        <v/>
      </c>
      <c r="F16" s="10">
        <f>MAX(0,F15-E15)</f>
        <v/>
      </c>
      <c r="G16" s="10">
        <f>MAX(0,G15-F15)</f>
        <v/>
      </c>
      <c r="H16" s="10">
        <f>MAX(0,H15-G15)</f>
        <v/>
      </c>
      <c r="I16" s="10">
        <f>MAX(0,I15-H15)</f>
        <v/>
      </c>
      <c r="J16" s="10">
        <f>MAX(0,J15-I15)</f>
        <v/>
      </c>
      <c r="K16" s="10">
        <f>MAX(0,K15-J15)</f>
        <v/>
      </c>
      <c r="L16" s="10">
        <f>MAX(0,L15-K15)</f>
        <v/>
      </c>
      <c r="M16" s="10">
        <f>MAX(0,M15-L15)</f>
        <v/>
      </c>
      <c r="N16" s="10">
        <f>MAX(0,N15-M15)</f>
        <v/>
      </c>
      <c r="O16" s="10">
        <f>MAX(0,O15-N15)</f>
        <v/>
      </c>
      <c r="P16" s="10">
        <f>MAX(0,P15-O15)</f>
        <v/>
      </c>
      <c r="Q16" s="10">
        <f>MAX(0,Q15-P15)</f>
        <v/>
      </c>
      <c r="R16" s="10">
        <f>MAX(0,R15-Q15)</f>
        <v/>
      </c>
      <c r="S16" s="10">
        <f>MAX(0,S15-R15)</f>
        <v/>
      </c>
      <c r="T16" s="10">
        <f>MAX(0,T15-S15)</f>
        <v/>
      </c>
      <c r="U16" s="10">
        <f>MAX(0,U15-T15)</f>
        <v/>
      </c>
      <c r="V16" s="10">
        <f>MAX(0,V15-U15)</f>
        <v/>
      </c>
      <c r="W16" s="10">
        <f>MAX(0,W15-V15)</f>
        <v/>
      </c>
      <c r="X16" s="10">
        <f>MAX(0,X15-W15)</f>
        <v/>
      </c>
      <c r="Y16" s="10">
        <f>MAX(0,Y15-X15)</f>
        <v/>
      </c>
      <c r="Z16" s="10">
        <f>MAX(0,Z15-Y15)</f>
        <v/>
      </c>
      <c r="AA16" s="10">
        <f>MAX(0,AA15-Z15)</f>
        <v/>
      </c>
      <c r="AB16" s="10">
        <f>MAX(0,AB15-AA15)</f>
        <v/>
      </c>
      <c r="AC16" s="10">
        <f>MAX(0,AC15-AB15)</f>
        <v/>
      </c>
      <c r="AD16" s="10">
        <f>MAX(0,AD15-AC15)</f>
        <v/>
      </c>
      <c r="AE16" s="10">
        <f>MAX(0,AE15-AD15)</f>
        <v/>
      </c>
      <c r="AF16" s="10">
        <f>MAX(0,AF15-AE15)</f>
        <v/>
      </c>
      <c r="AG16" s="10">
        <f>MAX(0,AG15-AF15)</f>
        <v/>
      </c>
      <c r="AH16" s="10">
        <f>MAX(0,AH15-AG15)</f>
        <v/>
      </c>
      <c r="AI16" s="10">
        <f>MAX(0,AI15-AH15)</f>
        <v/>
      </c>
      <c r="AJ16" s="10">
        <f>MAX(0,AJ15-AI15)</f>
        <v/>
      </c>
      <c r="AK16" s="10">
        <f>MAX(0,AK15-AJ15)</f>
        <v/>
      </c>
      <c r="AL16" s="10">
        <f>MAX(0,AL15-AK15)</f>
        <v/>
      </c>
      <c r="AM16" s="10">
        <f>MAX(0,AM15-AL15)</f>
        <v/>
      </c>
      <c r="AN16" s="10">
        <f>MAX(0,AN15-AM15)</f>
        <v/>
      </c>
      <c r="AO16" s="10">
        <f>MAX(0,AO15-AN15)</f>
        <v/>
      </c>
      <c r="AP16" s="10">
        <f>MAX(0,AP15-AO15)</f>
        <v/>
      </c>
      <c r="AQ16" s="10">
        <f>MAX(0,AQ15-AP15)</f>
        <v/>
      </c>
      <c r="AR16" s="10">
        <f>MAX(0,AR15-AQ15)</f>
        <v/>
      </c>
    </row>
    <row r="17">
      <c r="A17" s="4" t="inlineStr">
        <is>
          <t>VCR (M records)</t>
        </is>
      </c>
      <c r="B17" s="12" t="inlineStr">
        <is>
          <t>M</t>
        </is>
      </c>
      <c r="C17" s="16">
        <f>C15*vcr_per_enterprise*C7/1000000</f>
        <v/>
      </c>
      <c r="D17" s="16">
        <f>D15*vcr_per_enterprise*D7/1000000</f>
        <v/>
      </c>
      <c r="E17" s="16">
        <f>E15*vcr_per_enterprise*E7/1000000</f>
        <v/>
      </c>
      <c r="F17" s="16">
        <f>F15*vcr_per_enterprise*F7/1000000</f>
        <v/>
      </c>
      <c r="G17" s="16">
        <f>G15*vcr_per_enterprise*G7/1000000</f>
        <v/>
      </c>
      <c r="H17" s="16">
        <f>H15*vcr_per_enterprise*H7/1000000</f>
        <v/>
      </c>
      <c r="I17" s="16">
        <f>I15*vcr_per_enterprise*I7/1000000</f>
        <v/>
      </c>
      <c r="J17" s="16">
        <f>J15*vcr_per_enterprise*J7/1000000</f>
        <v/>
      </c>
      <c r="K17" s="16">
        <f>K15*vcr_per_enterprise*K7/1000000</f>
        <v/>
      </c>
      <c r="L17" s="16">
        <f>L15*vcr_per_enterprise*L7/1000000</f>
        <v/>
      </c>
      <c r="M17" s="16">
        <f>M15*vcr_per_enterprise*M7/1000000</f>
        <v/>
      </c>
      <c r="N17" s="16">
        <f>N15*vcr_per_enterprise*N7/1000000</f>
        <v/>
      </c>
      <c r="O17" s="16">
        <f>O15*vcr_per_enterprise*O7/1000000</f>
        <v/>
      </c>
      <c r="P17" s="16">
        <f>P15*vcr_per_enterprise*P7/1000000</f>
        <v/>
      </c>
      <c r="Q17" s="16">
        <f>Q15*vcr_per_enterprise*Q7/1000000</f>
        <v/>
      </c>
      <c r="R17" s="16">
        <f>R15*vcr_per_enterprise*R7/1000000</f>
        <v/>
      </c>
      <c r="S17" s="16">
        <f>S15*vcr_per_enterprise*S7/1000000</f>
        <v/>
      </c>
      <c r="T17" s="16">
        <f>T15*vcr_per_enterprise*T7/1000000</f>
        <v/>
      </c>
      <c r="U17" s="16">
        <f>U15*vcr_per_enterprise*U7/1000000</f>
        <v/>
      </c>
      <c r="V17" s="16">
        <f>V15*vcr_per_enterprise*V7/1000000</f>
        <v/>
      </c>
      <c r="W17" s="16">
        <f>W15*vcr_per_enterprise*W7/1000000</f>
        <v/>
      </c>
      <c r="X17" s="16">
        <f>X15*vcr_per_enterprise*X7/1000000</f>
        <v/>
      </c>
      <c r="Y17" s="16">
        <f>Y15*vcr_per_enterprise*Y7/1000000</f>
        <v/>
      </c>
      <c r="Z17" s="16">
        <f>Z15*vcr_per_enterprise*Z7/1000000</f>
        <v/>
      </c>
      <c r="AA17" s="16">
        <f>AA15*vcr_per_enterprise*AA7/1000000</f>
        <v/>
      </c>
      <c r="AB17" s="16">
        <f>AB15*vcr_per_enterprise*AB7/1000000</f>
        <v/>
      </c>
      <c r="AC17" s="16">
        <f>AC15*vcr_per_enterprise*AC7/1000000</f>
        <v/>
      </c>
      <c r="AD17" s="16">
        <f>AD15*vcr_per_enterprise*AD7/1000000</f>
        <v/>
      </c>
      <c r="AE17" s="16">
        <f>AE15*vcr_per_enterprise*AE7/1000000</f>
        <v/>
      </c>
      <c r="AF17" s="16">
        <f>AF15*vcr_per_enterprise*AF7/1000000</f>
        <v/>
      </c>
      <c r="AG17" s="16">
        <f>AG15*vcr_per_enterprise*AG7/1000000</f>
        <v/>
      </c>
      <c r="AH17" s="16">
        <f>AH15*vcr_per_enterprise*AH7/1000000</f>
        <v/>
      </c>
      <c r="AI17" s="16">
        <f>AI15*vcr_per_enterprise*AI7/1000000</f>
        <v/>
      </c>
      <c r="AJ17" s="16">
        <f>AJ15*vcr_per_enterprise*AJ7/1000000</f>
        <v/>
      </c>
      <c r="AK17" s="16">
        <f>AK15*vcr_per_enterprise*AK7/1000000</f>
        <v/>
      </c>
      <c r="AL17" s="16">
        <f>AL15*vcr_per_enterprise*AL7/1000000</f>
        <v/>
      </c>
      <c r="AM17" s="16">
        <f>AM15*vcr_per_enterprise*AM7/1000000</f>
        <v/>
      </c>
      <c r="AN17" s="16">
        <f>AN15*vcr_per_enterprise*AN7/1000000</f>
        <v/>
      </c>
      <c r="AO17" s="16">
        <f>AO15*vcr_per_enterprise*AO7/1000000</f>
        <v/>
      </c>
      <c r="AP17" s="16">
        <f>AP15*vcr_per_enterprise*AP7/1000000</f>
        <v/>
      </c>
      <c r="AQ17" s="16">
        <f>AQ15*vcr_per_enterprise*AQ7/1000000</f>
        <v/>
      </c>
      <c r="AR17" s="16">
        <f>AR15*vcr_per_enterprise*AR7/1000000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00B050"/>
    <outlinePr summaryBelow="1" summaryRight="1"/>
    <pageSetUpPr/>
  </sheetPr>
  <dimension ref="A1:AR20"/>
  <sheetViews>
    <sheetView workbookViewId="0">
      <selection activeCell="A1" sqref="A1"/>
    </sheetView>
  </sheetViews>
  <sheetFormatPr baseColWidth="8" defaultRowHeight="14.4"/>
  <cols>
    <col width="38" customWidth="1" style="62" min="1" max="1"/>
    <col width="10" customWidth="1" style="62" min="2" max="2"/>
    <col width="11" customWidth="1" style="62" min="3" max="44"/>
  </cols>
  <sheetData>
    <row r="1">
      <c r="A1" s="29" t="inlineStr">
        <is>
          <t>REVENUE SCHEDULE (M VND)</t>
        </is>
      </c>
    </row>
    <row r="2"/>
    <row r="3">
      <c r="A3" s="3" t="inlineStr">
        <is>
          <t>Item</t>
        </is>
      </c>
      <c r="B3" s="3" t="inlineStr">
        <is>
          <t>Unit</t>
        </is>
      </c>
      <c r="C3" s="3" t="inlineStr">
        <is>
          <t>Jul 2025</t>
        </is>
      </c>
      <c r="D3" s="3" t="inlineStr">
        <is>
          <t>Aug 2025</t>
        </is>
      </c>
      <c r="E3" s="3" t="inlineStr">
        <is>
          <t>Sep 2025</t>
        </is>
      </c>
      <c r="F3" s="3" t="inlineStr">
        <is>
          <t>Oct 2025</t>
        </is>
      </c>
      <c r="G3" s="3" t="inlineStr">
        <is>
          <t>Nov 2025</t>
        </is>
      </c>
      <c r="H3" s="3" t="inlineStr">
        <is>
          <t>Dec 2025</t>
        </is>
      </c>
      <c r="I3" s="3" t="inlineStr">
        <is>
          <t>Jan 2026</t>
        </is>
      </c>
      <c r="J3" s="3" t="inlineStr">
        <is>
          <t>Feb 2026</t>
        </is>
      </c>
      <c r="K3" s="3" t="inlineStr">
        <is>
          <t>Mar 2026</t>
        </is>
      </c>
      <c r="L3" s="3" t="inlineStr">
        <is>
          <t>Apr 2026</t>
        </is>
      </c>
      <c r="M3" s="3" t="inlineStr">
        <is>
          <t>May 2026</t>
        </is>
      </c>
      <c r="N3" s="3" t="inlineStr">
        <is>
          <t>Jun 2026</t>
        </is>
      </c>
      <c r="O3" s="3" t="inlineStr">
        <is>
          <t>Jul 2026</t>
        </is>
      </c>
      <c r="P3" s="3" t="inlineStr">
        <is>
          <t>Aug 2026</t>
        </is>
      </c>
      <c r="Q3" s="3" t="inlineStr">
        <is>
          <t>Sep 2026</t>
        </is>
      </c>
      <c r="R3" s="3" t="inlineStr">
        <is>
          <t>Oct 2026</t>
        </is>
      </c>
      <c r="S3" s="3" t="inlineStr">
        <is>
          <t>Nov 2026</t>
        </is>
      </c>
      <c r="T3" s="3" t="inlineStr">
        <is>
          <t>Dec 2026</t>
        </is>
      </c>
      <c r="U3" s="3" t="inlineStr">
        <is>
          <t>Jan 2027</t>
        </is>
      </c>
      <c r="V3" s="3" t="inlineStr">
        <is>
          <t>Feb 2027</t>
        </is>
      </c>
      <c r="W3" s="3" t="inlineStr">
        <is>
          <t>Mar 2027</t>
        </is>
      </c>
      <c r="X3" s="3" t="inlineStr">
        <is>
          <t>Apr 2027</t>
        </is>
      </c>
      <c r="Y3" s="3" t="inlineStr">
        <is>
          <t>May 2027</t>
        </is>
      </c>
      <c r="Z3" s="3" t="inlineStr">
        <is>
          <t>Jun 2027</t>
        </is>
      </c>
      <c r="AA3" s="3" t="inlineStr">
        <is>
          <t>Jul 2027</t>
        </is>
      </c>
      <c r="AB3" s="3" t="inlineStr">
        <is>
          <t>Aug 2027</t>
        </is>
      </c>
      <c r="AC3" s="3" t="inlineStr">
        <is>
          <t>Sep 2027</t>
        </is>
      </c>
      <c r="AD3" s="3" t="inlineStr">
        <is>
          <t>Oct 2027</t>
        </is>
      </c>
      <c r="AE3" s="3" t="inlineStr">
        <is>
          <t>Nov 2027</t>
        </is>
      </c>
      <c r="AF3" s="3" t="inlineStr">
        <is>
          <t>Dec 2027</t>
        </is>
      </c>
      <c r="AG3" s="3" t="inlineStr">
        <is>
          <t>Q1 2028</t>
        </is>
      </c>
      <c r="AH3" s="3" t="inlineStr">
        <is>
          <t>Q2 2028</t>
        </is>
      </c>
      <c r="AI3" s="3" t="inlineStr">
        <is>
          <t>Q3 2028</t>
        </is>
      </c>
      <c r="AJ3" s="3" t="inlineStr">
        <is>
          <t>Q4 2028</t>
        </is>
      </c>
      <c r="AK3" s="3" t="inlineStr">
        <is>
          <t>Q1 2029</t>
        </is>
      </c>
      <c r="AL3" s="3" t="inlineStr">
        <is>
          <t>Q2 2029</t>
        </is>
      </c>
      <c r="AM3" s="3" t="inlineStr">
        <is>
          <t>Q3 2029</t>
        </is>
      </c>
      <c r="AN3" s="3" t="inlineStr">
        <is>
          <t>Q4 2029</t>
        </is>
      </c>
      <c r="AO3" s="3" t="inlineStr">
        <is>
          <t>Q1 2030</t>
        </is>
      </c>
      <c r="AP3" s="3" t="inlineStr">
        <is>
          <t>Q2 2030</t>
        </is>
      </c>
      <c r="AQ3" s="3" t="inlineStr">
        <is>
          <t>Q3 2030</t>
        </is>
      </c>
      <c r="AR3" s="3" t="inlineStr">
        <is>
          <t>Q4 2030</t>
        </is>
      </c>
    </row>
    <row r="4">
      <c r="A4" s="29" t="inlineStr">
        <is>
          <t>STAGE 1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</row>
    <row r="5">
      <c r="A5" s="4" t="inlineStr">
        <is>
          <t xml:space="preserve">  Certification fees</t>
        </is>
      </c>
      <c r="B5" s="4" t="inlineStr">
        <is>
          <t>M VND</t>
        </is>
      </c>
      <c r="C5" s="96">
        <f>IF('Market Sizing'!C3&gt;=months_to_first_revenue,1,0)*'Market Sizing'!C15*cert_fee_yr1*(1+cert_fee_escalation)^'Market Sizing'!C5/'Market Sizing'!C6</f>
        <v/>
      </c>
      <c r="D5" s="96">
        <f>IF('Market Sizing'!D3&gt;=months_to_first_revenue,1,0)*'Market Sizing'!D15*cert_fee_yr1*(1+cert_fee_escalation)^'Market Sizing'!D5/'Market Sizing'!D6</f>
        <v/>
      </c>
      <c r="E5" s="96">
        <f>IF('Market Sizing'!E3&gt;=months_to_first_revenue,1,0)*'Market Sizing'!E15*cert_fee_yr1*(1+cert_fee_escalation)^'Market Sizing'!E5/'Market Sizing'!E6</f>
        <v/>
      </c>
      <c r="F5" s="96">
        <f>IF('Market Sizing'!F3&gt;=months_to_first_revenue,1,0)*'Market Sizing'!F15*cert_fee_yr1*(1+cert_fee_escalation)^'Market Sizing'!F5/'Market Sizing'!F6</f>
        <v/>
      </c>
      <c r="G5" s="96">
        <f>IF('Market Sizing'!G3&gt;=months_to_first_revenue,1,0)*'Market Sizing'!G15*cert_fee_yr1*(1+cert_fee_escalation)^'Market Sizing'!G5/'Market Sizing'!G6</f>
        <v/>
      </c>
      <c r="H5" s="96">
        <f>IF('Market Sizing'!H3&gt;=months_to_first_revenue,1,0)*'Market Sizing'!H15*cert_fee_yr1*(1+cert_fee_escalation)^'Market Sizing'!H5/'Market Sizing'!H6</f>
        <v/>
      </c>
      <c r="I5" s="96">
        <f>IF('Market Sizing'!I3&gt;=months_to_first_revenue,1,0)*'Market Sizing'!I15*cert_fee_yr1*(1+cert_fee_escalation)^'Market Sizing'!I5/'Market Sizing'!I6</f>
        <v/>
      </c>
      <c r="J5" s="96">
        <f>IF('Market Sizing'!J3&gt;=months_to_first_revenue,1,0)*'Market Sizing'!J15*cert_fee_yr1*(1+cert_fee_escalation)^'Market Sizing'!J5/'Market Sizing'!J6</f>
        <v/>
      </c>
      <c r="K5" s="96">
        <f>IF('Market Sizing'!K3&gt;=months_to_first_revenue,1,0)*'Market Sizing'!K15*cert_fee_yr1*(1+cert_fee_escalation)^'Market Sizing'!K5/'Market Sizing'!K6</f>
        <v/>
      </c>
      <c r="L5" s="96">
        <f>IF('Market Sizing'!L3&gt;=months_to_first_revenue,1,0)*'Market Sizing'!L15*cert_fee_yr1*(1+cert_fee_escalation)^'Market Sizing'!L5/'Market Sizing'!L6</f>
        <v/>
      </c>
      <c r="M5" s="96">
        <f>IF('Market Sizing'!M3&gt;=months_to_first_revenue,1,0)*'Market Sizing'!M15*cert_fee_yr1*(1+cert_fee_escalation)^'Market Sizing'!M5/'Market Sizing'!M6</f>
        <v/>
      </c>
      <c r="N5" s="96">
        <f>IF('Market Sizing'!N3&gt;=months_to_first_revenue,1,0)*'Market Sizing'!N15*cert_fee_yr1*(1+cert_fee_escalation)^'Market Sizing'!N5/'Market Sizing'!N6</f>
        <v/>
      </c>
      <c r="O5" s="96">
        <f>IF('Market Sizing'!O3&gt;=months_to_first_revenue,1,0)*'Market Sizing'!O15*cert_fee_yr1*(1+cert_fee_escalation)^'Market Sizing'!O5/'Market Sizing'!O6</f>
        <v/>
      </c>
      <c r="P5" s="96">
        <f>IF('Market Sizing'!P3&gt;=months_to_first_revenue,1,0)*'Market Sizing'!P15*cert_fee_yr1*(1+cert_fee_escalation)^'Market Sizing'!P5/'Market Sizing'!P6</f>
        <v/>
      </c>
      <c r="Q5" s="96">
        <f>IF('Market Sizing'!Q3&gt;=months_to_first_revenue,1,0)*'Market Sizing'!Q15*cert_fee_yr1*(1+cert_fee_escalation)^'Market Sizing'!Q5/'Market Sizing'!Q6</f>
        <v/>
      </c>
      <c r="R5" s="96">
        <f>IF('Market Sizing'!R3&gt;=months_to_first_revenue,1,0)*'Market Sizing'!R15*cert_fee_yr1*(1+cert_fee_escalation)^'Market Sizing'!R5/'Market Sizing'!R6</f>
        <v/>
      </c>
      <c r="S5" s="96">
        <f>IF('Market Sizing'!S3&gt;=months_to_first_revenue,1,0)*'Market Sizing'!S15*cert_fee_yr1*(1+cert_fee_escalation)^'Market Sizing'!S5/'Market Sizing'!S6</f>
        <v/>
      </c>
      <c r="T5" s="96">
        <f>IF('Market Sizing'!T3&gt;=months_to_first_revenue,1,0)*'Market Sizing'!T15*cert_fee_yr1*(1+cert_fee_escalation)^'Market Sizing'!T5/'Market Sizing'!T6</f>
        <v/>
      </c>
      <c r="U5" s="96">
        <f>IF('Market Sizing'!U3&gt;=months_to_first_revenue,1,0)*'Market Sizing'!U15*cert_fee_yr1*(1+cert_fee_escalation)^'Market Sizing'!U5/'Market Sizing'!U6</f>
        <v/>
      </c>
      <c r="V5" s="96">
        <f>IF('Market Sizing'!V3&gt;=months_to_first_revenue,1,0)*'Market Sizing'!V15*cert_fee_yr1*(1+cert_fee_escalation)^'Market Sizing'!V5/'Market Sizing'!V6</f>
        <v/>
      </c>
      <c r="W5" s="96">
        <f>IF('Market Sizing'!W3&gt;=months_to_first_revenue,1,0)*'Market Sizing'!W15*cert_fee_yr1*(1+cert_fee_escalation)^'Market Sizing'!W5/'Market Sizing'!W6</f>
        <v/>
      </c>
      <c r="X5" s="96">
        <f>IF('Market Sizing'!X3&gt;=months_to_first_revenue,1,0)*'Market Sizing'!X15*cert_fee_yr1*(1+cert_fee_escalation)^'Market Sizing'!X5/'Market Sizing'!X6</f>
        <v/>
      </c>
      <c r="Y5" s="96">
        <f>IF('Market Sizing'!Y3&gt;=months_to_first_revenue,1,0)*'Market Sizing'!Y15*cert_fee_yr1*(1+cert_fee_escalation)^'Market Sizing'!Y5/'Market Sizing'!Y6</f>
        <v/>
      </c>
      <c r="Z5" s="96">
        <f>IF('Market Sizing'!Z3&gt;=months_to_first_revenue,1,0)*'Market Sizing'!Z15*cert_fee_yr1*(1+cert_fee_escalation)^'Market Sizing'!Z5/'Market Sizing'!Z6</f>
        <v/>
      </c>
      <c r="AA5" s="96">
        <f>IF('Market Sizing'!AA3&gt;=months_to_first_revenue,1,0)*'Market Sizing'!AA15*cert_fee_yr1*(1+cert_fee_escalation)^'Market Sizing'!AA5/'Market Sizing'!AA6</f>
        <v/>
      </c>
      <c r="AB5" s="96">
        <f>IF('Market Sizing'!AB3&gt;=months_to_first_revenue,1,0)*'Market Sizing'!AB15*cert_fee_yr1*(1+cert_fee_escalation)^'Market Sizing'!AB5/'Market Sizing'!AB6</f>
        <v/>
      </c>
      <c r="AC5" s="96">
        <f>IF('Market Sizing'!AC3&gt;=months_to_first_revenue,1,0)*'Market Sizing'!AC15*cert_fee_yr1*(1+cert_fee_escalation)^'Market Sizing'!AC5/'Market Sizing'!AC6</f>
        <v/>
      </c>
      <c r="AD5" s="96">
        <f>IF('Market Sizing'!AD3&gt;=months_to_first_revenue,1,0)*'Market Sizing'!AD15*cert_fee_yr1*(1+cert_fee_escalation)^'Market Sizing'!AD5/'Market Sizing'!AD6</f>
        <v/>
      </c>
      <c r="AE5" s="96">
        <f>IF('Market Sizing'!AE3&gt;=months_to_first_revenue,1,0)*'Market Sizing'!AE15*cert_fee_yr1*(1+cert_fee_escalation)^'Market Sizing'!AE5/'Market Sizing'!AE6</f>
        <v/>
      </c>
      <c r="AF5" s="96">
        <f>IF('Market Sizing'!AF3&gt;=months_to_first_revenue,1,0)*'Market Sizing'!AF15*cert_fee_yr1*(1+cert_fee_escalation)^'Market Sizing'!AF5/'Market Sizing'!AF6</f>
        <v/>
      </c>
      <c r="AG5" s="96">
        <f>IF('Market Sizing'!AG3&gt;=months_to_first_revenue,1,0)*'Market Sizing'!AG15*cert_fee_yr1*(1+cert_fee_escalation)^'Market Sizing'!AG5/'Market Sizing'!AG6</f>
        <v/>
      </c>
      <c r="AH5" s="96">
        <f>IF('Market Sizing'!AH3&gt;=months_to_first_revenue,1,0)*'Market Sizing'!AH15*cert_fee_yr1*(1+cert_fee_escalation)^'Market Sizing'!AH5/'Market Sizing'!AH6</f>
        <v/>
      </c>
      <c r="AI5" s="96">
        <f>IF('Market Sizing'!AI3&gt;=months_to_first_revenue,1,0)*'Market Sizing'!AI15*cert_fee_yr1*(1+cert_fee_escalation)^'Market Sizing'!AI5/'Market Sizing'!AI6</f>
        <v/>
      </c>
      <c r="AJ5" s="96">
        <f>IF('Market Sizing'!AJ3&gt;=months_to_first_revenue,1,0)*'Market Sizing'!AJ15*cert_fee_yr1*(1+cert_fee_escalation)^'Market Sizing'!AJ5/'Market Sizing'!AJ6</f>
        <v/>
      </c>
      <c r="AK5" s="96">
        <f>IF('Market Sizing'!AK3&gt;=months_to_first_revenue,1,0)*'Market Sizing'!AK15*cert_fee_yr1*(1+cert_fee_escalation)^'Market Sizing'!AK5/'Market Sizing'!AK6</f>
        <v/>
      </c>
      <c r="AL5" s="96">
        <f>IF('Market Sizing'!AL3&gt;=months_to_first_revenue,1,0)*'Market Sizing'!AL15*cert_fee_yr1*(1+cert_fee_escalation)^'Market Sizing'!AL5/'Market Sizing'!AL6</f>
        <v/>
      </c>
      <c r="AM5" s="96">
        <f>IF('Market Sizing'!AM3&gt;=months_to_first_revenue,1,0)*'Market Sizing'!AM15*cert_fee_yr1*(1+cert_fee_escalation)^'Market Sizing'!AM5/'Market Sizing'!AM6</f>
        <v/>
      </c>
      <c r="AN5" s="96">
        <f>IF('Market Sizing'!AN3&gt;=months_to_first_revenue,1,0)*'Market Sizing'!AN15*cert_fee_yr1*(1+cert_fee_escalation)^'Market Sizing'!AN5/'Market Sizing'!AN6</f>
        <v/>
      </c>
      <c r="AO5" s="96">
        <f>IF('Market Sizing'!AO3&gt;=months_to_first_revenue,1,0)*'Market Sizing'!AO15*cert_fee_yr1*(1+cert_fee_escalation)^'Market Sizing'!AO5/'Market Sizing'!AO6</f>
        <v/>
      </c>
      <c r="AP5" s="96">
        <f>IF('Market Sizing'!AP3&gt;=months_to_first_revenue,1,0)*'Market Sizing'!AP15*cert_fee_yr1*(1+cert_fee_escalation)^'Market Sizing'!AP5/'Market Sizing'!AP6</f>
        <v/>
      </c>
      <c r="AQ5" s="96">
        <f>IF('Market Sizing'!AQ3&gt;=months_to_first_revenue,1,0)*'Market Sizing'!AQ15*cert_fee_yr1*(1+cert_fee_escalation)^'Market Sizing'!AQ5/'Market Sizing'!AQ6</f>
        <v/>
      </c>
      <c r="AR5" s="96">
        <f>IF('Market Sizing'!AR3&gt;=months_to_first_revenue,1,0)*'Market Sizing'!AR15*cert_fee_yr1*(1+cert_fee_escalation)^'Market Sizing'!AR5/'Market Sizing'!AR6</f>
        <v/>
      </c>
    </row>
    <row r="6">
      <c r="A6" s="4" t="inlineStr">
        <is>
          <t xml:space="preserve">  Training</t>
        </is>
      </c>
      <c r="B6" s="4" t="inlineStr">
        <is>
          <t>M VND</t>
        </is>
      </c>
      <c r="C6" s="96">
        <f>IF('Market Sizing'!C3&gt;=months_to_first_revenue,1,0)*'Market Sizing'!C15*training_pct*training_fee/'Market Sizing'!C6</f>
        <v/>
      </c>
      <c r="D6" s="96">
        <f>IF('Market Sizing'!D3&gt;=months_to_first_revenue,1,0)*'Market Sizing'!D15*training_pct*training_fee/'Market Sizing'!D6</f>
        <v/>
      </c>
      <c r="E6" s="96">
        <f>IF('Market Sizing'!E3&gt;=months_to_first_revenue,1,0)*'Market Sizing'!E15*training_pct*training_fee/'Market Sizing'!E6</f>
        <v/>
      </c>
      <c r="F6" s="96">
        <f>IF('Market Sizing'!F3&gt;=months_to_first_revenue,1,0)*'Market Sizing'!F15*training_pct*training_fee/'Market Sizing'!F6</f>
        <v/>
      </c>
      <c r="G6" s="96">
        <f>IF('Market Sizing'!G3&gt;=months_to_first_revenue,1,0)*'Market Sizing'!G15*training_pct*training_fee/'Market Sizing'!G6</f>
        <v/>
      </c>
      <c r="H6" s="96">
        <f>IF('Market Sizing'!H3&gt;=months_to_first_revenue,1,0)*'Market Sizing'!H15*training_pct*training_fee/'Market Sizing'!H6</f>
        <v/>
      </c>
      <c r="I6" s="96">
        <f>IF('Market Sizing'!I3&gt;=months_to_first_revenue,1,0)*'Market Sizing'!I15*training_pct*training_fee/'Market Sizing'!I6</f>
        <v/>
      </c>
      <c r="J6" s="96">
        <f>IF('Market Sizing'!J3&gt;=months_to_first_revenue,1,0)*'Market Sizing'!J15*training_pct*training_fee/'Market Sizing'!J6</f>
        <v/>
      </c>
      <c r="K6" s="96">
        <f>IF('Market Sizing'!K3&gt;=months_to_first_revenue,1,0)*'Market Sizing'!K15*training_pct*training_fee/'Market Sizing'!K6</f>
        <v/>
      </c>
      <c r="L6" s="96">
        <f>IF('Market Sizing'!L3&gt;=months_to_first_revenue,1,0)*'Market Sizing'!L15*training_pct*training_fee/'Market Sizing'!L6</f>
        <v/>
      </c>
      <c r="M6" s="96">
        <f>IF('Market Sizing'!M3&gt;=months_to_first_revenue,1,0)*'Market Sizing'!M15*training_pct*training_fee/'Market Sizing'!M6</f>
        <v/>
      </c>
      <c r="N6" s="96">
        <f>IF('Market Sizing'!N3&gt;=months_to_first_revenue,1,0)*'Market Sizing'!N15*training_pct*training_fee/'Market Sizing'!N6</f>
        <v/>
      </c>
      <c r="O6" s="96">
        <f>IF('Market Sizing'!O3&gt;=months_to_first_revenue,1,0)*'Market Sizing'!O15*training_pct*training_fee/'Market Sizing'!O6</f>
        <v/>
      </c>
      <c r="P6" s="96">
        <f>IF('Market Sizing'!P3&gt;=months_to_first_revenue,1,0)*'Market Sizing'!P15*training_pct*training_fee/'Market Sizing'!P6</f>
        <v/>
      </c>
      <c r="Q6" s="96">
        <f>IF('Market Sizing'!Q3&gt;=months_to_first_revenue,1,0)*'Market Sizing'!Q15*training_pct*training_fee/'Market Sizing'!Q6</f>
        <v/>
      </c>
      <c r="R6" s="96">
        <f>IF('Market Sizing'!R3&gt;=months_to_first_revenue,1,0)*'Market Sizing'!R15*training_pct*training_fee/'Market Sizing'!R6</f>
        <v/>
      </c>
      <c r="S6" s="96">
        <f>IF('Market Sizing'!S3&gt;=months_to_first_revenue,1,0)*'Market Sizing'!S15*training_pct*training_fee/'Market Sizing'!S6</f>
        <v/>
      </c>
      <c r="T6" s="96">
        <f>IF('Market Sizing'!T3&gt;=months_to_first_revenue,1,0)*'Market Sizing'!T15*training_pct*training_fee/'Market Sizing'!T6</f>
        <v/>
      </c>
      <c r="U6" s="96">
        <f>IF('Market Sizing'!U3&gt;=months_to_first_revenue,1,0)*'Market Sizing'!U15*training_pct*training_fee/'Market Sizing'!U6</f>
        <v/>
      </c>
      <c r="V6" s="96">
        <f>IF('Market Sizing'!V3&gt;=months_to_first_revenue,1,0)*'Market Sizing'!V15*training_pct*training_fee/'Market Sizing'!V6</f>
        <v/>
      </c>
      <c r="W6" s="96">
        <f>IF('Market Sizing'!W3&gt;=months_to_first_revenue,1,0)*'Market Sizing'!W15*training_pct*training_fee/'Market Sizing'!W6</f>
        <v/>
      </c>
      <c r="X6" s="96">
        <f>IF('Market Sizing'!X3&gt;=months_to_first_revenue,1,0)*'Market Sizing'!X15*training_pct*training_fee/'Market Sizing'!X6</f>
        <v/>
      </c>
      <c r="Y6" s="96">
        <f>IF('Market Sizing'!Y3&gt;=months_to_first_revenue,1,0)*'Market Sizing'!Y15*training_pct*training_fee/'Market Sizing'!Y6</f>
        <v/>
      </c>
      <c r="Z6" s="96">
        <f>IF('Market Sizing'!Z3&gt;=months_to_first_revenue,1,0)*'Market Sizing'!Z15*training_pct*training_fee/'Market Sizing'!Z6</f>
        <v/>
      </c>
      <c r="AA6" s="96">
        <f>IF('Market Sizing'!AA3&gt;=months_to_first_revenue,1,0)*'Market Sizing'!AA15*training_pct*training_fee/'Market Sizing'!AA6</f>
        <v/>
      </c>
      <c r="AB6" s="96">
        <f>IF('Market Sizing'!AB3&gt;=months_to_first_revenue,1,0)*'Market Sizing'!AB15*training_pct*training_fee/'Market Sizing'!AB6</f>
        <v/>
      </c>
      <c r="AC6" s="96">
        <f>IF('Market Sizing'!AC3&gt;=months_to_first_revenue,1,0)*'Market Sizing'!AC15*training_pct*training_fee/'Market Sizing'!AC6</f>
        <v/>
      </c>
      <c r="AD6" s="96">
        <f>IF('Market Sizing'!AD3&gt;=months_to_first_revenue,1,0)*'Market Sizing'!AD15*training_pct*training_fee/'Market Sizing'!AD6</f>
        <v/>
      </c>
      <c r="AE6" s="96">
        <f>IF('Market Sizing'!AE3&gt;=months_to_first_revenue,1,0)*'Market Sizing'!AE15*training_pct*training_fee/'Market Sizing'!AE6</f>
        <v/>
      </c>
      <c r="AF6" s="96">
        <f>IF('Market Sizing'!AF3&gt;=months_to_first_revenue,1,0)*'Market Sizing'!AF15*training_pct*training_fee/'Market Sizing'!AF6</f>
        <v/>
      </c>
      <c r="AG6" s="96">
        <f>IF('Market Sizing'!AG3&gt;=months_to_first_revenue,1,0)*'Market Sizing'!AG15*training_pct*training_fee/'Market Sizing'!AG6</f>
        <v/>
      </c>
      <c r="AH6" s="96">
        <f>IF('Market Sizing'!AH3&gt;=months_to_first_revenue,1,0)*'Market Sizing'!AH15*training_pct*training_fee/'Market Sizing'!AH6</f>
        <v/>
      </c>
      <c r="AI6" s="96">
        <f>IF('Market Sizing'!AI3&gt;=months_to_first_revenue,1,0)*'Market Sizing'!AI15*training_pct*training_fee/'Market Sizing'!AI6</f>
        <v/>
      </c>
      <c r="AJ6" s="96">
        <f>IF('Market Sizing'!AJ3&gt;=months_to_first_revenue,1,0)*'Market Sizing'!AJ15*training_pct*training_fee/'Market Sizing'!AJ6</f>
        <v/>
      </c>
      <c r="AK6" s="96">
        <f>IF('Market Sizing'!AK3&gt;=months_to_first_revenue,1,0)*'Market Sizing'!AK15*training_pct*training_fee/'Market Sizing'!AK6</f>
        <v/>
      </c>
      <c r="AL6" s="96">
        <f>IF('Market Sizing'!AL3&gt;=months_to_first_revenue,1,0)*'Market Sizing'!AL15*training_pct*training_fee/'Market Sizing'!AL6</f>
        <v/>
      </c>
      <c r="AM6" s="96">
        <f>IF('Market Sizing'!AM3&gt;=months_to_first_revenue,1,0)*'Market Sizing'!AM15*training_pct*training_fee/'Market Sizing'!AM6</f>
        <v/>
      </c>
      <c r="AN6" s="96">
        <f>IF('Market Sizing'!AN3&gt;=months_to_first_revenue,1,0)*'Market Sizing'!AN15*training_pct*training_fee/'Market Sizing'!AN6</f>
        <v/>
      </c>
      <c r="AO6" s="96">
        <f>IF('Market Sizing'!AO3&gt;=months_to_first_revenue,1,0)*'Market Sizing'!AO15*training_pct*training_fee/'Market Sizing'!AO6</f>
        <v/>
      </c>
      <c r="AP6" s="96">
        <f>IF('Market Sizing'!AP3&gt;=months_to_first_revenue,1,0)*'Market Sizing'!AP15*training_pct*training_fee/'Market Sizing'!AP6</f>
        <v/>
      </c>
      <c r="AQ6" s="96">
        <f>IF('Market Sizing'!AQ3&gt;=months_to_first_revenue,1,0)*'Market Sizing'!AQ15*training_pct*training_fee/'Market Sizing'!AQ6</f>
        <v/>
      </c>
      <c r="AR6" s="96">
        <f>IF('Market Sizing'!AR3&gt;=months_to_first_revenue,1,0)*'Market Sizing'!AR15*training_pct*training_fee/'Market Sizing'!AR6</f>
        <v/>
      </c>
    </row>
    <row r="7">
      <c r="A7" s="4" t="inlineStr">
        <is>
          <t xml:space="preserve">  Audit fees</t>
        </is>
      </c>
      <c r="B7" s="4" t="inlineStr">
        <is>
          <t>M VND</t>
        </is>
      </c>
      <c r="C7" s="96">
        <f>IF('Market Sizing'!C3&gt;=months_to_first_revenue,1,0)*'Market Sizing'!C15*audit_fee/'Market Sizing'!C6</f>
        <v/>
      </c>
      <c r="D7" s="96">
        <f>IF('Market Sizing'!D3&gt;=months_to_first_revenue,1,0)*'Market Sizing'!D15*audit_fee/'Market Sizing'!D6</f>
        <v/>
      </c>
      <c r="E7" s="96">
        <f>IF('Market Sizing'!E3&gt;=months_to_first_revenue,1,0)*'Market Sizing'!E15*audit_fee/'Market Sizing'!E6</f>
        <v/>
      </c>
      <c r="F7" s="96">
        <f>IF('Market Sizing'!F3&gt;=months_to_first_revenue,1,0)*'Market Sizing'!F15*audit_fee/'Market Sizing'!F6</f>
        <v/>
      </c>
      <c r="G7" s="96">
        <f>IF('Market Sizing'!G3&gt;=months_to_first_revenue,1,0)*'Market Sizing'!G15*audit_fee/'Market Sizing'!G6</f>
        <v/>
      </c>
      <c r="H7" s="96">
        <f>IF('Market Sizing'!H3&gt;=months_to_first_revenue,1,0)*'Market Sizing'!H15*audit_fee/'Market Sizing'!H6</f>
        <v/>
      </c>
      <c r="I7" s="96">
        <f>IF('Market Sizing'!I3&gt;=months_to_first_revenue,1,0)*'Market Sizing'!I15*audit_fee/'Market Sizing'!I6</f>
        <v/>
      </c>
      <c r="J7" s="96">
        <f>IF('Market Sizing'!J3&gt;=months_to_first_revenue,1,0)*'Market Sizing'!J15*audit_fee/'Market Sizing'!J6</f>
        <v/>
      </c>
      <c r="K7" s="96">
        <f>IF('Market Sizing'!K3&gt;=months_to_first_revenue,1,0)*'Market Sizing'!K15*audit_fee/'Market Sizing'!K6</f>
        <v/>
      </c>
      <c r="L7" s="96">
        <f>IF('Market Sizing'!L3&gt;=months_to_first_revenue,1,0)*'Market Sizing'!L15*audit_fee/'Market Sizing'!L6</f>
        <v/>
      </c>
      <c r="M7" s="96">
        <f>IF('Market Sizing'!M3&gt;=months_to_first_revenue,1,0)*'Market Sizing'!M15*audit_fee/'Market Sizing'!M6</f>
        <v/>
      </c>
      <c r="N7" s="96">
        <f>IF('Market Sizing'!N3&gt;=months_to_first_revenue,1,0)*'Market Sizing'!N15*audit_fee/'Market Sizing'!N6</f>
        <v/>
      </c>
      <c r="O7" s="96">
        <f>IF('Market Sizing'!O3&gt;=months_to_first_revenue,1,0)*'Market Sizing'!O15*audit_fee/'Market Sizing'!O6</f>
        <v/>
      </c>
      <c r="P7" s="96">
        <f>IF('Market Sizing'!P3&gt;=months_to_first_revenue,1,0)*'Market Sizing'!P15*audit_fee/'Market Sizing'!P6</f>
        <v/>
      </c>
      <c r="Q7" s="96">
        <f>IF('Market Sizing'!Q3&gt;=months_to_first_revenue,1,0)*'Market Sizing'!Q15*audit_fee/'Market Sizing'!Q6</f>
        <v/>
      </c>
      <c r="R7" s="96">
        <f>IF('Market Sizing'!R3&gt;=months_to_first_revenue,1,0)*'Market Sizing'!R15*audit_fee/'Market Sizing'!R6</f>
        <v/>
      </c>
      <c r="S7" s="96">
        <f>IF('Market Sizing'!S3&gt;=months_to_first_revenue,1,0)*'Market Sizing'!S15*audit_fee/'Market Sizing'!S6</f>
        <v/>
      </c>
      <c r="T7" s="96">
        <f>IF('Market Sizing'!T3&gt;=months_to_first_revenue,1,0)*'Market Sizing'!T15*audit_fee/'Market Sizing'!T6</f>
        <v/>
      </c>
      <c r="U7" s="96">
        <f>IF('Market Sizing'!U3&gt;=months_to_first_revenue,1,0)*'Market Sizing'!U15*audit_fee/'Market Sizing'!U6</f>
        <v/>
      </c>
      <c r="V7" s="96">
        <f>IF('Market Sizing'!V3&gt;=months_to_first_revenue,1,0)*'Market Sizing'!V15*audit_fee/'Market Sizing'!V6</f>
        <v/>
      </c>
      <c r="W7" s="96">
        <f>IF('Market Sizing'!W3&gt;=months_to_first_revenue,1,0)*'Market Sizing'!W15*audit_fee/'Market Sizing'!W6</f>
        <v/>
      </c>
      <c r="X7" s="96">
        <f>IF('Market Sizing'!X3&gt;=months_to_first_revenue,1,0)*'Market Sizing'!X15*audit_fee/'Market Sizing'!X6</f>
        <v/>
      </c>
      <c r="Y7" s="96">
        <f>IF('Market Sizing'!Y3&gt;=months_to_first_revenue,1,0)*'Market Sizing'!Y15*audit_fee/'Market Sizing'!Y6</f>
        <v/>
      </c>
      <c r="Z7" s="96">
        <f>IF('Market Sizing'!Z3&gt;=months_to_first_revenue,1,0)*'Market Sizing'!Z15*audit_fee/'Market Sizing'!Z6</f>
        <v/>
      </c>
      <c r="AA7" s="96">
        <f>IF('Market Sizing'!AA3&gt;=months_to_first_revenue,1,0)*'Market Sizing'!AA15*audit_fee/'Market Sizing'!AA6</f>
        <v/>
      </c>
      <c r="AB7" s="96">
        <f>IF('Market Sizing'!AB3&gt;=months_to_first_revenue,1,0)*'Market Sizing'!AB15*audit_fee/'Market Sizing'!AB6</f>
        <v/>
      </c>
      <c r="AC7" s="96">
        <f>IF('Market Sizing'!AC3&gt;=months_to_first_revenue,1,0)*'Market Sizing'!AC15*audit_fee/'Market Sizing'!AC6</f>
        <v/>
      </c>
      <c r="AD7" s="96">
        <f>IF('Market Sizing'!AD3&gt;=months_to_first_revenue,1,0)*'Market Sizing'!AD15*audit_fee/'Market Sizing'!AD6</f>
        <v/>
      </c>
      <c r="AE7" s="96">
        <f>IF('Market Sizing'!AE3&gt;=months_to_first_revenue,1,0)*'Market Sizing'!AE15*audit_fee/'Market Sizing'!AE6</f>
        <v/>
      </c>
      <c r="AF7" s="96">
        <f>IF('Market Sizing'!AF3&gt;=months_to_first_revenue,1,0)*'Market Sizing'!AF15*audit_fee/'Market Sizing'!AF6</f>
        <v/>
      </c>
      <c r="AG7" s="96">
        <f>IF('Market Sizing'!AG3&gt;=months_to_first_revenue,1,0)*'Market Sizing'!AG15*audit_fee/'Market Sizing'!AG6</f>
        <v/>
      </c>
      <c r="AH7" s="96">
        <f>IF('Market Sizing'!AH3&gt;=months_to_first_revenue,1,0)*'Market Sizing'!AH15*audit_fee/'Market Sizing'!AH6</f>
        <v/>
      </c>
      <c r="AI7" s="96">
        <f>IF('Market Sizing'!AI3&gt;=months_to_first_revenue,1,0)*'Market Sizing'!AI15*audit_fee/'Market Sizing'!AI6</f>
        <v/>
      </c>
      <c r="AJ7" s="96">
        <f>IF('Market Sizing'!AJ3&gt;=months_to_first_revenue,1,0)*'Market Sizing'!AJ15*audit_fee/'Market Sizing'!AJ6</f>
        <v/>
      </c>
      <c r="AK7" s="96">
        <f>IF('Market Sizing'!AK3&gt;=months_to_first_revenue,1,0)*'Market Sizing'!AK15*audit_fee/'Market Sizing'!AK6</f>
        <v/>
      </c>
      <c r="AL7" s="96">
        <f>IF('Market Sizing'!AL3&gt;=months_to_first_revenue,1,0)*'Market Sizing'!AL15*audit_fee/'Market Sizing'!AL6</f>
        <v/>
      </c>
      <c r="AM7" s="96">
        <f>IF('Market Sizing'!AM3&gt;=months_to_first_revenue,1,0)*'Market Sizing'!AM15*audit_fee/'Market Sizing'!AM6</f>
        <v/>
      </c>
      <c r="AN7" s="96">
        <f>IF('Market Sizing'!AN3&gt;=months_to_first_revenue,1,0)*'Market Sizing'!AN15*audit_fee/'Market Sizing'!AN6</f>
        <v/>
      </c>
      <c r="AO7" s="96">
        <f>IF('Market Sizing'!AO3&gt;=months_to_first_revenue,1,0)*'Market Sizing'!AO15*audit_fee/'Market Sizing'!AO6</f>
        <v/>
      </c>
      <c r="AP7" s="96">
        <f>IF('Market Sizing'!AP3&gt;=months_to_first_revenue,1,0)*'Market Sizing'!AP15*audit_fee/'Market Sizing'!AP6</f>
        <v/>
      </c>
      <c r="AQ7" s="96">
        <f>IF('Market Sizing'!AQ3&gt;=months_to_first_revenue,1,0)*'Market Sizing'!AQ15*audit_fee/'Market Sizing'!AQ6</f>
        <v/>
      </c>
      <c r="AR7" s="96">
        <f>IF('Market Sizing'!AR3&gt;=months_to_first_revenue,1,0)*'Market Sizing'!AR15*audit_fee/'Market Sizing'!AR6</f>
        <v/>
      </c>
    </row>
    <row r="8">
      <c r="A8" s="4" t="inlineStr">
        <is>
          <t>Subtotal Stage 1</t>
        </is>
      </c>
      <c r="C8" s="9">
        <f>SUM(C5:C7)</f>
        <v/>
      </c>
      <c r="D8" s="9">
        <f>SUM(D5:D7)</f>
        <v/>
      </c>
      <c r="E8" s="9">
        <f>SUM(E5:E7)</f>
        <v/>
      </c>
      <c r="F8" s="9">
        <f>SUM(F5:F7)</f>
        <v/>
      </c>
      <c r="G8" s="9">
        <f>SUM(G5:G7)</f>
        <v/>
      </c>
      <c r="H8" s="9">
        <f>SUM(H5:H7)</f>
        <v/>
      </c>
      <c r="I8" s="9">
        <f>SUM(I5:I7)</f>
        <v/>
      </c>
      <c r="J8" s="9">
        <f>SUM(J5:J7)</f>
        <v/>
      </c>
      <c r="K8" s="9">
        <f>SUM(K5:K7)</f>
        <v/>
      </c>
      <c r="L8" s="9">
        <f>SUM(L5:L7)</f>
        <v/>
      </c>
      <c r="M8" s="9">
        <f>SUM(M5:M7)</f>
        <v/>
      </c>
      <c r="N8" s="9">
        <f>SUM(N5:N7)</f>
        <v/>
      </c>
      <c r="O8" s="9">
        <f>SUM(O5:O7)</f>
        <v/>
      </c>
      <c r="P8" s="9">
        <f>SUM(P5:P7)</f>
        <v/>
      </c>
      <c r="Q8" s="9">
        <f>SUM(Q5:Q7)</f>
        <v/>
      </c>
      <c r="R8" s="9">
        <f>SUM(R5:R7)</f>
        <v/>
      </c>
      <c r="S8" s="9">
        <f>SUM(S5:S7)</f>
        <v/>
      </c>
      <c r="T8" s="9">
        <f>SUM(T5:T7)</f>
        <v/>
      </c>
      <c r="U8" s="9">
        <f>SUM(U5:U7)</f>
        <v/>
      </c>
      <c r="V8" s="9">
        <f>SUM(V5:V7)</f>
        <v/>
      </c>
      <c r="W8" s="9">
        <f>SUM(W5:W7)</f>
        <v/>
      </c>
      <c r="X8" s="9">
        <f>SUM(X5:X7)</f>
        <v/>
      </c>
      <c r="Y8" s="9">
        <f>SUM(Y5:Y7)</f>
        <v/>
      </c>
      <c r="Z8" s="9">
        <f>SUM(Z5:Z7)</f>
        <v/>
      </c>
      <c r="AA8" s="9">
        <f>SUM(AA5:AA7)</f>
        <v/>
      </c>
      <c r="AB8" s="9">
        <f>SUM(AB5:AB7)</f>
        <v/>
      </c>
      <c r="AC8" s="9">
        <f>SUM(AC5:AC7)</f>
        <v/>
      </c>
      <c r="AD8" s="9">
        <f>SUM(AD5:AD7)</f>
        <v/>
      </c>
      <c r="AE8" s="9">
        <f>SUM(AE5:AE7)</f>
        <v/>
      </c>
      <c r="AF8" s="9">
        <f>SUM(AF5:AF7)</f>
        <v/>
      </c>
      <c r="AG8" s="9">
        <f>SUM(AG5:AG7)</f>
        <v/>
      </c>
      <c r="AH8" s="9">
        <f>SUM(AH5:AH7)</f>
        <v/>
      </c>
      <c r="AI8" s="9">
        <f>SUM(AI5:AI7)</f>
        <v/>
      </c>
      <c r="AJ8" s="9">
        <f>SUM(AJ5:AJ7)</f>
        <v/>
      </c>
      <c r="AK8" s="9">
        <f>SUM(AK5:AK7)</f>
        <v/>
      </c>
      <c r="AL8" s="9">
        <f>SUM(AL5:AL7)</f>
        <v/>
      </c>
      <c r="AM8" s="9">
        <f>SUM(AM5:AM7)</f>
        <v/>
      </c>
      <c r="AN8" s="9">
        <f>SUM(AN5:AN7)</f>
        <v/>
      </c>
      <c r="AO8" s="9">
        <f>SUM(AO5:AO7)</f>
        <v/>
      </c>
      <c r="AP8" s="9">
        <f>SUM(AP5:AP7)</f>
        <v/>
      </c>
      <c r="AQ8" s="9">
        <f>SUM(AQ5:AQ7)</f>
        <v/>
      </c>
      <c r="AR8" s="9">
        <f>SUM(AR5:AR7)</f>
        <v/>
      </c>
    </row>
    <row r="9"/>
    <row r="10">
      <c r="A10" s="29" t="inlineStr">
        <is>
          <t>STAGE 2 (gated)</t>
        </is>
      </c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  <c r="AR10" s="11" t="n"/>
    </row>
    <row r="11">
      <c r="A11" s="4" t="inlineStr">
        <is>
          <t xml:space="preserve">  Transaction fees</t>
        </is>
      </c>
      <c r="B11" s="4" t="inlineStr">
        <is>
          <t>M VND</t>
        </is>
      </c>
      <c r="C11" s="96">
        <f>IF(AND(IF('Market Sizing'!C3&gt;=months_to_first_revenue,1,0)=1,'Market Sizing'!C15&gt;=stage2_gate),'Market Sizing'!C10*platform_market_share*tx_take_rate*1000,0)</f>
        <v/>
      </c>
      <c r="D11" s="96">
        <f>IF(AND(IF('Market Sizing'!D3&gt;=months_to_first_revenue,1,0)=1,'Market Sizing'!D15&gt;=stage2_gate),'Market Sizing'!D10*platform_market_share*tx_take_rate*1000,0)</f>
        <v/>
      </c>
      <c r="E11" s="96">
        <f>IF(AND(IF('Market Sizing'!E3&gt;=months_to_first_revenue,1,0)=1,'Market Sizing'!E15&gt;=stage2_gate),'Market Sizing'!E10*platform_market_share*tx_take_rate*1000,0)</f>
        <v/>
      </c>
      <c r="F11" s="96">
        <f>IF(AND(IF('Market Sizing'!F3&gt;=months_to_first_revenue,1,0)=1,'Market Sizing'!F15&gt;=stage2_gate),'Market Sizing'!F10*platform_market_share*tx_take_rate*1000,0)</f>
        <v/>
      </c>
      <c r="G11" s="96">
        <f>IF(AND(IF('Market Sizing'!G3&gt;=months_to_first_revenue,1,0)=1,'Market Sizing'!G15&gt;=stage2_gate),'Market Sizing'!G10*platform_market_share*tx_take_rate*1000,0)</f>
        <v/>
      </c>
      <c r="H11" s="96">
        <f>IF(AND(IF('Market Sizing'!H3&gt;=months_to_first_revenue,1,0)=1,'Market Sizing'!H15&gt;=stage2_gate),'Market Sizing'!H10*platform_market_share*tx_take_rate*1000,0)</f>
        <v/>
      </c>
      <c r="I11" s="96">
        <f>IF(AND(IF('Market Sizing'!I3&gt;=months_to_first_revenue,1,0)=1,'Market Sizing'!I15&gt;=stage2_gate),'Market Sizing'!I10*platform_market_share*tx_take_rate*1000,0)</f>
        <v/>
      </c>
      <c r="J11" s="96">
        <f>IF(AND(IF('Market Sizing'!J3&gt;=months_to_first_revenue,1,0)=1,'Market Sizing'!J15&gt;=stage2_gate),'Market Sizing'!J10*platform_market_share*tx_take_rate*1000,0)</f>
        <v/>
      </c>
      <c r="K11" s="96">
        <f>IF(AND(IF('Market Sizing'!K3&gt;=months_to_first_revenue,1,0)=1,'Market Sizing'!K15&gt;=stage2_gate),'Market Sizing'!K10*platform_market_share*tx_take_rate*1000,0)</f>
        <v/>
      </c>
      <c r="L11" s="96">
        <f>IF(AND(IF('Market Sizing'!L3&gt;=months_to_first_revenue,1,0)=1,'Market Sizing'!L15&gt;=stage2_gate),'Market Sizing'!L10*platform_market_share*tx_take_rate*1000,0)</f>
        <v/>
      </c>
      <c r="M11" s="96">
        <f>IF(AND(IF('Market Sizing'!M3&gt;=months_to_first_revenue,1,0)=1,'Market Sizing'!M15&gt;=stage2_gate),'Market Sizing'!M10*platform_market_share*tx_take_rate*1000,0)</f>
        <v/>
      </c>
      <c r="N11" s="96">
        <f>IF(AND(IF('Market Sizing'!N3&gt;=months_to_first_revenue,1,0)=1,'Market Sizing'!N15&gt;=stage2_gate),'Market Sizing'!N10*platform_market_share*tx_take_rate*1000,0)</f>
        <v/>
      </c>
      <c r="O11" s="96">
        <f>IF(AND(IF('Market Sizing'!O3&gt;=months_to_first_revenue,1,0)=1,'Market Sizing'!O15&gt;=stage2_gate),'Market Sizing'!O10*platform_market_share*tx_take_rate*1000,0)</f>
        <v/>
      </c>
      <c r="P11" s="96">
        <f>IF(AND(IF('Market Sizing'!P3&gt;=months_to_first_revenue,1,0)=1,'Market Sizing'!P15&gt;=stage2_gate),'Market Sizing'!P10*platform_market_share*tx_take_rate*1000,0)</f>
        <v/>
      </c>
      <c r="Q11" s="96">
        <f>IF(AND(IF('Market Sizing'!Q3&gt;=months_to_first_revenue,1,0)=1,'Market Sizing'!Q15&gt;=stage2_gate),'Market Sizing'!Q10*platform_market_share*tx_take_rate*1000,0)</f>
        <v/>
      </c>
      <c r="R11" s="96">
        <f>IF(AND(IF('Market Sizing'!R3&gt;=months_to_first_revenue,1,0)=1,'Market Sizing'!R15&gt;=stage2_gate),'Market Sizing'!R10*platform_market_share*tx_take_rate*1000,0)</f>
        <v/>
      </c>
      <c r="S11" s="96">
        <f>IF(AND(IF('Market Sizing'!S3&gt;=months_to_first_revenue,1,0)=1,'Market Sizing'!S15&gt;=stage2_gate),'Market Sizing'!S10*platform_market_share*tx_take_rate*1000,0)</f>
        <v/>
      </c>
      <c r="T11" s="96">
        <f>IF(AND(IF('Market Sizing'!T3&gt;=months_to_first_revenue,1,0)=1,'Market Sizing'!T15&gt;=stage2_gate),'Market Sizing'!T10*platform_market_share*tx_take_rate*1000,0)</f>
        <v/>
      </c>
      <c r="U11" s="96">
        <f>IF(AND(IF('Market Sizing'!U3&gt;=months_to_first_revenue,1,0)=1,'Market Sizing'!U15&gt;=stage2_gate),'Market Sizing'!U10*platform_market_share*tx_take_rate*1000,0)</f>
        <v/>
      </c>
      <c r="V11" s="96">
        <f>IF(AND(IF('Market Sizing'!V3&gt;=months_to_first_revenue,1,0)=1,'Market Sizing'!V15&gt;=stage2_gate),'Market Sizing'!V10*platform_market_share*tx_take_rate*1000,0)</f>
        <v/>
      </c>
      <c r="W11" s="96">
        <f>IF(AND(IF('Market Sizing'!W3&gt;=months_to_first_revenue,1,0)=1,'Market Sizing'!W15&gt;=stage2_gate),'Market Sizing'!W10*platform_market_share*tx_take_rate*1000,0)</f>
        <v/>
      </c>
      <c r="X11" s="96">
        <f>IF(AND(IF('Market Sizing'!X3&gt;=months_to_first_revenue,1,0)=1,'Market Sizing'!X15&gt;=stage2_gate),'Market Sizing'!X10*platform_market_share*tx_take_rate*1000,0)</f>
        <v/>
      </c>
      <c r="Y11" s="96">
        <f>IF(AND(IF('Market Sizing'!Y3&gt;=months_to_first_revenue,1,0)=1,'Market Sizing'!Y15&gt;=stage2_gate),'Market Sizing'!Y10*platform_market_share*tx_take_rate*1000,0)</f>
        <v/>
      </c>
      <c r="Z11" s="96">
        <f>IF(AND(IF('Market Sizing'!Z3&gt;=months_to_first_revenue,1,0)=1,'Market Sizing'!Z15&gt;=stage2_gate),'Market Sizing'!Z10*platform_market_share*tx_take_rate*1000,0)</f>
        <v/>
      </c>
      <c r="AA11" s="96">
        <f>IF(AND(IF('Market Sizing'!AA3&gt;=months_to_first_revenue,1,0)=1,'Market Sizing'!AA15&gt;=stage2_gate),'Market Sizing'!AA10*platform_market_share*tx_take_rate*1000,0)</f>
        <v/>
      </c>
      <c r="AB11" s="96">
        <f>IF(AND(IF('Market Sizing'!AB3&gt;=months_to_first_revenue,1,0)=1,'Market Sizing'!AB15&gt;=stage2_gate),'Market Sizing'!AB10*platform_market_share*tx_take_rate*1000,0)</f>
        <v/>
      </c>
      <c r="AC11" s="96">
        <f>IF(AND(IF('Market Sizing'!AC3&gt;=months_to_first_revenue,1,0)=1,'Market Sizing'!AC15&gt;=stage2_gate),'Market Sizing'!AC10*platform_market_share*tx_take_rate*1000,0)</f>
        <v/>
      </c>
      <c r="AD11" s="96">
        <f>IF(AND(IF('Market Sizing'!AD3&gt;=months_to_first_revenue,1,0)=1,'Market Sizing'!AD15&gt;=stage2_gate),'Market Sizing'!AD10*platform_market_share*tx_take_rate*1000,0)</f>
        <v/>
      </c>
      <c r="AE11" s="96">
        <f>IF(AND(IF('Market Sizing'!AE3&gt;=months_to_first_revenue,1,0)=1,'Market Sizing'!AE15&gt;=stage2_gate),'Market Sizing'!AE10*platform_market_share*tx_take_rate*1000,0)</f>
        <v/>
      </c>
      <c r="AF11" s="96">
        <f>IF(AND(IF('Market Sizing'!AF3&gt;=months_to_first_revenue,1,0)=1,'Market Sizing'!AF15&gt;=stage2_gate),'Market Sizing'!AF10*platform_market_share*tx_take_rate*1000,0)</f>
        <v/>
      </c>
      <c r="AG11" s="96">
        <f>IF(AND(IF('Market Sizing'!AG3&gt;=months_to_first_revenue,1,0)=1,'Market Sizing'!AG15&gt;=stage2_gate),'Market Sizing'!AG10*platform_market_share*tx_take_rate*1000,0)</f>
        <v/>
      </c>
      <c r="AH11" s="96">
        <f>IF(AND(IF('Market Sizing'!AH3&gt;=months_to_first_revenue,1,0)=1,'Market Sizing'!AH15&gt;=stage2_gate),'Market Sizing'!AH10*platform_market_share*tx_take_rate*1000,0)</f>
        <v/>
      </c>
      <c r="AI11" s="96">
        <f>IF(AND(IF('Market Sizing'!AI3&gt;=months_to_first_revenue,1,0)=1,'Market Sizing'!AI15&gt;=stage2_gate),'Market Sizing'!AI10*platform_market_share*tx_take_rate*1000,0)</f>
        <v/>
      </c>
      <c r="AJ11" s="96">
        <f>IF(AND(IF('Market Sizing'!AJ3&gt;=months_to_first_revenue,1,0)=1,'Market Sizing'!AJ15&gt;=stage2_gate),'Market Sizing'!AJ10*platform_market_share*tx_take_rate*1000,0)</f>
        <v/>
      </c>
      <c r="AK11" s="96">
        <f>IF(AND(IF('Market Sizing'!AK3&gt;=months_to_first_revenue,1,0)=1,'Market Sizing'!AK15&gt;=stage2_gate),'Market Sizing'!AK10*platform_market_share*tx_take_rate*1000,0)</f>
        <v/>
      </c>
      <c r="AL11" s="96">
        <f>IF(AND(IF('Market Sizing'!AL3&gt;=months_to_first_revenue,1,0)=1,'Market Sizing'!AL15&gt;=stage2_gate),'Market Sizing'!AL10*platform_market_share*tx_take_rate*1000,0)</f>
        <v/>
      </c>
      <c r="AM11" s="96">
        <f>IF(AND(IF('Market Sizing'!AM3&gt;=months_to_first_revenue,1,0)=1,'Market Sizing'!AM15&gt;=stage2_gate),'Market Sizing'!AM10*platform_market_share*tx_take_rate*1000,0)</f>
        <v/>
      </c>
      <c r="AN11" s="96">
        <f>IF(AND(IF('Market Sizing'!AN3&gt;=months_to_first_revenue,1,0)=1,'Market Sizing'!AN15&gt;=stage2_gate),'Market Sizing'!AN10*platform_market_share*tx_take_rate*1000,0)</f>
        <v/>
      </c>
      <c r="AO11" s="96">
        <f>IF(AND(IF('Market Sizing'!AO3&gt;=months_to_first_revenue,1,0)=1,'Market Sizing'!AO15&gt;=stage2_gate),'Market Sizing'!AO10*platform_market_share*tx_take_rate*1000,0)</f>
        <v/>
      </c>
      <c r="AP11" s="96">
        <f>IF(AND(IF('Market Sizing'!AP3&gt;=months_to_first_revenue,1,0)=1,'Market Sizing'!AP15&gt;=stage2_gate),'Market Sizing'!AP10*platform_market_share*tx_take_rate*1000,0)</f>
        <v/>
      </c>
      <c r="AQ11" s="96">
        <f>IF(AND(IF('Market Sizing'!AQ3&gt;=months_to_first_revenue,1,0)=1,'Market Sizing'!AQ15&gt;=stage2_gate),'Market Sizing'!AQ10*platform_market_share*tx_take_rate*1000,0)</f>
        <v/>
      </c>
      <c r="AR11" s="96">
        <f>IF(AND(IF('Market Sizing'!AR3&gt;=months_to_first_revenue,1,0)=1,'Market Sizing'!AR15&gt;=stage2_gate),'Market Sizing'!AR10*platform_market_share*tx_take_rate*1000,0)</f>
        <v/>
      </c>
    </row>
    <row r="12">
      <c r="A12" s="4" t="inlineStr">
        <is>
          <t xml:space="preserve">  DaaS</t>
        </is>
      </c>
      <c r="B12" s="4" t="inlineStr">
        <is>
          <t>M VND</t>
        </is>
      </c>
      <c r="C12" s="96">
        <f>IF(AND(IF('Market Sizing'!C3&gt;=months_to_first_revenue,1,0)=1,'Market Sizing'!C15&gt;=stage2_gate),'Market Sizing'!C17*daas_price,0)</f>
        <v/>
      </c>
      <c r="D12" s="96">
        <f>IF(AND(IF('Market Sizing'!D3&gt;=months_to_first_revenue,1,0)=1,'Market Sizing'!D15&gt;=stage2_gate),'Market Sizing'!D17*daas_price,0)</f>
        <v/>
      </c>
      <c r="E12" s="96">
        <f>IF(AND(IF('Market Sizing'!E3&gt;=months_to_first_revenue,1,0)=1,'Market Sizing'!E15&gt;=stage2_gate),'Market Sizing'!E17*daas_price,0)</f>
        <v/>
      </c>
      <c r="F12" s="96">
        <f>IF(AND(IF('Market Sizing'!F3&gt;=months_to_first_revenue,1,0)=1,'Market Sizing'!F15&gt;=stage2_gate),'Market Sizing'!F17*daas_price,0)</f>
        <v/>
      </c>
      <c r="G12" s="96">
        <f>IF(AND(IF('Market Sizing'!G3&gt;=months_to_first_revenue,1,0)=1,'Market Sizing'!G15&gt;=stage2_gate),'Market Sizing'!G17*daas_price,0)</f>
        <v/>
      </c>
      <c r="H12" s="96">
        <f>IF(AND(IF('Market Sizing'!H3&gt;=months_to_first_revenue,1,0)=1,'Market Sizing'!H15&gt;=stage2_gate),'Market Sizing'!H17*daas_price,0)</f>
        <v/>
      </c>
      <c r="I12" s="96">
        <f>IF(AND(IF('Market Sizing'!I3&gt;=months_to_first_revenue,1,0)=1,'Market Sizing'!I15&gt;=stage2_gate),'Market Sizing'!I17*daas_price,0)</f>
        <v/>
      </c>
      <c r="J12" s="96">
        <f>IF(AND(IF('Market Sizing'!J3&gt;=months_to_first_revenue,1,0)=1,'Market Sizing'!J15&gt;=stage2_gate),'Market Sizing'!J17*daas_price,0)</f>
        <v/>
      </c>
      <c r="K12" s="96">
        <f>IF(AND(IF('Market Sizing'!K3&gt;=months_to_first_revenue,1,0)=1,'Market Sizing'!K15&gt;=stage2_gate),'Market Sizing'!K17*daas_price,0)</f>
        <v/>
      </c>
      <c r="L12" s="96">
        <f>IF(AND(IF('Market Sizing'!L3&gt;=months_to_first_revenue,1,0)=1,'Market Sizing'!L15&gt;=stage2_gate),'Market Sizing'!L17*daas_price,0)</f>
        <v/>
      </c>
      <c r="M12" s="96">
        <f>IF(AND(IF('Market Sizing'!M3&gt;=months_to_first_revenue,1,0)=1,'Market Sizing'!M15&gt;=stage2_gate),'Market Sizing'!M17*daas_price,0)</f>
        <v/>
      </c>
      <c r="N12" s="96">
        <f>IF(AND(IF('Market Sizing'!N3&gt;=months_to_first_revenue,1,0)=1,'Market Sizing'!N15&gt;=stage2_gate),'Market Sizing'!N17*daas_price,0)</f>
        <v/>
      </c>
      <c r="O12" s="96">
        <f>IF(AND(IF('Market Sizing'!O3&gt;=months_to_first_revenue,1,0)=1,'Market Sizing'!O15&gt;=stage2_gate),'Market Sizing'!O17*daas_price,0)</f>
        <v/>
      </c>
      <c r="P12" s="96">
        <f>IF(AND(IF('Market Sizing'!P3&gt;=months_to_first_revenue,1,0)=1,'Market Sizing'!P15&gt;=stage2_gate),'Market Sizing'!P17*daas_price,0)</f>
        <v/>
      </c>
      <c r="Q12" s="96">
        <f>IF(AND(IF('Market Sizing'!Q3&gt;=months_to_first_revenue,1,0)=1,'Market Sizing'!Q15&gt;=stage2_gate),'Market Sizing'!Q17*daas_price,0)</f>
        <v/>
      </c>
      <c r="R12" s="96">
        <f>IF(AND(IF('Market Sizing'!R3&gt;=months_to_first_revenue,1,0)=1,'Market Sizing'!R15&gt;=stage2_gate),'Market Sizing'!R17*daas_price,0)</f>
        <v/>
      </c>
      <c r="S12" s="96">
        <f>IF(AND(IF('Market Sizing'!S3&gt;=months_to_first_revenue,1,0)=1,'Market Sizing'!S15&gt;=stage2_gate),'Market Sizing'!S17*daas_price,0)</f>
        <v/>
      </c>
      <c r="T12" s="96">
        <f>IF(AND(IF('Market Sizing'!T3&gt;=months_to_first_revenue,1,0)=1,'Market Sizing'!T15&gt;=stage2_gate),'Market Sizing'!T17*daas_price,0)</f>
        <v/>
      </c>
      <c r="U12" s="96">
        <f>IF(AND(IF('Market Sizing'!U3&gt;=months_to_first_revenue,1,0)=1,'Market Sizing'!U15&gt;=stage2_gate),'Market Sizing'!U17*daas_price,0)</f>
        <v/>
      </c>
      <c r="V12" s="96">
        <f>IF(AND(IF('Market Sizing'!V3&gt;=months_to_first_revenue,1,0)=1,'Market Sizing'!V15&gt;=stage2_gate),'Market Sizing'!V17*daas_price,0)</f>
        <v/>
      </c>
      <c r="W12" s="96">
        <f>IF(AND(IF('Market Sizing'!W3&gt;=months_to_first_revenue,1,0)=1,'Market Sizing'!W15&gt;=stage2_gate),'Market Sizing'!W17*daas_price,0)</f>
        <v/>
      </c>
      <c r="X12" s="96">
        <f>IF(AND(IF('Market Sizing'!X3&gt;=months_to_first_revenue,1,0)=1,'Market Sizing'!X15&gt;=stage2_gate),'Market Sizing'!X17*daas_price,0)</f>
        <v/>
      </c>
      <c r="Y12" s="96">
        <f>IF(AND(IF('Market Sizing'!Y3&gt;=months_to_first_revenue,1,0)=1,'Market Sizing'!Y15&gt;=stage2_gate),'Market Sizing'!Y17*daas_price,0)</f>
        <v/>
      </c>
      <c r="Z12" s="96">
        <f>IF(AND(IF('Market Sizing'!Z3&gt;=months_to_first_revenue,1,0)=1,'Market Sizing'!Z15&gt;=stage2_gate),'Market Sizing'!Z17*daas_price,0)</f>
        <v/>
      </c>
      <c r="AA12" s="96">
        <f>IF(AND(IF('Market Sizing'!AA3&gt;=months_to_first_revenue,1,0)=1,'Market Sizing'!AA15&gt;=stage2_gate),'Market Sizing'!AA17*daas_price,0)</f>
        <v/>
      </c>
      <c r="AB12" s="96">
        <f>IF(AND(IF('Market Sizing'!AB3&gt;=months_to_first_revenue,1,0)=1,'Market Sizing'!AB15&gt;=stage2_gate),'Market Sizing'!AB17*daas_price,0)</f>
        <v/>
      </c>
      <c r="AC12" s="96">
        <f>IF(AND(IF('Market Sizing'!AC3&gt;=months_to_first_revenue,1,0)=1,'Market Sizing'!AC15&gt;=stage2_gate),'Market Sizing'!AC17*daas_price,0)</f>
        <v/>
      </c>
      <c r="AD12" s="96">
        <f>IF(AND(IF('Market Sizing'!AD3&gt;=months_to_first_revenue,1,0)=1,'Market Sizing'!AD15&gt;=stage2_gate),'Market Sizing'!AD17*daas_price,0)</f>
        <v/>
      </c>
      <c r="AE12" s="96">
        <f>IF(AND(IF('Market Sizing'!AE3&gt;=months_to_first_revenue,1,0)=1,'Market Sizing'!AE15&gt;=stage2_gate),'Market Sizing'!AE17*daas_price,0)</f>
        <v/>
      </c>
      <c r="AF12" s="96">
        <f>IF(AND(IF('Market Sizing'!AF3&gt;=months_to_first_revenue,1,0)=1,'Market Sizing'!AF15&gt;=stage2_gate),'Market Sizing'!AF17*daas_price,0)</f>
        <v/>
      </c>
      <c r="AG12" s="96">
        <f>IF(AND(IF('Market Sizing'!AG3&gt;=months_to_first_revenue,1,0)=1,'Market Sizing'!AG15&gt;=stage2_gate),'Market Sizing'!AG17*daas_price,0)</f>
        <v/>
      </c>
      <c r="AH12" s="96">
        <f>IF(AND(IF('Market Sizing'!AH3&gt;=months_to_first_revenue,1,0)=1,'Market Sizing'!AH15&gt;=stage2_gate),'Market Sizing'!AH17*daas_price,0)</f>
        <v/>
      </c>
      <c r="AI12" s="96">
        <f>IF(AND(IF('Market Sizing'!AI3&gt;=months_to_first_revenue,1,0)=1,'Market Sizing'!AI15&gt;=stage2_gate),'Market Sizing'!AI17*daas_price,0)</f>
        <v/>
      </c>
      <c r="AJ12" s="96">
        <f>IF(AND(IF('Market Sizing'!AJ3&gt;=months_to_first_revenue,1,0)=1,'Market Sizing'!AJ15&gt;=stage2_gate),'Market Sizing'!AJ17*daas_price,0)</f>
        <v/>
      </c>
      <c r="AK12" s="96">
        <f>IF(AND(IF('Market Sizing'!AK3&gt;=months_to_first_revenue,1,0)=1,'Market Sizing'!AK15&gt;=stage2_gate),'Market Sizing'!AK17*daas_price,0)</f>
        <v/>
      </c>
      <c r="AL12" s="96">
        <f>IF(AND(IF('Market Sizing'!AL3&gt;=months_to_first_revenue,1,0)=1,'Market Sizing'!AL15&gt;=stage2_gate),'Market Sizing'!AL17*daas_price,0)</f>
        <v/>
      </c>
      <c r="AM12" s="96">
        <f>IF(AND(IF('Market Sizing'!AM3&gt;=months_to_first_revenue,1,0)=1,'Market Sizing'!AM15&gt;=stage2_gate),'Market Sizing'!AM17*daas_price,0)</f>
        <v/>
      </c>
      <c r="AN12" s="96">
        <f>IF(AND(IF('Market Sizing'!AN3&gt;=months_to_first_revenue,1,0)=1,'Market Sizing'!AN15&gt;=stage2_gate),'Market Sizing'!AN17*daas_price,0)</f>
        <v/>
      </c>
      <c r="AO12" s="96">
        <f>IF(AND(IF('Market Sizing'!AO3&gt;=months_to_first_revenue,1,0)=1,'Market Sizing'!AO15&gt;=stage2_gate),'Market Sizing'!AO17*daas_price,0)</f>
        <v/>
      </c>
      <c r="AP12" s="96">
        <f>IF(AND(IF('Market Sizing'!AP3&gt;=months_to_first_revenue,1,0)=1,'Market Sizing'!AP15&gt;=stage2_gate),'Market Sizing'!AP17*daas_price,0)</f>
        <v/>
      </c>
      <c r="AQ12" s="96">
        <f>IF(AND(IF('Market Sizing'!AQ3&gt;=months_to_first_revenue,1,0)=1,'Market Sizing'!AQ15&gt;=stage2_gate),'Market Sizing'!AQ17*daas_price,0)</f>
        <v/>
      </c>
      <c r="AR12" s="96">
        <f>IF(AND(IF('Market Sizing'!AR3&gt;=months_to_first_revenue,1,0)=1,'Market Sizing'!AR15&gt;=stage2_gate),'Market Sizing'!AR17*daas_price,0)</f>
        <v/>
      </c>
    </row>
    <row r="13">
      <c r="A13" s="4" t="inlineStr">
        <is>
          <t xml:space="preserve">  Advertising</t>
        </is>
      </c>
      <c r="B13" s="4" t="inlineStr">
        <is>
          <t>M VND</t>
        </is>
      </c>
      <c r="C13" s="96">
        <f>IF(AND(IF('Market Sizing'!C3&gt;=months_to_first_revenue,1,0)=1,'Market Sizing'!C15&gt;=stage2_gate),ad_impressions_base*'Market Sizing'!C7*'Market Sizing'!C15/1000*ad_cpm/1000,0)</f>
        <v/>
      </c>
      <c r="D13" s="96">
        <f>IF(AND(IF('Market Sizing'!D3&gt;=months_to_first_revenue,1,0)=1,'Market Sizing'!D15&gt;=stage2_gate),ad_impressions_base*'Market Sizing'!D7*'Market Sizing'!D15/1000*ad_cpm/1000,0)</f>
        <v/>
      </c>
      <c r="E13" s="96">
        <f>IF(AND(IF('Market Sizing'!E3&gt;=months_to_first_revenue,1,0)=1,'Market Sizing'!E15&gt;=stage2_gate),ad_impressions_base*'Market Sizing'!E7*'Market Sizing'!E15/1000*ad_cpm/1000,0)</f>
        <v/>
      </c>
      <c r="F13" s="96">
        <f>IF(AND(IF('Market Sizing'!F3&gt;=months_to_first_revenue,1,0)=1,'Market Sizing'!F15&gt;=stage2_gate),ad_impressions_base*'Market Sizing'!F7*'Market Sizing'!F15/1000*ad_cpm/1000,0)</f>
        <v/>
      </c>
      <c r="G13" s="96">
        <f>IF(AND(IF('Market Sizing'!G3&gt;=months_to_first_revenue,1,0)=1,'Market Sizing'!G15&gt;=stage2_gate),ad_impressions_base*'Market Sizing'!G7*'Market Sizing'!G15/1000*ad_cpm/1000,0)</f>
        <v/>
      </c>
      <c r="H13" s="96">
        <f>IF(AND(IF('Market Sizing'!H3&gt;=months_to_first_revenue,1,0)=1,'Market Sizing'!H15&gt;=stage2_gate),ad_impressions_base*'Market Sizing'!H7*'Market Sizing'!H15/1000*ad_cpm/1000,0)</f>
        <v/>
      </c>
      <c r="I13" s="96">
        <f>IF(AND(IF('Market Sizing'!I3&gt;=months_to_first_revenue,1,0)=1,'Market Sizing'!I15&gt;=stage2_gate),ad_impressions_base*'Market Sizing'!I7*'Market Sizing'!I15/1000*ad_cpm/1000,0)</f>
        <v/>
      </c>
      <c r="J13" s="96">
        <f>IF(AND(IF('Market Sizing'!J3&gt;=months_to_first_revenue,1,0)=1,'Market Sizing'!J15&gt;=stage2_gate),ad_impressions_base*'Market Sizing'!J7*'Market Sizing'!J15/1000*ad_cpm/1000,0)</f>
        <v/>
      </c>
      <c r="K13" s="96">
        <f>IF(AND(IF('Market Sizing'!K3&gt;=months_to_first_revenue,1,0)=1,'Market Sizing'!K15&gt;=stage2_gate),ad_impressions_base*'Market Sizing'!K7*'Market Sizing'!K15/1000*ad_cpm/1000,0)</f>
        <v/>
      </c>
      <c r="L13" s="96">
        <f>IF(AND(IF('Market Sizing'!L3&gt;=months_to_first_revenue,1,0)=1,'Market Sizing'!L15&gt;=stage2_gate),ad_impressions_base*'Market Sizing'!L7*'Market Sizing'!L15/1000*ad_cpm/1000,0)</f>
        <v/>
      </c>
      <c r="M13" s="96">
        <f>IF(AND(IF('Market Sizing'!M3&gt;=months_to_first_revenue,1,0)=1,'Market Sizing'!M15&gt;=stage2_gate),ad_impressions_base*'Market Sizing'!M7*'Market Sizing'!M15/1000*ad_cpm/1000,0)</f>
        <v/>
      </c>
      <c r="N13" s="96">
        <f>IF(AND(IF('Market Sizing'!N3&gt;=months_to_first_revenue,1,0)=1,'Market Sizing'!N15&gt;=stage2_gate),ad_impressions_base*'Market Sizing'!N7*'Market Sizing'!N15/1000*ad_cpm/1000,0)</f>
        <v/>
      </c>
      <c r="O13" s="96">
        <f>IF(AND(IF('Market Sizing'!O3&gt;=months_to_first_revenue,1,0)=1,'Market Sizing'!O15&gt;=stage2_gate),ad_impressions_base*'Market Sizing'!O7*'Market Sizing'!O15/1000*ad_cpm/1000,0)</f>
        <v/>
      </c>
      <c r="P13" s="96">
        <f>IF(AND(IF('Market Sizing'!P3&gt;=months_to_first_revenue,1,0)=1,'Market Sizing'!P15&gt;=stage2_gate),ad_impressions_base*'Market Sizing'!P7*'Market Sizing'!P15/1000*ad_cpm/1000,0)</f>
        <v/>
      </c>
      <c r="Q13" s="96">
        <f>IF(AND(IF('Market Sizing'!Q3&gt;=months_to_first_revenue,1,0)=1,'Market Sizing'!Q15&gt;=stage2_gate),ad_impressions_base*'Market Sizing'!Q7*'Market Sizing'!Q15/1000*ad_cpm/1000,0)</f>
        <v/>
      </c>
      <c r="R13" s="96">
        <f>IF(AND(IF('Market Sizing'!R3&gt;=months_to_first_revenue,1,0)=1,'Market Sizing'!R15&gt;=stage2_gate),ad_impressions_base*'Market Sizing'!R7*'Market Sizing'!R15/1000*ad_cpm/1000,0)</f>
        <v/>
      </c>
      <c r="S13" s="96">
        <f>IF(AND(IF('Market Sizing'!S3&gt;=months_to_first_revenue,1,0)=1,'Market Sizing'!S15&gt;=stage2_gate),ad_impressions_base*'Market Sizing'!S7*'Market Sizing'!S15/1000*ad_cpm/1000,0)</f>
        <v/>
      </c>
      <c r="T13" s="96">
        <f>IF(AND(IF('Market Sizing'!T3&gt;=months_to_first_revenue,1,0)=1,'Market Sizing'!T15&gt;=stage2_gate),ad_impressions_base*'Market Sizing'!T7*'Market Sizing'!T15/1000*ad_cpm/1000,0)</f>
        <v/>
      </c>
      <c r="U13" s="96">
        <f>IF(AND(IF('Market Sizing'!U3&gt;=months_to_first_revenue,1,0)=1,'Market Sizing'!U15&gt;=stage2_gate),ad_impressions_base*'Market Sizing'!U7*'Market Sizing'!U15/1000*ad_cpm/1000,0)</f>
        <v/>
      </c>
      <c r="V13" s="96">
        <f>IF(AND(IF('Market Sizing'!V3&gt;=months_to_first_revenue,1,0)=1,'Market Sizing'!V15&gt;=stage2_gate),ad_impressions_base*'Market Sizing'!V7*'Market Sizing'!V15/1000*ad_cpm/1000,0)</f>
        <v/>
      </c>
      <c r="W13" s="96">
        <f>IF(AND(IF('Market Sizing'!W3&gt;=months_to_first_revenue,1,0)=1,'Market Sizing'!W15&gt;=stage2_gate),ad_impressions_base*'Market Sizing'!W7*'Market Sizing'!W15/1000*ad_cpm/1000,0)</f>
        <v/>
      </c>
      <c r="X13" s="96">
        <f>IF(AND(IF('Market Sizing'!X3&gt;=months_to_first_revenue,1,0)=1,'Market Sizing'!X15&gt;=stage2_gate),ad_impressions_base*'Market Sizing'!X7*'Market Sizing'!X15/1000*ad_cpm/1000,0)</f>
        <v/>
      </c>
      <c r="Y13" s="96">
        <f>IF(AND(IF('Market Sizing'!Y3&gt;=months_to_first_revenue,1,0)=1,'Market Sizing'!Y15&gt;=stage2_gate),ad_impressions_base*'Market Sizing'!Y7*'Market Sizing'!Y15/1000*ad_cpm/1000,0)</f>
        <v/>
      </c>
      <c r="Z13" s="96">
        <f>IF(AND(IF('Market Sizing'!Z3&gt;=months_to_first_revenue,1,0)=1,'Market Sizing'!Z15&gt;=stage2_gate),ad_impressions_base*'Market Sizing'!Z7*'Market Sizing'!Z15/1000*ad_cpm/1000,0)</f>
        <v/>
      </c>
      <c r="AA13" s="96">
        <f>IF(AND(IF('Market Sizing'!AA3&gt;=months_to_first_revenue,1,0)=1,'Market Sizing'!AA15&gt;=stage2_gate),ad_impressions_base*'Market Sizing'!AA7*'Market Sizing'!AA15/1000*ad_cpm/1000,0)</f>
        <v/>
      </c>
      <c r="AB13" s="96">
        <f>IF(AND(IF('Market Sizing'!AB3&gt;=months_to_first_revenue,1,0)=1,'Market Sizing'!AB15&gt;=stage2_gate),ad_impressions_base*'Market Sizing'!AB7*'Market Sizing'!AB15/1000*ad_cpm/1000,0)</f>
        <v/>
      </c>
      <c r="AC13" s="96">
        <f>IF(AND(IF('Market Sizing'!AC3&gt;=months_to_first_revenue,1,0)=1,'Market Sizing'!AC15&gt;=stage2_gate),ad_impressions_base*'Market Sizing'!AC7*'Market Sizing'!AC15/1000*ad_cpm/1000,0)</f>
        <v/>
      </c>
      <c r="AD13" s="96">
        <f>IF(AND(IF('Market Sizing'!AD3&gt;=months_to_first_revenue,1,0)=1,'Market Sizing'!AD15&gt;=stage2_gate),ad_impressions_base*'Market Sizing'!AD7*'Market Sizing'!AD15/1000*ad_cpm/1000,0)</f>
        <v/>
      </c>
      <c r="AE13" s="96">
        <f>IF(AND(IF('Market Sizing'!AE3&gt;=months_to_first_revenue,1,0)=1,'Market Sizing'!AE15&gt;=stage2_gate),ad_impressions_base*'Market Sizing'!AE7*'Market Sizing'!AE15/1000*ad_cpm/1000,0)</f>
        <v/>
      </c>
      <c r="AF13" s="96">
        <f>IF(AND(IF('Market Sizing'!AF3&gt;=months_to_first_revenue,1,0)=1,'Market Sizing'!AF15&gt;=stage2_gate),ad_impressions_base*'Market Sizing'!AF7*'Market Sizing'!AF15/1000*ad_cpm/1000,0)</f>
        <v/>
      </c>
      <c r="AG13" s="96">
        <f>IF(AND(IF('Market Sizing'!AG3&gt;=months_to_first_revenue,1,0)=1,'Market Sizing'!AG15&gt;=stage2_gate),ad_impressions_base*'Market Sizing'!AG7*'Market Sizing'!AG15/1000*ad_cpm/1000,0)</f>
        <v/>
      </c>
      <c r="AH13" s="96">
        <f>IF(AND(IF('Market Sizing'!AH3&gt;=months_to_first_revenue,1,0)=1,'Market Sizing'!AH15&gt;=stage2_gate),ad_impressions_base*'Market Sizing'!AH7*'Market Sizing'!AH15/1000*ad_cpm/1000,0)</f>
        <v/>
      </c>
      <c r="AI13" s="96">
        <f>IF(AND(IF('Market Sizing'!AI3&gt;=months_to_first_revenue,1,0)=1,'Market Sizing'!AI15&gt;=stage2_gate),ad_impressions_base*'Market Sizing'!AI7*'Market Sizing'!AI15/1000*ad_cpm/1000,0)</f>
        <v/>
      </c>
      <c r="AJ13" s="96">
        <f>IF(AND(IF('Market Sizing'!AJ3&gt;=months_to_first_revenue,1,0)=1,'Market Sizing'!AJ15&gt;=stage2_gate),ad_impressions_base*'Market Sizing'!AJ7*'Market Sizing'!AJ15/1000*ad_cpm/1000,0)</f>
        <v/>
      </c>
      <c r="AK13" s="96">
        <f>IF(AND(IF('Market Sizing'!AK3&gt;=months_to_first_revenue,1,0)=1,'Market Sizing'!AK15&gt;=stage2_gate),ad_impressions_base*'Market Sizing'!AK7*'Market Sizing'!AK15/1000*ad_cpm/1000,0)</f>
        <v/>
      </c>
      <c r="AL13" s="96">
        <f>IF(AND(IF('Market Sizing'!AL3&gt;=months_to_first_revenue,1,0)=1,'Market Sizing'!AL15&gt;=stage2_gate),ad_impressions_base*'Market Sizing'!AL7*'Market Sizing'!AL15/1000*ad_cpm/1000,0)</f>
        <v/>
      </c>
      <c r="AM13" s="96">
        <f>IF(AND(IF('Market Sizing'!AM3&gt;=months_to_first_revenue,1,0)=1,'Market Sizing'!AM15&gt;=stage2_gate),ad_impressions_base*'Market Sizing'!AM7*'Market Sizing'!AM15/1000*ad_cpm/1000,0)</f>
        <v/>
      </c>
      <c r="AN13" s="96">
        <f>IF(AND(IF('Market Sizing'!AN3&gt;=months_to_first_revenue,1,0)=1,'Market Sizing'!AN15&gt;=stage2_gate),ad_impressions_base*'Market Sizing'!AN7*'Market Sizing'!AN15/1000*ad_cpm/1000,0)</f>
        <v/>
      </c>
      <c r="AO13" s="96">
        <f>IF(AND(IF('Market Sizing'!AO3&gt;=months_to_first_revenue,1,0)=1,'Market Sizing'!AO15&gt;=stage2_gate),ad_impressions_base*'Market Sizing'!AO7*'Market Sizing'!AO15/1000*ad_cpm/1000,0)</f>
        <v/>
      </c>
      <c r="AP13" s="96">
        <f>IF(AND(IF('Market Sizing'!AP3&gt;=months_to_first_revenue,1,0)=1,'Market Sizing'!AP15&gt;=stage2_gate),ad_impressions_base*'Market Sizing'!AP7*'Market Sizing'!AP15/1000*ad_cpm/1000,0)</f>
        <v/>
      </c>
      <c r="AQ13" s="96">
        <f>IF(AND(IF('Market Sizing'!AQ3&gt;=months_to_first_revenue,1,0)=1,'Market Sizing'!AQ15&gt;=stage2_gate),ad_impressions_base*'Market Sizing'!AQ7*'Market Sizing'!AQ15/1000*ad_cpm/1000,0)</f>
        <v/>
      </c>
      <c r="AR13" s="96">
        <f>IF(AND(IF('Market Sizing'!AR3&gt;=months_to_first_revenue,1,0)=1,'Market Sizing'!AR15&gt;=stage2_gate),ad_impressions_base*'Market Sizing'!AR7*'Market Sizing'!AR15/1000*ad_cpm/1000,0)</f>
        <v/>
      </c>
    </row>
    <row r="14">
      <c r="A14" s="4" t="inlineStr">
        <is>
          <t>Subtotal Stage 2</t>
        </is>
      </c>
      <c r="C14" s="9">
        <f>SUM(C11:C13)</f>
        <v/>
      </c>
      <c r="D14" s="9">
        <f>SUM(D11:D13)</f>
        <v/>
      </c>
      <c r="E14" s="9">
        <f>SUM(E11:E13)</f>
        <v/>
      </c>
      <c r="F14" s="9">
        <f>SUM(F11:F13)</f>
        <v/>
      </c>
      <c r="G14" s="9">
        <f>SUM(G11:G13)</f>
        <v/>
      </c>
      <c r="H14" s="9">
        <f>SUM(H11:H13)</f>
        <v/>
      </c>
      <c r="I14" s="9">
        <f>SUM(I11:I13)</f>
        <v/>
      </c>
      <c r="J14" s="9">
        <f>SUM(J11:J13)</f>
        <v/>
      </c>
      <c r="K14" s="9">
        <f>SUM(K11:K13)</f>
        <v/>
      </c>
      <c r="L14" s="9">
        <f>SUM(L11:L13)</f>
        <v/>
      </c>
      <c r="M14" s="9">
        <f>SUM(M11:M13)</f>
        <v/>
      </c>
      <c r="N14" s="9">
        <f>SUM(N11:N13)</f>
        <v/>
      </c>
      <c r="O14" s="9">
        <f>SUM(O11:O13)</f>
        <v/>
      </c>
      <c r="P14" s="9">
        <f>SUM(P11:P13)</f>
        <v/>
      </c>
      <c r="Q14" s="9">
        <f>SUM(Q11:Q13)</f>
        <v/>
      </c>
      <c r="R14" s="9">
        <f>SUM(R11:R13)</f>
        <v/>
      </c>
      <c r="S14" s="9">
        <f>SUM(S11:S13)</f>
        <v/>
      </c>
      <c r="T14" s="9">
        <f>SUM(T11:T13)</f>
        <v/>
      </c>
      <c r="U14" s="9">
        <f>SUM(U11:U13)</f>
        <v/>
      </c>
      <c r="V14" s="9">
        <f>SUM(V11:V13)</f>
        <v/>
      </c>
      <c r="W14" s="9">
        <f>SUM(W11:W13)</f>
        <v/>
      </c>
      <c r="X14" s="9">
        <f>SUM(X11:X13)</f>
        <v/>
      </c>
      <c r="Y14" s="9">
        <f>SUM(Y11:Y13)</f>
        <v/>
      </c>
      <c r="Z14" s="9">
        <f>SUM(Z11:Z13)</f>
        <v/>
      </c>
      <c r="AA14" s="9">
        <f>SUM(AA11:AA13)</f>
        <v/>
      </c>
      <c r="AB14" s="9">
        <f>SUM(AB11:AB13)</f>
        <v/>
      </c>
      <c r="AC14" s="9">
        <f>SUM(AC11:AC13)</f>
        <v/>
      </c>
      <c r="AD14" s="9">
        <f>SUM(AD11:AD13)</f>
        <v/>
      </c>
      <c r="AE14" s="9">
        <f>SUM(AE11:AE13)</f>
        <v/>
      </c>
      <c r="AF14" s="9">
        <f>SUM(AF11:AF13)</f>
        <v/>
      </c>
      <c r="AG14" s="9">
        <f>SUM(AG11:AG13)</f>
        <v/>
      </c>
      <c r="AH14" s="9">
        <f>SUM(AH11:AH13)</f>
        <v/>
      </c>
      <c r="AI14" s="9">
        <f>SUM(AI11:AI13)</f>
        <v/>
      </c>
      <c r="AJ14" s="9">
        <f>SUM(AJ11:AJ13)</f>
        <v/>
      </c>
      <c r="AK14" s="9">
        <f>SUM(AK11:AK13)</f>
        <v/>
      </c>
      <c r="AL14" s="9">
        <f>SUM(AL11:AL13)</f>
        <v/>
      </c>
      <c r="AM14" s="9">
        <f>SUM(AM11:AM13)</f>
        <v/>
      </c>
      <c r="AN14" s="9">
        <f>SUM(AN11:AN13)</f>
        <v/>
      </c>
      <c r="AO14" s="9">
        <f>SUM(AO11:AO13)</f>
        <v/>
      </c>
      <c r="AP14" s="9">
        <f>SUM(AP11:AP13)</f>
        <v/>
      </c>
      <c r="AQ14" s="9">
        <f>SUM(AQ11:AQ13)</f>
        <v/>
      </c>
      <c r="AR14" s="9">
        <f>SUM(AR11:AR13)</f>
        <v/>
      </c>
    </row>
    <row r="15"/>
    <row r="16">
      <c r="A16" s="4" t="inlineStr">
        <is>
          <t>TOTAL REVENUE</t>
        </is>
      </c>
      <c r="C16" s="9">
        <f>C8+C14</f>
        <v/>
      </c>
      <c r="D16" s="9">
        <f>D8+D14</f>
        <v/>
      </c>
      <c r="E16" s="9">
        <f>E8+E14</f>
        <v/>
      </c>
      <c r="F16" s="9">
        <f>F8+F14</f>
        <v/>
      </c>
      <c r="G16" s="9">
        <f>G8+G14</f>
        <v/>
      </c>
      <c r="H16" s="9">
        <f>H8+H14</f>
        <v/>
      </c>
      <c r="I16" s="9">
        <f>I8+I14</f>
        <v/>
      </c>
      <c r="J16" s="9">
        <f>J8+J14</f>
        <v/>
      </c>
      <c r="K16" s="9">
        <f>K8+K14</f>
        <v/>
      </c>
      <c r="L16" s="9">
        <f>L8+L14</f>
        <v/>
      </c>
      <c r="M16" s="9">
        <f>M8+M14</f>
        <v/>
      </c>
      <c r="N16" s="9">
        <f>N8+N14</f>
        <v/>
      </c>
      <c r="O16" s="9">
        <f>O8+O14</f>
        <v/>
      </c>
      <c r="P16" s="9">
        <f>P8+P14</f>
        <v/>
      </c>
      <c r="Q16" s="9">
        <f>Q8+Q14</f>
        <v/>
      </c>
      <c r="R16" s="9">
        <f>R8+R14</f>
        <v/>
      </c>
      <c r="S16" s="9">
        <f>S8+S14</f>
        <v/>
      </c>
      <c r="T16" s="9">
        <f>T8+T14</f>
        <v/>
      </c>
      <c r="U16" s="9">
        <f>U8+U14</f>
        <v/>
      </c>
      <c r="V16" s="9">
        <f>V8+V14</f>
        <v/>
      </c>
      <c r="W16" s="9">
        <f>W8+W14</f>
        <v/>
      </c>
      <c r="X16" s="9">
        <f>X8+X14</f>
        <v/>
      </c>
      <c r="Y16" s="9">
        <f>Y8+Y14</f>
        <v/>
      </c>
      <c r="Z16" s="9">
        <f>Z8+Z14</f>
        <v/>
      </c>
      <c r="AA16" s="9">
        <f>AA8+AA14</f>
        <v/>
      </c>
      <c r="AB16" s="9">
        <f>AB8+AB14</f>
        <v/>
      </c>
      <c r="AC16" s="9">
        <f>AC8+AC14</f>
        <v/>
      </c>
      <c r="AD16" s="9">
        <f>AD8+AD14</f>
        <v/>
      </c>
      <c r="AE16" s="9">
        <f>AE8+AE14</f>
        <v/>
      </c>
      <c r="AF16" s="9">
        <f>AF8+AF14</f>
        <v/>
      </c>
      <c r="AG16" s="9">
        <f>AG8+AG14</f>
        <v/>
      </c>
      <c r="AH16" s="9">
        <f>AH8+AH14</f>
        <v/>
      </c>
      <c r="AI16" s="9">
        <f>AI8+AI14</f>
        <v/>
      </c>
      <c r="AJ16" s="9">
        <f>AJ8+AJ14</f>
        <v/>
      </c>
      <c r="AK16" s="9">
        <f>AK8+AK14</f>
        <v/>
      </c>
      <c r="AL16" s="9">
        <f>AL8+AL14</f>
        <v/>
      </c>
      <c r="AM16" s="9">
        <f>AM8+AM14</f>
        <v/>
      </c>
      <c r="AN16" s="9">
        <f>AN8+AN14</f>
        <v/>
      </c>
      <c r="AO16" s="9">
        <f>AO8+AO14</f>
        <v/>
      </c>
      <c r="AP16" s="9">
        <f>AP8+AP14</f>
        <v/>
      </c>
      <c r="AQ16" s="9">
        <f>AQ8+AQ14</f>
        <v/>
      </c>
      <c r="AR16" s="9">
        <f>AR8+AR14</f>
        <v/>
      </c>
    </row>
    <row r="17"/>
    <row r="18">
      <c r="A18" s="29" t="inlineStr">
        <is>
          <t>COGS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  <c r="AR18" s="11" t="n"/>
    </row>
    <row r="19">
      <c r="A19" s="4" t="inlineStr">
        <is>
          <t xml:space="preserve">  Payment processing</t>
        </is>
      </c>
      <c r="B19" s="4" t="inlineStr">
        <is>
          <t>M VND</t>
        </is>
      </c>
      <c r="C19" s="10">
        <f>C11*payment_proc_pct</f>
        <v/>
      </c>
      <c r="D19" s="10">
        <f>D11*payment_proc_pct</f>
        <v/>
      </c>
      <c r="E19" s="10">
        <f>E11*payment_proc_pct</f>
        <v/>
      </c>
      <c r="F19" s="10">
        <f>F11*payment_proc_pct</f>
        <v/>
      </c>
      <c r="G19" s="10">
        <f>G11*payment_proc_pct</f>
        <v/>
      </c>
      <c r="H19" s="10">
        <f>H11*payment_proc_pct</f>
        <v/>
      </c>
      <c r="I19" s="10">
        <f>I11*payment_proc_pct</f>
        <v/>
      </c>
      <c r="J19" s="10">
        <f>J11*payment_proc_pct</f>
        <v/>
      </c>
      <c r="K19" s="10">
        <f>K11*payment_proc_pct</f>
        <v/>
      </c>
      <c r="L19" s="10">
        <f>L11*payment_proc_pct</f>
        <v/>
      </c>
      <c r="M19" s="10">
        <f>M11*payment_proc_pct</f>
        <v/>
      </c>
      <c r="N19" s="10">
        <f>N11*payment_proc_pct</f>
        <v/>
      </c>
      <c r="O19" s="10">
        <f>O11*payment_proc_pct</f>
        <v/>
      </c>
      <c r="P19" s="10">
        <f>P11*payment_proc_pct</f>
        <v/>
      </c>
      <c r="Q19" s="10">
        <f>Q11*payment_proc_pct</f>
        <v/>
      </c>
      <c r="R19" s="10">
        <f>R11*payment_proc_pct</f>
        <v/>
      </c>
      <c r="S19" s="10">
        <f>S11*payment_proc_pct</f>
        <v/>
      </c>
      <c r="T19" s="10">
        <f>T11*payment_proc_pct</f>
        <v/>
      </c>
      <c r="U19" s="10">
        <f>U11*payment_proc_pct</f>
        <v/>
      </c>
      <c r="V19" s="10">
        <f>V11*payment_proc_pct</f>
        <v/>
      </c>
      <c r="W19" s="10">
        <f>W11*payment_proc_pct</f>
        <v/>
      </c>
      <c r="X19" s="10">
        <f>X11*payment_proc_pct</f>
        <v/>
      </c>
      <c r="Y19" s="10">
        <f>Y11*payment_proc_pct</f>
        <v/>
      </c>
      <c r="Z19" s="10">
        <f>Z11*payment_proc_pct</f>
        <v/>
      </c>
      <c r="AA19" s="10">
        <f>AA11*payment_proc_pct</f>
        <v/>
      </c>
      <c r="AB19" s="10">
        <f>AB11*payment_proc_pct</f>
        <v/>
      </c>
      <c r="AC19" s="10">
        <f>AC11*payment_proc_pct</f>
        <v/>
      </c>
      <c r="AD19" s="10">
        <f>AD11*payment_proc_pct</f>
        <v/>
      </c>
      <c r="AE19" s="10">
        <f>AE11*payment_proc_pct</f>
        <v/>
      </c>
      <c r="AF19" s="10">
        <f>AF11*payment_proc_pct</f>
        <v/>
      </c>
      <c r="AG19" s="10">
        <f>AG11*payment_proc_pct</f>
        <v/>
      </c>
      <c r="AH19" s="10">
        <f>AH11*payment_proc_pct</f>
        <v/>
      </c>
      <c r="AI19" s="10">
        <f>AI11*payment_proc_pct</f>
        <v/>
      </c>
      <c r="AJ19" s="10">
        <f>AJ11*payment_proc_pct</f>
        <v/>
      </c>
      <c r="AK19" s="10">
        <f>AK11*payment_proc_pct</f>
        <v/>
      </c>
      <c r="AL19" s="10">
        <f>AL11*payment_proc_pct</f>
        <v/>
      </c>
      <c r="AM19" s="10">
        <f>AM11*payment_proc_pct</f>
        <v/>
      </c>
      <c r="AN19" s="10">
        <f>AN11*payment_proc_pct</f>
        <v/>
      </c>
      <c r="AO19" s="10">
        <f>AO11*payment_proc_pct</f>
        <v/>
      </c>
      <c r="AP19" s="10">
        <f>AP11*payment_proc_pct</f>
        <v/>
      </c>
      <c r="AQ19" s="10">
        <f>AQ11*payment_proc_pct</f>
        <v/>
      </c>
      <c r="AR19" s="10">
        <f>AR11*payment_proc_pct</f>
        <v/>
      </c>
    </row>
    <row r="20">
      <c r="A20" s="4" t="inlineStr">
        <is>
          <t>TOTAL COGS</t>
        </is>
      </c>
      <c r="C20" s="9">
        <f>C19</f>
        <v/>
      </c>
      <c r="D20" s="9">
        <f>D19</f>
        <v/>
      </c>
      <c r="E20" s="9">
        <f>E19</f>
        <v/>
      </c>
      <c r="F20" s="9">
        <f>F19</f>
        <v/>
      </c>
      <c r="G20" s="9">
        <f>G19</f>
        <v/>
      </c>
      <c r="H20" s="9">
        <f>H19</f>
        <v/>
      </c>
      <c r="I20" s="9">
        <f>I19</f>
        <v/>
      </c>
      <c r="J20" s="9">
        <f>J19</f>
        <v/>
      </c>
      <c r="K20" s="9">
        <f>K19</f>
        <v/>
      </c>
      <c r="L20" s="9">
        <f>L19</f>
        <v/>
      </c>
      <c r="M20" s="9">
        <f>M19</f>
        <v/>
      </c>
      <c r="N20" s="9">
        <f>N19</f>
        <v/>
      </c>
      <c r="O20" s="9">
        <f>O19</f>
        <v/>
      </c>
      <c r="P20" s="9">
        <f>P19</f>
        <v/>
      </c>
      <c r="Q20" s="9">
        <f>Q19</f>
        <v/>
      </c>
      <c r="R20" s="9">
        <f>R19</f>
        <v/>
      </c>
      <c r="S20" s="9">
        <f>S19</f>
        <v/>
      </c>
      <c r="T20" s="9">
        <f>T19</f>
        <v/>
      </c>
      <c r="U20" s="9">
        <f>U19</f>
        <v/>
      </c>
      <c r="V20" s="9">
        <f>V19</f>
        <v/>
      </c>
      <c r="W20" s="9">
        <f>W19</f>
        <v/>
      </c>
      <c r="X20" s="9">
        <f>X19</f>
        <v/>
      </c>
      <c r="Y20" s="9">
        <f>Y19</f>
        <v/>
      </c>
      <c r="Z20" s="9">
        <f>Z19</f>
        <v/>
      </c>
      <c r="AA20" s="9">
        <f>AA19</f>
        <v/>
      </c>
      <c r="AB20" s="9">
        <f>AB19</f>
        <v/>
      </c>
      <c r="AC20" s="9">
        <f>AC19</f>
        <v/>
      </c>
      <c r="AD20" s="9">
        <f>AD19</f>
        <v/>
      </c>
      <c r="AE20" s="9">
        <f>AE19</f>
        <v/>
      </c>
      <c r="AF20" s="9">
        <f>AF19</f>
        <v/>
      </c>
      <c r="AG20" s="9">
        <f>AG19</f>
        <v/>
      </c>
      <c r="AH20" s="9">
        <f>AH19</f>
        <v/>
      </c>
      <c r="AI20" s="9">
        <f>AI19</f>
        <v/>
      </c>
      <c r="AJ20" s="9">
        <f>AJ19</f>
        <v/>
      </c>
      <c r="AK20" s="9">
        <f>AK19</f>
        <v/>
      </c>
      <c r="AL20" s="9">
        <f>AL19</f>
        <v/>
      </c>
      <c r="AM20" s="9">
        <f>AM19</f>
        <v/>
      </c>
      <c r="AN20" s="9">
        <f>AN19</f>
        <v/>
      </c>
      <c r="AO20" s="9">
        <f>AO19</f>
        <v/>
      </c>
      <c r="AP20" s="9">
        <f>AP19</f>
        <v/>
      </c>
      <c r="AQ20" s="9">
        <f>AQ19</f>
        <v/>
      </c>
      <c r="AR20" s="9">
        <f>AR19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FF6600"/>
    <outlinePr summaryBelow="1" summaryRight="1"/>
    <pageSetUpPr/>
  </sheetPr>
  <dimension ref="A1:AR24"/>
  <sheetViews>
    <sheetView workbookViewId="0">
      <selection activeCell="A1" sqref="A1"/>
    </sheetView>
  </sheetViews>
  <sheetFormatPr baseColWidth="8" defaultRowHeight="14.4"/>
  <cols>
    <col width="38" customWidth="1" style="62" min="1" max="1"/>
    <col width="10" customWidth="1" style="62" min="2" max="2"/>
    <col width="11" customWidth="1" style="62" min="3" max="44"/>
  </cols>
  <sheetData>
    <row r="1">
      <c r="A1" s="29" t="inlineStr">
        <is>
          <t>COST SCHEDULE (M VND)</t>
        </is>
      </c>
    </row>
    <row r="2"/>
    <row r="3">
      <c r="A3" s="3" t="inlineStr">
        <is>
          <t>Item</t>
        </is>
      </c>
      <c r="B3" s="3" t="inlineStr">
        <is>
          <t>Unit</t>
        </is>
      </c>
      <c r="C3" s="3" t="inlineStr">
        <is>
          <t>Jul 2025</t>
        </is>
      </c>
      <c r="D3" s="3" t="inlineStr">
        <is>
          <t>Aug 2025</t>
        </is>
      </c>
      <c r="E3" s="3" t="inlineStr">
        <is>
          <t>Sep 2025</t>
        </is>
      </c>
      <c r="F3" s="3" t="inlineStr">
        <is>
          <t>Oct 2025</t>
        </is>
      </c>
      <c r="G3" s="3" t="inlineStr">
        <is>
          <t>Nov 2025</t>
        </is>
      </c>
      <c r="H3" s="3" t="inlineStr">
        <is>
          <t>Dec 2025</t>
        </is>
      </c>
      <c r="I3" s="3" t="inlineStr">
        <is>
          <t>Jan 2026</t>
        </is>
      </c>
      <c r="J3" s="3" t="inlineStr">
        <is>
          <t>Feb 2026</t>
        </is>
      </c>
      <c r="K3" s="3" t="inlineStr">
        <is>
          <t>Mar 2026</t>
        </is>
      </c>
      <c r="L3" s="3" t="inlineStr">
        <is>
          <t>Apr 2026</t>
        </is>
      </c>
      <c r="M3" s="3" t="inlineStr">
        <is>
          <t>May 2026</t>
        </is>
      </c>
      <c r="N3" s="3" t="inlineStr">
        <is>
          <t>Jun 2026</t>
        </is>
      </c>
      <c r="O3" s="3" t="inlineStr">
        <is>
          <t>Jul 2026</t>
        </is>
      </c>
      <c r="P3" s="3" t="inlineStr">
        <is>
          <t>Aug 2026</t>
        </is>
      </c>
      <c r="Q3" s="3" t="inlineStr">
        <is>
          <t>Sep 2026</t>
        </is>
      </c>
      <c r="R3" s="3" t="inlineStr">
        <is>
          <t>Oct 2026</t>
        </is>
      </c>
      <c r="S3" s="3" t="inlineStr">
        <is>
          <t>Nov 2026</t>
        </is>
      </c>
      <c r="T3" s="3" t="inlineStr">
        <is>
          <t>Dec 2026</t>
        </is>
      </c>
      <c r="U3" s="3" t="inlineStr">
        <is>
          <t>Jan 2027</t>
        </is>
      </c>
      <c r="V3" s="3" t="inlineStr">
        <is>
          <t>Feb 2027</t>
        </is>
      </c>
      <c r="W3" s="3" t="inlineStr">
        <is>
          <t>Mar 2027</t>
        </is>
      </c>
      <c r="X3" s="3" t="inlineStr">
        <is>
          <t>Apr 2027</t>
        </is>
      </c>
      <c r="Y3" s="3" t="inlineStr">
        <is>
          <t>May 2027</t>
        </is>
      </c>
      <c r="Z3" s="3" t="inlineStr">
        <is>
          <t>Jun 2027</t>
        </is>
      </c>
      <c r="AA3" s="3" t="inlineStr">
        <is>
          <t>Jul 2027</t>
        </is>
      </c>
      <c r="AB3" s="3" t="inlineStr">
        <is>
          <t>Aug 2027</t>
        </is>
      </c>
      <c r="AC3" s="3" t="inlineStr">
        <is>
          <t>Sep 2027</t>
        </is>
      </c>
      <c r="AD3" s="3" t="inlineStr">
        <is>
          <t>Oct 2027</t>
        </is>
      </c>
      <c r="AE3" s="3" t="inlineStr">
        <is>
          <t>Nov 2027</t>
        </is>
      </c>
      <c r="AF3" s="3" t="inlineStr">
        <is>
          <t>Dec 2027</t>
        </is>
      </c>
      <c r="AG3" s="3" t="inlineStr">
        <is>
          <t>Q1 2028</t>
        </is>
      </c>
      <c r="AH3" s="3" t="inlineStr">
        <is>
          <t>Q2 2028</t>
        </is>
      </c>
      <c r="AI3" s="3" t="inlineStr">
        <is>
          <t>Q3 2028</t>
        </is>
      </c>
      <c r="AJ3" s="3" t="inlineStr">
        <is>
          <t>Q4 2028</t>
        </is>
      </c>
      <c r="AK3" s="3" t="inlineStr">
        <is>
          <t>Q1 2029</t>
        </is>
      </c>
      <c r="AL3" s="3" t="inlineStr">
        <is>
          <t>Q2 2029</t>
        </is>
      </c>
      <c r="AM3" s="3" t="inlineStr">
        <is>
          <t>Q3 2029</t>
        </is>
      </c>
      <c r="AN3" s="3" t="inlineStr">
        <is>
          <t>Q4 2029</t>
        </is>
      </c>
      <c r="AO3" s="3" t="inlineStr">
        <is>
          <t>Q1 2030</t>
        </is>
      </c>
      <c r="AP3" s="3" t="inlineStr">
        <is>
          <t>Q2 2030</t>
        </is>
      </c>
      <c r="AQ3" s="3" t="inlineStr">
        <is>
          <t>Q3 2030</t>
        </is>
      </c>
      <c r="AR3" s="3" t="inlineStr">
        <is>
          <t>Q4 2030</t>
        </is>
      </c>
    </row>
    <row r="4">
      <c r="A4" s="29" t="inlineStr">
        <is>
          <t>CAPEX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</row>
    <row r="5">
      <c r="A5" s="4" t="inlineStr">
        <is>
          <t xml:space="preserve">  Platform dev</t>
        </is>
      </c>
      <c r="B5" s="4" t="inlineStr">
        <is>
          <t>M VND</t>
        </is>
      </c>
      <c r="C5" s="10">
        <f>capex_total/6</f>
        <v/>
      </c>
      <c r="D5" s="10">
        <f>capex_total/6</f>
        <v/>
      </c>
      <c r="E5" s="10">
        <f>capex_total/6</f>
        <v/>
      </c>
      <c r="F5" s="10">
        <f>capex_total/6</f>
        <v/>
      </c>
      <c r="G5" s="10">
        <f>capex_total/6</f>
        <v/>
      </c>
      <c r="H5" s="10">
        <f>capex_total/6</f>
        <v/>
      </c>
      <c r="I5" s="10">
        <f>0</f>
        <v/>
      </c>
      <c r="J5" s="10">
        <f>0</f>
        <v/>
      </c>
      <c r="K5" s="10">
        <f>0</f>
        <v/>
      </c>
      <c r="L5" s="10">
        <f>0</f>
        <v/>
      </c>
      <c r="M5" s="10">
        <f>0</f>
        <v/>
      </c>
      <c r="N5" s="10">
        <f>0</f>
        <v/>
      </c>
      <c r="O5" s="10">
        <f>0</f>
        <v/>
      </c>
      <c r="P5" s="10">
        <f>0</f>
        <v/>
      </c>
      <c r="Q5" s="10">
        <f>0</f>
        <v/>
      </c>
      <c r="R5" s="10">
        <f>0</f>
        <v/>
      </c>
      <c r="S5" s="10">
        <f>0</f>
        <v/>
      </c>
      <c r="T5" s="10">
        <f>0</f>
        <v/>
      </c>
      <c r="U5" s="10">
        <f>0</f>
        <v/>
      </c>
      <c r="V5" s="10">
        <f>0</f>
        <v/>
      </c>
      <c r="W5" s="10">
        <f>0</f>
        <v/>
      </c>
      <c r="X5" s="10">
        <f>0</f>
        <v/>
      </c>
      <c r="Y5" s="10">
        <f>0</f>
        <v/>
      </c>
      <c r="Z5" s="10">
        <f>0</f>
        <v/>
      </c>
      <c r="AA5" s="10">
        <f>0</f>
        <v/>
      </c>
      <c r="AB5" s="10">
        <f>0</f>
        <v/>
      </c>
      <c r="AC5" s="10">
        <f>0</f>
        <v/>
      </c>
      <c r="AD5" s="10">
        <f>0</f>
        <v/>
      </c>
      <c r="AE5" s="10">
        <f>0</f>
        <v/>
      </c>
      <c r="AF5" s="10">
        <f>0</f>
        <v/>
      </c>
      <c r="AG5" s="10">
        <f>0</f>
        <v/>
      </c>
      <c r="AH5" s="10">
        <f>0</f>
        <v/>
      </c>
      <c r="AI5" s="10">
        <f>0</f>
        <v/>
      </c>
      <c r="AJ5" s="10">
        <f>0</f>
        <v/>
      </c>
      <c r="AK5" s="10">
        <f>0</f>
        <v/>
      </c>
      <c r="AL5" s="10">
        <f>0</f>
        <v/>
      </c>
      <c r="AM5" s="10">
        <f>0</f>
        <v/>
      </c>
      <c r="AN5" s="10">
        <f>0</f>
        <v/>
      </c>
      <c r="AO5" s="10">
        <f>0</f>
        <v/>
      </c>
      <c r="AP5" s="10">
        <f>0</f>
        <v/>
      </c>
      <c r="AQ5" s="10">
        <f>0</f>
        <v/>
      </c>
      <c r="AR5" s="10">
        <f>0</f>
        <v/>
      </c>
    </row>
    <row r="6">
      <c r="A6" s="4" t="inlineStr">
        <is>
          <t xml:space="preserve">  Maintenance</t>
        </is>
      </c>
      <c r="B6" s="4" t="inlineStr">
        <is>
          <t>M VND</t>
        </is>
      </c>
      <c r="C6" s="10">
        <f>0</f>
        <v/>
      </c>
      <c r="D6" s="10">
        <f>0</f>
        <v/>
      </c>
      <c r="E6" s="10">
        <f>0</f>
        <v/>
      </c>
      <c r="F6" s="10">
        <f>0</f>
        <v/>
      </c>
      <c r="G6" s="10">
        <f>0</f>
        <v/>
      </c>
      <c r="H6" s="10">
        <f>0</f>
        <v/>
      </c>
      <c r="I6" s="10">
        <f>capex_total*capex_maintenance_pct/'Market Sizing'!I6</f>
        <v/>
      </c>
      <c r="J6" s="10">
        <f>capex_total*capex_maintenance_pct/'Market Sizing'!J6</f>
        <v/>
      </c>
      <c r="K6" s="10">
        <f>capex_total*capex_maintenance_pct/'Market Sizing'!K6</f>
        <v/>
      </c>
      <c r="L6" s="10">
        <f>capex_total*capex_maintenance_pct/'Market Sizing'!L6</f>
        <v/>
      </c>
      <c r="M6" s="10">
        <f>capex_total*capex_maintenance_pct/'Market Sizing'!M6</f>
        <v/>
      </c>
      <c r="N6" s="10">
        <f>capex_total*capex_maintenance_pct/'Market Sizing'!N6</f>
        <v/>
      </c>
      <c r="O6" s="10">
        <f>capex_total*capex_maintenance_pct/'Market Sizing'!O6</f>
        <v/>
      </c>
      <c r="P6" s="10">
        <f>capex_total*capex_maintenance_pct/'Market Sizing'!P6</f>
        <v/>
      </c>
      <c r="Q6" s="10">
        <f>capex_total*capex_maintenance_pct/'Market Sizing'!Q6</f>
        <v/>
      </c>
      <c r="R6" s="10">
        <f>capex_total*capex_maintenance_pct/'Market Sizing'!R6</f>
        <v/>
      </c>
      <c r="S6" s="10">
        <f>capex_total*capex_maintenance_pct/'Market Sizing'!S6</f>
        <v/>
      </c>
      <c r="T6" s="10">
        <f>capex_total*capex_maintenance_pct/'Market Sizing'!T6</f>
        <v/>
      </c>
      <c r="U6" s="10">
        <f>capex_total*capex_maintenance_pct/'Market Sizing'!U6</f>
        <v/>
      </c>
      <c r="V6" s="10">
        <f>capex_total*capex_maintenance_pct/'Market Sizing'!V6</f>
        <v/>
      </c>
      <c r="W6" s="10">
        <f>capex_total*capex_maintenance_pct/'Market Sizing'!W6</f>
        <v/>
      </c>
      <c r="X6" s="10">
        <f>capex_total*capex_maintenance_pct/'Market Sizing'!X6</f>
        <v/>
      </c>
      <c r="Y6" s="10">
        <f>capex_total*capex_maintenance_pct/'Market Sizing'!Y6</f>
        <v/>
      </c>
      <c r="Z6" s="10">
        <f>capex_total*capex_maintenance_pct/'Market Sizing'!Z6</f>
        <v/>
      </c>
      <c r="AA6" s="10">
        <f>capex_total*capex_maintenance_pct/'Market Sizing'!AA6</f>
        <v/>
      </c>
      <c r="AB6" s="10">
        <f>capex_total*capex_maintenance_pct/'Market Sizing'!AB6</f>
        <v/>
      </c>
      <c r="AC6" s="10">
        <f>capex_total*capex_maintenance_pct/'Market Sizing'!AC6</f>
        <v/>
      </c>
      <c r="AD6" s="10">
        <f>capex_total*capex_maintenance_pct/'Market Sizing'!AD6</f>
        <v/>
      </c>
      <c r="AE6" s="10">
        <f>capex_total*capex_maintenance_pct/'Market Sizing'!AE6</f>
        <v/>
      </c>
      <c r="AF6" s="10">
        <f>capex_total*capex_maintenance_pct/'Market Sizing'!AF6</f>
        <v/>
      </c>
      <c r="AG6" s="10">
        <f>capex_total*capex_maintenance_pct/'Market Sizing'!AG6</f>
        <v/>
      </c>
      <c r="AH6" s="10">
        <f>capex_total*capex_maintenance_pct/'Market Sizing'!AH6</f>
        <v/>
      </c>
      <c r="AI6" s="10">
        <f>capex_total*capex_maintenance_pct/'Market Sizing'!AI6</f>
        <v/>
      </c>
      <c r="AJ6" s="10">
        <f>capex_total*capex_maintenance_pct/'Market Sizing'!AJ6</f>
        <v/>
      </c>
      <c r="AK6" s="10">
        <f>capex_total*capex_maintenance_pct/'Market Sizing'!AK6</f>
        <v/>
      </c>
      <c r="AL6" s="10">
        <f>capex_total*capex_maintenance_pct/'Market Sizing'!AL6</f>
        <v/>
      </c>
      <c r="AM6" s="10">
        <f>capex_total*capex_maintenance_pct/'Market Sizing'!AM6</f>
        <v/>
      </c>
      <c r="AN6" s="10">
        <f>capex_total*capex_maintenance_pct/'Market Sizing'!AN6</f>
        <v/>
      </c>
      <c r="AO6" s="10">
        <f>capex_total*capex_maintenance_pct/'Market Sizing'!AO6</f>
        <v/>
      </c>
      <c r="AP6" s="10">
        <f>capex_total*capex_maintenance_pct/'Market Sizing'!AP6</f>
        <v/>
      </c>
      <c r="AQ6" s="10">
        <f>capex_total*capex_maintenance_pct/'Market Sizing'!AQ6</f>
        <v/>
      </c>
      <c r="AR6" s="10">
        <f>capex_total*capex_maintenance_pct/'Market Sizing'!AR6</f>
        <v/>
      </c>
    </row>
    <row r="7">
      <c r="A7" s="4" t="inlineStr">
        <is>
          <t>TOTAL CAPEX</t>
        </is>
      </c>
      <c r="C7" s="9">
        <f>C5+C6</f>
        <v/>
      </c>
      <c r="D7" s="9">
        <f>D5+D6</f>
        <v/>
      </c>
      <c r="E7" s="9">
        <f>E5+E6</f>
        <v/>
      </c>
      <c r="F7" s="9">
        <f>F5+F6</f>
        <v/>
      </c>
      <c r="G7" s="9">
        <f>G5+G6</f>
        <v/>
      </c>
      <c r="H7" s="9">
        <f>H5+H6</f>
        <v/>
      </c>
      <c r="I7" s="9">
        <f>I5+I6</f>
        <v/>
      </c>
      <c r="J7" s="9">
        <f>J5+J6</f>
        <v/>
      </c>
      <c r="K7" s="9">
        <f>K5+K6</f>
        <v/>
      </c>
      <c r="L7" s="9">
        <f>L5+L6</f>
        <v/>
      </c>
      <c r="M7" s="9">
        <f>M5+M6</f>
        <v/>
      </c>
      <c r="N7" s="9">
        <f>N5+N6</f>
        <v/>
      </c>
      <c r="O7" s="9">
        <f>O5+O6</f>
        <v/>
      </c>
      <c r="P7" s="9">
        <f>P5+P6</f>
        <v/>
      </c>
      <c r="Q7" s="9">
        <f>Q5+Q6</f>
        <v/>
      </c>
      <c r="R7" s="9">
        <f>R5+R6</f>
        <v/>
      </c>
      <c r="S7" s="9">
        <f>S5+S6</f>
        <v/>
      </c>
      <c r="T7" s="9">
        <f>T5+T6</f>
        <v/>
      </c>
      <c r="U7" s="9">
        <f>U5+U6</f>
        <v/>
      </c>
      <c r="V7" s="9">
        <f>V5+V6</f>
        <v/>
      </c>
      <c r="W7" s="9">
        <f>W5+W6</f>
        <v/>
      </c>
      <c r="X7" s="9">
        <f>X5+X6</f>
        <v/>
      </c>
      <c r="Y7" s="9">
        <f>Y5+Y6</f>
        <v/>
      </c>
      <c r="Z7" s="9">
        <f>Z5+Z6</f>
        <v/>
      </c>
      <c r="AA7" s="9">
        <f>AA5+AA6</f>
        <v/>
      </c>
      <c r="AB7" s="9">
        <f>AB5+AB6</f>
        <v/>
      </c>
      <c r="AC7" s="9">
        <f>AC5+AC6</f>
        <v/>
      </c>
      <c r="AD7" s="9">
        <f>AD5+AD6</f>
        <v/>
      </c>
      <c r="AE7" s="9">
        <f>AE5+AE6</f>
        <v/>
      </c>
      <c r="AF7" s="9">
        <f>AF5+AF6</f>
        <v/>
      </c>
      <c r="AG7" s="9">
        <f>AG5+AG6</f>
        <v/>
      </c>
      <c r="AH7" s="9">
        <f>AH5+AH6</f>
        <v/>
      </c>
      <c r="AI7" s="9">
        <f>AI5+AI6</f>
        <v/>
      </c>
      <c r="AJ7" s="9">
        <f>AJ5+AJ6</f>
        <v/>
      </c>
      <c r="AK7" s="9">
        <f>AK5+AK6</f>
        <v/>
      </c>
      <c r="AL7" s="9">
        <f>AL5+AL6</f>
        <v/>
      </c>
      <c r="AM7" s="9">
        <f>AM5+AM6</f>
        <v/>
      </c>
      <c r="AN7" s="9">
        <f>AN5+AN6</f>
        <v/>
      </c>
      <c r="AO7" s="9">
        <f>AO5+AO6</f>
        <v/>
      </c>
      <c r="AP7" s="9">
        <f>AP5+AP6</f>
        <v/>
      </c>
      <c r="AQ7" s="9">
        <f>AQ5+AQ6</f>
        <v/>
      </c>
      <c r="AR7" s="9">
        <f>AR5+AR6</f>
        <v/>
      </c>
    </row>
    <row r="8"/>
    <row r="9">
      <c r="A9" s="29" t="inlineStr">
        <is>
          <t>OPEX</t>
        </is>
      </c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</row>
    <row r="10">
      <c r="A10" s="4" t="inlineStr">
        <is>
          <t xml:space="preserve">  HR (from HR Plan)</t>
        </is>
      </c>
      <c r="B10" s="4" t="inlineStr">
        <is>
          <t>M VND</t>
        </is>
      </c>
      <c r="C10" s="10">
        <f>'HR Plan'!C21</f>
        <v/>
      </c>
      <c r="D10" s="10">
        <f>'HR Plan'!D21</f>
        <v/>
      </c>
      <c r="E10" s="10">
        <f>'HR Plan'!E21</f>
        <v/>
      </c>
      <c r="F10" s="10">
        <f>'HR Plan'!F21</f>
        <v/>
      </c>
      <c r="G10" s="10">
        <f>'HR Plan'!G21</f>
        <v/>
      </c>
      <c r="H10" s="10">
        <f>'HR Plan'!H21</f>
        <v/>
      </c>
      <c r="I10" s="10">
        <f>'HR Plan'!I21</f>
        <v/>
      </c>
      <c r="J10" s="10">
        <f>'HR Plan'!J21</f>
        <v/>
      </c>
      <c r="K10" s="10">
        <f>'HR Plan'!K21</f>
        <v/>
      </c>
      <c r="L10" s="10">
        <f>'HR Plan'!L21</f>
        <v/>
      </c>
      <c r="M10" s="10">
        <f>'HR Plan'!M21</f>
        <v/>
      </c>
      <c r="N10" s="10">
        <f>'HR Plan'!N21</f>
        <v/>
      </c>
      <c r="O10" s="10">
        <f>'HR Plan'!O21</f>
        <v/>
      </c>
      <c r="P10" s="10">
        <f>'HR Plan'!P21</f>
        <v/>
      </c>
      <c r="Q10" s="10">
        <f>'HR Plan'!Q21</f>
        <v/>
      </c>
      <c r="R10" s="10">
        <f>'HR Plan'!R21</f>
        <v/>
      </c>
      <c r="S10" s="10">
        <f>'HR Plan'!S21</f>
        <v/>
      </c>
      <c r="T10" s="10">
        <f>'HR Plan'!T21</f>
        <v/>
      </c>
      <c r="U10" s="10">
        <f>'HR Plan'!U21</f>
        <v/>
      </c>
      <c r="V10" s="10">
        <f>'HR Plan'!V21</f>
        <v/>
      </c>
      <c r="W10" s="10">
        <f>'HR Plan'!W21</f>
        <v/>
      </c>
      <c r="X10" s="10">
        <f>'HR Plan'!X21</f>
        <v/>
      </c>
      <c r="Y10" s="10">
        <f>'HR Plan'!Y21</f>
        <v/>
      </c>
      <c r="Z10" s="10">
        <f>'HR Plan'!Z21</f>
        <v/>
      </c>
      <c r="AA10" s="10">
        <f>'HR Plan'!AA21</f>
        <v/>
      </c>
      <c r="AB10" s="10">
        <f>'HR Plan'!AB21</f>
        <v/>
      </c>
      <c r="AC10" s="10">
        <f>'HR Plan'!AC21</f>
        <v/>
      </c>
      <c r="AD10" s="10">
        <f>'HR Plan'!AD21</f>
        <v/>
      </c>
      <c r="AE10" s="10">
        <f>'HR Plan'!AE21</f>
        <v/>
      </c>
      <c r="AF10" s="10">
        <f>'HR Plan'!AF21</f>
        <v/>
      </c>
      <c r="AG10" s="10">
        <f>'HR Plan'!AG21</f>
        <v/>
      </c>
      <c r="AH10" s="10">
        <f>'HR Plan'!AH21</f>
        <v/>
      </c>
      <c r="AI10" s="10">
        <f>'HR Plan'!AI21</f>
        <v/>
      </c>
      <c r="AJ10" s="10">
        <f>'HR Plan'!AJ21</f>
        <v/>
      </c>
      <c r="AK10" s="10">
        <f>'HR Plan'!AK21</f>
        <v/>
      </c>
      <c r="AL10" s="10">
        <f>'HR Plan'!AL21</f>
        <v/>
      </c>
      <c r="AM10" s="10">
        <f>'HR Plan'!AM21</f>
        <v/>
      </c>
      <c r="AN10" s="10">
        <f>'HR Plan'!AN21</f>
        <v/>
      </c>
      <c r="AO10" s="10">
        <f>'HR Plan'!AO21</f>
        <v/>
      </c>
      <c r="AP10" s="10">
        <f>'HR Plan'!AP21</f>
        <v/>
      </c>
      <c r="AQ10" s="10">
        <f>'HR Plan'!AQ21</f>
        <v/>
      </c>
      <c r="AR10" s="10">
        <f>'HR Plan'!AR21</f>
        <v/>
      </c>
    </row>
    <row r="11">
      <c r="A11" s="4" t="inlineStr">
        <is>
          <t xml:space="preserve">  Marketing</t>
        </is>
      </c>
      <c r="B11" s="4" t="inlineStr">
        <is>
          <t>M VND</t>
        </is>
      </c>
      <c r="C11" s="40">
        <f>opex_marketing*(1+marketing_growth)^'Market Sizing'!C5/'Market Sizing'!C6*MAX(0.5,1-'Market Sizing'!C15*mkt_efficiency_per_100/100)</f>
        <v/>
      </c>
      <c r="D11" s="40">
        <f>opex_marketing*(1+marketing_growth)^'Market Sizing'!D5/'Market Sizing'!D6*MAX(0.5,1-'Market Sizing'!D15*mkt_efficiency_per_100/100)</f>
        <v/>
      </c>
      <c r="E11" s="40">
        <f>opex_marketing*(1+marketing_growth)^'Market Sizing'!E5/'Market Sizing'!E6*MAX(0.5,1-'Market Sizing'!E15*mkt_efficiency_per_100/100)</f>
        <v/>
      </c>
      <c r="F11" s="40">
        <f>opex_marketing*(1+marketing_growth)^'Market Sizing'!F5/'Market Sizing'!F6*MAX(0.5,1-'Market Sizing'!F15*mkt_efficiency_per_100/100)</f>
        <v/>
      </c>
      <c r="G11" s="40">
        <f>opex_marketing*(1+marketing_growth)^'Market Sizing'!G5/'Market Sizing'!G6*MAX(0.5,1-'Market Sizing'!G15*mkt_efficiency_per_100/100)</f>
        <v/>
      </c>
      <c r="H11" s="40">
        <f>opex_marketing*(1+marketing_growth)^'Market Sizing'!H5/'Market Sizing'!H6*MAX(0.5,1-'Market Sizing'!H15*mkt_efficiency_per_100/100)</f>
        <v/>
      </c>
      <c r="I11" s="40">
        <f>opex_marketing*(1+marketing_growth)^'Market Sizing'!I5/'Market Sizing'!I6*MAX(0.5,1-'Market Sizing'!I15*mkt_efficiency_per_100/100)</f>
        <v/>
      </c>
      <c r="J11" s="40">
        <f>opex_marketing*(1+marketing_growth)^'Market Sizing'!J5/'Market Sizing'!J6*MAX(0.5,1-'Market Sizing'!J15*mkt_efficiency_per_100/100)</f>
        <v/>
      </c>
      <c r="K11" s="40">
        <f>opex_marketing*(1+marketing_growth)^'Market Sizing'!K5/'Market Sizing'!K6*MAX(0.5,1-'Market Sizing'!K15*mkt_efficiency_per_100/100)</f>
        <v/>
      </c>
      <c r="L11" s="40">
        <f>opex_marketing*(1+marketing_growth)^'Market Sizing'!L5/'Market Sizing'!L6*MAX(0.5,1-'Market Sizing'!L15*mkt_efficiency_per_100/100)</f>
        <v/>
      </c>
      <c r="M11" s="40">
        <f>opex_marketing*(1+marketing_growth)^'Market Sizing'!M5/'Market Sizing'!M6*MAX(0.5,1-'Market Sizing'!M15*mkt_efficiency_per_100/100)</f>
        <v/>
      </c>
      <c r="N11" s="40">
        <f>opex_marketing*(1+marketing_growth)^'Market Sizing'!N5/'Market Sizing'!N6*MAX(0.5,1-'Market Sizing'!N15*mkt_efficiency_per_100/100)</f>
        <v/>
      </c>
      <c r="O11" s="40">
        <f>opex_marketing*(1+marketing_growth)^'Market Sizing'!O5/'Market Sizing'!O6*MAX(0.5,1-'Market Sizing'!O15*mkt_efficiency_per_100/100)</f>
        <v/>
      </c>
      <c r="P11" s="40">
        <f>opex_marketing*(1+marketing_growth)^'Market Sizing'!P5/'Market Sizing'!P6*MAX(0.5,1-'Market Sizing'!P15*mkt_efficiency_per_100/100)</f>
        <v/>
      </c>
      <c r="Q11" s="40">
        <f>opex_marketing*(1+marketing_growth)^'Market Sizing'!Q5/'Market Sizing'!Q6*MAX(0.5,1-'Market Sizing'!Q15*mkt_efficiency_per_100/100)</f>
        <v/>
      </c>
      <c r="R11" s="40">
        <f>opex_marketing*(1+marketing_growth)^'Market Sizing'!R5/'Market Sizing'!R6*MAX(0.5,1-'Market Sizing'!R15*mkt_efficiency_per_100/100)</f>
        <v/>
      </c>
      <c r="S11" s="40">
        <f>opex_marketing*(1+marketing_growth)^'Market Sizing'!S5/'Market Sizing'!S6*MAX(0.5,1-'Market Sizing'!S15*mkt_efficiency_per_100/100)</f>
        <v/>
      </c>
      <c r="T11" s="40">
        <f>opex_marketing*(1+marketing_growth)^'Market Sizing'!T5/'Market Sizing'!T6*MAX(0.5,1-'Market Sizing'!T15*mkt_efficiency_per_100/100)</f>
        <v/>
      </c>
      <c r="U11" s="40">
        <f>opex_marketing*(1+marketing_growth)^'Market Sizing'!U5/'Market Sizing'!U6*MAX(0.5,1-'Market Sizing'!U15*mkt_efficiency_per_100/100)</f>
        <v/>
      </c>
      <c r="V11" s="40">
        <f>opex_marketing*(1+marketing_growth)^'Market Sizing'!V5/'Market Sizing'!V6*MAX(0.5,1-'Market Sizing'!V15*mkt_efficiency_per_100/100)</f>
        <v/>
      </c>
      <c r="W11" s="40">
        <f>opex_marketing*(1+marketing_growth)^'Market Sizing'!W5/'Market Sizing'!W6*MAX(0.5,1-'Market Sizing'!W15*mkt_efficiency_per_100/100)</f>
        <v/>
      </c>
      <c r="X11" s="40">
        <f>opex_marketing*(1+marketing_growth)^'Market Sizing'!X5/'Market Sizing'!X6*MAX(0.5,1-'Market Sizing'!X15*mkt_efficiency_per_100/100)</f>
        <v/>
      </c>
      <c r="Y11" s="40">
        <f>opex_marketing*(1+marketing_growth)^'Market Sizing'!Y5/'Market Sizing'!Y6*MAX(0.5,1-'Market Sizing'!Y15*mkt_efficiency_per_100/100)</f>
        <v/>
      </c>
      <c r="Z11" s="40">
        <f>opex_marketing*(1+marketing_growth)^'Market Sizing'!Z5/'Market Sizing'!Z6*MAX(0.5,1-'Market Sizing'!Z15*mkt_efficiency_per_100/100)</f>
        <v/>
      </c>
      <c r="AA11" s="40">
        <f>opex_marketing*(1+marketing_growth)^'Market Sizing'!AA5/'Market Sizing'!AA6*MAX(0.5,1-'Market Sizing'!AA15*mkt_efficiency_per_100/100)</f>
        <v/>
      </c>
      <c r="AB11" s="40">
        <f>opex_marketing*(1+marketing_growth)^'Market Sizing'!AB5/'Market Sizing'!AB6*MAX(0.5,1-'Market Sizing'!AB15*mkt_efficiency_per_100/100)</f>
        <v/>
      </c>
      <c r="AC11" s="40">
        <f>opex_marketing*(1+marketing_growth)^'Market Sizing'!AC5/'Market Sizing'!AC6*MAX(0.5,1-'Market Sizing'!AC15*mkt_efficiency_per_100/100)</f>
        <v/>
      </c>
      <c r="AD11" s="40">
        <f>opex_marketing*(1+marketing_growth)^'Market Sizing'!AD5/'Market Sizing'!AD6*MAX(0.5,1-'Market Sizing'!AD15*mkt_efficiency_per_100/100)</f>
        <v/>
      </c>
      <c r="AE11" s="40">
        <f>opex_marketing*(1+marketing_growth)^'Market Sizing'!AE5/'Market Sizing'!AE6*MAX(0.5,1-'Market Sizing'!AE15*mkt_efficiency_per_100/100)</f>
        <v/>
      </c>
      <c r="AF11" s="40">
        <f>opex_marketing*(1+marketing_growth)^'Market Sizing'!AF5/'Market Sizing'!AF6*MAX(0.5,1-'Market Sizing'!AF15*mkt_efficiency_per_100/100)</f>
        <v/>
      </c>
      <c r="AG11" s="40">
        <f>opex_marketing*(1+marketing_growth)^'Market Sizing'!AG5/'Market Sizing'!AG6*MAX(0.5,1-'Market Sizing'!AG15*mkt_efficiency_per_100/100)</f>
        <v/>
      </c>
      <c r="AH11" s="40">
        <f>opex_marketing*(1+marketing_growth)^'Market Sizing'!AH5/'Market Sizing'!AH6*MAX(0.5,1-'Market Sizing'!AH15*mkt_efficiency_per_100/100)</f>
        <v/>
      </c>
      <c r="AI11" s="40">
        <f>opex_marketing*(1+marketing_growth)^'Market Sizing'!AI5/'Market Sizing'!AI6*MAX(0.5,1-'Market Sizing'!AI15*mkt_efficiency_per_100/100)</f>
        <v/>
      </c>
      <c r="AJ11" s="40">
        <f>opex_marketing*(1+marketing_growth)^'Market Sizing'!AJ5/'Market Sizing'!AJ6*MAX(0.5,1-'Market Sizing'!AJ15*mkt_efficiency_per_100/100)</f>
        <v/>
      </c>
      <c r="AK11" s="40">
        <f>opex_marketing*(1+marketing_growth)^'Market Sizing'!AK5/'Market Sizing'!AK6*MAX(0.5,1-'Market Sizing'!AK15*mkt_efficiency_per_100/100)</f>
        <v/>
      </c>
      <c r="AL11" s="40">
        <f>opex_marketing*(1+marketing_growth)^'Market Sizing'!AL5/'Market Sizing'!AL6*MAX(0.5,1-'Market Sizing'!AL15*mkt_efficiency_per_100/100)</f>
        <v/>
      </c>
      <c r="AM11" s="40">
        <f>opex_marketing*(1+marketing_growth)^'Market Sizing'!AM5/'Market Sizing'!AM6*MAX(0.5,1-'Market Sizing'!AM15*mkt_efficiency_per_100/100)</f>
        <v/>
      </c>
      <c r="AN11" s="40">
        <f>opex_marketing*(1+marketing_growth)^'Market Sizing'!AN5/'Market Sizing'!AN6*MAX(0.5,1-'Market Sizing'!AN15*mkt_efficiency_per_100/100)</f>
        <v/>
      </c>
      <c r="AO11" s="40">
        <f>opex_marketing*(1+marketing_growth)^'Market Sizing'!AO5/'Market Sizing'!AO6*MAX(0.5,1-'Market Sizing'!AO15*mkt_efficiency_per_100/100)</f>
        <v/>
      </c>
      <c r="AP11" s="40">
        <f>opex_marketing*(1+marketing_growth)^'Market Sizing'!AP5/'Market Sizing'!AP6*MAX(0.5,1-'Market Sizing'!AP15*mkt_efficiency_per_100/100)</f>
        <v/>
      </c>
      <c r="AQ11" s="40">
        <f>opex_marketing*(1+marketing_growth)^'Market Sizing'!AQ5/'Market Sizing'!AQ6*MAX(0.5,1-'Market Sizing'!AQ15*mkt_efficiency_per_100/100)</f>
        <v/>
      </c>
      <c r="AR11" s="40">
        <f>opex_marketing*(1+marketing_growth)^'Market Sizing'!AR5/'Market Sizing'!AR6*MAX(0.5,1-'Market Sizing'!AR15*mkt_efficiency_per_100/100)</f>
        <v/>
      </c>
    </row>
    <row r="12">
      <c r="A12" s="4" t="inlineStr">
        <is>
          <t xml:space="preserve">  Branding &amp; events</t>
        </is>
      </c>
      <c r="B12" s="4" t="inlineStr">
        <is>
          <t>M VND</t>
        </is>
      </c>
      <c r="C12" s="10">
        <f>opex_branding/'Market Sizing'!C6</f>
        <v/>
      </c>
      <c r="D12" s="10">
        <f>opex_branding/'Market Sizing'!D6</f>
        <v/>
      </c>
      <c r="E12" s="10">
        <f>opex_branding/'Market Sizing'!E6</f>
        <v/>
      </c>
      <c r="F12" s="10">
        <f>opex_branding/'Market Sizing'!F6</f>
        <v/>
      </c>
      <c r="G12" s="10">
        <f>opex_branding/'Market Sizing'!G6</f>
        <v/>
      </c>
      <c r="H12" s="10">
        <f>opex_branding/'Market Sizing'!H6</f>
        <v/>
      </c>
      <c r="I12" s="10">
        <f>opex_branding/'Market Sizing'!I6</f>
        <v/>
      </c>
      <c r="J12" s="10">
        <f>opex_branding/'Market Sizing'!J6</f>
        <v/>
      </c>
      <c r="K12" s="10">
        <f>opex_branding/'Market Sizing'!K6</f>
        <v/>
      </c>
      <c r="L12" s="10">
        <f>opex_branding/'Market Sizing'!L6</f>
        <v/>
      </c>
      <c r="M12" s="10">
        <f>opex_branding/'Market Sizing'!M6</f>
        <v/>
      </c>
      <c r="N12" s="10">
        <f>opex_branding/'Market Sizing'!N6</f>
        <v/>
      </c>
      <c r="O12" s="10">
        <f>opex_branding/'Market Sizing'!O6</f>
        <v/>
      </c>
      <c r="P12" s="10">
        <f>opex_branding/'Market Sizing'!P6</f>
        <v/>
      </c>
      <c r="Q12" s="10">
        <f>opex_branding/'Market Sizing'!Q6</f>
        <v/>
      </c>
      <c r="R12" s="10">
        <f>opex_branding/'Market Sizing'!R6</f>
        <v/>
      </c>
      <c r="S12" s="10">
        <f>opex_branding/'Market Sizing'!S6</f>
        <v/>
      </c>
      <c r="T12" s="10">
        <f>opex_branding/'Market Sizing'!T6</f>
        <v/>
      </c>
      <c r="U12" s="10">
        <f>opex_branding/'Market Sizing'!U6</f>
        <v/>
      </c>
      <c r="V12" s="10">
        <f>opex_branding/'Market Sizing'!V6</f>
        <v/>
      </c>
      <c r="W12" s="10">
        <f>opex_branding/'Market Sizing'!W6</f>
        <v/>
      </c>
      <c r="X12" s="10">
        <f>opex_branding/'Market Sizing'!X6</f>
        <v/>
      </c>
      <c r="Y12" s="10">
        <f>opex_branding/'Market Sizing'!Y6</f>
        <v/>
      </c>
      <c r="Z12" s="10">
        <f>opex_branding/'Market Sizing'!Z6</f>
        <v/>
      </c>
      <c r="AA12" s="10">
        <f>opex_branding/'Market Sizing'!AA6</f>
        <v/>
      </c>
      <c r="AB12" s="10">
        <f>opex_branding/'Market Sizing'!AB6</f>
        <v/>
      </c>
      <c r="AC12" s="10">
        <f>opex_branding/'Market Sizing'!AC6</f>
        <v/>
      </c>
      <c r="AD12" s="10">
        <f>opex_branding/'Market Sizing'!AD6</f>
        <v/>
      </c>
      <c r="AE12" s="10">
        <f>opex_branding/'Market Sizing'!AE6</f>
        <v/>
      </c>
      <c r="AF12" s="10">
        <f>opex_branding/'Market Sizing'!AF6</f>
        <v/>
      </c>
      <c r="AG12" s="10">
        <f>opex_branding/'Market Sizing'!AG6</f>
        <v/>
      </c>
      <c r="AH12" s="10">
        <f>opex_branding/'Market Sizing'!AH6</f>
        <v/>
      </c>
      <c r="AI12" s="10">
        <f>opex_branding/'Market Sizing'!AI6</f>
        <v/>
      </c>
      <c r="AJ12" s="10">
        <f>opex_branding/'Market Sizing'!AJ6</f>
        <v/>
      </c>
      <c r="AK12" s="10">
        <f>opex_branding/'Market Sizing'!AK6</f>
        <v/>
      </c>
      <c r="AL12" s="10">
        <f>opex_branding/'Market Sizing'!AL6</f>
        <v/>
      </c>
      <c r="AM12" s="10">
        <f>opex_branding/'Market Sizing'!AM6</f>
        <v/>
      </c>
      <c r="AN12" s="10">
        <f>opex_branding/'Market Sizing'!AN6</f>
        <v/>
      </c>
      <c r="AO12" s="10">
        <f>opex_branding/'Market Sizing'!AO6</f>
        <v/>
      </c>
      <c r="AP12" s="10">
        <f>opex_branding/'Market Sizing'!AP6</f>
        <v/>
      </c>
      <c r="AQ12" s="10">
        <f>opex_branding/'Market Sizing'!AQ6</f>
        <v/>
      </c>
      <c r="AR12" s="10">
        <f>opex_branding/'Market Sizing'!AR6</f>
        <v/>
      </c>
    </row>
    <row r="13">
      <c r="A13" s="4" t="inlineStr">
        <is>
          <t xml:space="preserve">  Cloud &amp; infra</t>
        </is>
      </c>
      <c r="B13" s="4" t="inlineStr">
        <is>
          <t>M VND</t>
        </is>
      </c>
      <c r="C13" s="40">
        <f>opex_cloud_base/'Market Sizing'!C6+'Market Sizing'!C17*cloud_per_1M_vcr*('Market Sizing'!C15/100)^(cloud_elasticity-1)+'Market Sizing'!C10*platform_market_share*cloud_gmv_factor</f>
        <v/>
      </c>
      <c r="D13" s="40">
        <f>opex_cloud_base/'Market Sizing'!D6+'Market Sizing'!D17*cloud_per_1M_vcr*('Market Sizing'!D15/100)^(cloud_elasticity-1)+'Market Sizing'!D10*platform_market_share*cloud_gmv_factor</f>
        <v/>
      </c>
      <c r="E13" s="40">
        <f>opex_cloud_base/'Market Sizing'!E6+'Market Sizing'!E17*cloud_per_1M_vcr*('Market Sizing'!E15/100)^(cloud_elasticity-1)+'Market Sizing'!E10*platform_market_share*cloud_gmv_factor</f>
        <v/>
      </c>
      <c r="F13" s="40">
        <f>opex_cloud_base/'Market Sizing'!F6+'Market Sizing'!F17*cloud_per_1M_vcr*('Market Sizing'!F15/100)^(cloud_elasticity-1)+'Market Sizing'!F10*platform_market_share*cloud_gmv_factor</f>
        <v/>
      </c>
      <c r="G13" s="40">
        <f>opex_cloud_base/'Market Sizing'!G6+'Market Sizing'!G17*cloud_per_1M_vcr*('Market Sizing'!G15/100)^(cloud_elasticity-1)+'Market Sizing'!G10*platform_market_share*cloud_gmv_factor</f>
        <v/>
      </c>
      <c r="H13" s="40">
        <f>opex_cloud_base/'Market Sizing'!H6+'Market Sizing'!H17*cloud_per_1M_vcr*('Market Sizing'!H15/100)^(cloud_elasticity-1)+'Market Sizing'!H10*platform_market_share*cloud_gmv_factor</f>
        <v/>
      </c>
      <c r="I13" s="40">
        <f>opex_cloud_base/'Market Sizing'!I6+'Market Sizing'!I17*cloud_per_1M_vcr*('Market Sizing'!I15/100)^(cloud_elasticity-1)+'Market Sizing'!I10*platform_market_share*cloud_gmv_factor</f>
        <v/>
      </c>
      <c r="J13" s="40">
        <f>opex_cloud_base/'Market Sizing'!J6+'Market Sizing'!J17*cloud_per_1M_vcr*('Market Sizing'!J15/100)^(cloud_elasticity-1)+'Market Sizing'!J10*platform_market_share*cloud_gmv_factor</f>
        <v/>
      </c>
      <c r="K13" s="40">
        <f>opex_cloud_base/'Market Sizing'!K6+'Market Sizing'!K17*cloud_per_1M_vcr*('Market Sizing'!K15/100)^(cloud_elasticity-1)+'Market Sizing'!K10*platform_market_share*cloud_gmv_factor</f>
        <v/>
      </c>
      <c r="L13" s="40">
        <f>opex_cloud_base/'Market Sizing'!L6+'Market Sizing'!L17*cloud_per_1M_vcr*('Market Sizing'!L15/100)^(cloud_elasticity-1)+'Market Sizing'!L10*platform_market_share*cloud_gmv_factor</f>
        <v/>
      </c>
      <c r="M13" s="40">
        <f>opex_cloud_base/'Market Sizing'!M6+'Market Sizing'!M17*cloud_per_1M_vcr*('Market Sizing'!M15/100)^(cloud_elasticity-1)+'Market Sizing'!M10*platform_market_share*cloud_gmv_factor</f>
        <v/>
      </c>
      <c r="N13" s="40">
        <f>opex_cloud_base/'Market Sizing'!N6+'Market Sizing'!N17*cloud_per_1M_vcr*('Market Sizing'!N15/100)^(cloud_elasticity-1)+'Market Sizing'!N10*platform_market_share*cloud_gmv_factor</f>
        <v/>
      </c>
      <c r="O13" s="40">
        <f>opex_cloud_base/'Market Sizing'!O6+'Market Sizing'!O17*cloud_per_1M_vcr*('Market Sizing'!O15/100)^(cloud_elasticity-1)+'Market Sizing'!O10*platform_market_share*cloud_gmv_factor</f>
        <v/>
      </c>
      <c r="P13" s="40">
        <f>opex_cloud_base/'Market Sizing'!P6+'Market Sizing'!P17*cloud_per_1M_vcr*('Market Sizing'!P15/100)^(cloud_elasticity-1)+'Market Sizing'!P10*platform_market_share*cloud_gmv_factor</f>
        <v/>
      </c>
      <c r="Q13" s="40">
        <f>opex_cloud_base/'Market Sizing'!Q6+'Market Sizing'!Q17*cloud_per_1M_vcr*('Market Sizing'!Q15/100)^(cloud_elasticity-1)+'Market Sizing'!Q10*platform_market_share*cloud_gmv_factor</f>
        <v/>
      </c>
      <c r="R13" s="40">
        <f>opex_cloud_base/'Market Sizing'!R6+'Market Sizing'!R17*cloud_per_1M_vcr*('Market Sizing'!R15/100)^(cloud_elasticity-1)+'Market Sizing'!R10*platform_market_share*cloud_gmv_factor</f>
        <v/>
      </c>
      <c r="S13" s="40">
        <f>opex_cloud_base/'Market Sizing'!S6+'Market Sizing'!S17*cloud_per_1M_vcr*('Market Sizing'!S15/100)^(cloud_elasticity-1)+'Market Sizing'!S10*platform_market_share*cloud_gmv_factor</f>
        <v/>
      </c>
      <c r="T13" s="40">
        <f>opex_cloud_base/'Market Sizing'!T6+'Market Sizing'!T17*cloud_per_1M_vcr*('Market Sizing'!T15/100)^(cloud_elasticity-1)+'Market Sizing'!T10*platform_market_share*cloud_gmv_factor</f>
        <v/>
      </c>
      <c r="U13" s="40">
        <f>opex_cloud_base/'Market Sizing'!U6+'Market Sizing'!U17*cloud_per_1M_vcr*('Market Sizing'!U15/100)^(cloud_elasticity-1)+'Market Sizing'!U10*platform_market_share*cloud_gmv_factor</f>
        <v/>
      </c>
      <c r="V13" s="40">
        <f>opex_cloud_base/'Market Sizing'!V6+'Market Sizing'!V17*cloud_per_1M_vcr*('Market Sizing'!V15/100)^(cloud_elasticity-1)+'Market Sizing'!V10*platform_market_share*cloud_gmv_factor</f>
        <v/>
      </c>
      <c r="W13" s="40">
        <f>opex_cloud_base/'Market Sizing'!W6+'Market Sizing'!W17*cloud_per_1M_vcr*('Market Sizing'!W15/100)^(cloud_elasticity-1)+'Market Sizing'!W10*platform_market_share*cloud_gmv_factor</f>
        <v/>
      </c>
      <c r="X13" s="40">
        <f>opex_cloud_base/'Market Sizing'!X6+'Market Sizing'!X17*cloud_per_1M_vcr*('Market Sizing'!X15/100)^(cloud_elasticity-1)+'Market Sizing'!X10*platform_market_share*cloud_gmv_factor</f>
        <v/>
      </c>
      <c r="Y13" s="40">
        <f>opex_cloud_base/'Market Sizing'!Y6+'Market Sizing'!Y17*cloud_per_1M_vcr*('Market Sizing'!Y15/100)^(cloud_elasticity-1)+'Market Sizing'!Y10*platform_market_share*cloud_gmv_factor</f>
        <v/>
      </c>
      <c r="Z13" s="40">
        <f>opex_cloud_base/'Market Sizing'!Z6+'Market Sizing'!Z17*cloud_per_1M_vcr*('Market Sizing'!Z15/100)^(cloud_elasticity-1)+'Market Sizing'!Z10*platform_market_share*cloud_gmv_factor</f>
        <v/>
      </c>
      <c r="AA13" s="40">
        <f>opex_cloud_base/'Market Sizing'!AA6+'Market Sizing'!AA17*cloud_per_1M_vcr*('Market Sizing'!AA15/100)^(cloud_elasticity-1)+'Market Sizing'!AA10*platform_market_share*cloud_gmv_factor</f>
        <v/>
      </c>
      <c r="AB13" s="40">
        <f>opex_cloud_base/'Market Sizing'!AB6+'Market Sizing'!AB17*cloud_per_1M_vcr*('Market Sizing'!AB15/100)^(cloud_elasticity-1)+'Market Sizing'!AB10*platform_market_share*cloud_gmv_factor</f>
        <v/>
      </c>
      <c r="AC13" s="40">
        <f>opex_cloud_base/'Market Sizing'!AC6+'Market Sizing'!AC17*cloud_per_1M_vcr*('Market Sizing'!AC15/100)^(cloud_elasticity-1)+'Market Sizing'!AC10*platform_market_share*cloud_gmv_factor</f>
        <v/>
      </c>
      <c r="AD13" s="40">
        <f>opex_cloud_base/'Market Sizing'!AD6+'Market Sizing'!AD17*cloud_per_1M_vcr*('Market Sizing'!AD15/100)^(cloud_elasticity-1)+'Market Sizing'!AD10*platform_market_share*cloud_gmv_factor</f>
        <v/>
      </c>
      <c r="AE13" s="40">
        <f>opex_cloud_base/'Market Sizing'!AE6+'Market Sizing'!AE17*cloud_per_1M_vcr*('Market Sizing'!AE15/100)^(cloud_elasticity-1)+'Market Sizing'!AE10*platform_market_share*cloud_gmv_factor</f>
        <v/>
      </c>
      <c r="AF13" s="40">
        <f>opex_cloud_base/'Market Sizing'!AF6+'Market Sizing'!AF17*cloud_per_1M_vcr*('Market Sizing'!AF15/100)^(cloud_elasticity-1)+'Market Sizing'!AF10*platform_market_share*cloud_gmv_factor</f>
        <v/>
      </c>
      <c r="AG13" s="40">
        <f>opex_cloud_base/'Market Sizing'!AG6+'Market Sizing'!AG17*cloud_per_1M_vcr*('Market Sizing'!AG15/100)^(cloud_elasticity-1)+'Market Sizing'!AG10*platform_market_share*cloud_gmv_factor</f>
        <v/>
      </c>
      <c r="AH13" s="40">
        <f>opex_cloud_base/'Market Sizing'!AH6+'Market Sizing'!AH17*cloud_per_1M_vcr*('Market Sizing'!AH15/100)^(cloud_elasticity-1)+'Market Sizing'!AH10*platform_market_share*cloud_gmv_factor</f>
        <v/>
      </c>
      <c r="AI13" s="40">
        <f>opex_cloud_base/'Market Sizing'!AI6+'Market Sizing'!AI17*cloud_per_1M_vcr*('Market Sizing'!AI15/100)^(cloud_elasticity-1)+'Market Sizing'!AI10*platform_market_share*cloud_gmv_factor</f>
        <v/>
      </c>
      <c r="AJ13" s="40">
        <f>opex_cloud_base/'Market Sizing'!AJ6+'Market Sizing'!AJ17*cloud_per_1M_vcr*('Market Sizing'!AJ15/100)^(cloud_elasticity-1)+'Market Sizing'!AJ10*platform_market_share*cloud_gmv_factor</f>
        <v/>
      </c>
      <c r="AK13" s="40">
        <f>opex_cloud_base/'Market Sizing'!AK6+'Market Sizing'!AK17*cloud_per_1M_vcr*('Market Sizing'!AK15/100)^(cloud_elasticity-1)+'Market Sizing'!AK10*platform_market_share*cloud_gmv_factor</f>
        <v/>
      </c>
      <c r="AL13" s="40">
        <f>opex_cloud_base/'Market Sizing'!AL6+'Market Sizing'!AL17*cloud_per_1M_vcr*('Market Sizing'!AL15/100)^(cloud_elasticity-1)+'Market Sizing'!AL10*platform_market_share*cloud_gmv_factor</f>
        <v/>
      </c>
      <c r="AM13" s="40">
        <f>opex_cloud_base/'Market Sizing'!AM6+'Market Sizing'!AM17*cloud_per_1M_vcr*('Market Sizing'!AM15/100)^(cloud_elasticity-1)+'Market Sizing'!AM10*platform_market_share*cloud_gmv_factor</f>
        <v/>
      </c>
      <c r="AN13" s="40">
        <f>opex_cloud_base/'Market Sizing'!AN6+'Market Sizing'!AN17*cloud_per_1M_vcr*('Market Sizing'!AN15/100)^(cloud_elasticity-1)+'Market Sizing'!AN10*platform_market_share*cloud_gmv_factor</f>
        <v/>
      </c>
      <c r="AO13" s="40">
        <f>opex_cloud_base/'Market Sizing'!AO6+'Market Sizing'!AO17*cloud_per_1M_vcr*('Market Sizing'!AO15/100)^(cloud_elasticity-1)+'Market Sizing'!AO10*platform_market_share*cloud_gmv_factor</f>
        <v/>
      </c>
      <c r="AP13" s="40">
        <f>opex_cloud_base/'Market Sizing'!AP6+'Market Sizing'!AP17*cloud_per_1M_vcr*('Market Sizing'!AP15/100)^(cloud_elasticity-1)+'Market Sizing'!AP10*platform_market_share*cloud_gmv_factor</f>
        <v/>
      </c>
      <c r="AQ13" s="40">
        <f>opex_cloud_base/'Market Sizing'!AQ6+'Market Sizing'!AQ17*cloud_per_1M_vcr*('Market Sizing'!AQ15/100)^(cloud_elasticity-1)+'Market Sizing'!AQ10*platform_market_share*cloud_gmv_factor</f>
        <v/>
      </c>
      <c r="AR13" s="40">
        <f>opex_cloud_base/'Market Sizing'!AR6+'Market Sizing'!AR17*cloud_per_1M_vcr*('Market Sizing'!AR15/100)^(cloud_elasticity-1)+'Market Sizing'!AR10*platform_market_share*cloud_gmv_factor</f>
        <v/>
      </c>
    </row>
    <row r="14">
      <c r="A14" s="4" t="inlineStr">
        <is>
          <t xml:space="preserve">  Security</t>
        </is>
      </c>
      <c r="B14" s="4" t="inlineStr">
        <is>
          <t>M VND</t>
        </is>
      </c>
      <c r="C14" s="10">
        <f>opex_security/'Market Sizing'!C6</f>
        <v/>
      </c>
      <c r="D14" s="10">
        <f>opex_security/'Market Sizing'!D6</f>
        <v/>
      </c>
      <c r="E14" s="10">
        <f>opex_security/'Market Sizing'!E6</f>
        <v/>
      </c>
      <c r="F14" s="10">
        <f>opex_security/'Market Sizing'!F6</f>
        <v/>
      </c>
      <c r="G14" s="10">
        <f>opex_security/'Market Sizing'!G6</f>
        <v/>
      </c>
      <c r="H14" s="10">
        <f>opex_security/'Market Sizing'!H6</f>
        <v/>
      </c>
      <c r="I14" s="10">
        <f>opex_security/'Market Sizing'!I6</f>
        <v/>
      </c>
      <c r="J14" s="10">
        <f>opex_security/'Market Sizing'!J6</f>
        <v/>
      </c>
      <c r="K14" s="10">
        <f>opex_security/'Market Sizing'!K6</f>
        <v/>
      </c>
      <c r="L14" s="10">
        <f>opex_security/'Market Sizing'!L6</f>
        <v/>
      </c>
      <c r="M14" s="10">
        <f>opex_security/'Market Sizing'!M6</f>
        <v/>
      </c>
      <c r="N14" s="10">
        <f>opex_security/'Market Sizing'!N6</f>
        <v/>
      </c>
      <c r="O14" s="10">
        <f>opex_security/'Market Sizing'!O6</f>
        <v/>
      </c>
      <c r="P14" s="10">
        <f>opex_security/'Market Sizing'!P6</f>
        <v/>
      </c>
      <c r="Q14" s="10">
        <f>opex_security/'Market Sizing'!Q6</f>
        <v/>
      </c>
      <c r="R14" s="10">
        <f>opex_security/'Market Sizing'!R6</f>
        <v/>
      </c>
      <c r="S14" s="10">
        <f>opex_security/'Market Sizing'!S6</f>
        <v/>
      </c>
      <c r="T14" s="10">
        <f>opex_security/'Market Sizing'!T6</f>
        <v/>
      </c>
      <c r="U14" s="10">
        <f>opex_security/'Market Sizing'!U6</f>
        <v/>
      </c>
      <c r="V14" s="10">
        <f>opex_security/'Market Sizing'!V6</f>
        <v/>
      </c>
      <c r="W14" s="10">
        <f>opex_security/'Market Sizing'!W6</f>
        <v/>
      </c>
      <c r="X14" s="10">
        <f>opex_security/'Market Sizing'!X6</f>
        <v/>
      </c>
      <c r="Y14" s="10">
        <f>opex_security/'Market Sizing'!Y6</f>
        <v/>
      </c>
      <c r="Z14" s="10">
        <f>opex_security/'Market Sizing'!Z6</f>
        <v/>
      </c>
      <c r="AA14" s="10">
        <f>opex_security/'Market Sizing'!AA6</f>
        <v/>
      </c>
      <c r="AB14" s="10">
        <f>opex_security/'Market Sizing'!AB6</f>
        <v/>
      </c>
      <c r="AC14" s="10">
        <f>opex_security/'Market Sizing'!AC6</f>
        <v/>
      </c>
      <c r="AD14" s="10">
        <f>opex_security/'Market Sizing'!AD6</f>
        <v/>
      </c>
      <c r="AE14" s="10">
        <f>opex_security/'Market Sizing'!AE6</f>
        <v/>
      </c>
      <c r="AF14" s="10">
        <f>opex_security/'Market Sizing'!AF6</f>
        <v/>
      </c>
      <c r="AG14" s="10">
        <f>opex_security/'Market Sizing'!AG6</f>
        <v/>
      </c>
      <c r="AH14" s="10">
        <f>opex_security/'Market Sizing'!AH6</f>
        <v/>
      </c>
      <c r="AI14" s="10">
        <f>opex_security/'Market Sizing'!AI6</f>
        <v/>
      </c>
      <c r="AJ14" s="10">
        <f>opex_security/'Market Sizing'!AJ6</f>
        <v/>
      </c>
      <c r="AK14" s="10">
        <f>opex_security/'Market Sizing'!AK6</f>
        <v/>
      </c>
      <c r="AL14" s="10">
        <f>opex_security/'Market Sizing'!AL6</f>
        <v/>
      </c>
      <c r="AM14" s="10">
        <f>opex_security/'Market Sizing'!AM6</f>
        <v/>
      </c>
      <c r="AN14" s="10">
        <f>opex_security/'Market Sizing'!AN6</f>
        <v/>
      </c>
      <c r="AO14" s="10">
        <f>opex_security/'Market Sizing'!AO6</f>
        <v/>
      </c>
      <c r="AP14" s="10">
        <f>opex_security/'Market Sizing'!AP6</f>
        <v/>
      </c>
      <c r="AQ14" s="10">
        <f>opex_security/'Market Sizing'!AQ6</f>
        <v/>
      </c>
      <c r="AR14" s="10">
        <f>opex_security/'Market Sizing'!AR6</f>
        <v/>
      </c>
    </row>
    <row r="15">
      <c r="A15" s="4" t="inlineStr">
        <is>
          <t xml:space="preserve">  External affairs</t>
        </is>
      </c>
      <c r="B15" s="4" t="inlineStr">
        <is>
          <t>M VND</t>
        </is>
      </c>
      <c r="C15" s="10">
        <f>opex_external/'Market Sizing'!C6</f>
        <v/>
      </c>
      <c r="D15" s="10">
        <f>opex_external/'Market Sizing'!D6</f>
        <v/>
      </c>
      <c r="E15" s="10">
        <f>opex_external/'Market Sizing'!E6</f>
        <v/>
      </c>
      <c r="F15" s="10">
        <f>opex_external/'Market Sizing'!F6</f>
        <v/>
      </c>
      <c r="G15" s="10">
        <f>opex_external/'Market Sizing'!G6</f>
        <v/>
      </c>
      <c r="H15" s="10">
        <f>opex_external/'Market Sizing'!H6</f>
        <v/>
      </c>
      <c r="I15" s="10">
        <f>opex_external/'Market Sizing'!I6</f>
        <v/>
      </c>
      <c r="J15" s="10">
        <f>opex_external/'Market Sizing'!J6</f>
        <v/>
      </c>
      <c r="K15" s="10">
        <f>opex_external/'Market Sizing'!K6</f>
        <v/>
      </c>
      <c r="L15" s="10">
        <f>opex_external/'Market Sizing'!L6</f>
        <v/>
      </c>
      <c r="M15" s="10">
        <f>opex_external/'Market Sizing'!M6</f>
        <v/>
      </c>
      <c r="N15" s="10">
        <f>opex_external/'Market Sizing'!N6</f>
        <v/>
      </c>
      <c r="O15" s="10">
        <f>opex_external/'Market Sizing'!O6</f>
        <v/>
      </c>
      <c r="P15" s="10">
        <f>opex_external/'Market Sizing'!P6</f>
        <v/>
      </c>
      <c r="Q15" s="10">
        <f>opex_external/'Market Sizing'!Q6</f>
        <v/>
      </c>
      <c r="R15" s="10">
        <f>opex_external/'Market Sizing'!R6</f>
        <v/>
      </c>
      <c r="S15" s="10">
        <f>opex_external/'Market Sizing'!S6</f>
        <v/>
      </c>
      <c r="T15" s="10">
        <f>opex_external/'Market Sizing'!T6</f>
        <v/>
      </c>
      <c r="U15" s="10">
        <f>opex_external/'Market Sizing'!U6</f>
        <v/>
      </c>
      <c r="V15" s="10">
        <f>opex_external/'Market Sizing'!V6</f>
        <v/>
      </c>
      <c r="W15" s="10">
        <f>opex_external/'Market Sizing'!W6</f>
        <v/>
      </c>
      <c r="X15" s="10">
        <f>opex_external/'Market Sizing'!X6</f>
        <v/>
      </c>
      <c r="Y15" s="10">
        <f>opex_external/'Market Sizing'!Y6</f>
        <v/>
      </c>
      <c r="Z15" s="10">
        <f>opex_external/'Market Sizing'!Z6</f>
        <v/>
      </c>
      <c r="AA15" s="10">
        <f>opex_external/'Market Sizing'!AA6</f>
        <v/>
      </c>
      <c r="AB15" s="10">
        <f>opex_external/'Market Sizing'!AB6</f>
        <v/>
      </c>
      <c r="AC15" s="10">
        <f>opex_external/'Market Sizing'!AC6</f>
        <v/>
      </c>
      <c r="AD15" s="10">
        <f>opex_external/'Market Sizing'!AD6</f>
        <v/>
      </c>
      <c r="AE15" s="10">
        <f>opex_external/'Market Sizing'!AE6</f>
        <v/>
      </c>
      <c r="AF15" s="10">
        <f>opex_external/'Market Sizing'!AF6</f>
        <v/>
      </c>
      <c r="AG15" s="10">
        <f>opex_external/'Market Sizing'!AG6</f>
        <v/>
      </c>
      <c r="AH15" s="10">
        <f>opex_external/'Market Sizing'!AH6</f>
        <v/>
      </c>
      <c r="AI15" s="10">
        <f>opex_external/'Market Sizing'!AI6</f>
        <v/>
      </c>
      <c r="AJ15" s="10">
        <f>opex_external/'Market Sizing'!AJ6</f>
        <v/>
      </c>
      <c r="AK15" s="10">
        <f>opex_external/'Market Sizing'!AK6</f>
        <v/>
      </c>
      <c r="AL15" s="10">
        <f>opex_external/'Market Sizing'!AL6</f>
        <v/>
      </c>
      <c r="AM15" s="10">
        <f>opex_external/'Market Sizing'!AM6</f>
        <v/>
      </c>
      <c r="AN15" s="10">
        <f>opex_external/'Market Sizing'!AN6</f>
        <v/>
      </c>
      <c r="AO15" s="10">
        <f>opex_external/'Market Sizing'!AO6</f>
        <v/>
      </c>
      <c r="AP15" s="10">
        <f>opex_external/'Market Sizing'!AP6</f>
        <v/>
      </c>
      <c r="AQ15" s="10">
        <f>opex_external/'Market Sizing'!AQ6</f>
        <v/>
      </c>
      <c r="AR15" s="10">
        <f>opex_external/'Market Sizing'!AR6</f>
        <v/>
      </c>
    </row>
    <row r="16">
      <c r="A16" s="4" t="inlineStr">
        <is>
          <t xml:space="preserve">  Legal &amp; compliance</t>
        </is>
      </c>
      <c r="B16" s="4" t="inlineStr">
        <is>
          <t>M VND</t>
        </is>
      </c>
      <c r="C16" s="10">
        <f>opex_legal/'Market Sizing'!C6</f>
        <v/>
      </c>
      <c r="D16" s="10">
        <f>opex_legal/'Market Sizing'!D6</f>
        <v/>
      </c>
      <c r="E16" s="10">
        <f>opex_legal/'Market Sizing'!E6</f>
        <v/>
      </c>
      <c r="F16" s="10">
        <f>opex_legal/'Market Sizing'!F6</f>
        <v/>
      </c>
      <c r="G16" s="10">
        <f>opex_legal/'Market Sizing'!G6</f>
        <v/>
      </c>
      <c r="H16" s="10">
        <f>opex_legal/'Market Sizing'!H6</f>
        <v/>
      </c>
      <c r="I16" s="10">
        <f>opex_legal/'Market Sizing'!I6</f>
        <v/>
      </c>
      <c r="J16" s="10">
        <f>opex_legal/'Market Sizing'!J6</f>
        <v/>
      </c>
      <c r="K16" s="10">
        <f>opex_legal/'Market Sizing'!K6</f>
        <v/>
      </c>
      <c r="L16" s="10">
        <f>opex_legal/'Market Sizing'!L6</f>
        <v/>
      </c>
      <c r="M16" s="10">
        <f>opex_legal/'Market Sizing'!M6</f>
        <v/>
      </c>
      <c r="N16" s="10">
        <f>opex_legal/'Market Sizing'!N6</f>
        <v/>
      </c>
      <c r="O16" s="10">
        <f>opex_legal/'Market Sizing'!O6</f>
        <v/>
      </c>
      <c r="P16" s="10">
        <f>opex_legal/'Market Sizing'!P6</f>
        <v/>
      </c>
      <c r="Q16" s="10">
        <f>opex_legal/'Market Sizing'!Q6</f>
        <v/>
      </c>
      <c r="R16" s="10">
        <f>opex_legal/'Market Sizing'!R6</f>
        <v/>
      </c>
      <c r="S16" s="10">
        <f>opex_legal/'Market Sizing'!S6</f>
        <v/>
      </c>
      <c r="T16" s="10">
        <f>opex_legal/'Market Sizing'!T6</f>
        <v/>
      </c>
      <c r="U16" s="10">
        <f>opex_legal/'Market Sizing'!U6</f>
        <v/>
      </c>
      <c r="V16" s="10">
        <f>opex_legal/'Market Sizing'!V6</f>
        <v/>
      </c>
      <c r="W16" s="10">
        <f>opex_legal/'Market Sizing'!W6</f>
        <v/>
      </c>
      <c r="X16" s="10">
        <f>opex_legal/'Market Sizing'!X6</f>
        <v/>
      </c>
      <c r="Y16" s="10">
        <f>opex_legal/'Market Sizing'!Y6</f>
        <v/>
      </c>
      <c r="Z16" s="10">
        <f>opex_legal/'Market Sizing'!Z6</f>
        <v/>
      </c>
      <c r="AA16" s="10">
        <f>opex_legal/'Market Sizing'!AA6</f>
        <v/>
      </c>
      <c r="AB16" s="10">
        <f>opex_legal/'Market Sizing'!AB6</f>
        <v/>
      </c>
      <c r="AC16" s="10">
        <f>opex_legal/'Market Sizing'!AC6</f>
        <v/>
      </c>
      <c r="AD16" s="10">
        <f>opex_legal/'Market Sizing'!AD6</f>
        <v/>
      </c>
      <c r="AE16" s="10">
        <f>opex_legal/'Market Sizing'!AE6</f>
        <v/>
      </c>
      <c r="AF16" s="10">
        <f>opex_legal/'Market Sizing'!AF6</f>
        <v/>
      </c>
      <c r="AG16" s="10">
        <f>opex_legal/'Market Sizing'!AG6</f>
        <v/>
      </c>
      <c r="AH16" s="10">
        <f>opex_legal/'Market Sizing'!AH6</f>
        <v/>
      </c>
      <c r="AI16" s="10">
        <f>opex_legal/'Market Sizing'!AI6</f>
        <v/>
      </c>
      <c r="AJ16" s="10">
        <f>opex_legal/'Market Sizing'!AJ6</f>
        <v/>
      </c>
      <c r="AK16" s="10">
        <f>opex_legal/'Market Sizing'!AK6</f>
        <v/>
      </c>
      <c r="AL16" s="10">
        <f>opex_legal/'Market Sizing'!AL6</f>
        <v/>
      </c>
      <c r="AM16" s="10">
        <f>opex_legal/'Market Sizing'!AM6</f>
        <v/>
      </c>
      <c r="AN16" s="10">
        <f>opex_legal/'Market Sizing'!AN6</f>
        <v/>
      </c>
      <c r="AO16" s="10">
        <f>opex_legal/'Market Sizing'!AO6</f>
        <v/>
      </c>
      <c r="AP16" s="10">
        <f>opex_legal/'Market Sizing'!AP6</f>
        <v/>
      </c>
      <c r="AQ16" s="10">
        <f>opex_legal/'Market Sizing'!AQ6</f>
        <v/>
      </c>
      <c r="AR16" s="10">
        <f>opex_legal/'Market Sizing'!AR6</f>
        <v/>
      </c>
    </row>
    <row r="17">
      <c r="A17" s="4" t="inlineStr">
        <is>
          <t xml:space="preserve">  Pilot eval (Y1)</t>
        </is>
      </c>
      <c r="B17" s="4" t="inlineStr">
        <is>
          <t>M VND</t>
        </is>
      </c>
      <c r="C17" s="96">
        <f>IF('Market Sizing'!C3&lt;months_to_first_revenue,opex_pilot_eval/'Market Sizing'!C6,0)</f>
        <v/>
      </c>
      <c r="D17" s="96">
        <f>IF('Market Sizing'!D3&lt;months_to_first_revenue,opex_pilot_eval/'Market Sizing'!D6,0)</f>
        <v/>
      </c>
      <c r="E17" s="96">
        <f>IF('Market Sizing'!E3&lt;months_to_first_revenue,opex_pilot_eval/'Market Sizing'!E6,0)</f>
        <v/>
      </c>
      <c r="F17" s="96">
        <f>IF('Market Sizing'!F3&lt;months_to_first_revenue,opex_pilot_eval/'Market Sizing'!F6,0)</f>
        <v/>
      </c>
      <c r="G17" s="96">
        <f>IF('Market Sizing'!G3&lt;months_to_first_revenue,opex_pilot_eval/'Market Sizing'!G6,0)</f>
        <v/>
      </c>
      <c r="H17" s="96">
        <f>IF('Market Sizing'!H3&lt;months_to_first_revenue,opex_pilot_eval/'Market Sizing'!H6,0)</f>
        <v/>
      </c>
      <c r="I17" s="96">
        <f>IF('Market Sizing'!I3&lt;months_to_first_revenue,opex_pilot_eval/'Market Sizing'!I6,0)</f>
        <v/>
      </c>
      <c r="J17" s="96">
        <f>IF('Market Sizing'!J3&lt;months_to_first_revenue,opex_pilot_eval/'Market Sizing'!J6,0)</f>
        <v/>
      </c>
      <c r="K17" s="96">
        <f>IF('Market Sizing'!K3&lt;months_to_first_revenue,opex_pilot_eval/'Market Sizing'!K6,0)</f>
        <v/>
      </c>
      <c r="L17" s="96">
        <f>IF('Market Sizing'!L3&lt;months_to_first_revenue,opex_pilot_eval/'Market Sizing'!L6,0)</f>
        <v/>
      </c>
      <c r="M17" s="96">
        <f>IF('Market Sizing'!M3&lt;months_to_first_revenue,opex_pilot_eval/'Market Sizing'!M6,0)</f>
        <v/>
      </c>
      <c r="N17" s="96">
        <f>IF('Market Sizing'!N3&lt;months_to_first_revenue,opex_pilot_eval/'Market Sizing'!N6,0)</f>
        <v/>
      </c>
      <c r="O17" s="96">
        <f>IF('Market Sizing'!O3&lt;months_to_first_revenue,opex_pilot_eval/'Market Sizing'!O6,0)</f>
        <v/>
      </c>
      <c r="P17" s="96">
        <f>IF('Market Sizing'!P3&lt;months_to_first_revenue,opex_pilot_eval/'Market Sizing'!P6,0)</f>
        <v/>
      </c>
      <c r="Q17" s="96">
        <f>IF('Market Sizing'!Q3&lt;months_to_first_revenue,opex_pilot_eval/'Market Sizing'!Q6,0)</f>
        <v/>
      </c>
      <c r="R17" s="96">
        <f>IF('Market Sizing'!R3&lt;months_to_first_revenue,opex_pilot_eval/'Market Sizing'!R6,0)</f>
        <v/>
      </c>
      <c r="S17" s="96">
        <f>IF('Market Sizing'!S3&lt;months_to_first_revenue,opex_pilot_eval/'Market Sizing'!S6,0)</f>
        <v/>
      </c>
      <c r="T17" s="96">
        <f>IF('Market Sizing'!T3&lt;months_to_first_revenue,opex_pilot_eval/'Market Sizing'!T6,0)</f>
        <v/>
      </c>
      <c r="U17" s="96">
        <f>IF('Market Sizing'!U3&lt;months_to_first_revenue,opex_pilot_eval/'Market Sizing'!U6,0)</f>
        <v/>
      </c>
      <c r="V17" s="96">
        <f>IF('Market Sizing'!V3&lt;months_to_first_revenue,opex_pilot_eval/'Market Sizing'!V6,0)</f>
        <v/>
      </c>
      <c r="W17" s="96">
        <f>IF('Market Sizing'!W3&lt;months_to_first_revenue,opex_pilot_eval/'Market Sizing'!W6,0)</f>
        <v/>
      </c>
      <c r="X17" s="96">
        <f>IF('Market Sizing'!X3&lt;months_to_first_revenue,opex_pilot_eval/'Market Sizing'!X6,0)</f>
        <v/>
      </c>
      <c r="Y17" s="96">
        <f>IF('Market Sizing'!Y3&lt;months_to_first_revenue,opex_pilot_eval/'Market Sizing'!Y6,0)</f>
        <v/>
      </c>
      <c r="Z17" s="96">
        <f>IF('Market Sizing'!Z3&lt;months_to_first_revenue,opex_pilot_eval/'Market Sizing'!Z6,0)</f>
        <v/>
      </c>
      <c r="AA17" s="96">
        <f>IF('Market Sizing'!AA3&lt;months_to_first_revenue,opex_pilot_eval/'Market Sizing'!AA6,0)</f>
        <v/>
      </c>
      <c r="AB17" s="96">
        <f>IF('Market Sizing'!AB3&lt;months_to_first_revenue,opex_pilot_eval/'Market Sizing'!AB6,0)</f>
        <v/>
      </c>
      <c r="AC17" s="96">
        <f>IF('Market Sizing'!AC3&lt;months_to_first_revenue,opex_pilot_eval/'Market Sizing'!AC6,0)</f>
        <v/>
      </c>
      <c r="AD17" s="96">
        <f>IF('Market Sizing'!AD3&lt;months_to_first_revenue,opex_pilot_eval/'Market Sizing'!AD6,0)</f>
        <v/>
      </c>
      <c r="AE17" s="96">
        <f>IF('Market Sizing'!AE3&lt;months_to_first_revenue,opex_pilot_eval/'Market Sizing'!AE6,0)</f>
        <v/>
      </c>
      <c r="AF17" s="96">
        <f>IF('Market Sizing'!AF3&lt;months_to_first_revenue,opex_pilot_eval/'Market Sizing'!AF6,0)</f>
        <v/>
      </c>
      <c r="AG17" s="96">
        <f>IF('Market Sizing'!AG3&lt;months_to_first_revenue,opex_pilot_eval/'Market Sizing'!AG6,0)</f>
        <v/>
      </c>
      <c r="AH17" s="96">
        <f>IF('Market Sizing'!AH3&lt;months_to_first_revenue,opex_pilot_eval/'Market Sizing'!AH6,0)</f>
        <v/>
      </c>
      <c r="AI17" s="96">
        <f>IF('Market Sizing'!AI3&lt;months_to_first_revenue,opex_pilot_eval/'Market Sizing'!AI6,0)</f>
        <v/>
      </c>
      <c r="AJ17" s="96">
        <f>IF('Market Sizing'!AJ3&lt;months_to_first_revenue,opex_pilot_eval/'Market Sizing'!AJ6,0)</f>
        <v/>
      </c>
      <c r="AK17" s="96">
        <f>IF('Market Sizing'!AK3&lt;months_to_first_revenue,opex_pilot_eval/'Market Sizing'!AK6,0)</f>
        <v/>
      </c>
      <c r="AL17" s="96">
        <f>IF('Market Sizing'!AL3&lt;months_to_first_revenue,opex_pilot_eval/'Market Sizing'!AL6,0)</f>
        <v/>
      </c>
      <c r="AM17" s="96">
        <f>IF('Market Sizing'!AM3&lt;months_to_first_revenue,opex_pilot_eval/'Market Sizing'!AM6,0)</f>
        <v/>
      </c>
      <c r="AN17" s="96">
        <f>IF('Market Sizing'!AN3&lt;months_to_first_revenue,opex_pilot_eval/'Market Sizing'!AN6,0)</f>
        <v/>
      </c>
      <c r="AO17" s="96">
        <f>IF('Market Sizing'!AO3&lt;months_to_first_revenue,opex_pilot_eval/'Market Sizing'!AO6,0)</f>
        <v/>
      </c>
      <c r="AP17" s="96">
        <f>IF('Market Sizing'!AP3&lt;months_to_first_revenue,opex_pilot_eval/'Market Sizing'!AP6,0)</f>
        <v/>
      </c>
      <c r="AQ17" s="96">
        <f>IF('Market Sizing'!AQ3&lt;months_to_first_revenue,opex_pilot_eval/'Market Sizing'!AQ6,0)</f>
        <v/>
      </c>
      <c r="AR17" s="96">
        <f>IF('Market Sizing'!AR3&lt;months_to_first_revenue,opex_pilot_eval/'Market Sizing'!AR6,0)</f>
        <v/>
      </c>
    </row>
    <row r="18">
      <c r="A18" s="4" t="inlineStr">
        <is>
          <t xml:space="preserve">  Partner mgmt</t>
        </is>
      </c>
      <c r="B18" s="4" t="inlineStr">
        <is>
          <t>M VND</t>
        </is>
      </c>
      <c r="C18" s="10">
        <f>opex_partner_mgmt/'Market Sizing'!C6</f>
        <v/>
      </c>
      <c r="D18" s="10">
        <f>opex_partner_mgmt/'Market Sizing'!D6</f>
        <v/>
      </c>
      <c r="E18" s="10">
        <f>opex_partner_mgmt/'Market Sizing'!E6</f>
        <v/>
      </c>
      <c r="F18" s="10">
        <f>opex_partner_mgmt/'Market Sizing'!F6</f>
        <v/>
      </c>
      <c r="G18" s="10">
        <f>opex_partner_mgmt/'Market Sizing'!G6</f>
        <v/>
      </c>
      <c r="H18" s="10">
        <f>opex_partner_mgmt/'Market Sizing'!H6</f>
        <v/>
      </c>
      <c r="I18" s="10">
        <f>opex_partner_mgmt/'Market Sizing'!I6</f>
        <v/>
      </c>
      <c r="J18" s="10">
        <f>opex_partner_mgmt/'Market Sizing'!J6</f>
        <v/>
      </c>
      <c r="K18" s="10">
        <f>opex_partner_mgmt/'Market Sizing'!K6</f>
        <v/>
      </c>
      <c r="L18" s="10">
        <f>opex_partner_mgmt/'Market Sizing'!L6</f>
        <v/>
      </c>
      <c r="M18" s="10">
        <f>opex_partner_mgmt/'Market Sizing'!M6</f>
        <v/>
      </c>
      <c r="N18" s="10">
        <f>opex_partner_mgmt/'Market Sizing'!N6</f>
        <v/>
      </c>
      <c r="O18" s="10">
        <f>opex_partner_mgmt/'Market Sizing'!O6</f>
        <v/>
      </c>
      <c r="P18" s="10">
        <f>opex_partner_mgmt/'Market Sizing'!P6</f>
        <v/>
      </c>
      <c r="Q18" s="10">
        <f>opex_partner_mgmt/'Market Sizing'!Q6</f>
        <v/>
      </c>
      <c r="R18" s="10">
        <f>opex_partner_mgmt/'Market Sizing'!R6</f>
        <v/>
      </c>
      <c r="S18" s="10">
        <f>opex_partner_mgmt/'Market Sizing'!S6</f>
        <v/>
      </c>
      <c r="T18" s="10">
        <f>opex_partner_mgmt/'Market Sizing'!T6</f>
        <v/>
      </c>
      <c r="U18" s="10">
        <f>opex_partner_mgmt/'Market Sizing'!U6</f>
        <v/>
      </c>
      <c r="V18" s="10">
        <f>opex_partner_mgmt/'Market Sizing'!V6</f>
        <v/>
      </c>
      <c r="W18" s="10">
        <f>opex_partner_mgmt/'Market Sizing'!W6</f>
        <v/>
      </c>
      <c r="X18" s="10">
        <f>opex_partner_mgmt/'Market Sizing'!X6</f>
        <v/>
      </c>
      <c r="Y18" s="10">
        <f>opex_partner_mgmt/'Market Sizing'!Y6</f>
        <v/>
      </c>
      <c r="Z18" s="10">
        <f>opex_partner_mgmt/'Market Sizing'!Z6</f>
        <v/>
      </c>
      <c r="AA18" s="10">
        <f>opex_partner_mgmt/'Market Sizing'!AA6</f>
        <v/>
      </c>
      <c r="AB18" s="10">
        <f>opex_partner_mgmt/'Market Sizing'!AB6</f>
        <v/>
      </c>
      <c r="AC18" s="10">
        <f>opex_partner_mgmt/'Market Sizing'!AC6</f>
        <v/>
      </c>
      <c r="AD18" s="10">
        <f>opex_partner_mgmt/'Market Sizing'!AD6</f>
        <v/>
      </c>
      <c r="AE18" s="10">
        <f>opex_partner_mgmt/'Market Sizing'!AE6</f>
        <v/>
      </c>
      <c r="AF18" s="10">
        <f>opex_partner_mgmt/'Market Sizing'!AF6</f>
        <v/>
      </c>
      <c r="AG18" s="10">
        <f>opex_partner_mgmt/'Market Sizing'!AG6</f>
        <v/>
      </c>
      <c r="AH18" s="10">
        <f>opex_partner_mgmt/'Market Sizing'!AH6</f>
        <v/>
      </c>
      <c r="AI18" s="10">
        <f>opex_partner_mgmt/'Market Sizing'!AI6</f>
        <v/>
      </c>
      <c r="AJ18" s="10">
        <f>opex_partner_mgmt/'Market Sizing'!AJ6</f>
        <v/>
      </c>
      <c r="AK18" s="10">
        <f>opex_partner_mgmt/'Market Sizing'!AK6</f>
        <v/>
      </c>
      <c r="AL18" s="10">
        <f>opex_partner_mgmt/'Market Sizing'!AL6</f>
        <v/>
      </c>
      <c r="AM18" s="10">
        <f>opex_partner_mgmt/'Market Sizing'!AM6</f>
        <v/>
      </c>
      <c r="AN18" s="10">
        <f>opex_partner_mgmt/'Market Sizing'!AN6</f>
        <v/>
      </c>
      <c r="AO18" s="10">
        <f>opex_partner_mgmt/'Market Sizing'!AO6</f>
        <v/>
      </c>
      <c r="AP18" s="10">
        <f>opex_partner_mgmt/'Market Sizing'!AP6</f>
        <v/>
      </c>
      <c r="AQ18" s="10">
        <f>opex_partner_mgmt/'Market Sizing'!AQ6</f>
        <v/>
      </c>
      <c r="AR18" s="10">
        <f>opex_partner_mgmt/'Market Sizing'!AR6</f>
        <v/>
      </c>
    </row>
    <row r="19">
      <c r="A19" s="4" t="inlineStr">
        <is>
          <t xml:space="preserve">  Customer support</t>
        </is>
      </c>
      <c r="B19" s="4" t="inlineStr">
        <is>
          <t>M VND</t>
        </is>
      </c>
      <c r="C19" s="96">
        <f>IF('Market Sizing'!C3&gt;=months_to_first_revenue,1,0)*'Market Sizing'!C15*opex_support_per_ent*IF('Market Sizing'!C15&gt;support_scale_threshold,1-support_discount,1)/'Market Sizing'!C6</f>
        <v/>
      </c>
      <c r="D19" s="96">
        <f>IF('Market Sizing'!D3&gt;=months_to_first_revenue,1,0)*'Market Sizing'!D15*opex_support_per_ent*IF('Market Sizing'!D15&gt;support_scale_threshold,1-support_discount,1)/'Market Sizing'!D6</f>
        <v/>
      </c>
      <c r="E19" s="96">
        <f>IF('Market Sizing'!E3&gt;=months_to_first_revenue,1,0)*'Market Sizing'!E15*opex_support_per_ent*IF('Market Sizing'!E15&gt;support_scale_threshold,1-support_discount,1)/'Market Sizing'!E6</f>
        <v/>
      </c>
      <c r="F19" s="96">
        <f>IF('Market Sizing'!F3&gt;=months_to_first_revenue,1,0)*'Market Sizing'!F15*opex_support_per_ent*IF('Market Sizing'!F15&gt;support_scale_threshold,1-support_discount,1)/'Market Sizing'!F6</f>
        <v/>
      </c>
      <c r="G19" s="96">
        <f>IF('Market Sizing'!G3&gt;=months_to_first_revenue,1,0)*'Market Sizing'!G15*opex_support_per_ent*IF('Market Sizing'!G15&gt;support_scale_threshold,1-support_discount,1)/'Market Sizing'!G6</f>
        <v/>
      </c>
      <c r="H19" s="96">
        <f>IF('Market Sizing'!H3&gt;=months_to_first_revenue,1,0)*'Market Sizing'!H15*opex_support_per_ent*IF('Market Sizing'!H15&gt;support_scale_threshold,1-support_discount,1)/'Market Sizing'!H6</f>
        <v/>
      </c>
      <c r="I19" s="96">
        <f>IF('Market Sizing'!I3&gt;=months_to_first_revenue,1,0)*'Market Sizing'!I15*opex_support_per_ent*IF('Market Sizing'!I15&gt;support_scale_threshold,1-support_discount,1)/'Market Sizing'!I6</f>
        <v/>
      </c>
      <c r="J19" s="96">
        <f>IF('Market Sizing'!J3&gt;=months_to_first_revenue,1,0)*'Market Sizing'!J15*opex_support_per_ent*IF('Market Sizing'!J15&gt;support_scale_threshold,1-support_discount,1)/'Market Sizing'!J6</f>
        <v/>
      </c>
      <c r="K19" s="96">
        <f>IF('Market Sizing'!K3&gt;=months_to_first_revenue,1,0)*'Market Sizing'!K15*opex_support_per_ent*IF('Market Sizing'!K15&gt;support_scale_threshold,1-support_discount,1)/'Market Sizing'!K6</f>
        <v/>
      </c>
      <c r="L19" s="96">
        <f>IF('Market Sizing'!L3&gt;=months_to_first_revenue,1,0)*'Market Sizing'!L15*opex_support_per_ent*IF('Market Sizing'!L15&gt;support_scale_threshold,1-support_discount,1)/'Market Sizing'!L6</f>
        <v/>
      </c>
      <c r="M19" s="96">
        <f>IF('Market Sizing'!M3&gt;=months_to_first_revenue,1,0)*'Market Sizing'!M15*opex_support_per_ent*IF('Market Sizing'!M15&gt;support_scale_threshold,1-support_discount,1)/'Market Sizing'!M6</f>
        <v/>
      </c>
      <c r="N19" s="96">
        <f>IF('Market Sizing'!N3&gt;=months_to_first_revenue,1,0)*'Market Sizing'!N15*opex_support_per_ent*IF('Market Sizing'!N15&gt;support_scale_threshold,1-support_discount,1)/'Market Sizing'!N6</f>
        <v/>
      </c>
      <c r="O19" s="96">
        <f>IF('Market Sizing'!O3&gt;=months_to_first_revenue,1,0)*'Market Sizing'!O15*opex_support_per_ent*IF('Market Sizing'!O15&gt;support_scale_threshold,1-support_discount,1)/'Market Sizing'!O6</f>
        <v/>
      </c>
      <c r="P19" s="96">
        <f>IF('Market Sizing'!P3&gt;=months_to_first_revenue,1,0)*'Market Sizing'!P15*opex_support_per_ent*IF('Market Sizing'!P15&gt;support_scale_threshold,1-support_discount,1)/'Market Sizing'!P6</f>
        <v/>
      </c>
      <c r="Q19" s="96">
        <f>IF('Market Sizing'!Q3&gt;=months_to_first_revenue,1,0)*'Market Sizing'!Q15*opex_support_per_ent*IF('Market Sizing'!Q15&gt;support_scale_threshold,1-support_discount,1)/'Market Sizing'!Q6</f>
        <v/>
      </c>
      <c r="R19" s="96">
        <f>IF('Market Sizing'!R3&gt;=months_to_first_revenue,1,0)*'Market Sizing'!R15*opex_support_per_ent*IF('Market Sizing'!R15&gt;support_scale_threshold,1-support_discount,1)/'Market Sizing'!R6</f>
        <v/>
      </c>
      <c r="S19" s="96">
        <f>IF('Market Sizing'!S3&gt;=months_to_first_revenue,1,0)*'Market Sizing'!S15*opex_support_per_ent*IF('Market Sizing'!S15&gt;support_scale_threshold,1-support_discount,1)/'Market Sizing'!S6</f>
        <v/>
      </c>
      <c r="T19" s="96">
        <f>IF('Market Sizing'!T3&gt;=months_to_first_revenue,1,0)*'Market Sizing'!T15*opex_support_per_ent*IF('Market Sizing'!T15&gt;support_scale_threshold,1-support_discount,1)/'Market Sizing'!T6</f>
        <v/>
      </c>
      <c r="U19" s="96">
        <f>IF('Market Sizing'!U3&gt;=months_to_first_revenue,1,0)*'Market Sizing'!U15*opex_support_per_ent*IF('Market Sizing'!U15&gt;support_scale_threshold,1-support_discount,1)/'Market Sizing'!U6</f>
        <v/>
      </c>
      <c r="V19" s="96">
        <f>IF('Market Sizing'!V3&gt;=months_to_first_revenue,1,0)*'Market Sizing'!V15*opex_support_per_ent*IF('Market Sizing'!V15&gt;support_scale_threshold,1-support_discount,1)/'Market Sizing'!V6</f>
        <v/>
      </c>
      <c r="W19" s="96">
        <f>IF('Market Sizing'!W3&gt;=months_to_first_revenue,1,0)*'Market Sizing'!W15*opex_support_per_ent*IF('Market Sizing'!W15&gt;support_scale_threshold,1-support_discount,1)/'Market Sizing'!W6</f>
        <v/>
      </c>
      <c r="X19" s="96">
        <f>IF('Market Sizing'!X3&gt;=months_to_first_revenue,1,0)*'Market Sizing'!X15*opex_support_per_ent*IF('Market Sizing'!X15&gt;support_scale_threshold,1-support_discount,1)/'Market Sizing'!X6</f>
        <v/>
      </c>
      <c r="Y19" s="96">
        <f>IF('Market Sizing'!Y3&gt;=months_to_first_revenue,1,0)*'Market Sizing'!Y15*opex_support_per_ent*IF('Market Sizing'!Y15&gt;support_scale_threshold,1-support_discount,1)/'Market Sizing'!Y6</f>
        <v/>
      </c>
      <c r="Z19" s="96">
        <f>IF('Market Sizing'!Z3&gt;=months_to_first_revenue,1,0)*'Market Sizing'!Z15*opex_support_per_ent*IF('Market Sizing'!Z15&gt;support_scale_threshold,1-support_discount,1)/'Market Sizing'!Z6</f>
        <v/>
      </c>
      <c r="AA19" s="96">
        <f>IF('Market Sizing'!AA3&gt;=months_to_first_revenue,1,0)*'Market Sizing'!AA15*opex_support_per_ent*IF('Market Sizing'!AA15&gt;support_scale_threshold,1-support_discount,1)/'Market Sizing'!AA6</f>
        <v/>
      </c>
      <c r="AB19" s="96">
        <f>IF('Market Sizing'!AB3&gt;=months_to_first_revenue,1,0)*'Market Sizing'!AB15*opex_support_per_ent*IF('Market Sizing'!AB15&gt;support_scale_threshold,1-support_discount,1)/'Market Sizing'!AB6</f>
        <v/>
      </c>
      <c r="AC19" s="96">
        <f>IF('Market Sizing'!AC3&gt;=months_to_first_revenue,1,0)*'Market Sizing'!AC15*opex_support_per_ent*IF('Market Sizing'!AC15&gt;support_scale_threshold,1-support_discount,1)/'Market Sizing'!AC6</f>
        <v/>
      </c>
      <c r="AD19" s="96">
        <f>IF('Market Sizing'!AD3&gt;=months_to_first_revenue,1,0)*'Market Sizing'!AD15*opex_support_per_ent*IF('Market Sizing'!AD15&gt;support_scale_threshold,1-support_discount,1)/'Market Sizing'!AD6</f>
        <v/>
      </c>
      <c r="AE19" s="96">
        <f>IF('Market Sizing'!AE3&gt;=months_to_first_revenue,1,0)*'Market Sizing'!AE15*opex_support_per_ent*IF('Market Sizing'!AE15&gt;support_scale_threshold,1-support_discount,1)/'Market Sizing'!AE6</f>
        <v/>
      </c>
      <c r="AF19" s="96">
        <f>IF('Market Sizing'!AF3&gt;=months_to_first_revenue,1,0)*'Market Sizing'!AF15*opex_support_per_ent*IF('Market Sizing'!AF15&gt;support_scale_threshold,1-support_discount,1)/'Market Sizing'!AF6</f>
        <v/>
      </c>
      <c r="AG19" s="96">
        <f>IF('Market Sizing'!AG3&gt;=months_to_first_revenue,1,0)*'Market Sizing'!AG15*opex_support_per_ent*IF('Market Sizing'!AG15&gt;support_scale_threshold,1-support_discount,1)/'Market Sizing'!AG6</f>
        <v/>
      </c>
      <c r="AH19" s="96">
        <f>IF('Market Sizing'!AH3&gt;=months_to_first_revenue,1,0)*'Market Sizing'!AH15*opex_support_per_ent*IF('Market Sizing'!AH15&gt;support_scale_threshold,1-support_discount,1)/'Market Sizing'!AH6</f>
        <v/>
      </c>
      <c r="AI19" s="96">
        <f>IF('Market Sizing'!AI3&gt;=months_to_first_revenue,1,0)*'Market Sizing'!AI15*opex_support_per_ent*IF('Market Sizing'!AI15&gt;support_scale_threshold,1-support_discount,1)/'Market Sizing'!AI6</f>
        <v/>
      </c>
      <c r="AJ19" s="96">
        <f>IF('Market Sizing'!AJ3&gt;=months_to_first_revenue,1,0)*'Market Sizing'!AJ15*opex_support_per_ent*IF('Market Sizing'!AJ15&gt;support_scale_threshold,1-support_discount,1)/'Market Sizing'!AJ6</f>
        <v/>
      </c>
      <c r="AK19" s="96">
        <f>IF('Market Sizing'!AK3&gt;=months_to_first_revenue,1,0)*'Market Sizing'!AK15*opex_support_per_ent*IF('Market Sizing'!AK15&gt;support_scale_threshold,1-support_discount,1)/'Market Sizing'!AK6</f>
        <v/>
      </c>
      <c r="AL19" s="96">
        <f>IF('Market Sizing'!AL3&gt;=months_to_first_revenue,1,0)*'Market Sizing'!AL15*opex_support_per_ent*IF('Market Sizing'!AL15&gt;support_scale_threshold,1-support_discount,1)/'Market Sizing'!AL6</f>
        <v/>
      </c>
      <c r="AM19" s="96">
        <f>IF('Market Sizing'!AM3&gt;=months_to_first_revenue,1,0)*'Market Sizing'!AM15*opex_support_per_ent*IF('Market Sizing'!AM15&gt;support_scale_threshold,1-support_discount,1)/'Market Sizing'!AM6</f>
        <v/>
      </c>
      <c r="AN19" s="96">
        <f>IF('Market Sizing'!AN3&gt;=months_to_first_revenue,1,0)*'Market Sizing'!AN15*opex_support_per_ent*IF('Market Sizing'!AN15&gt;support_scale_threshold,1-support_discount,1)/'Market Sizing'!AN6</f>
        <v/>
      </c>
      <c r="AO19" s="96">
        <f>IF('Market Sizing'!AO3&gt;=months_to_first_revenue,1,0)*'Market Sizing'!AO15*opex_support_per_ent*IF('Market Sizing'!AO15&gt;support_scale_threshold,1-support_discount,1)/'Market Sizing'!AO6</f>
        <v/>
      </c>
      <c r="AP19" s="96">
        <f>IF('Market Sizing'!AP3&gt;=months_to_first_revenue,1,0)*'Market Sizing'!AP15*opex_support_per_ent*IF('Market Sizing'!AP15&gt;support_scale_threshold,1-support_discount,1)/'Market Sizing'!AP6</f>
        <v/>
      </c>
      <c r="AQ19" s="96">
        <f>IF('Market Sizing'!AQ3&gt;=months_to_first_revenue,1,0)*'Market Sizing'!AQ15*opex_support_per_ent*IF('Market Sizing'!AQ15&gt;support_scale_threshold,1-support_discount,1)/'Market Sizing'!AQ6</f>
        <v/>
      </c>
      <c r="AR19" s="96">
        <f>IF('Market Sizing'!AR3&gt;=months_to_first_revenue,1,0)*'Market Sizing'!AR15*opex_support_per_ent*IF('Market Sizing'!AR15&gt;support_scale_threshold,1-support_discount,1)/'Market Sizing'!AR6</f>
        <v/>
      </c>
    </row>
    <row r="20">
      <c r="A20" s="4" t="inlineStr">
        <is>
          <t>OPEX Subtotal</t>
        </is>
      </c>
      <c r="C20" s="9">
        <f>SUM(C10:C19)</f>
        <v/>
      </c>
      <c r="D20" s="9">
        <f>SUM(D10:D19)</f>
        <v/>
      </c>
      <c r="E20" s="9">
        <f>SUM(E10:E19)</f>
        <v/>
      </c>
      <c r="F20" s="9">
        <f>SUM(F10:F19)</f>
        <v/>
      </c>
      <c r="G20" s="9">
        <f>SUM(G10:G19)</f>
        <v/>
      </c>
      <c r="H20" s="9">
        <f>SUM(H10:H19)</f>
        <v/>
      </c>
      <c r="I20" s="9">
        <f>SUM(I10:I19)</f>
        <v/>
      </c>
      <c r="J20" s="9">
        <f>SUM(J10:J19)</f>
        <v/>
      </c>
      <c r="K20" s="9">
        <f>SUM(K10:K19)</f>
        <v/>
      </c>
      <c r="L20" s="9">
        <f>SUM(L10:L19)</f>
        <v/>
      </c>
      <c r="M20" s="9">
        <f>SUM(M10:M19)</f>
        <v/>
      </c>
      <c r="N20" s="9">
        <f>SUM(N10:N19)</f>
        <v/>
      </c>
      <c r="O20" s="9">
        <f>SUM(O10:O19)</f>
        <v/>
      </c>
      <c r="P20" s="9">
        <f>SUM(P10:P19)</f>
        <v/>
      </c>
      <c r="Q20" s="9">
        <f>SUM(Q10:Q19)</f>
        <v/>
      </c>
      <c r="R20" s="9">
        <f>SUM(R10:R19)</f>
        <v/>
      </c>
      <c r="S20" s="9">
        <f>SUM(S10:S19)</f>
        <v/>
      </c>
      <c r="T20" s="9">
        <f>SUM(T10:T19)</f>
        <v/>
      </c>
      <c r="U20" s="9">
        <f>SUM(U10:U19)</f>
        <v/>
      </c>
      <c r="V20" s="9">
        <f>SUM(V10:V19)</f>
        <v/>
      </c>
      <c r="W20" s="9">
        <f>SUM(W10:W19)</f>
        <v/>
      </c>
      <c r="X20" s="9">
        <f>SUM(X10:X19)</f>
        <v/>
      </c>
      <c r="Y20" s="9">
        <f>SUM(Y10:Y19)</f>
        <v/>
      </c>
      <c r="Z20" s="9">
        <f>SUM(Z10:Z19)</f>
        <v/>
      </c>
      <c r="AA20" s="9">
        <f>SUM(AA10:AA19)</f>
        <v/>
      </c>
      <c r="AB20" s="9">
        <f>SUM(AB10:AB19)</f>
        <v/>
      </c>
      <c r="AC20" s="9">
        <f>SUM(AC10:AC19)</f>
        <v/>
      </c>
      <c r="AD20" s="9">
        <f>SUM(AD10:AD19)</f>
        <v/>
      </c>
      <c r="AE20" s="9">
        <f>SUM(AE10:AE19)</f>
        <v/>
      </c>
      <c r="AF20" s="9">
        <f>SUM(AF10:AF19)</f>
        <v/>
      </c>
      <c r="AG20" s="9">
        <f>SUM(AG10:AG19)</f>
        <v/>
      </c>
      <c r="AH20" s="9">
        <f>SUM(AH10:AH19)</f>
        <v/>
      </c>
      <c r="AI20" s="9">
        <f>SUM(AI10:AI19)</f>
        <v/>
      </c>
      <c r="AJ20" s="9">
        <f>SUM(AJ10:AJ19)</f>
        <v/>
      </c>
      <c r="AK20" s="9">
        <f>SUM(AK10:AK19)</f>
        <v/>
      </c>
      <c r="AL20" s="9">
        <f>SUM(AL10:AL19)</f>
        <v/>
      </c>
      <c r="AM20" s="9">
        <f>SUM(AM10:AM19)</f>
        <v/>
      </c>
      <c r="AN20" s="9">
        <f>SUM(AN10:AN19)</f>
        <v/>
      </c>
      <c r="AO20" s="9">
        <f>SUM(AO10:AO19)</f>
        <v/>
      </c>
      <c r="AP20" s="9">
        <f>SUM(AP10:AP19)</f>
        <v/>
      </c>
      <c r="AQ20" s="9">
        <f>SUM(AQ10:AQ19)</f>
        <v/>
      </c>
      <c r="AR20" s="9">
        <f>SUM(AR10:AR19)</f>
        <v/>
      </c>
    </row>
    <row r="21">
      <c r="A21" s="4" t="inlineStr">
        <is>
          <t xml:space="preserve">  Contingency</t>
        </is>
      </c>
      <c r="B21" s="4" t="inlineStr">
        <is>
          <t>M VND</t>
        </is>
      </c>
      <c r="C21" s="10">
        <f>C20*opex_contingency_pct</f>
        <v/>
      </c>
      <c r="D21" s="10">
        <f>D20*opex_contingency_pct</f>
        <v/>
      </c>
      <c r="E21" s="10">
        <f>E20*opex_contingency_pct</f>
        <v/>
      </c>
      <c r="F21" s="10">
        <f>F20*opex_contingency_pct</f>
        <v/>
      </c>
      <c r="G21" s="10">
        <f>G20*opex_contingency_pct</f>
        <v/>
      </c>
      <c r="H21" s="10">
        <f>H20*opex_contingency_pct</f>
        <v/>
      </c>
      <c r="I21" s="10">
        <f>I20*opex_contingency_pct</f>
        <v/>
      </c>
      <c r="J21" s="10">
        <f>J20*opex_contingency_pct</f>
        <v/>
      </c>
      <c r="K21" s="10">
        <f>K20*opex_contingency_pct</f>
        <v/>
      </c>
      <c r="L21" s="10">
        <f>L20*opex_contingency_pct</f>
        <v/>
      </c>
      <c r="M21" s="10">
        <f>M20*opex_contingency_pct</f>
        <v/>
      </c>
      <c r="N21" s="10">
        <f>N20*opex_contingency_pct</f>
        <v/>
      </c>
      <c r="O21" s="10">
        <f>O20*opex_contingency_pct</f>
        <v/>
      </c>
      <c r="P21" s="10">
        <f>P20*opex_contingency_pct</f>
        <v/>
      </c>
      <c r="Q21" s="10">
        <f>Q20*opex_contingency_pct</f>
        <v/>
      </c>
      <c r="R21" s="10">
        <f>R20*opex_contingency_pct</f>
        <v/>
      </c>
      <c r="S21" s="10">
        <f>S20*opex_contingency_pct</f>
        <v/>
      </c>
      <c r="T21" s="10">
        <f>T20*opex_contingency_pct</f>
        <v/>
      </c>
      <c r="U21" s="10">
        <f>U20*opex_contingency_pct</f>
        <v/>
      </c>
      <c r="V21" s="10">
        <f>V20*opex_contingency_pct</f>
        <v/>
      </c>
      <c r="W21" s="10">
        <f>W20*opex_contingency_pct</f>
        <v/>
      </c>
      <c r="X21" s="10">
        <f>X20*opex_contingency_pct</f>
        <v/>
      </c>
      <c r="Y21" s="10">
        <f>Y20*opex_contingency_pct</f>
        <v/>
      </c>
      <c r="Z21" s="10">
        <f>Z20*opex_contingency_pct</f>
        <v/>
      </c>
      <c r="AA21" s="10">
        <f>AA20*opex_contingency_pct</f>
        <v/>
      </c>
      <c r="AB21" s="10">
        <f>AB20*opex_contingency_pct</f>
        <v/>
      </c>
      <c r="AC21" s="10">
        <f>AC20*opex_contingency_pct</f>
        <v/>
      </c>
      <c r="AD21" s="10">
        <f>AD20*opex_contingency_pct</f>
        <v/>
      </c>
      <c r="AE21" s="10">
        <f>AE20*opex_contingency_pct</f>
        <v/>
      </c>
      <c r="AF21" s="10">
        <f>AF20*opex_contingency_pct</f>
        <v/>
      </c>
      <c r="AG21" s="10">
        <f>AG20*opex_contingency_pct</f>
        <v/>
      </c>
      <c r="AH21" s="10">
        <f>AH20*opex_contingency_pct</f>
        <v/>
      </c>
      <c r="AI21" s="10">
        <f>AI20*opex_contingency_pct</f>
        <v/>
      </c>
      <c r="AJ21" s="10">
        <f>AJ20*opex_contingency_pct</f>
        <v/>
      </c>
      <c r="AK21" s="10">
        <f>AK20*opex_contingency_pct</f>
        <v/>
      </c>
      <c r="AL21" s="10">
        <f>AL20*opex_contingency_pct</f>
        <v/>
      </c>
      <c r="AM21" s="10">
        <f>AM20*opex_contingency_pct</f>
        <v/>
      </c>
      <c r="AN21" s="10">
        <f>AN20*opex_contingency_pct</f>
        <v/>
      </c>
      <c r="AO21" s="10">
        <f>AO20*opex_contingency_pct</f>
        <v/>
      </c>
      <c r="AP21" s="10">
        <f>AP20*opex_contingency_pct</f>
        <v/>
      </c>
      <c r="AQ21" s="10">
        <f>AQ20*opex_contingency_pct</f>
        <v/>
      </c>
      <c r="AR21" s="10">
        <f>AR20*opex_contingency_pct</f>
        <v/>
      </c>
    </row>
    <row r="22">
      <c r="A22" s="4" t="inlineStr">
        <is>
          <t>TOTAL OPEX</t>
        </is>
      </c>
      <c r="C22" s="9">
        <f>C20+C21</f>
        <v/>
      </c>
      <c r="D22" s="9">
        <f>D20+D21</f>
        <v/>
      </c>
      <c r="E22" s="9">
        <f>E20+E21</f>
        <v/>
      </c>
      <c r="F22" s="9">
        <f>F20+F21</f>
        <v/>
      </c>
      <c r="G22" s="9">
        <f>G20+G21</f>
        <v/>
      </c>
      <c r="H22" s="9">
        <f>H20+H21</f>
        <v/>
      </c>
      <c r="I22" s="9">
        <f>I20+I21</f>
        <v/>
      </c>
      <c r="J22" s="9">
        <f>J20+J21</f>
        <v/>
      </c>
      <c r="K22" s="9">
        <f>K20+K21</f>
        <v/>
      </c>
      <c r="L22" s="9">
        <f>L20+L21</f>
        <v/>
      </c>
      <c r="M22" s="9">
        <f>M20+M21</f>
        <v/>
      </c>
      <c r="N22" s="9">
        <f>N20+N21</f>
        <v/>
      </c>
      <c r="O22" s="9">
        <f>O20+O21</f>
        <v/>
      </c>
      <c r="P22" s="9">
        <f>P20+P21</f>
        <v/>
      </c>
      <c r="Q22" s="9">
        <f>Q20+Q21</f>
        <v/>
      </c>
      <c r="R22" s="9">
        <f>R20+R21</f>
        <v/>
      </c>
      <c r="S22" s="9">
        <f>S20+S21</f>
        <v/>
      </c>
      <c r="T22" s="9">
        <f>T20+T21</f>
        <v/>
      </c>
      <c r="U22" s="9">
        <f>U20+U21</f>
        <v/>
      </c>
      <c r="V22" s="9">
        <f>V20+V21</f>
        <v/>
      </c>
      <c r="W22" s="9">
        <f>W20+W21</f>
        <v/>
      </c>
      <c r="X22" s="9">
        <f>X20+X21</f>
        <v/>
      </c>
      <c r="Y22" s="9">
        <f>Y20+Y21</f>
        <v/>
      </c>
      <c r="Z22" s="9">
        <f>Z20+Z21</f>
        <v/>
      </c>
      <c r="AA22" s="9">
        <f>AA20+AA21</f>
        <v/>
      </c>
      <c r="AB22" s="9">
        <f>AB20+AB21</f>
        <v/>
      </c>
      <c r="AC22" s="9">
        <f>AC20+AC21</f>
        <v/>
      </c>
      <c r="AD22" s="9">
        <f>AD20+AD21</f>
        <v/>
      </c>
      <c r="AE22" s="9">
        <f>AE20+AE21</f>
        <v/>
      </c>
      <c r="AF22" s="9">
        <f>AF20+AF21</f>
        <v/>
      </c>
      <c r="AG22" s="9">
        <f>AG20+AG21</f>
        <v/>
      </c>
      <c r="AH22" s="9">
        <f>AH20+AH21</f>
        <v/>
      </c>
      <c r="AI22" s="9">
        <f>AI20+AI21</f>
        <v/>
      </c>
      <c r="AJ22" s="9">
        <f>AJ20+AJ21</f>
        <v/>
      </c>
      <c r="AK22" s="9">
        <f>AK20+AK21</f>
        <v/>
      </c>
      <c r="AL22" s="9">
        <f>AL20+AL21</f>
        <v/>
      </c>
      <c r="AM22" s="9">
        <f>AM20+AM21</f>
        <v/>
      </c>
      <c r="AN22" s="9">
        <f>AN20+AN21</f>
        <v/>
      </c>
      <c r="AO22" s="9">
        <f>AO20+AO21</f>
        <v/>
      </c>
      <c r="AP22" s="9">
        <f>AP20+AP21</f>
        <v/>
      </c>
      <c r="AQ22" s="9">
        <f>AQ20+AQ21</f>
        <v/>
      </c>
      <c r="AR22" s="9">
        <f>AR20+AR21</f>
        <v/>
      </c>
    </row>
    <row r="23"/>
    <row r="24">
      <c r="A24" s="4" t="inlineStr">
        <is>
          <t>TOTAL COSTS</t>
        </is>
      </c>
      <c r="C24" s="9">
        <f>C7+C22</f>
        <v/>
      </c>
      <c r="D24" s="9">
        <f>D7+D22</f>
        <v/>
      </c>
      <c r="E24" s="9">
        <f>E7+E22</f>
        <v/>
      </c>
      <c r="F24" s="9">
        <f>F7+F22</f>
        <v/>
      </c>
      <c r="G24" s="9">
        <f>G7+G22</f>
        <v/>
      </c>
      <c r="H24" s="9">
        <f>H7+H22</f>
        <v/>
      </c>
      <c r="I24" s="9">
        <f>I7+I22</f>
        <v/>
      </c>
      <c r="J24" s="9">
        <f>J7+J22</f>
        <v/>
      </c>
      <c r="K24" s="9">
        <f>K7+K22</f>
        <v/>
      </c>
      <c r="L24" s="9">
        <f>L7+L22</f>
        <v/>
      </c>
      <c r="M24" s="9">
        <f>M7+M22</f>
        <v/>
      </c>
      <c r="N24" s="9">
        <f>N7+N22</f>
        <v/>
      </c>
      <c r="O24" s="9">
        <f>O7+O22</f>
        <v/>
      </c>
      <c r="P24" s="9">
        <f>P7+P22</f>
        <v/>
      </c>
      <c r="Q24" s="9">
        <f>Q7+Q22</f>
        <v/>
      </c>
      <c r="R24" s="9">
        <f>R7+R22</f>
        <v/>
      </c>
      <c r="S24" s="9">
        <f>S7+S22</f>
        <v/>
      </c>
      <c r="T24" s="9">
        <f>T7+T22</f>
        <v/>
      </c>
      <c r="U24" s="9">
        <f>U7+U22</f>
        <v/>
      </c>
      <c r="V24" s="9">
        <f>V7+V22</f>
        <v/>
      </c>
      <c r="W24" s="9">
        <f>W7+W22</f>
        <v/>
      </c>
      <c r="X24" s="9">
        <f>X7+X22</f>
        <v/>
      </c>
      <c r="Y24" s="9">
        <f>Y7+Y22</f>
        <v/>
      </c>
      <c r="Z24" s="9">
        <f>Z7+Z22</f>
        <v/>
      </c>
      <c r="AA24" s="9">
        <f>AA7+AA22</f>
        <v/>
      </c>
      <c r="AB24" s="9">
        <f>AB7+AB22</f>
        <v/>
      </c>
      <c r="AC24" s="9">
        <f>AC7+AC22</f>
        <v/>
      </c>
      <c r="AD24" s="9">
        <f>AD7+AD22</f>
        <v/>
      </c>
      <c r="AE24" s="9">
        <f>AE7+AE22</f>
        <v/>
      </c>
      <c r="AF24" s="9">
        <f>AF7+AF22</f>
        <v/>
      </c>
      <c r="AG24" s="9">
        <f>AG7+AG22</f>
        <v/>
      </c>
      <c r="AH24" s="9">
        <f>AH7+AH22</f>
        <v/>
      </c>
      <c r="AI24" s="9">
        <f>AI7+AI22</f>
        <v/>
      </c>
      <c r="AJ24" s="9">
        <f>AJ7+AJ22</f>
        <v/>
      </c>
      <c r="AK24" s="9">
        <f>AK7+AK22</f>
        <v/>
      </c>
      <c r="AL24" s="9">
        <f>AL7+AL22</f>
        <v/>
      </c>
      <c r="AM24" s="9">
        <f>AM7+AM22</f>
        <v/>
      </c>
      <c r="AN24" s="9">
        <f>AN7+AN22</f>
        <v/>
      </c>
      <c r="AO24" s="9">
        <f>AO7+AO22</f>
        <v/>
      </c>
      <c r="AP24" s="9">
        <f>AP7+AP22</f>
        <v/>
      </c>
      <c r="AQ24" s="9">
        <f>AQ7+AQ22</f>
        <v/>
      </c>
      <c r="AR24" s="9">
        <f>AR7+AR22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7030A0"/>
    <outlinePr summaryBelow="1" summaryRight="1"/>
    <pageSetUpPr/>
  </sheetPr>
  <dimension ref="A1:AR18"/>
  <sheetViews>
    <sheetView workbookViewId="0">
      <selection activeCell="A1" sqref="A1"/>
    </sheetView>
  </sheetViews>
  <sheetFormatPr baseColWidth="8" defaultRowHeight="14.4"/>
  <cols>
    <col width="38" customWidth="1" style="62" min="1" max="1"/>
    <col width="10" customWidth="1" style="62" min="2" max="2"/>
    <col width="11" customWidth="1" style="62" min="3" max="44"/>
  </cols>
  <sheetData>
    <row r="1">
      <c r="A1" s="29" t="inlineStr">
        <is>
          <t>P&amp;L (M VND)</t>
        </is>
      </c>
    </row>
    <row r="3">
      <c r="A3" s="3" t="inlineStr">
        <is>
          <t>Item</t>
        </is>
      </c>
      <c r="B3" s="3" t="inlineStr">
        <is>
          <t>Unit</t>
        </is>
      </c>
      <c r="C3" s="3" t="inlineStr">
        <is>
          <t>Jul 2025</t>
        </is>
      </c>
      <c r="D3" s="3" t="inlineStr">
        <is>
          <t>Aug 2025</t>
        </is>
      </c>
      <c r="E3" s="3" t="inlineStr">
        <is>
          <t>Sep 2025</t>
        </is>
      </c>
      <c r="F3" s="3" t="inlineStr">
        <is>
          <t>Oct 2025</t>
        </is>
      </c>
      <c r="G3" s="3" t="inlineStr">
        <is>
          <t>Nov 2025</t>
        </is>
      </c>
      <c r="H3" s="3" t="inlineStr">
        <is>
          <t>Dec 2025</t>
        </is>
      </c>
      <c r="I3" s="3" t="inlineStr">
        <is>
          <t>Jan 2026</t>
        </is>
      </c>
      <c r="J3" s="3" t="inlineStr">
        <is>
          <t>Feb 2026</t>
        </is>
      </c>
      <c r="K3" s="3" t="inlineStr">
        <is>
          <t>Mar 2026</t>
        </is>
      </c>
      <c r="L3" s="3" t="inlineStr">
        <is>
          <t>Apr 2026</t>
        </is>
      </c>
      <c r="M3" s="3" t="inlineStr">
        <is>
          <t>May 2026</t>
        </is>
      </c>
      <c r="N3" s="3" t="inlineStr">
        <is>
          <t>Jun 2026</t>
        </is>
      </c>
      <c r="O3" s="3" t="inlineStr">
        <is>
          <t>Jul 2026</t>
        </is>
      </c>
      <c r="P3" s="3" t="inlineStr">
        <is>
          <t>Aug 2026</t>
        </is>
      </c>
      <c r="Q3" s="3" t="inlineStr">
        <is>
          <t>Sep 2026</t>
        </is>
      </c>
      <c r="R3" s="3" t="inlineStr">
        <is>
          <t>Oct 2026</t>
        </is>
      </c>
      <c r="S3" s="3" t="inlineStr">
        <is>
          <t>Nov 2026</t>
        </is>
      </c>
      <c r="T3" s="3" t="inlineStr">
        <is>
          <t>Dec 2026</t>
        </is>
      </c>
      <c r="U3" s="3" t="inlineStr">
        <is>
          <t>Jan 2027</t>
        </is>
      </c>
      <c r="V3" s="3" t="inlineStr">
        <is>
          <t>Feb 2027</t>
        </is>
      </c>
      <c r="W3" s="3" t="inlineStr">
        <is>
          <t>Mar 2027</t>
        </is>
      </c>
      <c r="X3" s="3" t="inlineStr">
        <is>
          <t>Apr 2027</t>
        </is>
      </c>
      <c r="Y3" s="3" t="inlineStr">
        <is>
          <t>May 2027</t>
        </is>
      </c>
      <c r="Z3" s="3" t="inlineStr">
        <is>
          <t>Jun 2027</t>
        </is>
      </c>
      <c r="AA3" s="3" t="inlineStr">
        <is>
          <t>Jul 2027</t>
        </is>
      </c>
      <c r="AB3" s="3" t="inlineStr">
        <is>
          <t>Aug 2027</t>
        </is>
      </c>
      <c r="AC3" s="3" t="inlineStr">
        <is>
          <t>Sep 2027</t>
        </is>
      </c>
      <c r="AD3" s="3" t="inlineStr">
        <is>
          <t>Oct 2027</t>
        </is>
      </c>
      <c r="AE3" s="3" t="inlineStr">
        <is>
          <t>Nov 2027</t>
        </is>
      </c>
      <c r="AF3" s="3" t="inlineStr">
        <is>
          <t>Dec 2027</t>
        </is>
      </c>
      <c r="AG3" s="3" t="inlineStr">
        <is>
          <t>Q1 2028</t>
        </is>
      </c>
      <c r="AH3" s="3" t="inlineStr">
        <is>
          <t>Q2 2028</t>
        </is>
      </c>
      <c r="AI3" s="3" t="inlineStr">
        <is>
          <t>Q3 2028</t>
        </is>
      </c>
      <c r="AJ3" s="3" t="inlineStr">
        <is>
          <t>Q4 2028</t>
        </is>
      </c>
      <c r="AK3" s="3" t="inlineStr">
        <is>
          <t>Q1 2029</t>
        </is>
      </c>
      <c r="AL3" s="3" t="inlineStr">
        <is>
          <t>Q2 2029</t>
        </is>
      </c>
      <c r="AM3" s="3" t="inlineStr">
        <is>
          <t>Q3 2029</t>
        </is>
      </c>
      <c r="AN3" s="3" t="inlineStr">
        <is>
          <t>Q4 2029</t>
        </is>
      </c>
      <c r="AO3" s="3" t="inlineStr">
        <is>
          <t>Q1 2030</t>
        </is>
      </c>
      <c r="AP3" s="3" t="inlineStr">
        <is>
          <t>Q2 2030</t>
        </is>
      </c>
      <c r="AQ3" s="3" t="inlineStr">
        <is>
          <t>Q3 2030</t>
        </is>
      </c>
      <c r="AR3" s="3" t="inlineStr">
        <is>
          <t>Q4 2030</t>
        </is>
      </c>
    </row>
    <row r="4">
      <c r="A4" s="4" t="inlineStr">
        <is>
          <t>Revenue</t>
        </is>
      </c>
      <c r="C4" s="10">
        <f>'Revenue Schedule'!C16</f>
        <v/>
      </c>
      <c r="D4" s="10">
        <f>'Revenue Schedule'!D16</f>
        <v/>
      </c>
      <c r="E4" s="10">
        <f>'Revenue Schedule'!E16</f>
        <v/>
      </c>
      <c r="F4" s="10">
        <f>'Revenue Schedule'!F16</f>
        <v/>
      </c>
      <c r="G4" s="10">
        <f>'Revenue Schedule'!G16</f>
        <v/>
      </c>
      <c r="H4" s="10">
        <f>'Revenue Schedule'!H16</f>
        <v/>
      </c>
      <c r="I4" s="10">
        <f>'Revenue Schedule'!I16</f>
        <v/>
      </c>
      <c r="J4" s="10">
        <f>'Revenue Schedule'!J16</f>
        <v/>
      </c>
      <c r="K4" s="10">
        <f>'Revenue Schedule'!K16</f>
        <v/>
      </c>
      <c r="L4" s="10">
        <f>'Revenue Schedule'!L16</f>
        <v/>
      </c>
      <c r="M4" s="10">
        <f>'Revenue Schedule'!M16</f>
        <v/>
      </c>
      <c r="N4" s="10">
        <f>'Revenue Schedule'!N16</f>
        <v/>
      </c>
      <c r="O4" s="10">
        <f>'Revenue Schedule'!O16</f>
        <v/>
      </c>
      <c r="P4" s="10">
        <f>'Revenue Schedule'!P16</f>
        <v/>
      </c>
      <c r="Q4" s="10">
        <f>'Revenue Schedule'!Q16</f>
        <v/>
      </c>
      <c r="R4" s="10">
        <f>'Revenue Schedule'!R16</f>
        <v/>
      </c>
      <c r="S4" s="10">
        <f>'Revenue Schedule'!S16</f>
        <v/>
      </c>
      <c r="T4" s="10">
        <f>'Revenue Schedule'!T16</f>
        <v/>
      </c>
      <c r="U4" s="10">
        <f>'Revenue Schedule'!U16</f>
        <v/>
      </c>
      <c r="V4" s="10">
        <f>'Revenue Schedule'!V16</f>
        <v/>
      </c>
      <c r="W4" s="10">
        <f>'Revenue Schedule'!W16</f>
        <v/>
      </c>
      <c r="X4" s="10">
        <f>'Revenue Schedule'!X16</f>
        <v/>
      </c>
      <c r="Y4" s="10">
        <f>'Revenue Schedule'!Y16</f>
        <v/>
      </c>
      <c r="Z4" s="10">
        <f>'Revenue Schedule'!Z16</f>
        <v/>
      </c>
      <c r="AA4" s="10">
        <f>'Revenue Schedule'!AA16</f>
        <v/>
      </c>
      <c r="AB4" s="10">
        <f>'Revenue Schedule'!AB16</f>
        <v/>
      </c>
      <c r="AC4" s="10">
        <f>'Revenue Schedule'!AC16</f>
        <v/>
      </c>
      <c r="AD4" s="10">
        <f>'Revenue Schedule'!AD16</f>
        <v/>
      </c>
      <c r="AE4" s="10">
        <f>'Revenue Schedule'!AE16</f>
        <v/>
      </c>
      <c r="AF4" s="10">
        <f>'Revenue Schedule'!AF16</f>
        <v/>
      </c>
      <c r="AG4" s="10">
        <f>'Revenue Schedule'!AG16</f>
        <v/>
      </c>
      <c r="AH4" s="10">
        <f>'Revenue Schedule'!AH16</f>
        <v/>
      </c>
      <c r="AI4" s="10">
        <f>'Revenue Schedule'!AI16</f>
        <v/>
      </c>
      <c r="AJ4" s="10">
        <f>'Revenue Schedule'!AJ16</f>
        <v/>
      </c>
      <c r="AK4" s="10">
        <f>'Revenue Schedule'!AK16</f>
        <v/>
      </c>
      <c r="AL4" s="10">
        <f>'Revenue Schedule'!AL16</f>
        <v/>
      </c>
      <c r="AM4" s="10">
        <f>'Revenue Schedule'!AM16</f>
        <v/>
      </c>
      <c r="AN4" s="10">
        <f>'Revenue Schedule'!AN16</f>
        <v/>
      </c>
      <c r="AO4" s="10">
        <f>'Revenue Schedule'!AO16</f>
        <v/>
      </c>
      <c r="AP4" s="10">
        <f>'Revenue Schedule'!AP16</f>
        <v/>
      </c>
      <c r="AQ4" s="10">
        <f>'Revenue Schedule'!AQ16</f>
        <v/>
      </c>
      <c r="AR4" s="10">
        <f>'Revenue Schedule'!AR16</f>
        <v/>
      </c>
    </row>
    <row r="5">
      <c r="A5" s="4" t="inlineStr">
        <is>
          <t>COGS</t>
        </is>
      </c>
      <c r="C5" s="10">
        <f>-'Revenue Schedule'!C20</f>
        <v/>
      </c>
      <c r="D5" s="10">
        <f>-'Revenue Schedule'!D20</f>
        <v/>
      </c>
      <c r="E5" s="10">
        <f>-'Revenue Schedule'!E20</f>
        <v/>
      </c>
      <c r="F5" s="10">
        <f>-'Revenue Schedule'!F20</f>
        <v/>
      </c>
      <c r="G5" s="10">
        <f>-'Revenue Schedule'!G20</f>
        <v/>
      </c>
      <c r="H5" s="10">
        <f>-'Revenue Schedule'!H20</f>
        <v/>
      </c>
      <c r="I5" s="10">
        <f>-'Revenue Schedule'!I20</f>
        <v/>
      </c>
      <c r="J5" s="10">
        <f>-'Revenue Schedule'!J20</f>
        <v/>
      </c>
      <c r="K5" s="10">
        <f>-'Revenue Schedule'!K20</f>
        <v/>
      </c>
      <c r="L5" s="10">
        <f>-'Revenue Schedule'!L20</f>
        <v/>
      </c>
      <c r="M5" s="10">
        <f>-'Revenue Schedule'!M20</f>
        <v/>
      </c>
      <c r="N5" s="10">
        <f>-'Revenue Schedule'!N20</f>
        <v/>
      </c>
      <c r="O5" s="10">
        <f>-'Revenue Schedule'!O20</f>
        <v/>
      </c>
      <c r="P5" s="10">
        <f>-'Revenue Schedule'!P20</f>
        <v/>
      </c>
      <c r="Q5" s="10">
        <f>-'Revenue Schedule'!Q20</f>
        <v/>
      </c>
      <c r="R5" s="10">
        <f>-'Revenue Schedule'!R20</f>
        <v/>
      </c>
      <c r="S5" s="10">
        <f>-'Revenue Schedule'!S20</f>
        <v/>
      </c>
      <c r="T5" s="10">
        <f>-'Revenue Schedule'!T20</f>
        <v/>
      </c>
      <c r="U5" s="10">
        <f>-'Revenue Schedule'!U20</f>
        <v/>
      </c>
      <c r="V5" s="10">
        <f>-'Revenue Schedule'!V20</f>
        <v/>
      </c>
      <c r="W5" s="10">
        <f>-'Revenue Schedule'!W20</f>
        <v/>
      </c>
      <c r="X5" s="10">
        <f>-'Revenue Schedule'!X20</f>
        <v/>
      </c>
      <c r="Y5" s="10">
        <f>-'Revenue Schedule'!Y20</f>
        <v/>
      </c>
      <c r="Z5" s="10">
        <f>-'Revenue Schedule'!Z20</f>
        <v/>
      </c>
      <c r="AA5" s="10">
        <f>-'Revenue Schedule'!AA20</f>
        <v/>
      </c>
      <c r="AB5" s="10">
        <f>-'Revenue Schedule'!AB20</f>
        <v/>
      </c>
      <c r="AC5" s="10">
        <f>-'Revenue Schedule'!AC20</f>
        <v/>
      </c>
      <c r="AD5" s="10">
        <f>-'Revenue Schedule'!AD20</f>
        <v/>
      </c>
      <c r="AE5" s="10">
        <f>-'Revenue Schedule'!AE20</f>
        <v/>
      </c>
      <c r="AF5" s="10">
        <f>-'Revenue Schedule'!AF20</f>
        <v/>
      </c>
      <c r="AG5" s="10">
        <f>-'Revenue Schedule'!AG20</f>
        <v/>
      </c>
      <c r="AH5" s="10">
        <f>-'Revenue Schedule'!AH20</f>
        <v/>
      </c>
      <c r="AI5" s="10">
        <f>-'Revenue Schedule'!AI20</f>
        <v/>
      </c>
      <c r="AJ5" s="10">
        <f>-'Revenue Schedule'!AJ20</f>
        <v/>
      </c>
      <c r="AK5" s="10">
        <f>-'Revenue Schedule'!AK20</f>
        <v/>
      </c>
      <c r="AL5" s="10">
        <f>-'Revenue Schedule'!AL20</f>
        <v/>
      </c>
      <c r="AM5" s="10">
        <f>-'Revenue Schedule'!AM20</f>
        <v/>
      </c>
      <c r="AN5" s="10">
        <f>-'Revenue Schedule'!AN20</f>
        <v/>
      </c>
      <c r="AO5" s="10">
        <f>-'Revenue Schedule'!AO20</f>
        <v/>
      </c>
      <c r="AP5" s="10">
        <f>-'Revenue Schedule'!AP20</f>
        <v/>
      </c>
      <c r="AQ5" s="10">
        <f>-'Revenue Schedule'!AQ20</f>
        <v/>
      </c>
      <c r="AR5" s="10">
        <f>-'Revenue Schedule'!AR20</f>
        <v/>
      </c>
    </row>
    <row r="6">
      <c r="A6" s="4" t="inlineStr">
        <is>
          <t>GROSS PROFIT</t>
        </is>
      </c>
      <c r="C6" s="9">
        <f>C4+C5</f>
        <v/>
      </c>
      <c r="D6" s="9">
        <f>D4+D5</f>
        <v/>
      </c>
      <c r="E6" s="9">
        <f>E4+E5</f>
        <v/>
      </c>
      <c r="F6" s="9">
        <f>F4+F5</f>
        <v/>
      </c>
      <c r="G6" s="9">
        <f>G4+G5</f>
        <v/>
      </c>
      <c r="H6" s="9">
        <f>H4+H5</f>
        <v/>
      </c>
      <c r="I6" s="9">
        <f>I4+I5</f>
        <v/>
      </c>
      <c r="J6" s="9">
        <f>J4+J5</f>
        <v/>
      </c>
      <c r="K6" s="9">
        <f>K4+K5</f>
        <v/>
      </c>
      <c r="L6" s="9">
        <f>L4+L5</f>
        <v/>
      </c>
      <c r="M6" s="9">
        <f>M4+M5</f>
        <v/>
      </c>
      <c r="N6" s="9">
        <f>N4+N5</f>
        <v/>
      </c>
      <c r="O6" s="9">
        <f>O4+O5</f>
        <v/>
      </c>
      <c r="P6" s="9">
        <f>P4+P5</f>
        <v/>
      </c>
      <c r="Q6" s="9">
        <f>Q4+Q5</f>
        <v/>
      </c>
      <c r="R6" s="9">
        <f>R4+R5</f>
        <v/>
      </c>
      <c r="S6" s="9">
        <f>S4+S5</f>
        <v/>
      </c>
      <c r="T6" s="9">
        <f>T4+T5</f>
        <v/>
      </c>
      <c r="U6" s="9">
        <f>U4+U5</f>
        <v/>
      </c>
      <c r="V6" s="9">
        <f>V4+V5</f>
        <v/>
      </c>
      <c r="W6" s="9">
        <f>W4+W5</f>
        <v/>
      </c>
      <c r="X6" s="9">
        <f>X4+X5</f>
        <v/>
      </c>
      <c r="Y6" s="9">
        <f>Y4+Y5</f>
        <v/>
      </c>
      <c r="Z6" s="9">
        <f>Z4+Z5</f>
        <v/>
      </c>
      <c r="AA6" s="9">
        <f>AA4+AA5</f>
        <v/>
      </c>
      <c r="AB6" s="9">
        <f>AB4+AB5</f>
        <v/>
      </c>
      <c r="AC6" s="9">
        <f>AC4+AC5</f>
        <v/>
      </c>
      <c r="AD6" s="9">
        <f>AD4+AD5</f>
        <v/>
      </c>
      <c r="AE6" s="9">
        <f>AE4+AE5</f>
        <v/>
      </c>
      <c r="AF6" s="9">
        <f>AF4+AF5</f>
        <v/>
      </c>
      <c r="AG6" s="9">
        <f>AG4+AG5</f>
        <v/>
      </c>
      <c r="AH6" s="9">
        <f>AH4+AH5</f>
        <v/>
      </c>
      <c r="AI6" s="9">
        <f>AI4+AI5</f>
        <v/>
      </c>
      <c r="AJ6" s="9">
        <f>AJ4+AJ5</f>
        <v/>
      </c>
      <c r="AK6" s="9">
        <f>AK4+AK5</f>
        <v/>
      </c>
      <c r="AL6" s="9">
        <f>AL4+AL5</f>
        <v/>
      </c>
      <c r="AM6" s="9">
        <f>AM4+AM5</f>
        <v/>
      </c>
      <c r="AN6" s="9">
        <f>AN4+AN5</f>
        <v/>
      </c>
      <c r="AO6" s="9">
        <f>AO4+AO5</f>
        <v/>
      </c>
      <c r="AP6" s="9">
        <f>AP4+AP5</f>
        <v/>
      </c>
      <c r="AQ6" s="9">
        <f>AQ4+AQ5</f>
        <v/>
      </c>
      <c r="AR6" s="9">
        <f>AR4+AR5</f>
        <v/>
      </c>
    </row>
    <row r="8">
      <c r="A8" s="4" t="inlineStr">
        <is>
          <t>OPEX</t>
        </is>
      </c>
      <c r="C8" s="10">
        <f>-'Cost Schedule'!C22</f>
        <v/>
      </c>
      <c r="D8" s="10">
        <f>-'Cost Schedule'!D22</f>
        <v/>
      </c>
      <c r="E8" s="10">
        <f>-'Cost Schedule'!E22</f>
        <v/>
      </c>
      <c r="F8" s="10">
        <f>-'Cost Schedule'!F22</f>
        <v/>
      </c>
      <c r="G8" s="10">
        <f>-'Cost Schedule'!G22</f>
        <v/>
      </c>
      <c r="H8" s="10">
        <f>-'Cost Schedule'!H22</f>
        <v/>
      </c>
      <c r="I8" s="10">
        <f>-'Cost Schedule'!I22</f>
        <v/>
      </c>
      <c r="J8" s="10">
        <f>-'Cost Schedule'!J22</f>
        <v/>
      </c>
      <c r="K8" s="10">
        <f>-'Cost Schedule'!K22</f>
        <v/>
      </c>
      <c r="L8" s="10">
        <f>-'Cost Schedule'!L22</f>
        <v/>
      </c>
      <c r="M8" s="10">
        <f>-'Cost Schedule'!M22</f>
        <v/>
      </c>
      <c r="N8" s="10">
        <f>-'Cost Schedule'!N22</f>
        <v/>
      </c>
      <c r="O8" s="10">
        <f>-'Cost Schedule'!O22</f>
        <v/>
      </c>
      <c r="P8" s="10">
        <f>-'Cost Schedule'!P22</f>
        <v/>
      </c>
      <c r="Q8" s="10">
        <f>-'Cost Schedule'!Q22</f>
        <v/>
      </c>
      <c r="R8" s="10">
        <f>-'Cost Schedule'!R22</f>
        <v/>
      </c>
      <c r="S8" s="10">
        <f>-'Cost Schedule'!S22</f>
        <v/>
      </c>
      <c r="T8" s="10">
        <f>-'Cost Schedule'!T22</f>
        <v/>
      </c>
      <c r="U8" s="10">
        <f>-'Cost Schedule'!U22</f>
        <v/>
      </c>
      <c r="V8" s="10">
        <f>-'Cost Schedule'!V22</f>
        <v/>
      </c>
      <c r="W8" s="10">
        <f>-'Cost Schedule'!W22</f>
        <v/>
      </c>
      <c r="X8" s="10">
        <f>-'Cost Schedule'!X22</f>
        <v/>
      </c>
      <c r="Y8" s="10">
        <f>-'Cost Schedule'!Y22</f>
        <v/>
      </c>
      <c r="Z8" s="10">
        <f>-'Cost Schedule'!Z22</f>
        <v/>
      </c>
      <c r="AA8" s="10">
        <f>-'Cost Schedule'!AA22</f>
        <v/>
      </c>
      <c r="AB8" s="10">
        <f>-'Cost Schedule'!AB22</f>
        <v/>
      </c>
      <c r="AC8" s="10">
        <f>-'Cost Schedule'!AC22</f>
        <v/>
      </c>
      <c r="AD8" s="10">
        <f>-'Cost Schedule'!AD22</f>
        <v/>
      </c>
      <c r="AE8" s="10">
        <f>-'Cost Schedule'!AE22</f>
        <v/>
      </c>
      <c r="AF8" s="10">
        <f>-'Cost Schedule'!AF22</f>
        <v/>
      </c>
      <c r="AG8" s="10">
        <f>-'Cost Schedule'!AG22</f>
        <v/>
      </c>
      <c r="AH8" s="10">
        <f>-'Cost Schedule'!AH22</f>
        <v/>
      </c>
      <c r="AI8" s="10">
        <f>-'Cost Schedule'!AI22</f>
        <v/>
      </c>
      <c r="AJ8" s="10">
        <f>-'Cost Schedule'!AJ22</f>
        <v/>
      </c>
      <c r="AK8" s="10">
        <f>-'Cost Schedule'!AK22</f>
        <v/>
      </c>
      <c r="AL8" s="10">
        <f>-'Cost Schedule'!AL22</f>
        <v/>
      </c>
      <c r="AM8" s="10">
        <f>-'Cost Schedule'!AM22</f>
        <v/>
      </c>
      <c r="AN8" s="10">
        <f>-'Cost Schedule'!AN22</f>
        <v/>
      </c>
      <c r="AO8" s="10">
        <f>-'Cost Schedule'!AO22</f>
        <v/>
      </c>
      <c r="AP8" s="10">
        <f>-'Cost Schedule'!AP22</f>
        <v/>
      </c>
      <c r="AQ8" s="10">
        <f>-'Cost Schedule'!AQ22</f>
        <v/>
      </c>
      <c r="AR8" s="10">
        <f>-'Cost Schedule'!AR22</f>
        <v/>
      </c>
    </row>
    <row r="9">
      <c r="A9" s="4" t="inlineStr">
        <is>
          <t>EBITDA</t>
        </is>
      </c>
      <c r="C9" s="9">
        <f>C6+C8</f>
        <v/>
      </c>
      <c r="D9" s="9">
        <f>D6+D8</f>
        <v/>
      </c>
      <c r="E9" s="9">
        <f>E6+E8</f>
        <v/>
      </c>
      <c r="F9" s="9">
        <f>F6+F8</f>
        <v/>
      </c>
      <c r="G9" s="9">
        <f>G6+G8</f>
        <v/>
      </c>
      <c r="H9" s="9">
        <f>H6+H8</f>
        <v/>
      </c>
      <c r="I9" s="9">
        <f>I6+I8</f>
        <v/>
      </c>
      <c r="J9" s="9">
        <f>J6+J8</f>
        <v/>
      </c>
      <c r="K9" s="9">
        <f>K6+K8</f>
        <v/>
      </c>
      <c r="L9" s="9">
        <f>L6+L8</f>
        <v/>
      </c>
      <c r="M9" s="9">
        <f>M6+M8</f>
        <v/>
      </c>
      <c r="N9" s="9">
        <f>N6+N8</f>
        <v/>
      </c>
      <c r="O9" s="9">
        <f>O6+O8</f>
        <v/>
      </c>
      <c r="P9" s="9">
        <f>P6+P8</f>
        <v/>
      </c>
      <c r="Q9" s="9">
        <f>Q6+Q8</f>
        <v/>
      </c>
      <c r="R9" s="9">
        <f>R6+R8</f>
        <v/>
      </c>
      <c r="S9" s="9">
        <f>S6+S8</f>
        <v/>
      </c>
      <c r="T9" s="9">
        <f>T6+T8</f>
        <v/>
      </c>
      <c r="U9" s="9">
        <f>U6+U8</f>
        <v/>
      </c>
      <c r="V9" s="9">
        <f>V6+V8</f>
        <v/>
      </c>
      <c r="W9" s="9">
        <f>W6+W8</f>
        <v/>
      </c>
      <c r="X9" s="9">
        <f>X6+X8</f>
        <v/>
      </c>
      <c r="Y9" s="9">
        <f>Y6+Y8</f>
        <v/>
      </c>
      <c r="Z9" s="9">
        <f>Z6+Z8</f>
        <v/>
      </c>
      <c r="AA9" s="9">
        <f>AA6+AA8</f>
        <v/>
      </c>
      <c r="AB9" s="9">
        <f>AB6+AB8</f>
        <v/>
      </c>
      <c r="AC9" s="9">
        <f>AC6+AC8</f>
        <v/>
      </c>
      <c r="AD9" s="9">
        <f>AD6+AD8</f>
        <v/>
      </c>
      <c r="AE9" s="9">
        <f>AE6+AE8</f>
        <v/>
      </c>
      <c r="AF9" s="9">
        <f>AF6+AF8</f>
        <v/>
      </c>
      <c r="AG9" s="9">
        <f>AG6+AG8</f>
        <v/>
      </c>
      <c r="AH9" s="9">
        <f>AH6+AH8</f>
        <v/>
      </c>
      <c r="AI9" s="9">
        <f>AI6+AI8</f>
        <v/>
      </c>
      <c r="AJ9" s="9">
        <f>AJ6+AJ8</f>
        <v/>
      </c>
      <c r="AK9" s="9">
        <f>AK6+AK8</f>
        <v/>
      </c>
      <c r="AL9" s="9">
        <f>AL6+AL8</f>
        <v/>
      </c>
      <c r="AM9" s="9">
        <f>AM6+AM8</f>
        <v/>
      </c>
      <c r="AN9" s="9">
        <f>AN6+AN8</f>
        <v/>
      </c>
      <c r="AO9" s="9">
        <f>AO6+AO8</f>
        <v/>
      </c>
      <c r="AP9" s="9">
        <f>AP6+AP8</f>
        <v/>
      </c>
      <c r="AQ9" s="9">
        <f>AQ6+AQ8</f>
        <v/>
      </c>
      <c r="AR9" s="9">
        <f>AR6+AR8</f>
        <v/>
      </c>
    </row>
    <row r="10">
      <c r="A10" s="4" t="inlineStr">
        <is>
          <t>Depreciation</t>
        </is>
      </c>
      <c r="C10" s="10">
        <f>-capex_total/depreciation_years/'Market Sizing'!C6</f>
        <v/>
      </c>
      <c r="D10" s="10">
        <f>-capex_total/depreciation_years/'Market Sizing'!D6</f>
        <v/>
      </c>
      <c r="E10" s="10">
        <f>-capex_total/depreciation_years/'Market Sizing'!E6</f>
        <v/>
      </c>
      <c r="F10" s="10">
        <f>-capex_total/depreciation_years/'Market Sizing'!F6</f>
        <v/>
      </c>
      <c r="G10" s="10">
        <f>-capex_total/depreciation_years/'Market Sizing'!G6</f>
        <v/>
      </c>
      <c r="H10" s="10">
        <f>-capex_total/depreciation_years/'Market Sizing'!H6</f>
        <v/>
      </c>
      <c r="I10" s="10">
        <f>-capex_total/depreciation_years/'Market Sizing'!I6</f>
        <v/>
      </c>
      <c r="J10" s="10">
        <f>-capex_total/depreciation_years/'Market Sizing'!J6</f>
        <v/>
      </c>
      <c r="K10" s="10">
        <f>-capex_total/depreciation_years/'Market Sizing'!K6</f>
        <v/>
      </c>
      <c r="L10" s="10">
        <f>-capex_total/depreciation_years/'Market Sizing'!L6</f>
        <v/>
      </c>
      <c r="M10" s="10">
        <f>-capex_total/depreciation_years/'Market Sizing'!M6</f>
        <v/>
      </c>
      <c r="N10" s="10">
        <f>-capex_total/depreciation_years/'Market Sizing'!N6</f>
        <v/>
      </c>
      <c r="O10" s="10">
        <f>-capex_total/depreciation_years/'Market Sizing'!O6</f>
        <v/>
      </c>
      <c r="P10" s="10">
        <f>-capex_total/depreciation_years/'Market Sizing'!P6</f>
        <v/>
      </c>
      <c r="Q10" s="10">
        <f>-capex_total/depreciation_years/'Market Sizing'!Q6</f>
        <v/>
      </c>
      <c r="R10" s="10">
        <f>-capex_total/depreciation_years/'Market Sizing'!R6</f>
        <v/>
      </c>
      <c r="S10" s="10">
        <f>-capex_total/depreciation_years/'Market Sizing'!S6</f>
        <v/>
      </c>
      <c r="T10" s="10">
        <f>-capex_total/depreciation_years/'Market Sizing'!T6</f>
        <v/>
      </c>
      <c r="U10" s="10">
        <f>-capex_total/depreciation_years/'Market Sizing'!U6</f>
        <v/>
      </c>
      <c r="V10" s="10">
        <f>-capex_total/depreciation_years/'Market Sizing'!V6</f>
        <v/>
      </c>
      <c r="W10" s="10">
        <f>-capex_total/depreciation_years/'Market Sizing'!W6</f>
        <v/>
      </c>
      <c r="X10" s="10">
        <f>-capex_total/depreciation_years/'Market Sizing'!X6</f>
        <v/>
      </c>
      <c r="Y10" s="10">
        <f>-capex_total/depreciation_years/'Market Sizing'!Y6</f>
        <v/>
      </c>
      <c r="Z10" s="10">
        <f>-capex_total/depreciation_years/'Market Sizing'!Z6</f>
        <v/>
      </c>
      <c r="AA10" s="10">
        <f>-capex_total/depreciation_years/'Market Sizing'!AA6</f>
        <v/>
      </c>
      <c r="AB10" s="10">
        <f>-capex_total/depreciation_years/'Market Sizing'!AB6</f>
        <v/>
      </c>
      <c r="AC10" s="10">
        <f>-capex_total/depreciation_years/'Market Sizing'!AC6</f>
        <v/>
      </c>
      <c r="AD10" s="10">
        <f>-capex_total/depreciation_years/'Market Sizing'!AD6</f>
        <v/>
      </c>
      <c r="AE10" s="10">
        <f>-capex_total/depreciation_years/'Market Sizing'!AE6</f>
        <v/>
      </c>
      <c r="AF10" s="10">
        <f>-capex_total/depreciation_years/'Market Sizing'!AF6</f>
        <v/>
      </c>
      <c r="AG10" s="10">
        <f>-capex_total/depreciation_years/'Market Sizing'!AG6</f>
        <v/>
      </c>
      <c r="AH10" s="10">
        <f>-capex_total/depreciation_years/'Market Sizing'!AH6</f>
        <v/>
      </c>
      <c r="AI10" s="10">
        <f>-capex_total/depreciation_years/'Market Sizing'!AI6</f>
        <v/>
      </c>
      <c r="AJ10" s="10">
        <f>-capex_total/depreciation_years/'Market Sizing'!AJ6</f>
        <v/>
      </c>
      <c r="AK10" s="10">
        <f>-capex_total/depreciation_years/'Market Sizing'!AK6</f>
        <v/>
      </c>
      <c r="AL10" s="10">
        <f>-capex_total/depreciation_years/'Market Sizing'!AL6</f>
        <v/>
      </c>
      <c r="AM10" s="10">
        <f>-capex_total/depreciation_years/'Market Sizing'!AM6</f>
        <v/>
      </c>
      <c r="AN10" s="10">
        <f>-capex_total/depreciation_years/'Market Sizing'!AN6</f>
        <v/>
      </c>
      <c r="AO10" s="10">
        <f>0</f>
        <v/>
      </c>
      <c r="AP10" s="10">
        <f>0</f>
        <v/>
      </c>
      <c r="AQ10" s="10">
        <f>0</f>
        <v/>
      </c>
      <c r="AR10" s="10">
        <f>0</f>
        <v/>
      </c>
    </row>
    <row r="11">
      <c r="A11" s="4" t="inlineStr">
        <is>
          <t>EBIT</t>
        </is>
      </c>
      <c r="C11" s="9">
        <f>C9+C10</f>
        <v/>
      </c>
      <c r="D11" s="9">
        <f>D9+D10</f>
        <v/>
      </c>
      <c r="E11" s="9">
        <f>E9+E10</f>
        <v/>
      </c>
      <c r="F11" s="9">
        <f>F9+F10</f>
        <v/>
      </c>
      <c r="G11" s="9">
        <f>G9+G10</f>
        <v/>
      </c>
      <c r="H11" s="9">
        <f>H9+H10</f>
        <v/>
      </c>
      <c r="I11" s="9">
        <f>I9+I10</f>
        <v/>
      </c>
      <c r="J11" s="9">
        <f>J9+J10</f>
        <v/>
      </c>
      <c r="K11" s="9">
        <f>K9+K10</f>
        <v/>
      </c>
      <c r="L11" s="9">
        <f>L9+L10</f>
        <v/>
      </c>
      <c r="M11" s="9">
        <f>M9+M10</f>
        <v/>
      </c>
      <c r="N11" s="9">
        <f>N9+N10</f>
        <v/>
      </c>
      <c r="O11" s="9">
        <f>O9+O10</f>
        <v/>
      </c>
      <c r="P11" s="9">
        <f>P9+P10</f>
        <v/>
      </c>
      <c r="Q11" s="9">
        <f>Q9+Q10</f>
        <v/>
      </c>
      <c r="R11" s="9">
        <f>R9+R10</f>
        <v/>
      </c>
      <c r="S11" s="9">
        <f>S9+S10</f>
        <v/>
      </c>
      <c r="T11" s="9">
        <f>T9+T10</f>
        <v/>
      </c>
      <c r="U11" s="9">
        <f>U9+U10</f>
        <v/>
      </c>
      <c r="V11" s="9">
        <f>V9+V10</f>
        <v/>
      </c>
      <c r="W11" s="9">
        <f>W9+W10</f>
        <v/>
      </c>
      <c r="X11" s="9">
        <f>X9+X10</f>
        <v/>
      </c>
      <c r="Y11" s="9">
        <f>Y9+Y10</f>
        <v/>
      </c>
      <c r="Z11" s="9">
        <f>Z9+Z10</f>
        <v/>
      </c>
      <c r="AA11" s="9">
        <f>AA9+AA10</f>
        <v/>
      </c>
      <c r="AB11" s="9">
        <f>AB9+AB10</f>
        <v/>
      </c>
      <c r="AC11" s="9">
        <f>AC9+AC10</f>
        <v/>
      </c>
      <c r="AD11" s="9">
        <f>AD9+AD10</f>
        <v/>
      </c>
      <c r="AE11" s="9">
        <f>AE9+AE10</f>
        <v/>
      </c>
      <c r="AF11" s="9">
        <f>AF9+AF10</f>
        <v/>
      </c>
      <c r="AG11" s="9">
        <f>AG9+AG10</f>
        <v/>
      </c>
      <c r="AH11" s="9">
        <f>AH9+AH10</f>
        <v/>
      </c>
      <c r="AI11" s="9">
        <f>AI9+AI10</f>
        <v/>
      </c>
      <c r="AJ11" s="9">
        <f>AJ9+AJ10</f>
        <v/>
      </c>
      <c r="AK11" s="9">
        <f>AK9+AK10</f>
        <v/>
      </c>
      <c r="AL11" s="9">
        <f>AL9+AL10</f>
        <v/>
      </c>
      <c r="AM11" s="9">
        <f>AM9+AM10</f>
        <v/>
      </c>
      <c r="AN11" s="9">
        <f>AN9+AN10</f>
        <v/>
      </c>
      <c r="AO11" s="9">
        <f>AO9+AO10</f>
        <v/>
      </c>
      <c r="AP11" s="9">
        <f>AP9+AP10</f>
        <v/>
      </c>
      <c r="AQ11" s="9">
        <f>AQ9+AQ10</f>
        <v/>
      </c>
      <c r="AR11" s="9">
        <f>AR9+AR10</f>
        <v/>
      </c>
    </row>
    <row r="12">
      <c r="A12" s="4" t="inlineStr">
        <is>
          <t>Tax (CIT)</t>
        </is>
      </c>
      <c r="C12" s="10">
        <f>IF(C11&gt;0,-C11*cit_rate,0)</f>
        <v/>
      </c>
      <c r="D12" s="10">
        <f>IF(D11&gt;0,-D11*cit_rate,0)</f>
        <v/>
      </c>
      <c r="E12" s="10">
        <f>IF(E11&gt;0,-E11*cit_rate,0)</f>
        <v/>
      </c>
      <c r="F12" s="10">
        <f>IF(F11&gt;0,-F11*cit_rate,0)</f>
        <v/>
      </c>
      <c r="G12" s="10">
        <f>IF(G11&gt;0,-G11*cit_rate,0)</f>
        <v/>
      </c>
      <c r="H12" s="10">
        <f>IF(H11&gt;0,-H11*cit_rate,0)</f>
        <v/>
      </c>
      <c r="I12" s="10">
        <f>IF(I11&gt;0,-I11*cit_rate,0)</f>
        <v/>
      </c>
      <c r="J12" s="10">
        <f>IF(J11&gt;0,-J11*cit_rate,0)</f>
        <v/>
      </c>
      <c r="K12" s="10">
        <f>IF(K11&gt;0,-K11*cit_rate,0)</f>
        <v/>
      </c>
      <c r="L12" s="10">
        <f>IF(L11&gt;0,-L11*cit_rate,0)</f>
        <v/>
      </c>
      <c r="M12" s="10">
        <f>IF(M11&gt;0,-M11*cit_rate,0)</f>
        <v/>
      </c>
      <c r="N12" s="10">
        <f>IF(N11&gt;0,-N11*cit_rate,0)</f>
        <v/>
      </c>
      <c r="O12" s="10">
        <f>IF(O11&gt;0,-O11*cit_rate,0)</f>
        <v/>
      </c>
      <c r="P12" s="10">
        <f>IF(P11&gt;0,-P11*cit_rate,0)</f>
        <v/>
      </c>
      <c r="Q12" s="10">
        <f>IF(Q11&gt;0,-Q11*cit_rate,0)</f>
        <v/>
      </c>
      <c r="R12" s="10">
        <f>IF(R11&gt;0,-R11*cit_rate,0)</f>
        <v/>
      </c>
      <c r="S12" s="10">
        <f>IF(S11&gt;0,-S11*cit_rate,0)</f>
        <v/>
      </c>
      <c r="T12" s="10">
        <f>IF(T11&gt;0,-T11*cit_rate,0)</f>
        <v/>
      </c>
      <c r="U12" s="10">
        <f>IF(U11&gt;0,-U11*cit_rate,0)</f>
        <v/>
      </c>
      <c r="V12" s="10">
        <f>IF(V11&gt;0,-V11*cit_rate,0)</f>
        <v/>
      </c>
      <c r="W12" s="10">
        <f>IF(W11&gt;0,-W11*cit_rate,0)</f>
        <v/>
      </c>
      <c r="X12" s="10">
        <f>IF(X11&gt;0,-X11*cit_rate,0)</f>
        <v/>
      </c>
      <c r="Y12" s="10">
        <f>IF(Y11&gt;0,-Y11*cit_rate,0)</f>
        <v/>
      </c>
      <c r="Z12" s="10">
        <f>IF(Z11&gt;0,-Z11*cit_rate,0)</f>
        <v/>
      </c>
      <c r="AA12" s="10">
        <f>IF(AA11&gt;0,-AA11*cit_rate,0)</f>
        <v/>
      </c>
      <c r="AB12" s="10">
        <f>IF(AB11&gt;0,-AB11*cit_rate,0)</f>
        <v/>
      </c>
      <c r="AC12" s="10">
        <f>IF(AC11&gt;0,-AC11*cit_rate,0)</f>
        <v/>
      </c>
      <c r="AD12" s="10">
        <f>IF(AD11&gt;0,-AD11*cit_rate,0)</f>
        <v/>
      </c>
      <c r="AE12" s="10">
        <f>IF(AE11&gt;0,-AE11*cit_rate,0)</f>
        <v/>
      </c>
      <c r="AF12" s="10">
        <f>IF(AF11&gt;0,-AF11*cit_rate,0)</f>
        <v/>
      </c>
      <c r="AG12" s="10">
        <f>IF(AG11&gt;0,-AG11*cit_rate,0)</f>
        <v/>
      </c>
      <c r="AH12" s="10">
        <f>IF(AH11&gt;0,-AH11*cit_rate,0)</f>
        <v/>
      </c>
      <c r="AI12" s="10">
        <f>IF(AI11&gt;0,-AI11*cit_rate,0)</f>
        <v/>
      </c>
      <c r="AJ12" s="10">
        <f>IF(AJ11&gt;0,-AJ11*cit_rate,0)</f>
        <v/>
      </c>
      <c r="AK12" s="10">
        <f>IF(AK11&gt;0,-AK11*cit_rate,0)</f>
        <v/>
      </c>
      <c r="AL12" s="10">
        <f>IF(AL11&gt;0,-AL11*cit_rate,0)</f>
        <v/>
      </c>
      <c r="AM12" s="10">
        <f>IF(AM11&gt;0,-AM11*cit_rate,0)</f>
        <v/>
      </c>
      <c r="AN12" s="10">
        <f>IF(AN11&gt;0,-AN11*cit_rate,0)</f>
        <v/>
      </c>
      <c r="AO12" s="10">
        <f>IF(AO11&gt;0,-AO11*cit_rate,0)</f>
        <v/>
      </c>
      <c r="AP12" s="10">
        <f>IF(AP11&gt;0,-AP11*cit_rate,0)</f>
        <v/>
      </c>
      <c r="AQ12" s="10">
        <f>IF(AQ11&gt;0,-AQ11*cit_rate,0)</f>
        <v/>
      </c>
      <c r="AR12" s="10">
        <f>IF(AR11&gt;0,-AR11*cit_rate,0)</f>
        <v/>
      </c>
    </row>
    <row r="13">
      <c r="A13" s="4" t="inlineStr">
        <is>
          <t>NET INCOME</t>
        </is>
      </c>
      <c r="C13" s="9">
        <f>C11+C12</f>
        <v/>
      </c>
      <c r="D13" s="9">
        <f>D11+D12</f>
        <v/>
      </c>
      <c r="E13" s="9">
        <f>E11+E12</f>
        <v/>
      </c>
      <c r="F13" s="9">
        <f>F11+F12</f>
        <v/>
      </c>
      <c r="G13" s="9">
        <f>G11+G12</f>
        <v/>
      </c>
      <c r="H13" s="9">
        <f>H11+H12</f>
        <v/>
      </c>
      <c r="I13" s="9">
        <f>I11+I12</f>
        <v/>
      </c>
      <c r="J13" s="9">
        <f>J11+J12</f>
        <v/>
      </c>
      <c r="K13" s="9">
        <f>K11+K12</f>
        <v/>
      </c>
      <c r="L13" s="9">
        <f>L11+L12</f>
        <v/>
      </c>
      <c r="M13" s="9">
        <f>M11+M12</f>
        <v/>
      </c>
      <c r="N13" s="9">
        <f>N11+N12</f>
        <v/>
      </c>
      <c r="O13" s="9">
        <f>O11+O12</f>
        <v/>
      </c>
      <c r="P13" s="9">
        <f>P11+P12</f>
        <v/>
      </c>
      <c r="Q13" s="9">
        <f>Q11+Q12</f>
        <v/>
      </c>
      <c r="R13" s="9">
        <f>R11+R12</f>
        <v/>
      </c>
      <c r="S13" s="9">
        <f>S11+S12</f>
        <v/>
      </c>
      <c r="T13" s="9">
        <f>T11+T12</f>
        <v/>
      </c>
      <c r="U13" s="9">
        <f>U11+U12</f>
        <v/>
      </c>
      <c r="V13" s="9">
        <f>V11+V12</f>
        <v/>
      </c>
      <c r="W13" s="9">
        <f>W11+W12</f>
        <v/>
      </c>
      <c r="X13" s="9">
        <f>X11+X12</f>
        <v/>
      </c>
      <c r="Y13" s="9">
        <f>Y11+Y12</f>
        <v/>
      </c>
      <c r="Z13" s="9">
        <f>Z11+Z12</f>
        <v/>
      </c>
      <c r="AA13" s="9">
        <f>AA11+AA12</f>
        <v/>
      </c>
      <c r="AB13" s="9">
        <f>AB11+AB12</f>
        <v/>
      </c>
      <c r="AC13" s="9">
        <f>AC11+AC12</f>
        <v/>
      </c>
      <c r="AD13" s="9">
        <f>AD11+AD12</f>
        <v/>
      </c>
      <c r="AE13" s="9">
        <f>AE11+AE12</f>
        <v/>
      </c>
      <c r="AF13" s="9">
        <f>AF11+AF12</f>
        <v/>
      </c>
      <c r="AG13" s="9">
        <f>AG11+AG12</f>
        <v/>
      </c>
      <c r="AH13" s="9">
        <f>AH11+AH12</f>
        <v/>
      </c>
      <c r="AI13" s="9">
        <f>AI11+AI12</f>
        <v/>
      </c>
      <c r="AJ13" s="9">
        <f>AJ11+AJ12</f>
        <v/>
      </c>
      <c r="AK13" s="9">
        <f>AK11+AK12</f>
        <v/>
      </c>
      <c r="AL13" s="9">
        <f>AL11+AL12</f>
        <v/>
      </c>
      <c r="AM13" s="9">
        <f>AM11+AM12</f>
        <v/>
      </c>
      <c r="AN13" s="9">
        <f>AN11+AN12</f>
        <v/>
      </c>
      <c r="AO13" s="9">
        <f>AO11+AO12</f>
        <v/>
      </c>
      <c r="AP13" s="9">
        <f>AP11+AP12</f>
        <v/>
      </c>
      <c r="AQ13" s="9">
        <f>AQ11+AQ12</f>
        <v/>
      </c>
      <c r="AR13" s="9">
        <f>AR11+AR12</f>
        <v/>
      </c>
    </row>
    <row r="15">
      <c r="A15" s="29" t="inlineStr">
        <is>
          <t>MARGINS</t>
        </is>
      </c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/>
      <c r="AL15" s="11" t="n"/>
      <c r="AM15" s="11" t="n"/>
      <c r="AN15" s="11" t="n"/>
      <c r="AO15" s="11" t="n"/>
      <c r="AP15" s="11" t="n"/>
      <c r="AQ15" s="11" t="n"/>
      <c r="AR15" s="11" t="n"/>
    </row>
    <row r="16">
      <c r="A16" s="4" t="inlineStr">
        <is>
          <t>Gross margin</t>
        </is>
      </c>
      <c r="C16" s="17">
        <f>IF(C4=0,0,C6/C4)</f>
        <v/>
      </c>
      <c r="D16" s="17">
        <f>IF(D4=0,0,D6/D4)</f>
        <v/>
      </c>
      <c r="E16" s="17">
        <f>IF(E4=0,0,E6/E4)</f>
        <v/>
      </c>
      <c r="F16" s="17">
        <f>IF(F4=0,0,F6/F4)</f>
        <v/>
      </c>
      <c r="G16" s="17">
        <f>IF(G4=0,0,G6/G4)</f>
        <v/>
      </c>
      <c r="H16" s="17">
        <f>IF(H4=0,0,H6/H4)</f>
        <v/>
      </c>
      <c r="I16" s="17">
        <f>IF(I4=0,0,I6/I4)</f>
        <v/>
      </c>
      <c r="J16" s="17">
        <f>IF(J4=0,0,J6/J4)</f>
        <v/>
      </c>
      <c r="K16" s="17">
        <f>IF(K4=0,0,K6/K4)</f>
        <v/>
      </c>
      <c r="L16" s="17">
        <f>IF(L4=0,0,L6/L4)</f>
        <v/>
      </c>
      <c r="M16" s="17">
        <f>IF(M4=0,0,M6/M4)</f>
        <v/>
      </c>
      <c r="N16" s="17">
        <f>IF(N4=0,0,N6/N4)</f>
        <v/>
      </c>
      <c r="O16" s="17">
        <f>IF(O4=0,0,O6/O4)</f>
        <v/>
      </c>
      <c r="P16" s="17">
        <f>IF(P4=0,0,P6/P4)</f>
        <v/>
      </c>
      <c r="Q16" s="17">
        <f>IF(Q4=0,0,Q6/Q4)</f>
        <v/>
      </c>
      <c r="R16" s="17">
        <f>IF(R4=0,0,R6/R4)</f>
        <v/>
      </c>
      <c r="S16" s="17">
        <f>IF(S4=0,0,S6/S4)</f>
        <v/>
      </c>
      <c r="T16" s="17">
        <f>IF(T4=0,0,T6/T4)</f>
        <v/>
      </c>
      <c r="U16" s="17">
        <f>IF(U4=0,0,U6/U4)</f>
        <v/>
      </c>
      <c r="V16" s="17">
        <f>IF(V4=0,0,V6/V4)</f>
        <v/>
      </c>
      <c r="W16" s="17">
        <f>IF(W4=0,0,W6/W4)</f>
        <v/>
      </c>
      <c r="X16" s="17">
        <f>IF(X4=0,0,X6/X4)</f>
        <v/>
      </c>
      <c r="Y16" s="17">
        <f>IF(Y4=0,0,Y6/Y4)</f>
        <v/>
      </c>
      <c r="Z16" s="17">
        <f>IF(Z4=0,0,Z6/Z4)</f>
        <v/>
      </c>
      <c r="AA16" s="17">
        <f>IF(AA4=0,0,AA6/AA4)</f>
        <v/>
      </c>
      <c r="AB16" s="17">
        <f>IF(AB4=0,0,AB6/AB4)</f>
        <v/>
      </c>
      <c r="AC16" s="17">
        <f>IF(AC4=0,0,AC6/AC4)</f>
        <v/>
      </c>
      <c r="AD16" s="17">
        <f>IF(AD4=0,0,AD6/AD4)</f>
        <v/>
      </c>
      <c r="AE16" s="17">
        <f>IF(AE4=0,0,AE6/AE4)</f>
        <v/>
      </c>
      <c r="AF16" s="17">
        <f>IF(AF4=0,0,AF6/AF4)</f>
        <v/>
      </c>
      <c r="AG16" s="17">
        <f>IF(AG4=0,0,AG6/AG4)</f>
        <v/>
      </c>
      <c r="AH16" s="17">
        <f>IF(AH4=0,0,AH6/AH4)</f>
        <v/>
      </c>
      <c r="AI16" s="17">
        <f>IF(AI4=0,0,AI6/AI4)</f>
        <v/>
      </c>
      <c r="AJ16" s="17">
        <f>IF(AJ4=0,0,AJ6/AJ4)</f>
        <v/>
      </c>
      <c r="AK16" s="17">
        <f>IF(AK4=0,0,AK6/AK4)</f>
        <v/>
      </c>
      <c r="AL16" s="17">
        <f>IF(AL4=0,0,AL6/AL4)</f>
        <v/>
      </c>
      <c r="AM16" s="17">
        <f>IF(AM4=0,0,AM6/AM4)</f>
        <v/>
      </c>
      <c r="AN16" s="17">
        <f>IF(AN4=0,0,AN6/AN4)</f>
        <v/>
      </c>
      <c r="AO16" s="17">
        <f>IF(AO4=0,0,AO6/AO4)</f>
        <v/>
      </c>
      <c r="AP16" s="17">
        <f>IF(AP4=0,0,AP6/AP4)</f>
        <v/>
      </c>
      <c r="AQ16" s="17">
        <f>IF(AQ4=0,0,AQ6/AQ4)</f>
        <v/>
      </c>
      <c r="AR16" s="17">
        <f>IF(AR4=0,0,AR6/AR4)</f>
        <v/>
      </c>
    </row>
    <row r="17">
      <c r="A17" s="4" t="inlineStr">
        <is>
          <t>EBITDA margin</t>
        </is>
      </c>
      <c r="C17" s="17">
        <f>IF(C4=0,0,C9/C4)</f>
        <v/>
      </c>
      <c r="D17" s="17">
        <f>IF(D4=0,0,D9/D4)</f>
        <v/>
      </c>
      <c r="E17" s="17">
        <f>IF(E4=0,0,E9/E4)</f>
        <v/>
      </c>
      <c r="F17" s="17">
        <f>IF(F4=0,0,F9/F4)</f>
        <v/>
      </c>
      <c r="G17" s="17">
        <f>IF(G4=0,0,G9/G4)</f>
        <v/>
      </c>
      <c r="H17" s="17">
        <f>IF(H4=0,0,H9/H4)</f>
        <v/>
      </c>
      <c r="I17" s="17">
        <f>IF(I4=0,0,I9/I4)</f>
        <v/>
      </c>
      <c r="J17" s="17">
        <f>IF(J4=0,0,J9/J4)</f>
        <v/>
      </c>
      <c r="K17" s="17">
        <f>IF(K4=0,0,K9/K4)</f>
        <v/>
      </c>
      <c r="L17" s="17">
        <f>IF(L4=0,0,L9/L4)</f>
        <v/>
      </c>
      <c r="M17" s="17">
        <f>IF(M4=0,0,M9/M4)</f>
        <v/>
      </c>
      <c r="N17" s="17">
        <f>IF(N4=0,0,N9/N4)</f>
        <v/>
      </c>
      <c r="O17" s="17">
        <f>IF(O4=0,0,O9/O4)</f>
        <v/>
      </c>
      <c r="P17" s="17">
        <f>IF(P4=0,0,P9/P4)</f>
        <v/>
      </c>
      <c r="Q17" s="17">
        <f>IF(Q4=0,0,Q9/Q4)</f>
        <v/>
      </c>
      <c r="R17" s="17">
        <f>IF(R4=0,0,R9/R4)</f>
        <v/>
      </c>
      <c r="S17" s="17">
        <f>IF(S4=0,0,S9/S4)</f>
        <v/>
      </c>
      <c r="T17" s="17">
        <f>IF(T4=0,0,T9/T4)</f>
        <v/>
      </c>
      <c r="U17" s="17">
        <f>IF(U4=0,0,U9/U4)</f>
        <v/>
      </c>
      <c r="V17" s="17">
        <f>IF(V4=0,0,V9/V4)</f>
        <v/>
      </c>
      <c r="W17" s="17">
        <f>IF(W4=0,0,W9/W4)</f>
        <v/>
      </c>
      <c r="X17" s="17">
        <f>IF(X4=0,0,X9/X4)</f>
        <v/>
      </c>
      <c r="Y17" s="17">
        <f>IF(Y4=0,0,Y9/Y4)</f>
        <v/>
      </c>
      <c r="Z17" s="17">
        <f>IF(Z4=0,0,Z9/Z4)</f>
        <v/>
      </c>
      <c r="AA17" s="17">
        <f>IF(AA4=0,0,AA9/AA4)</f>
        <v/>
      </c>
      <c r="AB17" s="17">
        <f>IF(AB4=0,0,AB9/AB4)</f>
        <v/>
      </c>
      <c r="AC17" s="17">
        <f>IF(AC4=0,0,AC9/AC4)</f>
        <v/>
      </c>
      <c r="AD17" s="17">
        <f>IF(AD4=0,0,AD9/AD4)</f>
        <v/>
      </c>
      <c r="AE17" s="17">
        <f>IF(AE4=0,0,AE9/AE4)</f>
        <v/>
      </c>
      <c r="AF17" s="17">
        <f>IF(AF4=0,0,AF9/AF4)</f>
        <v/>
      </c>
      <c r="AG17" s="17">
        <f>IF(AG4=0,0,AG9/AG4)</f>
        <v/>
      </c>
      <c r="AH17" s="17">
        <f>IF(AH4=0,0,AH9/AH4)</f>
        <v/>
      </c>
      <c r="AI17" s="17">
        <f>IF(AI4=0,0,AI9/AI4)</f>
        <v/>
      </c>
      <c r="AJ17" s="17">
        <f>IF(AJ4=0,0,AJ9/AJ4)</f>
        <v/>
      </c>
      <c r="AK17" s="17">
        <f>IF(AK4=0,0,AK9/AK4)</f>
        <v/>
      </c>
      <c r="AL17" s="17">
        <f>IF(AL4=0,0,AL9/AL4)</f>
        <v/>
      </c>
      <c r="AM17" s="17">
        <f>IF(AM4=0,0,AM9/AM4)</f>
        <v/>
      </c>
      <c r="AN17" s="17">
        <f>IF(AN4=0,0,AN9/AN4)</f>
        <v/>
      </c>
      <c r="AO17" s="17">
        <f>IF(AO4=0,0,AO9/AO4)</f>
        <v/>
      </c>
      <c r="AP17" s="17">
        <f>IF(AP4=0,0,AP9/AP4)</f>
        <v/>
      </c>
      <c r="AQ17" s="17">
        <f>IF(AQ4=0,0,AQ9/AQ4)</f>
        <v/>
      </c>
      <c r="AR17" s="17">
        <f>IF(AR4=0,0,AR9/AR4)</f>
        <v/>
      </c>
    </row>
    <row r="18">
      <c r="A18" s="4" t="inlineStr">
        <is>
          <t>Net margin</t>
        </is>
      </c>
      <c r="C18" s="17">
        <f>IF(C4=0,0,C13/C4)</f>
        <v/>
      </c>
      <c r="D18" s="17">
        <f>IF(D4=0,0,D13/D4)</f>
        <v/>
      </c>
      <c r="E18" s="17">
        <f>IF(E4=0,0,E13/E4)</f>
        <v/>
      </c>
      <c r="F18" s="17">
        <f>IF(F4=0,0,F13/F4)</f>
        <v/>
      </c>
      <c r="G18" s="17">
        <f>IF(G4=0,0,G13/G4)</f>
        <v/>
      </c>
      <c r="H18" s="17">
        <f>IF(H4=0,0,H13/H4)</f>
        <v/>
      </c>
      <c r="I18" s="17">
        <f>IF(I4=0,0,I13/I4)</f>
        <v/>
      </c>
      <c r="J18" s="17">
        <f>IF(J4=0,0,J13/J4)</f>
        <v/>
      </c>
      <c r="K18" s="17">
        <f>IF(K4=0,0,K13/K4)</f>
        <v/>
      </c>
      <c r="L18" s="17">
        <f>IF(L4=0,0,L13/L4)</f>
        <v/>
      </c>
      <c r="M18" s="17">
        <f>IF(M4=0,0,M13/M4)</f>
        <v/>
      </c>
      <c r="N18" s="17">
        <f>IF(N4=0,0,N13/N4)</f>
        <v/>
      </c>
      <c r="O18" s="17">
        <f>IF(O4=0,0,O13/O4)</f>
        <v/>
      </c>
      <c r="P18" s="17">
        <f>IF(P4=0,0,P13/P4)</f>
        <v/>
      </c>
      <c r="Q18" s="17">
        <f>IF(Q4=0,0,Q13/Q4)</f>
        <v/>
      </c>
      <c r="R18" s="17">
        <f>IF(R4=0,0,R13/R4)</f>
        <v/>
      </c>
      <c r="S18" s="17">
        <f>IF(S4=0,0,S13/S4)</f>
        <v/>
      </c>
      <c r="T18" s="17">
        <f>IF(T4=0,0,T13/T4)</f>
        <v/>
      </c>
      <c r="U18" s="17">
        <f>IF(U4=0,0,U13/U4)</f>
        <v/>
      </c>
      <c r="V18" s="17">
        <f>IF(V4=0,0,V13/V4)</f>
        <v/>
      </c>
      <c r="W18" s="17">
        <f>IF(W4=0,0,W13/W4)</f>
        <v/>
      </c>
      <c r="X18" s="17">
        <f>IF(X4=0,0,X13/X4)</f>
        <v/>
      </c>
      <c r="Y18" s="17">
        <f>IF(Y4=0,0,Y13/Y4)</f>
        <v/>
      </c>
      <c r="Z18" s="17">
        <f>IF(Z4=0,0,Z13/Z4)</f>
        <v/>
      </c>
      <c r="AA18" s="17">
        <f>IF(AA4=0,0,AA13/AA4)</f>
        <v/>
      </c>
      <c r="AB18" s="17">
        <f>IF(AB4=0,0,AB13/AB4)</f>
        <v/>
      </c>
      <c r="AC18" s="17">
        <f>IF(AC4=0,0,AC13/AC4)</f>
        <v/>
      </c>
      <c r="AD18" s="17">
        <f>IF(AD4=0,0,AD13/AD4)</f>
        <v/>
      </c>
      <c r="AE18" s="17">
        <f>IF(AE4=0,0,AE13/AE4)</f>
        <v/>
      </c>
      <c r="AF18" s="17">
        <f>IF(AF4=0,0,AF13/AF4)</f>
        <v/>
      </c>
      <c r="AG18" s="17">
        <f>IF(AG4=0,0,AG13/AG4)</f>
        <v/>
      </c>
      <c r="AH18" s="17">
        <f>IF(AH4=0,0,AH13/AH4)</f>
        <v/>
      </c>
      <c r="AI18" s="17">
        <f>IF(AI4=0,0,AI13/AI4)</f>
        <v/>
      </c>
      <c r="AJ18" s="17">
        <f>IF(AJ4=0,0,AJ13/AJ4)</f>
        <v/>
      </c>
      <c r="AK18" s="17">
        <f>IF(AK4=0,0,AK13/AK4)</f>
        <v/>
      </c>
      <c r="AL18" s="17">
        <f>IF(AL4=0,0,AL13/AL4)</f>
        <v/>
      </c>
      <c r="AM18" s="17">
        <f>IF(AM4=0,0,AM13/AM4)</f>
        <v/>
      </c>
      <c r="AN18" s="17">
        <f>IF(AN4=0,0,AN13/AN4)</f>
        <v/>
      </c>
      <c r="AO18" s="17">
        <f>IF(AO4=0,0,AO13/AO4)</f>
        <v/>
      </c>
      <c r="AP18" s="17">
        <f>IF(AP4=0,0,AP13/AP4)</f>
        <v/>
      </c>
      <c r="AQ18" s="17">
        <f>IF(AQ4=0,0,AQ13/AQ4)</f>
        <v/>
      </c>
      <c r="AR18" s="17">
        <f>IF(AR4=0,0,AR13/AR4)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00B0F0"/>
    <outlinePr summaryBelow="1" summaryRight="1"/>
    <pageSetUpPr/>
  </sheetPr>
  <dimension ref="A1:AR15"/>
  <sheetViews>
    <sheetView workbookViewId="0">
      <selection activeCell="A5" sqref="A5"/>
    </sheetView>
  </sheetViews>
  <sheetFormatPr baseColWidth="8" defaultRowHeight="14.4"/>
  <cols>
    <col width="38" customWidth="1" style="62" min="1" max="1"/>
    <col width="10" customWidth="1" style="62" min="2" max="2"/>
    <col width="11" customWidth="1" style="62" min="3" max="44"/>
  </cols>
  <sheetData>
    <row r="1">
      <c r="A1" s="29" t="inlineStr">
        <is>
          <t>CASH FLOW (M VND)</t>
        </is>
      </c>
    </row>
    <row r="3">
      <c r="A3" s="3" t="inlineStr">
        <is>
          <t>Item</t>
        </is>
      </c>
      <c r="B3" s="3" t="inlineStr">
        <is>
          <t>Unit</t>
        </is>
      </c>
      <c r="C3" s="3" t="inlineStr">
        <is>
          <t>Jul 2025</t>
        </is>
      </c>
      <c r="D3" s="3" t="inlineStr">
        <is>
          <t>Aug 2025</t>
        </is>
      </c>
      <c r="E3" s="3" t="inlineStr">
        <is>
          <t>Sep 2025</t>
        </is>
      </c>
      <c r="F3" s="3" t="inlineStr">
        <is>
          <t>Oct 2025</t>
        </is>
      </c>
      <c r="G3" s="3" t="inlineStr">
        <is>
          <t>Nov 2025</t>
        </is>
      </c>
      <c r="H3" s="3" t="inlineStr">
        <is>
          <t>Dec 2025</t>
        </is>
      </c>
      <c r="I3" s="3" t="inlineStr">
        <is>
          <t>Jan 2026</t>
        </is>
      </c>
      <c r="J3" s="3" t="inlineStr">
        <is>
          <t>Feb 2026</t>
        </is>
      </c>
      <c r="K3" s="3" t="inlineStr">
        <is>
          <t>Mar 2026</t>
        </is>
      </c>
      <c r="L3" s="3" t="inlineStr">
        <is>
          <t>Apr 2026</t>
        </is>
      </c>
      <c r="M3" s="3" t="inlineStr">
        <is>
          <t>May 2026</t>
        </is>
      </c>
      <c r="N3" s="3" t="inlineStr">
        <is>
          <t>Jun 2026</t>
        </is>
      </c>
      <c r="O3" s="3" t="inlineStr">
        <is>
          <t>Jul 2026</t>
        </is>
      </c>
      <c r="P3" s="3" t="inlineStr">
        <is>
          <t>Aug 2026</t>
        </is>
      </c>
      <c r="Q3" s="3" t="inlineStr">
        <is>
          <t>Sep 2026</t>
        </is>
      </c>
      <c r="R3" s="3" t="inlineStr">
        <is>
          <t>Oct 2026</t>
        </is>
      </c>
      <c r="S3" s="3" t="inlineStr">
        <is>
          <t>Nov 2026</t>
        </is>
      </c>
      <c r="T3" s="3" t="inlineStr">
        <is>
          <t>Dec 2026</t>
        </is>
      </c>
      <c r="U3" s="3" t="inlineStr">
        <is>
          <t>Jan 2027</t>
        </is>
      </c>
      <c r="V3" s="3" t="inlineStr">
        <is>
          <t>Feb 2027</t>
        </is>
      </c>
      <c r="W3" s="3" t="inlineStr">
        <is>
          <t>Mar 2027</t>
        </is>
      </c>
      <c r="X3" s="3" t="inlineStr">
        <is>
          <t>Apr 2027</t>
        </is>
      </c>
      <c r="Y3" s="3" t="inlineStr">
        <is>
          <t>May 2027</t>
        </is>
      </c>
      <c r="Z3" s="3" t="inlineStr">
        <is>
          <t>Jun 2027</t>
        </is>
      </c>
      <c r="AA3" s="3" t="inlineStr">
        <is>
          <t>Jul 2027</t>
        </is>
      </c>
      <c r="AB3" s="3" t="inlineStr">
        <is>
          <t>Aug 2027</t>
        </is>
      </c>
      <c r="AC3" s="3" t="inlineStr">
        <is>
          <t>Sep 2027</t>
        </is>
      </c>
      <c r="AD3" s="3" t="inlineStr">
        <is>
          <t>Oct 2027</t>
        </is>
      </c>
      <c r="AE3" s="3" t="inlineStr">
        <is>
          <t>Nov 2027</t>
        </is>
      </c>
      <c r="AF3" s="3" t="inlineStr">
        <is>
          <t>Dec 2027</t>
        </is>
      </c>
      <c r="AG3" s="3" t="inlineStr">
        <is>
          <t>Q1 2028</t>
        </is>
      </c>
      <c r="AH3" s="3" t="inlineStr">
        <is>
          <t>Q2 2028</t>
        </is>
      </c>
      <c r="AI3" s="3" t="inlineStr">
        <is>
          <t>Q3 2028</t>
        </is>
      </c>
      <c r="AJ3" s="3" t="inlineStr">
        <is>
          <t>Q4 2028</t>
        </is>
      </c>
      <c r="AK3" s="3" t="inlineStr">
        <is>
          <t>Q1 2029</t>
        </is>
      </c>
      <c r="AL3" s="3" t="inlineStr">
        <is>
          <t>Q2 2029</t>
        </is>
      </c>
      <c r="AM3" s="3" t="inlineStr">
        <is>
          <t>Q3 2029</t>
        </is>
      </c>
      <c r="AN3" s="3" t="inlineStr">
        <is>
          <t>Q4 2029</t>
        </is>
      </c>
      <c r="AO3" s="3" t="inlineStr">
        <is>
          <t>Q1 2030</t>
        </is>
      </c>
      <c r="AP3" s="3" t="inlineStr">
        <is>
          <t>Q2 2030</t>
        </is>
      </c>
      <c r="AQ3" s="3" t="inlineStr">
        <is>
          <t>Q3 2030</t>
        </is>
      </c>
      <c r="AR3" s="3" t="inlineStr">
        <is>
          <t>Q4 2030</t>
        </is>
      </c>
    </row>
    <row r="4">
      <c r="A4" s="29" t="inlineStr">
        <is>
          <t>Operating CF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</row>
    <row r="5">
      <c r="A5" s="4" t="inlineStr">
        <is>
          <t xml:space="preserve">  Net income</t>
        </is>
      </c>
      <c r="C5" s="10">
        <f>'P&amp;L'!C13</f>
        <v/>
      </c>
      <c r="D5" s="10">
        <f>'P&amp;L'!D13</f>
        <v/>
      </c>
      <c r="E5" s="10">
        <f>'P&amp;L'!E13</f>
        <v/>
      </c>
      <c r="F5" s="10">
        <f>'P&amp;L'!F13</f>
        <v/>
      </c>
      <c r="G5" s="10">
        <f>'P&amp;L'!G13</f>
        <v/>
      </c>
      <c r="H5" s="10">
        <f>'P&amp;L'!H13</f>
        <v/>
      </c>
      <c r="I5" s="10">
        <f>'P&amp;L'!I13</f>
        <v/>
      </c>
      <c r="J5" s="10">
        <f>'P&amp;L'!J13</f>
        <v/>
      </c>
      <c r="K5" s="10">
        <f>'P&amp;L'!K13</f>
        <v/>
      </c>
      <c r="L5" s="10">
        <f>'P&amp;L'!L13</f>
        <v/>
      </c>
      <c r="M5" s="10">
        <f>'P&amp;L'!M13</f>
        <v/>
      </c>
      <c r="N5" s="10">
        <f>'P&amp;L'!N13</f>
        <v/>
      </c>
      <c r="O5" s="10">
        <f>'P&amp;L'!O13</f>
        <v/>
      </c>
      <c r="P5" s="10">
        <f>'P&amp;L'!P13</f>
        <v/>
      </c>
      <c r="Q5" s="10">
        <f>'P&amp;L'!Q13</f>
        <v/>
      </c>
      <c r="R5" s="10">
        <f>'P&amp;L'!R13</f>
        <v/>
      </c>
      <c r="S5" s="10">
        <f>'P&amp;L'!S13</f>
        <v/>
      </c>
      <c r="T5" s="10">
        <f>'P&amp;L'!T13</f>
        <v/>
      </c>
      <c r="U5" s="10">
        <f>'P&amp;L'!U13</f>
        <v/>
      </c>
      <c r="V5" s="10">
        <f>'P&amp;L'!V13</f>
        <v/>
      </c>
      <c r="W5" s="10">
        <f>'P&amp;L'!W13</f>
        <v/>
      </c>
      <c r="X5" s="10">
        <f>'P&amp;L'!X13</f>
        <v/>
      </c>
      <c r="Y5" s="10">
        <f>'P&amp;L'!Y13</f>
        <v/>
      </c>
      <c r="Z5" s="10">
        <f>'P&amp;L'!Z13</f>
        <v/>
      </c>
      <c r="AA5" s="10">
        <f>'P&amp;L'!AA13</f>
        <v/>
      </c>
      <c r="AB5" s="10">
        <f>'P&amp;L'!AB13</f>
        <v/>
      </c>
      <c r="AC5" s="10">
        <f>'P&amp;L'!AC13</f>
        <v/>
      </c>
      <c r="AD5" s="10">
        <f>'P&amp;L'!AD13</f>
        <v/>
      </c>
      <c r="AE5" s="10">
        <f>'P&amp;L'!AE13</f>
        <v/>
      </c>
      <c r="AF5" s="10">
        <f>'P&amp;L'!AF13</f>
        <v/>
      </c>
      <c r="AG5" s="10">
        <f>'P&amp;L'!AG13</f>
        <v/>
      </c>
      <c r="AH5" s="10">
        <f>'P&amp;L'!AH13</f>
        <v/>
      </c>
      <c r="AI5" s="10">
        <f>'P&amp;L'!AI13</f>
        <v/>
      </c>
      <c r="AJ5" s="10">
        <f>'P&amp;L'!AJ13</f>
        <v/>
      </c>
      <c r="AK5" s="10">
        <f>'P&amp;L'!AK13</f>
        <v/>
      </c>
      <c r="AL5" s="10">
        <f>'P&amp;L'!AL13</f>
        <v/>
      </c>
      <c r="AM5" s="10">
        <f>'P&amp;L'!AM13</f>
        <v/>
      </c>
      <c r="AN5" s="10">
        <f>'P&amp;L'!AN13</f>
        <v/>
      </c>
      <c r="AO5" s="10">
        <f>'P&amp;L'!AO13</f>
        <v/>
      </c>
      <c r="AP5" s="10">
        <f>'P&amp;L'!AP13</f>
        <v/>
      </c>
      <c r="AQ5" s="10">
        <f>'P&amp;L'!AQ13</f>
        <v/>
      </c>
      <c r="AR5" s="10">
        <f>'P&amp;L'!AR13</f>
        <v/>
      </c>
    </row>
    <row r="6">
      <c r="A6" s="4" t="inlineStr">
        <is>
          <t xml:space="preserve">  Add: D&amp;A</t>
        </is>
      </c>
      <c r="C6" s="10">
        <f>-'P&amp;L'!C10</f>
        <v/>
      </c>
      <c r="D6" s="10">
        <f>-'P&amp;L'!D10</f>
        <v/>
      </c>
      <c r="E6" s="10">
        <f>-'P&amp;L'!E10</f>
        <v/>
      </c>
      <c r="F6" s="10">
        <f>-'P&amp;L'!F10</f>
        <v/>
      </c>
      <c r="G6" s="10">
        <f>-'P&amp;L'!G10</f>
        <v/>
      </c>
      <c r="H6" s="10">
        <f>-'P&amp;L'!H10</f>
        <v/>
      </c>
      <c r="I6" s="10">
        <f>-'P&amp;L'!I10</f>
        <v/>
      </c>
      <c r="J6" s="10">
        <f>-'P&amp;L'!J10</f>
        <v/>
      </c>
      <c r="K6" s="10">
        <f>-'P&amp;L'!K10</f>
        <v/>
      </c>
      <c r="L6" s="10">
        <f>-'P&amp;L'!L10</f>
        <v/>
      </c>
      <c r="M6" s="10">
        <f>-'P&amp;L'!M10</f>
        <v/>
      </c>
      <c r="N6" s="10">
        <f>-'P&amp;L'!N10</f>
        <v/>
      </c>
      <c r="O6" s="10">
        <f>-'P&amp;L'!O10</f>
        <v/>
      </c>
      <c r="P6" s="10">
        <f>-'P&amp;L'!P10</f>
        <v/>
      </c>
      <c r="Q6" s="10">
        <f>-'P&amp;L'!Q10</f>
        <v/>
      </c>
      <c r="R6" s="10">
        <f>-'P&amp;L'!R10</f>
        <v/>
      </c>
      <c r="S6" s="10">
        <f>-'P&amp;L'!S10</f>
        <v/>
      </c>
      <c r="T6" s="10">
        <f>-'P&amp;L'!T10</f>
        <v/>
      </c>
      <c r="U6" s="10">
        <f>-'P&amp;L'!U10</f>
        <v/>
      </c>
      <c r="V6" s="10">
        <f>-'P&amp;L'!V10</f>
        <v/>
      </c>
      <c r="W6" s="10">
        <f>-'P&amp;L'!W10</f>
        <v/>
      </c>
      <c r="X6" s="10">
        <f>-'P&amp;L'!X10</f>
        <v/>
      </c>
      <c r="Y6" s="10">
        <f>-'P&amp;L'!Y10</f>
        <v/>
      </c>
      <c r="Z6" s="10">
        <f>-'P&amp;L'!Z10</f>
        <v/>
      </c>
      <c r="AA6" s="10">
        <f>-'P&amp;L'!AA10</f>
        <v/>
      </c>
      <c r="AB6" s="10">
        <f>-'P&amp;L'!AB10</f>
        <v/>
      </c>
      <c r="AC6" s="10">
        <f>-'P&amp;L'!AC10</f>
        <v/>
      </c>
      <c r="AD6" s="10">
        <f>-'P&amp;L'!AD10</f>
        <v/>
      </c>
      <c r="AE6" s="10">
        <f>-'P&amp;L'!AE10</f>
        <v/>
      </c>
      <c r="AF6" s="10">
        <f>-'P&amp;L'!AF10</f>
        <v/>
      </c>
      <c r="AG6" s="10">
        <f>-'P&amp;L'!AG10</f>
        <v/>
      </c>
      <c r="AH6" s="10">
        <f>-'P&amp;L'!AH10</f>
        <v/>
      </c>
      <c r="AI6" s="10">
        <f>-'P&amp;L'!AI10</f>
        <v/>
      </c>
      <c r="AJ6" s="10">
        <f>-'P&amp;L'!AJ10</f>
        <v/>
      </c>
      <c r="AK6" s="10">
        <f>-'P&amp;L'!AK10</f>
        <v/>
      </c>
      <c r="AL6" s="10">
        <f>-'P&amp;L'!AL10</f>
        <v/>
      </c>
      <c r="AM6" s="10">
        <f>-'P&amp;L'!AM10</f>
        <v/>
      </c>
      <c r="AN6" s="10">
        <f>-'P&amp;L'!AN10</f>
        <v/>
      </c>
      <c r="AO6" s="10">
        <f>-'P&amp;L'!AO10</f>
        <v/>
      </c>
      <c r="AP6" s="10">
        <f>-'P&amp;L'!AP10</f>
        <v/>
      </c>
      <c r="AQ6" s="10">
        <f>-'P&amp;L'!AQ10</f>
        <v/>
      </c>
      <c r="AR6" s="10">
        <f>-'P&amp;L'!AR10</f>
        <v/>
      </c>
    </row>
    <row r="7">
      <c r="A7" s="4" t="inlineStr">
        <is>
          <t xml:space="preserve">  Working capital chg</t>
        </is>
      </c>
      <c r="C7" s="10">
        <f>-'P&amp;L'!C4*ar_days/365</f>
        <v/>
      </c>
      <c r="D7" s="10">
        <f>-('P&amp;L'!D4-'P&amp;L'!C4)*ar_days/365</f>
        <v/>
      </c>
      <c r="E7" s="10">
        <f>-('P&amp;L'!E4-'P&amp;L'!D4)*ar_days/365</f>
        <v/>
      </c>
      <c r="F7" s="10">
        <f>-('P&amp;L'!F4-'P&amp;L'!E4)*ar_days/365</f>
        <v/>
      </c>
      <c r="G7" s="10">
        <f>-('P&amp;L'!G4-'P&amp;L'!F4)*ar_days/365</f>
        <v/>
      </c>
      <c r="H7" s="10">
        <f>-('P&amp;L'!H4-'P&amp;L'!G4)*ar_days/365</f>
        <v/>
      </c>
      <c r="I7" s="10">
        <f>-('P&amp;L'!I4-'P&amp;L'!H4)*ar_days/365</f>
        <v/>
      </c>
      <c r="J7" s="10">
        <f>-('P&amp;L'!J4-'P&amp;L'!I4)*ar_days/365</f>
        <v/>
      </c>
      <c r="K7" s="10">
        <f>-('P&amp;L'!K4-'P&amp;L'!J4)*ar_days/365</f>
        <v/>
      </c>
      <c r="L7" s="10">
        <f>-('P&amp;L'!L4-'P&amp;L'!K4)*ar_days/365</f>
        <v/>
      </c>
      <c r="M7" s="10">
        <f>-('P&amp;L'!M4-'P&amp;L'!L4)*ar_days/365</f>
        <v/>
      </c>
      <c r="N7" s="10">
        <f>-('P&amp;L'!N4-'P&amp;L'!M4)*ar_days/365</f>
        <v/>
      </c>
      <c r="O7" s="10">
        <f>-('P&amp;L'!O4-'P&amp;L'!N4)*ar_days/365</f>
        <v/>
      </c>
      <c r="P7" s="10">
        <f>-('P&amp;L'!P4-'P&amp;L'!O4)*ar_days/365</f>
        <v/>
      </c>
      <c r="Q7" s="10">
        <f>-('P&amp;L'!Q4-'P&amp;L'!P4)*ar_days/365</f>
        <v/>
      </c>
      <c r="R7" s="10">
        <f>-('P&amp;L'!R4-'P&amp;L'!Q4)*ar_days/365</f>
        <v/>
      </c>
      <c r="S7" s="10">
        <f>-('P&amp;L'!S4-'P&amp;L'!R4)*ar_days/365</f>
        <v/>
      </c>
      <c r="T7" s="10">
        <f>-('P&amp;L'!T4-'P&amp;L'!S4)*ar_days/365</f>
        <v/>
      </c>
      <c r="U7" s="10">
        <f>-('P&amp;L'!U4-'P&amp;L'!T4)*ar_days/365</f>
        <v/>
      </c>
      <c r="V7" s="10">
        <f>-('P&amp;L'!V4-'P&amp;L'!U4)*ar_days/365</f>
        <v/>
      </c>
      <c r="W7" s="10">
        <f>-('P&amp;L'!W4-'P&amp;L'!V4)*ar_days/365</f>
        <v/>
      </c>
      <c r="X7" s="10">
        <f>-('P&amp;L'!X4-'P&amp;L'!W4)*ar_days/365</f>
        <v/>
      </c>
      <c r="Y7" s="10">
        <f>-('P&amp;L'!Y4-'P&amp;L'!X4)*ar_days/365</f>
        <v/>
      </c>
      <c r="Z7" s="10">
        <f>-('P&amp;L'!Z4-'P&amp;L'!Y4)*ar_days/365</f>
        <v/>
      </c>
      <c r="AA7" s="10">
        <f>-('P&amp;L'!AA4-'P&amp;L'!Z4)*ar_days/365</f>
        <v/>
      </c>
      <c r="AB7" s="10">
        <f>-('P&amp;L'!AB4-'P&amp;L'!AA4)*ar_days/365</f>
        <v/>
      </c>
      <c r="AC7" s="10">
        <f>-('P&amp;L'!AC4-'P&amp;L'!AB4)*ar_days/365</f>
        <v/>
      </c>
      <c r="AD7" s="10">
        <f>-('P&amp;L'!AD4-'P&amp;L'!AC4)*ar_days/365</f>
        <v/>
      </c>
      <c r="AE7" s="10">
        <f>-('P&amp;L'!AE4-'P&amp;L'!AD4)*ar_days/365</f>
        <v/>
      </c>
      <c r="AF7" s="10">
        <f>-('P&amp;L'!AF4-'P&amp;L'!AE4)*ar_days/365</f>
        <v/>
      </c>
      <c r="AG7" s="10">
        <f>-('P&amp;L'!AG4-'P&amp;L'!AF4)*ar_days/365</f>
        <v/>
      </c>
      <c r="AH7" s="10">
        <f>-('P&amp;L'!AH4-'P&amp;L'!AG4)*ar_days/365</f>
        <v/>
      </c>
      <c r="AI7" s="10">
        <f>-('P&amp;L'!AI4-'P&amp;L'!AH4)*ar_days/365</f>
        <v/>
      </c>
      <c r="AJ7" s="10">
        <f>-('P&amp;L'!AJ4-'P&amp;L'!AI4)*ar_days/365</f>
        <v/>
      </c>
      <c r="AK7" s="10">
        <f>-('P&amp;L'!AK4-'P&amp;L'!AJ4)*ar_days/365</f>
        <v/>
      </c>
      <c r="AL7" s="10">
        <f>-('P&amp;L'!AL4-'P&amp;L'!AK4)*ar_days/365</f>
        <v/>
      </c>
      <c r="AM7" s="10">
        <f>-('P&amp;L'!AM4-'P&amp;L'!AL4)*ar_days/365</f>
        <v/>
      </c>
      <c r="AN7" s="10">
        <f>-('P&amp;L'!AN4-'P&amp;L'!AM4)*ar_days/365</f>
        <v/>
      </c>
      <c r="AO7" s="10">
        <f>-('P&amp;L'!AO4-'P&amp;L'!AN4)*ar_days/365</f>
        <v/>
      </c>
      <c r="AP7" s="10">
        <f>-('P&amp;L'!AP4-'P&amp;L'!AO4)*ar_days/365</f>
        <v/>
      </c>
      <c r="AQ7" s="10">
        <f>-('P&amp;L'!AQ4-'P&amp;L'!AP4)*ar_days/365</f>
        <v/>
      </c>
      <c r="AR7" s="10">
        <f>-('P&amp;L'!AR4-'P&amp;L'!AQ4)*ar_days/365</f>
        <v/>
      </c>
    </row>
    <row r="8">
      <c r="A8" s="4" t="inlineStr">
        <is>
          <t>OPERATING CF</t>
        </is>
      </c>
      <c r="C8" s="9">
        <f>C5+C6+C7</f>
        <v/>
      </c>
      <c r="D8" s="9">
        <f>D5+D6+D7</f>
        <v/>
      </c>
      <c r="E8" s="9">
        <f>E5+E6+E7</f>
        <v/>
      </c>
      <c r="F8" s="9">
        <f>F5+F6+F7</f>
        <v/>
      </c>
      <c r="G8" s="9">
        <f>G5+G6+G7</f>
        <v/>
      </c>
      <c r="H8" s="9">
        <f>H5+H6+H7</f>
        <v/>
      </c>
      <c r="I8" s="9">
        <f>I5+I6+I7</f>
        <v/>
      </c>
      <c r="J8" s="9">
        <f>J5+J6+J7</f>
        <v/>
      </c>
      <c r="K8" s="9">
        <f>K5+K6+K7</f>
        <v/>
      </c>
      <c r="L8" s="9">
        <f>L5+L6+L7</f>
        <v/>
      </c>
      <c r="M8" s="9">
        <f>M5+M6+M7</f>
        <v/>
      </c>
      <c r="N8" s="9">
        <f>N5+N6+N7</f>
        <v/>
      </c>
      <c r="O8" s="9">
        <f>O5+O6+O7</f>
        <v/>
      </c>
      <c r="P8" s="9">
        <f>P5+P6+P7</f>
        <v/>
      </c>
      <c r="Q8" s="9">
        <f>Q5+Q6+Q7</f>
        <v/>
      </c>
      <c r="R8" s="9">
        <f>R5+R6+R7</f>
        <v/>
      </c>
      <c r="S8" s="9">
        <f>S5+S6+S7</f>
        <v/>
      </c>
      <c r="T8" s="9">
        <f>T5+T6+T7</f>
        <v/>
      </c>
      <c r="U8" s="9">
        <f>U5+U6+U7</f>
        <v/>
      </c>
      <c r="V8" s="9">
        <f>V5+V6+V7</f>
        <v/>
      </c>
      <c r="W8" s="9">
        <f>W5+W6+W7</f>
        <v/>
      </c>
      <c r="X8" s="9">
        <f>X5+X6+X7</f>
        <v/>
      </c>
      <c r="Y8" s="9">
        <f>Y5+Y6+Y7</f>
        <v/>
      </c>
      <c r="Z8" s="9">
        <f>Z5+Z6+Z7</f>
        <v/>
      </c>
      <c r="AA8" s="9">
        <f>AA5+AA6+AA7</f>
        <v/>
      </c>
      <c r="AB8" s="9">
        <f>AB5+AB6+AB7</f>
        <v/>
      </c>
      <c r="AC8" s="9">
        <f>AC5+AC6+AC7</f>
        <v/>
      </c>
      <c r="AD8" s="9">
        <f>AD5+AD6+AD7</f>
        <v/>
      </c>
      <c r="AE8" s="9">
        <f>AE5+AE6+AE7</f>
        <v/>
      </c>
      <c r="AF8" s="9">
        <f>AF5+AF6+AF7</f>
        <v/>
      </c>
      <c r="AG8" s="9">
        <f>AG5+AG6+AG7</f>
        <v/>
      </c>
      <c r="AH8" s="9">
        <f>AH5+AH6+AH7</f>
        <v/>
      </c>
      <c r="AI8" s="9">
        <f>AI5+AI6+AI7</f>
        <v/>
      </c>
      <c r="AJ8" s="9">
        <f>AJ5+AJ6+AJ7</f>
        <v/>
      </c>
      <c r="AK8" s="9">
        <f>AK5+AK6+AK7</f>
        <v/>
      </c>
      <c r="AL8" s="9">
        <f>AL5+AL6+AL7</f>
        <v/>
      </c>
      <c r="AM8" s="9">
        <f>AM5+AM6+AM7</f>
        <v/>
      </c>
      <c r="AN8" s="9">
        <f>AN5+AN6+AN7</f>
        <v/>
      </c>
      <c r="AO8" s="9">
        <f>AO5+AO6+AO7</f>
        <v/>
      </c>
      <c r="AP8" s="9">
        <f>AP5+AP6+AP7</f>
        <v/>
      </c>
      <c r="AQ8" s="9">
        <f>AQ5+AQ6+AQ7</f>
        <v/>
      </c>
      <c r="AR8" s="9">
        <f>AR5+AR6+AR7</f>
        <v/>
      </c>
    </row>
    <row r="10">
      <c r="A10" s="29" t="inlineStr">
        <is>
          <t>Investing CF</t>
        </is>
      </c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  <c r="AR10" s="11" t="n"/>
    </row>
    <row r="11">
      <c r="A11" s="4" t="inlineStr">
        <is>
          <t xml:space="preserve">  CAPEX</t>
        </is>
      </c>
      <c r="C11" s="10">
        <f>-'Cost Schedule'!C7</f>
        <v/>
      </c>
      <c r="D11" s="10">
        <f>-'Cost Schedule'!D7</f>
        <v/>
      </c>
      <c r="E11" s="10">
        <f>-'Cost Schedule'!E7</f>
        <v/>
      </c>
      <c r="F11" s="10">
        <f>-'Cost Schedule'!F7</f>
        <v/>
      </c>
      <c r="G11" s="10">
        <f>-'Cost Schedule'!G7</f>
        <v/>
      </c>
      <c r="H11" s="10">
        <f>-'Cost Schedule'!H7</f>
        <v/>
      </c>
      <c r="I11" s="10">
        <f>-'Cost Schedule'!I7</f>
        <v/>
      </c>
      <c r="J11" s="10">
        <f>-'Cost Schedule'!J7</f>
        <v/>
      </c>
      <c r="K11" s="10">
        <f>-'Cost Schedule'!K7</f>
        <v/>
      </c>
      <c r="L11" s="10">
        <f>-'Cost Schedule'!L7</f>
        <v/>
      </c>
      <c r="M11" s="10">
        <f>-'Cost Schedule'!M7</f>
        <v/>
      </c>
      <c r="N11" s="10">
        <f>-'Cost Schedule'!N7</f>
        <v/>
      </c>
      <c r="O11" s="10">
        <f>-'Cost Schedule'!O7</f>
        <v/>
      </c>
      <c r="P11" s="10">
        <f>-'Cost Schedule'!P7</f>
        <v/>
      </c>
      <c r="Q11" s="10">
        <f>-'Cost Schedule'!Q7</f>
        <v/>
      </c>
      <c r="R11" s="10">
        <f>-'Cost Schedule'!R7</f>
        <v/>
      </c>
      <c r="S11" s="10">
        <f>-'Cost Schedule'!S7</f>
        <v/>
      </c>
      <c r="T11" s="10">
        <f>-'Cost Schedule'!T7</f>
        <v/>
      </c>
      <c r="U11" s="10">
        <f>-'Cost Schedule'!U7</f>
        <v/>
      </c>
      <c r="V11" s="10">
        <f>-'Cost Schedule'!V7</f>
        <v/>
      </c>
      <c r="W11" s="10">
        <f>-'Cost Schedule'!W7</f>
        <v/>
      </c>
      <c r="X11" s="10">
        <f>-'Cost Schedule'!X7</f>
        <v/>
      </c>
      <c r="Y11" s="10">
        <f>-'Cost Schedule'!Y7</f>
        <v/>
      </c>
      <c r="Z11" s="10">
        <f>-'Cost Schedule'!Z7</f>
        <v/>
      </c>
      <c r="AA11" s="10">
        <f>-'Cost Schedule'!AA7</f>
        <v/>
      </c>
      <c r="AB11" s="10">
        <f>-'Cost Schedule'!AB7</f>
        <v/>
      </c>
      <c r="AC11" s="10">
        <f>-'Cost Schedule'!AC7</f>
        <v/>
      </c>
      <c r="AD11" s="10">
        <f>-'Cost Schedule'!AD7</f>
        <v/>
      </c>
      <c r="AE11" s="10">
        <f>-'Cost Schedule'!AE7</f>
        <v/>
      </c>
      <c r="AF11" s="10">
        <f>-'Cost Schedule'!AF7</f>
        <v/>
      </c>
      <c r="AG11" s="10">
        <f>-'Cost Schedule'!AG7</f>
        <v/>
      </c>
      <c r="AH11" s="10">
        <f>-'Cost Schedule'!AH7</f>
        <v/>
      </c>
      <c r="AI11" s="10">
        <f>-'Cost Schedule'!AI7</f>
        <v/>
      </c>
      <c r="AJ11" s="10">
        <f>-'Cost Schedule'!AJ7</f>
        <v/>
      </c>
      <c r="AK11" s="10">
        <f>-'Cost Schedule'!AK7</f>
        <v/>
      </c>
      <c r="AL11" s="10">
        <f>-'Cost Schedule'!AL7</f>
        <v/>
      </c>
      <c r="AM11" s="10">
        <f>-'Cost Schedule'!AM7</f>
        <v/>
      </c>
      <c r="AN11" s="10">
        <f>-'Cost Schedule'!AN7</f>
        <v/>
      </c>
      <c r="AO11" s="10">
        <f>-'Cost Schedule'!AO7</f>
        <v/>
      </c>
      <c r="AP11" s="10">
        <f>-'Cost Schedule'!AP7</f>
        <v/>
      </c>
      <c r="AQ11" s="10">
        <f>-'Cost Schedule'!AQ7</f>
        <v/>
      </c>
      <c r="AR11" s="10">
        <f>-'Cost Schedule'!AR7</f>
        <v/>
      </c>
    </row>
    <row r="12">
      <c r="A12" s="4" t="inlineStr">
        <is>
          <t>INVESTING CF</t>
        </is>
      </c>
      <c r="C12" s="9">
        <f>C11</f>
        <v/>
      </c>
      <c r="D12" s="9">
        <f>D11</f>
        <v/>
      </c>
      <c r="E12" s="9">
        <f>E11</f>
        <v/>
      </c>
      <c r="F12" s="9">
        <f>F11</f>
        <v/>
      </c>
      <c r="G12" s="9">
        <f>G11</f>
        <v/>
      </c>
      <c r="H12" s="9">
        <f>H11</f>
        <v/>
      </c>
      <c r="I12" s="9">
        <f>I11</f>
        <v/>
      </c>
      <c r="J12" s="9">
        <f>J11</f>
        <v/>
      </c>
      <c r="K12" s="9">
        <f>K11</f>
        <v/>
      </c>
      <c r="L12" s="9">
        <f>L11</f>
        <v/>
      </c>
      <c r="M12" s="9">
        <f>M11</f>
        <v/>
      </c>
      <c r="N12" s="9">
        <f>N11</f>
        <v/>
      </c>
      <c r="O12" s="9">
        <f>O11</f>
        <v/>
      </c>
      <c r="P12" s="9">
        <f>P11</f>
        <v/>
      </c>
      <c r="Q12" s="9">
        <f>Q11</f>
        <v/>
      </c>
      <c r="R12" s="9">
        <f>R11</f>
        <v/>
      </c>
      <c r="S12" s="9">
        <f>S11</f>
        <v/>
      </c>
      <c r="T12" s="9">
        <f>T11</f>
        <v/>
      </c>
      <c r="U12" s="9">
        <f>U11</f>
        <v/>
      </c>
      <c r="V12" s="9">
        <f>V11</f>
        <v/>
      </c>
      <c r="W12" s="9">
        <f>W11</f>
        <v/>
      </c>
      <c r="X12" s="9">
        <f>X11</f>
        <v/>
      </c>
      <c r="Y12" s="9">
        <f>Y11</f>
        <v/>
      </c>
      <c r="Z12" s="9">
        <f>Z11</f>
        <v/>
      </c>
      <c r="AA12" s="9">
        <f>AA11</f>
        <v/>
      </c>
      <c r="AB12" s="9">
        <f>AB11</f>
        <v/>
      </c>
      <c r="AC12" s="9">
        <f>AC11</f>
        <v/>
      </c>
      <c r="AD12" s="9">
        <f>AD11</f>
        <v/>
      </c>
      <c r="AE12" s="9">
        <f>AE11</f>
        <v/>
      </c>
      <c r="AF12" s="9">
        <f>AF11</f>
        <v/>
      </c>
      <c r="AG12" s="9">
        <f>AG11</f>
        <v/>
      </c>
      <c r="AH12" s="9">
        <f>AH11</f>
        <v/>
      </c>
      <c r="AI12" s="9">
        <f>AI11</f>
        <v/>
      </c>
      <c r="AJ12" s="9">
        <f>AJ11</f>
        <v/>
      </c>
      <c r="AK12" s="9">
        <f>AK11</f>
        <v/>
      </c>
      <c r="AL12" s="9">
        <f>AL11</f>
        <v/>
      </c>
      <c r="AM12" s="9">
        <f>AM11</f>
        <v/>
      </c>
      <c r="AN12" s="9">
        <f>AN11</f>
        <v/>
      </c>
      <c r="AO12" s="9">
        <f>AO11</f>
        <v/>
      </c>
      <c r="AP12" s="9">
        <f>AP11</f>
        <v/>
      </c>
      <c r="AQ12" s="9">
        <f>AQ11</f>
        <v/>
      </c>
      <c r="AR12" s="9">
        <f>AR11</f>
        <v/>
      </c>
    </row>
    <row r="14">
      <c r="A14" s="4" t="inlineStr">
        <is>
          <t>FREE CASH FLOW</t>
        </is>
      </c>
      <c r="C14" s="9">
        <f>C8+C12</f>
        <v/>
      </c>
      <c r="D14" s="9">
        <f>D8+D12</f>
        <v/>
      </c>
      <c r="E14" s="9">
        <f>E8+E12</f>
        <v/>
      </c>
      <c r="F14" s="9">
        <f>F8+F12</f>
        <v/>
      </c>
      <c r="G14" s="9">
        <f>G8+G12</f>
        <v/>
      </c>
      <c r="H14" s="9">
        <f>H8+H12</f>
        <v/>
      </c>
      <c r="I14" s="9">
        <f>I8+I12</f>
        <v/>
      </c>
      <c r="J14" s="9">
        <f>J8+J12</f>
        <v/>
      </c>
      <c r="K14" s="9">
        <f>K8+K12</f>
        <v/>
      </c>
      <c r="L14" s="9">
        <f>L8+L12</f>
        <v/>
      </c>
      <c r="M14" s="9">
        <f>M8+M12</f>
        <v/>
      </c>
      <c r="N14" s="9">
        <f>N8+N12</f>
        <v/>
      </c>
      <c r="O14" s="9">
        <f>O8+O12</f>
        <v/>
      </c>
      <c r="P14" s="9">
        <f>P8+P12</f>
        <v/>
      </c>
      <c r="Q14" s="9">
        <f>Q8+Q12</f>
        <v/>
      </c>
      <c r="R14" s="9">
        <f>R8+R12</f>
        <v/>
      </c>
      <c r="S14" s="9">
        <f>S8+S12</f>
        <v/>
      </c>
      <c r="T14" s="9">
        <f>T8+T12</f>
        <v/>
      </c>
      <c r="U14" s="9">
        <f>U8+U12</f>
        <v/>
      </c>
      <c r="V14" s="9">
        <f>V8+V12</f>
        <v/>
      </c>
      <c r="W14" s="9">
        <f>W8+W12</f>
        <v/>
      </c>
      <c r="X14" s="9">
        <f>X8+X12</f>
        <v/>
      </c>
      <c r="Y14" s="9">
        <f>Y8+Y12</f>
        <v/>
      </c>
      <c r="Z14" s="9">
        <f>Z8+Z12</f>
        <v/>
      </c>
      <c r="AA14" s="9">
        <f>AA8+AA12</f>
        <v/>
      </c>
      <c r="AB14" s="9">
        <f>AB8+AB12</f>
        <v/>
      </c>
      <c r="AC14" s="9">
        <f>AC8+AC12</f>
        <v/>
      </c>
      <c r="AD14" s="9">
        <f>AD8+AD12</f>
        <v/>
      </c>
      <c r="AE14" s="9">
        <f>AE8+AE12</f>
        <v/>
      </c>
      <c r="AF14" s="9">
        <f>AF8+AF12</f>
        <v/>
      </c>
      <c r="AG14" s="9">
        <f>AG8+AG12</f>
        <v/>
      </c>
      <c r="AH14" s="9">
        <f>AH8+AH12</f>
        <v/>
      </c>
      <c r="AI14" s="9">
        <f>AI8+AI12</f>
        <v/>
      </c>
      <c r="AJ14" s="9">
        <f>AJ8+AJ12</f>
        <v/>
      </c>
      <c r="AK14" s="9">
        <f>AK8+AK12</f>
        <v/>
      </c>
      <c r="AL14" s="9">
        <f>AL8+AL12</f>
        <v/>
      </c>
      <c r="AM14" s="9">
        <f>AM8+AM12</f>
        <v/>
      </c>
      <c r="AN14" s="9">
        <f>AN8+AN12</f>
        <v/>
      </c>
      <c r="AO14" s="9">
        <f>AO8+AO12</f>
        <v/>
      </c>
      <c r="AP14" s="9">
        <f>AP8+AP12</f>
        <v/>
      </c>
      <c r="AQ14" s="9">
        <f>AQ8+AQ12</f>
        <v/>
      </c>
      <c r="AR14" s="9">
        <f>AR8+AR12</f>
        <v/>
      </c>
    </row>
    <row r="15">
      <c r="A15" s="4" t="inlineStr">
        <is>
          <t>Cumulative CF</t>
        </is>
      </c>
      <c r="C15" s="10">
        <f>C14</f>
        <v/>
      </c>
      <c r="D15" s="10">
        <f>C15+D14</f>
        <v/>
      </c>
      <c r="E15" s="10">
        <f>D15+E14</f>
        <v/>
      </c>
      <c r="F15" s="10">
        <f>E15+F14</f>
        <v/>
      </c>
      <c r="G15" s="10">
        <f>F15+G14</f>
        <v/>
      </c>
      <c r="H15" s="10">
        <f>G15+H14</f>
        <v/>
      </c>
      <c r="I15" s="10">
        <f>H15+I14</f>
        <v/>
      </c>
      <c r="J15" s="10">
        <f>I15+J14</f>
        <v/>
      </c>
      <c r="K15" s="10">
        <f>J15+K14</f>
        <v/>
      </c>
      <c r="L15" s="10">
        <f>K15+L14</f>
        <v/>
      </c>
      <c r="M15" s="10">
        <f>L15+M14</f>
        <v/>
      </c>
      <c r="N15" s="10">
        <f>M15+N14</f>
        <v/>
      </c>
      <c r="O15" s="10">
        <f>N15+O14</f>
        <v/>
      </c>
      <c r="P15" s="10">
        <f>O15+P14</f>
        <v/>
      </c>
      <c r="Q15" s="10">
        <f>P15+Q14</f>
        <v/>
      </c>
      <c r="R15" s="10">
        <f>Q15+R14</f>
        <v/>
      </c>
      <c r="S15" s="10">
        <f>R15+S14</f>
        <v/>
      </c>
      <c r="T15" s="10">
        <f>S15+T14</f>
        <v/>
      </c>
      <c r="U15" s="10">
        <f>T15+U14</f>
        <v/>
      </c>
      <c r="V15" s="10">
        <f>U15+V14</f>
        <v/>
      </c>
      <c r="W15" s="10">
        <f>V15+W14</f>
        <v/>
      </c>
      <c r="X15" s="10">
        <f>W15+X14</f>
        <v/>
      </c>
      <c r="Y15" s="10">
        <f>X15+Y14</f>
        <v/>
      </c>
      <c r="Z15" s="10">
        <f>Y15+Z14</f>
        <v/>
      </c>
      <c r="AA15" s="10">
        <f>Z15+AA14</f>
        <v/>
      </c>
      <c r="AB15" s="10">
        <f>AA15+AB14</f>
        <v/>
      </c>
      <c r="AC15" s="10">
        <f>AB15+AC14</f>
        <v/>
      </c>
      <c r="AD15" s="10">
        <f>AC15+AD14</f>
        <v/>
      </c>
      <c r="AE15" s="10">
        <f>AD15+AE14</f>
        <v/>
      </c>
      <c r="AF15" s="10">
        <f>AE15+AF14</f>
        <v/>
      </c>
      <c r="AG15" s="10">
        <f>AF15+AG14</f>
        <v/>
      </c>
      <c r="AH15" s="10">
        <f>AG15+AH14</f>
        <v/>
      </c>
      <c r="AI15" s="10">
        <f>AH15+AI14</f>
        <v/>
      </c>
      <c r="AJ15" s="10">
        <f>AI15+AJ14</f>
        <v/>
      </c>
      <c r="AK15" s="10">
        <f>AJ15+AK14</f>
        <v/>
      </c>
      <c r="AL15" s="10">
        <f>AK15+AL14</f>
        <v/>
      </c>
      <c r="AM15" s="10">
        <f>AL15+AM14</f>
        <v/>
      </c>
      <c r="AN15" s="10">
        <f>AM15+AN14</f>
        <v/>
      </c>
      <c r="AO15" s="10">
        <f>AN15+AO14</f>
        <v/>
      </c>
      <c r="AP15" s="10">
        <f>AO15+AP14</f>
        <v/>
      </c>
      <c r="AQ15" s="10">
        <f>AP15+AQ14</f>
        <v/>
      </c>
      <c r="AR15" s="10">
        <f>AQ15+AR14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C00000"/>
    <outlinePr summaryBelow="1" summaryRight="1"/>
    <pageSetUpPr/>
  </sheetPr>
  <dimension ref="A1:B18"/>
  <sheetViews>
    <sheetView workbookViewId="0">
      <selection activeCell="B10" sqref="B10"/>
    </sheetView>
  </sheetViews>
  <sheetFormatPr baseColWidth="8" defaultRowHeight="14.4"/>
  <cols>
    <col width="38" customWidth="1" style="62" min="1" max="1"/>
    <col width="18" customWidth="1" style="62" min="2" max="2"/>
  </cols>
  <sheetData>
    <row r="1">
      <c r="A1" s="29" t="inlineStr">
        <is>
          <t>DCF &amp; RETURNS</t>
        </is>
      </c>
    </row>
    <row r="3">
      <c r="A3" s="29" t="inlineStr">
        <is>
          <t>Annual FCF</t>
        </is>
      </c>
    </row>
    <row r="4">
      <c r="A4" s="3" t="inlineStr">
        <is>
          <t>Year</t>
        </is>
      </c>
      <c r="B4" s="3" t="inlineStr">
        <is>
          <t>FCF (M VND)</t>
        </is>
      </c>
    </row>
    <row r="5">
      <c r="A5" s="4" t="inlineStr">
        <is>
          <t>H2_2025</t>
        </is>
      </c>
      <c r="B5" s="10">
        <f>SUM('Cash Flow'!C14:H14)</f>
        <v/>
      </c>
    </row>
    <row r="6">
      <c r="A6" s="4" t="inlineStr">
        <is>
          <t>Y2026</t>
        </is>
      </c>
      <c r="B6" s="10">
        <f>SUM('Cash Flow'!I14:T14)</f>
        <v/>
      </c>
    </row>
    <row r="7">
      <c r="A7" s="4" t="inlineStr">
        <is>
          <t>Y2027</t>
        </is>
      </c>
      <c r="B7" s="10">
        <f>SUM('Cash Flow'!U14:AF14)</f>
        <v/>
      </c>
    </row>
    <row r="8">
      <c r="A8" s="4" t="inlineStr">
        <is>
          <t>Y2028</t>
        </is>
      </c>
      <c r="B8" s="10">
        <f>SUM('Cash Flow'!AG14:AJ14)</f>
        <v/>
      </c>
    </row>
    <row r="9">
      <c r="A9" s="4" t="inlineStr">
        <is>
          <t>Y2029</t>
        </is>
      </c>
      <c r="B9" s="10">
        <f>SUM('Cash Flow'!AK14:AN14)</f>
        <v/>
      </c>
    </row>
    <row r="10">
      <c r="A10" s="4" t="inlineStr">
        <is>
          <t>Y2030</t>
        </is>
      </c>
      <c r="B10" s="10">
        <f>SUM('Cash Flow'!AO14:AR14)</f>
        <v/>
      </c>
    </row>
    <row r="12">
      <c r="A12" s="29" t="inlineStr">
        <is>
          <t>Metrics</t>
        </is>
      </c>
    </row>
    <row r="13">
      <c r="A13" s="4" t="inlineStr">
        <is>
          <t>NPV</t>
        </is>
      </c>
      <c r="B13" s="10">
        <f>NPV(discount_rate,B6:B10)+B5</f>
        <v/>
      </c>
    </row>
    <row r="14">
      <c r="A14" s="4" t="inlineStr">
        <is>
          <t>IRR</t>
        </is>
      </c>
      <c r="B14" s="17">
        <f>IFERROR(IRR(B5:B10),"N/A")</f>
        <v/>
      </c>
    </row>
    <row r="15">
      <c r="A15" s="4" t="inlineStr">
        <is>
          <t>Max cash burn</t>
        </is>
      </c>
      <c r="B15" s="10">
        <f>-MIN('Cash Flow'!C15:'Cash Flow'!AR15)</f>
        <v/>
      </c>
    </row>
    <row r="16">
      <c r="A16" s="4" t="inlineStr">
        <is>
          <t>ROI</t>
        </is>
      </c>
      <c r="B16" s="17">
        <f>IF(B15=0,0,('Cash Flow'!AR15+B15)/B15)</f>
        <v/>
      </c>
    </row>
    <row r="17">
      <c r="A17" s="4" t="inlineStr">
        <is>
          <t>CIT rate</t>
        </is>
      </c>
      <c r="B17" s="17">
        <f>cit_rate</f>
        <v/>
      </c>
    </row>
    <row r="18">
      <c r="A18" s="4" t="inlineStr">
        <is>
          <t>WACC</t>
        </is>
      </c>
      <c r="B18" s="17">
        <f>discount_rate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FF0066"/>
    <outlinePr summaryBelow="1" summaryRight="1"/>
    <pageSetUpPr/>
  </sheetPr>
  <dimension ref="A1:I62"/>
  <sheetViews>
    <sheetView topLeftCell="A9" workbookViewId="0">
      <selection activeCell="A1" sqref="A1:I1"/>
    </sheetView>
  </sheetViews>
  <sheetFormatPr baseColWidth="8" defaultRowHeight="14.4"/>
  <cols>
    <col width="38" customWidth="1" style="62" min="1" max="1"/>
    <col width="14" customWidth="1" style="62" min="2" max="11"/>
  </cols>
  <sheetData>
    <row r="1" ht="18" customHeight="1" s="62">
      <c r="A1" s="73" t="inlineStr">
        <is>
          <t>SENSITIVITY ANALYSIS — v6 (computed NPV)</t>
        </is>
      </c>
    </row>
    <row r="3">
      <c r="A3" s="70" t="inlineStr">
        <is>
          <t>ONE-AT-A-TIME SENSITIVITY — Approximate NPV Impact (Tr VND)</t>
        </is>
      </c>
      <c r="B3" s="92" t="n"/>
      <c r="C3" s="92" t="n"/>
      <c r="D3" s="92" t="n"/>
      <c r="E3" s="92" t="n"/>
      <c r="F3" s="92" t="n"/>
      <c r="G3" s="92" t="n"/>
      <c r="H3" s="92" t="n"/>
      <c r="I3" s="93" t="n"/>
    </row>
    <row r="4">
      <c r="A4" s="50" t="inlineStr">
        <is>
          <t>Parameter</t>
        </is>
      </c>
      <c r="B4" s="50" t="inlineStr">
        <is>
          <t>-30%</t>
        </is>
      </c>
      <c r="C4" s="50" t="inlineStr">
        <is>
          <t>-15%</t>
        </is>
      </c>
      <c r="D4" s="50" t="inlineStr">
        <is>
          <t>BASE</t>
        </is>
      </c>
      <c r="E4" s="50" t="inlineStr">
        <is>
          <t>+15%</t>
        </is>
      </c>
      <c r="F4" s="50" t="inlineStr">
        <is>
          <t>+30%</t>
        </is>
      </c>
      <c r="G4" s="50" t="inlineStr">
        <is>
          <t>Value @Base</t>
        </is>
      </c>
      <c r="H4" s="50" t="inlineStr">
        <is>
          <t>Impact ↑ or ↓</t>
        </is>
      </c>
    </row>
    <row r="5">
      <c r="A5" s="45" t="inlineStr">
        <is>
          <t>Max enterprises (adoption_max)</t>
        </is>
      </c>
      <c r="B5" s="51">
        <f>((((adoption_max*0.7/(1+EXP(-adoption_steepness*(2028-adoption_midpoint)))*(1-churn_rate))*(cert_fee_yr1*(1+cert_fee_escalation)^2.5+training_pct*training_fee+audit_fee)*5)+(IF((adoption_max*0.7/(1+EXP(-adoption_steepness*(2028-adoption_midpoint)))*(1-churn_rate))&gt;=stage2_gate,ecom_market_base*(1+ecom_growth_rate)^4*platform_market_share*tx_take_rate*1000*3,0))-((IF((adoption_max*0.7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*0.7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C5" s="51">
        <f>((((adoption_max*0.85/(1+EXP(-adoption_steepness*(2028-adoption_midpoint)))*(1-churn_rate))*(cert_fee_yr1*(1+cert_fee_escalation)^2.5+training_pct*training_fee+audit_fee)*5)+(IF((adoption_max*0.85/(1+EXP(-adoption_steepness*(2028-adoption_midpoint)))*(1-churn_rate))&gt;=stage2_gate,ecom_market_base*(1+ecom_growth_rate)^4*platform_market_share*tx_take_rate*1000*3,0))-((IF((adoption_max*0.85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*0.85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D5" s="52">
        <f>((((adoption_max*1/(1+EXP(-adoption_steepness*(2028-adoption_midpoint)))*(1-churn_rate))*(cert_fee_yr1*(1+cert_fee_escalation)^2.5+training_pct*training_fee+audit_fee)*5)+(IF((adoption_max*1/(1+EXP(-adoption_steepness*(2028-adoption_midpoint)))*(1-churn_rate))&gt;=stage2_gate,ecom_market_base*(1+ecom_growth_rate)^4*platform_market_share*tx_take_rate*1000*3,0))-((IF((adoption_max*1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*1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E5" s="53">
        <f>((((adoption_max*1.15/(1+EXP(-adoption_steepness*(2028-adoption_midpoint)))*(1-churn_rate))*(cert_fee_yr1*(1+cert_fee_escalation)^2.5+training_pct*training_fee+audit_fee)*5)+(IF((adoption_max*1.15/(1+EXP(-adoption_steepness*(2028-adoption_midpoint)))*(1-churn_rate))&gt;=stage2_gate,ecom_market_base*(1+ecom_growth_rate)^4*platform_market_share*tx_take_rate*1000*3,0))-((IF((adoption_max*1.15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*1.15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F5" s="53">
        <f>((((adoption_max*1.3/(1+EXP(-adoption_steepness*(2028-adoption_midpoint)))*(1-churn_rate))*(cert_fee_yr1*(1+cert_fee_escalation)^2.5+training_pct*training_fee+audit_fee)*5)+(IF((adoption_max*1.3/(1+EXP(-adoption_steepness*(2028-adoption_midpoint)))*(1-churn_rate))&gt;=stage2_gate,ecom_market_base*(1+ecom_growth_rate)^4*platform_market_share*tx_take_rate*1000*3,0))-((IF((adoption_max*1.3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*1.3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G5" s="54">
        <f>adoption_max</f>
        <v/>
      </c>
      <c r="H5" s="55" t="inlineStr">
        <is>
          <t>↑ adoption →  ↑ all revenue</t>
        </is>
      </c>
    </row>
    <row r="6">
      <c r="A6" s="45" t="inlineStr">
        <is>
          <t>Market share (platform_market_share)</t>
        </is>
      </c>
      <c r="B6" s="51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0.7*tx_take_rate*1000*3,0))-((IF((adoption_max/(1+EXP(-adoption_steepness*(2028-adoption_midpoint)))*(1-churn_rate))&gt;=stage2_gate,ecom_market_base*(1+ecom_growth_rate)^4*platform_market_share*0.7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C6" s="51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0.85*tx_take_rate*1000*3,0))-((IF((adoption_max/(1+EXP(-adoption_steepness*(2028-adoption_midpoint)))*(1-churn_rate))&gt;=stage2_gate,ecom_market_base*(1+ecom_growth_rate)^4*platform_market_share*0.85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D6" s="52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1*tx_take_rate*1000*3,0))-((IF((adoption_max/(1+EXP(-adoption_steepness*(2028-adoption_midpoint)))*(1-churn_rate))&gt;=stage2_gate,ecom_market_base*(1+ecom_growth_rate)^4*platform_market_share*1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E6" s="53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1.15*tx_take_rate*1000*3,0))-((IF((adoption_max/(1+EXP(-adoption_steepness*(2028-adoption_midpoint)))*(1-churn_rate))&gt;=stage2_gate,ecom_market_base*(1+ecom_growth_rate)^4*platform_market_share*1.15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F6" s="53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1.3*tx_take_rate*1000*3,0))-((IF((adoption_max/(1+EXP(-adoption_steepness*(2028-adoption_midpoint)))*(1-churn_rate))&gt;=stage2_gate,ecom_market_base*(1+ecom_growth_rate)^4*platform_market_share*1.3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G6" s="54">
        <f>platform_market_share</f>
        <v/>
      </c>
      <c r="H6" s="55" t="inlineStr">
        <is>
          <t>↑ share → ↑ Stage 2 rev</t>
        </is>
      </c>
    </row>
    <row r="7">
      <c r="A7" s="45" t="inlineStr">
        <is>
          <t>Churn rate</t>
        </is>
      </c>
      <c r="B7" s="51">
        <f>((((adoption_max/(1+EXP(-adoption_steepness*(2028-adoption_midpoint)))*(1-churn_rate*0.7))*(cert_fee_yr1*(1+cert_fee_escalation)^2.5+training_pct*training_fee+audit_fee)*5)+(IF((adoption_max/(1+EXP(-adoption_steepness*(2028-adoption_midpoint)))*(1-churn_rate*0.7))&gt;=stage2_gate,ecom_market_base*(1+ecom_growth_rate)^4*platform_market_share*tx_take_rate*1000*3,0))-((IF((adoption_max/(1+EXP(-adoption_steepness*(2028-adoption_midpoint)))*(1-churn_rate*0.7)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*0.7))*vcr_per_enterprise*12*cloud_per_1M_vcr/1000000*5)+((opex_branding+opex_external+opex_legal+opex_security+opex_partner_mgmt)*5)+(capex_total*capex_maintenance_pct*4)))*(1-cit_rate))/(1+discount_rate)^2.5</f>
        <v/>
      </c>
      <c r="C7" s="51">
        <f>((((adoption_max/(1+EXP(-adoption_steepness*(2028-adoption_midpoint)))*(1-churn_rate*0.85))*(cert_fee_yr1*(1+cert_fee_escalation)^2.5+training_pct*training_fee+audit_fee)*5)+(IF((adoption_max/(1+EXP(-adoption_steepness*(2028-adoption_midpoint)))*(1-churn_rate*0.85))&gt;=stage2_gate,ecom_market_base*(1+ecom_growth_rate)^4*platform_market_share*tx_take_rate*1000*3,0))-((IF((adoption_max/(1+EXP(-adoption_steepness*(2028-adoption_midpoint)))*(1-churn_rate*0.85)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*0.85))*vcr_per_enterprise*12*cloud_per_1M_vcr/1000000*5)+((opex_branding+opex_external+opex_legal+opex_security+opex_partner_mgmt)*5)+(capex_total*capex_maintenance_pct*4)))*(1-cit_rate))/(1+discount_rate)^2.5</f>
        <v/>
      </c>
      <c r="D7" s="52">
        <f>((((adoption_max/(1+EXP(-adoption_steepness*(2028-adoption_midpoint)))*(1-churn_rate*1))*(cert_fee_yr1*(1+cert_fee_escalation)^2.5+training_pct*training_fee+audit_fee)*5)+(IF((adoption_max/(1+EXP(-adoption_steepness*(2028-adoption_midpoint)))*(1-churn_rate*1))&gt;=stage2_gate,ecom_market_base*(1+ecom_growth_rate)^4*platform_market_share*tx_take_rate*1000*3,0))-((IF((adoption_max/(1+EXP(-adoption_steepness*(2028-adoption_midpoint)))*(1-churn_rate*1)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*1))*vcr_per_enterprise*12*cloud_per_1M_vcr/1000000*5)+((opex_branding+opex_external+opex_legal+opex_security+opex_partner_mgmt)*5)+(capex_total*capex_maintenance_pct*4)))*(1-cit_rate))/(1+discount_rate)^2.5</f>
        <v/>
      </c>
      <c r="E7" s="53">
        <f>((((adoption_max/(1+EXP(-adoption_steepness*(2028-adoption_midpoint)))*(1-churn_rate*1.15))*(cert_fee_yr1*(1+cert_fee_escalation)^2.5+training_pct*training_fee+audit_fee)*5)+(IF((adoption_max/(1+EXP(-adoption_steepness*(2028-adoption_midpoint)))*(1-churn_rate*1.15))&gt;=stage2_gate,ecom_market_base*(1+ecom_growth_rate)^4*platform_market_share*tx_take_rate*1000*3,0))-((IF((adoption_max/(1+EXP(-adoption_steepness*(2028-adoption_midpoint)))*(1-churn_rate*1.15)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*1.15))*vcr_per_enterprise*12*cloud_per_1M_vcr/1000000*5)+((opex_branding+opex_external+opex_legal+opex_security+opex_partner_mgmt)*5)+(capex_total*capex_maintenance_pct*4)))*(1-cit_rate))/(1+discount_rate)^2.5</f>
        <v/>
      </c>
      <c r="F7" s="53">
        <f>((((adoption_max/(1+EXP(-adoption_steepness*(2028-adoption_midpoint)))*(1-churn_rate*1.3))*(cert_fee_yr1*(1+cert_fee_escalation)^2.5+training_pct*training_fee+audit_fee)*5)+(IF((adoption_max/(1+EXP(-adoption_steepness*(2028-adoption_midpoint)))*(1-churn_rate*1.3))&gt;=stage2_gate,ecom_market_base*(1+ecom_growth_rate)^4*platform_market_share*tx_take_rate*1000*3,0))-((IF((adoption_max/(1+EXP(-adoption_steepness*(2028-adoption_midpoint)))*(1-churn_rate*1.3)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*1.3))*vcr_per_enterprise*12*cloud_per_1M_vcr/1000000*5)+((opex_branding+opex_external+opex_legal+opex_security+opex_partner_mgmt)*5)+(capex_total*capex_maintenance_pct*4)))*(1-cit_rate))/(1+discount_rate)^2.5</f>
        <v/>
      </c>
      <c r="G7" s="54">
        <f>churn_rate</f>
        <v/>
      </c>
      <c r="H7" s="55" t="inlineStr">
        <is>
          <t>↑ churn → ↓ net ent</t>
        </is>
      </c>
    </row>
    <row r="8">
      <c r="A8" s="45" t="inlineStr">
        <is>
          <t>Cert fee (Tr/yr)</t>
        </is>
      </c>
      <c r="B8" s="51">
        <f>((((adoption_max/(1+EXP(-adoption_steepness*(2028-adoption_midpoint)))*(1-churn_rate))*(cert_fee_yr1*0.7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C8" s="51">
        <f>((((adoption_max/(1+EXP(-adoption_steepness*(2028-adoption_midpoint)))*(1-churn_rate))*(cert_fee_yr1*0.85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D8" s="52">
        <f>((((adoption_max/(1+EXP(-adoption_steepness*(2028-adoption_midpoint)))*(1-churn_rate))*(cert_fee_yr1*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E8" s="53">
        <f>((((adoption_max/(1+EXP(-adoption_steepness*(2028-adoption_midpoint)))*(1-churn_rate))*(cert_fee_yr1*1.15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F8" s="53">
        <f>((((adoption_max/(1+EXP(-adoption_steepness*(2028-adoption_midpoint)))*(1-churn_rate))*(cert_fee_yr1*1.3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G8" s="54">
        <f>cert_fee_yr1</f>
        <v/>
      </c>
      <c r="H8" s="55" t="inlineStr">
        <is>
          <t>↑ fee → ↑ Stage 1 rev</t>
        </is>
      </c>
    </row>
    <row r="9">
      <c r="A9" s="45" t="inlineStr">
        <is>
          <t>Cert escalation</t>
        </is>
      </c>
      <c r="B9" s="51">
        <f>((((adoption_max/(1+EXP(-adoption_steepness*(2028-adoption_midpoint)))*(1-churn_rate))*(cert_fee_yr1*(1+cert_fee_escalation*0.7)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C9" s="51">
        <f>((((adoption_max/(1+EXP(-adoption_steepness*(2028-adoption_midpoint)))*(1-churn_rate))*(cert_fee_yr1*(1+cert_fee_escalation*0.85)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D9" s="52">
        <f>((((adoption_max/(1+EXP(-adoption_steepness*(2028-adoption_midpoint)))*(1-churn_rate))*(cert_fee_yr1*(1+cert_fee_escalation*1)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E9" s="53">
        <f>((((adoption_max/(1+EXP(-adoption_steepness*(2028-adoption_midpoint)))*(1-churn_rate))*(cert_fee_yr1*(1+cert_fee_escalation*1.15)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F9" s="53">
        <f>((((adoption_max/(1+EXP(-adoption_steepness*(2028-adoption_midpoint)))*(1-churn_rate))*(cert_fee_yr1*(1+cert_fee_escalation*1.3)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G9" s="54">
        <f>cert_fee_escalation</f>
        <v/>
      </c>
      <c r="H9" s="55" t="inlineStr">
        <is>
          <t>↑ esc → ↑ later rev</t>
        </is>
      </c>
    </row>
    <row r="10">
      <c r="A10" s="45" t="inlineStr">
        <is>
          <t>WACC (discount_rate)</t>
        </is>
      </c>
      <c r="B10" s="51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*0.7)^2.5</f>
        <v/>
      </c>
      <c r="C10" s="51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*0.85)^2.5</f>
        <v/>
      </c>
      <c r="D10" s="52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*1)^2.5</f>
        <v/>
      </c>
      <c r="E10" s="53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*1.15)^2.5</f>
        <v/>
      </c>
      <c r="F10" s="53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*1.3)^2.5</f>
        <v/>
      </c>
      <c r="G10" s="54">
        <f>discount_rate</f>
        <v/>
      </c>
      <c r="H10" s="55" t="inlineStr">
        <is>
          <t>↑ WACC → ↓ NPV</t>
        </is>
      </c>
    </row>
    <row r="11">
      <c r="A11" s="45" t="inlineStr">
        <is>
          <t>Marketing base</t>
        </is>
      </c>
      <c r="B11" s="51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0.7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C11" s="51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0.85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D11" s="52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1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E11" s="53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1.15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F11" s="53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1.3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G11" s="54">
        <f>opex_marketing</f>
        <v/>
      </c>
      <c r="H11" s="55" t="inlineStr">
        <is>
          <t>↑ mkt → ↓ profit</t>
        </is>
      </c>
    </row>
    <row r="12">
      <c r="A12" s="45" t="inlineStr">
        <is>
          <t>S-curve steepness</t>
        </is>
      </c>
      <c r="B12" s="51">
        <f>((((adoption_max/(1+EXP(-adoption_steepness*0.7*(2028-adoption_midpoint)))*(1-churn_rate))*(cert_fee_yr1*(1+cert_fee_escalation)^2.5+training_pct*training_fee+audit_fee)*5)+(IF((adoption_max/(1+EXP(-adoption_steepness*0.7*(2028-adoption_midpoint)))*(1-churn_rate))&gt;=stage2_gate,ecom_market_base*(1+ecom_growth_rate)^4*platform_market_share*tx_take_rate*1000*3,0))-((IF((adoption_max/(1+EXP(-adoption_steepness*0.7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0.7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C12" s="51">
        <f>((((adoption_max/(1+EXP(-adoption_steepness*0.85*(2028-adoption_midpoint)))*(1-churn_rate))*(cert_fee_yr1*(1+cert_fee_escalation)^2.5+training_pct*training_fee+audit_fee)*5)+(IF((adoption_max/(1+EXP(-adoption_steepness*0.85*(2028-adoption_midpoint)))*(1-churn_rate))&gt;=stage2_gate,ecom_market_base*(1+ecom_growth_rate)^4*platform_market_share*tx_take_rate*1000*3,0))-((IF((adoption_max/(1+EXP(-adoption_steepness*0.85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0.85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D12" s="52">
        <f>((((adoption_max/(1+EXP(-adoption_steepness*1*(2028-adoption_midpoint)))*(1-churn_rate))*(cert_fee_yr1*(1+cert_fee_escalation)^2.5+training_pct*training_fee+audit_fee)*5)+(IF((adoption_max/(1+EXP(-adoption_steepness*1*(2028-adoption_midpoint)))*(1-churn_rate))&gt;=stage2_gate,ecom_market_base*(1+ecom_growth_rate)^4*platform_market_share*tx_take_rate*1000*3,0))-((IF((adoption_max/(1+EXP(-adoption_steepness*1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1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E12" s="53">
        <f>((((adoption_max/(1+EXP(-adoption_steepness*1.15*(2028-adoption_midpoint)))*(1-churn_rate))*(cert_fee_yr1*(1+cert_fee_escalation)^2.5+training_pct*training_fee+audit_fee)*5)+(IF((adoption_max/(1+EXP(-adoption_steepness*1.15*(2028-adoption_midpoint)))*(1-churn_rate))&gt;=stage2_gate,ecom_market_base*(1+ecom_growth_rate)^4*platform_market_share*tx_take_rate*1000*3,0))-((IF((adoption_max/(1+EXP(-adoption_steepness*1.15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1.15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F12" s="53">
        <f>((((adoption_max/(1+EXP(-adoption_steepness*1.3*(2028-adoption_midpoint)))*(1-churn_rate))*(cert_fee_yr1*(1+cert_fee_escalation)^2.5+training_pct*training_fee+audit_fee)*5)+(IF((adoption_max/(1+EXP(-adoption_steepness*1.3*(2028-adoption_midpoint)))*(1-churn_rate))&gt;=stage2_gate,ecom_market_base*(1+ecom_growth_rate)^4*platform_market_share*tx_take_rate*1000*3,0))-((IF((adoption_max/(1+EXP(-adoption_steepness*1.3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1.3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G12" s="54">
        <f>adoption_steepness</f>
        <v/>
      </c>
      <c r="H12" s="55" t="inlineStr">
        <is>
          <t>↑ steep → faster adopt</t>
        </is>
      </c>
    </row>
    <row r="13">
      <c r="A13" s="45" t="inlineStr">
        <is>
          <t>Stage 2 gate</t>
        </is>
      </c>
      <c r="B13" s="51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*0.7,ecom_market_base*(1+ecom_growth_rate)^4*platform_market_share*tx_take_rate*1000*3,0))-((IF((adoption_max/(1+EXP(-adoption_steepness*(2028-adoption_midpoint)))*(1-churn_rate))&gt;=stage2_gate*0.7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C13" s="51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*0.85,ecom_market_base*(1+ecom_growth_rate)^4*platform_market_share*tx_take_rate*1000*3,0))-((IF((adoption_max/(1+EXP(-adoption_steepness*(2028-adoption_midpoint)))*(1-churn_rate))&gt;=stage2_gate*0.85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D13" s="52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*1,ecom_market_base*(1+ecom_growth_rate)^4*platform_market_share*tx_take_rate*1000*3,0))-((IF((adoption_max/(1+EXP(-adoption_steepness*(2028-adoption_midpoint)))*(1-churn_rate))&gt;=stage2_gate*1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E13" s="53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*1.15,ecom_market_base*(1+ecom_growth_rate)^4*platform_market_share*tx_take_rate*1000*3,0))-((IF((adoption_max/(1+EXP(-adoption_steepness*(2028-adoption_midpoint)))*(1-churn_rate))&gt;=stage2_gate*1.15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F13" s="53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*1.3,ecom_market_base*(1+ecom_growth_rate)^4*platform_market_share*tx_take_rate*1000*3,0))-((IF((adoption_max/(1+EXP(-adoption_steepness*(2028-adoption_midpoint)))*(1-churn_rate))&gt;=stage2_gate*1.3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G13" s="54">
        <f>stage2_gate</f>
        <v/>
      </c>
      <c r="H13" s="55" t="inlineStr">
        <is>
          <t>↑ gate → later Stage 2</t>
        </is>
      </c>
    </row>
    <row r="14">
      <c r="A14" s="45" t="inlineStr">
        <is>
          <t>Cloud base cost</t>
        </is>
      </c>
      <c r="B14" s="51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0.7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C14" s="51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0.85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D14" s="52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1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E14" s="53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1.15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F14" s="53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1.3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G14" s="54">
        <f>opex_cloud_base</f>
        <v/>
      </c>
      <c r="H14" s="55" t="inlineStr">
        <is>
          <t>↑ cloud → ↓ profit</t>
        </is>
      </c>
    </row>
    <row r="15">
      <c r="A15" s="45" t="inlineStr">
        <is>
          <t>BHXH rate</t>
        </is>
      </c>
      <c r="B15" s="51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*0.7)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C15" s="51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*0.85)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D15" s="52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*1)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E15" s="53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*1.15)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F15" s="53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*1.3)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G15" s="54">
        <f>bhxh_rate</f>
        <v/>
      </c>
      <c r="H15" s="55" t="inlineStr">
        <is>
          <t>↑ BHXH → ↑ HR cost</t>
        </is>
      </c>
    </row>
    <row r="16">
      <c r="A16" s="45" t="inlineStr">
        <is>
          <t>CIT rate</t>
        </is>
      </c>
      <c r="B16" s="51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*0.7))/(1+discount_rate)^2.5</f>
        <v/>
      </c>
      <c r="C16" s="51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*0.85))/(1+discount_rate)^2.5</f>
        <v/>
      </c>
      <c r="D16" s="52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*1))/(1+discount_rate)^2.5</f>
        <v/>
      </c>
      <c r="E16" s="53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*1.15))/(1+discount_rate)^2.5</f>
        <v/>
      </c>
      <c r="F16" s="53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*1.3))/(1+discount_rate)^2.5</f>
        <v/>
      </c>
      <c r="G16" s="54">
        <f>cit_rate</f>
        <v/>
      </c>
      <c r="H16" s="55" t="inlineStr">
        <is>
          <t>↑ tax → ↓ net income</t>
        </is>
      </c>
    </row>
    <row r="19">
      <c r="A19" s="70" t="inlineStr">
        <is>
          <t>TWO-WAY NPV: adoption_max × platform_market_share (Tr VND)</t>
        </is>
      </c>
      <c r="B19" s="92" t="n"/>
      <c r="C19" s="92" t="n"/>
      <c r="D19" s="92" t="n"/>
      <c r="E19" s="92" t="n"/>
      <c r="F19" s="92" t="n"/>
      <c r="G19" s="92" t="n"/>
      <c r="H19" s="92" t="n"/>
      <c r="I19" s="93" t="n"/>
    </row>
    <row r="20">
      <c r="A20" s="50" t="inlineStr">
        <is>
          <t>adoption ↓ \ mkt_share →</t>
        </is>
      </c>
      <c r="B20" s="56" t="n">
        <v>0.001</v>
      </c>
      <c r="C20" s="56" t="n">
        <v>0.003</v>
      </c>
      <c r="D20" s="56" t="n">
        <v>0.005</v>
      </c>
      <c r="E20" s="56" t="n">
        <v>0.008</v>
      </c>
      <c r="F20" s="56" t="n">
        <v>0.01</v>
      </c>
      <c r="G20" s="56" t="n">
        <v>0.015</v>
      </c>
      <c r="H20" s="56" t="n">
        <v>0.02</v>
      </c>
    </row>
    <row r="21">
      <c r="A21" s="57" t="n">
        <v>200</v>
      </c>
      <c r="B21" s="58">
        <f>((((200/(1+EXP(-adoption_steepness*(2028-adoption_midpoint)))*(1-churn_rate))*(cert_fee_yr1*(1+cert_fee_escalation)^2.5+training_pct*training_fee+audit_fee)*5)+(IF((200/(1+EXP(-adoption_steepness*(2028-adoption_midpoint)))*(1-churn_rate))&gt;=stage2_gate,ecom_market_base*(1+ecom_growth_rate)^4*0.001*tx_take_rate*1000*3,0))-((IF((200/(1+EXP(-adoption_steepness*(2028-adoption_midpoint)))*(1-churn_rate))&gt;=stage2_gate,ecom_market_base*(1+ecom_growth_rate)^4*0.001*tx_take_rate*1000*3,0))*payment_proc_pct)-(capex_total+(33*30*12*(1+bhxh_rate)*(1+salary_escalation)^2*5)+(opex_marketing*(1+marketing_growth)^2*5)+(opex_cloud_base*5+(200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C21" s="58">
        <f>((((200/(1+EXP(-adoption_steepness*(2028-adoption_midpoint)))*(1-churn_rate))*(cert_fee_yr1*(1+cert_fee_escalation)^2.5+training_pct*training_fee+audit_fee)*5)+(IF((200/(1+EXP(-adoption_steepness*(2028-adoption_midpoint)))*(1-churn_rate))&gt;=stage2_gate,ecom_market_base*(1+ecom_growth_rate)^4*0.003*tx_take_rate*1000*3,0))-((IF((200/(1+EXP(-adoption_steepness*(2028-adoption_midpoint)))*(1-churn_rate))&gt;=stage2_gate,ecom_market_base*(1+ecom_growth_rate)^4*0.003*tx_take_rate*1000*3,0))*payment_proc_pct)-(capex_total+(33*30*12*(1+bhxh_rate)*(1+salary_escalation)^2*5)+(opex_marketing*(1+marketing_growth)^2*5)+(opex_cloud_base*5+(200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D21" s="58">
        <f>((((200/(1+EXP(-adoption_steepness*(2028-adoption_midpoint)))*(1-churn_rate))*(cert_fee_yr1*(1+cert_fee_escalation)^2.5+training_pct*training_fee+audit_fee)*5)+(IF((200/(1+EXP(-adoption_steepness*(2028-adoption_midpoint)))*(1-churn_rate))&gt;=stage2_gate,ecom_market_base*(1+ecom_growth_rate)^4*0.005*tx_take_rate*1000*3,0))-((IF((200/(1+EXP(-adoption_steepness*(2028-adoption_midpoint)))*(1-churn_rate))&gt;=stage2_gate,ecom_market_base*(1+ecom_growth_rate)^4*0.005*tx_take_rate*1000*3,0))*payment_proc_pct)-(capex_total+(33*30*12*(1+bhxh_rate)*(1+salary_escalation)^2*5)+(opex_marketing*(1+marketing_growth)^2*5)+(opex_cloud_base*5+(200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E21" s="58">
        <f>((((200/(1+EXP(-adoption_steepness*(2028-adoption_midpoint)))*(1-churn_rate))*(cert_fee_yr1*(1+cert_fee_escalation)^2.5+training_pct*training_fee+audit_fee)*5)+(IF((200/(1+EXP(-adoption_steepness*(2028-adoption_midpoint)))*(1-churn_rate))&gt;=stage2_gate,ecom_market_base*(1+ecom_growth_rate)^4*0.008*tx_take_rate*1000*3,0))-((IF((200/(1+EXP(-adoption_steepness*(2028-adoption_midpoint)))*(1-churn_rate))&gt;=stage2_gate,ecom_market_base*(1+ecom_growth_rate)^4*0.008*tx_take_rate*1000*3,0))*payment_proc_pct)-(capex_total+(33*30*12*(1+bhxh_rate)*(1+salary_escalation)^2*5)+(opex_marketing*(1+marketing_growth)^2*5)+(opex_cloud_base*5+(200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F21" s="58">
        <f>((((200/(1+EXP(-adoption_steepness*(2028-adoption_midpoint)))*(1-churn_rate))*(cert_fee_yr1*(1+cert_fee_escalation)^2.5+training_pct*training_fee+audit_fee)*5)+(IF((200/(1+EXP(-adoption_steepness*(2028-adoption_midpoint)))*(1-churn_rate))&gt;=stage2_gate,ecom_market_base*(1+ecom_growth_rate)^4*0.01*tx_take_rate*1000*3,0))-((IF((200/(1+EXP(-adoption_steepness*(2028-adoption_midpoint)))*(1-churn_rate))&gt;=stage2_gate,ecom_market_base*(1+ecom_growth_rate)^4*0.01*tx_take_rate*1000*3,0))*payment_proc_pct)-(capex_total+(33*30*12*(1+bhxh_rate)*(1+salary_escalation)^2*5)+(opex_marketing*(1+marketing_growth)^2*5)+(opex_cloud_base*5+(200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G21" s="58">
        <f>((((200/(1+EXP(-adoption_steepness*(2028-adoption_midpoint)))*(1-churn_rate))*(cert_fee_yr1*(1+cert_fee_escalation)^2.5+training_pct*training_fee+audit_fee)*5)+(IF((200/(1+EXP(-adoption_steepness*(2028-adoption_midpoint)))*(1-churn_rate))&gt;=stage2_gate,ecom_market_base*(1+ecom_growth_rate)^4*0.015*tx_take_rate*1000*3,0))-((IF((200/(1+EXP(-adoption_steepness*(2028-adoption_midpoint)))*(1-churn_rate))&gt;=stage2_gate,ecom_market_base*(1+ecom_growth_rate)^4*0.015*tx_take_rate*1000*3,0))*payment_proc_pct)-(capex_total+(33*30*12*(1+bhxh_rate)*(1+salary_escalation)^2*5)+(opex_marketing*(1+marketing_growth)^2*5)+(opex_cloud_base*5+(200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H21" s="58">
        <f>((((200/(1+EXP(-adoption_steepness*(2028-adoption_midpoint)))*(1-churn_rate))*(cert_fee_yr1*(1+cert_fee_escalation)^2.5+training_pct*training_fee+audit_fee)*5)+(IF((200/(1+EXP(-adoption_steepness*(2028-adoption_midpoint)))*(1-churn_rate))&gt;=stage2_gate,ecom_market_base*(1+ecom_growth_rate)^4*0.02*tx_take_rate*1000*3,0))-((IF((200/(1+EXP(-adoption_steepness*(2028-adoption_midpoint)))*(1-churn_rate))&gt;=stage2_gate,ecom_market_base*(1+ecom_growth_rate)^4*0.02*tx_take_rate*1000*3,0))*payment_proc_pct)-(capex_total+(33*30*12*(1+bhxh_rate)*(1+salary_escalation)^2*5)+(opex_marketing*(1+marketing_growth)^2*5)+(opex_cloud_base*5+(200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</row>
    <row r="22">
      <c r="A22" s="57" t="n">
        <v>400</v>
      </c>
      <c r="B22" s="58">
        <f>((((400/(1+EXP(-adoption_steepness*(2028-adoption_midpoint)))*(1-churn_rate))*(cert_fee_yr1*(1+cert_fee_escalation)^2.5+training_pct*training_fee+audit_fee)*5)+(IF((400/(1+EXP(-adoption_steepness*(2028-adoption_midpoint)))*(1-churn_rate))&gt;=stage2_gate,ecom_market_base*(1+ecom_growth_rate)^4*0.001*tx_take_rate*1000*3,0))-((IF((400/(1+EXP(-adoption_steepness*(2028-adoption_midpoint)))*(1-churn_rate))&gt;=stage2_gate,ecom_market_base*(1+ecom_growth_rate)^4*0.001*tx_take_rate*1000*3,0))*payment_proc_pct)-(capex_total+(33*30*12*(1+bhxh_rate)*(1+salary_escalation)^2*5)+(opex_marketing*(1+marketing_growth)^2*5)+(opex_cloud_base*5+(400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C22" s="58">
        <f>((((400/(1+EXP(-adoption_steepness*(2028-adoption_midpoint)))*(1-churn_rate))*(cert_fee_yr1*(1+cert_fee_escalation)^2.5+training_pct*training_fee+audit_fee)*5)+(IF((400/(1+EXP(-adoption_steepness*(2028-adoption_midpoint)))*(1-churn_rate))&gt;=stage2_gate,ecom_market_base*(1+ecom_growth_rate)^4*0.003*tx_take_rate*1000*3,0))-((IF((400/(1+EXP(-adoption_steepness*(2028-adoption_midpoint)))*(1-churn_rate))&gt;=stage2_gate,ecom_market_base*(1+ecom_growth_rate)^4*0.003*tx_take_rate*1000*3,0))*payment_proc_pct)-(capex_total+(33*30*12*(1+bhxh_rate)*(1+salary_escalation)^2*5)+(opex_marketing*(1+marketing_growth)^2*5)+(opex_cloud_base*5+(400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D22" s="58">
        <f>((((400/(1+EXP(-adoption_steepness*(2028-adoption_midpoint)))*(1-churn_rate))*(cert_fee_yr1*(1+cert_fee_escalation)^2.5+training_pct*training_fee+audit_fee)*5)+(IF((400/(1+EXP(-adoption_steepness*(2028-adoption_midpoint)))*(1-churn_rate))&gt;=stage2_gate,ecom_market_base*(1+ecom_growth_rate)^4*0.005*tx_take_rate*1000*3,0))-((IF((400/(1+EXP(-adoption_steepness*(2028-adoption_midpoint)))*(1-churn_rate))&gt;=stage2_gate,ecom_market_base*(1+ecom_growth_rate)^4*0.005*tx_take_rate*1000*3,0))*payment_proc_pct)-(capex_total+(33*30*12*(1+bhxh_rate)*(1+salary_escalation)^2*5)+(opex_marketing*(1+marketing_growth)^2*5)+(opex_cloud_base*5+(400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E22" s="58">
        <f>((((400/(1+EXP(-adoption_steepness*(2028-adoption_midpoint)))*(1-churn_rate))*(cert_fee_yr1*(1+cert_fee_escalation)^2.5+training_pct*training_fee+audit_fee)*5)+(IF((400/(1+EXP(-adoption_steepness*(2028-adoption_midpoint)))*(1-churn_rate))&gt;=stage2_gate,ecom_market_base*(1+ecom_growth_rate)^4*0.008*tx_take_rate*1000*3,0))-((IF((400/(1+EXP(-adoption_steepness*(2028-adoption_midpoint)))*(1-churn_rate))&gt;=stage2_gate,ecom_market_base*(1+ecom_growth_rate)^4*0.008*tx_take_rate*1000*3,0))*payment_proc_pct)-(capex_total+(33*30*12*(1+bhxh_rate)*(1+salary_escalation)^2*5)+(opex_marketing*(1+marketing_growth)^2*5)+(opex_cloud_base*5+(400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F22" s="58">
        <f>((((400/(1+EXP(-adoption_steepness*(2028-adoption_midpoint)))*(1-churn_rate))*(cert_fee_yr1*(1+cert_fee_escalation)^2.5+training_pct*training_fee+audit_fee)*5)+(IF((400/(1+EXP(-adoption_steepness*(2028-adoption_midpoint)))*(1-churn_rate))&gt;=stage2_gate,ecom_market_base*(1+ecom_growth_rate)^4*0.01*tx_take_rate*1000*3,0))-((IF((400/(1+EXP(-adoption_steepness*(2028-adoption_midpoint)))*(1-churn_rate))&gt;=stage2_gate,ecom_market_base*(1+ecom_growth_rate)^4*0.01*tx_take_rate*1000*3,0))*payment_proc_pct)-(capex_total+(33*30*12*(1+bhxh_rate)*(1+salary_escalation)^2*5)+(opex_marketing*(1+marketing_growth)^2*5)+(opex_cloud_base*5+(400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G22" s="58">
        <f>((((400/(1+EXP(-adoption_steepness*(2028-adoption_midpoint)))*(1-churn_rate))*(cert_fee_yr1*(1+cert_fee_escalation)^2.5+training_pct*training_fee+audit_fee)*5)+(IF((400/(1+EXP(-adoption_steepness*(2028-adoption_midpoint)))*(1-churn_rate))&gt;=stage2_gate,ecom_market_base*(1+ecom_growth_rate)^4*0.015*tx_take_rate*1000*3,0))-((IF((400/(1+EXP(-adoption_steepness*(2028-adoption_midpoint)))*(1-churn_rate))&gt;=stage2_gate,ecom_market_base*(1+ecom_growth_rate)^4*0.015*tx_take_rate*1000*3,0))*payment_proc_pct)-(capex_total+(33*30*12*(1+bhxh_rate)*(1+salary_escalation)^2*5)+(opex_marketing*(1+marketing_growth)^2*5)+(opex_cloud_base*5+(400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H22" s="58">
        <f>((((400/(1+EXP(-adoption_steepness*(2028-adoption_midpoint)))*(1-churn_rate))*(cert_fee_yr1*(1+cert_fee_escalation)^2.5+training_pct*training_fee+audit_fee)*5)+(IF((400/(1+EXP(-adoption_steepness*(2028-adoption_midpoint)))*(1-churn_rate))&gt;=stage2_gate,ecom_market_base*(1+ecom_growth_rate)^4*0.02*tx_take_rate*1000*3,0))-((IF((400/(1+EXP(-adoption_steepness*(2028-adoption_midpoint)))*(1-churn_rate))&gt;=stage2_gate,ecom_market_base*(1+ecom_growth_rate)^4*0.02*tx_take_rate*1000*3,0))*payment_proc_pct)-(capex_total+(33*30*12*(1+bhxh_rate)*(1+salary_escalation)^2*5)+(opex_marketing*(1+marketing_growth)^2*5)+(opex_cloud_base*5+(400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</row>
    <row r="23">
      <c r="A23" s="57" t="n">
        <v>600</v>
      </c>
      <c r="B23" s="58">
        <f>((((600/(1+EXP(-adoption_steepness*(2028-adoption_midpoint)))*(1-churn_rate))*(cert_fee_yr1*(1+cert_fee_escalation)^2.5+training_pct*training_fee+audit_fee)*5)+(IF((600/(1+EXP(-adoption_steepness*(2028-adoption_midpoint)))*(1-churn_rate))&gt;=stage2_gate,ecom_market_base*(1+ecom_growth_rate)^4*0.001*tx_take_rate*1000*3,0))-((IF((600/(1+EXP(-adoption_steepness*(2028-adoption_midpoint)))*(1-churn_rate))&gt;=stage2_gate,ecom_market_base*(1+ecom_growth_rate)^4*0.001*tx_take_rate*1000*3,0))*payment_proc_pct)-(capex_total+(33*30*12*(1+bhxh_rate)*(1+salary_escalation)^2*5)+(opex_marketing*(1+marketing_growth)^2*5)+(opex_cloud_base*5+(600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C23" s="58">
        <f>((((600/(1+EXP(-adoption_steepness*(2028-adoption_midpoint)))*(1-churn_rate))*(cert_fee_yr1*(1+cert_fee_escalation)^2.5+training_pct*training_fee+audit_fee)*5)+(IF((600/(1+EXP(-adoption_steepness*(2028-adoption_midpoint)))*(1-churn_rate))&gt;=stage2_gate,ecom_market_base*(1+ecom_growth_rate)^4*0.003*tx_take_rate*1000*3,0))-((IF((600/(1+EXP(-adoption_steepness*(2028-adoption_midpoint)))*(1-churn_rate))&gt;=stage2_gate,ecom_market_base*(1+ecom_growth_rate)^4*0.003*tx_take_rate*1000*3,0))*payment_proc_pct)-(capex_total+(33*30*12*(1+bhxh_rate)*(1+salary_escalation)^2*5)+(opex_marketing*(1+marketing_growth)^2*5)+(opex_cloud_base*5+(600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D23" s="58">
        <f>((((600/(1+EXP(-adoption_steepness*(2028-adoption_midpoint)))*(1-churn_rate))*(cert_fee_yr1*(1+cert_fee_escalation)^2.5+training_pct*training_fee+audit_fee)*5)+(IF((600/(1+EXP(-adoption_steepness*(2028-adoption_midpoint)))*(1-churn_rate))&gt;=stage2_gate,ecom_market_base*(1+ecom_growth_rate)^4*0.005*tx_take_rate*1000*3,0))-((IF((600/(1+EXP(-adoption_steepness*(2028-adoption_midpoint)))*(1-churn_rate))&gt;=stage2_gate,ecom_market_base*(1+ecom_growth_rate)^4*0.005*tx_take_rate*1000*3,0))*payment_proc_pct)-(capex_total+(33*30*12*(1+bhxh_rate)*(1+salary_escalation)^2*5)+(opex_marketing*(1+marketing_growth)^2*5)+(opex_cloud_base*5+(600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E23" s="58">
        <f>((((600/(1+EXP(-adoption_steepness*(2028-adoption_midpoint)))*(1-churn_rate))*(cert_fee_yr1*(1+cert_fee_escalation)^2.5+training_pct*training_fee+audit_fee)*5)+(IF((600/(1+EXP(-adoption_steepness*(2028-adoption_midpoint)))*(1-churn_rate))&gt;=stage2_gate,ecom_market_base*(1+ecom_growth_rate)^4*0.008*tx_take_rate*1000*3,0))-((IF((600/(1+EXP(-adoption_steepness*(2028-adoption_midpoint)))*(1-churn_rate))&gt;=stage2_gate,ecom_market_base*(1+ecom_growth_rate)^4*0.008*tx_take_rate*1000*3,0))*payment_proc_pct)-(capex_total+(33*30*12*(1+bhxh_rate)*(1+salary_escalation)^2*5)+(opex_marketing*(1+marketing_growth)^2*5)+(opex_cloud_base*5+(600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F23" s="58">
        <f>((((600/(1+EXP(-adoption_steepness*(2028-adoption_midpoint)))*(1-churn_rate))*(cert_fee_yr1*(1+cert_fee_escalation)^2.5+training_pct*training_fee+audit_fee)*5)+(IF((600/(1+EXP(-adoption_steepness*(2028-adoption_midpoint)))*(1-churn_rate))&gt;=stage2_gate,ecom_market_base*(1+ecom_growth_rate)^4*0.01*tx_take_rate*1000*3,0))-((IF((600/(1+EXP(-adoption_steepness*(2028-adoption_midpoint)))*(1-churn_rate))&gt;=stage2_gate,ecom_market_base*(1+ecom_growth_rate)^4*0.01*tx_take_rate*1000*3,0))*payment_proc_pct)-(capex_total+(33*30*12*(1+bhxh_rate)*(1+salary_escalation)^2*5)+(opex_marketing*(1+marketing_growth)^2*5)+(opex_cloud_base*5+(600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G23" s="58">
        <f>((((600/(1+EXP(-adoption_steepness*(2028-adoption_midpoint)))*(1-churn_rate))*(cert_fee_yr1*(1+cert_fee_escalation)^2.5+training_pct*training_fee+audit_fee)*5)+(IF((600/(1+EXP(-adoption_steepness*(2028-adoption_midpoint)))*(1-churn_rate))&gt;=stage2_gate,ecom_market_base*(1+ecom_growth_rate)^4*0.015*tx_take_rate*1000*3,0))-((IF((600/(1+EXP(-adoption_steepness*(2028-adoption_midpoint)))*(1-churn_rate))&gt;=stage2_gate,ecom_market_base*(1+ecom_growth_rate)^4*0.015*tx_take_rate*1000*3,0))*payment_proc_pct)-(capex_total+(33*30*12*(1+bhxh_rate)*(1+salary_escalation)^2*5)+(opex_marketing*(1+marketing_growth)^2*5)+(opex_cloud_base*5+(600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H23" s="58">
        <f>((((600/(1+EXP(-adoption_steepness*(2028-adoption_midpoint)))*(1-churn_rate))*(cert_fee_yr1*(1+cert_fee_escalation)^2.5+training_pct*training_fee+audit_fee)*5)+(IF((600/(1+EXP(-adoption_steepness*(2028-adoption_midpoint)))*(1-churn_rate))&gt;=stage2_gate,ecom_market_base*(1+ecom_growth_rate)^4*0.02*tx_take_rate*1000*3,0))-((IF((600/(1+EXP(-adoption_steepness*(2028-adoption_midpoint)))*(1-churn_rate))&gt;=stage2_gate,ecom_market_base*(1+ecom_growth_rate)^4*0.02*tx_take_rate*1000*3,0))*payment_proc_pct)-(capex_total+(33*30*12*(1+bhxh_rate)*(1+salary_escalation)^2*5)+(opex_marketing*(1+marketing_growth)^2*5)+(opex_cloud_base*5+(600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</row>
    <row r="24">
      <c r="A24" s="57" t="n">
        <v>800</v>
      </c>
      <c r="B24" s="58">
        <f>((((800/(1+EXP(-adoption_steepness*(2028-adoption_midpoint)))*(1-churn_rate))*(cert_fee_yr1*(1+cert_fee_escalation)^2.5+training_pct*training_fee+audit_fee)*5)+(IF((800/(1+EXP(-adoption_steepness*(2028-adoption_midpoint)))*(1-churn_rate))&gt;=stage2_gate,ecom_market_base*(1+ecom_growth_rate)^4*0.001*tx_take_rate*1000*3,0))-((IF((800/(1+EXP(-adoption_steepness*(2028-adoption_midpoint)))*(1-churn_rate))&gt;=stage2_gate,ecom_market_base*(1+ecom_growth_rate)^4*0.001*tx_take_rate*1000*3,0))*payment_proc_pct)-(capex_total+(33*30*12*(1+bhxh_rate)*(1+salary_escalation)^2*5)+(opex_marketing*(1+marketing_growth)^2*5)+(opex_cloud_base*5+(800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C24" s="58">
        <f>((((800/(1+EXP(-adoption_steepness*(2028-adoption_midpoint)))*(1-churn_rate))*(cert_fee_yr1*(1+cert_fee_escalation)^2.5+training_pct*training_fee+audit_fee)*5)+(IF((800/(1+EXP(-adoption_steepness*(2028-adoption_midpoint)))*(1-churn_rate))&gt;=stage2_gate,ecom_market_base*(1+ecom_growth_rate)^4*0.003*tx_take_rate*1000*3,0))-((IF((800/(1+EXP(-adoption_steepness*(2028-adoption_midpoint)))*(1-churn_rate))&gt;=stage2_gate,ecom_market_base*(1+ecom_growth_rate)^4*0.003*tx_take_rate*1000*3,0))*payment_proc_pct)-(capex_total+(33*30*12*(1+bhxh_rate)*(1+salary_escalation)^2*5)+(opex_marketing*(1+marketing_growth)^2*5)+(opex_cloud_base*5+(800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D24" s="58">
        <f>((((800/(1+EXP(-adoption_steepness*(2028-adoption_midpoint)))*(1-churn_rate))*(cert_fee_yr1*(1+cert_fee_escalation)^2.5+training_pct*training_fee+audit_fee)*5)+(IF((800/(1+EXP(-adoption_steepness*(2028-adoption_midpoint)))*(1-churn_rate))&gt;=stage2_gate,ecom_market_base*(1+ecom_growth_rate)^4*0.005*tx_take_rate*1000*3,0))-((IF((800/(1+EXP(-adoption_steepness*(2028-adoption_midpoint)))*(1-churn_rate))&gt;=stage2_gate,ecom_market_base*(1+ecom_growth_rate)^4*0.005*tx_take_rate*1000*3,0))*payment_proc_pct)-(capex_total+(33*30*12*(1+bhxh_rate)*(1+salary_escalation)^2*5)+(opex_marketing*(1+marketing_growth)^2*5)+(opex_cloud_base*5+(800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E24" s="58">
        <f>((((800/(1+EXP(-adoption_steepness*(2028-adoption_midpoint)))*(1-churn_rate))*(cert_fee_yr1*(1+cert_fee_escalation)^2.5+training_pct*training_fee+audit_fee)*5)+(IF((800/(1+EXP(-adoption_steepness*(2028-adoption_midpoint)))*(1-churn_rate))&gt;=stage2_gate,ecom_market_base*(1+ecom_growth_rate)^4*0.008*tx_take_rate*1000*3,0))-((IF((800/(1+EXP(-adoption_steepness*(2028-adoption_midpoint)))*(1-churn_rate))&gt;=stage2_gate,ecom_market_base*(1+ecom_growth_rate)^4*0.008*tx_take_rate*1000*3,0))*payment_proc_pct)-(capex_total+(33*30*12*(1+bhxh_rate)*(1+salary_escalation)^2*5)+(opex_marketing*(1+marketing_growth)^2*5)+(opex_cloud_base*5+(800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F24" s="58">
        <f>((((800/(1+EXP(-adoption_steepness*(2028-adoption_midpoint)))*(1-churn_rate))*(cert_fee_yr1*(1+cert_fee_escalation)^2.5+training_pct*training_fee+audit_fee)*5)+(IF((800/(1+EXP(-adoption_steepness*(2028-adoption_midpoint)))*(1-churn_rate))&gt;=stage2_gate,ecom_market_base*(1+ecom_growth_rate)^4*0.01*tx_take_rate*1000*3,0))-((IF((800/(1+EXP(-adoption_steepness*(2028-adoption_midpoint)))*(1-churn_rate))&gt;=stage2_gate,ecom_market_base*(1+ecom_growth_rate)^4*0.01*tx_take_rate*1000*3,0))*payment_proc_pct)-(capex_total+(33*30*12*(1+bhxh_rate)*(1+salary_escalation)^2*5)+(opex_marketing*(1+marketing_growth)^2*5)+(opex_cloud_base*5+(800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G24" s="58">
        <f>((((800/(1+EXP(-adoption_steepness*(2028-adoption_midpoint)))*(1-churn_rate))*(cert_fee_yr1*(1+cert_fee_escalation)^2.5+training_pct*training_fee+audit_fee)*5)+(IF((800/(1+EXP(-adoption_steepness*(2028-adoption_midpoint)))*(1-churn_rate))&gt;=stage2_gate,ecom_market_base*(1+ecom_growth_rate)^4*0.015*tx_take_rate*1000*3,0))-((IF((800/(1+EXP(-adoption_steepness*(2028-adoption_midpoint)))*(1-churn_rate))&gt;=stage2_gate,ecom_market_base*(1+ecom_growth_rate)^4*0.015*tx_take_rate*1000*3,0))*payment_proc_pct)-(capex_total+(33*30*12*(1+bhxh_rate)*(1+salary_escalation)^2*5)+(opex_marketing*(1+marketing_growth)^2*5)+(opex_cloud_base*5+(800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H24" s="58">
        <f>((((800/(1+EXP(-adoption_steepness*(2028-adoption_midpoint)))*(1-churn_rate))*(cert_fee_yr1*(1+cert_fee_escalation)^2.5+training_pct*training_fee+audit_fee)*5)+(IF((800/(1+EXP(-adoption_steepness*(2028-adoption_midpoint)))*(1-churn_rate))&gt;=stage2_gate,ecom_market_base*(1+ecom_growth_rate)^4*0.02*tx_take_rate*1000*3,0))-((IF((800/(1+EXP(-adoption_steepness*(2028-adoption_midpoint)))*(1-churn_rate))&gt;=stage2_gate,ecom_market_base*(1+ecom_growth_rate)^4*0.02*tx_take_rate*1000*3,0))*payment_proc_pct)-(capex_total+(33*30*12*(1+bhxh_rate)*(1+salary_escalation)^2*5)+(opex_marketing*(1+marketing_growth)^2*5)+(opex_cloud_base*5+(800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</row>
    <row r="25">
      <c r="A25" s="57" t="n">
        <v>1000</v>
      </c>
      <c r="B25" s="58">
        <f>((((1000/(1+EXP(-adoption_steepness*(2028-adoption_midpoint)))*(1-churn_rate))*(cert_fee_yr1*(1+cert_fee_escalation)^2.5+training_pct*training_fee+audit_fee)*5)+(IF((1000/(1+EXP(-adoption_steepness*(2028-adoption_midpoint)))*(1-churn_rate))&gt;=stage2_gate,ecom_market_base*(1+ecom_growth_rate)^4*0.001*tx_take_rate*1000*3,0))-((IF((1000/(1+EXP(-adoption_steepness*(2028-adoption_midpoint)))*(1-churn_rate))&gt;=stage2_gate,ecom_market_base*(1+ecom_growth_rate)^4*0.001*tx_take_rate*1000*3,0))*payment_proc_pct)-(capex_total+(33*30*12*(1+bhxh_rate)*(1+salary_escalation)^2*5)+(opex_marketing*(1+marketing_growth)^2*5)+(opex_cloud_base*5+(1000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C25" s="58">
        <f>((((1000/(1+EXP(-adoption_steepness*(2028-adoption_midpoint)))*(1-churn_rate))*(cert_fee_yr1*(1+cert_fee_escalation)^2.5+training_pct*training_fee+audit_fee)*5)+(IF((1000/(1+EXP(-adoption_steepness*(2028-adoption_midpoint)))*(1-churn_rate))&gt;=stage2_gate,ecom_market_base*(1+ecom_growth_rate)^4*0.003*tx_take_rate*1000*3,0))-((IF((1000/(1+EXP(-adoption_steepness*(2028-adoption_midpoint)))*(1-churn_rate))&gt;=stage2_gate,ecom_market_base*(1+ecom_growth_rate)^4*0.003*tx_take_rate*1000*3,0))*payment_proc_pct)-(capex_total+(33*30*12*(1+bhxh_rate)*(1+salary_escalation)^2*5)+(opex_marketing*(1+marketing_growth)^2*5)+(opex_cloud_base*5+(1000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D25" s="58">
        <f>((((1000/(1+EXP(-adoption_steepness*(2028-adoption_midpoint)))*(1-churn_rate))*(cert_fee_yr1*(1+cert_fee_escalation)^2.5+training_pct*training_fee+audit_fee)*5)+(IF((1000/(1+EXP(-adoption_steepness*(2028-adoption_midpoint)))*(1-churn_rate))&gt;=stage2_gate,ecom_market_base*(1+ecom_growth_rate)^4*0.005*tx_take_rate*1000*3,0))-((IF((1000/(1+EXP(-adoption_steepness*(2028-adoption_midpoint)))*(1-churn_rate))&gt;=stage2_gate,ecom_market_base*(1+ecom_growth_rate)^4*0.005*tx_take_rate*1000*3,0))*payment_proc_pct)-(capex_total+(33*30*12*(1+bhxh_rate)*(1+salary_escalation)^2*5)+(opex_marketing*(1+marketing_growth)^2*5)+(opex_cloud_base*5+(1000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E25" s="58">
        <f>((((1000/(1+EXP(-adoption_steepness*(2028-adoption_midpoint)))*(1-churn_rate))*(cert_fee_yr1*(1+cert_fee_escalation)^2.5+training_pct*training_fee+audit_fee)*5)+(IF((1000/(1+EXP(-adoption_steepness*(2028-adoption_midpoint)))*(1-churn_rate))&gt;=stage2_gate,ecom_market_base*(1+ecom_growth_rate)^4*0.008*tx_take_rate*1000*3,0))-((IF((1000/(1+EXP(-adoption_steepness*(2028-adoption_midpoint)))*(1-churn_rate))&gt;=stage2_gate,ecom_market_base*(1+ecom_growth_rate)^4*0.008*tx_take_rate*1000*3,0))*payment_proc_pct)-(capex_total+(33*30*12*(1+bhxh_rate)*(1+salary_escalation)^2*5)+(opex_marketing*(1+marketing_growth)^2*5)+(opex_cloud_base*5+(1000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F25" s="58">
        <f>((((1000/(1+EXP(-adoption_steepness*(2028-adoption_midpoint)))*(1-churn_rate))*(cert_fee_yr1*(1+cert_fee_escalation)^2.5+training_pct*training_fee+audit_fee)*5)+(IF((1000/(1+EXP(-adoption_steepness*(2028-adoption_midpoint)))*(1-churn_rate))&gt;=stage2_gate,ecom_market_base*(1+ecom_growth_rate)^4*0.01*tx_take_rate*1000*3,0))-((IF((1000/(1+EXP(-adoption_steepness*(2028-adoption_midpoint)))*(1-churn_rate))&gt;=stage2_gate,ecom_market_base*(1+ecom_growth_rate)^4*0.01*tx_take_rate*1000*3,0))*payment_proc_pct)-(capex_total+(33*30*12*(1+bhxh_rate)*(1+salary_escalation)^2*5)+(opex_marketing*(1+marketing_growth)^2*5)+(opex_cloud_base*5+(1000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G25" s="58">
        <f>((((1000/(1+EXP(-adoption_steepness*(2028-adoption_midpoint)))*(1-churn_rate))*(cert_fee_yr1*(1+cert_fee_escalation)^2.5+training_pct*training_fee+audit_fee)*5)+(IF((1000/(1+EXP(-adoption_steepness*(2028-adoption_midpoint)))*(1-churn_rate))&gt;=stage2_gate,ecom_market_base*(1+ecom_growth_rate)^4*0.015*tx_take_rate*1000*3,0))-((IF((1000/(1+EXP(-adoption_steepness*(2028-adoption_midpoint)))*(1-churn_rate))&gt;=stage2_gate,ecom_market_base*(1+ecom_growth_rate)^4*0.015*tx_take_rate*1000*3,0))*payment_proc_pct)-(capex_total+(33*30*12*(1+bhxh_rate)*(1+salary_escalation)^2*5)+(opex_marketing*(1+marketing_growth)^2*5)+(opex_cloud_base*5+(1000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H25" s="58">
        <f>((((1000/(1+EXP(-adoption_steepness*(2028-adoption_midpoint)))*(1-churn_rate))*(cert_fee_yr1*(1+cert_fee_escalation)^2.5+training_pct*training_fee+audit_fee)*5)+(IF((1000/(1+EXP(-adoption_steepness*(2028-adoption_midpoint)))*(1-churn_rate))&gt;=stage2_gate,ecom_market_base*(1+ecom_growth_rate)^4*0.02*tx_take_rate*1000*3,0))-((IF((1000/(1+EXP(-adoption_steepness*(2028-adoption_midpoint)))*(1-churn_rate))&gt;=stage2_gate,ecom_market_base*(1+ecom_growth_rate)^4*0.02*tx_take_rate*1000*3,0))*payment_proc_pct)-(capex_total+(33*30*12*(1+bhxh_rate)*(1+salary_escalation)^2*5)+(opex_marketing*(1+marketing_growth)^2*5)+(opex_cloud_base*5+(1000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</row>
    <row r="26">
      <c r="A26" s="57" t="n">
        <v>1200</v>
      </c>
      <c r="B26" s="58">
        <f>((((1200/(1+EXP(-adoption_steepness*(2028-adoption_midpoint)))*(1-churn_rate))*(cert_fee_yr1*(1+cert_fee_escalation)^2.5+training_pct*training_fee+audit_fee)*5)+(IF((1200/(1+EXP(-adoption_steepness*(2028-adoption_midpoint)))*(1-churn_rate))&gt;=stage2_gate,ecom_market_base*(1+ecom_growth_rate)^4*0.001*tx_take_rate*1000*3,0))-((IF((1200/(1+EXP(-adoption_steepness*(2028-adoption_midpoint)))*(1-churn_rate))&gt;=stage2_gate,ecom_market_base*(1+ecom_growth_rate)^4*0.001*tx_take_rate*1000*3,0))*payment_proc_pct)-(capex_total+(33*30*12*(1+bhxh_rate)*(1+salary_escalation)^2*5)+(opex_marketing*(1+marketing_growth)^2*5)+(opex_cloud_base*5+(1200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C26" s="58">
        <f>((((1200/(1+EXP(-adoption_steepness*(2028-adoption_midpoint)))*(1-churn_rate))*(cert_fee_yr1*(1+cert_fee_escalation)^2.5+training_pct*training_fee+audit_fee)*5)+(IF((1200/(1+EXP(-adoption_steepness*(2028-adoption_midpoint)))*(1-churn_rate))&gt;=stage2_gate,ecom_market_base*(1+ecom_growth_rate)^4*0.003*tx_take_rate*1000*3,0))-((IF((1200/(1+EXP(-adoption_steepness*(2028-adoption_midpoint)))*(1-churn_rate))&gt;=stage2_gate,ecom_market_base*(1+ecom_growth_rate)^4*0.003*tx_take_rate*1000*3,0))*payment_proc_pct)-(capex_total+(33*30*12*(1+bhxh_rate)*(1+salary_escalation)^2*5)+(opex_marketing*(1+marketing_growth)^2*5)+(opex_cloud_base*5+(1200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D26" s="52">
        <f>((((1200/(1+EXP(-adoption_steepness*(2028-adoption_midpoint)))*(1-churn_rate))*(cert_fee_yr1*(1+cert_fee_escalation)^2.5+training_pct*training_fee+audit_fee)*5)+(IF((1200/(1+EXP(-adoption_steepness*(2028-adoption_midpoint)))*(1-churn_rate))&gt;=stage2_gate,ecom_market_base*(1+ecom_growth_rate)^4*0.005*tx_take_rate*1000*3,0))-((IF((1200/(1+EXP(-adoption_steepness*(2028-adoption_midpoint)))*(1-churn_rate))&gt;=stage2_gate,ecom_market_base*(1+ecom_growth_rate)^4*0.005*tx_take_rate*1000*3,0))*payment_proc_pct)-(capex_total+(33*30*12*(1+bhxh_rate)*(1+salary_escalation)^2*5)+(opex_marketing*(1+marketing_growth)^2*5)+(opex_cloud_base*5+(1200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E26" s="58">
        <f>((((1200/(1+EXP(-adoption_steepness*(2028-adoption_midpoint)))*(1-churn_rate))*(cert_fee_yr1*(1+cert_fee_escalation)^2.5+training_pct*training_fee+audit_fee)*5)+(IF((1200/(1+EXP(-adoption_steepness*(2028-adoption_midpoint)))*(1-churn_rate))&gt;=stage2_gate,ecom_market_base*(1+ecom_growth_rate)^4*0.008*tx_take_rate*1000*3,0))-((IF((1200/(1+EXP(-adoption_steepness*(2028-adoption_midpoint)))*(1-churn_rate))&gt;=stage2_gate,ecom_market_base*(1+ecom_growth_rate)^4*0.008*tx_take_rate*1000*3,0))*payment_proc_pct)-(capex_total+(33*30*12*(1+bhxh_rate)*(1+salary_escalation)^2*5)+(opex_marketing*(1+marketing_growth)^2*5)+(opex_cloud_base*5+(1200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F26" s="58">
        <f>((((1200/(1+EXP(-adoption_steepness*(2028-adoption_midpoint)))*(1-churn_rate))*(cert_fee_yr1*(1+cert_fee_escalation)^2.5+training_pct*training_fee+audit_fee)*5)+(IF((1200/(1+EXP(-adoption_steepness*(2028-adoption_midpoint)))*(1-churn_rate))&gt;=stage2_gate,ecom_market_base*(1+ecom_growth_rate)^4*0.01*tx_take_rate*1000*3,0))-((IF((1200/(1+EXP(-adoption_steepness*(2028-adoption_midpoint)))*(1-churn_rate))&gt;=stage2_gate,ecom_market_base*(1+ecom_growth_rate)^4*0.01*tx_take_rate*1000*3,0))*payment_proc_pct)-(capex_total+(33*30*12*(1+bhxh_rate)*(1+salary_escalation)^2*5)+(opex_marketing*(1+marketing_growth)^2*5)+(opex_cloud_base*5+(1200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G26" s="58">
        <f>((((1200/(1+EXP(-adoption_steepness*(2028-adoption_midpoint)))*(1-churn_rate))*(cert_fee_yr1*(1+cert_fee_escalation)^2.5+training_pct*training_fee+audit_fee)*5)+(IF((1200/(1+EXP(-adoption_steepness*(2028-adoption_midpoint)))*(1-churn_rate))&gt;=stage2_gate,ecom_market_base*(1+ecom_growth_rate)^4*0.015*tx_take_rate*1000*3,0))-((IF((1200/(1+EXP(-adoption_steepness*(2028-adoption_midpoint)))*(1-churn_rate))&gt;=stage2_gate,ecom_market_base*(1+ecom_growth_rate)^4*0.015*tx_take_rate*1000*3,0))*payment_proc_pct)-(capex_total+(33*30*12*(1+bhxh_rate)*(1+salary_escalation)^2*5)+(opex_marketing*(1+marketing_growth)^2*5)+(opex_cloud_base*5+(1200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H26" s="58">
        <f>((((1200/(1+EXP(-adoption_steepness*(2028-adoption_midpoint)))*(1-churn_rate))*(cert_fee_yr1*(1+cert_fee_escalation)^2.5+training_pct*training_fee+audit_fee)*5)+(IF((1200/(1+EXP(-adoption_steepness*(2028-adoption_midpoint)))*(1-churn_rate))&gt;=stage2_gate,ecom_market_base*(1+ecom_growth_rate)^4*0.02*tx_take_rate*1000*3,0))-((IF((1200/(1+EXP(-adoption_steepness*(2028-adoption_midpoint)))*(1-churn_rate))&gt;=stage2_gate,ecom_market_base*(1+ecom_growth_rate)^4*0.02*tx_take_rate*1000*3,0))*payment_proc_pct)-(capex_total+(33*30*12*(1+bhxh_rate)*(1+salary_escalation)^2*5)+(opex_marketing*(1+marketing_growth)^2*5)+(opex_cloud_base*5+(1200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</row>
    <row r="27">
      <c r="A27" s="57" t="n">
        <v>1500</v>
      </c>
      <c r="B27" s="58">
        <f>((((1500/(1+EXP(-adoption_steepness*(2028-adoption_midpoint)))*(1-churn_rate))*(cert_fee_yr1*(1+cert_fee_escalation)^2.5+training_pct*training_fee+audit_fee)*5)+(IF((1500/(1+EXP(-adoption_steepness*(2028-adoption_midpoint)))*(1-churn_rate))&gt;=stage2_gate,ecom_market_base*(1+ecom_growth_rate)^4*0.001*tx_take_rate*1000*3,0))-((IF((1500/(1+EXP(-adoption_steepness*(2028-adoption_midpoint)))*(1-churn_rate))&gt;=stage2_gate,ecom_market_base*(1+ecom_growth_rate)^4*0.001*tx_take_rate*1000*3,0))*payment_proc_pct)-(capex_total+(33*30*12*(1+bhxh_rate)*(1+salary_escalation)^2*5)+(opex_marketing*(1+marketing_growth)^2*5)+(opex_cloud_base*5+(1500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C27" s="58">
        <f>((((1500/(1+EXP(-adoption_steepness*(2028-adoption_midpoint)))*(1-churn_rate))*(cert_fee_yr1*(1+cert_fee_escalation)^2.5+training_pct*training_fee+audit_fee)*5)+(IF((1500/(1+EXP(-adoption_steepness*(2028-adoption_midpoint)))*(1-churn_rate))&gt;=stage2_gate,ecom_market_base*(1+ecom_growth_rate)^4*0.003*tx_take_rate*1000*3,0))-((IF((1500/(1+EXP(-adoption_steepness*(2028-adoption_midpoint)))*(1-churn_rate))&gt;=stage2_gate,ecom_market_base*(1+ecom_growth_rate)^4*0.003*tx_take_rate*1000*3,0))*payment_proc_pct)-(capex_total+(33*30*12*(1+bhxh_rate)*(1+salary_escalation)^2*5)+(opex_marketing*(1+marketing_growth)^2*5)+(opex_cloud_base*5+(1500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D27" s="58">
        <f>((((1500/(1+EXP(-adoption_steepness*(2028-adoption_midpoint)))*(1-churn_rate))*(cert_fee_yr1*(1+cert_fee_escalation)^2.5+training_pct*training_fee+audit_fee)*5)+(IF((1500/(1+EXP(-adoption_steepness*(2028-adoption_midpoint)))*(1-churn_rate))&gt;=stage2_gate,ecom_market_base*(1+ecom_growth_rate)^4*0.005*tx_take_rate*1000*3,0))-((IF((1500/(1+EXP(-adoption_steepness*(2028-adoption_midpoint)))*(1-churn_rate))&gt;=stage2_gate,ecom_market_base*(1+ecom_growth_rate)^4*0.005*tx_take_rate*1000*3,0))*payment_proc_pct)-(capex_total+(33*30*12*(1+bhxh_rate)*(1+salary_escalation)^2*5)+(opex_marketing*(1+marketing_growth)^2*5)+(opex_cloud_base*5+(1500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E27" s="58">
        <f>((((1500/(1+EXP(-adoption_steepness*(2028-adoption_midpoint)))*(1-churn_rate))*(cert_fee_yr1*(1+cert_fee_escalation)^2.5+training_pct*training_fee+audit_fee)*5)+(IF((1500/(1+EXP(-adoption_steepness*(2028-adoption_midpoint)))*(1-churn_rate))&gt;=stage2_gate,ecom_market_base*(1+ecom_growth_rate)^4*0.008*tx_take_rate*1000*3,0))-((IF((1500/(1+EXP(-adoption_steepness*(2028-adoption_midpoint)))*(1-churn_rate))&gt;=stage2_gate,ecom_market_base*(1+ecom_growth_rate)^4*0.008*tx_take_rate*1000*3,0))*payment_proc_pct)-(capex_total+(33*30*12*(1+bhxh_rate)*(1+salary_escalation)^2*5)+(opex_marketing*(1+marketing_growth)^2*5)+(opex_cloud_base*5+(1500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F27" s="58">
        <f>((((1500/(1+EXP(-adoption_steepness*(2028-adoption_midpoint)))*(1-churn_rate))*(cert_fee_yr1*(1+cert_fee_escalation)^2.5+training_pct*training_fee+audit_fee)*5)+(IF((1500/(1+EXP(-adoption_steepness*(2028-adoption_midpoint)))*(1-churn_rate))&gt;=stage2_gate,ecom_market_base*(1+ecom_growth_rate)^4*0.01*tx_take_rate*1000*3,0))-((IF((1500/(1+EXP(-adoption_steepness*(2028-adoption_midpoint)))*(1-churn_rate))&gt;=stage2_gate,ecom_market_base*(1+ecom_growth_rate)^4*0.01*tx_take_rate*1000*3,0))*payment_proc_pct)-(capex_total+(33*30*12*(1+bhxh_rate)*(1+salary_escalation)^2*5)+(opex_marketing*(1+marketing_growth)^2*5)+(opex_cloud_base*5+(1500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G27" s="58">
        <f>((((1500/(1+EXP(-adoption_steepness*(2028-adoption_midpoint)))*(1-churn_rate))*(cert_fee_yr1*(1+cert_fee_escalation)^2.5+training_pct*training_fee+audit_fee)*5)+(IF((1500/(1+EXP(-adoption_steepness*(2028-adoption_midpoint)))*(1-churn_rate))&gt;=stage2_gate,ecom_market_base*(1+ecom_growth_rate)^4*0.015*tx_take_rate*1000*3,0))-((IF((1500/(1+EXP(-adoption_steepness*(2028-adoption_midpoint)))*(1-churn_rate))&gt;=stage2_gate,ecom_market_base*(1+ecom_growth_rate)^4*0.015*tx_take_rate*1000*3,0))*payment_proc_pct)-(capex_total+(33*30*12*(1+bhxh_rate)*(1+salary_escalation)^2*5)+(opex_marketing*(1+marketing_growth)^2*5)+(opex_cloud_base*5+(1500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H27" s="58">
        <f>((((1500/(1+EXP(-adoption_steepness*(2028-adoption_midpoint)))*(1-churn_rate))*(cert_fee_yr1*(1+cert_fee_escalation)^2.5+training_pct*training_fee+audit_fee)*5)+(IF((1500/(1+EXP(-adoption_steepness*(2028-adoption_midpoint)))*(1-churn_rate))&gt;=stage2_gate,ecom_market_base*(1+ecom_growth_rate)^4*0.02*tx_take_rate*1000*3,0))-((IF((1500/(1+EXP(-adoption_steepness*(2028-adoption_midpoint)))*(1-churn_rate))&gt;=stage2_gate,ecom_market_base*(1+ecom_growth_rate)^4*0.02*tx_take_rate*1000*3,0))*payment_proc_pct)-(capex_total+(33*30*12*(1+bhxh_rate)*(1+salary_escalation)^2*5)+(opex_marketing*(1+marketing_growth)^2*5)+(opex_cloud_base*5+(1500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</row>
    <row r="28">
      <c r="A28" s="57" t="n">
        <v>2000</v>
      </c>
      <c r="B28" s="58">
        <f>((((2000/(1+EXP(-adoption_steepness*(2028-adoption_midpoint)))*(1-churn_rate))*(cert_fee_yr1*(1+cert_fee_escalation)^2.5+training_pct*training_fee+audit_fee)*5)+(IF((2000/(1+EXP(-adoption_steepness*(2028-adoption_midpoint)))*(1-churn_rate))&gt;=stage2_gate,ecom_market_base*(1+ecom_growth_rate)^4*0.001*tx_take_rate*1000*3,0))-((IF((2000/(1+EXP(-adoption_steepness*(2028-adoption_midpoint)))*(1-churn_rate))&gt;=stage2_gate,ecom_market_base*(1+ecom_growth_rate)^4*0.001*tx_take_rate*1000*3,0))*payment_proc_pct)-(capex_total+(33*30*12*(1+bhxh_rate)*(1+salary_escalation)^2*5)+(opex_marketing*(1+marketing_growth)^2*5)+(opex_cloud_base*5+(2000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C28" s="58">
        <f>((((2000/(1+EXP(-adoption_steepness*(2028-adoption_midpoint)))*(1-churn_rate))*(cert_fee_yr1*(1+cert_fee_escalation)^2.5+training_pct*training_fee+audit_fee)*5)+(IF((2000/(1+EXP(-adoption_steepness*(2028-adoption_midpoint)))*(1-churn_rate))&gt;=stage2_gate,ecom_market_base*(1+ecom_growth_rate)^4*0.003*tx_take_rate*1000*3,0))-((IF((2000/(1+EXP(-adoption_steepness*(2028-adoption_midpoint)))*(1-churn_rate))&gt;=stage2_gate,ecom_market_base*(1+ecom_growth_rate)^4*0.003*tx_take_rate*1000*3,0))*payment_proc_pct)-(capex_total+(33*30*12*(1+bhxh_rate)*(1+salary_escalation)^2*5)+(opex_marketing*(1+marketing_growth)^2*5)+(opex_cloud_base*5+(2000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D28" s="58">
        <f>((((2000/(1+EXP(-adoption_steepness*(2028-adoption_midpoint)))*(1-churn_rate))*(cert_fee_yr1*(1+cert_fee_escalation)^2.5+training_pct*training_fee+audit_fee)*5)+(IF((2000/(1+EXP(-adoption_steepness*(2028-adoption_midpoint)))*(1-churn_rate))&gt;=stage2_gate,ecom_market_base*(1+ecom_growth_rate)^4*0.005*tx_take_rate*1000*3,0))-((IF((2000/(1+EXP(-adoption_steepness*(2028-adoption_midpoint)))*(1-churn_rate))&gt;=stage2_gate,ecom_market_base*(1+ecom_growth_rate)^4*0.005*tx_take_rate*1000*3,0))*payment_proc_pct)-(capex_total+(33*30*12*(1+bhxh_rate)*(1+salary_escalation)^2*5)+(opex_marketing*(1+marketing_growth)^2*5)+(opex_cloud_base*5+(2000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E28" s="58">
        <f>((((2000/(1+EXP(-adoption_steepness*(2028-adoption_midpoint)))*(1-churn_rate))*(cert_fee_yr1*(1+cert_fee_escalation)^2.5+training_pct*training_fee+audit_fee)*5)+(IF((2000/(1+EXP(-adoption_steepness*(2028-adoption_midpoint)))*(1-churn_rate))&gt;=stage2_gate,ecom_market_base*(1+ecom_growth_rate)^4*0.008*tx_take_rate*1000*3,0))-((IF((2000/(1+EXP(-adoption_steepness*(2028-adoption_midpoint)))*(1-churn_rate))&gt;=stage2_gate,ecom_market_base*(1+ecom_growth_rate)^4*0.008*tx_take_rate*1000*3,0))*payment_proc_pct)-(capex_total+(33*30*12*(1+bhxh_rate)*(1+salary_escalation)^2*5)+(opex_marketing*(1+marketing_growth)^2*5)+(opex_cloud_base*5+(2000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F28" s="58">
        <f>((((2000/(1+EXP(-adoption_steepness*(2028-adoption_midpoint)))*(1-churn_rate))*(cert_fee_yr1*(1+cert_fee_escalation)^2.5+training_pct*training_fee+audit_fee)*5)+(IF((2000/(1+EXP(-adoption_steepness*(2028-adoption_midpoint)))*(1-churn_rate))&gt;=stage2_gate,ecom_market_base*(1+ecom_growth_rate)^4*0.01*tx_take_rate*1000*3,0))-((IF((2000/(1+EXP(-adoption_steepness*(2028-adoption_midpoint)))*(1-churn_rate))&gt;=stage2_gate,ecom_market_base*(1+ecom_growth_rate)^4*0.01*tx_take_rate*1000*3,0))*payment_proc_pct)-(capex_total+(33*30*12*(1+bhxh_rate)*(1+salary_escalation)^2*5)+(opex_marketing*(1+marketing_growth)^2*5)+(opex_cloud_base*5+(2000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G28" s="58">
        <f>((((2000/(1+EXP(-adoption_steepness*(2028-adoption_midpoint)))*(1-churn_rate))*(cert_fee_yr1*(1+cert_fee_escalation)^2.5+training_pct*training_fee+audit_fee)*5)+(IF((2000/(1+EXP(-adoption_steepness*(2028-adoption_midpoint)))*(1-churn_rate))&gt;=stage2_gate,ecom_market_base*(1+ecom_growth_rate)^4*0.015*tx_take_rate*1000*3,0))-((IF((2000/(1+EXP(-adoption_steepness*(2028-adoption_midpoint)))*(1-churn_rate))&gt;=stage2_gate,ecom_market_base*(1+ecom_growth_rate)^4*0.015*tx_take_rate*1000*3,0))*payment_proc_pct)-(capex_total+(33*30*12*(1+bhxh_rate)*(1+salary_escalation)^2*5)+(opex_marketing*(1+marketing_growth)^2*5)+(opex_cloud_base*5+(2000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H28" s="58">
        <f>((((2000/(1+EXP(-adoption_steepness*(2028-adoption_midpoint)))*(1-churn_rate))*(cert_fee_yr1*(1+cert_fee_escalation)^2.5+training_pct*training_fee+audit_fee)*5)+(IF((2000/(1+EXP(-adoption_steepness*(2028-adoption_midpoint)))*(1-churn_rate))&gt;=stage2_gate,ecom_market_base*(1+ecom_growth_rate)^4*0.02*tx_take_rate*1000*3,0))-((IF((2000/(1+EXP(-adoption_steepness*(2028-adoption_midpoint)))*(1-churn_rate))&gt;=stage2_gate,ecom_market_base*(1+ecom_growth_rate)^4*0.02*tx_take_rate*1000*3,0))*payment_proc_pct)-(capex_total+(33*30*12*(1+bhxh_rate)*(1+salary_escalation)^2*5)+(opex_marketing*(1+marketing_growth)^2*5)+(opex_cloud_base*5+(2000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</row>
    <row r="29">
      <c r="A29" s="57" t="n">
        <v>3000</v>
      </c>
      <c r="B29" s="58">
        <f>((((3000/(1+EXP(-adoption_steepness*(2028-adoption_midpoint)))*(1-churn_rate))*(cert_fee_yr1*(1+cert_fee_escalation)^2.5+training_pct*training_fee+audit_fee)*5)+(IF((3000/(1+EXP(-adoption_steepness*(2028-adoption_midpoint)))*(1-churn_rate))&gt;=stage2_gate,ecom_market_base*(1+ecom_growth_rate)^4*0.001*tx_take_rate*1000*3,0))-((IF((3000/(1+EXP(-adoption_steepness*(2028-adoption_midpoint)))*(1-churn_rate))&gt;=stage2_gate,ecom_market_base*(1+ecom_growth_rate)^4*0.001*tx_take_rate*1000*3,0))*payment_proc_pct)-(capex_total+(33*30*12*(1+bhxh_rate)*(1+salary_escalation)^2*5)+(opex_marketing*(1+marketing_growth)^2*5)+(opex_cloud_base*5+(3000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C29" s="58">
        <f>((((3000/(1+EXP(-adoption_steepness*(2028-adoption_midpoint)))*(1-churn_rate))*(cert_fee_yr1*(1+cert_fee_escalation)^2.5+training_pct*training_fee+audit_fee)*5)+(IF((3000/(1+EXP(-adoption_steepness*(2028-adoption_midpoint)))*(1-churn_rate))&gt;=stage2_gate,ecom_market_base*(1+ecom_growth_rate)^4*0.003*tx_take_rate*1000*3,0))-((IF((3000/(1+EXP(-adoption_steepness*(2028-adoption_midpoint)))*(1-churn_rate))&gt;=stage2_gate,ecom_market_base*(1+ecom_growth_rate)^4*0.003*tx_take_rate*1000*3,0))*payment_proc_pct)-(capex_total+(33*30*12*(1+bhxh_rate)*(1+salary_escalation)^2*5)+(opex_marketing*(1+marketing_growth)^2*5)+(opex_cloud_base*5+(3000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D29" s="58">
        <f>((((3000/(1+EXP(-adoption_steepness*(2028-adoption_midpoint)))*(1-churn_rate))*(cert_fee_yr1*(1+cert_fee_escalation)^2.5+training_pct*training_fee+audit_fee)*5)+(IF((3000/(1+EXP(-adoption_steepness*(2028-adoption_midpoint)))*(1-churn_rate))&gt;=stage2_gate,ecom_market_base*(1+ecom_growth_rate)^4*0.005*tx_take_rate*1000*3,0))-((IF((3000/(1+EXP(-adoption_steepness*(2028-adoption_midpoint)))*(1-churn_rate))&gt;=stage2_gate,ecom_market_base*(1+ecom_growth_rate)^4*0.005*tx_take_rate*1000*3,0))*payment_proc_pct)-(capex_total+(33*30*12*(1+bhxh_rate)*(1+salary_escalation)^2*5)+(opex_marketing*(1+marketing_growth)^2*5)+(opex_cloud_base*5+(3000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E29" s="58">
        <f>((((3000/(1+EXP(-adoption_steepness*(2028-adoption_midpoint)))*(1-churn_rate))*(cert_fee_yr1*(1+cert_fee_escalation)^2.5+training_pct*training_fee+audit_fee)*5)+(IF((3000/(1+EXP(-adoption_steepness*(2028-adoption_midpoint)))*(1-churn_rate))&gt;=stage2_gate,ecom_market_base*(1+ecom_growth_rate)^4*0.008*tx_take_rate*1000*3,0))-((IF((3000/(1+EXP(-adoption_steepness*(2028-adoption_midpoint)))*(1-churn_rate))&gt;=stage2_gate,ecom_market_base*(1+ecom_growth_rate)^4*0.008*tx_take_rate*1000*3,0))*payment_proc_pct)-(capex_total+(33*30*12*(1+bhxh_rate)*(1+salary_escalation)^2*5)+(opex_marketing*(1+marketing_growth)^2*5)+(opex_cloud_base*5+(3000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F29" s="58">
        <f>((((3000/(1+EXP(-adoption_steepness*(2028-adoption_midpoint)))*(1-churn_rate))*(cert_fee_yr1*(1+cert_fee_escalation)^2.5+training_pct*training_fee+audit_fee)*5)+(IF((3000/(1+EXP(-adoption_steepness*(2028-adoption_midpoint)))*(1-churn_rate))&gt;=stage2_gate,ecom_market_base*(1+ecom_growth_rate)^4*0.01*tx_take_rate*1000*3,0))-((IF((3000/(1+EXP(-adoption_steepness*(2028-adoption_midpoint)))*(1-churn_rate))&gt;=stage2_gate,ecom_market_base*(1+ecom_growth_rate)^4*0.01*tx_take_rate*1000*3,0))*payment_proc_pct)-(capex_total+(33*30*12*(1+bhxh_rate)*(1+salary_escalation)^2*5)+(opex_marketing*(1+marketing_growth)^2*5)+(opex_cloud_base*5+(3000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G29" s="58">
        <f>((((3000/(1+EXP(-adoption_steepness*(2028-adoption_midpoint)))*(1-churn_rate))*(cert_fee_yr1*(1+cert_fee_escalation)^2.5+training_pct*training_fee+audit_fee)*5)+(IF((3000/(1+EXP(-adoption_steepness*(2028-adoption_midpoint)))*(1-churn_rate))&gt;=stage2_gate,ecom_market_base*(1+ecom_growth_rate)^4*0.015*tx_take_rate*1000*3,0))-((IF((3000/(1+EXP(-adoption_steepness*(2028-adoption_midpoint)))*(1-churn_rate))&gt;=stage2_gate,ecom_market_base*(1+ecom_growth_rate)^4*0.015*tx_take_rate*1000*3,0))*payment_proc_pct)-(capex_total+(33*30*12*(1+bhxh_rate)*(1+salary_escalation)^2*5)+(opex_marketing*(1+marketing_growth)^2*5)+(opex_cloud_base*5+(3000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  <c r="H29" s="58">
        <f>((((3000/(1+EXP(-adoption_steepness*(2028-adoption_midpoint)))*(1-churn_rate))*(cert_fee_yr1*(1+cert_fee_escalation)^2.5+training_pct*training_fee+audit_fee)*5)+(IF((3000/(1+EXP(-adoption_steepness*(2028-adoption_midpoint)))*(1-churn_rate))&gt;=stage2_gate,ecom_market_base*(1+ecom_growth_rate)^4*0.02*tx_take_rate*1000*3,0))-((IF((3000/(1+EXP(-adoption_steepness*(2028-adoption_midpoint)))*(1-churn_rate))&gt;=stage2_gate,ecom_market_base*(1+ecom_growth_rate)^4*0.02*tx_take_rate*1000*3,0))*payment_proc_pct)-(capex_total+(33*30*12*(1+bhxh_rate)*(1+salary_escalation)^2*5)+(opex_marketing*(1+marketing_growth)^2*5)+(opex_cloud_base*5+(3000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/>
      </c>
    </row>
    <row r="32">
      <c r="A32" s="70" t="inlineStr">
        <is>
          <t>TWO-WAY NPV: adoption_max × churn_rate (Tr VND)</t>
        </is>
      </c>
      <c r="B32" s="92" t="n"/>
      <c r="C32" s="92" t="n"/>
      <c r="D32" s="92" t="n"/>
      <c r="E32" s="92" t="n"/>
      <c r="F32" s="92" t="n"/>
      <c r="G32" s="92" t="n"/>
      <c r="H32" s="92" t="n"/>
      <c r="I32" s="93" t="n"/>
    </row>
    <row r="33">
      <c r="A33" s="50" t="inlineStr">
        <is>
          <t>adoption ↓ \ churn →</t>
        </is>
      </c>
      <c r="B33" s="59" t="n">
        <v>0.05</v>
      </c>
      <c r="C33" s="59" t="n">
        <v>0.1</v>
      </c>
      <c r="D33" s="59" t="n">
        <v>0.15</v>
      </c>
      <c r="E33" s="59" t="n">
        <v>0.2</v>
      </c>
      <c r="F33" s="59" t="n">
        <v>0.25</v>
      </c>
      <c r="G33" s="59" t="n">
        <v>0.3</v>
      </c>
      <c r="H33" s="59" t="n">
        <v>0.35</v>
      </c>
    </row>
    <row r="34">
      <c r="A34" s="57" t="n">
        <v>200</v>
      </c>
      <c r="B34" s="58">
        <f>((((200/(1+EXP(-adoption_steepness*(2028-adoption_midpoint)))*(1-0.05))*(cert_fee_yr1*(1+cert_fee_escalation)^2.5+training_pct*training_fee+audit_fee)*5)+(IF((200/(1+EXP(-adoption_steepness*(2028-adoption_midpoint)))*(1-0.05))&gt;=stage2_gate,ecom_market_base*(1+ecom_growth_rate)^4*platform_market_share*tx_take_rate*1000*3,0))-((IF((200/(1+EXP(-adoption_steepness*(2028-adoption_midpoint)))*(1-0.05))&gt;=stage2_gate,ecom_market_base*(1+ecom_growth_rate)^4*platform_market_share*tx_take_rate*1000*3,0))*payment_proc_pct)-(capex_total+(33*30*12*(1+bhxh_rate)*(1+salary_escalation)^2*5)+(opex_marketing*(1+marketing_growth)^2*5)+(opex_cloud_base*5+(200/(1+EXP(-adoption_steepness*(2028-adoption_midpoint)))*(1-0.05))*vcr_per_enterprise*12*cloud_per_1M_vcr/1000000*5)+((opex_branding+opex_external+opex_legal+opex_security+opex_partner_mgmt)*5)+(capex_total*capex_maintenance_pct*4)))*(1-cit_rate))/(1+discount_rate)^2.5</f>
        <v/>
      </c>
      <c r="C34" s="58">
        <f>((((200/(1+EXP(-adoption_steepness*(2028-adoption_midpoint)))*(1-0.1))*(cert_fee_yr1*(1+cert_fee_escalation)^2.5+training_pct*training_fee+audit_fee)*5)+(IF((200/(1+EXP(-adoption_steepness*(2028-adoption_midpoint)))*(1-0.1))&gt;=stage2_gate,ecom_market_base*(1+ecom_growth_rate)^4*platform_market_share*tx_take_rate*1000*3,0))-((IF((200/(1+EXP(-adoption_steepness*(2028-adoption_midpoint)))*(1-0.1))&gt;=stage2_gate,ecom_market_base*(1+ecom_growth_rate)^4*platform_market_share*tx_take_rate*1000*3,0))*payment_proc_pct)-(capex_total+(33*30*12*(1+bhxh_rate)*(1+salary_escalation)^2*5)+(opex_marketing*(1+marketing_growth)^2*5)+(opex_cloud_base*5+(200/(1+EXP(-adoption_steepness*(2028-adoption_midpoint)))*(1-0.1))*vcr_per_enterprise*12*cloud_per_1M_vcr/1000000*5)+((opex_branding+opex_external+opex_legal+opex_security+opex_partner_mgmt)*5)+(capex_total*capex_maintenance_pct*4)))*(1-cit_rate))/(1+discount_rate)^2.5</f>
        <v/>
      </c>
      <c r="D34" s="58">
        <f>((((200/(1+EXP(-adoption_steepness*(2028-adoption_midpoint)))*(1-0.15))*(cert_fee_yr1*(1+cert_fee_escalation)^2.5+training_pct*training_fee+audit_fee)*5)+(IF((200/(1+EXP(-adoption_steepness*(2028-adoption_midpoint)))*(1-0.15))&gt;=stage2_gate,ecom_market_base*(1+ecom_growth_rate)^4*platform_market_share*tx_take_rate*1000*3,0))-((IF((200/(1+EXP(-adoption_steepness*(2028-adoption_midpoint)))*(1-0.15))&gt;=stage2_gate,ecom_market_base*(1+ecom_growth_rate)^4*platform_market_share*tx_take_rate*1000*3,0))*payment_proc_pct)-(capex_total+(33*30*12*(1+bhxh_rate)*(1+salary_escalation)^2*5)+(opex_marketing*(1+marketing_growth)^2*5)+(opex_cloud_base*5+(200/(1+EXP(-adoption_steepness*(2028-adoption_midpoint)))*(1-0.15))*vcr_per_enterprise*12*cloud_per_1M_vcr/1000000*5)+((opex_branding+opex_external+opex_legal+opex_security+opex_partner_mgmt)*5)+(capex_total*capex_maintenance_pct*4)))*(1-cit_rate))/(1+discount_rate)^2.5</f>
        <v/>
      </c>
      <c r="E34" s="58">
        <f>((((200/(1+EXP(-adoption_steepness*(2028-adoption_midpoint)))*(1-0.2))*(cert_fee_yr1*(1+cert_fee_escalation)^2.5+training_pct*training_fee+audit_fee)*5)+(IF((200/(1+EXP(-adoption_steepness*(2028-adoption_midpoint)))*(1-0.2))&gt;=stage2_gate,ecom_market_base*(1+ecom_growth_rate)^4*platform_market_share*tx_take_rate*1000*3,0))-((IF((200/(1+EXP(-adoption_steepness*(2028-adoption_midpoint)))*(1-0.2))&gt;=stage2_gate,ecom_market_base*(1+ecom_growth_rate)^4*platform_market_share*tx_take_rate*1000*3,0))*payment_proc_pct)-(capex_total+(33*30*12*(1+bhxh_rate)*(1+salary_escalation)^2*5)+(opex_marketing*(1+marketing_growth)^2*5)+(opex_cloud_base*5+(200/(1+EXP(-adoption_steepness*(2028-adoption_midpoint)))*(1-0.2))*vcr_per_enterprise*12*cloud_per_1M_vcr/1000000*5)+((opex_branding+opex_external+opex_legal+opex_security+opex_partner_mgmt)*5)+(capex_total*capex_maintenance_pct*4)))*(1-cit_rate))/(1+discount_rate)^2.5</f>
        <v/>
      </c>
      <c r="F34" s="58">
        <f>((((200/(1+EXP(-adoption_steepness*(2028-adoption_midpoint)))*(1-0.25))*(cert_fee_yr1*(1+cert_fee_escalation)^2.5+training_pct*training_fee+audit_fee)*5)+(IF((200/(1+EXP(-adoption_steepness*(2028-adoption_midpoint)))*(1-0.25))&gt;=stage2_gate,ecom_market_base*(1+ecom_growth_rate)^4*platform_market_share*tx_take_rate*1000*3,0))-((IF((200/(1+EXP(-adoption_steepness*(2028-adoption_midpoint)))*(1-0.25))&gt;=stage2_gate,ecom_market_base*(1+ecom_growth_rate)^4*platform_market_share*tx_take_rate*1000*3,0))*payment_proc_pct)-(capex_total+(33*30*12*(1+bhxh_rate)*(1+salary_escalation)^2*5)+(opex_marketing*(1+marketing_growth)^2*5)+(opex_cloud_base*5+(200/(1+EXP(-adoption_steepness*(2028-adoption_midpoint)))*(1-0.25))*vcr_per_enterprise*12*cloud_per_1M_vcr/1000000*5)+((opex_branding+opex_external+opex_legal+opex_security+opex_partner_mgmt)*5)+(capex_total*capex_maintenance_pct*4)))*(1-cit_rate))/(1+discount_rate)^2.5</f>
        <v/>
      </c>
      <c r="G34" s="58">
        <f>((((200/(1+EXP(-adoption_steepness*(2028-adoption_midpoint)))*(1-0.3))*(cert_fee_yr1*(1+cert_fee_escalation)^2.5+training_pct*training_fee+audit_fee)*5)+(IF((200/(1+EXP(-adoption_steepness*(2028-adoption_midpoint)))*(1-0.3))&gt;=stage2_gate,ecom_market_base*(1+ecom_growth_rate)^4*platform_market_share*tx_take_rate*1000*3,0))-((IF((200/(1+EXP(-adoption_steepness*(2028-adoption_midpoint)))*(1-0.3))&gt;=stage2_gate,ecom_market_base*(1+ecom_growth_rate)^4*platform_market_share*tx_take_rate*1000*3,0))*payment_proc_pct)-(capex_total+(33*30*12*(1+bhxh_rate)*(1+salary_escalation)^2*5)+(opex_marketing*(1+marketing_growth)^2*5)+(opex_cloud_base*5+(200/(1+EXP(-adoption_steepness*(2028-adoption_midpoint)))*(1-0.3))*vcr_per_enterprise*12*cloud_per_1M_vcr/1000000*5)+((opex_branding+opex_external+opex_legal+opex_security+opex_partner_mgmt)*5)+(capex_total*capex_maintenance_pct*4)))*(1-cit_rate))/(1+discount_rate)^2.5</f>
        <v/>
      </c>
      <c r="H34" s="58">
        <f>((((200/(1+EXP(-adoption_steepness*(2028-adoption_midpoint)))*(1-0.35))*(cert_fee_yr1*(1+cert_fee_escalation)^2.5+training_pct*training_fee+audit_fee)*5)+(IF((200/(1+EXP(-adoption_steepness*(2028-adoption_midpoint)))*(1-0.35))&gt;=stage2_gate,ecom_market_base*(1+ecom_growth_rate)^4*platform_market_share*tx_take_rate*1000*3,0))-((IF((200/(1+EXP(-adoption_steepness*(2028-adoption_midpoint)))*(1-0.35))&gt;=stage2_gate,ecom_market_base*(1+ecom_growth_rate)^4*platform_market_share*tx_take_rate*1000*3,0))*payment_proc_pct)-(capex_total+(33*30*12*(1+bhxh_rate)*(1+salary_escalation)^2*5)+(opex_marketing*(1+marketing_growth)^2*5)+(opex_cloud_base*5+(200/(1+EXP(-adoption_steepness*(2028-adoption_midpoint)))*(1-0.35))*vcr_per_enterprise*12*cloud_per_1M_vcr/1000000*5)+((opex_branding+opex_external+opex_legal+opex_security+opex_partner_mgmt)*5)+(capex_total*capex_maintenance_pct*4)))*(1-cit_rate))/(1+discount_rate)^2.5</f>
        <v/>
      </c>
    </row>
    <row r="35">
      <c r="A35" s="57" t="n">
        <v>400</v>
      </c>
      <c r="B35" s="58">
        <f>((((400/(1+EXP(-adoption_steepness*(2028-adoption_midpoint)))*(1-0.05))*(cert_fee_yr1*(1+cert_fee_escalation)^2.5+training_pct*training_fee+audit_fee)*5)+(IF((400/(1+EXP(-adoption_steepness*(2028-adoption_midpoint)))*(1-0.05))&gt;=stage2_gate,ecom_market_base*(1+ecom_growth_rate)^4*platform_market_share*tx_take_rate*1000*3,0))-((IF((400/(1+EXP(-adoption_steepness*(2028-adoption_midpoint)))*(1-0.05))&gt;=stage2_gate,ecom_market_base*(1+ecom_growth_rate)^4*platform_market_share*tx_take_rate*1000*3,0))*payment_proc_pct)-(capex_total+(33*30*12*(1+bhxh_rate)*(1+salary_escalation)^2*5)+(opex_marketing*(1+marketing_growth)^2*5)+(opex_cloud_base*5+(400/(1+EXP(-adoption_steepness*(2028-adoption_midpoint)))*(1-0.05))*vcr_per_enterprise*12*cloud_per_1M_vcr/1000000*5)+((opex_branding+opex_external+opex_legal+opex_security+opex_partner_mgmt)*5)+(capex_total*capex_maintenance_pct*4)))*(1-cit_rate))/(1+discount_rate)^2.5</f>
        <v/>
      </c>
      <c r="C35" s="58">
        <f>((((400/(1+EXP(-adoption_steepness*(2028-adoption_midpoint)))*(1-0.1))*(cert_fee_yr1*(1+cert_fee_escalation)^2.5+training_pct*training_fee+audit_fee)*5)+(IF((400/(1+EXP(-adoption_steepness*(2028-adoption_midpoint)))*(1-0.1))&gt;=stage2_gate,ecom_market_base*(1+ecom_growth_rate)^4*platform_market_share*tx_take_rate*1000*3,0))-((IF((400/(1+EXP(-adoption_steepness*(2028-adoption_midpoint)))*(1-0.1))&gt;=stage2_gate,ecom_market_base*(1+ecom_growth_rate)^4*platform_market_share*tx_take_rate*1000*3,0))*payment_proc_pct)-(capex_total+(33*30*12*(1+bhxh_rate)*(1+salary_escalation)^2*5)+(opex_marketing*(1+marketing_growth)^2*5)+(opex_cloud_base*5+(400/(1+EXP(-adoption_steepness*(2028-adoption_midpoint)))*(1-0.1))*vcr_per_enterprise*12*cloud_per_1M_vcr/1000000*5)+((opex_branding+opex_external+opex_legal+opex_security+opex_partner_mgmt)*5)+(capex_total*capex_maintenance_pct*4)))*(1-cit_rate))/(1+discount_rate)^2.5</f>
        <v/>
      </c>
      <c r="D35" s="58">
        <f>((((400/(1+EXP(-adoption_steepness*(2028-adoption_midpoint)))*(1-0.15))*(cert_fee_yr1*(1+cert_fee_escalation)^2.5+training_pct*training_fee+audit_fee)*5)+(IF((400/(1+EXP(-adoption_steepness*(2028-adoption_midpoint)))*(1-0.15))&gt;=stage2_gate,ecom_market_base*(1+ecom_growth_rate)^4*platform_market_share*tx_take_rate*1000*3,0))-((IF((400/(1+EXP(-adoption_steepness*(2028-adoption_midpoint)))*(1-0.15))&gt;=stage2_gate,ecom_market_base*(1+ecom_growth_rate)^4*platform_market_share*tx_take_rate*1000*3,0))*payment_proc_pct)-(capex_total+(33*30*12*(1+bhxh_rate)*(1+salary_escalation)^2*5)+(opex_marketing*(1+marketing_growth)^2*5)+(opex_cloud_base*5+(400/(1+EXP(-adoption_steepness*(2028-adoption_midpoint)))*(1-0.15))*vcr_per_enterprise*12*cloud_per_1M_vcr/1000000*5)+((opex_branding+opex_external+opex_legal+opex_security+opex_partner_mgmt)*5)+(capex_total*capex_maintenance_pct*4)))*(1-cit_rate))/(1+discount_rate)^2.5</f>
        <v/>
      </c>
      <c r="E35" s="58">
        <f>((((400/(1+EXP(-adoption_steepness*(2028-adoption_midpoint)))*(1-0.2))*(cert_fee_yr1*(1+cert_fee_escalation)^2.5+training_pct*training_fee+audit_fee)*5)+(IF((400/(1+EXP(-adoption_steepness*(2028-adoption_midpoint)))*(1-0.2))&gt;=stage2_gate,ecom_market_base*(1+ecom_growth_rate)^4*platform_market_share*tx_take_rate*1000*3,0))-((IF((400/(1+EXP(-adoption_steepness*(2028-adoption_midpoint)))*(1-0.2))&gt;=stage2_gate,ecom_market_base*(1+ecom_growth_rate)^4*platform_market_share*tx_take_rate*1000*3,0))*payment_proc_pct)-(capex_total+(33*30*12*(1+bhxh_rate)*(1+salary_escalation)^2*5)+(opex_marketing*(1+marketing_growth)^2*5)+(opex_cloud_base*5+(400/(1+EXP(-adoption_steepness*(2028-adoption_midpoint)))*(1-0.2))*vcr_per_enterprise*12*cloud_per_1M_vcr/1000000*5)+((opex_branding+opex_external+opex_legal+opex_security+opex_partner_mgmt)*5)+(capex_total*capex_maintenance_pct*4)))*(1-cit_rate))/(1+discount_rate)^2.5</f>
        <v/>
      </c>
      <c r="F35" s="58">
        <f>((((400/(1+EXP(-adoption_steepness*(2028-adoption_midpoint)))*(1-0.25))*(cert_fee_yr1*(1+cert_fee_escalation)^2.5+training_pct*training_fee+audit_fee)*5)+(IF((400/(1+EXP(-adoption_steepness*(2028-adoption_midpoint)))*(1-0.25))&gt;=stage2_gate,ecom_market_base*(1+ecom_growth_rate)^4*platform_market_share*tx_take_rate*1000*3,0))-((IF((400/(1+EXP(-adoption_steepness*(2028-adoption_midpoint)))*(1-0.25))&gt;=stage2_gate,ecom_market_base*(1+ecom_growth_rate)^4*platform_market_share*tx_take_rate*1000*3,0))*payment_proc_pct)-(capex_total+(33*30*12*(1+bhxh_rate)*(1+salary_escalation)^2*5)+(opex_marketing*(1+marketing_growth)^2*5)+(opex_cloud_base*5+(400/(1+EXP(-adoption_steepness*(2028-adoption_midpoint)))*(1-0.25))*vcr_per_enterprise*12*cloud_per_1M_vcr/1000000*5)+((opex_branding+opex_external+opex_legal+opex_security+opex_partner_mgmt)*5)+(capex_total*capex_maintenance_pct*4)))*(1-cit_rate))/(1+discount_rate)^2.5</f>
        <v/>
      </c>
      <c r="G35" s="58">
        <f>((((400/(1+EXP(-adoption_steepness*(2028-adoption_midpoint)))*(1-0.3))*(cert_fee_yr1*(1+cert_fee_escalation)^2.5+training_pct*training_fee+audit_fee)*5)+(IF((400/(1+EXP(-adoption_steepness*(2028-adoption_midpoint)))*(1-0.3))&gt;=stage2_gate,ecom_market_base*(1+ecom_growth_rate)^4*platform_market_share*tx_take_rate*1000*3,0))-((IF((400/(1+EXP(-adoption_steepness*(2028-adoption_midpoint)))*(1-0.3))&gt;=stage2_gate,ecom_market_base*(1+ecom_growth_rate)^4*platform_market_share*tx_take_rate*1000*3,0))*payment_proc_pct)-(capex_total+(33*30*12*(1+bhxh_rate)*(1+salary_escalation)^2*5)+(opex_marketing*(1+marketing_growth)^2*5)+(opex_cloud_base*5+(400/(1+EXP(-adoption_steepness*(2028-adoption_midpoint)))*(1-0.3))*vcr_per_enterprise*12*cloud_per_1M_vcr/1000000*5)+((opex_branding+opex_external+opex_legal+opex_security+opex_partner_mgmt)*5)+(capex_total*capex_maintenance_pct*4)))*(1-cit_rate))/(1+discount_rate)^2.5</f>
        <v/>
      </c>
      <c r="H35" s="58">
        <f>((((400/(1+EXP(-adoption_steepness*(2028-adoption_midpoint)))*(1-0.35))*(cert_fee_yr1*(1+cert_fee_escalation)^2.5+training_pct*training_fee+audit_fee)*5)+(IF((400/(1+EXP(-adoption_steepness*(2028-adoption_midpoint)))*(1-0.35))&gt;=stage2_gate,ecom_market_base*(1+ecom_growth_rate)^4*platform_market_share*tx_take_rate*1000*3,0))-((IF((400/(1+EXP(-adoption_steepness*(2028-adoption_midpoint)))*(1-0.35))&gt;=stage2_gate,ecom_market_base*(1+ecom_growth_rate)^4*platform_market_share*tx_take_rate*1000*3,0))*payment_proc_pct)-(capex_total+(33*30*12*(1+bhxh_rate)*(1+salary_escalation)^2*5)+(opex_marketing*(1+marketing_growth)^2*5)+(opex_cloud_base*5+(400/(1+EXP(-adoption_steepness*(2028-adoption_midpoint)))*(1-0.35))*vcr_per_enterprise*12*cloud_per_1M_vcr/1000000*5)+((opex_branding+opex_external+opex_legal+opex_security+opex_partner_mgmt)*5)+(capex_total*capex_maintenance_pct*4)))*(1-cit_rate))/(1+discount_rate)^2.5</f>
        <v/>
      </c>
    </row>
    <row r="36">
      <c r="A36" s="57" t="n">
        <v>600</v>
      </c>
      <c r="B36" s="58">
        <f>((((600/(1+EXP(-adoption_steepness*(2028-adoption_midpoint)))*(1-0.05))*(cert_fee_yr1*(1+cert_fee_escalation)^2.5+training_pct*training_fee+audit_fee)*5)+(IF((600/(1+EXP(-adoption_steepness*(2028-adoption_midpoint)))*(1-0.05))&gt;=stage2_gate,ecom_market_base*(1+ecom_growth_rate)^4*platform_market_share*tx_take_rate*1000*3,0))-((IF((600/(1+EXP(-adoption_steepness*(2028-adoption_midpoint)))*(1-0.05))&gt;=stage2_gate,ecom_market_base*(1+ecom_growth_rate)^4*platform_market_share*tx_take_rate*1000*3,0))*payment_proc_pct)-(capex_total+(33*30*12*(1+bhxh_rate)*(1+salary_escalation)^2*5)+(opex_marketing*(1+marketing_growth)^2*5)+(opex_cloud_base*5+(600/(1+EXP(-adoption_steepness*(2028-adoption_midpoint)))*(1-0.05))*vcr_per_enterprise*12*cloud_per_1M_vcr/1000000*5)+((opex_branding+opex_external+opex_legal+opex_security+opex_partner_mgmt)*5)+(capex_total*capex_maintenance_pct*4)))*(1-cit_rate))/(1+discount_rate)^2.5</f>
        <v/>
      </c>
      <c r="C36" s="58">
        <f>((((600/(1+EXP(-adoption_steepness*(2028-adoption_midpoint)))*(1-0.1))*(cert_fee_yr1*(1+cert_fee_escalation)^2.5+training_pct*training_fee+audit_fee)*5)+(IF((600/(1+EXP(-adoption_steepness*(2028-adoption_midpoint)))*(1-0.1))&gt;=stage2_gate,ecom_market_base*(1+ecom_growth_rate)^4*platform_market_share*tx_take_rate*1000*3,0))-((IF((600/(1+EXP(-adoption_steepness*(2028-adoption_midpoint)))*(1-0.1))&gt;=stage2_gate,ecom_market_base*(1+ecom_growth_rate)^4*platform_market_share*tx_take_rate*1000*3,0))*payment_proc_pct)-(capex_total+(33*30*12*(1+bhxh_rate)*(1+salary_escalation)^2*5)+(opex_marketing*(1+marketing_growth)^2*5)+(opex_cloud_base*5+(600/(1+EXP(-adoption_steepness*(2028-adoption_midpoint)))*(1-0.1))*vcr_per_enterprise*12*cloud_per_1M_vcr/1000000*5)+((opex_branding+opex_external+opex_legal+opex_security+opex_partner_mgmt)*5)+(capex_total*capex_maintenance_pct*4)))*(1-cit_rate))/(1+discount_rate)^2.5</f>
        <v/>
      </c>
      <c r="D36" s="58">
        <f>((((600/(1+EXP(-adoption_steepness*(2028-adoption_midpoint)))*(1-0.15))*(cert_fee_yr1*(1+cert_fee_escalation)^2.5+training_pct*training_fee+audit_fee)*5)+(IF((600/(1+EXP(-adoption_steepness*(2028-adoption_midpoint)))*(1-0.15))&gt;=stage2_gate,ecom_market_base*(1+ecom_growth_rate)^4*platform_market_share*tx_take_rate*1000*3,0))-((IF((600/(1+EXP(-adoption_steepness*(2028-adoption_midpoint)))*(1-0.15))&gt;=stage2_gate,ecom_market_base*(1+ecom_growth_rate)^4*platform_market_share*tx_take_rate*1000*3,0))*payment_proc_pct)-(capex_total+(33*30*12*(1+bhxh_rate)*(1+salary_escalation)^2*5)+(opex_marketing*(1+marketing_growth)^2*5)+(opex_cloud_base*5+(600/(1+EXP(-adoption_steepness*(2028-adoption_midpoint)))*(1-0.15))*vcr_per_enterprise*12*cloud_per_1M_vcr/1000000*5)+((opex_branding+opex_external+opex_legal+opex_security+opex_partner_mgmt)*5)+(capex_total*capex_maintenance_pct*4)))*(1-cit_rate))/(1+discount_rate)^2.5</f>
        <v/>
      </c>
      <c r="E36" s="58">
        <f>((((600/(1+EXP(-adoption_steepness*(2028-adoption_midpoint)))*(1-0.2))*(cert_fee_yr1*(1+cert_fee_escalation)^2.5+training_pct*training_fee+audit_fee)*5)+(IF((600/(1+EXP(-adoption_steepness*(2028-adoption_midpoint)))*(1-0.2))&gt;=stage2_gate,ecom_market_base*(1+ecom_growth_rate)^4*platform_market_share*tx_take_rate*1000*3,0))-((IF((600/(1+EXP(-adoption_steepness*(2028-adoption_midpoint)))*(1-0.2))&gt;=stage2_gate,ecom_market_base*(1+ecom_growth_rate)^4*platform_market_share*tx_take_rate*1000*3,0))*payment_proc_pct)-(capex_total+(33*30*12*(1+bhxh_rate)*(1+salary_escalation)^2*5)+(opex_marketing*(1+marketing_growth)^2*5)+(opex_cloud_base*5+(600/(1+EXP(-adoption_steepness*(2028-adoption_midpoint)))*(1-0.2))*vcr_per_enterprise*12*cloud_per_1M_vcr/1000000*5)+((opex_branding+opex_external+opex_legal+opex_security+opex_partner_mgmt)*5)+(capex_total*capex_maintenance_pct*4)))*(1-cit_rate))/(1+discount_rate)^2.5</f>
        <v/>
      </c>
      <c r="F36" s="58">
        <f>((((600/(1+EXP(-adoption_steepness*(2028-adoption_midpoint)))*(1-0.25))*(cert_fee_yr1*(1+cert_fee_escalation)^2.5+training_pct*training_fee+audit_fee)*5)+(IF((600/(1+EXP(-adoption_steepness*(2028-adoption_midpoint)))*(1-0.25))&gt;=stage2_gate,ecom_market_base*(1+ecom_growth_rate)^4*platform_market_share*tx_take_rate*1000*3,0))-((IF((600/(1+EXP(-adoption_steepness*(2028-adoption_midpoint)))*(1-0.25))&gt;=stage2_gate,ecom_market_base*(1+ecom_growth_rate)^4*platform_market_share*tx_take_rate*1000*3,0))*payment_proc_pct)-(capex_total+(33*30*12*(1+bhxh_rate)*(1+salary_escalation)^2*5)+(opex_marketing*(1+marketing_growth)^2*5)+(opex_cloud_base*5+(600/(1+EXP(-adoption_steepness*(2028-adoption_midpoint)))*(1-0.25))*vcr_per_enterprise*12*cloud_per_1M_vcr/1000000*5)+((opex_branding+opex_external+opex_legal+opex_security+opex_partner_mgmt)*5)+(capex_total*capex_maintenance_pct*4)))*(1-cit_rate))/(1+discount_rate)^2.5</f>
        <v/>
      </c>
      <c r="G36" s="58">
        <f>((((600/(1+EXP(-adoption_steepness*(2028-adoption_midpoint)))*(1-0.3))*(cert_fee_yr1*(1+cert_fee_escalation)^2.5+training_pct*training_fee+audit_fee)*5)+(IF((600/(1+EXP(-adoption_steepness*(2028-adoption_midpoint)))*(1-0.3))&gt;=stage2_gate,ecom_market_base*(1+ecom_growth_rate)^4*platform_market_share*tx_take_rate*1000*3,0))-((IF((600/(1+EXP(-adoption_steepness*(2028-adoption_midpoint)))*(1-0.3))&gt;=stage2_gate,ecom_market_base*(1+ecom_growth_rate)^4*platform_market_share*tx_take_rate*1000*3,0))*payment_proc_pct)-(capex_total+(33*30*12*(1+bhxh_rate)*(1+salary_escalation)^2*5)+(opex_marketing*(1+marketing_growth)^2*5)+(opex_cloud_base*5+(600/(1+EXP(-adoption_steepness*(2028-adoption_midpoint)))*(1-0.3))*vcr_per_enterprise*12*cloud_per_1M_vcr/1000000*5)+((opex_branding+opex_external+opex_legal+opex_security+opex_partner_mgmt)*5)+(capex_total*capex_maintenance_pct*4)))*(1-cit_rate))/(1+discount_rate)^2.5</f>
        <v/>
      </c>
      <c r="H36" s="58">
        <f>((((600/(1+EXP(-adoption_steepness*(2028-adoption_midpoint)))*(1-0.35))*(cert_fee_yr1*(1+cert_fee_escalation)^2.5+training_pct*training_fee+audit_fee)*5)+(IF((600/(1+EXP(-adoption_steepness*(2028-adoption_midpoint)))*(1-0.35))&gt;=stage2_gate,ecom_market_base*(1+ecom_growth_rate)^4*platform_market_share*tx_take_rate*1000*3,0))-((IF((600/(1+EXP(-adoption_steepness*(2028-adoption_midpoint)))*(1-0.35))&gt;=stage2_gate,ecom_market_base*(1+ecom_growth_rate)^4*platform_market_share*tx_take_rate*1000*3,0))*payment_proc_pct)-(capex_total+(33*30*12*(1+bhxh_rate)*(1+salary_escalation)^2*5)+(opex_marketing*(1+marketing_growth)^2*5)+(opex_cloud_base*5+(600/(1+EXP(-adoption_steepness*(2028-adoption_midpoint)))*(1-0.35))*vcr_per_enterprise*12*cloud_per_1M_vcr/1000000*5)+((opex_branding+opex_external+opex_legal+opex_security+opex_partner_mgmt)*5)+(capex_total*capex_maintenance_pct*4)))*(1-cit_rate))/(1+discount_rate)^2.5</f>
        <v/>
      </c>
    </row>
    <row r="37">
      <c r="A37" s="57" t="n">
        <v>800</v>
      </c>
      <c r="B37" s="58">
        <f>((((800/(1+EXP(-adoption_steepness*(2028-adoption_midpoint)))*(1-0.05))*(cert_fee_yr1*(1+cert_fee_escalation)^2.5+training_pct*training_fee+audit_fee)*5)+(IF((800/(1+EXP(-adoption_steepness*(2028-adoption_midpoint)))*(1-0.05))&gt;=stage2_gate,ecom_market_base*(1+ecom_growth_rate)^4*platform_market_share*tx_take_rate*1000*3,0))-((IF((800/(1+EXP(-adoption_steepness*(2028-adoption_midpoint)))*(1-0.05))&gt;=stage2_gate,ecom_market_base*(1+ecom_growth_rate)^4*platform_market_share*tx_take_rate*1000*3,0))*payment_proc_pct)-(capex_total+(33*30*12*(1+bhxh_rate)*(1+salary_escalation)^2*5)+(opex_marketing*(1+marketing_growth)^2*5)+(opex_cloud_base*5+(800/(1+EXP(-adoption_steepness*(2028-adoption_midpoint)))*(1-0.05))*vcr_per_enterprise*12*cloud_per_1M_vcr/1000000*5)+((opex_branding+opex_external+opex_legal+opex_security+opex_partner_mgmt)*5)+(capex_total*capex_maintenance_pct*4)))*(1-cit_rate))/(1+discount_rate)^2.5</f>
        <v/>
      </c>
      <c r="C37" s="58">
        <f>((((800/(1+EXP(-adoption_steepness*(2028-adoption_midpoint)))*(1-0.1))*(cert_fee_yr1*(1+cert_fee_escalation)^2.5+training_pct*training_fee+audit_fee)*5)+(IF((800/(1+EXP(-adoption_steepness*(2028-adoption_midpoint)))*(1-0.1))&gt;=stage2_gate,ecom_market_base*(1+ecom_growth_rate)^4*platform_market_share*tx_take_rate*1000*3,0))-((IF((800/(1+EXP(-adoption_steepness*(2028-adoption_midpoint)))*(1-0.1))&gt;=stage2_gate,ecom_market_base*(1+ecom_growth_rate)^4*platform_market_share*tx_take_rate*1000*3,0))*payment_proc_pct)-(capex_total+(33*30*12*(1+bhxh_rate)*(1+salary_escalation)^2*5)+(opex_marketing*(1+marketing_growth)^2*5)+(opex_cloud_base*5+(800/(1+EXP(-adoption_steepness*(2028-adoption_midpoint)))*(1-0.1))*vcr_per_enterprise*12*cloud_per_1M_vcr/1000000*5)+((opex_branding+opex_external+opex_legal+opex_security+opex_partner_mgmt)*5)+(capex_total*capex_maintenance_pct*4)))*(1-cit_rate))/(1+discount_rate)^2.5</f>
        <v/>
      </c>
      <c r="D37" s="58">
        <f>((((800/(1+EXP(-adoption_steepness*(2028-adoption_midpoint)))*(1-0.15))*(cert_fee_yr1*(1+cert_fee_escalation)^2.5+training_pct*training_fee+audit_fee)*5)+(IF((800/(1+EXP(-adoption_steepness*(2028-adoption_midpoint)))*(1-0.15))&gt;=stage2_gate,ecom_market_base*(1+ecom_growth_rate)^4*platform_market_share*tx_take_rate*1000*3,0))-((IF((800/(1+EXP(-adoption_steepness*(2028-adoption_midpoint)))*(1-0.15))&gt;=stage2_gate,ecom_market_base*(1+ecom_growth_rate)^4*platform_market_share*tx_take_rate*1000*3,0))*payment_proc_pct)-(capex_total+(33*30*12*(1+bhxh_rate)*(1+salary_escalation)^2*5)+(opex_marketing*(1+marketing_growth)^2*5)+(opex_cloud_base*5+(800/(1+EXP(-adoption_steepness*(2028-adoption_midpoint)))*(1-0.15))*vcr_per_enterprise*12*cloud_per_1M_vcr/1000000*5)+((opex_branding+opex_external+opex_legal+opex_security+opex_partner_mgmt)*5)+(capex_total*capex_maintenance_pct*4)))*(1-cit_rate))/(1+discount_rate)^2.5</f>
        <v/>
      </c>
      <c r="E37" s="58">
        <f>((((800/(1+EXP(-adoption_steepness*(2028-adoption_midpoint)))*(1-0.2))*(cert_fee_yr1*(1+cert_fee_escalation)^2.5+training_pct*training_fee+audit_fee)*5)+(IF((800/(1+EXP(-adoption_steepness*(2028-adoption_midpoint)))*(1-0.2))&gt;=stage2_gate,ecom_market_base*(1+ecom_growth_rate)^4*platform_market_share*tx_take_rate*1000*3,0))-((IF((800/(1+EXP(-adoption_steepness*(2028-adoption_midpoint)))*(1-0.2))&gt;=stage2_gate,ecom_market_base*(1+ecom_growth_rate)^4*platform_market_share*tx_take_rate*1000*3,0))*payment_proc_pct)-(capex_total+(33*30*12*(1+bhxh_rate)*(1+salary_escalation)^2*5)+(opex_marketing*(1+marketing_growth)^2*5)+(opex_cloud_base*5+(800/(1+EXP(-adoption_steepness*(2028-adoption_midpoint)))*(1-0.2))*vcr_per_enterprise*12*cloud_per_1M_vcr/1000000*5)+((opex_branding+opex_external+opex_legal+opex_security+opex_partner_mgmt)*5)+(capex_total*capex_maintenance_pct*4)))*(1-cit_rate))/(1+discount_rate)^2.5</f>
        <v/>
      </c>
      <c r="F37" s="58">
        <f>((((800/(1+EXP(-adoption_steepness*(2028-adoption_midpoint)))*(1-0.25))*(cert_fee_yr1*(1+cert_fee_escalation)^2.5+training_pct*training_fee+audit_fee)*5)+(IF((800/(1+EXP(-adoption_steepness*(2028-adoption_midpoint)))*(1-0.25))&gt;=stage2_gate,ecom_market_base*(1+ecom_growth_rate)^4*platform_market_share*tx_take_rate*1000*3,0))-((IF((800/(1+EXP(-adoption_steepness*(2028-adoption_midpoint)))*(1-0.25))&gt;=stage2_gate,ecom_market_base*(1+ecom_growth_rate)^4*platform_market_share*tx_take_rate*1000*3,0))*payment_proc_pct)-(capex_total+(33*30*12*(1+bhxh_rate)*(1+salary_escalation)^2*5)+(opex_marketing*(1+marketing_growth)^2*5)+(opex_cloud_base*5+(800/(1+EXP(-adoption_steepness*(2028-adoption_midpoint)))*(1-0.25))*vcr_per_enterprise*12*cloud_per_1M_vcr/1000000*5)+((opex_branding+opex_external+opex_legal+opex_security+opex_partner_mgmt)*5)+(capex_total*capex_maintenance_pct*4)))*(1-cit_rate))/(1+discount_rate)^2.5</f>
        <v/>
      </c>
      <c r="G37" s="58">
        <f>((((800/(1+EXP(-adoption_steepness*(2028-adoption_midpoint)))*(1-0.3))*(cert_fee_yr1*(1+cert_fee_escalation)^2.5+training_pct*training_fee+audit_fee)*5)+(IF((800/(1+EXP(-adoption_steepness*(2028-adoption_midpoint)))*(1-0.3))&gt;=stage2_gate,ecom_market_base*(1+ecom_growth_rate)^4*platform_market_share*tx_take_rate*1000*3,0))-((IF((800/(1+EXP(-adoption_steepness*(2028-adoption_midpoint)))*(1-0.3))&gt;=stage2_gate,ecom_market_base*(1+ecom_growth_rate)^4*platform_market_share*tx_take_rate*1000*3,0))*payment_proc_pct)-(capex_total+(33*30*12*(1+bhxh_rate)*(1+salary_escalation)^2*5)+(opex_marketing*(1+marketing_growth)^2*5)+(opex_cloud_base*5+(800/(1+EXP(-adoption_steepness*(2028-adoption_midpoint)))*(1-0.3))*vcr_per_enterprise*12*cloud_per_1M_vcr/1000000*5)+((opex_branding+opex_external+opex_legal+opex_security+opex_partner_mgmt)*5)+(capex_total*capex_maintenance_pct*4)))*(1-cit_rate))/(1+discount_rate)^2.5</f>
        <v/>
      </c>
      <c r="H37" s="58">
        <f>((((800/(1+EXP(-adoption_steepness*(2028-adoption_midpoint)))*(1-0.35))*(cert_fee_yr1*(1+cert_fee_escalation)^2.5+training_pct*training_fee+audit_fee)*5)+(IF((800/(1+EXP(-adoption_steepness*(2028-adoption_midpoint)))*(1-0.35))&gt;=stage2_gate,ecom_market_base*(1+ecom_growth_rate)^4*platform_market_share*tx_take_rate*1000*3,0))-((IF((800/(1+EXP(-adoption_steepness*(2028-adoption_midpoint)))*(1-0.35))&gt;=stage2_gate,ecom_market_base*(1+ecom_growth_rate)^4*platform_market_share*tx_take_rate*1000*3,0))*payment_proc_pct)-(capex_total+(33*30*12*(1+bhxh_rate)*(1+salary_escalation)^2*5)+(opex_marketing*(1+marketing_growth)^2*5)+(opex_cloud_base*5+(800/(1+EXP(-adoption_steepness*(2028-adoption_midpoint)))*(1-0.35))*vcr_per_enterprise*12*cloud_per_1M_vcr/1000000*5)+((opex_branding+opex_external+opex_legal+opex_security+opex_partner_mgmt)*5)+(capex_total*capex_maintenance_pct*4)))*(1-cit_rate))/(1+discount_rate)^2.5</f>
        <v/>
      </c>
    </row>
    <row r="38">
      <c r="A38" s="57" t="n">
        <v>1000</v>
      </c>
      <c r="B38" s="58">
        <f>((((1000/(1+EXP(-adoption_steepness*(2028-adoption_midpoint)))*(1-0.05))*(cert_fee_yr1*(1+cert_fee_escalation)^2.5+training_pct*training_fee+audit_fee)*5)+(IF((1000/(1+EXP(-adoption_steepness*(2028-adoption_midpoint)))*(1-0.05))&gt;=stage2_gate,ecom_market_base*(1+ecom_growth_rate)^4*platform_market_share*tx_take_rate*1000*3,0))-((IF((1000/(1+EXP(-adoption_steepness*(2028-adoption_midpoint)))*(1-0.05))&gt;=stage2_gate,ecom_market_base*(1+ecom_growth_rate)^4*platform_market_share*tx_take_rate*1000*3,0))*payment_proc_pct)-(capex_total+(33*30*12*(1+bhxh_rate)*(1+salary_escalation)^2*5)+(opex_marketing*(1+marketing_growth)^2*5)+(opex_cloud_base*5+(1000/(1+EXP(-adoption_steepness*(2028-adoption_midpoint)))*(1-0.05))*vcr_per_enterprise*12*cloud_per_1M_vcr/1000000*5)+((opex_branding+opex_external+opex_legal+opex_security+opex_partner_mgmt)*5)+(capex_total*capex_maintenance_pct*4)))*(1-cit_rate))/(1+discount_rate)^2.5</f>
        <v/>
      </c>
      <c r="C38" s="58">
        <f>((((1000/(1+EXP(-adoption_steepness*(2028-adoption_midpoint)))*(1-0.1))*(cert_fee_yr1*(1+cert_fee_escalation)^2.5+training_pct*training_fee+audit_fee)*5)+(IF((1000/(1+EXP(-adoption_steepness*(2028-adoption_midpoint)))*(1-0.1))&gt;=stage2_gate,ecom_market_base*(1+ecom_growth_rate)^4*platform_market_share*tx_take_rate*1000*3,0))-((IF((1000/(1+EXP(-adoption_steepness*(2028-adoption_midpoint)))*(1-0.1))&gt;=stage2_gate,ecom_market_base*(1+ecom_growth_rate)^4*platform_market_share*tx_take_rate*1000*3,0))*payment_proc_pct)-(capex_total+(33*30*12*(1+bhxh_rate)*(1+salary_escalation)^2*5)+(opex_marketing*(1+marketing_growth)^2*5)+(opex_cloud_base*5+(1000/(1+EXP(-adoption_steepness*(2028-adoption_midpoint)))*(1-0.1))*vcr_per_enterprise*12*cloud_per_1M_vcr/1000000*5)+((opex_branding+opex_external+opex_legal+opex_security+opex_partner_mgmt)*5)+(capex_total*capex_maintenance_pct*4)))*(1-cit_rate))/(1+discount_rate)^2.5</f>
        <v/>
      </c>
      <c r="D38" s="58">
        <f>((((1000/(1+EXP(-adoption_steepness*(2028-adoption_midpoint)))*(1-0.15))*(cert_fee_yr1*(1+cert_fee_escalation)^2.5+training_pct*training_fee+audit_fee)*5)+(IF((1000/(1+EXP(-adoption_steepness*(2028-adoption_midpoint)))*(1-0.15))&gt;=stage2_gate,ecom_market_base*(1+ecom_growth_rate)^4*platform_market_share*tx_take_rate*1000*3,0))-((IF((1000/(1+EXP(-adoption_steepness*(2028-adoption_midpoint)))*(1-0.15))&gt;=stage2_gate,ecom_market_base*(1+ecom_growth_rate)^4*platform_market_share*tx_take_rate*1000*3,0))*payment_proc_pct)-(capex_total+(33*30*12*(1+bhxh_rate)*(1+salary_escalation)^2*5)+(opex_marketing*(1+marketing_growth)^2*5)+(opex_cloud_base*5+(1000/(1+EXP(-adoption_steepness*(2028-adoption_midpoint)))*(1-0.15))*vcr_per_enterprise*12*cloud_per_1M_vcr/1000000*5)+((opex_branding+opex_external+opex_legal+opex_security+opex_partner_mgmt)*5)+(capex_total*capex_maintenance_pct*4)))*(1-cit_rate))/(1+discount_rate)^2.5</f>
        <v/>
      </c>
      <c r="E38" s="58">
        <f>((((1000/(1+EXP(-adoption_steepness*(2028-adoption_midpoint)))*(1-0.2))*(cert_fee_yr1*(1+cert_fee_escalation)^2.5+training_pct*training_fee+audit_fee)*5)+(IF((1000/(1+EXP(-adoption_steepness*(2028-adoption_midpoint)))*(1-0.2))&gt;=stage2_gate,ecom_market_base*(1+ecom_growth_rate)^4*platform_market_share*tx_take_rate*1000*3,0))-((IF((1000/(1+EXP(-adoption_steepness*(2028-adoption_midpoint)))*(1-0.2))&gt;=stage2_gate,ecom_market_base*(1+ecom_growth_rate)^4*platform_market_share*tx_take_rate*1000*3,0))*payment_proc_pct)-(capex_total+(33*30*12*(1+bhxh_rate)*(1+salary_escalation)^2*5)+(opex_marketing*(1+marketing_growth)^2*5)+(opex_cloud_base*5+(1000/(1+EXP(-adoption_steepness*(2028-adoption_midpoint)))*(1-0.2))*vcr_per_enterprise*12*cloud_per_1M_vcr/1000000*5)+((opex_branding+opex_external+opex_legal+opex_security+opex_partner_mgmt)*5)+(capex_total*capex_maintenance_pct*4)))*(1-cit_rate))/(1+discount_rate)^2.5</f>
        <v/>
      </c>
      <c r="F38" s="58">
        <f>((((1000/(1+EXP(-adoption_steepness*(2028-adoption_midpoint)))*(1-0.25))*(cert_fee_yr1*(1+cert_fee_escalation)^2.5+training_pct*training_fee+audit_fee)*5)+(IF((1000/(1+EXP(-adoption_steepness*(2028-adoption_midpoint)))*(1-0.25))&gt;=stage2_gate,ecom_market_base*(1+ecom_growth_rate)^4*platform_market_share*tx_take_rate*1000*3,0))-((IF((1000/(1+EXP(-adoption_steepness*(2028-adoption_midpoint)))*(1-0.25))&gt;=stage2_gate,ecom_market_base*(1+ecom_growth_rate)^4*platform_market_share*tx_take_rate*1000*3,0))*payment_proc_pct)-(capex_total+(33*30*12*(1+bhxh_rate)*(1+salary_escalation)^2*5)+(opex_marketing*(1+marketing_growth)^2*5)+(opex_cloud_base*5+(1000/(1+EXP(-adoption_steepness*(2028-adoption_midpoint)))*(1-0.25))*vcr_per_enterprise*12*cloud_per_1M_vcr/1000000*5)+((opex_branding+opex_external+opex_legal+opex_security+opex_partner_mgmt)*5)+(capex_total*capex_maintenance_pct*4)))*(1-cit_rate))/(1+discount_rate)^2.5</f>
        <v/>
      </c>
      <c r="G38" s="58">
        <f>((((1000/(1+EXP(-adoption_steepness*(2028-adoption_midpoint)))*(1-0.3))*(cert_fee_yr1*(1+cert_fee_escalation)^2.5+training_pct*training_fee+audit_fee)*5)+(IF((1000/(1+EXP(-adoption_steepness*(2028-adoption_midpoint)))*(1-0.3))&gt;=stage2_gate,ecom_market_base*(1+ecom_growth_rate)^4*platform_market_share*tx_take_rate*1000*3,0))-((IF((1000/(1+EXP(-adoption_steepness*(2028-adoption_midpoint)))*(1-0.3))&gt;=stage2_gate,ecom_market_base*(1+ecom_growth_rate)^4*platform_market_share*tx_take_rate*1000*3,0))*payment_proc_pct)-(capex_total+(33*30*12*(1+bhxh_rate)*(1+salary_escalation)^2*5)+(opex_marketing*(1+marketing_growth)^2*5)+(opex_cloud_base*5+(1000/(1+EXP(-adoption_steepness*(2028-adoption_midpoint)))*(1-0.3))*vcr_per_enterprise*12*cloud_per_1M_vcr/1000000*5)+((opex_branding+opex_external+opex_legal+opex_security+opex_partner_mgmt)*5)+(capex_total*capex_maintenance_pct*4)))*(1-cit_rate))/(1+discount_rate)^2.5</f>
        <v/>
      </c>
      <c r="H38" s="58">
        <f>((((1000/(1+EXP(-adoption_steepness*(2028-adoption_midpoint)))*(1-0.35))*(cert_fee_yr1*(1+cert_fee_escalation)^2.5+training_pct*training_fee+audit_fee)*5)+(IF((1000/(1+EXP(-adoption_steepness*(2028-adoption_midpoint)))*(1-0.35))&gt;=stage2_gate,ecom_market_base*(1+ecom_growth_rate)^4*platform_market_share*tx_take_rate*1000*3,0))-((IF((1000/(1+EXP(-adoption_steepness*(2028-adoption_midpoint)))*(1-0.35))&gt;=stage2_gate,ecom_market_base*(1+ecom_growth_rate)^4*platform_market_share*tx_take_rate*1000*3,0))*payment_proc_pct)-(capex_total+(33*30*12*(1+bhxh_rate)*(1+salary_escalation)^2*5)+(opex_marketing*(1+marketing_growth)^2*5)+(opex_cloud_base*5+(1000/(1+EXP(-adoption_steepness*(2028-adoption_midpoint)))*(1-0.35))*vcr_per_enterprise*12*cloud_per_1M_vcr/1000000*5)+((opex_branding+opex_external+opex_legal+opex_security+opex_partner_mgmt)*5)+(capex_total*capex_maintenance_pct*4)))*(1-cit_rate))/(1+discount_rate)^2.5</f>
        <v/>
      </c>
    </row>
    <row r="39">
      <c r="A39" s="57" t="n">
        <v>1200</v>
      </c>
      <c r="B39" s="58">
        <f>((((1200/(1+EXP(-adoption_steepness*(2028-adoption_midpoint)))*(1-0.05))*(cert_fee_yr1*(1+cert_fee_escalation)^2.5+training_pct*training_fee+audit_fee)*5)+(IF((1200/(1+EXP(-adoption_steepness*(2028-adoption_midpoint)))*(1-0.05))&gt;=stage2_gate,ecom_market_base*(1+ecom_growth_rate)^4*platform_market_share*tx_take_rate*1000*3,0))-((IF((1200/(1+EXP(-adoption_steepness*(2028-adoption_midpoint)))*(1-0.05))&gt;=stage2_gate,ecom_market_base*(1+ecom_growth_rate)^4*platform_market_share*tx_take_rate*1000*3,0))*payment_proc_pct)-(capex_total+(33*30*12*(1+bhxh_rate)*(1+salary_escalation)^2*5)+(opex_marketing*(1+marketing_growth)^2*5)+(opex_cloud_base*5+(1200/(1+EXP(-adoption_steepness*(2028-adoption_midpoint)))*(1-0.05))*vcr_per_enterprise*12*cloud_per_1M_vcr/1000000*5)+((opex_branding+opex_external+opex_legal+opex_security+opex_partner_mgmt)*5)+(capex_total*capex_maintenance_pct*4)))*(1-cit_rate))/(1+discount_rate)^2.5</f>
        <v/>
      </c>
      <c r="C39" s="58">
        <f>((((1200/(1+EXP(-adoption_steepness*(2028-adoption_midpoint)))*(1-0.1))*(cert_fee_yr1*(1+cert_fee_escalation)^2.5+training_pct*training_fee+audit_fee)*5)+(IF((1200/(1+EXP(-adoption_steepness*(2028-adoption_midpoint)))*(1-0.1))&gt;=stage2_gate,ecom_market_base*(1+ecom_growth_rate)^4*platform_market_share*tx_take_rate*1000*3,0))-((IF((1200/(1+EXP(-adoption_steepness*(2028-adoption_midpoint)))*(1-0.1))&gt;=stage2_gate,ecom_market_base*(1+ecom_growth_rate)^4*platform_market_share*tx_take_rate*1000*3,0))*payment_proc_pct)-(capex_total+(33*30*12*(1+bhxh_rate)*(1+salary_escalation)^2*5)+(opex_marketing*(1+marketing_growth)^2*5)+(opex_cloud_base*5+(1200/(1+EXP(-adoption_steepness*(2028-adoption_midpoint)))*(1-0.1))*vcr_per_enterprise*12*cloud_per_1M_vcr/1000000*5)+((opex_branding+opex_external+opex_legal+opex_security+opex_partner_mgmt)*5)+(capex_total*capex_maintenance_pct*4)))*(1-cit_rate))/(1+discount_rate)^2.5</f>
        <v/>
      </c>
      <c r="D39" s="58">
        <f>((((1200/(1+EXP(-adoption_steepness*(2028-adoption_midpoint)))*(1-0.15))*(cert_fee_yr1*(1+cert_fee_escalation)^2.5+training_pct*training_fee+audit_fee)*5)+(IF((1200/(1+EXP(-adoption_steepness*(2028-adoption_midpoint)))*(1-0.15))&gt;=stage2_gate,ecom_market_base*(1+ecom_growth_rate)^4*platform_market_share*tx_take_rate*1000*3,0))-((IF((1200/(1+EXP(-adoption_steepness*(2028-adoption_midpoint)))*(1-0.15))&gt;=stage2_gate,ecom_market_base*(1+ecom_growth_rate)^4*platform_market_share*tx_take_rate*1000*3,0))*payment_proc_pct)-(capex_total+(33*30*12*(1+bhxh_rate)*(1+salary_escalation)^2*5)+(opex_marketing*(1+marketing_growth)^2*5)+(opex_cloud_base*5+(1200/(1+EXP(-adoption_steepness*(2028-adoption_midpoint)))*(1-0.15))*vcr_per_enterprise*12*cloud_per_1M_vcr/1000000*5)+((opex_branding+opex_external+opex_legal+opex_security+opex_partner_mgmt)*5)+(capex_total*capex_maintenance_pct*4)))*(1-cit_rate))/(1+discount_rate)^2.5</f>
        <v/>
      </c>
      <c r="E39" s="52">
        <f>((((1200/(1+EXP(-adoption_steepness*(2028-adoption_midpoint)))*(1-0.2))*(cert_fee_yr1*(1+cert_fee_escalation)^2.5+training_pct*training_fee+audit_fee)*5)+(IF((1200/(1+EXP(-adoption_steepness*(2028-adoption_midpoint)))*(1-0.2))&gt;=stage2_gate,ecom_market_base*(1+ecom_growth_rate)^4*platform_market_share*tx_take_rate*1000*3,0))-((IF((1200/(1+EXP(-adoption_steepness*(2028-adoption_midpoint)))*(1-0.2))&gt;=stage2_gate,ecom_market_base*(1+ecom_growth_rate)^4*platform_market_share*tx_take_rate*1000*3,0))*payment_proc_pct)-(capex_total+(33*30*12*(1+bhxh_rate)*(1+salary_escalation)^2*5)+(opex_marketing*(1+marketing_growth)^2*5)+(opex_cloud_base*5+(1200/(1+EXP(-adoption_steepness*(2028-adoption_midpoint)))*(1-0.2))*vcr_per_enterprise*12*cloud_per_1M_vcr/1000000*5)+((opex_branding+opex_external+opex_legal+opex_security+opex_partner_mgmt)*5)+(capex_total*capex_maintenance_pct*4)))*(1-cit_rate))/(1+discount_rate)^2.5</f>
        <v/>
      </c>
      <c r="F39" s="58">
        <f>((((1200/(1+EXP(-adoption_steepness*(2028-adoption_midpoint)))*(1-0.25))*(cert_fee_yr1*(1+cert_fee_escalation)^2.5+training_pct*training_fee+audit_fee)*5)+(IF((1200/(1+EXP(-adoption_steepness*(2028-adoption_midpoint)))*(1-0.25))&gt;=stage2_gate,ecom_market_base*(1+ecom_growth_rate)^4*platform_market_share*tx_take_rate*1000*3,0))-((IF((1200/(1+EXP(-adoption_steepness*(2028-adoption_midpoint)))*(1-0.25))&gt;=stage2_gate,ecom_market_base*(1+ecom_growth_rate)^4*platform_market_share*tx_take_rate*1000*3,0))*payment_proc_pct)-(capex_total+(33*30*12*(1+bhxh_rate)*(1+salary_escalation)^2*5)+(opex_marketing*(1+marketing_growth)^2*5)+(opex_cloud_base*5+(1200/(1+EXP(-adoption_steepness*(2028-adoption_midpoint)))*(1-0.25))*vcr_per_enterprise*12*cloud_per_1M_vcr/1000000*5)+((opex_branding+opex_external+opex_legal+opex_security+opex_partner_mgmt)*5)+(capex_total*capex_maintenance_pct*4)))*(1-cit_rate))/(1+discount_rate)^2.5</f>
        <v/>
      </c>
      <c r="G39" s="58">
        <f>((((1200/(1+EXP(-adoption_steepness*(2028-adoption_midpoint)))*(1-0.3))*(cert_fee_yr1*(1+cert_fee_escalation)^2.5+training_pct*training_fee+audit_fee)*5)+(IF((1200/(1+EXP(-adoption_steepness*(2028-adoption_midpoint)))*(1-0.3))&gt;=stage2_gate,ecom_market_base*(1+ecom_growth_rate)^4*platform_market_share*tx_take_rate*1000*3,0))-((IF((1200/(1+EXP(-adoption_steepness*(2028-adoption_midpoint)))*(1-0.3))&gt;=stage2_gate,ecom_market_base*(1+ecom_growth_rate)^4*platform_market_share*tx_take_rate*1000*3,0))*payment_proc_pct)-(capex_total+(33*30*12*(1+bhxh_rate)*(1+salary_escalation)^2*5)+(opex_marketing*(1+marketing_growth)^2*5)+(opex_cloud_base*5+(1200/(1+EXP(-adoption_steepness*(2028-adoption_midpoint)))*(1-0.3))*vcr_per_enterprise*12*cloud_per_1M_vcr/1000000*5)+((opex_branding+opex_external+opex_legal+opex_security+opex_partner_mgmt)*5)+(capex_total*capex_maintenance_pct*4)))*(1-cit_rate))/(1+discount_rate)^2.5</f>
        <v/>
      </c>
      <c r="H39" s="58">
        <f>((((1200/(1+EXP(-adoption_steepness*(2028-adoption_midpoint)))*(1-0.35))*(cert_fee_yr1*(1+cert_fee_escalation)^2.5+training_pct*training_fee+audit_fee)*5)+(IF((1200/(1+EXP(-adoption_steepness*(2028-adoption_midpoint)))*(1-0.35))&gt;=stage2_gate,ecom_market_base*(1+ecom_growth_rate)^4*platform_market_share*tx_take_rate*1000*3,0))-((IF((1200/(1+EXP(-adoption_steepness*(2028-adoption_midpoint)))*(1-0.35))&gt;=stage2_gate,ecom_market_base*(1+ecom_growth_rate)^4*platform_market_share*tx_take_rate*1000*3,0))*payment_proc_pct)-(capex_total+(33*30*12*(1+bhxh_rate)*(1+salary_escalation)^2*5)+(opex_marketing*(1+marketing_growth)^2*5)+(opex_cloud_base*5+(1200/(1+EXP(-adoption_steepness*(2028-adoption_midpoint)))*(1-0.35))*vcr_per_enterprise*12*cloud_per_1M_vcr/1000000*5)+((opex_branding+opex_external+opex_legal+opex_security+opex_partner_mgmt)*5)+(capex_total*capex_maintenance_pct*4)))*(1-cit_rate))/(1+discount_rate)^2.5</f>
        <v/>
      </c>
    </row>
    <row r="40">
      <c r="A40" s="57" t="n">
        <v>1500</v>
      </c>
      <c r="B40" s="58">
        <f>((((1500/(1+EXP(-adoption_steepness*(2028-adoption_midpoint)))*(1-0.05))*(cert_fee_yr1*(1+cert_fee_escalation)^2.5+training_pct*training_fee+audit_fee)*5)+(IF((1500/(1+EXP(-adoption_steepness*(2028-adoption_midpoint)))*(1-0.05))&gt;=stage2_gate,ecom_market_base*(1+ecom_growth_rate)^4*platform_market_share*tx_take_rate*1000*3,0))-((IF((1500/(1+EXP(-adoption_steepness*(2028-adoption_midpoint)))*(1-0.05))&gt;=stage2_gate,ecom_market_base*(1+ecom_growth_rate)^4*platform_market_share*tx_take_rate*1000*3,0))*payment_proc_pct)-(capex_total+(33*30*12*(1+bhxh_rate)*(1+salary_escalation)^2*5)+(opex_marketing*(1+marketing_growth)^2*5)+(opex_cloud_base*5+(1500/(1+EXP(-adoption_steepness*(2028-adoption_midpoint)))*(1-0.05))*vcr_per_enterprise*12*cloud_per_1M_vcr/1000000*5)+((opex_branding+opex_external+opex_legal+opex_security+opex_partner_mgmt)*5)+(capex_total*capex_maintenance_pct*4)))*(1-cit_rate))/(1+discount_rate)^2.5</f>
        <v/>
      </c>
      <c r="C40" s="58">
        <f>((((1500/(1+EXP(-adoption_steepness*(2028-adoption_midpoint)))*(1-0.1))*(cert_fee_yr1*(1+cert_fee_escalation)^2.5+training_pct*training_fee+audit_fee)*5)+(IF((1500/(1+EXP(-adoption_steepness*(2028-adoption_midpoint)))*(1-0.1))&gt;=stage2_gate,ecom_market_base*(1+ecom_growth_rate)^4*platform_market_share*tx_take_rate*1000*3,0))-((IF((1500/(1+EXP(-adoption_steepness*(2028-adoption_midpoint)))*(1-0.1))&gt;=stage2_gate,ecom_market_base*(1+ecom_growth_rate)^4*platform_market_share*tx_take_rate*1000*3,0))*payment_proc_pct)-(capex_total+(33*30*12*(1+bhxh_rate)*(1+salary_escalation)^2*5)+(opex_marketing*(1+marketing_growth)^2*5)+(opex_cloud_base*5+(1500/(1+EXP(-adoption_steepness*(2028-adoption_midpoint)))*(1-0.1))*vcr_per_enterprise*12*cloud_per_1M_vcr/1000000*5)+((opex_branding+opex_external+opex_legal+opex_security+opex_partner_mgmt)*5)+(capex_total*capex_maintenance_pct*4)))*(1-cit_rate))/(1+discount_rate)^2.5</f>
        <v/>
      </c>
      <c r="D40" s="58">
        <f>((((1500/(1+EXP(-adoption_steepness*(2028-adoption_midpoint)))*(1-0.15))*(cert_fee_yr1*(1+cert_fee_escalation)^2.5+training_pct*training_fee+audit_fee)*5)+(IF((1500/(1+EXP(-adoption_steepness*(2028-adoption_midpoint)))*(1-0.15))&gt;=stage2_gate,ecom_market_base*(1+ecom_growth_rate)^4*platform_market_share*tx_take_rate*1000*3,0))-((IF((1500/(1+EXP(-adoption_steepness*(2028-adoption_midpoint)))*(1-0.15))&gt;=stage2_gate,ecom_market_base*(1+ecom_growth_rate)^4*platform_market_share*tx_take_rate*1000*3,0))*payment_proc_pct)-(capex_total+(33*30*12*(1+bhxh_rate)*(1+salary_escalation)^2*5)+(opex_marketing*(1+marketing_growth)^2*5)+(opex_cloud_base*5+(1500/(1+EXP(-adoption_steepness*(2028-adoption_midpoint)))*(1-0.15))*vcr_per_enterprise*12*cloud_per_1M_vcr/1000000*5)+((opex_branding+opex_external+opex_legal+opex_security+opex_partner_mgmt)*5)+(capex_total*capex_maintenance_pct*4)))*(1-cit_rate))/(1+discount_rate)^2.5</f>
        <v/>
      </c>
      <c r="E40" s="58">
        <f>((((1500/(1+EXP(-adoption_steepness*(2028-adoption_midpoint)))*(1-0.2))*(cert_fee_yr1*(1+cert_fee_escalation)^2.5+training_pct*training_fee+audit_fee)*5)+(IF((1500/(1+EXP(-adoption_steepness*(2028-adoption_midpoint)))*(1-0.2))&gt;=stage2_gate,ecom_market_base*(1+ecom_growth_rate)^4*platform_market_share*tx_take_rate*1000*3,0))-((IF((1500/(1+EXP(-adoption_steepness*(2028-adoption_midpoint)))*(1-0.2))&gt;=stage2_gate,ecom_market_base*(1+ecom_growth_rate)^4*platform_market_share*tx_take_rate*1000*3,0))*payment_proc_pct)-(capex_total+(33*30*12*(1+bhxh_rate)*(1+salary_escalation)^2*5)+(opex_marketing*(1+marketing_growth)^2*5)+(opex_cloud_base*5+(1500/(1+EXP(-adoption_steepness*(2028-adoption_midpoint)))*(1-0.2))*vcr_per_enterprise*12*cloud_per_1M_vcr/1000000*5)+((opex_branding+opex_external+opex_legal+opex_security+opex_partner_mgmt)*5)+(capex_total*capex_maintenance_pct*4)))*(1-cit_rate))/(1+discount_rate)^2.5</f>
        <v/>
      </c>
      <c r="F40" s="58">
        <f>((((1500/(1+EXP(-adoption_steepness*(2028-adoption_midpoint)))*(1-0.25))*(cert_fee_yr1*(1+cert_fee_escalation)^2.5+training_pct*training_fee+audit_fee)*5)+(IF((1500/(1+EXP(-adoption_steepness*(2028-adoption_midpoint)))*(1-0.25))&gt;=stage2_gate,ecom_market_base*(1+ecom_growth_rate)^4*platform_market_share*tx_take_rate*1000*3,0))-((IF((1500/(1+EXP(-adoption_steepness*(2028-adoption_midpoint)))*(1-0.25))&gt;=stage2_gate,ecom_market_base*(1+ecom_growth_rate)^4*platform_market_share*tx_take_rate*1000*3,0))*payment_proc_pct)-(capex_total+(33*30*12*(1+bhxh_rate)*(1+salary_escalation)^2*5)+(opex_marketing*(1+marketing_growth)^2*5)+(opex_cloud_base*5+(1500/(1+EXP(-adoption_steepness*(2028-adoption_midpoint)))*(1-0.25))*vcr_per_enterprise*12*cloud_per_1M_vcr/1000000*5)+((opex_branding+opex_external+opex_legal+opex_security+opex_partner_mgmt)*5)+(capex_total*capex_maintenance_pct*4)))*(1-cit_rate))/(1+discount_rate)^2.5</f>
        <v/>
      </c>
      <c r="G40" s="58">
        <f>((((1500/(1+EXP(-adoption_steepness*(2028-adoption_midpoint)))*(1-0.3))*(cert_fee_yr1*(1+cert_fee_escalation)^2.5+training_pct*training_fee+audit_fee)*5)+(IF((1500/(1+EXP(-adoption_steepness*(2028-adoption_midpoint)))*(1-0.3))&gt;=stage2_gate,ecom_market_base*(1+ecom_growth_rate)^4*platform_market_share*tx_take_rate*1000*3,0))-((IF((1500/(1+EXP(-adoption_steepness*(2028-adoption_midpoint)))*(1-0.3))&gt;=stage2_gate,ecom_market_base*(1+ecom_growth_rate)^4*platform_market_share*tx_take_rate*1000*3,0))*payment_proc_pct)-(capex_total+(33*30*12*(1+bhxh_rate)*(1+salary_escalation)^2*5)+(opex_marketing*(1+marketing_growth)^2*5)+(opex_cloud_base*5+(1500/(1+EXP(-adoption_steepness*(2028-adoption_midpoint)))*(1-0.3))*vcr_per_enterprise*12*cloud_per_1M_vcr/1000000*5)+((opex_branding+opex_external+opex_legal+opex_security+opex_partner_mgmt)*5)+(capex_total*capex_maintenance_pct*4)))*(1-cit_rate))/(1+discount_rate)^2.5</f>
        <v/>
      </c>
      <c r="H40" s="58">
        <f>((((1500/(1+EXP(-adoption_steepness*(2028-adoption_midpoint)))*(1-0.35))*(cert_fee_yr1*(1+cert_fee_escalation)^2.5+training_pct*training_fee+audit_fee)*5)+(IF((1500/(1+EXP(-adoption_steepness*(2028-adoption_midpoint)))*(1-0.35))&gt;=stage2_gate,ecom_market_base*(1+ecom_growth_rate)^4*platform_market_share*tx_take_rate*1000*3,0))-((IF((1500/(1+EXP(-adoption_steepness*(2028-adoption_midpoint)))*(1-0.35))&gt;=stage2_gate,ecom_market_base*(1+ecom_growth_rate)^4*platform_market_share*tx_take_rate*1000*3,0))*payment_proc_pct)-(capex_total+(33*30*12*(1+bhxh_rate)*(1+salary_escalation)^2*5)+(opex_marketing*(1+marketing_growth)^2*5)+(opex_cloud_base*5+(1500/(1+EXP(-adoption_steepness*(2028-adoption_midpoint)))*(1-0.35))*vcr_per_enterprise*12*cloud_per_1M_vcr/1000000*5)+((opex_branding+opex_external+opex_legal+opex_security+opex_partner_mgmt)*5)+(capex_total*capex_maintenance_pct*4)))*(1-cit_rate))/(1+discount_rate)^2.5</f>
        <v/>
      </c>
    </row>
    <row r="41">
      <c r="A41" s="57" t="n">
        <v>2000</v>
      </c>
      <c r="B41" s="58">
        <f>((((2000/(1+EXP(-adoption_steepness*(2028-adoption_midpoint)))*(1-0.05))*(cert_fee_yr1*(1+cert_fee_escalation)^2.5+training_pct*training_fee+audit_fee)*5)+(IF((2000/(1+EXP(-adoption_steepness*(2028-adoption_midpoint)))*(1-0.05))&gt;=stage2_gate,ecom_market_base*(1+ecom_growth_rate)^4*platform_market_share*tx_take_rate*1000*3,0))-((IF((2000/(1+EXP(-adoption_steepness*(2028-adoption_midpoint)))*(1-0.05))&gt;=stage2_gate,ecom_market_base*(1+ecom_growth_rate)^4*platform_market_share*tx_take_rate*1000*3,0))*payment_proc_pct)-(capex_total+(33*30*12*(1+bhxh_rate)*(1+salary_escalation)^2*5)+(opex_marketing*(1+marketing_growth)^2*5)+(opex_cloud_base*5+(2000/(1+EXP(-adoption_steepness*(2028-adoption_midpoint)))*(1-0.05))*vcr_per_enterprise*12*cloud_per_1M_vcr/1000000*5)+((opex_branding+opex_external+opex_legal+opex_security+opex_partner_mgmt)*5)+(capex_total*capex_maintenance_pct*4)))*(1-cit_rate))/(1+discount_rate)^2.5</f>
        <v/>
      </c>
      <c r="C41" s="58">
        <f>((((2000/(1+EXP(-adoption_steepness*(2028-adoption_midpoint)))*(1-0.1))*(cert_fee_yr1*(1+cert_fee_escalation)^2.5+training_pct*training_fee+audit_fee)*5)+(IF((2000/(1+EXP(-adoption_steepness*(2028-adoption_midpoint)))*(1-0.1))&gt;=stage2_gate,ecom_market_base*(1+ecom_growth_rate)^4*platform_market_share*tx_take_rate*1000*3,0))-((IF((2000/(1+EXP(-adoption_steepness*(2028-adoption_midpoint)))*(1-0.1))&gt;=stage2_gate,ecom_market_base*(1+ecom_growth_rate)^4*platform_market_share*tx_take_rate*1000*3,0))*payment_proc_pct)-(capex_total+(33*30*12*(1+bhxh_rate)*(1+salary_escalation)^2*5)+(opex_marketing*(1+marketing_growth)^2*5)+(opex_cloud_base*5+(2000/(1+EXP(-adoption_steepness*(2028-adoption_midpoint)))*(1-0.1))*vcr_per_enterprise*12*cloud_per_1M_vcr/1000000*5)+((opex_branding+opex_external+opex_legal+opex_security+opex_partner_mgmt)*5)+(capex_total*capex_maintenance_pct*4)))*(1-cit_rate))/(1+discount_rate)^2.5</f>
        <v/>
      </c>
      <c r="D41" s="58">
        <f>((((2000/(1+EXP(-adoption_steepness*(2028-adoption_midpoint)))*(1-0.15))*(cert_fee_yr1*(1+cert_fee_escalation)^2.5+training_pct*training_fee+audit_fee)*5)+(IF((2000/(1+EXP(-adoption_steepness*(2028-adoption_midpoint)))*(1-0.15))&gt;=stage2_gate,ecom_market_base*(1+ecom_growth_rate)^4*platform_market_share*tx_take_rate*1000*3,0))-((IF((2000/(1+EXP(-adoption_steepness*(2028-adoption_midpoint)))*(1-0.15))&gt;=stage2_gate,ecom_market_base*(1+ecom_growth_rate)^4*platform_market_share*tx_take_rate*1000*3,0))*payment_proc_pct)-(capex_total+(33*30*12*(1+bhxh_rate)*(1+salary_escalation)^2*5)+(opex_marketing*(1+marketing_growth)^2*5)+(opex_cloud_base*5+(2000/(1+EXP(-adoption_steepness*(2028-adoption_midpoint)))*(1-0.15))*vcr_per_enterprise*12*cloud_per_1M_vcr/1000000*5)+((opex_branding+opex_external+opex_legal+opex_security+opex_partner_mgmt)*5)+(capex_total*capex_maintenance_pct*4)))*(1-cit_rate))/(1+discount_rate)^2.5</f>
        <v/>
      </c>
      <c r="E41" s="58">
        <f>((((2000/(1+EXP(-adoption_steepness*(2028-adoption_midpoint)))*(1-0.2))*(cert_fee_yr1*(1+cert_fee_escalation)^2.5+training_pct*training_fee+audit_fee)*5)+(IF((2000/(1+EXP(-adoption_steepness*(2028-adoption_midpoint)))*(1-0.2))&gt;=stage2_gate,ecom_market_base*(1+ecom_growth_rate)^4*platform_market_share*tx_take_rate*1000*3,0))-((IF((2000/(1+EXP(-adoption_steepness*(2028-adoption_midpoint)))*(1-0.2))&gt;=stage2_gate,ecom_market_base*(1+ecom_growth_rate)^4*platform_market_share*tx_take_rate*1000*3,0))*payment_proc_pct)-(capex_total+(33*30*12*(1+bhxh_rate)*(1+salary_escalation)^2*5)+(opex_marketing*(1+marketing_growth)^2*5)+(opex_cloud_base*5+(2000/(1+EXP(-adoption_steepness*(2028-adoption_midpoint)))*(1-0.2))*vcr_per_enterprise*12*cloud_per_1M_vcr/1000000*5)+((opex_branding+opex_external+opex_legal+opex_security+opex_partner_mgmt)*5)+(capex_total*capex_maintenance_pct*4)))*(1-cit_rate))/(1+discount_rate)^2.5</f>
        <v/>
      </c>
      <c r="F41" s="58">
        <f>((((2000/(1+EXP(-adoption_steepness*(2028-adoption_midpoint)))*(1-0.25))*(cert_fee_yr1*(1+cert_fee_escalation)^2.5+training_pct*training_fee+audit_fee)*5)+(IF((2000/(1+EXP(-adoption_steepness*(2028-adoption_midpoint)))*(1-0.25))&gt;=stage2_gate,ecom_market_base*(1+ecom_growth_rate)^4*platform_market_share*tx_take_rate*1000*3,0))-((IF((2000/(1+EXP(-adoption_steepness*(2028-adoption_midpoint)))*(1-0.25))&gt;=stage2_gate,ecom_market_base*(1+ecom_growth_rate)^4*platform_market_share*tx_take_rate*1000*3,0))*payment_proc_pct)-(capex_total+(33*30*12*(1+bhxh_rate)*(1+salary_escalation)^2*5)+(opex_marketing*(1+marketing_growth)^2*5)+(opex_cloud_base*5+(2000/(1+EXP(-adoption_steepness*(2028-adoption_midpoint)))*(1-0.25))*vcr_per_enterprise*12*cloud_per_1M_vcr/1000000*5)+((opex_branding+opex_external+opex_legal+opex_security+opex_partner_mgmt)*5)+(capex_total*capex_maintenance_pct*4)))*(1-cit_rate))/(1+discount_rate)^2.5</f>
        <v/>
      </c>
      <c r="G41" s="58">
        <f>((((2000/(1+EXP(-adoption_steepness*(2028-adoption_midpoint)))*(1-0.3))*(cert_fee_yr1*(1+cert_fee_escalation)^2.5+training_pct*training_fee+audit_fee)*5)+(IF((2000/(1+EXP(-adoption_steepness*(2028-adoption_midpoint)))*(1-0.3))&gt;=stage2_gate,ecom_market_base*(1+ecom_growth_rate)^4*platform_market_share*tx_take_rate*1000*3,0))-((IF((2000/(1+EXP(-adoption_steepness*(2028-adoption_midpoint)))*(1-0.3))&gt;=stage2_gate,ecom_market_base*(1+ecom_growth_rate)^4*platform_market_share*tx_take_rate*1000*3,0))*payment_proc_pct)-(capex_total+(33*30*12*(1+bhxh_rate)*(1+salary_escalation)^2*5)+(opex_marketing*(1+marketing_growth)^2*5)+(opex_cloud_base*5+(2000/(1+EXP(-adoption_steepness*(2028-adoption_midpoint)))*(1-0.3))*vcr_per_enterprise*12*cloud_per_1M_vcr/1000000*5)+((opex_branding+opex_external+opex_legal+opex_security+opex_partner_mgmt)*5)+(capex_total*capex_maintenance_pct*4)))*(1-cit_rate))/(1+discount_rate)^2.5</f>
        <v/>
      </c>
      <c r="H41" s="58">
        <f>((((2000/(1+EXP(-adoption_steepness*(2028-adoption_midpoint)))*(1-0.35))*(cert_fee_yr1*(1+cert_fee_escalation)^2.5+training_pct*training_fee+audit_fee)*5)+(IF((2000/(1+EXP(-adoption_steepness*(2028-adoption_midpoint)))*(1-0.35))&gt;=stage2_gate,ecom_market_base*(1+ecom_growth_rate)^4*platform_market_share*tx_take_rate*1000*3,0))-((IF((2000/(1+EXP(-adoption_steepness*(2028-adoption_midpoint)))*(1-0.35))&gt;=stage2_gate,ecom_market_base*(1+ecom_growth_rate)^4*platform_market_share*tx_take_rate*1000*3,0))*payment_proc_pct)-(capex_total+(33*30*12*(1+bhxh_rate)*(1+salary_escalation)^2*5)+(opex_marketing*(1+marketing_growth)^2*5)+(opex_cloud_base*5+(2000/(1+EXP(-adoption_steepness*(2028-adoption_midpoint)))*(1-0.35))*vcr_per_enterprise*12*cloud_per_1M_vcr/1000000*5)+((opex_branding+opex_external+opex_legal+opex_security+opex_partner_mgmt)*5)+(capex_total*capex_maintenance_pct*4)))*(1-cit_rate))/(1+discount_rate)^2.5</f>
        <v/>
      </c>
    </row>
    <row r="42">
      <c r="A42" s="57" t="n">
        <v>3000</v>
      </c>
      <c r="B42" s="58">
        <f>((((3000/(1+EXP(-adoption_steepness*(2028-adoption_midpoint)))*(1-0.05))*(cert_fee_yr1*(1+cert_fee_escalation)^2.5+training_pct*training_fee+audit_fee)*5)+(IF((3000/(1+EXP(-adoption_steepness*(2028-adoption_midpoint)))*(1-0.05))&gt;=stage2_gate,ecom_market_base*(1+ecom_growth_rate)^4*platform_market_share*tx_take_rate*1000*3,0))-((IF((3000/(1+EXP(-adoption_steepness*(2028-adoption_midpoint)))*(1-0.05))&gt;=stage2_gate,ecom_market_base*(1+ecom_growth_rate)^4*platform_market_share*tx_take_rate*1000*3,0))*payment_proc_pct)-(capex_total+(33*30*12*(1+bhxh_rate)*(1+salary_escalation)^2*5)+(opex_marketing*(1+marketing_growth)^2*5)+(opex_cloud_base*5+(3000/(1+EXP(-adoption_steepness*(2028-adoption_midpoint)))*(1-0.05))*vcr_per_enterprise*12*cloud_per_1M_vcr/1000000*5)+((opex_branding+opex_external+opex_legal+opex_security+opex_partner_mgmt)*5)+(capex_total*capex_maintenance_pct*4)))*(1-cit_rate))/(1+discount_rate)^2.5</f>
        <v/>
      </c>
      <c r="C42" s="58">
        <f>((((3000/(1+EXP(-adoption_steepness*(2028-adoption_midpoint)))*(1-0.1))*(cert_fee_yr1*(1+cert_fee_escalation)^2.5+training_pct*training_fee+audit_fee)*5)+(IF((3000/(1+EXP(-adoption_steepness*(2028-adoption_midpoint)))*(1-0.1))&gt;=stage2_gate,ecom_market_base*(1+ecom_growth_rate)^4*platform_market_share*tx_take_rate*1000*3,0))-((IF((3000/(1+EXP(-adoption_steepness*(2028-adoption_midpoint)))*(1-0.1))&gt;=stage2_gate,ecom_market_base*(1+ecom_growth_rate)^4*platform_market_share*tx_take_rate*1000*3,0))*payment_proc_pct)-(capex_total+(33*30*12*(1+bhxh_rate)*(1+salary_escalation)^2*5)+(opex_marketing*(1+marketing_growth)^2*5)+(opex_cloud_base*5+(3000/(1+EXP(-adoption_steepness*(2028-adoption_midpoint)))*(1-0.1))*vcr_per_enterprise*12*cloud_per_1M_vcr/1000000*5)+((opex_branding+opex_external+opex_legal+opex_security+opex_partner_mgmt)*5)+(capex_total*capex_maintenance_pct*4)))*(1-cit_rate))/(1+discount_rate)^2.5</f>
        <v/>
      </c>
      <c r="D42" s="58">
        <f>((((3000/(1+EXP(-adoption_steepness*(2028-adoption_midpoint)))*(1-0.15))*(cert_fee_yr1*(1+cert_fee_escalation)^2.5+training_pct*training_fee+audit_fee)*5)+(IF((3000/(1+EXP(-adoption_steepness*(2028-adoption_midpoint)))*(1-0.15))&gt;=stage2_gate,ecom_market_base*(1+ecom_growth_rate)^4*platform_market_share*tx_take_rate*1000*3,0))-((IF((3000/(1+EXP(-adoption_steepness*(2028-adoption_midpoint)))*(1-0.15))&gt;=stage2_gate,ecom_market_base*(1+ecom_growth_rate)^4*platform_market_share*tx_take_rate*1000*3,0))*payment_proc_pct)-(capex_total+(33*30*12*(1+bhxh_rate)*(1+salary_escalation)^2*5)+(opex_marketing*(1+marketing_growth)^2*5)+(opex_cloud_base*5+(3000/(1+EXP(-adoption_steepness*(2028-adoption_midpoint)))*(1-0.15))*vcr_per_enterprise*12*cloud_per_1M_vcr/1000000*5)+((opex_branding+opex_external+opex_legal+opex_security+opex_partner_mgmt)*5)+(capex_total*capex_maintenance_pct*4)))*(1-cit_rate))/(1+discount_rate)^2.5</f>
        <v/>
      </c>
      <c r="E42" s="58">
        <f>((((3000/(1+EXP(-adoption_steepness*(2028-adoption_midpoint)))*(1-0.2))*(cert_fee_yr1*(1+cert_fee_escalation)^2.5+training_pct*training_fee+audit_fee)*5)+(IF((3000/(1+EXP(-adoption_steepness*(2028-adoption_midpoint)))*(1-0.2))&gt;=stage2_gate,ecom_market_base*(1+ecom_growth_rate)^4*platform_market_share*tx_take_rate*1000*3,0))-((IF((3000/(1+EXP(-adoption_steepness*(2028-adoption_midpoint)))*(1-0.2))&gt;=stage2_gate,ecom_market_base*(1+ecom_growth_rate)^4*platform_market_share*tx_take_rate*1000*3,0))*payment_proc_pct)-(capex_total+(33*30*12*(1+bhxh_rate)*(1+salary_escalation)^2*5)+(opex_marketing*(1+marketing_growth)^2*5)+(opex_cloud_base*5+(3000/(1+EXP(-adoption_steepness*(2028-adoption_midpoint)))*(1-0.2))*vcr_per_enterprise*12*cloud_per_1M_vcr/1000000*5)+((opex_branding+opex_external+opex_legal+opex_security+opex_partner_mgmt)*5)+(capex_total*capex_maintenance_pct*4)))*(1-cit_rate))/(1+discount_rate)^2.5</f>
        <v/>
      </c>
      <c r="F42" s="58">
        <f>((((3000/(1+EXP(-adoption_steepness*(2028-adoption_midpoint)))*(1-0.25))*(cert_fee_yr1*(1+cert_fee_escalation)^2.5+training_pct*training_fee+audit_fee)*5)+(IF((3000/(1+EXP(-adoption_steepness*(2028-adoption_midpoint)))*(1-0.25))&gt;=stage2_gate,ecom_market_base*(1+ecom_growth_rate)^4*platform_market_share*tx_take_rate*1000*3,0))-((IF((3000/(1+EXP(-adoption_steepness*(2028-adoption_midpoint)))*(1-0.25))&gt;=stage2_gate,ecom_market_base*(1+ecom_growth_rate)^4*platform_market_share*tx_take_rate*1000*3,0))*payment_proc_pct)-(capex_total+(33*30*12*(1+bhxh_rate)*(1+salary_escalation)^2*5)+(opex_marketing*(1+marketing_growth)^2*5)+(opex_cloud_base*5+(3000/(1+EXP(-adoption_steepness*(2028-adoption_midpoint)))*(1-0.25))*vcr_per_enterprise*12*cloud_per_1M_vcr/1000000*5)+((opex_branding+opex_external+opex_legal+opex_security+opex_partner_mgmt)*5)+(capex_total*capex_maintenance_pct*4)))*(1-cit_rate))/(1+discount_rate)^2.5</f>
        <v/>
      </c>
      <c r="G42" s="58">
        <f>((((3000/(1+EXP(-adoption_steepness*(2028-adoption_midpoint)))*(1-0.3))*(cert_fee_yr1*(1+cert_fee_escalation)^2.5+training_pct*training_fee+audit_fee)*5)+(IF((3000/(1+EXP(-adoption_steepness*(2028-adoption_midpoint)))*(1-0.3))&gt;=stage2_gate,ecom_market_base*(1+ecom_growth_rate)^4*platform_market_share*tx_take_rate*1000*3,0))-((IF((3000/(1+EXP(-adoption_steepness*(2028-adoption_midpoint)))*(1-0.3))&gt;=stage2_gate,ecom_market_base*(1+ecom_growth_rate)^4*platform_market_share*tx_take_rate*1000*3,0))*payment_proc_pct)-(capex_total+(33*30*12*(1+bhxh_rate)*(1+salary_escalation)^2*5)+(opex_marketing*(1+marketing_growth)^2*5)+(opex_cloud_base*5+(3000/(1+EXP(-adoption_steepness*(2028-adoption_midpoint)))*(1-0.3))*vcr_per_enterprise*12*cloud_per_1M_vcr/1000000*5)+((opex_branding+opex_external+opex_legal+opex_security+opex_partner_mgmt)*5)+(capex_total*capex_maintenance_pct*4)))*(1-cit_rate))/(1+discount_rate)^2.5</f>
        <v/>
      </c>
      <c r="H42" s="58">
        <f>((((3000/(1+EXP(-adoption_steepness*(2028-adoption_midpoint)))*(1-0.35))*(cert_fee_yr1*(1+cert_fee_escalation)^2.5+training_pct*training_fee+audit_fee)*5)+(IF((3000/(1+EXP(-adoption_steepness*(2028-adoption_midpoint)))*(1-0.35))&gt;=stage2_gate,ecom_market_base*(1+ecom_growth_rate)^4*platform_market_share*tx_take_rate*1000*3,0))-((IF((3000/(1+EXP(-adoption_steepness*(2028-adoption_midpoint)))*(1-0.35))&gt;=stage2_gate,ecom_market_base*(1+ecom_growth_rate)^4*platform_market_share*tx_take_rate*1000*3,0))*payment_proc_pct)-(capex_total+(33*30*12*(1+bhxh_rate)*(1+salary_escalation)^2*5)+(opex_marketing*(1+marketing_growth)^2*5)+(opex_cloud_base*5+(3000/(1+EXP(-adoption_steepness*(2028-adoption_midpoint)))*(1-0.35))*vcr_per_enterprise*12*cloud_per_1M_vcr/1000000*5)+((opex_branding+opex_external+opex_legal+opex_security+opex_partner_mgmt)*5)+(capex_total*capex_maintenance_pct*4)))*(1-cit_rate))/(1+discount_rate)^2.5</f>
        <v/>
      </c>
    </row>
    <row r="45">
      <c r="A45" s="70" t="inlineStr">
        <is>
          <t>TWO-WAY NPV: platform_market_share × discount_rate (Tr VND)</t>
        </is>
      </c>
      <c r="B45" s="92" t="n"/>
      <c r="C45" s="92" t="n"/>
      <c r="D45" s="92" t="n"/>
      <c r="E45" s="92" t="n"/>
      <c r="F45" s="92" t="n"/>
      <c r="G45" s="92" t="n"/>
      <c r="H45" s="92" t="n"/>
      <c r="I45" s="93" t="n"/>
    </row>
    <row r="46">
      <c r="A46" s="50" t="inlineStr">
        <is>
          <t>mkt_share ↓ \ WACC →</t>
        </is>
      </c>
      <c r="B46" s="59" t="n">
        <v>0.08</v>
      </c>
      <c r="C46" s="59" t="n">
        <v>0.1</v>
      </c>
      <c r="D46" s="59" t="n">
        <v>0.12</v>
      </c>
      <c r="E46" s="59" t="n">
        <v>0.15</v>
      </c>
      <c r="F46" s="59" t="n">
        <v>0.18</v>
      </c>
      <c r="G46" s="59" t="n">
        <v>0.2</v>
      </c>
      <c r="H46" s="59" t="n">
        <v>0.25</v>
      </c>
    </row>
    <row r="47">
      <c r="A47" s="60" t="n">
        <v>0.001</v>
      </c>
      <c r="B47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0.001*tx_take_rate*1000*3,0))-((IF((adoption_max/(1+EXP(-adoption_steepness*(2028-adoption_midpoint)))*(1-churn_rate))&gt;=stage2_gate,ecom_market_base*(1+ecom_growth_rate)^4*0.001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+0.08)^2.5</f>
        <v/>
      </c>
      <c r="C47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0.001*tx_take_rate*1000*3,0))-((IF((adoption_max/(1+EXP(-adoption_steepness*(2028-adoption_midpoint)))*(1-churn_rate))&gt;=stage2_gate,ecom_market_base*(1+ecom_growth_rate)^4*0.001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+0.1)^2.5</f>
        <v/>
      </c>
      <c r="D47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0.001*tx_take_rate*1000*3,0))-((IF((adoption_max/(1+EXP(-adoption_steepness*(2028-adoption_midpoint)))*(1-churn_rate))&gt;=stage2_gate,ecom_market_base*(1+ecom_growth_rate)^4*0.001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+0.12)^2.5</f>
        <v/>
      </c>
      <c r="E47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0.001*tx_take_rate*1000*3,0))-((IF((adoption_max/(1+EXP(-adoption_steepness*(2028-adoption_midpoint)))*(1-churn_rate))&gt;=stage2_gate,ecom_market_base*(1+ecom_growth_rate)^4*0.001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+0.15)^2.5</f>
        <v/>
      </c>
      <c r="F47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0.001*tx_take_rate*1000*3,0))-((IF((adoption_max/(1+EXP(-adoption_steepness*(2028-adoption_midpoint)))*(1-churn_rate))&gt;=stage2_gate,ecom_market_base*(1+ecom_growth_rate)^4*0.001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+0.18)^2.5</f>
        <v/>
      </c>
      <c r="G47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0.001*tx_take_rate*1000*3,0))-((IF((adoption_max/(1+EXP(-adoption_steepness*(2028-adoption_midpoint)))*(1-churn_rate))&gt;=stage2_gate,ecom_market_base*(1+ecom_growth_rate)^4*0.001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+0.2)^2.5</f>
        <v/>
      </c>
      <c r="H47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0.001*tx_take_rate*1000*3,0))-((IF((adoption_max/(1+EXP(-adoption_steepness*(2028-adoption_midpoint)))*(1-churn_rate))&gt;=stage2_gate,ecom_market_base*(1+ecom_growth_rate)^4*0.001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+0.25)^2.5</f>
        <v/>
      </c>
    </row>
    <row r="48">
      <c r="A48" s="60" t="n">
        <v>0.003</v>
      </c>
      <c r="B48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0.003*tx_take_rate*1000*3,0))-((IF((adoption_max/(1+EXP(-adoption_steepness*(2028-adoption_midpoint)))*(1-churn_rate))&gt;=stage2_gate,ecom_market_base*(1+ecom_growth_rate)^4*0.003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+0.08)^2.5</f>
        <v/>
      </c>
      <c r="C48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0.003*tx_take_rate*1000*3,0))-((IF((adoption_max/(1+EXP(-adoption_steepness*(2028-adoption_midpoint)))*(1-churn_rate))&gt;=stage2_gate,ecom_market_base*(1+ecom_growth_rate)^4*0.003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+0.1)^2.5</f>
        <v/>
      </c>
      <c r="D48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0.003*tx_take_rate*1000*3,0))-((IF((adoption_max/(1+EXP(-adoption_steepness*(2028-adoption_midpoint)))*(1-churn_rate))&gt;=stage2_gate,ecom_market_base*(1+ecom_growth_rate)^4*0.003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+0.12)^2.5</f>
        <v/>
      </c>
      <c r="E48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0.003*tx_take_rate*1000*3,0))-((IF((adoption_max/(1+EXP(-adoption_steepness*(2028-adoption_midpoint)))*(1-churn_rate))&gt;=stage2_gate,ecom_market_base*(1+ecom_growth_rate)^4*0.003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+0.15)^2.5</f>
        <v/>
      </c>
      <c r="F48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0.003*tx_take_rate*1000*3,0))-((IF((adoption_max/(1+EXP(-adoption_steepness*(2028-adoption_midpoint)))*(1-churn_rate))&gt;=stage2_gate,ecom_market_base*(1+ecom_growth_rate)^4*0.003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+0.18)^2.5</f>
        <v/>
      </c>
      <c r="G48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0.003*tx_take_rate*1000*3,0))-((IF((adoption_max/(1+EXP(-adoption_steepness*(2028-adoption_midpoint)))*(1-churn_rate))&gt;=stage2_gate,ecom_market_base*(1+ecom_growth_rate)^4*0.003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+0.2)^2.5</f>
        <v/>
      </c>
      <c r="H48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0.003*tx_take_rate*1000*3,0))-((IF((adoption_max/(1+EXP(-adoption_steepness*(2028-adoption_midpoint)))*(1-churn_rate))&gt;=stage2_gate,ecom_market_base*(1+ecom_growth_rate)^4*0.003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+0.25)^2.5</f>
        <v/>
      </c>
    </row>
    <row r="49">
      <c r="A49" s="60" t="n">
        <v>0.005</v>
      </c>
      <c r="B49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0.005*tx_take_rate*1000*3,0))-((IF((adoption_max/(1+EXP(-adoption_steepness*(2028-adoption_midpoint)))*(1-churn_rate))&gt;=stage2_gate,ecom_market_base*(1+ecom_growth_rate)^4*0.005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+0.08)^2.5</f>
        <v/>
      </c>
      <c r="C49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0.005*tx_take_rate*1000*3,0))-((IF((adoption_max/(1+EXP(-adoption_steepness*(2028-adoption_midpoint)))*(1-churn_rate))&gt;=stage2_gate,ecom_market_base*(1+ecom_growth_rate)^4*0.005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+0.1)^2.5</f>
        <v/>
      </c>
      <c r="D49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0.005*tx_take_rate*1000*3,0))-((IF((adoption_max/(1+EXP(-adoption_steepness*(2028-adoption_midpoint)))*(1-churn_rate))&gt;=stage2_gate,ecom_market_base*(1+ecom_growth_rate)^4*0.005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+0.12)^2.5</f>
        <v/>
      </c>
      <c r="E49" s="52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0.005*tx_take_rate*1000*3,0))-((IF((adoption_max/(1+EXP(-adoption_steepness*(2028-adoption_midpoint)))*(1-churn_rate))&gt;=stage2_gate,ecom_market_base*(1+ecom_growth_rate)^4*0.005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+0.15)^2.5</f>
        <v/>
      </c>
      <c r="F49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0.005*tx_take_rate*1000*3,0))-((IF((adoption_max/(1+EXP(-adoption_steepness*(2028-adoption_midpoint)))*(1-churn_rate))&gt;=stage2_gate,ecom_market_base*(1+ecom_growth_rate)^4*0.005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+0.18)^2.5</f>
        <v/>
      </c>
      <c r="G49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0.005*tx_take_rate*1000*3,0))-((IF((adoption_max/(1+EXP(-adoption_steepness*(2028-adoption_midpoint)))*(1-churn_rate))&gt;=stage2_gate,ecom_market_base*(1+ecom_growth_rate)^4*0.005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+0.2)^2.5</f>
        <v/>
      </c>
      <c r="H49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0.005*tx_take_rate*1000*3,0))-((IF((adoption_max/(1+EXP(-adoption_steepness*(2028-adoption_midpoint)))*(1-churn_rate))&gt;=stage2_gate,ecom_market_base*(1+ecom_growth_rate)^4*0.005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+0.25)^2.5</f>
        <v/>
      </c>
    </row>
    <row r="50">
      <c r="A50" s="60" t="n">
        <v>0.008</v>
      </c>
      <c r="B50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0.008*tx_take_rate*1000*3,0))-((IF((adoption_max/(1+EXP(-adoption_steepness*(2028-adoption_midpoint)))*(1-churn_rate))&gt;=stage2_gate,ecom_market_base*(1+ecom_growth_rate)^4*0.008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+0.08)^2.5</f>
        <v/>
      </c>
      <c r="C50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0.008*tx_take_rate*1000*3,0))-((IF((adoption_max/(1+EXP(-adoption_steepness*(2028-adoption_midpoint)))*(1-churn_rate))&gt;=stage2_gate,ecom_market_base*(1+ecom_growth_rate)^4*0.008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+0.1)^2.5</f>
        <v/>
      </c>
      <c r="D50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0.008*tx_take_rate*1000*3,0))-((IF((adoption_max/(1+EXP(-adoption_steepness*(2028-adoption_midpoint)))*(1-churn_rate))&gt;=stage2_gate,ecom_market_base*(1+ecom_growth_rate)^4*0.008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+0.12)^2.5</f>
        <v/>
      </c>
      <c r="E50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0.008*tx_take_rate*1000*3,0))-((IF((adoption_max/(1+EXP(-adoption_steepness*(2028-adoption_midpoint)))*(1-churn_rate))&gt;=stage2_gate,ecom_market_base*(1+ecom_growth_rate)^4*0.008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+0.15)^2.5</f>
        <v/>
      </c>
      <c r="F50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0.008*tx_take_rate*1000*3,0))-((IF((adoption_max/(1+EXP(-adoption_steepness*(2028-adoption_midpoint)))*(1-churn_rate))&gt;=stage2_gate,ecom_market_base*(1+ecom_growth_rate)^4*0.008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+0.18)^2.5</f>
        <v/>
      </c>
      <c r="G50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0.008*tx_take_rate*1000*3,0))-((IF((adoption_max/(1+EXP(-adoption_steepness*(2028-adoption_midpoint)))*(1-churn_rate))&gt;=stage2_gate,ecom_market_base*(1+ecom_growth_rate)^4*0.008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+0.2)^2.5</f>
        <v/>
      </c>
      <c r="H50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0.008*tx_take_rate*1000*3,0))-((IF((adoption_max/(1+EXP(-adoption_steepness*(2028-adoption_midpoint)))*(1-churn_rate))&gt;=stage2_gate,ecom_market_base*(1+ecom_growth_rate)^4*0.008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+0.25)^2.5</f>
        <v/>
      </c>
    </row>
    <row r="51">
      <c r="A51" s="60" t="n">
        <v>0.01</v>
      </c>
      <c r="B51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0.01*tx_take_rate*1000*3,0))-((IF((adoption_max/(1+EXP(-adoption_steepness*(2028-adoption_midpoint)))*(1-churn_rate))&gt;=stage2_gate,ecom_market_base*(1+ecom_growth_rate)^4*0.01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+0.08)^2.5</f>
        <v/>
      </c>
      <c r="C51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0.01*tx_take_rate*1000*3,0))-((IF((adoption_max/(1+EXP(-adoption_steepness*(2028-adoption_midpoint)))*(1-churn_rate))&gt;=stage2_gate,ecom_market_base*(1+ecom_growth_rate)^4*0.01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+0.1)^2.5</f>
        <v/>
      </c>
      <c r="D51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0.01*tx_take_rate*1000*3,0))-((IF((adoption_max/(1+EXP(-adoption_steepness*(2028-adoption_midpoint)))*(1-churn_rate))&gt;=stage2_gate,ecom_market_base*(1+ecom_growth_rate)^4*0.01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+0.12)^2.5</f>
        <v/>
      </c>
      <c r="E51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0.01*tx_take_rate*1000*3,0))-((IF((adoption_max/(1+EXP(-adoption_steepness*(2028-adoption_midpoint)))*(1-churn_rate))&gt;=stage2_gate,ecom_market_base*(1+ecom_growth_rate)^4*0.01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+0.15)^2.5</f>
        <v/>
      </c>
      <c r="F51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0.01*tx_take_rate*1000*3,0))-((IF((adoption_max/(1+EXP(-adoption_steepness*(2028-adoption_midpoint)))*(1-churn_rate))&gt;=stage2_gate,ecom_market_base*(1+ecom_growth_rate)^4*0.01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+0.18)^2.5</f>
        <v/>
      </c>
      <c r="G51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0.01*tx_take_rate*1000*3,0))-((IF((adoption_max/(1+EXP(-adoption_steepness*(2028-adoption_midpoint)))*(1-churn_rate))&gt;=stage2_gate,ecom_market_base*(1+ecom_growth_rate)^4*0.01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+0.2)^2.5</f>
        <v/>
      </c>
      <c r="H51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0.01*tx_take_rate*1000*3,0))-((IF((adoption_max/(1+EXP(-adoption_steepness*(2028-adoption_midpoint)))*(1-churn_rate))&gt;=stage2_gate,ecom_market_base*(1+ecom_growth_rate)^4*0.01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+0.25)^2.5</f>
        <v/>
      </c>
    </row>
    <row r="52">
      <c r="A52" s="60" t="n">
        <v>0.015</v>
      </c>
      <c r="B52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0.015*tx_take_rate*1000*3,0))-((IF((adoption_max/(1+EXP(-adoption_steepness*(2028-adoption_midpoint)))*(1-churn_rate))&gt;=stage2_gate,ecom_market_base*(1+ecom_growth_rate)^4*0.015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+0.08)^2.5</f>
        <v/>
      </c>
      <c r="C52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0.015*tx_take_rate*1000*3,0))-((IF((adoption_max/(1+EXP(-adoption_steepness*(2028-adoption_midpoint)))*(1-churn_rate))&gt;=stage2_gate,ecom_market_base*(1+ecom_growth_rate)^4*0.015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+0.1)^2.5</f>
        <v/>
      </c>
      <c r="D52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0.015*tx_take_rate*1000*3,0))-((IF((adoption_max/(1+EXP(-adoption_steepness*(2028-adoption_midpoint)))*(1-churn_rate))&gt;=stage2_gate,ecom_market_base*(1+ecom_growth_rate)^4*0.015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+0.12)^2.5</f>
        <v/>
      </c>
      <c r="E52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0.015*tx_take_rate*1000*3,0))-((IF((adoption_max/(1+EXP(-adoption_steepness*(2028-adoption_midpoint)))*(1-churn_rate))&gt;=stage2_gate,ecom_market_base*(1+ecom_growth_rate)^4*0.015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+0.15)^2.5</f>
        <v/>
      </c>
      <c r="F52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0.015*tx_take_rate*1000*3,0))-((IF((adoption_max/(1+EXP(-adoption_steepness*(2028-adoption_midpoint)))*(1-churn_rate))&gt;=stage2_gate,ecom_market_base*(1+ecom_growth_rate)^4*0.015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+0.18)^2.5</f>
        <v/>
      </c>
      <c r="G52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0.015*tx_take_rate*1000*3,0))-((IF((adoption_max/(1+EXP(-adoption_steepness*(2028-adoption_midpoint)))*(1-churn_rate))&gt;=stage2_gate,ecom_market_base*(1+ecom_growth_rate)^4*0.015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+0.2)^2.5</f>
        <v/>
      </c>
      <c r="H52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0.015*tx_take_rate*1000*3,0))-((IF((adoption_max/(1+EXP(-adoption_steepness*(2028-adoption_midpoint)))*(1-churn_rate))&gt;=stage2_gate,ecom_market_base*(1+ecom_growth_rate)^4*0.015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+0.25)^2.5</f>
        <v/>
      </c>
    </row>
    <row r="53">
      <c r="A53" s="60" t="n">
        <v>0.02</v>
      </c>
      <c r="B53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0.02*tx_take_rate*1000*3,0))-((IF((adoption_max/(1+EXP(-adoption_steepness*(2028-adoption_midpoint)))*(1-churn_rate))&gt;=stage2_gate,ecom_market_base*(1+ecom_growth_rate)^4*0.02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+0.08)^2.5</f>
        <v/>
      </c>
      <c r="C53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0.02*tx_take_rate*1000*3,0))-((IF((adoption_max/(1+EXP(-adoption_steepness*(2028-adoption_midpoint)))*(1-churn_rate))&gt;=stage2_gate,ecom_market_base*(1+ecom_growth_rate)^4*0.02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+0.1)^2.5</f>
        <v/>
      </c>
      <c r="D53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0.02*tx_take_rate*1000*3,0))-((IF((adoption_max/(1+EXP(-adoption_steepness*(2028-adoption_midpoint)))*(1-churn_rate))&gt;=stage2_gate,ecom_market_base*(1+ecom_growth_rate)^4*0.02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+0.12)^2.5</f>
        <v/>
      </c>
      <c r="E53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0.02*tx_take_rate*1000*3,0))-((IF((adoption_max/(1+EXP(-adoption_steepness*(2028-adoption_midpoint)))*(1-churn_rate))&gt;=stage2_gate,ecom_market_base*(1+ecom_growth_rate)^4*0.02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+0.15)^2.5</f>
        <v/>
      </c>
      <c r="F53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0.02*tx_take_rate*1000*3,0))-((IF((adoption_max/(1+EXP(-adoption_steepness*(2028-adoption_midpoint)))*(1-churn_rate))&gt;=stage2_gate,ecom_market_base*(1+ecom_growth_rate)^4*0.02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+0.18)^2.5</f>
        <v/>
      </c>
      <c r="G53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0.02*tx_take_rate*1000*3,0))-((IF((adoption_max/(1+EXP(-adoption_steepness*(2028-adoption_midpoint)))*(1-churn_rate))&gt;=stage2_gate,ecom_market_base*(1+ecom_growth_rate)^4*0.02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+0.2)^2.5</f>
        <v/>
      </c>
      <c r="H53" s="58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0.02*tx_take_rate*1000*3,0))-((IF((adoption_max/(1+EXP(-adoption_steepness*(2028-adoption_midpoint)))*(1-churn_rate))&gt;=stage2_gate,ecom_market_base*(1+ecom_growth_rate)^4*0.02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+0.25)^2.5</f>
        <v/>
      </c>
    </row>
    <row r="56">
      <c r="A56" s="70" t="inlineStr">
        <is>
          <t>NOTES</t>
        </is>
      </c>
      <c r="B56" s="92" t="n"/>
      <c r="C56" s="92" t="n"/>
      <c r="D56" s="92" t="n"/>
      <c r="E56" s="92" t="n"/>
      <c r="F56" s="92" t="n"/>
      <c r="G56" s="92" t="n"/>
      <c r="H56" s="92" t="n"/>
      <c r="I56" s="93" t="n"/>
    </row>
    <row r="57">
      <c r="A57" s="69" t="inlineStr">
        <is>
          <t>• All NPV values are APPROXIMATE (simplified 5-year model using midpoint averages).</t>
        </is>
      </c>
    </row>
    <row r="58">
      <c r="A58" s="69" t="inlineStr">
        <is>
          <t>• For exact NPV: change values in Assumptions sheet → read 'DCF &amp; Returns' NPV cell.</t>
        </is>
      </c>
    </row>
    <row r="59">
      <c r="A59" s="69" t="inlineStr">
        <is>
          <t>• Green highlighted cells = BASE CASE (current assumptions).</t>
        </is>
      </c>
    </row>
    <row r="60">
      <c r="A60" s="69" t="inlineStr">
        <is>
          <t>• All formulas use named ranges from Assumptions — change a param → tables recalculate.</t>
        </is>
      </c>
    </row>
    <row r="61">
      <c r="A61" s="69" t="inlineStr">
        <is>
          <t>• HR avg headcount estimated at 33 (weighted average 2025-2030). Actual model uses period-by-period.</t>
        </is>
      </c>
    </row>
    <row r="62">
      <c r="A62" s="69" t="inlineStr">
        <is>
          <t>• Stage 2 revenue assumed active for ~3 years (2028-2030) when enterprises exceed gate.</t>
        </is>
      </c>
    </row>
  </sheetData>
  <mergeCells count="12">
    <mergeCell ref="A59:I59"/>
    <mergeCell ref="A57:I57"/>
    <mergeCell ref="A19:I19"/>
    <mergeCell ref="A60:I60"/>
    <mergeCell ref="A32:I32"/>
    <mergeCell ref="A1:I1"/>
    <mergeCell ref="A45:I45"/>
    <mergeCell ref="A56:I56"/>
    <mergeCell ref="A61:I61"/>
    <mergeCell ref="A3:I3"/>
    <mergeCell ref="A58:I58"/>
    <mergeCell ref="A62:I6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FFC000"/>
    <outlinePr summaryBelow="1" summaryRight="1"/>
    <pageSetUpPr/>
  </sheetPr>
  <dimension ref="A1:F95"/>
  <sheetViews>
    <sheetView topLeftCell="A10" workbookViewId="0">
      <selection activeCell="B15" sqref="B15"/>
    </sheetView>
  </sheetViews>
  <sheetFormatPr baseColWidth="8" defaultRowHeight="14.4"/>
  <cols>
    <col width="32" customWidth="1" style="62" min="1" max="1"/>
    <col width="16" customWidth="1" style="62" min="2" max="6"/>
  </cols>
  <sheetData>
    <row r="1">
      <c r="A1" s="97" t="inlineStr">
        <is>
          <t>SCENARIO ANALYSIS</t>
        </is>
      </c>
      <c r="B1" s="92" t="n"/>
      <c r="C1" s="92" t="n"/>
      <c r="D1" s="92" t="n"/>
      <c r="E1" s="92" t="n"/>
      <c r="F1" s="93" t="n"/>
    </row>
    <row r="2">
      <c r="A2" s="1" t="inlineStr">
        <is>
          <t>Copy values from a column into Assumptions.</t>
        </is>
      </c>
    </row>
    <row r="4">
      <c r="A4" s="3" t="inlineStr">
        <is>
          <t>Parameter</t>
        </is>
      </c>
      <c r="B4" s="3" t="inlineStr">
        <is>
          <t>WORST</t>
        </is>
      </c>
      <c r="C4" s="3" t="inlineStr">
        <is>
          <t>BEAR</t>
        </is>
      </c>
      <c r="D4" s="3" t="inlineStr">
        <is>
          <t>BASE</t>
        </is>
      </c>
      <c r="E4" s="3" t="inlineStr">
        <is>
          <t>BULL</t>
        </is>
      </c>
      <c r="F4" s="3" t="inlineStr">
        <is>
          <t>BEST</t>
        </is>
      </c>
    </row>
    <row r="5">
      <c r="A5" s="4" t="inlineStr">
        <is>
          <t>adoption_max</t>
        </is>
      </c>
      <c r="B5" s="18" t="n">
        <v>200</v>
      </c>
      <c r="C5" s="19" t="n">
        <v>600</v>
      </c>
      <c r="D5" s="9">
        <f>adoption_max</f>
        <v/>
      </c>
      <c r="E5" s="19" t="n">
        <v>2000</v>
      </c>
      <c r="F5" s="20" t="n">
        <v>3500</v>
      </c>
    </row>
    <row r="6">
      <c r="A6" s="4" t="inlineStr">
        <is>
          <t>adoption_steepness</t>
        </is>
      </c>
      <c r="B6" s="21" t="n">
        <v>0.5</v>
      </c>
      <c r="C6" s="22" t="n">
        <v>0.7</v>
      </c>
      <c r="D6" s="23">
        <f>adoption_steepness</f>
        <v/>
      </c>
      <c r="E6" s="22" t="n">
        <v>1.2</v>
      </c>
      <c r="F6" s="24" t="n">
        <v>1.5</v>
      </c>
    </row>
    <row r="7">
      <c r="A7" s="4" t="inlineStr">
        <is>
          <t>churn_rate</t>
        </is>
      </c>
      <c r="B7" s="21" t="n">
        <v>0.35</v>
      </c>
      <c r="C7" s="22" t="n">
        <v>0.25</v>
      </c>
      <c r="D7" s="23">
        <f>churn_rate</f>
        <v/>
      </c>
      <c r="E7" s="22" t="n">
        <v>0.15</v>
      </c>
      <c r="F7" s="24" t="n">
        <v>0.1</v>
      </c>
    </row>
    <row r="8">
      <c r="A8" s="4" t="inlineStr">
        <is>
          <t>platform_market_share</t>
        </is>
      </c>
      <c r="B8" s="21" t="n">
        <v>0.001</v>
      </c>
      <c r="C8" s="22" t="n">
        <v>0.003</v>
      </c>
      <c r="D8" s="23">
        <f>platform_market_share</f>
        <v/>
      </c>
      <c r="E8" s="22" t="n">
        <v>0.01</v>
      </c>
      <c r="F8" s="24" t="n">
        <v>0.02</v>
      </c>
    </row>
    <row r="9">
      <c r="A9" s="4" t="inlineStr">
        <is>
          <t>cert_fee_yr1</t>
        </is>
      </c>
      <c r="B9" s="18" t="n">
        <v>15</v>
      </c>
      <c r="C9" s="19" t="n">
        <v>20</v>
      </c>
      <c r="D9" s="9">
        <f>cert_fee_yr1</f>
        <v/>
      </c>
      <c r="E9" s="19" t="n">
        <v>30</v>
      </c>
      <c r="F9" s="20" t="n">
        <v>40</v>
      </c>
    </row>
    <row r="10">
      <c r="A10" s="4" t="inlineStr">
        <is>
          <t>cert_fee_escalation</t>
        </is>
      </c>
      <c r="B10" s="21" t="n">
        <v>0</v>
      </c>
      <c r="C10" s="22" t="n">
        <v>0.03</v>
      </c>
      <c r="D10" s="23">
        <f>cert_fee_escalation</f>
        <v/>
      </c>
      <c r="E10" s="22" t="n">
        <v>0.08</v>
      </c>
      <c r="F10" s="24" t="n">
        <v>0.12</v>
      </c>
    </row>
    <row r="11">
      <c r="A11" s="4" t="inlineStr">
        <is>
          <t>tx_take_rate</t>
        </is>
      </c>
      <c r="B11" s="21" t="n">
        <v>0.01</v>
      </c>
      <c r="C11" s="22" t="n">
        <v>0.015</v>
      </c>
      <c r="D11" s="23">
        <f>tx_take_rate</f>
        <v/>
      </c>
      <c r="E11" s="22" t="n">
        <v>0.025</v>
      </c>
      <c r="F11" s="24" t="n">
        <v>0.03</v>
      </c>
    </row>
    <row r="12">
      <c r="A12" s="4" t="inlineStr">
        <is>
          <t>opex_marketing</t>
        </is>
      </c>
      <c r="B12" s="18" t="n">
        <v>8000</v>
      </c>
      <c r="C12" s="19" t="n">
        <v>7500</v>
      </c>
      <c r="D12" s="9">
        <f>opex_marketing</f>
        <v/>
      </c>
      <c r="E12" s="19" t="n">
        <v>6000</v>
      </c>
      <c r="F12" s="20" t="n">
        <v>5000</v>
      </c>
    </row>
    <row r="13">
      <c r="A13" s="4" t="inlineStr">
        <is>
          <t>discount_rate</t>
        </is>
      </c>
      <c r="B13" s="21" t="n">
        <v>0.2</v>
      </c>
      <c r="C13" s="22" t="n">
        <v>0.18</v>
      </c>
      <c r="D13" s="23">
        <f>discount_rate</f>
        <v/>
      </c>
      <c r="E13" s="22" t="n">
        <v>0.12</v>
      </c>
      <c r="F13" s="24" t="n">
        <v>0.1</v>
      </c>
    </row>
    <row r="14">
      <c r="A14" s="4" t="inlineStr">
        <is>
          <t>stage2_gate</t>
        </is>
      </c>
      <c r="B14" s="18" t="n">
        <v>500</v>
      </c>
      <c r="C14" s="19" t="n">
        <v>400</v>
      </c>
      <c r="D14" s="9">
        <f>stage2_gate</f>
        <v/>
      </c>
      <c r="E14" s="19" t="n">
        <v>200</v>
      </c>
      <c r="F14" s="20" t="n">
        <v>150</v>
      </c>
    </row>
    <row r="17">
      <c r="A17" s="75" t="inlineStr">
        <is>
          <t>🔑 KEY DRIVERS — WHAT AFFECTS NPV/IRR THE MOST</t>
        </is>
      </c>
    </row>
    <row r="19">
      <c r="A19" s="79" t="inlineStr">
        <is>
          <t>The model's NPV and IRR are most sensitive to these 3 factors, in order of impact:</t>
        </is>
      </c>
    </row>
    <row r="21">
      <c r="A21" s="77" t="inlineStr">
        <is>
          <t>1. ADOPTION MAX (adoption_max) — #1 DRIVER</t>
        </is>
      </c>
    </row>
    <row r="22">
      <c r="A22" s="74" t="inlineStr">
        <is>
          <t xml:space="preserve">  This is the S-curve ceiling: maximum enterprises that will ever certify.</t>
        </is>
      </c>
    </row>
    <row r="23">
      <c r="A23" s="74" t="inlineStr">
        <is>
          <t xml:space="preserve">  Every revenue stream depends on enterprise count. Cert fees, training, audit — all linear to enterprises.</t>
        </is>
      </c>
    </row>
    <row r="24">
      <c r="A24" s="74" t="inlineStr">
        <is>
          <t xml:space="preserve">  Stage 2 (transaction fees, DaaS, ads) also depends on crossing the gate threshold.</t>
        </is>
      </c>
    </row>
    <row r="25">
      <c r="A25" s="74" t="inlineStr">
        <is>
          <t xml:space="preserve">  Doubling adoption_max roughly doubles total revenue while costs only grow ~30-40%.</t>
        </is>
      </c>
    </row>
    <row r="26">
      <c r="A26" s="74" t="inlineStr">
        <is>
          <t xml:space="preserve">  → Worst: 200 = project never gains traction. Best: 3,500 = becomes the standard.</t>
        </is>
      </c>
    </row>
    <row r="28">
      <c r="A28" s="77" t="inlineStr">
        <is>
          <t>2. PLATFORM MARKET SHARE (platform_market_share) — #2 DRIVER</t>
        </is>
      </c>
    </row>
    <row r="29">
      <c r="A29" s="74" t="inlineStr">
        <is>
          <t xml:space="preserve">  % of Vietnam's e-tourism GMV that flows through the VV platform.</t>
        </is>
      </c>
    </row>
    <row r="30">
      <c r="A30" s="74" t="inlineStr">
        <is>
          <t xml:space="preserve">  Vietnam e-tourism = ~82,500 Bn VND (2025), growing 8%/yr → ~121,000 Bn by 2030.</t>
        </is>
      </c>
    </row>
    <row r="31">
      <c r="A31" s="74" t="inlineStr">
        <is>
          <t xml:space="preserve">  Even 0.1% difference = 121 Bn VND difference in GMV → 2.4 Bn in tx fees at 2% take rate.</t>
        </is>
      </c>
    </row>
    <row r="32">
      <c r="A32" s="74" t="inlineStr">
        <is>
          <t xml:space="preserve">  This only activates in Stage 2 (after hitting gate), so impact shows in later years.</t>
        </is>
      </c>
    </row>
    <row r="33">
      <c r="A33" s="74" t="inlineStr">
        <is>
          <t xml:space="preserve">  → Worst: 0.1% = niche player. Best: 2% = dominant platform (similar to v2's broken assumption).</t>
        </is>
      </c>
    </row>
    <row r="35">
      <c r="A35" s="77" t="inlineStr">
        <is>
          <t>3. CHURN RATE (churn_rate) — #3 DRIVER</t>
        </is>
      </c>
    </row>
    <row r="36">
      <c r="A36" s="74" t="inlineStr">
        <is>
          <t xml:space="preserve">  % of certified enterprises that don't renew each year.</t>
        </is>
      </c>
    </row>
    <row r="37">
      <c r="A37" s="74" t="inlineStr">
        <is>
          <t xml:space="preserve">  High churn means constantly replacing lost enterprises — growth slows, costs don't drop.</t>
        </is>
      </c>
    </row>
    <row r="38">
      <c r="A38" s="74" t="inlineStr">
        <is>
          <t xml:space="preserve">  At 35% churn: need 35 new signups/yr per 100 just to stay flat. Very expensive.</t>
        </is>
      </c>
    </row>
    <row r="39">
      <c r="A39" s="74" t="inlineStr">
        <is>
          <t xml:space="preserve">  At 10% churn: compound growth accelerates, LTV per enterprise increases.</t>
        </is>
      </c>
    </row>
    <row r="40">
      <c r="A40" s="74" t="inlineStr">
        <is>
          <t xml:space="preserve">  → Worst: 35% = certification has low perceived value. Best: 10% = sticky, high-value.</t>
        </is>
      </c>
    </row>
    <row r="43">
      <c r="A43" s="75" t="inlineStr">
        <is>
          <t>📖 DETAILED SCENARIO NARRATIVES</t>
        </is>
      </c>
    </row>
    <row r="45">
      <c r="A45" s="82" t="inlineStr">
        <is>
          <t>WORST CASE — 'Failed Launch'</t>
        </is>
      </c>
    </row>
    <row r="46">
      <c r="A46" s="74" t="inlineStr">
        <is>
          <t xml:space="preserve">  Only 200 enterprises adopt over 5 years. Market sees no value in certification.</t>
        </is>
      </c>
    </row>
    <row r="47">
      <c r="A47" s="74" t="inlineStr">
        <is>
          <t xml:space="preserve">  Stage 2 never activates (200 &lt; 300 gate). Revenue = cert fees only, from tiny base.</t>
        </is>
      </c>
    </row>
    <row r="48">
      <c r="A48" s="74" t="inlineStr">
        <is>
          <t xml:space="preserve">  High churn 35% means even the few adopters leave. High marketing spend with no return.</t>
        </is>
      </c>
    </row>
    <row r="49">
      <c r="A49" s="74" t="inlineStr">
        <is>
          <t xml:space="preserve">  Discount rate 20% reflects extreme risk. Project is a net loss.</t>
        </is>
      </c>
    </row>
    <row r="50">
      <c r="A50" s="74" t="inlineStr">
        <is>
          <t xml:space="preserve">  Likely outcome: Project shut down after 2-3 years. Total loss = initial CAPEX + operating losses.</t>
        </is>
      </c>
    </row>
    <row r="52">
      <c r="A52" s="78" t="inlineStr">
        <is>
          <t>BEAR CASE — 'Slow Burn'</t>
        </is>
      </c>
    </row>
    <row r="53">
      <c r="A53" s="74" t="inlineStr">
        <is>
          <t xml:space="preserve">  600 enterprises over 5 years. Certification gains some recognition but growth is slow.</t>
        </is>
      </c>
    </row>
    <row r="54">
      <c r="A54" s="74" t="inlineStr">
        <is>
          <t xml:space="preserve">  Stage 2 activates late (600 &gt; 300 gate) but with only 0.3% market share, modest tx revenue.</t>
        </is>
      </c>
    </row>
    <row r="55">
      <c r="A55" s="74" t="inlineStr">
        <is>
          <t xml:space="preserve">  25% churn means 1 in 4 enterprises don't renew — need strong sales to maintain.</t>
        </is>
      </c>
    </row>
    <row r="56">
      <c r="A56" s="74" t="inlineStr">
        <is>
          <t xml:space="preserve">  Model may break even operationally by 2029-2030 but NPV is near zero or slightly negative.</t>
        </is>
      </c>
    </row>
    <row r="57">
      <c r="A57" s="74" t="inlineStr">
        <is>
          <t xml:space="preserve">  Likely outcome: Survives but requires ongoing subsidy. Marginal returns.</t>
        </is>
      </c>
    </row>
    <row r="59">
      <c r="A59" s="77" t="inlineStr">
        <is>
          <t>BASE CASE — 'Realistic Growth' (Current Assumptions)</t>
        </is>
      </c>
    </row>
    <row r="60">
      <c r="A60" s="74" t="inlineStr">
        <is>
          <t xml:space="preserve">  1,200 enterprises by 2030 (3% of SAM). Certification becomes recognized in the market.</t>
        </is>
      </c>
    </row>
    <row r="61">
      <c r="A61" s="74" t="inlineStr">
        <is>
          <t xml:space="preserve">  Stage 2 activates in 2027-2028 with 0.5% market share — meaningful but not dominant.</t>
        </is>
      </c>
    </row>
    <row r="62">
      <c r="A62" s="74" t="inlineStr">
        <is>
          <t xml:space="preserve">  20% churn is realistic for B2B subscription services in Vietnam.</t>
        </is>
      </c>
    </row>
    <row r="63">
      <c r="A63" s="74" t="inlineStr">
        <is>
          <t xml:space="preserve">  WACC 15% reflects startup risk in a developing market.</t>
        </is>
      </c>
    </row>
    <row r="64">
      <c r="A64" s="74" t="inlineStr">
        <is>
          <t xml:space="preserve">  Breakeven expected around 2027-2028. Positive cumulative CF by 2029-2030.</t>
        </is>
      </c>
    </row>
    <row r="65">
      <c r="A65" s="74" t="inlineStr">
        <is>
          <t xml:space="preserve">  Likely outcome: Viable business generating moderate returns.</t>
        </is>
      </c>
    </row>
    <row r="67">
      <c r="A67" s="80" t="inlineStr">
        <is>
          <t>BULL CASE — 'Strong Adoption'</t>
        </is>
      </c>
    </row>
    <row r="68">
      <c r="A68" s="74" t="inlineStr">
        <is>
          <t xml:space="preserve">  2,000 enterprises = 5% of SAM. VV certification becomes a market differentiator.</t>
        </is>
      </c>
    </row>
    <row r="69">
      <c r="A69" s="74" t="inlineStr">
        <is>
          <t xml:space="preserve">  Stage 2 activates early with 1% market share. Transaction revenue becomes significant.</t>
        </is>
      </c>
    </row>
    <row r="70">
      <c r="A70" s="74" t="inlineStr">
        <is>
          <t xml:space="preserve">  15% churn shows certification has real value. Enterprises renew because it drives business.</t>
        </is>
      </c>
    </row>
    <row r="71">
      <c r="A71" s="74" t="inlineStr">
        <is>
          <t xml:space="preserve">  Lower WACC 12% reflects proven business model.</t>
        </is>
      </c>
    </row>
    <row r="72">
      <c r="A72" s="74" t="inlineStr">
        <is>
          <t xml:space="preserve">  Strong returns with meaningful IRR. Could attract follow-on investment.</t>
        </is>
      </c>
    </row>
    <row r="73">
      <c r="A73" s="74" t="inlineStr">
        <is>
          <t xml:space="preserve">  Likely outcome: Attractive business. Consider geographic expansion.</t>
        </is>
      </c>
    </row>
    <row r="75">
      <c r="A75" s="76" t="inlineStr">
        <is>
          <t>BEST CASE — 'Market Leader'</t>
        </is>
      </c>
    </row>
    <row r="76">
      <c r="A76" s="74" t="inlineStr">
        <is>
          <t xml:space="preserve">  3,500 enterprises = 8.75% of SAM. VV becomes THE certification standard for Vietnam tourism.</t>
        </is>
      </c>
    </row>
    <row r="77">
      <c r="A77" s="74" t="inlineStr">
        <is>
          <t xml:space="preserve">  2% market share in e-tourism = dominant platform position.</t>
        </is>
      </c>
    </row>
    <row r="78">
      <c r="A78" s="74" t="inlineStr">
        <is>
          <t xml:space="preserve">  10% churn = extremely sticky product. Enterprises can't afford NOT to have it.</t>
        </is>
      </c>
    </row>
    <row r="79">
      <c r="A79" s="74" t="inlineStr">
        <is>
          <t xml:space="preserve">  Government adoption or mandated certification would push toward this scenario.</t>
        </is>
      </c>
    </row>
    <row r="80">
      <c r="A80" s="74" t="inlineStr">
        <is>
          <t xml:space="preserve">  Outstanding returns. Platform effects create a moat.</t>
        </is>
      </c>
    </row>
    <row r="81">
      <c r="A81" s="74" t="inlineStr">
        <is>
          <t xml:space="preserve">  Likely outcome: IPO-ready or acquisition target. Regional expansion to SE Asia.</t>
        </is>
      </c>
    </row>
    <row r="84">
      <c r="A84" s="75" t="inlineStr">
        <is>
          <t>📊 SECONDARY DRIVERS (moderate impact)</t>
        </is>
      </c>
    </row>
    <row r="86">
      <c r="A86" s="74" t="inlineStr">
        <is>
          <t>4. Cert fee level (cert_fee_yr1) — direct impact on Stage 1 revenue</t>
        </is>
      </c>
    </row>
    <row r="87">
      <c r="A87" s="74" t="inlineStr">
        <is>
          <t xml:space="preserve">   ↳ 15M vs 40M = 2.67x revenue difference, but too high → increases churn</t>
        </is>
      </c>
    </row>
    <row r="88">
      <c r="A88" s="74" t="inlineStr">
        <is>
          <t>5. Cert fee escalation — compound effect over 5 years</t>
        </is>
      </c>
    </row>
    <row r="89">
      <c r="A89" s="74" t="inlineStr">
        <is>
          <t xml:space="preserve">   ↳ 0% vs 12% = at 1000 ent, difference of 2.3B/yr by 2030</t>
        </is>
      </c>
    </row>
    <row r="90">
      <c r="A90" s="74" t="inlineStr">
        <is>
          <t>6. Marketing spend — indirect: drives adoption speed, but is a cost</t>
        </is>
      </c>
    </row>
    <row r="91">
      <c r="A91" s="74" t="inlineStr">
        <is>
          <t xml:space="preserve">   ↳ 5000M vs 8000M/yr = 3B/yr cost difference. Must justify with faster adoption</t>
        </is>
      </c>
    </row>
    <row r="92">
      <c r="A92" s="74" t="inlineStr">
        <is>
          <t>7. Discount rate — changes present value of future cash flows</t>
        </is>
      </c>
    </row>
    <row r="93">
      <c r="A93" s="74" t="inlineStr">
        <is>
          <t xml:space="preserve">   ↳ 10% vs 20% = can flip NPV from positive to negative on same cash flows</t>
        </is>
      </c>
    </row>
    <row r="94">
      <c r="A94" s="74" t="inlineStr">
        <is>
          <t>8. Stage 2 gate — when transaction revenue kicks in</t>
        </is>
      </c>
    </row>
    <row r="95">
      <c r="A95" s="74" t="inlineStr">
        <is>
          <t xml:space="preserve">   ↳ 150 vs 500 gate = 1-2 year difference in Stage 2 activation</t>
        </is>
      </c>
    </row>
  </sheetData>
  <mergeCells count="66">
    <mergeCell ref="A54:F54"/>
    <mergeCell ref="A46:F46"/>
    <mergeCell ref="A90:F90"/>
    <mergeCell ref="A84:F84"/>
    <mergeCell ref="A80:F80"/>
    <mergeCell ref="A37:F37"/>
    <mergeCell ref="A75:F75"/>
    <mergeCell ref="A89:F89"/>
    <mergeCell ref="A50:F50"/>
    <mergeCell ref="A56:F56"/>
    <mergeCell ref="A26:F26"/>
    <mergeCell ref="A21:F21"/>
    <mergeCell ref="A55:F55"/>
    <mergeCell ref="A86:F86"/>
    <mergeCell ref="A57:F57"/>
    <mergeCell ref="A95:F95"/>
    <mergeCell ref="A33:F33"/>
    <mergeCell ref="A71:F71"/>
    <mergeCell ref="A47:F47"/>
    <mergeCell ref="A76:F76"/>
    <mergeCell ref="A23:F23"/>
    <mergeCell ref="A32:F32"/>
    <mergeCell ref="A22:F22"/>
    <mergeCell ref="A17:F17"/>
    <mergeCell ref="A35:F35"/>
    <mergeCell ref="A25:F25"/>
    <mergeCell ref="A62:F62"/>
    <mergeCell ref="A53:F53"/>
    <mergeCell ref="A72:F72"/>
    <mergeCell ref="A29:F29"/>
    <mergeCell ref="A91:F91"/>
    <mergeCell ref="A43:F43"/>
    <mergeCell ref="A38:F38"/>
    <mergeCell ref="A81:F81"/>
    <mergeCell ref="A63:F63"/>
    <mergeCell ref="A52:F52"/>
    <mergeCell ref="A28:F28"/>
    <mergeCell ref="A93:F93"/>
    <mergeCell ref="A19:F19"/>
    <mergeCell ref="A68:F68"/>
    <mergeCell ref="A67:F67"/>
    <mergeCell ref="A31:F31"/>
    <mergeCell ref="A40:F40"/>
    <mergeCell ref="A48:F48"/>
    <mergeCell ref="A92:F92"/>
    <mergeCell ref="A30:F30"/>
    <mergeCell ref="A39:F39"/>
    <mergeCell ref="A77:F77"/>
    <mergeCell ref="A64:F64"/>
    <mergeCell ref="A59:F59"/>
    <mergeCell ref="A73:F73"/>
    <mergeCell ref="A24:F24"/>
    <mergeCell ref="A49:F49"/>
    <mergeCell ref="A60:F60"/>
    <mergeCell ref="A36:F36"/>
    <mergeCell ref="A94:F94"/>
    <mergeCell ref="A1:F1"/>
    <mergeCell ref="A45:F45"/>
    <mergeCell ref="A70:F70"/>
    <mergeCell ref="A79:F79"/>
    <mergeCell ref="A61:F61"/>
    <mergeCell ref="A88:F88"/>
    <mergeCell ref="A78:F78"/>
    <mergeCell ref="A69:F69"/>
    <mergeCell ref="A87:F87"/>
    <mergeCell ref="A65:F6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4472C4"/>
    <outlinePr summaryBelow="1" summaryRight="1"/>
    <pageSetUpPr/>
  </sheetPr>
  <dimension ref="A1:I4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RowHeight="14.4"/>
  <cols>
    <col width="35" customWidth="1" style="62" min="1" max="1"/>
    <col width="12" customWidth="1" style="62" min="2" max="8"/>
    <col width="14" customWidth="1" style="62" min="9" max="9"/>
  </cols>
  <sheetData>
    <row r="1">
      <c r="A1" s="29" t="inlineStr">
        <is>
          <t>BUDGET 2025 (M VND)</t>
        </is>
      </c>
    </row>
    <row r="3">
      <c r="A3" s="3" t="inlineStr">
        <is>
          <t>Item</t>
        </is>
      </c>
      <c r="B3" s="3" t="inlineStr">
        <is>
          <t>Unit</t>
        </is>
      </c>
      <c r="C3" s="3" t="inlineStr">
        <is>
          <t>Jul</t>
        </is>
      </c>
      <c r="D3" s="3" t="inlineStr">
        <is>
          <t>Aug</t>
        </is>
      </c>
      <c r="E3" s="3" t="inlineStr">
        <is>
          <t>Sep</t>
        </is>
      </c>
      <c r="F3" s="3" t="inlineStr">
        <is>
          <t>Oct</t>
        </is>
      </c>
      <c r="G3" s="3" t="inlineStr">
        <is>
          <t>Nov</t>
        </is>
      </c>
      <c r="H3" s="3" t="inlineStr">
        <is>
          <t>Dec</t>
        </is>
      </c>
      <c r="I3" s="3" t="inlineStr">
        <is>
          <t>TOTAL</t>
        </is>
      </c>
    </row>
    <row r="4">
      <c r="A4" s="29" t="inlineStr">
        <is>
          <t>REVENUE</t>
        </is>
      </c>
      <c r="C4" s="11" t="n"/>
      <c r="D4" s="11" t="n"/>
      <c r="E4" s="11" t="n"/>
      <c r="F4" s="11" t="n"/>
      <c r="G4" s="11" t="n"/>
      <c r="H4" s="11" t="n"/>
      <c r="I4" s="11" t="n"/>
    </row>
    <row r="5">
      <c r="A5" s="4" t="inlineStr">
        <is>
          <t xml:space="preserve">  Cert fees</t>
        </is>
      </c>
      <c r="B5" s="4" t="inlineStr">
        <is>
          <t>M VND</t>
        </is>
      </c>
      <c r="C5" s="10">
        <f>MAX(pilot_count,adoption_max/(1+EXP(-adoption_steepness*(2025.542-adoption_midpoint))))*cert_fee_yr1*(1+cert_fee_escalation)^0/12</f>
        <v/>
      </c>
      <c r="D5" s="10">
        <f>MAX(pilot_count,adoption_max/(1+EXP(-adoption_steepness*(2025.625-adoption_midpoint))))*cert_fee_yr1*(1+cert_fee_escalation)^0/12</f>
        <v/>
      </c>
      <c r="E5" s="10">
        <f>MAX(pilot_count,adoption_max/(1+EXP(-adoption_steepness*(2025.708-adoption_midpoint))))*cert_fee_yr1*(1+cert_fee_escalation)^0/12</f>
        <v/>
      </c>
      <c r="F5" s="10">
        <f>MAX(pilot_count,adoption_max/(1+EXP(-adoption_steepness*(2025.792-adoption_midpoint))))*cert_fee_yr1*(1+cert_fee_escalation)^0/12</f>
        <v/>
      </c>
      <c r="G5" s="10">
        <f>MAX(pilot_count,adoption_max/(1+EXP(-adoption_steepness*(2025.875-adoption_midpoint))))*cert_fee_yr1*(1+cert_fee_escalation)^0/12</f>
        <v/>
      </c>
      <c r="H5" s="10">
        <f>MAX(pilot_count,adoption_max/(1+EXP(-adoption_steepness*(2025.958-adoption_midpoint))))*cert_fee_yr1*(1+cert_fee_escalation)^0/12</f>
        <v/>
      </c>
      <c r="I5" s="9">
        <f>SUM(C5:H5)</f>
        <v/>
      </c>
    </row>
    <row r="6">
      <c r="A6" s="4" t="inlineStr">
        <is>
          <t xml:space="preserve">  Training</t>
        </is>
      </c>
      <c r="B6" s="4" t="inlineStr">
        <is>
          <t>M VND</t>
        </is>
      </c>
      <c r="C6" s="10">
        <f>MAX(pilot_count,adoption_max/(1+EXP(-adoption_steepness*(2025.542-adoption_midpoint))))*training_pct*training_fee/12</f>
        <v/>
      </c>
      <c r="D6" s="10">
        <f>MAX(pilot_count,adoption_max/(1+EXP(-adoption_steepness*(2025.625-adoption_midpoint))))*training_pct*training_fee/12</f>
        <v/>
      </c>
      <c r="E6" s="10">
        <f>MAX(pilot_count,adoption_max/(1+EXP(-adoption_steepness*(2025.708-adoption_midpoint))))*training_pct*training_fee/12</f>
        <v/>
      </c>
      <c r="F6" s="10">
        <f>MAX(pilot_count,adoption_max/(1+EXP(-adoption_steepness*(2025.792-adoption_midpoint))))*training_pct*training_fee/12</f>
        <v/>
      </c>
      <c r="G6" s="10">
        <f>MAX(pilot_count,adoption_max/(1+EXP(-adoption_steepness*(2025.875-adoption_midpoint))))*training_pct*training_fee/12</f>
        <v/>
      </c>
      <c r="H6" s="10">
        <f>MAX(pilot_count,adoption_max/(1+EXP(-adoption_steepness*(2025.958-adoption_midpoint))))*training_pct*training_fee/12</f>
        <v/>
      </c>
      <c r="I6" s="9">
        <f>SUM(C6:H6)</f>
        <v/>
      </c>
    </row>
    <row r="7">
      <c r="A7" s="4" t="inlineStr">
        <is>
          <t xml:space="preserve">  Audit</t>
        </is>
      </c>
      <c r="B7" s="4" t="inlineStr">
        <is>
          <t>M VND</t>
        </is>
      </c>
      <c r="C7" s="10">
        <f>MAX(pilot_count,adoption_max/(1+EXP(-adoption_steepness*(2025.542-adoption_midpoint))))*audit_fee/12</f>
        <v/>
      </c>
      <c r="D7" s="10">
        <f>MAX(pilot_count,adoption_max/(1+EXP(-adoption_steepness*(2025.625-adoption_midpoint))))*audit_fee/12</f>
        <v/>
      </c>
      <c r="E7" s="10">
        <f>MAX(pilot_count,adoption_max/(1+EXP(-adoption_steepness*(2025.708-adoption_midpoint))))*audit_fee/12</f>
        <v/>
      </c>
      <c r="F7" s="10">
        <f>MAX(pilot_count,adoption_max/(1+EXP(-adoption_steepness*(2025.792-adoption_midpoint))))*audit_fee/12</f>
        <v/>
      </c>
      <c r="G7" s="10">
        <f>MAX(pilot_count,adoption_max/(1+EXP(-adoption_steepness*(2025.875-adoption_midpoint))))*audit_fee/12</f>
        <v/>
      </c>
      <c r="H7" s="10">
        <f>MAX(pilot_count,adoption_max/(1+EXP(-adoption_steepness*(2025.958-adoption_midpoint))))*audit_fee/12</f>
        <v/>
      </c>
      <c r="I7" s="9">
        <f>SUM(C7:H7)</f>
        <v/>
      </c>
    </row>
    <row r="8">
      <c r="A8" s="4" t="inlineStr">
        <is>
          <t>TOTAL REVENUE</t>
        </is>
      </c>
      <c r="C8" s="9">
        <f>SUM(C5:C7)</f>
        <v/>
      </c>
      <c r="D8" s="9">
        <f>SUM(D5:D7)</f>
        <v/>
      </c>
      <c r="E8" s="9">
        <f>SUM(E5:E7)</f>
        <v/>
      </c>
      <c r="F8" s="9">
        <f>SUM(F5:F7)</f>
        <v/>
      </c>
      <c r="G8" s="9">
        <f>SUM(G5:G7)</f>
        <v/>
      </c>
      <c r="H8" s="9">
        <f>SUM(H5:H7)</f>
        <v/>
      </c>
      <c r="I8" s="9">
        <f>SUM(C8:H8)</f>
        <v/>
      </c>
    </row>
    <row r="10">
      <c r="A10" s="29" t="inlineStr">
        <is>
          <t>CAPEX</t>
        </is>
      </c>
      <c r="C10" s="11" t="n"/>
      <c r="D10" s="11" t="n"/>
      <c r="E10" s="11" t="n"/>
      <c r="F10" s="11" t="n"/>
      <c r="G10" s="11" t="n"/>
      <c r="H10" s="11" t="n"/>
      <c r="I10" s="11" t="n"/>
    </row>
    <row r="11">
      <c r="A11" s="4" t="inlineStr">
        <is>
          <t xml:space="preserve">  Cloud setup</t>
        </is>
      </c>
      <c r="B11" s="4" t="inlineStr">
        <is>
          <t>M VND</t>
        </is>
      </c>
      <c r="C11" s="10">
        <f>capex_cloud_setup/6</f>
        <v/>
      </c>
      <c r="D11" s="10">
        <f>capex_cloud_setup/6</f>
        <v/>
      </c>
      <c r="E11" s="10">
        <f>capex_cloud_setup/6</f>
        <v/>
      </c>
      <c r="F11" s="10">
        <f>capex_cloud_setup/6</f>
        <v/>
      </c>
      <c r="G11" s="10">
        <f>capex_cloud_setup/6</f>
        <v/>
      </c>
      <c r="H11" s="10">
        <f>capex_cloud_setup/6</f>
        <v/>
      </c>
      <c r="I11" s="9">
        <f>SUM(C11:H11)</f>
        <v/>
      </c>
    </row>
    <row r="12">
      <c r="A12" s="4" t="inlineStr">
        <is>
          <t xml:space="preserve">  Backend dev</t>
        </is>
      </c>
      <c r="B12" s="4" t="inlineStr">
        <is>
          <t>M VND</t>
        </is>
      </c>
      <c r="C12" s="10">
        <f>capex_backend/6</f>
        <v/>
      </c>
      <c r="D12" s="10">
        <f>capex_backend/6</f>
        <v/>
      </c>
      <c r="E12" s="10">
        <f>capex_backend/6</f>
        <v/>
      </c>
      <c r="F12" s="10">
        <f>capex_backend/6</f>
        <v/>
      </c>
      <c r="G12" s="10">
        <f>capex_backend/6</f>
        <v/>
      </c>
      <c r="H12" s="10">
        <f>capex_backend/6</f>
        <v/>
      </c>
      <c r="I12" s="9">
        <f>SUM(C12:H12)</f>
        <v/>
      </c>
    </row>
    <row r="13">
      <c r="A13" s="4" t="inlineStr">
        <is>
          <t xml:space="preserve">  Frontend+mobile</t>
        </is>
      </c>
      <c r="B13" s="4" t="inlineStr">
        <is>
          <t>M VND</t>
        </is>
      </c>
      <c r="C13" s="10">
        <f>capex_frontend/6</f>
        <v/>
      </c>
      <c r="D13" s="10">
        <f>capex_frontend/6</f>
        <v/>
      </c>
      <c r="E13" s="10">
        <f>capex_frontend/6</f>
        <v/>
      </c>
      <c r="F13" s="10">
        <f>capex_frontend/6</f>
        <v/>
      </c>
      <c r="G13" s="10">
        <f>capex_frontend/6</f>
        <v/>
      </c>
      <c r="H13" s="10">
        <f>capex_frontend/6</f>
        <v/>
      </c>
      <c r="I13" s="9">
        <f>SUM(C13:H13)</f>
        <v/>
      </c>
    </row>
    <row r="14">
      <c r="A14" s="4" t="inlineStr">
        <is>
          <t xml:space="preserve">  Data platform</t>
        </is>
      </c>
      <c r="B14" s="4" t="inlineStr">
        <is>
          <t>M VND</t>
        </is>
      </c>
      <c r="C14" s="10">
        <f>capex_data_platform/6</f>
        <v/>
      </c>
      <c r="D14" s="10">
        <f>capex_data_platform/6</f>
        <v/>
      </c>
      <c r="E14" s="10">
        <f>capex_data_platform/6</f>
        <v/>
      </c>
      <c r="F14" s="10">
        <f>capex_data_platform/6</f>
        <v/>
      </c>
      <c r="G14" s="10">
        <f>capex_data_platform/6</f>
        <v/>
      </c>
      <c r="H14" s="10">
        <f>capex_data_platform/6</f>
        <v/>
      </c>
      <c r="I14" s="9">
        <f>SUM(C14:H14)</f>
        <v/>
      </c>
    </row>
    <row r="15">
      <c r="A15" s="4" t="inlineStr">
        <is>
          <t xml:space="preserve">  Security</t>
        </is>
      </c>
      <c r="B15" s="4" t="inlineStr">
        <is>
          <t>M VND</t>
        </is>
      </c>
      <c r="C15" s="10">
        <f>capex_security_setup/6</f>
        <v/>
      </c>
      <c r="D15" s="10">
        <f>capex_security_setup/6</f>
        <v/>
      </c>
      <c r="E15" s="10">
        <f>capex_security_setup/6</f>
        <v/>
      </c>
      <c r="F15" s="10">
        <f>capex_security_setup/6</f>
        <v/>
      </c>
      <c r="G15" s="10">
        <f>capex_security_setup/6</f>
        <v/>
      </c>
      <c r="H15" s="10">
        <f>capex_security_setup/6</f>
        <v/>
      </c>
      <c r="I15" s="9">
        <f>SUM(C15:H15)</f>
        <v/>
      </c>
    </row>
    <row r="16">
      <c r="A16" s="4" t="inlineStr">
        <is>
          <t xml:space="preserve">  UX/UI design</t>
        </is>
      </c>
      <c r="B16" s="4" t="inlineStr">
        <is>
          <t>M VND</t>
        </is>
      </c>
      <c r="C16" s="10">
        <f>capex_ux_design/6</f>
        <v/>
      </c>
      <c r="D16" s="10">
        <f>capex_ux_design/6</f>
        <v/>
      </c>
      <c r="E16" s="10">
        <f>capex_ux_design/6</f>
        <v/>
      </c>
      <c r="F16" s="10">
        <f>capex_ux_design/6</f>
        <v/>
      </c>
      <c r="G16" s="10">
        <f>capex_ux_design/6</f>
        <v/>
      </c>
      <c r="H16" s="10">
        <f>capex_ux_design/6</f>
        <v/>
      </c>
      <c r="I16" s="9">
        <f>SUM(C16:H16)</f>
        <v/>
      </c>
    </row>
    <row r="17">
      <c r="A17" s="4" t="inlineStr">
        <is>
          <t xml:space="preserve">  Integrations</t>
        </is>
      </c>
      <c r="B17" s="4" t="inlineStr">
        <is>
          <t>M VND</t>
        </is>
      </c>
      <c r="C17" s="10">
        <f>capex_integration/6</f>
        <v/>
      </c>
      <c r="D17" s="10">
        <f>capex_integration/6</f>
        <v/>
      </c>
      <c r="E17" s="10">
        <f>capex_integration/6</f>
        <v/>
      </c>
      <c r="F17" s="10">
        <f>capex_integration/6</f>
        <v/>
      </c>
      <c r="G17" s="10">
        <f>capex_integration/6</f>
        <v/>
      </c>
      <c r="H17" s="10">
        <f>capex_integration/6</f>
        <v/>
      </c>
      <c r="I17" s="9">
        <f>SUM(C17:H17)</f>
        <v/>
      </c>
    </row>
    <row r="18">
      <c r="A18" s="4" t="inlineStr">
        <is>
          <t xml:space="preserve">  DevOps</t>
        </is>
      </c>
      <c r="B18" s="4" t="inlineStr">
        <is>
          <t>M VND</t>
        </is>
      </c>
      <c r="C18" s="10">
        <f>capex_devops/6</f>
        <v/>
      </c>
      <c r="D18" s="10">
        <f>capex_devops/6</f>
        <v/>
      </c>
      <c r="E18" s="10">
        <f>capex_devops/6</f>
        <v/>
      </c>
      <c r="F18" s="10">
        <f>capex_devops/6</f>
        <v/>
      </c>
      <c r="G18" s="10">
        <f>capex_devops/6</f>
        <v/>
      </c>
      <c r="H18" s="10">
        <f>capex_devops/6</f>
        <v/>
      </c>
      <c r="I18" s="9">
        <f>SUM(C18:H18)</f>
        <v/>
      </c>
    </row>
    <row r="19">
      <c r="A19" s="4" t="inlineStr">
        <is>
          <t xml:space="preserve">  QA testing</t>
        </is>
      </c>
      <c r="B19" s="4" t="inlineStr">
        <is>
          <t>M VND</t>
        </is>
      </c>
      <c r="C19" s="10">
        <f>capex_testing/6</f>
        <v/>
      </c>
      <c r="D19" s="10">
        <f>capex_testing/6</f>
        <v/>
      </c>
      <c r="E19" s="10">
        <f>capex_testing/6</f>
        <v/>
      </c>
      <c r="F19" s="10">
        <f>capex_testing/6</f>
        <v/>
      </c>
      <c r="G19" s="10">
        <f>capex_testing/6</f>
        <v/>
      </c>
      <c r="H19" s="10">
        <f>capex_testing/6</f>
        <v/>
      </c>
      <c r="I19" s="9">
        <f>SUM(C19:H19)</f>
        <v/>
      </c>
    </row>
    <row r="20">
      <c r="A20" s="4" t="inlineStr">
        <is>
          <t xml:space="preserve">  Contingency</t>
        </is>
      </c>
      <c r="B20" s="4" t="inlineStr">
        <is>
          <t>M VND</t>
        </is>
      </c>
      <c r="C20" s="10">
        <f>capex_contingency/6</f>
        <v/>
      </c>
      <c r="D20" s="10">
        <f>capex_contingency/6</f>
        <v/>
      </c>
      <c r="E20" s="10">
        <f>capex_contingency/6</f>
        <v/>
      </c>
      <c r="F20" s="10">
        <f>capex_contingency/6</f>
        <v/>
      </c>
      <c r="G20" s="10">
        <f>capex_contingency/6</f>
        <v/>
      </c>
      <c r="H20" s="10">
        <f>capex_contingency/6</f>
        <v/>
      </c>
      <c r="I20" s="9">
        <f>SUM(C20:H20)</f>
        <v/>
      </c>
    </row>
    <row r="21">
      <c r="A21" s="4" t="inlineStr">
        <is>
          <t>TOTAL CAPEX</t>
        </is>
      </c>
      <c r="C21" s="9">
        <f>SUM(C11:C20)</f>
        <v/>
      </c>
      <c r="D21" s="9">
        <f>SUM(D11:D20)</f>
        <v/>
      </c>
      <c r="E21" s="9">
        <f>SUM(E11:E20)</f>
        <v/>
      </c>
      <c r="F21" s="9">
        <f>SUM(F11:F20)</f>
        <v/>
      </c>
      <c r="G21" s="9">
        <f>SUM(G11:G20)</f>
        <v/>
      </c>
      <c r="H21" s="9">
        <f>SUM(H11:H20)</f>
        <v/>
      </c>
      <c r="I21" s="9">
        <f>SUM(C21:H21)</f>
        <v/>
      </c>
    </row>
    <row r="23">
      <c r="A23" s="29" t="inlineStr">
        <is>
          <t>OPEX</t>
        </is>
      </c>
      <c r="C23" s="11" t="n"/>
      <c r="D23" s="11" t="n"/>
      <c r="E23" s="11" t="n"/>
      <c r="F23" s="11" t="n"/>
      <c r="G23" s="11" t="n"/>
      <c r="H23" s="11" t="n"/>
      <c r="I23" s="11" t="n"/>
    </row>
    <row r="24">
      <c r="A24" s="4" t="inlineStr">
        <is>
          <t xml:space="preserve">  HR — Mgmt(2)</t>
        </is>
      </c>
      <c r="B24" s="4" t="inlineStr">
        <is>
          <t>M VND</t>
        </is>
      </c>
      <c r="C24" s="10">
        <f>salary_mgmt*2*(1+salary_escalation)^0*(1+bhxh_rate)</f>
        <v/>
      </c>
      <c r="D24" s="10">
        <f>salary_mgmt*2*(1+salary_escalation)^0*(1+bhxh_rate)</f>
        <v/>
      </c>
      <c r="E24" s="10">
        <f>salary_mgmt*2*(1+salary_escalation)^0*(1+bhxh_rate)</f>
        <v/>
      </c>
      <c r="F24" s="10">
        <f>salary_mgmt*2*(1+salary_escalation)^0*(1+bhxh_rate)</f>
        <v/>
      </c>
      <c r="G24" s="10">
        <f>salary_mgmt*2*(1+salary_escalation)^0*(1+bhxh_rate)</f>
        <v/>
      </c>
      <c r="H24" s="10">
        <f>salary_mgmt*2*(1+salary_escalation)^0*(1+bhxh_rate)</f>
        <v/>
      </c>
      <c r="I24" s="9">
        <f>SUM(C24:H24)</f>
        <v/>
      </c>
    </row>
    <row r="25">
      <c r="A25" s="4" t="inlineStr">
        <is>
          <t xml:space="preserve">  HR — Dev(12)</t>
        </is>
      </c>
      <c r="B25" s="4" t="inlineStr">
        <is>
          <t>M VND</t>
        </is>
      </c>
      <c r="C25" s="10">
        <f>salary_dev*12*(1+salary_escalation)^0*(1+bhxh_rate)</f>
        <v/>
      </c>
      <c r="D25" s="10">
        <f>salary_dev*12*(1+salary_escalation)^0*(1+bhxh_rate)</f>
        <v/>
      </c>
      <c r="E25" s="10">
        <f>salary_dev*12*(1+salary_escalation)^0*(1+bhxh_rate)</f>
        <v/>
      </c>
      <c r="F25" s="10">
        <f>salary_dev*12*(1+salary_escalation)^0*(1+bhxh_rate)</f>
        <v/>
      </c>
      <c r="G25" s="10">
        <f>salary_dev*12*(1+salary_escalation)^0*(1+bhxh_rate)</f>
        <v/>
      </c>
      <c r="H25" s="10">
        <f>salary_dev*12*(1+salary_escalation)^0*(1+bhxh_rate)</f>
        <v/>
      </c>
      <c r="I25" s="9">
        <f>SUM(C25:H25)</f>
        <v/>
      </c>
    </row>
    <row r="26">
      <c r="A26" s="4" t="inlineStr">
        <is>
          <t xml:space="preserve">  HR — BizOps(2)</t>
        </is>
      </c>
      <c r="B26" s="4" t="inlineStr">
        <is>
          <t>M VND</t>
        </is>
      </c>
      <c r="C26" s="10">
        <f>salary_bizops*2*(1+salary_escalation)^0*(1+bhxh_rate)</f>
        <v/>
      </c>
      <c r="D26" s="10">
        <f>salary_bizops*2*(1+salary_escalation)^0*(1+bhxh_rate)</f>
        <v/>
      </c>
      <c r="E26" s="10">
        <f>salary_bizops*2*(1+salary_escalation)^0*(1+bhxh_rate)</f>
        <v/>
      </c>
      <c r="F26" s="10">
        <f>salary_bizops*2*(1+salary_escalation)^0*(1+bhxh_rate)</f>
        <v/>
      </c>
      <c r="G26" s="10">
        <f>salary_bizops*2*(1+salary_escalation)^0*(1+bhxh_rate)</f>
        <v/>
      </c>
      <c r="H26" s="10">
        <f>salary_bizops*2*(1+salary_escalation)^0*(1+bhxh_rate)</f>
        <v/>
      </c>
      <c r="I26" s="9">
        <f>SUM(C26:H26)</f>
        <v/>
      </c>
    </row>
    <row r="27">
      <c r="A27" s="4" t="inlineStr">
        <is>
          <t xml:space="preserve">  Recruitment</t>
        </is>
      </c>
      <c r="B27" s="4" t="inlineStr">
        <is>
          <t>M VND</t>
        </is>
      </c>
      <c r="C27" s="10">
        <f>16*30*12*recruit_cost_pct</f>
        <v/>
      </c>
      <c r="D27" s="10">
        <f>0</f>
        <v/>
      </c>
      <c r="E27" s="10">
        <f>0</f>
        <v/>
      </c>
      <c r="F27" s="10">
        <f>0</f>
        <v/>
      </c>
      <c r="G27" s="10">
        <f>0</f>
        <v/>
      </c>
      <c r="H27" s="10">
        <f>0</f>
        <v/>
      </c>
      <c r="I27" s="9">
        <f>SUM(C27:H27)</f>
        <v/>
      </c>
    </row>
    <row r="28">
      <c r="A28" s="4" t="inlineStr">
        <is>
          <t xml:space="preserve">  Marketing</t>
        </is>
      </c>
      <c r="B28" s="4" t="inlineStr">
        <is>
          <t>M VND</t>
        </is>
      </c>
      <c r="C28" s="10">
        <f>opex_marketing*(1+marketing_growth)^0/12</f>
        <v/>
      </c>
      <c r="D28" s="10">
        <f>opex_marketing*(1+marketing_growth)^0/12</f>
        <v/>
      </c>
      <c r="E28" s="10">
        <f>opex_marketing*(1+marketing_growth)^0/12</f>
        <v/>
      </c>
      <c r="F28" s="10">
        <f>opex_marketing*(1+marketing_growth)^0/12</f>
        <v/>
      </c>
      <c r="G28" s="10">
        <f>opex_marketing*(1+marketing_growth)^0/12</f>
        <v/>
      </c>
      <c r="H28" s="10">
        <f>opex_marketing*(1+marketing_growth)^0/12</f>
        <v/>
      </c>
      <c r="I28" s="9">
        <f>SUM(C28:H28)</f>
        <v/>
      </c>
    </row>
    <row r="29">
      <c r="A29" s="4" t="inlineStr">
        <is>
          <t xml:space="preserve">  Branding</t>
        </is>
      </c>
      <c r="B29" s="4" t="inlineStr">
        <is>
          <t>M VND</t>
        </is>
      </c>
      <c r="C29" s="10">
        <f>opex_branding/12</f>
        <v/>
      </c>
      <c r="D29" s="10">
        <f>opex_branding/12</f>
        <v/>
      </c>
      <c r="E29" s="10">
        <f>opex_branding/12</f>
        <v/>
      </c>
      <c r="F29" s="10">
        <f>opex_branding/12</f>
        <v/>
      </c>
      <c r="G29" s="10">
        <f>opex_branding/12</f>
        <v/>
      </c>
      <c r="H29" s="10">
        <f>opex_branding/12</f>
        <v/>
      </c>
      <c r="I29" s="9">
        <f>SUM(C29:H29)</f>
        <v/>
      </c>
    </row>
    <row r="30">
      <c r="A30" s="4" t="inlineStr">
        <is>
          <t xml:space="preserve">  Cloud</t>
        </is>
      </c>
      <c r="B30" s="4" t="inlineStr">
        <is>
          <t>M VND</t>
        </is>
      </c>
      <c r="C30" s="10">
        <f>opex_cloud_base/12</f>
        <v/>
      </c>
      <c r="D30" s="10">
        <f>opex_cloud_base/12</f>
        <v/>
      </c>
      <c r="E30" s="10">
        <f>opex_cloud_base/12</f>
        <v/>
      </c>
      <c r="F30" s="10">
        <f>opex_cloud_base/12</f>
        <v/>
      </c>
      <c r="G30" s="10">
        <f>opex_cloud_base/12</f>
        <v/>
      </c>
      <c r="H30" s="10">
        <f>opex_cloud_base/12</f>
        <v/>
      </c>
      <c r="I30" s="9">
        <f>SUM(C30:H30)</f>
        <v/>
      </c>
    </row>
    <row r="31">
      <c r="A31" s="4" t="inlineStr">
        <is>
          <t xml:space="preserve">  Security</t>
        </is>
      </c>
      <c r="B31" s="4" t="inlineStr">
        <is>
          <t>M VND</t>
        </is>
      </c>
      <c r="C31" s="10">
        <f>opex_security/12</f>
        <v/>
      </c>
      <c r="D31" s="10">
        <f>opex_security/12</f>
        <v/>
      </c>
      <c r="E31" s="10">
        <f>opex_security/12</f>
        <v/>
      </c>
      <c r="F31" s="10">
        <f>opex_security/12</f>
        <v/>
      </c>
      <c r="G31" s="10">
        <f>opex_security/12</f>
        <v/>
      </c>
      <c r="H31" s="10">
        <f>opex_security/12</f>
        <v/>
      </c>
      <c r="I31" s="9">
        <f>SUM(C31:H31)</f>
        <v/>
      </c>
    </row>
    <row r="32">
      <c r="A32" s="4" t="inlineStr">
        <is>
          <t xml:space="preserve">  External</t>
        </is>
      </c>
      <c r="B32" s="4" t="inlineStr">
        <is>
          <t>M VND</t>
        </is>
      </c>
      <c r="C32" s="10">
        <f>opex_external/12</f>
        <v/>
      </c>
      <c r="D32" s="10">
        <f>opex_external/12</f>
        <v/>
      </c>
      <c r="E32" s="10">
        <f>opex_external/12</f>
        <v/>
      </c>
      <c r="F32" s="10">
        <f>opex_external/12</f>
        <v/>
      </c>
      <c r="G32" s="10">
        <f>opex_external/12</f>
        <v/>
      </c>
      <c r="H32" s="10">
        <f>opex_external/12</f>
        <v/>
      </c>
      <c r="I32" s="9">
        <f>SUM(C32:H32)</f>
        <v/>
      </c>
    </row>
    <row r="33">
      <c r="A33" s="4" t="inlineStr">
        <is>
          <t xml:space="preserve">  Legal</t>
        </is>
      </c>
      <c r="B33" s="4" t="inlineStr">
        <is>
          <t>M VND</t>
        </is>
      </c>
      <c r="C33" s="10">
        <f>opex_legal/12</f>
        <v/>
      </c>
      <c r="D33" s="10">
        <f>opex_legal/12</f>
        <v/>
      </c>
      <c r="E33" s="10">
        <f>opex_legal/12</f>
        <v/>
      </c>
      <c r="F33" s="10">
        <f>opex_legal/12</f>
        <v/>
      </c>
      <c r="G33" s="10">
        <f>opex_legal/12</f>
        <v/>
      </c>
      <c r="H33" s="10">
        <f>opex_legal/12</f>
        <v/>
      </c>
      <c r="I33" s="9">
        <f>SUM(C33:H33)</f>
        <v/>
      </c>
    </row>
    <row r="34">
      <c r="A34" s="4" t="inlineStr">
        <is>
          <t xml:space="preserve">  Partner mgmt</t>
        </is>
      </c>
      <c r="B34" s="4" t="inlineStr">
        <is>
          <t>M VND</t>
        </is>
      </c>
      <c r="C34" s="10">
        <f>opex_partner_mgmt/12</f>
        <v/>
      </c>
      <c r="D34" s="10">
        <f>opex_partner_mgmt/12</f>
        <v/>
      </c>
      <c r="E34" s="10">
        <f>opex_partner_mgmt/12</f>
        <v/>
      </c>
      <c r="F34" s="10">
        <f>opex_partner_mgmt/12</f>
        <v/>
      </c>
      <c r="G34" s="10">
        <f>opex_partner_mgmt/12</f>
        <v/>
      </c>
      <c r="H34" s="10">
        <f>opex_partner_mgmt/12</f>
        <v/>
      </c>
      <c r="I34" s="9">
        <f>SUM(C34:H34)</f>
        <v/>
      </c>
    </row>
    <row r="35">
      <c r="A35" s="4" t="inlineStr">
        <is>
          <t xml:space="preserve">  Pilot eval</t>
        </is>
      </c>
      <c r="B35" s="4" t="inlineStr">
        <is>
          <t>M VND</t>
        </is>
      </c>
      <c r="C35" s="10">
        <f>opex_pilot_eval/6</f>
        <v/>
      </c>
      <c r="D35" s="10">
        <f>opex_pilot_eval/6</f>
        <v/>
      </c>
      <c r="E35" s="10">
        <f>opex_pilot_eval/6</f>
        <v/>
      </c>
      <c r="F35" s="10">
        <f>opex_pilot_eval/6</f>
        <v/>
      </c>
      <c r="G35" s="10">
        <f>opex_pilot_eval/6</f>
        <v/>
      </c>
      <c r="H35" s="10">
        <f>opex_pilot_eval/6</f>
        <v/>
      </c>
      <c r="I35" s="9">
        <f>SUM(C35:H35)</f>
        <v/>
      </c>
    </row>
    <row r="36">
      <c r="A36" s="4" t="inlineStr">
        <is>
          <t xml:space="preserve">  Customer support</t>
        </is>
      </c>
      <c r="B36" s="4" t="inlineStr">
        <is>
          <t>M VND</t>
        </is>
      </c>
      <c r="C36" s="10">
        <f>MAX(pilot_count,adoption_max/(1+EXP(-adoption_steepness*(2025.542-adoption_midpoint))))*opex_support_per_ent/12</f>
        <v/>
      </c>
      <c r="D36" s="10">
        <f>MAX(pilot_count,adoption_max/(1+EXP(-adoption_steepness*(2025.625-adoption_midpoint))))*opex_support_per_ent/12</f>
        <v/>
      </c>
      <c r="E36" s="10">
        <f>MAX(pilot_count,adoption_max/(1+EXP(-adoption_steepness*(2025.708-adoption_midpoint))))*opex_support_per_ent/12</f>
        <v/>
      </c>
      <c r="F36" s="10">
        <f>MAX(pilot_count,adoption_max/(1+EXP(-adoption_steepness*(2025.792-adoption_midpoint))))*opex_support_per_ent/12</f>
        <v/>
      </c>
      <c r="G36" s="10">
        <f>MAX(pilot_count,adoption_max/(1+EXP(-adoption_steepness*(2025.875-adoption_midpoint))))*opex_support_per_ent/12</f>
        <v/>
      </c>
      <c r="H36" s="10">
        <f>MAX(pilot_count,adoption_max/(1+EXP(-adoption_steepness*(2025.958-adoption_midpoint))))*opex_support_per_ent/12</f>
        <v/>
      </c>
      <c r="I36" s="9">
        <f>SUM(C36:H36)</f>
        <v/>
      </c>
    </row>
    <row r="37">
      <c r="A37" s="4" t="inlineStr">
        <is>
          <t>OPEX Subtotal</t>
        </is>
      </c>
      <c r="C37" s="9">
        <f>SUM(C24:C36)</f>
        <v/>
      </c>
      <c r="D37" s="9">
        <f>SUM(D24:D36)</f>
        <v/>
      </c>
      <c r="E37" s="9">
        <f>SUM(E24:E36)</f>
        <v/>
      </c>
      <c r="F37" s="9">
        <f>SUM(F24:F36)</f>
        <v/>
      </c>
      <c r="G37" s="9">
        <f>SUM(G24:G36)</f>
        <v/>
      </c>
      <c r="H37" s="9">
        <f>SUM(H24:H36)</f>
        <v/>
      </c>
      <c r="I37" s="9">
        <f>SUM(C37:H37)</f>
        <v/>
      </c>
    </row>
    <row r="38">
      <c r="A38" s="4" t="inlineStr">
        <is>
          <t xml:space="preserve">  Contingency</t>
        </is>
      </c>
      <c r="B38" s="4" t="inlineStr">
        <is>
          <t>M VND</t>
        </is>
      </c>
      <c r="C38" s="10">
        <f>C37*opex_contingency_pct</f>
        <v/>
      </c>
      <c r="D38" s="10">
        <f>D37*opex_contingency_pct</f>
        <v/>
      </c>
      <c r="E38" s="10">
        <f>E37*opex_contingency_pct</f>
        <v/>
      </c>
      <c r="F38" s="10">
        <f>F37*opex_contingency_pct</f>
        <v/>
      </c>
      <c r="G38" s="10">
        <f>G37*opex_contingency_pct</f>
        <v/>
      </c>
      <c r="H38" s="10">
        <f>H37*opex_contingency_pct</f>
        <v/>
      </c>
      <c r="I38" s="9">
        <f>SUM(C38:H38)</f>
        <v/>
      </c>
    </row>
    <row r="39">
      <c r="A39" s="4" t="inlineStr">
        <is>
          <t>TOTAL OPEX</t>
        </is>
      </c>
      <c r="C39" s="9">
        <f>C37+C38</f>
        <v/>
      </c>
      <c r="D39" s="9">
        <f>D37+D38</f>
        <v/>
      </c>
      <c r="E39" s="9">
        <f>E37+E38</f>
        <v/>
      </c>
      <c r="F39" s="9">
        <f>F37+F38</f>
        <v/>
      </c>
      <c r="G39" s="9">
        <f>G37+G38</f>
        <v/>
      </c>
      <c r="H39" s="9">
        <f>H37+H38</f>
        <v/>
      </c>
      <c r="I39" s="9">
        <f>SUM(C39:H39)</f>
        <v/>
      </c>
    </row>
    <row r="41">
      <c r="A41" s="29" t="inlineStr">
        <is>
          <t>SUMMARY</t>
        </is>
      </c>
      <c r="C41" s="11" t="n"/>
      <c r="D41" s="11" t="n"/>
      <c r="E41" s="11" t="n"/>
      <c r="F41" s="11" t="n"/>
      <c r="G41" s="11" t="n"/>
      <c r="H41" s="11" t="n"/>
      <c r="I41" s="11" t="n"/>
    </row>
    <row r="42">
      <c r="A42" s="4" t="inlineStr">
        <is>
          <t>Revenue</t>
        </is>
      </c>
      <c r="C42" s="10">
        <f>C8</f>
        <v/>
      </c>
      <c r="D42" s="10">
        <f>D8</f>
        <v/>
      </c>
      <c r="E42" s="10">
        <f>E8</f>
        <v/>
      </c>
      <c r="F42" s="10">
        <f>F8</f>
        <v/>
      </c>
      <c r="G42" s="10">
        <f>G8</f>
        <v/>
      </c>
      <c r="H42" s="10">
        <f>H8</f>
        <v/>
      </c>
      <c r="I42" s="9">
        <f>SUM(C42:H42)</f>
        <v/>
      </c>
    </row>
    <row r="43">
      <c r="A43" s="4" t="inlineStr">
        <is>
          <t>CAPEX</t>
        </is>
      </c>
      <c r="C43" s="10">
        <f>C21</f>
        <v/>
      </c>
      <c r="D43" s="10">
        <f>D21</f>
        <v/>
      </c>
      <c r="E43" s="10">
        <f>E21</f>
        <v/>
      </c>
      <c r="F43" s="10">
        <f>F21</f>
        <v/>
      </c>
      <c r="G43" s="10">
        <f>G21</f>
        <v/>
      </c>
      <c r="H43" s="10">
        <f>H21</f>
        <v/>
      </c>
      <c r="I43" s="9">
        <f>SUM(C43:H43)</f>
        <v/>
      </c>
    </row>
    <row r="44">
      <c r="A44" s="4" t="inlineStr">
        <is>
          <t>OPEX</t>
        </is>
      </c>
      <c r="C44" s="10">
        <f>C39</f>
        <v/>
      </c>
      <c r="D44" s="10">
        <f>D39</f>
        <v/>
      </c>
      <c r="E44" s="10">
        <f>E39</f>
        <v/>
      </c>
      <c r="F44" s="10">
        <f>F39</f>
        <v/>
      </c>
      <c r="G44" s="10">
        <f>G39</f>
        <v/>
      </c>
      <c r="H44" s="10">
        <f>H39</f>
        <v/>
      </c>
      <c r="I44" s="9">
        <f>SUM(C44:H44)</f>
        <v/>
      </c>
    </row>
    <row r="45">
      <c r="A45" s="4" t="inlineStr">
        <is>
          <t>TOTAL BUDGET</t>
        </is>
      </c>
      <c r="C45" s="9">
        <f>C43+C44</f>
        <v/>
      </c>
      <c r="D45" s="9">
        <f>D43+D44</f>
        <v/>
      </c>
      <c r="E45" s="9">
        <f>E43+E44</f>
        <v/>
      </c>
      <c r="F45" s="9">
        <f>F43+F44</f>
        <v/>
      </c>
      <c r="G45" s="9">
        <f>G43+G44</f>
        <v/>
      </c>
      <c r="H45" s="9">
        <f>H43+H44</f>
        <v/>
      </c>
      <c r="I45" s="9">
        <f>SUM(C45:H45)</f>
        <v/>
      </c>
    </row>
    <row r="46">
      <c r="A46" s="4" t="inlineStr">
        <is>
          <t>NET (Rev-Budget)</t>
        </is>
      </c>
      <c r="C46" s="9">
        <f>C42-C45</f>
        <v/>
      </c>
      <c r="D46" s="9">
        <f>D42-D45</f>
        <v/>
      </c>
      <c r="E46" s="9">
        <f>E42-E45</f>
        <v/>
      </c>
      <c r="F46" s="9">
        <f>F42-F45</f>
        <v/>
      </c>
      <c r="G46" s="9">
        <f>G42-G45</f>
        <v/>
      </c>
      <c r="H46" s="9">
        <f>H42-H45</f>
        <v/>
      </c>
      <c r="I46" s="9">
        <f>SUM(C46:H46)</f>
        <v/>
      </c>
    </row>
    <row r="47">
      <c r="A47" s="4" t="inlineStr">
        <is>
          <t>Cumulative</t>
        </is>
      </c>
      <c r="C47" s="10">
        <f>C46</f>
        <v/>
      </c>
      <c r="D47" s="10">
        <f>C47+D46</f>
        <v/>
      </c>
      <c r="E47" s="10">
        <f>D47+E46</f>
        <v/>
      </c>
      <c r="F47" s="10">
        <f>E47+F46</f>
        <v/>
      </c>
      <c r="G47" s="10">
        <f>F47+G46</f>
        <v/>
      </c>
      <c r="H47" s="10">
        <f>G47+H46</f>
        <v/>
      </c>
      <c r="I47" s="9">
        <f>H47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4472C4"/>
    <outlinePr summaryBelow="1" summaryRight="1"/>
    <pageSetUpPr/>
  </sheetPr>
  <dimension ref="A1:O3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RowHeight="14.4"/>
  <cols>
    <col width="35" customWidth="1" style="62" min="1" max="1"/>
    <col width="12" customWidth="1" style="62" min="2" max="14"/>
    <col width="14" customWidth="1" style="62" min="15" max="15"/>
  </cols>
  <sheetData>
    <row r="1">
      <c r="A1" s="29" t="inlineStr">
        <is>
          <t>BUDGET 2026 (M VND)</t>
        </is>
      </c>
    </row>
    <row r="3">
      <c r="A3" s="3" t="inlineStr">
        <is>
          <t>Item</t>
        </is>
      </c>
      <c r="B3" s="3" t="inlineStr">
        <is>
          <t>Unit</t>
        </is>
      </c>
      <c r="C3" s="3" t="inlineStr">
        <is>
          <t>Jan</t>
        </is>
      </c>
      <c r="D3" s="3" t="inlineStr">
        <is>
          <t>Feb</t>
        </is>
      </c>
      <c r="E3" s="3" t="inlineStr">
        <is>
          <t>Mar</t>
        </is>
      </c>
      <c r="F3" s="3" t="inlineStr">
        <is>
          <t>Apr</t>
        </is>
      </c>
      <c r="G3" s="3" t="inlineStr">
        <is>
          <t>May</t>
        </is>
      </c>
      <c r="H3" s="3" t="inlineStr">
        <is>
          <t>Jun</t>
        </is>
      </c>
      <c r="I3" s="3" t="inlineStr">
        <is>
          <t>Jul</t>
        </is>
      </c>
      <c r="J3" s="3" t="inlineStr">
        <is>
          <t>Aug</t>
        </is>
      </c>
      <c r="K3" s="3" t="inlineStr">
        <is>
          <t>Sep</t>
        </is>
      </c>
      <c r="L3" s="3" t="inlineStr">
        <is>
          <t>Oct</t>
        </is>
      </c>
      <c r="M3" s="3" t="inlineStr">
        <is>
          <t>Nov</t>
        </is>
      </c>
      <c r="N3" s="3" t="inlineStr">
        <is>
          <t>Dec</t>
        </is>
      </c>
      <c r="O3" s="3" t="inlineStr">
        <is>
          <t>TOTAL</t>
        </is>
      </c>
    </row>
    <row r="4">
      <c r="A4" s="29" t="inlineStr">
        <is>
          <t>REVENUE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</row>
    <row r="5">
      <c r="A5" s="4" t="inlineStr">
        <is>
          <t xml:space="preserve">  Cert fees</t>
        </is>
      </c>
      <c r="B5" s="4" t="inlineStr">
        <is>
          <t>M VND</t>
        </is>
      </c>
      <c r="C5" s="10">
        <f>MAX(pilot_count,adoption_max/(1+EXP(-adoption_steepness*(2026.042-adoption_midpoint))))*cert_fee_yr1*(1+cert_fee_escalation)^1/12</f>
        <v/>
      </c>
      <c r="D5" s="10">
        <f>MAX(pilot_count,adoption_max/(1+EXP(-adoption_steepness*(2026.125-adoption_midpoint))))*cert_fee_yr1*(1+cert_fee_escalation)^1/12</f>
        <v/>
      </c>
      <c r="E5" s="10">
        <f>MAX(pilot_count,adoption_max/(1+EXP(-adoption_steepness*(2026.208-adoption_midpoint))))*cert_fee_yr1*(1+cert_fee_escalation)^1/12</f>
        <v/>
      </c>
      <c r="F5" s="10">
        <f>MAX(pilot_count,adoption_max/(1+EXP(-adoption_steepness*(2026.292-adoption_midpoint))))*cert_fee_yr1*(1+cert_fee_escalation)^1/12</f>
        <v/>
      </c>
      <c r="G5" s="10">
        <f>MAX(pilot_count,adoption_max/(1+EXP(-adoption_steepness*(2026.375-adoption_midpoint))))*cert_fee_yr1*(1+cert_fee_escalation)^1/12</f>
        <v/>
      </c>
      <c r="H5" s="10">
        <f>MAX(pilot_count,adoption_max/(1+EXP(-adoption_steepness*(2026.458-adoption_midpoint))))*cert_fee_yr1*(1+cert_fee_escalation)^1/12</f>
        <v/>
      </c>
      <c r="I5" s="10">
        <f>MAX(pilot_count,adoption_max/(1+EXP(-adoption_steepness*(2026.542-adoption_midpoint))))*cert_fee_yr1*(1+cert_fee_escalation)^1/12</f>
        <v/>
      </c>
      <c r="J5" s="10">
        <f>MAX(pilot_count,adoption_max/(1+EXP(-adoption_steepness*(2026.625-adoption_midpoint))))*cert_fee_yr1*(1+cert_fee_escalation)^1/12</f>
        <v/>
      </c>
      <c r="K5" s="10">
        <f>MAX(pilot_count,adoption_max/(1+EXP(-adoption_steepness*(2026.708-adoption_midpoint))))*cert_fee_yr1*(1+cert_fee_escalation)^1/12</f>
        <v/>
      </c>
      <c r="L5" s="10">
        <f>MAX(pilot_count,adoption_max/(1+EXP(-adoption_steepness*(2026.792-adoption_midpoint))))*cert_fee_yr1*(1+cert_fee_escalation)^1/12</f>
        <v/>
      </c>
      <c r="M5" s="10">
        <f>MAX(pilot_count,adoption_max/(1+EXP(-adoption_steepness*(2026.875-adoption_midpoint))))*cert_fee_yr1*(1+cert_fee_escalation)^1/12</f>
        <v/>
      </c>
      <c r="N5" s="10">
        <f>MAX(pilot_count,adoption_max/(1+EXP(-adoption_steepness*(2026.958-adoption_midpoint))))*cert_fee_yr1*(1+cert_fee_escalation)^1/12</f>
        <v/>
      </c>
      <c r="O5" s="9">
        <f>SUM(C5:N5)</f>
        <v/>
      </c>
    </row>
    <row r="6">
      <c r="A6" s="4" t="inlineStr">
        <is>
          <t xml:space="preserve">  Training</t>
        </is>
      </c>
      <c r="B6" s="4" t="inlineStr">
        <is>
          <t>M VND</t>
        </is>
      </c>
      <c r="C6" s="10">
        <f>MAX(pilot_count,adoption_max/(1+EXP(-adoption_steepness*(2026.042-adoption_midpoint))))*training_pct*training_fee/12</f>
        <v/>
      </c>
      <c r="D6" s="10">
        <f>MAX(pilot_count,adoption_max/(1+EXP(-adoption_steepness*(2026.125-adoption_midpoint))))*training_pct*training_fee/12</f>
        <v/>
      </c>
      <c r="E6" s="10">
        <f>MAX(pilot_count,adoption_max/(1+EXP(-adoption_steepness*(2026.208-adoption_midpoint))))*training_pct*training_fee/12</f>
        <v/>
      </c>
      <c r="F6" s="10">
        <f>MAX(pilot_count,adoption_max/(1+EXP(-adoption_steepness*(2026.292-adoption_midpoint))))*training_pct*training_fee/12</f>
        <v/>
      </c>
      <c r="G6" s="10">
        <f>MAX(pilot_count,adoption_max/(1+EXP(-adoption_steepness*(2026.375-adoption_midpoint))))*training_pct*training_fee/12</f>
        <v/>
      </c>
      <c r="H6" s="10">
        <f>MAX(pilot_count,adoption_max/(1+EXP(-adoption_steepness*(2026.458-adoption_midpoint))))*training_pct*training_fee/12</f>
        <v/>
      </c>
      <c r="I6" s="10">
        <f>MAX(pilot_count,adoption_max/(1+EXP(-adoption_steepness*(2026.542-adoption_midpoint))))*training_pct*training_fee/12</f>
        <v/>
      </c>
      <c r="J6" s="10">
        <f>MAX(pilot_count,adoption_max/(1+EXP(-adoption_steepness*(2026.625-adoption_midpoint))))*training_pct*training_fee/12</f>
        <v/>
      </c>
      <c r="K6" s="10">
        <f>MAX(pilot_count,adoption_max/(1+EXP(-adoption_steepness*(2026.708-adoption_midpoint))))*training_pct*training_fee/12</f>
        <v/>
      </c>
      <c r="L6" s="10">
        <f>MAX(pilot_count,adoption_max/(1+EXP(-adoption_steepness*(2026.792-adoption_midpoint))))*training_pct*training_fee/12</f>
        <v/>
      </c>
      <c r="M6" s="10">
        <f>MAX(pilot_count,adoption_max/(1+EXP(-adoption_steepness*(2026.875-adoption_midpoint))))*training_pct*training_fee/12</f>
        <v/>
      </c>
      <c r="N6" s="10">
        <f>MAX(pilot_count,adoption_max/(1+EXP(-adoption_steepness*(2026.958-adoption_midpoint))))*training_pct*training_fee/12</f>
        <v/>
      </c>
      <c r="O6" s="9">
        <f>SUM(C6:N6)</f>
        <v/>
      </c>
    </row>
    <row r="7">
      <c r="A7" s="4" t="inlineStr">
        <is>
          <t xml:space="preserve">  Audit</t>
        </is>
      </c>
      <c r="B7" s="4" t="inlineStr">
        <is>
          <t>M VND</t>
        </is>
      </c>
      <c r="C7" s="10">
        <f>MAX(pilot_count,adoption_max/(1+EXP(-adoption_steepness*(2026.042-adoption_midpoint))))*audit_fee/12</f>
        <v/>
      </c>
      <c r="D7" s="10">
        <f>MAX(pilot_count,adoption_max/(1+EXP(-adoption_steepness*(2026.125-adoption_midpoint))))*audit_fee/12</f>
        <v/>
      </c>
      <c r="E7" s="10">
        <f>MAX(pilot_count,adoption_max/(1+EXP(-adoption_steepness*(2026.208-adoption_midpoint))))*audit_fee/12</f>
        <v/>
      </c>
      <c r="F7" s="10">
        <f>MAX(pilot_count,adoption_max/(1+EXP(-adoption_steepness*(2026.292-adoption_midpoint))))*audit_fee/12</f>
        <v/>
      </c>
      <c r="G7" s="10">
        <f>MAX(pilot_count,adoption_max/(1+EXP(-adoption_steepness*(2026.375-adoption_midpoint))))*audit_fee/12</f>
        <v/>
      </c>
      <c r="H7" s="10">
        <f>MAX(pilot_count,adoption_max/(1+EXP(-adoption_steepness*(2026.458-adoption_midpoint))))*audit_fee/12</f>
        <v/>
      </c>
      <c r="I7" s="10">
        <f>MAX(pilot_count,adoption_max/(1+EXP(-adoption_steepness*(2026.542-adoption_midpoint))))*audit_fee/12</f>
        <v/>
      </c>
      <c r="J7" s="10">
        <f>MAX(pilot_count,adoption_max/(1+EXP(-adoption_steepness*(2026.625-adoption_midpoint))))*audit_fee/12</f>
        <v/>
      </c>
      <c r="K7" s="10">
        <f>MAX(pilot_count,adoption_max/(1+EXP(-adoption_steepness*(2026.708-adoption_midpoint))))*audit_fee/12</f>
        <v/>
      </c>
      <c r="L7" s="10">
        <f>MAX(pilot_count,adoption_max/(1+EXP(-adoption_steepness*(2026.792-adoption_midpoint))))*audit_fee/12</f>
        <v/>
      </c>
      <c r="M7" s="10">
        <f>MAX(pilot_count,adoption_max/(1+EXP(-adoption_steepness*(2026.875-adoption_midpoint))))*audit_fee/12</f>
        <v/>
      </c>
      <c r="N7" s="10">
        <f>MAX(pilot_count,adoption_max/(1+EXP(-adoption_steepness*(2026.958-adoption_midpoint))))*audit_fee/12</f>
        <v/>
      </c>
      <c r="O7" s="9">
        <f>SUM(C7:N7)</f>
        <v/>
      </c>
    </row>
    <row r="8">
      <c r="A8" s="4" t="inlineStr">
        <is>
          <t>TOTAL REVENUE</t>
        </is>
      </c>
      <c r="C8" s="9">
        <f>SUM(C5:C7)</f>
        <v/>
      </c>
      <c r="D8" s="9">
        <f>SUM(D5:D7)</f>
        <v/>
      </c>
      <c r="E8" s="9">
        <f>SUM(E5:E7)</f>
        <v/>
      </c>
      <c r="F8" s="9">
        <f>SUM(F5:F7)</f>
        <v/>
      </c>
      <c r="G8" s="9">
        <f>SUM(G5:G7)</f>
        <v/>
      </c>
      <c r="H8" s="9">
        <f>SUM(H5:H7)</f>
        <v/>
      </c>
      <c r="I8" s="9">
        <f>SUM(I5:I7)</f>
        <v/>
      </c>
      <c r="J8" s="9">
        <f>SUM(J5:J7)</f>
        <v/>
      </c>
      <c r="K8" s="9">
        <f>SUM(K5:K7)</f>
        <v/>
      </c>
      <c r="L8" s="9">
        <f>SUM(L5:L7)</f>
        <v/>
      </c>
      <c r="M8" s="9">
        <f>SUM(M5:M7)</f>
        <v/>
      </c>
      <c r="N8" s="9">
        <f>SUM(N5:N7)</f>
        <v/>
      </c>
      <c r="O8" s="9">
        <f>SUM(C8:N8)</f>
        <v/>
      </c>
    </row>
    <row r="10">
      <c r="A10" s="29" t="inlineStr">
        <is>
          <t>CAPEX</t>
        </is>
      </c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</row>
    <row r="11">
      <c r="A11" s="4" t="inlineStr">
        <is>
          <t xml:space="preserve">  Maintenance</t>
        </is>
      </c>
      <c r="B11" s="4" t="inlineStr">
        <is>
          <t>M VND</t>
        </is>
      </c>
      <c r="C11" s="10">
        <f>capex_total*capex_maintenance_pct/12</f>
        <v/>
      </c>
      <c r="D11" s="10">
        <f>capex_total*capex_maintenance_pct/12</f>
        <v/>
      </c>
      <c r="E11" s="10">
        <f>capex_total*capex_maintenance_pct/12</f>
        <v/>
      </c>
      <c r="F11" s="10">
        <f>capex_total*capex_maintenance_pct/12</f>
        <v/>
      </c>
      <c r="G11" s="10">
        <f>capex_total*capex_maintenance_pct/12</f>
        <v/>
      </c>
      <c r="H11" s="10">
        <f>capex_total*capex_maintenance_pct/12</f>
        <v/>
      </c>
      <c r="I11" s="10">
        <f>capex_total*capex_maintenance_pct/12</f>
        <v/>
      </c>
      <c r="J11" s="10">
        <f>capex_total*capex_maintenance_pct/12</f>
        <v/>
      </c>
      <c r="K11" s="10">
        <f>capex_total*capex_maintenance_pct/12</f>
        <v/>
      </c>
      <c r="L11" s="10">
        <f>capex_total*capex_maintenance_pct/12</f>
        <v/>
      </c>
      <c r="M11" s="10">
        <f>capex_total*capex_maintenance_pct/12</f>
        <v/>
      </c>
      <c r="N11" s="10">
        <f>capex_total*capex_maintenance_pct/12</f>
        <v/>
      </c>
      <c r="O11" s="9">
        <f>SUM(C11:N11)</f>
        <v/>
      </c>
    </row>
    <row r="12">
      <c r="A12" s="4" t="inlineStr">
        <is>
          <t>TOTAL CAPEX</t>
        </is>
      </c>
      <c r="C12" s="9">
        <f>SUM(C11:C11)</f>
        <v/>
      </c>
      <c r="D12" s="9">
        <f>SUM(D11:D11)</f>
        <v/>
      </c>
      <c r="E12" s="9">
        <f>SUM(E11:E11)</f>
        <v/>
      </c>
      <c r="F12" s="9">
        <f>SUM(F11:F11)</f>
        <v/>
      </c>
      <c r="G12" s="9">
        <f>SUM(G11:G11)</f>
        <v/>
      </c>
      <c r="H12" s="9">
        <f>SUM(H11:H11)</f>
        <v/>
      </c>
      <c r="I12" s="9">
        <f>SUM(I11:I11)</f>
        <v/>
      </c>
      <c r="J12" s="9">
        <f>SUM(J11:J11)</f>
        <v/>
      </c>
      <c r="K12" s="9">
        <f>SUM(K11:K11)</f>
        <v/>
      </c>
      <c r="L12" s="9">
        <f>SUM(L11:L11)</f>
        <v/>
      </c>
      <c r="M12" s="9">
        <f>SUM(M11:M11)</f>
        <v/>
      </c>
      <c r="N12" s="9">
        <f>SUM(N11:N11)</f>
        <v/>
      </c>
      <c r="O12" s="9">
        <f>SUM(C12:N12)</f>
        <v/>
      </c>
    </row>
    <row r="14">
      <c r="A14" s="29" t="inlineStr">
        <is>
          <t>OPEX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</row>
    <row r="15">
      <c r="A15" s="4" t="inlineStr">
        <is>
          <t xml:space="preserve">  HR — Mgmt(2)</t>
        </is>
      </c>
      <c r="B15" s="4" t="inlineStr">
        <is>
          <t>M VND</t>
        </is>
      </c>
      <c r="C15" s="10">
        <f>salary_mgmt*2*(1+salary_escalation)^1*(1+bhxh_rate)</f>
        <v/>
      </c>
      <c r="D15" s="10">
        <f>salary_mgmt*2*(1+salary_escalation)^1*(1+bhxh_rate)</f>
        <v/>
      </c>
      <c r="E15" s="10">
        <f>salary_mgmt*2*(1+salary_escalation)^1*(1+bhxh_rate)</f>
        <v/>
      </c>
      <c r="F15" s="10">
        <f>salary_mgmt*2*(1+salary_escalation)^1*(1+bhxh_rate)</f>
        <v/>
      </c>
      <c r="G15" s="10">
        <f>salary_mgmt*2*(1+salary_escalation)^1*(1+bhxh_rate)</f>
        <v/>
      </c>
      <c r="H15" s="10">
        <f>salary_mgmt*2*(1+salary_escalation)^1*(1+bhxh_rate)</f>
        <v/>
      </c>
      <c r="I15" s="10">
        <f>salary_mgmt*2*(1+salary_escalation)^1*(1+bhxh_rate)</f>
        <v/>
      </c>
      <c r="J15" s="10">
        <f>salary_mgmt*2*(1+salary_escalation)^1*(1+bhxh_rate)</f>
        <v/>
      </c>
      <c r="K15" s="10">
        <f>salary_mgmt*2*(1+salary_escalation)^1*(1+bhxh_rate)</f>
        <v/>
      </c>
      <c r="L15" s="10">
        <f>salary_mgmt*2*(1+salary_escalation)^1*(1+bhxh_rate)</f>
        <v/>
      </c>
      <c r="M15" s="10">
        <f>salary_mgmt*2*(1+salary_escalation)^1*(1+bhxh_rate)</f>
        <v/>
      </c>
      <c r="N15" s="10">
        <f>salary_mgmt*2*(1+salary_escalation)^1*(1+bhxh_rate)</f>
        <v/>
      </c>
      <c r="O15" s="9">
        <f>SUM(C15:N15)</f>
        <v/>
      </c>
    </row>
    <row r="16">
      <c r="A16" s="4" t="inlineStr">
        <is>
          <t xml:space="preserve">  HR — Dev(12)</t>
        </is>
      </c>
      <c r="B16" s="4" t="inlineStr">
        <is>
          <t>M VND</t>
        </is>
      </c>
      <c r="C16" s="10">
        <f>salary_dev*12*(1+salary_escalation)^1*(1+bhxh_rate)</f>
        <v/>
      </c>
      <c r="D16" s="10">
        <f>salary_dev*12*(1+salary_escalation)^1*(1+bhxh_rate)</f>
        <v/>
      </c>
      <c r="E16" s="10">
        <f>salary_dev*12*(1+salary_escalation)^1*(1+bhxh_rate)</f>
        <v/>
      </c>
      <c r="F16" s="10">
        <f>salary_dev*12*(1+salary_escalation)^1*(1+bhxh_rate)</f>
        <v/>
      </c>
      <c r="G16" s="10">
        <f>salary_dev*12*(1+salary_escalation)^1*(1+bhxh_rate)</f>
        <v/>
      </c>
      <c r="H16" s="10">
        <f>salary_dev*12*(1+salary_escalation)^1*(1+bhxh_rate)</f>
        <v/>
      </c>
      <c r="I16" s="10">
        <f>salary_dev*12*(1+salary_escalation)^1*(1+bhxh_rate)</f>
        <v/>
      </c>
      <c r="J16" s="10">
        <f>salary_dev*12*(1+salary_escalation)^1*(1+bhxh_rate)</f>
        <v/>
      </c>
      <c r="K16" s="10">
        <f>salary_dev*12*(1+salary_escalation)^1*(1+bhxh_rate)</f>
        <v/>
      </c>
      <c r="L16" s="10">
        <f>salary_dev*12*(1+salary_escalation)^1*(1+bhxh_rate)</f>
        <v/>
      </c>
      <c r="M16" s="10">
        <f>salary_dev*12*(1+salary_escalation)^1*(1+bhxh_rate)</f>
        <v/>
      </c>
      <c r="N16" s="10">
        <f>salary_dev*12*(1+salary_escalation)^1*(1+bhxh_rate)</f>
        <v/>
      </c>
      <c r="O16" s="9">
        <f>SUM(C16:N16)</f>
        <v/>
      </c>
    </row>
    <row r="17">
      <c r="A17" s="4" t="inlineStr">
        <is>
          <t xml:space="preserve">  HR — BizOps(6)</t>
        </is>
      </c>
      <c r="B17" s="4" t="inlineStr">
        <is>
          <t>M VND</t>
        </is>
      </c>
      <c r="C17" s="10">
        <f>salary_bizops*6*(1+salary_escalation)^1*(1+bhxh_rate)</f>
        <v/>
      </c>
      <c r="D17" s="10">
        <f>salary_bizops*6*(1+salary_escalation)^1*(1+bhxh_rate)</f>
        <v/>
      </c>
      <c r="E17" s="10">
        <f>salary_bizops*6*(1+salary_escalation)^1*(1+bhxh_rate)</f>
        <v/>
      </c>
      <c r="F17" s="10">
        <f>salary_bizops*6*(1+salary_escalation)^1*(1+bhxh_rate)</f>
        <v/>
      </c>
      <c r="G17" s="10">
        <f>salary_bizops*6*(1+salary_escalation)^1*(1+bhxh_rate)</f>
        <v/>
      </c>
      <c r="H17" s="10">
        <f>salary_bizops*6*(1+salary_escalation)^1*(1+bhxh_rate)</f>
        <v/>
      </c>
      <c r="I17" s="10">
        <f>salary_bizops*6*(1+salary_escalation)^1*(1+bhxh_rate)</f>
        <v/>
      </c>
      <c r="J17" s="10">
        <f>salary_bizops*6*(1+salary_escalation)^1*(1+bhxh_rate)</f>
        <v/>
      </c>
      <c r="K17" s="10">
        <f>salary_bizops*6*(1+salary_escalation)^1*(1+bhxh_rate)</f>
        <v/>
      </c>
      <c r="L17" s="10">
        <f>salary_bizops*6*(1+salary_escalation)^1*(1+bhxh_rate)</f>
        <v/>
      </c>
      <c r="M17" s="10">
        <f>salary_bizops*6*(1+salary_escalation)^1*(1+bhxh_rate)</f>
        <v/>
      </c>
      <c r="N17" s="10">
        <f>salary_bizops*6*(1+salary_escalation)^1*(1+bhxh_rate)</f>
        <v/>
      </c>
      <c r="O17" s="9">
        <f>SUM(C17:N17)</f>
        <v/>
      </c>
    </row>
    <row r="18">
      <c r="A18" s="4" t="inlineStr">
        <is>
          <t xml:space="preserve">  HR — Data(2)</t>
        </is>
      </c>
      <c r="B18" s="4" t="inlineStr">
        <is>
          <t>M VND</t>
        </is>
      </c>
      <c r="C18" s="10">
        <f>salary_data*2*(1+salary_escalation)^1*(1+bhxh_rate)</f>
        <v/>
      </c>
      <c r="D18" s="10">
        <f>salary_data*2*(1+salary_escalation)^1*(1+bhxh_rate)</f>
        <v/>
      </c>
      <c r="E18" s="10">
        <f>salary_data*2*(1+salary_escalation)^1*(1+bhxh_rate)</f>
        <v/>
      </c>
      <c r="F18" s="10">
        <f>salary_data*2*(1+salary_escalation)^1*(1+bhxh_rate)</f>
        <v/>
      </c>
      <c r="G18" s="10">
        <f>salary_data*2*(1+salary_escalation)^1*(1+bhxh_rate)</f>
        <v/>
      </c>
      <c r="H18" s="10">
        <f>salary_data*2*(1+salary_escalation)^1*(1+bhxh_rate)</f>
        <v/>
      </c>
      <c r="I18" s="10">
        <f>salary_data*2*(1+salary_escalation)^1*(1+bhxh_rate)</f>
        <v/>
      </c>
      <c r="J18" s="10">
        <f>salary_data*2*(1+salary_escalation)^1*(1+bhxh_rate)</f>
        <v/>
      </c>
      <c r="K18" s="10">
        <f>salary_data*2*(1+salary_escalation)^1*(1+bhxh_rate)</f>
        <v/>
      </c>
      <c r="L18" s="10">
        <f>salary_data*2*(1+salary_escalation)^1*(1+bhxh_rate)</f>
        <v/>
      </c>
      <c r="M18" s="10">
        <f>salary_data*2*(1+salary_escalation)^1*(1+bhxh_rate)</f>
        <v/>
      </c>
      <c r="N18" s="10">
        <f>salary_data*2*(1+salary_escalation)^1*(1+bhxh_rate)</f>
        <v/>
      </c>
      <c r="O18" s="9">
        <f>SUM(C18:N18)</f>
        <v/>
      </c>
    </row>
    <row r="19">
      <c r="A19" s="4" t="inlineStr">
        <is>
          <t xml:space="preserve">  Recruitment</t>
        </is>
      </c>
      <c r="B19" s="4" t="inlineStr">
        <is>
          <t>M VND</t>
        </is>
      </c>
      <c r="C19" s="10">
        <f>6*30*12*recruit_cost_pct</f>
        <v/>
      </c>
      <c r="D19" s="10">
        <f>0</f>
        <v/>
      </c>
      <c r="E19" s="10">
        <f>0</f>
        <v/>
      </c>
      <c r="F19" s="10">
        <f>0</f>
        <v/>
      </c>
      <c r="G19" s="10">
        <f>0</f>
        <v/>
      </c>
      <c r="H19" s="10">
        <f>0</f>
        <v/>
      </c>
      <c r="I19" s="10">
        <f>0</f>
        <v/>
      </c>
      <c r="J19" s="10">
        <f>0</f>
        <v/>
      </c>
      <c r="K19" s="10">
        <f>0</f>
        <v/>
      </c>
      <c r="L19" s="10">
        <f>0</f>
        <v/>
      </c>
      <c r="M19" s="10">
        <f>0</f>
        <v/>
      </c>
      <c r="N19" s="10">
        <f>0</f>
        <v/>
      </c>
      <c r="O19" s="9">
        <f>SUM(C19:N19)</f>
        <v/>
      </c>
    </row>
    <row r="20">
      <c r="A20" s="4" t="inlineStr">
        <is>
          <t xml:space="preserve">  Marketing</t>
        </is>
      </c>
      <c r="B20" s="4" t="inlineStr">
        <is>
          <t>M VND</t>
        </is>
      </c>
      <c r="C20" s="10">
        <f>opex_marketing*(1+marketing_growth)^1/12</f>
        <v/>
      </c>
      <c r="D20" s="10">
        <f>opex_marketing*(1+marketing_growth)^1/12</f>
        <v/>
      </c>
      <c r="E20" s="10">
        <f>opex_marketing*(1+marketing_growth)^1/12</f>
        <v/>
      </c>
      <c r="F20" s="10">
        <f>opex_marketing*(1+marketing_growth)^1/12</f>
        <v/>
      </c>
      <c r="G20" s="10">
        <f>opex_marketing*(1+marketing_growth)^1/12</f>
        <v/>
      </c>
      <c r="H20" s="10">
        <f>opex_marketing*(1+marketing_growth)^1/12</f>
        <v/>
      </c>
      <c r="I20" s="10">
        <f>opex_marketing*(1+marketing_growth)^1/12</f>
        <v/>
      </c>
      <c r="J20" s="10">
        <f>opex_marketing*(1+marketing_growth)^1/12</f>
        <v/>
      </c>
      <c r="K20" s="10">
        <f>opex_marketing*(1+marketing_growth)^1/12</f>
        <v/>
      </c>
      <c r="L20" s="10">
        <f>opex_marketing*(1+marketing_growth)^1/12</f>
        <v/>
      </c>
      <c r="M20" s="10">
        <f>opex_marketing*(1+marketing_growth)^1/12</f>
        <v/>
      </c>
      <c r="N20" s="10">
        <f>opex_marketing*(1+marketing_growth)^1/12</f>
        <v/>
      </c>
      <c r="O20" s="9">
        <f>SUM(C20:N20)</f>
        <v/>
      </c>
    </row>
    <row r="21">
      <c r="A21" s="4" t="inlineStr">
        <is>
          <t xml:space="preserve">  Branding</t>
        </is>
      </c>
      <c r="B21" s="4" t="inlineStr">
        <is>
          <t>M VND</t>
        </is>
      </c>
      <c r="C21" s="10">
        <f>opex_branding/12</f>
        <v/>
      </c>
      <c r="D21" s="10">
        <f>opex_branding/12</f>
        <v/>
      </c>
      <c r="E21" s="10">
        <f>opex_branding/12</f>
        <v/>
      </c>
      <c r="F21" s="10">
        <f>opex_branding/12</f>
        <v/>
      </c>
      <c r="G21" s="10">
        <f>opex_branding/12</f>
        <v/>
      </c>
      <c r="H21" s="10">
        <f>opex_branding/12</f>
        <v/>
      </c>
      <c r="I21" s="10">
        <f>opex_branding/12</f>
        <v/>
      </c>
      <c r="J21" s="10">
        <f>opex_branding/12</f>
        <v/>
      </c>
      <c r="K21" s="10">
        <f>opex_branding/12</f>
        <v/>
      </c>
      <c r="L21" s="10">
        <f>opex_branding/12</f>
        <v/>
      </c>
      <c r="M21" s="10">
        <f>opex_branding/12</f>
        <v/>
      </c>
      <c r="N21" s="10">
        <f>opex_branding/12</f>
        <v/>
      </c>
      <c r="O21" s="9">
        <f>SUM(C21:N21)</f>
        <v/>
      </c>
    </row>
    <row r="22">
      <c r="A22" s="4" t="inlineStr">
        <is>
          <t xml:space="preserve">  Cloud</t>
        </is>
      </c>
      <c r="B22" s="4" t="inlineStr">
        <is>
          <t>M VND</t>
        </is>
      </c>
      <c r="C22" s="10">
        <f>opex_cloud_base/12</f>
        <v/>
      </c>
      <c r="D22" s="10">
        <f>opex_cloud_base/12</f>
        <v/>
      </c>
      <c r="E22" s="10">
        <f>opex_cloud_base/12</f>
        <v/>
      </c>
      <c r="F22" s="10">
        <f>opex_cloud_base/12</f>
        <v/>
      </c>
      <c r="G22" s="10">
        <f>opex_cloud_base/12</f>
        <v/>
      </c>
      <c r="H22" s="10">
        <f>opex_cloud_base/12</f>
        <v/>
      </c>
      <c r="I22" s="10">
        <f>opex_cloud_base/12</f>
        <v/>
      </c>
      <c r="J22" s="10">
        <f>opex_cloud_base/12</f>
        <v/>
      </c>
      <c r="K22" s="10">
        <f>opex_cloud_base/12</f>
        <v/>
      </c>
      <c r="L22" s="10">
        <f>opex_cloud_base/12</f>
        <v/>
      </c>
      <c r="M22" s="10">
        <f>opex_cloud_base/12</f>
        <v/>
      </c>
      <c r="N22" s="10">
        <f>opex_cloud_base/12</f>
        <v/>
      </c>
      <c r="O22" s="9">
        <f>SUM(C22:N22)</f>
        <v/>
      </c>
    </row>
    <row r="23">
      <c r="A23" s="4" t="inlineStr">
        <is>
          <t xml:space="preserve">  Security</t>
        </is>
      </c>
      <c r="B23" s="4" t="inlineStr">
        <is>
          <t>M VND</t>
        </is>
      </c>
      <c r="C23" s="10">
        <f>opex_security/12</f>
        <v/>
      </c>
      <c r="D23" s="10">
        <f>opex_security/12</f>
        <v/>
      </c>
      <c r="E23" s="10">
        <f>opex_security/12</f>
        <v/>
      </c>
      <c r="F23" s="10">
        <f>opex_security/12</f>
        <v/>
      </c>
      <c r="G23" s="10">
        <f>opex_security/12</f>
        <v/>
      </c>
      <c r="H23" s="10">
        <f>opex_security/12</f>
        <v/>
      </c>
      <c r="I23" s="10">
        <f>opex_security/12</f>
        <v/>
      </c>
      <c r="J23" s="10">
        <f>opex_security/12</f>
        <v/>
      </c>
      <c r="K23" s="10">
        <f>opex_security/12</f>
        <v/>
      </c>
      <c r="L23" s="10">
        <f>opex_security/12</f>
        <v/>
      </c>
      <c r="M23" s="10">
        <f>opex_security/12</f>
        <v/>
      </c>
      <c r="N23" s="10">
        <f>opex_security/12</f>
        <v/>
      </c>
      <c r="O23" s="9">
        <f>SUM(C23:N23)</f>
        <v/>
      </c>
    </row>
    <row r="24">
      <c r="A24" s="4" t="inlineStr">
        <is>
          <t xml:space="preserve">  External</t>
        </is>
      </c>
      <c r="B24" s="4" t="inlineStr">
        <is>
          <t>M VND</t>
        </is>
      </c>
      <c r="C24" s="10">
        <f>opex_external/12</f>
        <v/>
      </c>
      <c r="D24" s="10">
        <f>opex_external/12</f>
        <v/>
      </c>
      <c r="E24" s="10">
        <f>opex_external/12</f>
        <v/>
      </c>
      <c r="F24" s="10">
        <f>opex_external/12</f>
        <v/>
      </c>
      <c r="G24" s="10">
        <f>opex_external/12</f>
        <v/>
      </c>
      <c r="H24" s="10">
        <f>opex_external/12</f>
        <v/>
      </c>
      <c r="I24" s="10">
        <f>opex_external/12</f>
        <v/>
      </c>
      <c r="J24" s="10">
        <f>opex_external/12</f>
        <v/>
      </c>
      <c r="K24" s="10">
        <f>opex_external/12</f>
        <v/>
      </c>
      <c r="L24" s="10">
        <f>opex_external/12</f>
        <v/>
      </c>
      <c r="M24" s="10">
        <f>opex_external/12</f>
        <v/>
      </c>
      <c r="N24" s="10">
        <f>opex_external/12</f>
        <v/>
      </c>
      <c r="O24" s="9">
        <f>SUM(C24:N24)</f>
        <v/>
      </c>
    </row>
    <row r="25">
      <c r="A25" s="4" t="inlineStr">
        <is>
          <t xml:space="preserve">  Legal</t>
        </is>
      </c>
      <c r="B25" s="4" t="inlineStr">
        <is>
          <t>M VND</t>
        </is>
      </c>
      <c r="C25" s="10">
        <f>opex_legal/12</f>
        <v/>
      </c>
      <c r="D25" s="10">
        <f>opex_legal/12</f>
        <v/>
      </c>
      <c r="E25" s="10">
        <f>opex_legal/12</f>
        <v/>
      </c>
      <c r="F25" s="10">
        <f>opex_legal/12</f>
        <v/>
      </c>
      <c r="G25" s="10">
        <f>opex_legal/12</f>
        <v/>
      </c>
      <c r="H25" s="10">
        <f>opex_legal/12</f>
        <v/>
      </c>
      <c r="I25" s="10">
        <f>opex_legal/12</f>
        <v/>
      </c>
      <c r="J25" s="10">
        <f>opex_legal/12</f>
        <v/>
      </c>
      <c r="K25" s="10">
        <f>opex_legal/12</f>
        <v/>
      </c>
      <c r="L25" s="10">
        <f>opex_legal/12</f>
        <v/>
      </c>
      <c r="M25" s="10">
        <f>opex_legal/12</f>
        <v/>
      </c>
      <c r="N25" s="10">
        <f>opex_legal/12</f>
        <v/>
      </c>
      <c r="O25" s="9">
        <f>SUM(C25:N25)</f>
        <v/>
      </c>
    </row>
    <row r="26">
      <c r="A26" s="4" t="inlineStr">
        <is>
          <t xml:space="preserve">  Partner mgmt</t>
        </is>
      </c>
      <c r="B26" s="4" t="inlineStr">
        <is>
          <t>M VND</t>
        </is>
      </c>
      <c r="C26" s="10">
        <f>opex_partner_mgmt/12</f>
        <v/>
      </c>
      <c r="D26" s="10">
        <f>opex_partner_mgmt/12</f>
        <v/>
      </c>
      <c r="E26" s="10">
        <f>opex_partner_mgmt/12</f>
        <v/>
      </c>
      <c r="F26" s="10">
        <f>opex_partner_mgmt/12</f>
        <v/>
      </c>
      <c r="G26" s="10">
        <f>opex_partner_mgmt/12</f>
        <v/>
      </c>
      <c r="H26" s="10">
        <f>opex_partner_mgmt/12</f>
        <v/>
      </c>
      <c r="I26" s="10">
        <f>opex_partner_mgmt/12</f>
        <v/>
      </c>
      <c r="J26" s="10">
        <f>opex_partner_mgmt/12</f>
        <v/>
      </c>
      <c r="K26" s="10">
        <f>opex_partner_mgmt/12</f>
        <v/>
      </c>
      <c r="L26" s="10">
        <f>opex_partner_mgmt/12</f>
        <v/>
      </c>
      <c r="M26" s="10">
        <f>opex_partner_mgmt/12</f>
        <v/>
      </c>
      <c r="N26" s="10">
        <f>opex_partner_mgmt/12</f>
        <v/>
      </c>
      <c r="O26" s="9">
        <f>SUM(C26:N26)</f>
        <v/>
      </c>
    </row>
    <row r="27">
      <c r="A27" s="4" t="inlineStr">
        <is>
          <t xml:space="preserve">  Customer support</t>
        </is>
      </c>
      <c r="B27" s="4" t="inlineStr">
        <is>
          <t>M VND</t>
        </is>
      </c>
      <c r="C27" s="10">
        <f>MAX(pilot_count,adoption_max/(1+EXP(-adoption_steepness*(2026.042-adoption_midpoint))))*opex_support_per_ent/12</f>
        <v/>
      </c>
      <c r="D27" s="10">
        <f>MAX(pilot_count,adoption_max/(1+EXP(-adoption_steepness*(2026.125-adoption_midpoint))))*opex_support_per_ent/12</f>
        <v/>
      </c>
      <c r="E27" s="10">
        <f>MAX(pilot_count,adoption_max/(1+EXP(-adoption_steepness*(2026.208-adoption_midpoint))))*opex_support_per_ent/12</f>
        <v/>
      </c>
      <c r="F27" s="10">
        <f>MAX(pilot_count,adoption_max/(1+EXP(-adoption_steepness*(2026.292-adoption_midpoint))))*opex_support_per_ent/12</f>
        <v/>
      </c>
      <c r="G27" s="10">
        <f>MAX(pilot_count,adoption_max/(1+EXP(-adoption_steepness*(2026.375-adoption_midpoint))))*opex_support_per_ent/12</f>
        <v/>
      </c>
      <c r="H27" s="10">
        <f>MAX(pilot_count,adoption_max/(1+EXP(-adoption_steepness*(2026.458-adoption_midpoint))))*opex_support_per_ent/12</f>
        <v/>
      </c>
      <c r="I27" s="10">
        <f>MAX(pilot_count,adoption_max/(1+EXP(-adoption_steepness*(2026.542-adoption_midpoint))))*opex_support_per_ent/12</f>
        <v/>
      </c>
      <c r="J27" s="10">
        <f>MAX(pilot_count,adoption_max/(1+EXP(-adoption_steepness*(2026.625-adoption_midpoint))))*opex_support_per_ent/12</f>
        <v/>
      </c>
      <c r="K27" s="10">
        <f>MAX(pilot_count,adoption_max/(1+EXP(-adoption_steepness*(2026.708-adoption_midpoint))))*opex_support_per_ent/12</f>
        <v/>
      </c>
      <c r="L27" s="10">
        <f>MAX(pilot_count,adoption_max/(1+EXP(-adoption_steepness*(2026.792-adoption_midpoint))))*opex_support_per_ent/12</f>
        <v/>
      </c>
      <c r="M27" s="10">
        <f>MAX(pilot_count,adoption_max/(1+EXP(-adoption_steepness*(2026.875-adoption_midpoint))))*opex_support_per_ent/12</f>
        <v/>
      </c>
      <c r="N27" s="10">
        <f>MAX(pilot_count,adoption_max/(1+EXP(-adoption_steepness*(2026.958-adoption_midpoint))))*opex_support_per_ent/12</f>
        <v/>
      </c>
      <c r="O27" s="9">
        <f>SUM(C27:N27)</f>
        <v/>
      </c>
    </row>
    <row r="28">
      <c r="A28" s="4" t="inlineStr">
        <is>
          <t>OPEX Subtotal</t>
        </is>
      </c>
      <c r="C28" s="9">
        <f>SUM(C15:C27)</f>
        <v/>
      </c>
      <c r="D28" s="9">
        <f>SUM(D15:D27)</f>
        <v/>
      </c>
      <c r="E28" s="9">
        <f>SUM(E15:E27)</f>
        <v/>
      </c>
      <c r="F28" s="9">
        <f>SUM(F15:F27)</f>
        <v/>
      </c>
      <c r="G28" s="9">
        <f>SUM(G15:G27)</f>
        <v/>
      </c>
      <c r="H28" s="9">
        <f>SUM(H15:H27)</f>
        <v/>
      </c>
      <c r="I28" s="9">
        <f>SUM(I15:I27)</f>
        <v/>
      </c>
      <c r="J28" s="9">
        <f>SUM(J15:J27)</f>
        <v/>
      </c>
      <c r="K28" s="9">
        <f>SUM(K15:K27)</f>
        <v/>
      </c>
      <c r="L28" s="9">
        <f>SUM(L15:L27)</f>
        <v/>
      </c>
      <c r="M28" s="9">
        <f>SUM(M15:M27)</f>
        <v/>
      </c>
      <c r="N28" s="9">
        <f>SUM(N15:N27)</f>
        <v/>
      </c>
      <c r="O28" s="9">
        <f>SUM(C28:N28)</f>
        <v/>
      </c>
    </row>
    <row r="29">
      <c r="A29" s="4" t="inlineStr">
        <is>
          <t xml:space="preserve">  Contingency</t>
        </is>
      </c>
      <c r="B29" s="4" t="inlineStr">
        <is>
          <t>M VND</t>
        </is>
      </c>
      <c r="C29" s="10">
        <f>C28*opex_contingency_pct</f>
        <v/>
      </c>
      <c r="D29" s="10">
        <f>D28*opex_contingency_pct</f>
        <v/>
      </c>
      <c r="E29" s="10">
        <f>E28*opex_contingency_pct</f>
        <v/>
      </c>
      <c r="F29" s="10">
        <f>F28*opex_contingency_pct</f>
        <v/>
      </c>
      <c r="G29" s="10">
        <f>G28*opex_contingency_pct</f>
        <v/>
      </c>
      <c r="H29" s="10">
        <f>H28*opex_contingency_pct</f>
        <v/>
      </c>
      <c r="I29" s="10">
        <f>I28*opex_contingency_pct</f>
        <v/>
      </c>
      <c r="J29" s="10">
        <f>J28*opex_contingency_pct</f>
        <v/>
      </c>
      <c r="K29" s="10">
        <f>K28*opex_contingency_pct</f>
        <v/>
      </c>
      <c r="L29" s="10">
        <f>L28*opex_contingency_pct</f>
        <v/>
      </c>
      <c r="M29" s="10">
        <f>M28*opex_contingency_pct</f>
        <v/>
      </c>
      <c r="N29" s="10">
        <f>N28*opex_contingency_pct</f>
        <v/>
      </c>
      <c r="O29" s="9">
        <f>SUM(C29:N29)</f>
        <v/>
      </c>
    </row>
    <row r="30">
      <c r="A30" s="4" t="inlineStr">
        <is>
          <t>TOTAL OPEX</t>
        </is>
      </c>
      <c r="C30" s="9">
        <f>C28+C29</f>
        <v/>
      </c>
      <c r="D30" s="9">
        <f>D28+D29</f>
        <v/>
      </c>
      <c r="E30" s="9">
        <f>E28+E29</f>
        <v/>
      </c>
      <c r="F30" s="9">
        <f>F28+F29</f>
        <v/>
      </c>
      <c r="G30" s="9">
        <f>G28+G29</f>
        <v/>
      </c>
      <c r="H30" s="9">
        <f>H28+H29</f>
        <v/>
      </c>
      <c r="I30" s="9">
        <f>I28+I29</f>
        <v/>
      </c>
      <c r="J30" s="9">
        <f>J28+J29</f>
        <v/>
      </c>
      <c r="K30" s="9">
        <f>K28+K29</f>
        <v/>
      </c>
      <c r="L30" s="9">
        <f>L28+L29</f>
        <v/>
      </c>
      <c r="M30" s="9">
        <f>M28+M29</f>
        <v/>
      </c>
      <c r="N30" s="9">
        <f>N28+N29</f>
        <v/>
      </c>
      <c r="O30" s="9">
        <f>SUM(C30:N30)</f>
        <v/>
      </c>
    </row>
    <row r="32">
      <c r="A32" s="29" t="inlineStr">
        <is>
          <t>SUMMARY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</row>
    <row r="33">
      <c r="A33" s="4" t="inlineStr">
        <is>
          <t>Revenue</t>
        </is>
      </c>
      <c r="C33" s="10">
        <f>C8</f>
        <v/>
      </c>
      <c r="D33" s="10">
        <f>D8</f>
        <v/>
      </c>
      <c r="E33" s="10">
        <f>E8</f>
        <v/>
      </c>
      <c r="F33" s="10">
        <f>F8</f>
        <v/>
      </c>
      <c r="G33" s="10">
        <f>G8</f>
        <v/>
      </c>
      <c r="H33" s="10">
        <f>H8</f>
        <v/>
      </c>
      <c r="I33" s="10">
        <f>I8</f>
        <v/>
      </c>
      <c r="J33" s="10">
        <f>J8</f>
        <v/>
      </c>
      <c r="K33" s="10">
        <f>K8</f>
        <v/>
      </c>
      <c r="L33" s="10">
        <f>L8</f>
        <v/>
      </c>
      <c r="M33" s="10">
        <f>M8</f>
        <v/>
      </c>
      <c r="N33" s="10">
        <f>N8</f>
        <v/>
      </c>
      <c r="O33" s="9">
        <f>SUM(C33:N33)</f>
        <v/>
      </c>
    </row>
    <row r="34">
      <c r="A34" s="4" t="inlineStr">
        <is>
          <t>CAPEX</t>
        </is>
      </c>
      <c r="C34" s="10">
        <f>C12</f>
        <v/>
      </c>
      <c r="D34" s="10">
        <f>D12</f>
        <v/>
      </c>
      <c r="E34" s="10">
        <f>E12</f>
        <v/>
      </c>
      <c r="F34" s="10">
        <f>F12</f>
        <v/>
      </c>
      <c r="G34" s="10">
        <f>G12</f>
        <v/>
      </c>
      <c r="H34" s="10">
        <f>H12</f>
        <v/>
      </c>
      <c r="I34" s="10">
        <f>I12</f>
        <v/>
      </c>
      <c r="J34" s="10">
        <f>J12</f>
        <v/>
      </c>
      <c r="K34" s="10">
        <f>K12</f>
        <v/>
      </c>
      <c r="L34" s="10">
        <f>L12</f>
        <v/>
      </c>
      <c r="M34" s="10">
        <f>M12</f>
        <v/>
      </c>
      <c r="N34" s="10">
        <f>N12</f>
        <v/>
      </c>
      <c r="O34" s="9">
        <f>SUM(C34:N34)</f>
        <v/>
      </c>
    </row>
    <row r="35">
      <c r="A35" s="4" t="inlineStr">
        <is>
          <t>OPEX</t>
        </is>
      </c>
      <c r="C35" s="10">
        <f>C30</f>
        <v/>
      </c>
      <c r="D35" s="10">
        <f>D30</f>
        <v/>
      </c>
      <c r="E35" s="10">
        <f>E30</f>
        <v/>
      </c>
      <c r="F35" s="10">
        <f>F30</f>
        <v/>
      </c>
      <c r="G35" s="10">
        <f>G30</f>
        <v/>
      </c>
      <c r="H35" s="10">
        <f>H30</f>
        <v/>
      </c>
      <c r="I35" s="10">
        <f>I30</f>
        <v/>
      </c>
      <c r="J35" s="10">
        <f>J30</f>
        <v/>
      </c>
      <c r="K35" s="10">
        <f>K30</f>
        <v/>
      </c>
      <c r="L35" s="10">
        <f>L30</f>
        <v/>
      </c>
      <c r="M35" s="10">
        <f>M30</f>
        <v/>
      </c>
      <c r="N35" s="10">
        <f>N30</f>
        <v/>
      </c>
      <c r="O35" s="9">
        <f>SUM(C35:N35)</f>
        <v/>
      </c>
    </row>
    <row r="36">
      <c r="A36" s="4" t="inlineStr">
        <is>
          <t>TOTAL BUDGET</t>
        </is>
      </c>
      <c r="C36" s="9">
        <f>C34+C35</f>
        <v/>
      </c>
      <c r="D36" s="9">
        <f>D34+D35</f>
        <v/>
      </c>
      <c r="E36" s="9">
        <f>E34+E35</f>
        <v/>
      </c>
      <c r="F36" s="9">
        <f>F34+F35</f>
        <v/>
      </c>
      <c r="G36" s="9">
        <f>G34+G35</f>
        <v/>
      </c>
      <c r="H36" s="9">
        <f>H34+H35</f>
        <v/>
      </c>
      <c r="I36" s="9">
        <f>I34+I35</f>
        <v/>
      </c>
      <c r="J36" s="9">
        <f>J34+J35</f>
        <v/>
      </c>
      <c r="K36" s="9">
        <f>K34+K35</f>
        <v/>
      </c>
      <c r="L36" s="9">
        <f>L34+L35</f>
        <v/>
      </c>
      <c r="M36" s="9">
        <f>M34+M35</f>
        <v/>
      </c>
      <c r="N36" s="9">
        <f>N34+N35</f>
        <v/>
      </c>
      <c r="O36" s="9">
        <f>SUM(C36:N36)</f>
        <v/>
      </c>
    </row>
    <row r="37">
      <c r="A37" s="4" t="inlineStr">
        <is>
          <t>NET (Rev-Budget)</t>
        </is>
      </c>
      <c r="C37" s="9">
        <f>C33-C36</f>
        <v/>
      </c>
      <c r="D37" s="9">
        <f>D33-D36</f>
        <v/>
      </c>
      <c r="E37" s="9">
        <f>E33-E36</f>
        <v/>
      </c>
      <c r="F37" s="9">
        <f>F33-F36</f>
        <v/>
      </c>
      <c r="G37" s="9">
        <f>G33-G36</f>
        <v/>
      </c>
      <c r="H37" s="9">
        <f>H33-H36</f>
        <v/>
      </c>
      <c r="I37" s="9">
        <f>I33-I36</f>
        <v/>
      </c>
      <c r="J37" s="9">
        <f>J33-J36</f>
        <v/>
      </c>
      <c r="K37" s="9">
        <f>K33-K36</f>
        <v/>
      </c>
      <c r="L37" s="9">
        <f>L33-L36</f>
        <v/>
      </c>
      <c r="M37" s="9">
        <f>M33-M36</f>
        <v/>
      </c>
      <c r="N37" s="9">
        <f>N33-N36</f>
        <v/>
      </c>
      <c r="O37" s="9">
        <f>SUM(C37:N37)</f>
        <v/>
      </c>
    </row>
    <row r="38">
      <c r="A38" s="4" t="inlineStr">
        <is>
          <t>Cumulative</t>
        </is>
      </c>
      <c r="C38" s="10">
        <f>C37</f>
        <v/>
      </c>
      <c r="D38" s="10">
        <f>C38+D37</f>
        <v/>
      </c>
      <c r="E38" s="10">
        <f>D38+E37</f>
        <v/>
      </c>
      <c r="F38" s="10">
        <f>E38+F37</f>
        <v/>
      </c>
      <c r="G38" s="10">
        <f>F38+G37</f>
        <v/>
      </c>
      <c r="H38" s="10">
        <f>G38+H37</f>
        <v/>
      </c>
      <c r="I38" s="10">
        <f>H38+I37</f>
        <v/>
      </c>
      <c r="J38" s="10">
        <f>I38+J37</f>
        <v/>
      </c>
      <c r="K38" s="10">
        <f>J38+K37</f>
        <v/>
      </c>
      <c r="L38" s="10">
        <f>K38+L37</f>
        <v/>
      </c>
      <c r="M38" s="10">
        <f>L38+M37</f>
        <v/>
      </c>
      <c r="N38" s="10">
        <f>M38+N37</f>
        <v/>
      </c>
      <c r="O38" s="9">
        <f>N38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2026-03-21T10:20:37Z</dcterms:created>
  <dcterms:modified xmlns:dcterms="http://purl.org/dc/terms/" xmlns:xsi="http://www.w3.org/2001/XMLSchema-instance" xsi:type="dcterms:W3CDTF">2026-03-21T12:01:06Z</dcterms:modified>
  <cp:lastModifiedBy>Nguyen Hoai Nam (VPBDH)</cp:lastModifiedBy>
</cp:coreProperties>
</file>