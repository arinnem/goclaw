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tmp\"/>
    </mc:Choice>
  </mc:AlternateContent>
  <xr:revisionPtr revIDLastSave="0" documentId="13_ncr:1_{5AB88999-5891-42D3-B0EA-2DAE371F5ECA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Hướng dẫn" sheetId="1" r:id="rId1"/>
    <sheet name="Assumptions" sheetId="2" r:id="rId2"/>
    <sheet name="Đầu tư ban đầu" sheetId="3" r:id="rId3"/>
    <sheet name="Nhân sự" sheetId="4" r:id="rId4"/>
    <sheet name="Quy mô thị trường" sheetId="5" r:id="rId5"/>
    <sheet name="Doanh thu" sheetId="6" r:id="rId6"/>
    <sheet name="Chi phí" sheetId="7" r:id="rId7"/>
    <sheet name="Kết quả KD" sheetId="8" r:id="rId8"/>
    <sheet name="Dòng tiền" sheetId="9" r:id="rId9"/>
    <sheet name="Thẩm định" sheetId="10" r:id="rId10"/>
    <sheet name="Kịch bản" sheetId="11" r:id="rId11"/>
    <sheet name="Ngân sách 2025" sheetId="12" r:id="rId12"/>
    <sheet name="Ngân sách 2026" sheetId="13" r:id="rId13"/>
  </sheets>
  <definedNames>
    <definedName name="ad_cpm">Assumptions!$B$31</definedName>
    <definedName name="ad_impressions_base">Assumptions!$B$32</definedName>
    <definedName name="adoption_max">Assumptions!$B$18</definedName>
    <definedName name="adoption_midpoint">Assumptions!$B$19</definedName>
    <definedName name="adoption_steepness">Assumptions!$B$20</definedName>
    <definedName name="ap_days">Assumptions!$B$71</definedName>
    <definedName name="ar_days">Assumptions!$B$70</definedName>
    <definedName name="audit_fee">Assumptions!$B$34</definedName>
    <definedName name="base_year">Assumptions!$B$6</definedName>
    <definedName name="bhxh_rate">Assumptions!$B$62</definedName>
    <definedName name="capex_backend">'Đầu tư ban đầu'!$B$5</definedName>
    <definedName name="capex_cloud_setup">'Đầu tư ban đầu'!$B$4</definedName>
    <definedName name="capex_contingency">'Đầu tư ban đầu'!$B$13</definedName>
    <definedName name="capex_data_platform">'Đầu tư ban đầu'!$B$7</definedName>
    <definedName name="capex_devops">'Đầu tư ban đầu'!$B$11</definedName>
    <definedName name="capex_frontend">'Đầu tư ban đầu'!$B$6</definedName>
    <definedName name="capex_integration">'Đầu tư ban đầu'!$B$10</definedName>
    <definedName name="capex_maintenance_pct">Assumptions!$B$39</definedName>
    <definedName name="capex_security_setup">'Đầu tư ban đầu'!$B$8</definedName>
    <definedName name="capex_testing">'Đầu tư ban đầu'!$B$12</definedName>
    <definedName name="capex_total">'Đầu tư ban đầu'!$B$15</definedName>
    <definedName name="capex_ux_design">'Đầu tư ban đầu'!$B$9</definedName>
    <definedName name="cert_fee_escalation">Assumptions!$B$27</definedName>
    <definedName name="cert_fee_yr1">Assumptions!$B$26</definedName>
    <definedName name="churn_rate">Assumptions!$B$22</definedName>
    <definedName name="cit_rate">Assumptions!$B$67</definedName>
    <definedName name="cloud_per_1M_vcr">Assumptions!$B$43</definedName>
    <definedName name="daas_price">Assumptions!$B$30</definedName>
    <definedName name="depreciation_years">Assumptions!$B$69</definedName>
    <definedName name="discount_rate">Assumptions!$B$68</definedName>
    <definedName name="ecom_growth_rate">Assumptions!$B$14</definedName>
    <definedName name="ecom_market_base">Assumptions!$B$13</definedName>
    <definedName name="marketing_growth">Assumptions!$B$41</definedName>
    <definedName name="opex_branding">Assumptions!$B$47</definedName>
    <definedName name="opex_cloud_base">Assumptions!$B$42</definedName>
    <definedName name="opex_contingency_pct">Assumptions!$B$53</definedName>
    <definedName name="opex_external">Assumptions!$B$45</definedName>
    <definedName name="opex_legal">Assumptions!$B$46</definedName>
    <definedName name="opex_marketing">Assumptions!$B$40</definedName>
    <definedName name="opex_partner_mgmt">Assumptions!$B$52</definedName>
    <definedName name="opex_pilot_eval">Assumptions!$B$49</definedName>
    <definedName name="opex_security">Assumptions!$B$48</definedName>
    <definedName name="opex_support_per_ent">Assumptions!$B$51</definedName>
    <definedName name="payment_proc_pct">Assumptions!$B$50</definedName>
    <definedName name="pilot_count">Assumptions!$B$21</definedName>
    <definedName name="platform_market_share">Assumptions!$B$29</definedName>
    <definedName name="recruit_cost_pct">Assumptions!$B$63</definedName>
    <definedName name="salary_bizops">Assumptions!$B$59</definedName>
    <definedName name="salary_data">Assumptions!$B$60</definedName>
    <definedName name="salary_dev">Assumptions!$B$58</definedName>
    <definedName name="salary_escalation">Assumptions!$B$61</definedName>
    <definedName name="salary_mgmt">Assumptions!$B$57</definedName>
    <definedName name="SAM_enterprises">Assumptions!$B$12</definedName>
    <definedName name="stage2_gate">Assumptions!$B$72</definedName>
    <definedName name="start_month">Assumptions!$B$7</definedName>
    <definedName name="TAM_enterprises">Assumptions!$B$11</definedName>
    <definedName name="training_fee">Assumptions!$B$33</definedName>
    <definedName name="training_pct">Assumptions!$B$35</definedName>
    <definedName name="tx_take_rate">Assumptions!$B$28</definedName>
    <definedName name="vcr_per_enterprise">Assumptions!$B$44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7" i="13" l="1"/>
  <c r="M27" i="13"/>
  <c r="L27" i="13"/>
  <c r="K27" i="13"/>
  <c r="J27" i="13"/>
  <c r="I27" i="13"/>
  <c r="H27" i="13"/>
  <c r="G27" i="13"/>
  <c r="F27" i="13"/>
  <c r="E27" i="13"/>
  <c r="D27" i="13"/>
  <c r="C27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N15" i="13"/>
  <c r="N28" i="13" s="1"/>
  <c r="M15" i="13"/>
  <c r="L15" i="13"/>
  <c r="K15" i="13"/>
  <c r="J15" i="13"/>
  <c r="I15" i="13"/>
  <c r="H15" i="13"/>
  <c r="G15" i="13"/>
  <c r="F15" i="13"/>
  <c r="E15" i="13"/>
  <c r="D15" i="13"/>
  <c r="C15" i="13"/>
  <c r="I11" i="13"/>
  <c r="I12" i="13" s="1"/>
  <c r="I34" i="13" s="1"/>
  <c r="N7" i="13"/>
  <c r="M7" i="13"/>
  <c r="L7" i="13"/>
  <c r="K7" i="13"/>
  <c r="J7" i="13"/>
  <c r="I7" i="13"/>
  <c r="H7" i="13"/>
  <c r="G7" i="13"/>
  <c r="F7" i="13"/>
  <c r="E7" i="13"/>
  <c r="D7" i="13"/>
  <c r="C7" i="13"/>
  <c r="N6" i="13"/>
  <c r="M6" i="13"/>
  <c r="L6" i="13"/>
  <c r="K6" i="13"/>
  <c r="J6" i="13"/>
  <c r="I6" i="13"/>
  <c r="H6" i="13"/>
  <c r="G6" i="13"/>
  <c r="F6" i="13"/>
  <c r="E6" i="13"/>
  <c r="D6" i="13"/>
  <c r="C6" i="13"/>
  <c r="N5" i="13"/>
  <c r="M5" i="13"/>
  <c r="L5" i="13"/>
  <c r="K5" i="13"/>
  <c r="J5" i="13"/>
  <c r="I5" i="13"/>
  <c r="H5" i="13"/>
  <c r="H8" i="13" s="1"/>
  <c r="H33" i="13" s="1"/>
  <c r="G5" i="13"/>
  <c r="F5" i="13"/>
  <c r="E5" i="13"/>
  <c r="D5" i="13"/>
  <c r="D8" i="13" s="1"/>
  <c r="D33" i="13" s="1"/>
  <c r="C5" i="13"/>
  <c r="H36" i="12"/>
  <c r="G36" i="12"/>
  <c r="F36" i="12"/>
  <c r="E36" i="12"/>
  <c r="D36" i="12"/>
  <c r="C36" i="12"/>
  <c r="H35" i="12"/>
  <c r="G35" i="12"/>
  <c r="F35" i="12"/>
  <c r="E35" i="12"/>
  <c r="D35" i="12"/>
  <c r="C35" i="12"/>
  <c r="I35" i="12" s="1"/>
  <c r="H34" i="12"/>
  <c r="G34" i="12"/>
  <c r="F34" i="12"/>
  <c r="E34" i="12"/>
  <c r="D34" i="12"/>
  <c r="C34" i="12"/>
  <c r="H33" i="12"/>
  <c r="G33" i="12"/>
  <c r="F33" i="12"/>
  <c r="E33" i="12"/>
  <c r="D33" i="12"/>
  <c r="C33" i="12"/>
  <c r="H32" i="12"/>
  <c r="I32" i="12" s="1"/>
  <c r="G32" i="12"/>
  <c r="F32" i="12"/>
  <c r="E32" i="12"/>
  <c r="D32" i="12"/>
  <c r="C32" i="12"/>
  <c r="H31" i="12"/>
  <c r="G31" i="12"/>
  <c r="F31" i="12"/>
  <c r="E31" i="12"/>
  <c r="D31" i="12"/>
  <c r="C31" i="12"/>
  <c r="H30" i="12"/>
  <c r="G30" i="12"/>
  <c r="I30" i="12" s="1"/>
  <c r="F30" i="12"/>
  <c r="E30" i="12"/>
  <c r="D30" i="12"/>
  <c r="C30" i="12"/>
  <c r="H29" i="12"/>
  <c r="G29" i="12"/>
  <c r="F29" i="12"/>
  <c r="E29" i="12"/>
  <c r="D29" i="12"/>
  <c r="C29" i="12"/>
  <c r="H28" i="12"/>
  <c r="G28" i="12"/>
  <c r="F28" i="12"/>
  <c r="E28" i="12"/>
  <c r="D28" i="12"/>
  <c r="C28" i="12"/>
  <c r="H27" i="12"/>
  <c r="G27" i="12"/>
  <c r="F27" i="12"/>
  <c r="E27" i="12"/>
  <c r="D27" i="12"/>
  <c r="C27" i="12"/>
  <c r="H26" i="12"/>
  <c r="G26" i="12"/>
  <c r="F26" i="12"/>
  <c r="E26" i="12"/>
  <c r="D26" i="12"/>
  <c r="C26" i="12"/>
  <c r="H25" i="12"/>
  <c r="G25" i="12"/>
  <c r="F25" i="12"/>
  <c r="E25" i="12"/>
  <c r="D25" i="12"/>
  <c r="C25" i="12"/>
  <c r="H24" i="12"/>
  <c r="G24" i="12"/>
  <c r="F24" i="12"/>
  <c r="E24" i="12"/>
  <c r="E37" i="12" s="1"/>
  <c r="D24" i="12"/>
  <c r="C24" i="12"/>
  <c r="C21" i="12"/>
  <c r="I20" i="12"/>
  <c r="H20" i="12"/>
  <c r="G20" i="12"/>
  <c r="F20" i="12"/>
  <c r="E20" i="12"/>
  <c r="D20" i="12"/>
  <c r="C20" i="12"/>
  <c r="H19" i="12"/>
  <c r="G19" i="12"/>
  <c r="F19" i="12"/>
  <c r="E19" i="12"/>
  <c r="D19" i="12"/>
  <c r="C19" i="12"/>
  <c r="I19" i="12" s="1"/>
  <c r="I18" i="12"/>
  <c r="H18" i="12"/>
  <c r="G18" i="12"/>
  <c r="F18" i="12"/>
  <c r="E18" i="12"/>
  <c r="D18" i="12"/>
  <c r="C18" i="12"/>
  <c r="H17" i="12"/>
  <c r="G17" i="12"/>
  <c r="F17" i="12"/>
  <c r="E17" i="12"/>
  <c r="D17" i="12"/>
  <c r="C17" i="12"/>
  <c r="H16" i="12"/>
  <c r="G16" i="12"/>
  <c r="F16" i="12"/>
  <c r="E16" i="12"/>
  <c r="I16" i="12" s="1"/>
  <c r="D16" i="12"/>
  <c r="C16" i="12"/>
  <c r="H15" i="12"/>
  <c r="G15" i="12"/>
  <c r="F15" i="12"/>
  <c r="E15" i="12"/>
  <c r="D15" i="12"/>
  <c r="C15" i="12"/>
  <c r="H14" i="12"/>
  <c r="G14" i="12"/>
  <c r="F14" i="12"/>
  <c r="E14" i="12"/>
  <c r="D14" i="12"/>
  <c r="I14" i="12" s="1"/>
  <c r="C14" i="12"/>
  <c r="H13" i="12"/>
  <c r="G13" i="12"/>
  <c r="F13" i="12"/>
  <c r="E13" i="12"/>
  <c r="D13" i="12"/>
  <c r="C13" i="12"/>
  <c r="I13" i="12" s="1"/>
  <c r="H12" i="12"/>
  <c r="G12" i="12"/>
  <c r="F12" i="12"/>
  <c r="E12" i="12"/>
  <c r="D12" i="12"/>
  <c r="I12" i="12" s="1"/>
  <c r="C12" i="12"/>
  <c r="H11" i="12"/>
  <c r="H21" i="12" s="1"/>
  <c r="H43" i="12" s="1"/>
  <c r="G11" i="12"/>
  <c r="G21" i="12" s="1"/>
  <c r="G43" i="12" s="1"/>
  <c r="F11" i="12"/>
  <c r="F21" i="12" s="1"/>
  <c r="F43" i="12" s="1"/>
  <c r="E11" i="12"/>
  <c r="D11" i="12"/>
  <c r="C11" i="12"/>
  <c r="I11" i="12" s="1"/>
  <c r="H7" i="12"/>
  <c r="G7" i="12"/>
  <c r="F7" i="12"/>
  <c r="E7" i="12"/>
  <c r="D7" i="12"/>
  <c r="C7" i="12"/>
  <c r="H6" i="12"/>
  <c r="G6" i="12"/>
  <c r="G8" i="12" s="1"/>
  <c r="G42" i="12" s="1"/>
  <c r="F6" i="12"/>
  <c r="E6" i="12"/>
  <c r="D6" i="12"/>
  <c r="C6" i="12"/>
  <c r="H5" i="12"/>
  <c r="G5" i="12"/>
  <c r="F5" i="12"/>
  <c r="E5" i="12"/>
  <c r="D5" i="12"/>
  <c r="C5" i="12"/>
  <c r="D14" i="11"/>
  <c r="D13" i="11"/>
  <c r="D12" i="11"/>
  <c r="D11" i="11"/>
  <c r="D10" i="11"/>
  <c r="D9" i="11"/>
  <c r="D8" i="11"/>
  <c r="D7" i="11"/>
  <c r="D6" i="11"/>
  <c r="D5" i="11"/>
  <c r="B18" i="10"/>
  <c r="B17" i="10"/>
  <c r="AO6" i="9"/>
  <c r="AR10" i="8"/>
  <c r="AR6" i="9" s="1"/>
  <c r="AQ10" i="8"/>
  <c r="AQ6" i="9" s="1"/>
  <c r="AP10" i="8"/>
  <c r="AP6" i="9" s="1"/>
  <c r="AO10" i="8"/>
  <c r="AG10" i="8"/>
  <c r="AG6" i="9" s="1"/>
  <c r="Q10" i="8"/>
  <c r="Q6" i="9" s="1"/>
  <c r="M10" i="8"/>
  <c r="M6" i="9" s="1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G7" i="7"/>
  <c r="G11" i="9" s="1"/>
  <c r="G12" i="9" s="1"/>
  <c r="F7" i="7"/>
  <c r="D7" i="7"/>
  <c r="AI6" i="7"/>
  <c r="AH6" i="7"/>
  <c r="AD6" i="7"/>
  <c r="AD7" i="7" s="1"/>
  <c r="AC6" i="7"/>
  <c r="AC7" i="7" s="1"/>
  <c r="AB6" i="7"/>
  <c r="AB7" i="7" s="1"/>
  <c r="W6" i="7"/>
  <c r="O6" i="7"/>
  <c r="O7" i="7" s="1"/>
  <c r="O11" i="9" s="1"/>
  <c r="O12" i="9" s="1"/>
  <c r="N6" i="7"/>
  <c r="H6" i="7"/>
  <c r="G6" i="7"/>
  <c r="F6" i="7"/>
  <c r="E6" i="7"/>
  <c r="D6" i="7"/>
  <c r="C6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N7" i="7" s="1"/>
  <c r="M5" i="7"/>
  <c r="L5" i="7"/>
  <c r="K5" i="7"/>
  <c r="J5" i="7"/>
  <c r="I5" i="7"/>
  <c r="G5" i="7"/>
  <c r="F5" i="7"/>
  <c r="E5" i="7"/>
  <c r="D5" i="7"/>
  <c r="AG15" i="5"/>
  <c r="AG7" i="6" s="1"/>
  <c r="W15" i="5"/>
  <c r="W17" i="5" s="1"/>
  <c r="W13" i="7" s="1"/>
  <c r="S15" i="5"/>
  <c r="S7" i="6" s="1"/>
  <c r="D14" i="5"/>
  <c r="C14" i="5"/>
  <c r="AR13" i="5"/>
  <c r="AR14" i="5" s="1"/>
  <c r="AQ13" i="5"/>
  <c r="AQ14" i="5" s="1"/>
  <c r="AI13" i="5"/>
  <c r="D13" i="5"/>
  <c r="C13" i="5"/>
  <c r="C15" i="5" s="1"/>
  <c r="AI5" i="5"/>
  <c r="AI10" i="5" s="1"/>
  <c r="AF5" i="5"/>
  <c r="AF11" i="7" s="1"/>
  <c r="AE5" i="5"/>
  <c r="AE11" i="7" s="1"/>
  <c r="AD5" i="5"/>
  <c r="AD10" i="5" s="1"/>
  <c r="AC5" i="5"/>
  <c r="AC10" i="5" s="1"/>
  <c r="R5" i="5"/>
  <c r="AR4" i="5"/>
  <c r="AR5" i="5" s="1"/>
  <c r="AR11" i="7" s="1"/>
  <c r="AQ4" i="5"/>
  <c r="AQ5" i="5" s="1"/>
  <c r="AP4" i="5"/>
  <c r="AP13" i="5" s="1"/>
  <c r="AO4" i="5"/>
  <c r="AO13" i="5" s="1"/>
  <c r="AN4" i="5"/>
  <c r="AN5" i="5" s="1"/>
  <c r="AM4" i="5"/>
  <c r="AM13" i="5" s="1"/>
  <c r="AL4" i="5"/>
  <c r="AL13" i="5" s="1"/>
  <c r="AK4" i="5"/>
  <c r="AK13" i="5" s="1"/>
  <c r="AK14" i="5" s="1"/>
  <c r="AJ4" i="5"/>
  <c r="AJ5" i="5" s="1"/>
  <c r="AI4" i="5"/>
  <c r="AH4" i="5"/>
  <c r="AH13" i="5" s="1"/>
  <c r="AH14" i="5" s="1"/>
  <c r="AG4" i="5"/>
  <c r="AG13" i="5" s="1"/>
  <c r="AG14" i="5" s="1"/>
  <c r="AF4" i="5"/>
  <c r="AF13" i="5" s="1"/>
  <c r="AE4" i="5"/>
  <c r="AE13" i="5" s="1"/>
  <c r="AD4" i="5"/>
  <c r="AD13" i="5" s="1"/>
  <c r="AD14" i="5" s="1"/>
  <c r="AC4" i="5"/>
  <c r="AC13" i="5" s="1"/>
  <c r="AB4" i="5"/>
  <c r="AB13" i="5" s="1"/>
  <c r="AA4" i="5"/>
  <c r="AA13" i="5" s="1"/>
  <c r="Z4" i="5"/>
  <c r="Z13" i="5" s="1"/>
  <c r="Y4" i="5"/>
  <c r="Y13" i="5" s="1"/>
  <c r="X4" i="5"/>
  <c r="X13" i="5" s="1"/>
  <c r="W4" i="5"/>
  <c r="W13" i="5" s="1"/>
  <c r="W14" i="5" s="1"/>
  <c r="V4" i="5"/>
  <c r="V13" i="5" s="1"/>
  <c r="U4" i="5"/>
  <c r="U5" i="5" s="1"/>
  <c r="U11" i="7" s="1"/>
  <c r="T4" i="5"/>
  <c r="T13" i="5" s="1"/>
  <c r="S4" i="5"/>
  <c r="S13" i="5" s="1"/>
  <c r="S14" i="5" s="1"/>
  <c r="R4" i="5"/>
  <c r="R13" i="5" s="1"/>
  <c r="Q4" i="5"/>
  <c r="Q5" i="5" s="1"/>
  <c r="P4" i="5"/>
  <c r="P13" i="5" s="1"/>
  <c r="O4" i="5"/>
  <c r="O5" i="5" s="1"/>
  <c r="N4" i="5"/>
  <c r="N13" i="5" s="1"/>
  <c r="M4" i="5"/>
  <c r="M13" i="5" s="1"/>
  <c r="L4" i="5"/>
  <c r="L13" i="5" s="1"/>
  <c r="K4" i="5"/>
  <c r="K13" i="5" s="1"/>
  <c r="J4" i="5"/>
  <c r="J13" i="5" s="1"/>
  <c r="I4" i="5"/>
  <c r="I13" i="5" s="1"/>
  <c r="H4" i="5"/>
  <c r="H5" i="5" s="1"/>
  <c r="H11" i="7" s="1"/>
  <c r="G4" i="5"/>
  <c r="G5" i="5" s="1"/>
  <c r="G10" i="5" s="1"/>
  <c r="F4" i="5"/>
  <c r="F13" i="5" s="1"/>
  <c r="E4" i="5"/>
  <c r="E13" i="5" s="1"/>
  <c r="D4" i="5"/>
  <c r="D5" i="5" s="1"/>
  <c r="C4" i="5"/>
  <c r="C5" i="5" s="1"/>
  <c r="P20" i="4"/>
  <c r="V19" i="4"/>
  <c r="U19" i="4"/>
  <c r="R19" i="4"/>
  <c r="H19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R15" i="4"/>
  <c r="AR19" i="4" s="1"/>
  <c r="AQ15" i="4"/>
  <c r="AQ19" i="4" s="1"/>
  <c r="AP15" i="4"/>
  <c r="AP19" i="4" s="1"/>
  <c r="AO15" i="4"/>
  <c r="AO19" i="4" s="1"/>
  <c r="AN15" i="4"/>
  <c r="AM15" i="4"/>
  <c r="AM19" i="4" s="1"/>
  <c r="AL15" i="4"/>
  <c r="AL19" i="4" s="1"/>
  <c r="AK15" i="4"/>
  <c r="AJ15" i="4"/>
  <c r="AJ19" i="4" s="1"/>
  <c r="AI15" i="4"/>
  <c r="AH15" i="4"/>
  <c r="AG15" i="4"/>
  <c r="AG19" i="4" s="1"/>
  <c r="AF15" i="4"/>
  <c r="AF19" i="4" s="1"/>
  <c r="AE15" i="4"/>
  <c r="AD15" i="4"/>
  <c r="AC15" i="4"/>
  <c r="AC19" i="4" s="1"/>
  <c r="AB15" i="4"/>
  <c r="AA15" i="4"/>
  <c r="AA19" i="4" s="1"/>
  <c r="Z15" i="4"/>
  <c r="Z19" i="4" s="1"/>
  <c r="Y15" i="4"/>
  <c r="Y19" i="4" s="1"/>
  <c r="X15" i="4"/>
  <c r="X19" i="4" s="1"/>
  <c r="W15" i="4"/>
  <c r="W19" i="4" s="1"/>
  <c r="V15" i="4"/>
  <c r="U15" i="4"/>
  <c r="T15" i="4"/>
  <c r="S15" i="4"/>
  <c r="S19" i="4" s="1"/>
  <c r="R15" i="4"/>
  <c r="Q15" i="4"/>
  <c r="Q19" i="4" s="1"/>
  <c r="P15" i="4"/>
  <c r="P19" i="4" s="1"/>
  <c r="P21" i="4" s="1"/>
  <c r="P10" i="7" s="1"/>
  <c r="O15" i="4"/>
  <c r="O19" i="4" s="1"/>
  <c r="N15" i="4"/>
  <c r="N19" i="4" s="1"/>
  <c r="M15" i="4"/>
  <c r="M19" i="4" s="1"/>
  <c r="L15" i="4"/>
  <c r="L19" i="4" s="1"/>
  <c r="K15" i="4"/>
  <c r="K19" i="4" s="1"/>
  <c r="J15" i="4"/>
  <c r="J19" i="4" s="1"/>
  <c r="I15" i="4"/>
  <c r="I19" i="4" s="1"/>
  <c r="H15" i="4"/>
  <c r="G15" i="4"/>
  <c r="F15" i="4"/>
  <c r="F19" i="4" s="1"/>
  <c r="E15" i="4"/>
  <c r="E19" i="4" s="1"/>
  <c r="D15" i="4"/>
  <c r="D19" i="4" s="1"/>
  <c r="C15" i="4"/>
  <c r="AR12" i="4"/>
  <c r="AR20" i="4" s="1"/>
  <c r="AQ12" i="4"/>
  <c r="AQ20" i="4" s="1"/>
  <c r="AP12" i="4"/>
  <c r="AP20" i="4" s="1"/>
  <c r="AL12" i="4"/>
  <c r="AL20" i="4" s="1"/>
  <c r="AK12" i="4"/>
  <c r="AK20" i="4" s="1"/>
  <c r="AI12" i="4"/>
  <c r="AI20" i="4" s="1"/>
  <c r="AD12" i="4"/>
  <c r="AD20" i="4" s="1"/>
  <c r="AC12" i="4"/>
  <c r="AC20" i="4" s="1"/>
  <c r="AB12" i="4"/>
  <c r="AB20" i="4" s="1"/>
  <c r="Y12" i="4"/>
  <c r="Y20" i="4" s="1"/>
  <c r="X12" i="4"/>
  <c r="X20" i="4" s="1"/>
  <c r="U12" i="4"/>
  <c r="U20" i="4" s="1"/>
  <c r="P12" i="4"/>
  <c r="N12" i="4"/>
  <c r="N20" i="4" s="1"/>
  <c r="E12" i="4"/>
  <c r="E20" i="4" s="1"/>
  <c r="AR9" i="4"/>
  <c r="AQ9" i="4"/>
  <c r="AP9" i="4"/>
  <c r="AO9" i="4"/>
  <c r="AO12" i="4" s="1"/>
  <c r="AO20" i="4" s="1"/>
  <c r="AN9" i="4"/>
  <c r="AM9" i="4"/>
  <c r="AL9" i="4"/>
  <c r="AM12" i="4" s="1"/>
  <c r="AM20" i="4" s="1"/>
  <c r="AK9" i="4"/>
  <c r="AJ9" i="4"/>
  <c r="AJ12" i="4" s="1"/>
  <c r="AJ20" i="4" s="1"/>
  <c r="AI9" i="4"/>
  <c r="AH9" i="4"/>
  <c r="AG9" i="4"/>
  <c r="AG12" i="4" s="1"/>
  <c r="AG20" i="4" s="1"/>
  <c r="AF9" i="4"/>
  <c r="AF12" i="4" s="1"/>
  <c r="AF20" i="4" s="1"/>
  <c r="AE9" i="4"/>
  <c r="AE12" i="4" s="1"/>
  <c r="AE20" i="4" s="1"/>
  <c r="AD9" i="4"/>
  <c r="AC9" i="4"/>
  <c r="AB9" i="4"/>
  <c r="AA9" i="4"/>
  <c r="AA12" i="4" s="1"/>
  <c r="AA20" i="4" s="1"/>
  <c r="Z9" i="4"/>
  <c r="Y9" i="4"/>
  <c r="X9" i="4"/>
  <c r="W9" i="4"/>
  <c r="W12" i="4" s="1"/>
  <c r="W20" i="4" s="1"/>
  <c r="V9" i="4"/>
  <c r="V12" i="4" s="1"/>
  <c r="V20" i="4" s="1"/>
  <c r="V21" i="4" s="1"/>
  <c r="V10" i="7" s="1"/>
  <c r="U9" i="4"/>
  <c r="T9" i="4"/>
  <c r="S9" i="4"/>
  <c r="S12" i="4" s="1"/>
  <c r="S20" i="4" s="1"/>
  <c r="R9" i="4"/>
  <c r="R12" i="4" s="1"/>
  <c r="R20" i="4" s="1"/>
  <c r="Q9" i="4"/>
  <c r="Q12" i="4" s="1"/>
  <c r="Q20" i="4" s="1"/>
  <c r="P9" i="4"/>
  <c r="O9" i="4"/>
  <c r="O12" i="4" s="1"/>
  <c r="O20" i="4" s="1"/>
  <c r="N9" i="4"/>
  <c r="M9" i="4"/>
  <c r="M12" i="4" s="1"/>
  <c r="M20" i="4" s="1"/>
  <c r="L9" i="4"/>
  <c r="K9" i="4"/>
  <c r="K12" i="4" s="1"/>
  <c r="K20" i="4" s="1"/>
  <c r="J9" i="4"/>
  <c r="J12" i="4" s="1"/>
  <c r="J20" i="4" s="1"/>
  <c r="I9" i="4"/>
  <c r="I12" i="4" s="1"/>
  <c r="I20" i="4" s="1"/>
  <c r="H9" i="4"/>
  <c r="H12" i="4" s="1"/>
  <c r="H20" i="4" s="1"/>
  <c r="H21" i="4" s="1"/>
  <c r="H10" i="7" s="1"/>
  <c r="G9" i="4"/>
  <c r="G12" i="4" s="1"/>
  <c r="G20" i="4" s="1"/>
  <c r="F9" i="4"/>
  <c r="E9" i="4"/>
  <c r="D9" i="4"/>
  <c r="D12" i="4" s="1"/>
  <c r="D20" i="4" s="1"/>
  <c r="C9" i="4"/>
  <c r="C12" i="4" s="1"/>
  <c r="C20" i="4" s="1"/>
  <c r="B24" i="3"/>
  <c r="B23" i="3"/>
  <c r="B22" i="3"/>
  <c r="B21" i="3"/>
  <c r="B20" i="3"/>
  <c r="B15" i="3"/>
  <c r="AQ6" i="7" s="1"/>
  <c r="AQ7" i="7" s="1"/>
  <c r="I26" i="12" l="1"/>
  <c r="O20" i="13"/>
  <c r="AD19" i="4"/>
  <c r="AD21" i="4" s="1"/>
  <c r="AD10" i="7" s="1"/>
  <c r="C19" i="4"/>
  <c r="I31" i="12"/>
  <c r="O19" i="13"/>
  <c r="I29" i="12"/>
  <c r="L28" i="13"/>
  <c r="F37" i="12"/>
  <c r="I8" i="13"/>
  <c r="I33" i="13" s="1"/>
  <c r="I28" i="13"/>
  <c r="O24" i="13"/>
  <c r="O26" i="13"/>
  <c r="D15" i="5"/>
  <c r="D6" i="6" s="1"/>
  <c r="G37" i="12"/>
  <c r="J8" i="13"/>
  <c r="J33" i="13" s="1"/>
  <c r="G19" i="4"/>
  <c r="AK19" i="4"/>
  <c r="G13" i="5"/>
  <c r="H37" i="12"/>
  <c r="K8" i="13"/>
  <c r="K33" i="13" s="1"/>
  <c r="M8" i="13"/>
  <c r="M33" i="13" s="1"/>
  <c r="O16" i="13"/>
  <c r="AE19" i="4"/>
  <c r="AE21" i="4" s="1"/>
  <c r="AE10" i="7" s="1"/>
  <c r="T19" i="4"/>
  <c r="AJ21" i="4"/>
  <c r="AJ10" i="7" s="1"/>
  <c r="AI19" i="4"/>
  <c r="AI21" i="4" s="1"/>
  <c r="AI10" i="7" s="1"/>
  <c r="W7" i="6"/>
  <c r="U13" i="5"/>
  <c r="U14" i="5" s="1"/>
  <c r="F8" i="12"/>
  <c r="F42" i="12" s="1"/>
  <c r="L8" i="13"/>
  <c r="L33" i="13" s="1"/>
  <c r="Y21" i="4"/>
  <c r="Y10" i="7" s="1"/>
  <c r="I34" i="12"/>
  <c r="C28" i="13"/>
  <c r="H8" i="12"/>
  <c r="H42" i="12" s="1"/>
  <c r="AN19" i="4"/>
  <c r="M21" i="4"/>
  <c r="M10" i="7" s="1"/>
  <c r="AA21" i="4"/>
  <c r="AA10" i="7" s="1"/>
  <c r="AO21" i="4"/>
  <c r="AO10" i="7" s="1"/>
  <c r="P5" i="5"/>
  <c r="P11" i="7" s="1"/>
  <c r="AI11" i="7"/>
  <c r="AH19" i="4"/>
  <c r="N21" i="4"/>
  <c r="N10" i="7" s="1"/>
  <c r="AC21" i="4"/>
  <c r="AC10" i="7" s="1"/>
  <c r="AQ21" i="4"/>
  <c r="AQ10" i="7" s="1"/>
  <c r="W7" i="7"/>
  <c r="I28" i="12"/>
  <c r="O5" i="13"/>
  <c r="G8" i="13"/>
  <c r="G33" i="13" s="1"/>
  <c r="D11" i="7"/>
  <c r="D10" i="5"/>
  <c r="R14" i="5"/>
  <c r="R15" i="5"/>
  <c r="R11" i="7"/>
  <c r="R10" i="5"/>
  <c r="Q21" i="4"/>
  <c r="Q10" i="7" s="1"/>
  <c r="AB11" i="9"/>
  <c r="AB12" i="9" s="1"/>
  <c r="AF21" i="4"/>
  <c r="AF10" i="7" s="1"/>
  <c r="AF14" i="5"/>
  <c r="AF15" i="5" s="1"/>
  <c r="R21" i="4"/>
  <c r="R10" i="7" s="1"/>
  <c r="Q11" i="7"/>
  <c r="Q10" i="5"/>
  <c r="O21" i="4"/>
  <c r="O10" i="7" s="1"/>
  <c r="D21" i="4"/>
  <c r="D10" i="7" s="1"/>
  <c r="F12" i="4"/>
  <c r="F20" i="4" s="1"/>
  <c r="F21" i="4" s="1"/>
  <c r="F10" i="7" s="1"/>
  <c r="AH12" i="4"/>
  <c r="AH20" i="4" s="1"/>
  <c r="AL14" i="5"/>
  <c r="AL15" i="5"/>
  <c r="AD11" i="9"/>
  <c r="AD12" i="9" s="1"/>
  <c r="X14" i="5"/>
  <c r="X15" i="5"/>
  <c r="AE14" i="5"/>
  <c r="AE15" i="5"/>
  <c r="V15" i="5"/>
  <c r="G21" i="4"/>
  <c r="G10" i="7" s="1"/>
  <c r="V14" i="5"/>
  <c r="AR10" i="5"/>
  <c r="C11" i="7"/>
  <c r="C10" i="5"/>
  <c r="U21" i="4"/>
  <c r="U10" i="7" s="1"/>
  <c r="J14" i="5"/>
  <c r="J15" i="5" s="1"/>
  <c r="AR21" i="4"/>
  <c r="AR10" i="7" s="1"/>
  <c r="H10" i="5"/>
  <c r="K21" i="4"/>
  <c r="K10" i="7" s="1"/>
  <c r="AM21" i="4"/>
  <c r="AM10" i="7" s="1"/>
  <c r="C16" i="5"/>
  <c r="C13" i="6"/>
  <c r="C17" i="5"/>
  <c r="C13" i="7" s="1"/>
  <c r="C11" i="6"/>
  <c r="C12" i="6"/>
  <c r="C6" i="6"/>
  <c r="C19" i="7"/>
  <c r="C5" i="6"/>
  <c r="C7" i="6"/>
  <c r="P14" i="5"/>
  <c r="P15" i="5" s="1"/>
  <c r="C21" i="4"/>
  <c r="C10" i="7" s="1"/>
  <c r="C20" i="7" s="1"/>
  <c r="T12" i="4"/>
  <c r="T20" i="4" s="1"/>
  <c r="AJ10" i="5"/>
  <c r="AJ11" i="7"/>
  <c r="O11" i="7"/>
  <c r="O10" i="5"/>
  <c r="AC14" i="5"/>
  <c r="AC15" i="5" s="1"/>
  <c r="AQ11" i="7"/>
  <c r="AQ10" i="5"/>
  <c r="D17" i="5"/>
  <c r="D13" i="7" s="1"/>
  <c r="D5" i="6"/>
  <c r="D12" i="6"/>
  <c r="N11" i="9"/>
  <c r="N12" i="9" s="1"/>
  <c r="K14" i="5"/>
  <c r="K15" i="5" s="1"/>
  <c r="Y14" i="5"/>
  <c r="Y15" i="5"/>
  <c r="AM14" i="5"/>
  <c r="AM15" i="5" s="1"/>
  <c r="AC11" i="7"/>
  <c r="L14" i="5"/>
  <c r="L15" i="5" s="1"/>
  <c r="Z14" i="5"/>
  <c r="Z15" i="5" s="1"/>
  <c r="AN11" i="7"/>
  <c r="AN10" i="5"/>
  <c r="V5" i="5"/>
  <c r="AJ13" i="5"/>
  <c r="S19" i="7"/>
  <c r="S13" i="6"/>
  <c r="S17" i="5"/>
  <c r="S13" i="7" s="1"/>
  <c r="S6" i="6"/>
  <c r="AD11" i="7"/>
  <c r="N14" i="5"/>
  <c r="N15" i="5" s="1"/>
  <c r="F11" i="9"/>
  <c r="F12" i="9" s="1"/>
  <c r="E7" i="7"/>
  <c r="AH7" i="7"/>
  <c r="L29" i="13"/>
  <c r="L30" i="13" s="1"/>
  <c r="L35" i="13" s="1"/>
  <c r="AP21" i="4"/>
  <c r="AP10" i="7" s="1"/>
  <c r="AP14" i="5"/>
  <c r="AP15" i="5"/>
  <c r="H13" i="5"/>
  <c r="O15" i="13"/>
  <c r="J28" i="13"/>
  <c r="Q13" i="5"/>
  <c r="G14" i="5"/>
  <c r="G15" i="5" s="1"/>
  <c r="AG19" i="7"/>
  <c r="AG13" i="6"/>
  <c r="AG17" i="5"/>
  <c r="AG13" i="7" s="1"/>
  <c r="AG6" i="6"/>
  <c r="AI7" i="7"/>
  <c r="AB19" i="4"/>
  <c r="AB21" i="4" s="1"/>
  <c r="AB10" i="7" s="1"/>
  <c r="U10" i="5"/>
  <c r="O13" i="5"/>
  <c r="AI14" i="5"/>
  <c r="AI15" i="5" s="1"/>
  <c r="E21" i="4"/>
  <c r="E10" i="7" s="1"/>
  <c r="S21" i="4"/>
  <c r="S10" i="7" s="1"/>
  <c r="AG21" i="4"/>
  <c r="AG10" i="7" s="1"/>
  <c r="AH15" i="5"/>
  <c r="M14" i="5"/>
  <c r="M15" i="5" s="1"/>
  <c r="AO14" i="5"/>
  <c r="AO15" i="5" s="1"/>
  <c r="F38" i="12"/>
  <c r="F39" i="12" s="1"/>
  <c r="F44" i="12" s="1"/>
  <c r="F45" i="12" s="1"/>
  <c r="F46" i="12" s="1"/>
  <c r="AB14" i="5"/>
  <c r="AB15" i="5" s="1"/>
  <c r="W19" i="7"/>
  <c r="W6" i="6"/>
  <c r="W12" i="6"/>
  <c r="W16" i="5"/>
  <c r="E15" i="5"/>
  <c r="E14" i="5"/>
  <c r="AE10" i="5"/>
  <c r="U15" i="5"/>
  <c r="AK15" i="5"/>
  <c r="W11" i="9"/>
  <c r="W12" i="9" s="1"/>
  <c r="AA14" i="5"/>
  <c r="AA15" i="5" s="1"/>
  <c r="D11" i="9"/>
  <c r="D12" i="9" s="1"/>
  <c r="AQ11" i="9"/>
  <c r="AQ12" i="9" s="1"/>
  <c r="T14" i="5"/>
  <c r="T15" i="5" s="1"/>
  <c r="AF10" i="5"/>
  <c r="J7" i="7"/>
  <c r="AC11" i="9"/>
  <c r="AC12" i="9" s="1"/>
  <c r="E38" i="12"/>
  <c r="E39" i="12" s="1"/>
  <c r="E44" i="12" s="1"/>
  <c r="AQ15" i="5"/>
  <c r="AR15" i="5"/>
  <c r="L12" i="4"/>
  <c r="L20" i="4" s="1"/>
  <c r="L21" i="4" s="1"/>
  <c r="L10" i="7" s="1"/>
  <c r="Z12" i="4"/>
  <c r="Z20" i="4" s="1"/>
  <c r="Z21" i="4" s="1"/>
  <c r="Z10" i="7" s="1"/>
  <c r="AN12" i="4"/>
  <c r="AN20" i="4" s="1"/>
  <c r="AN21" i="4" s="1"/>
  <c r="AN10" i="7" s="1"/>
  <c r="F14" i="5"/>
  <c r="F15" i="5" s="1"/>
  <c r="W13" i="6"/>
  <c r="G11" i="7"/>
  <c r="C29" i="13"/>
  <c r="C30" i="13" s="1"/>
  <c r="I21" i="4"/>
  <c r="I10" i="7" s="1"/>
  <c r="W21" i="4"/>
  <c r="W10" i="7" s="1"/>
  <c r="AK21" i="4"/>
  <c r="AK10" i="7" s="1"/>
  <c r="AD15" i="5"/>
  <c r="J21" i="4"/>
  <c r="J10" i="7" s="1"/>
  <c r="X21" i="4"/>
  <c r="X10" i="7" s="1"/>
  <c r="AL21" i="4"/>
  <c r="AL10" i="7" s="1"/>
  <c r="I14" i="5"/>
  <c r="I15" i="5" s="1"/>
  <c r="I21" i="12"/>
  <c r="C43" i="12"/>
  <c r="E5" i="5"/>
  <c r="S5" i="5"/>
  <c r="AG5" i="5"/>
  <c r="H5" i="7"/>
  <c r="H7" i="7" s="1"/>
  <c r="AE6" i="7"/>
  <c r="AE7" i="7" s="1"/>
  <c r="T10" i="8"/>
  <c r="T6" i="9" s="1"/>
  <c r="I33" i="12"/>
  <c r="C37" i="12"/>
  <c r="M11" i="13"/>
  <c r="M12" i="13" s="1"/>
  <c r="M34" i="13" s="1"/>
  <c r="F5" i="5"/>
  <c r="T5" i="5"/>
  <c r="AH5" i="5"/>
  <c r="I6" i="7"/>
  <c r="I7" i="7" s="1"/>
  <c r="AF6" i="7"/>
  <c r="AF7" i="7" s="1"/>
  <c r="AE10" i="8"/>
  <c r="AE6" i="9" s="1"/>
  <c r="E21" i="12"/>
  <c r="E43" i="12" s="1"/>
  <c r="I5" i="12"/>
  <c r="C8" i="12"/>
  <c r="I5" i="5"/>
  <c r="W5" i="5"/>
  <c r="W5" i="6" s="1"/>
  <c r="W8" i="6" s="1"/>
  <c r="AK5" i="5"/>
  <c r="P6" i="7"/>
  <c r="P7" i="7" s="1"/>
  <c r="AJ6" i="7"/>
  <c r="AJ7" i="7" s="1"/>
  <c r="E8" i="12"/>
  <c r="E42" i="12" s="1"/>
  <c r="J5" i="5"/>
  <c r="X5" i="5"/>
  <c r="AL5" i="5"/>
  <c r="M7" i="7"/>
  <c r="Q6" i="7"/>
  <c r="Q7" i="7" s="1"/>
  <c r="AK6" i="7"/>
  <c r="AK7" i="7" s="1"/>
  <c r="I36" i="12"/>
  <c r="K5" i="5"/>
  <c r="Y5" i="5"/>
  <c r="AM5" i="5"/>
  <c r="R6" i="7"/>
  <c r="R7" i="7" s="1"/>
  <c r="AP6" i="7"/>
  <c r="AP7" i="7" s="1"/>
  <c r="F8" i="13"/>
  <c r="F33" i="13" s="1"/>
  <c r="N29" i="13"/>
  <c r="N30" i="13" s="1"/>
  <c r="N35" i="13" s="1"/>
  <c r="L5" i="5"/>
  <c r="AN13" i="5"/>
  <c r="T6" i="7"/>
  <c r="T7" i="7" s="1"/>
  <c r="O27" i="13"/>
  <c r="F11" i="13"/>
  <c r="F12" i="13" s="1"/>
  <c r="F34" i="13" s="1"/>
  <c r="E11" i="13"/>
  <c r="E12" i="13" s="1"/>
  <c r="E34" i="13" s="1"/>
  <c r="AD10" i="8"/>
  <c r="AD6" i="9" s="1"/>
  <c r="P10" i="8"/>
  <c r="P6" i="9" s="1"/>
  <c r="D11" i="13"/>
  <c r="D12" i="13" s="1"/>
  <c r="D34" i="13" s="1"/>
  <c r="AC10" i="8"/>
  <c r="AC6" i="9" s="1"/>
  <c r="O10" i="8"/>
  <c r="O6" i="9" s="1"/>
  <c r="C11" i="13"/>
  <c r="AB10" i="8"/>
  <c r="AB6" i="9" s="1"/>
  <c r="N10" i="8"/>
  <c r="N6" i="9" s="1"/>
  <c r="AN10" i="8"/>
  <c r="AN6" i="9" s="1"/>
  <c r="Z10" i="8"/>
  <c r="Z6" i="9" s="1"/>
  <c r="L10" i="8"/>
  <c r="L6" i="9" s="1"/>
  <c r="L11" i="13"/>
  <c r="L12" i="13" s="1"/>
  <c r="L34" i="13" s="1"/>
  <c r="AK10" i="8"/>
  <c r="AK6" i="9" s="1"/>
  <c r="W10" i="8"/>
  <c r="W6" i="9" s="1"/>
  <c r="I10" i="8"/>
  <c r="I6" i="9" s="1"/>
  <c r="K11" i="13"/>
  <c r="K12" i="13" s="1"/>
  <c r="K34" i="13" s="1"/>
  <c r="AJ10" i="8"/>
  <c r="AJ6" i="9" s="1"/>
  <c r="V10" i="8"/>
  <c r="V6" i="9" s="1"/>
  <c r="H10" i="8"/>
  <c r="H6" i="9" s="1"/>
  <c r="J11" i="13"/>
  <c r="J12" i="13" s="1"/>
  <c r="J34" i="13" s="1"/>
  <c r="AI10" i="8"/>
  <c r="AI6" i="9" s="1"/>
  <c r="U10" i="8"/>
  <c r="U6" i="9" s="1"/>
  <c r="G10" i="8"/>
  <c r="G6" i="9" s="1"/>
  <c r="G11" i="13"/>
  <c r="G12" i="13" s="1"/>
  <c r="G34" i="13" s="1"/>
  <c r="AF10" i="8"/>
  <c r="AF6" i="9" s="1"/>
  <c r="R10" i="8"/>
  <c r="R6" i="9" s="1"/>
  <c r="D10" i="8"/>
  <c r="D6" i="9" s="1"/>
  <c r="H11" i="13"/>
  <c r="H12" i="13" s="1"/>
  <c r="H34" i="13" s="1"/>
  <c r="K10" i="8"/>
  <c r="K6" i="9" s="1"/>
  <c r="AO6" i="7"/>
  <c r="AO7" i="7" s="1"/>
  <c r="AA6" i="7"/>
  <c r="AA7" i="7" s="1"/>
  <c r="M6" i="7"/>
  <c r="J10" i="8"/>
  <c r="J6" i="9" s="1"/>
  <c r="AN6" i="7"/>
  <c r="AN7" i="7" s="1"/>
  <c r="Z6" i="7"/>
  <c r="Z7" i="7" s="1"/>
  <c r="L6" i="7"/>
  <c r="L7" i="7" s="1"/>
  <c r="AM10" i="8"/>
  <c r="AM6" i="9" s="1"/>
  <c r="F10" i="8"/>
  <c r="F6" i="9" s="1"/>
  <c r="AM6" i="7"/>
  <c r="AM7" i="7" s="1"/>
  <c r="Y6" i="7"/>
  <c r="Y7" i="7" s="1"/>
  <c r="K6" i="7"/>
  <c r="K7" i="7" s="1"/>
  <c r="AL10" i="8"/>
  <c r="AL6" i="9" s="1"/>
  <c r="E10" i="8"/>
  <c r="E6" i="9" s="1"/>
  <c r="AL6" i="7"/>
  <c r="AL7" i="7" s="1"/>
  <c r="X6" i="7"/>
  <c r="X7" i="7" s="1"/>
  <c r="J6" i="7"/>
  <c r="AH10" i="8"/>
  <c r="AH6" i="9" s="1"/>
  <c r="C10" i="8"/>
  <c r="C6" i="9" s="1"/>
  <c r="AA10" i="8"/>
  <c r="AA6" i="9" s="1"/>
  <c r="Y10" i="8"/>
  <c r="Y6" i="9" s="1"/>
  <c r="AG6" i="7"/>
  <c r="AG7" i="7" s="1"/>
  <c r="S6" i="7"/>
  <c r="S7" i="7" s="1"/>
  <c r="X10" i="8"/>
  <c r="X6" i="9" s="1"/>
  <c r="N11" i="13"/>
  <c r="N12" i="13" s="1"/>
  <c r="N34" i="13" s="1"/>
  <c r="S10" i="8"/>
  <c r="S6" i="9" s="1"/>
  <c r="Z5" i="5"/>
  <c r="B19" i="3"/>
  <c r="C19" i="3" s="1"/>
  <c r="M5" i="5"/>
  <c r="AA5" i="5"/>
  <c r="AO5" i="5"/>
  <c r="U6" i="7"/>
  <c r="U7" i="7" s="1"/>
  <c r="AR6" i="7"/>
  <c r="AR7" i="7" s="1"/>
  <c r="N5" i="5"/>
  <c r="AB5" i="5"/>
  <c r="AP5" i="5"/>
  <c r="C5" i="7"/>
  <c r="C7" i="7" s="1"/>
  <c r="V6" i="7"/>
  <c r="V7" i="7" s="1"/>
  <c r="I6" i="12"/>
  <c r="D8" i="12"/>
  <c r="D42" i="12" s="1"/>
  <c r="E8" i="13"/>
  <c r="E33" i="13" s="1"/>
  <c r="K28" i="13"/>
  <c r="M28" i="13"/>
  <c r="O18" i="13"/>
  <c r="I17" i="12"/>
  <c r="O17" i="13"/>
  <c r="O25" i="13"/>
  <c r="I15" i="12"/>
  <c r="D37" i="12"/>
  <c r="D21" i="12"/>
  <c r="D43" i="12" s="1"/>
  <c r="G38" i="12"/>
  <c r="G39" i="12" s="1"/>
  <c r="G44" i="12" s="1"/>
  <c r="G45" i="12" s="1"/>
  <c r="G46" i="12" s="1"/>
  <c r="D28" i="13"/>
  <c r="O23" i="13"/>
  <c r="H38" i="12"/>
  <c r="H39" i="12" s="1"/>
  <c r="H44" i="12" s="1"/>
  <c r="H45" i="12" s="1"/>
  <c r="H46" i="12" s="1"/>
  <c r="O7" i="13"/>
  <c r="E28" i="13"/>
  <c r="I24" i="12"/>
  <c r="I27" i="12"/>
  <c r="N8" i="13"/>
  <c r="N33" i="13" s="1"/>
  <c r="F28" i="13"/>
  <c r="O22" i="13"/>
  <c r="I25" i="12"/>
  <c r="O6" i="13"/>
  <c r="G28" i="13"/>
  <c r="I7" i="12"/>
  <c r="H28" i="13"/>
  <c r="O21" i="13"/>
  <c r="C8" i="13"/>
  <c r="D11" i="6" l="1"/>
  <c r="AH21" i="4"/>
  <c r="AH10" i="7" s="1"/>
  <c r="D13" i="6"/>
  <c r="S12" i="6"/>
  <c r="D19" i="7"/>
  <c r="D20" i="7" s="1"/>
  <c r="D21" i="7" s="1"/>
  <c r="D22" i="7" s="1"/>
  <c r="O28" i="13"/>
  <c r="AG12" i="6"/>
  <c r="I29" i="13"/>
  <c r="I30" i="13" s="1"/>
  <c r="I35" i="13" s="1"/>
  <c r="I36" i="13" s="1"/>
  <c r="I37" i="13" s="1"/>
  <c r="P10" i="5"/>
  <c r="D7" i="6"/>
  <c r="D8" i="6" s="1"/>
  <c r="D16" i="5"/>
  <c r="T21" i="4"/>
  <c r="T10" i="7" s="1"/>
  <c r="AC7" i="6"/>
  <c r="AC19" i="7"/>
  <c r="AC16" i="5"/>
  <c r="AC11" i="6"/>
  <c r="AC13" i="6"/>
  <c r="AC17" i="5"/>
  <c r="AC13" i="7" s="1"/>
  <c r="AC6" i="6"/>
  <c r="AC5" i="6"/>
  <c r="AC8" i="6" s="1"/>
  <c r="Z11" i="9"/>
  <c r="Z12" i="9" s="1"/>
  <c r="AB6" i="6"/>
  <c r="AB12" i="6"/>
  <c r="AB7" i="6"/>
  <c r="AB19" i="7"/>
  <c r="AB16" i="5"/>
  <c r="AB13" i="6"/>
  <c r="AB17" i="5"/>
  <c r="AB13" i="7" s="1"/>
  <c r="AB5" i="6"/>
  <c r="AA19" i="7"/>
  <c r="AA6" i="6"/>
  <c r="AA7" i="6"/>
  <c r="AA13" i="6"/>
  <c r="AA17" i="5"/>
  <c r="AA13" i="7" s="1"/>
  <c r="AA5" i="6"/>
  <c r="AA8" i="6" s="1"/>
  <c r="AA16" i="5"/>
  <c r="AP11" i="9"/>
  <c r="AP12" i="9" s="1"/>
  <c r="AF19" i="7"/>
  <c r="AF16" i="5"/>
  <c r="AF13" i="6"/>
  <c r="AF17" i="5"/>
  <c r="AF13" i="7" s="1"/>
  <c r="AF11" i="6"/>
  <c r="AF6" i="6"/>
  <c r="AF7" i="6"/>
  <c r="AF5" i="6"/>
  <c r="AG16" i="5"/>
  <c r="R11" i="9"/>
  <c r="R12" i="9" s="1"/>
  <c r="AO11" i="9"/>
  <c r="AO12" i="9" s="1"/>
  <c r="G11" i="6"/>
  <c r="G5" i="6"/>
  <c r="G12" i="6"/>
  <c r="G6" i="6"/>
  <c r="G7" i="6"/>
  <c r="G19" i="7"/>
  <c r="G13" i="6"/>
  <c r="G17" i="5"/>
  <c r="G13" i="7" s="1"/>
  <c r="G16" i="5"/>
  <c r="F19" i="7"/>
  <c r="F17" i="5"/>
  <c r="F13" i="7" s="1"/>
  <c r="F11" i="6"/>
  <c r="F5" i="6"/>
  <c r="F7" i="6"/>
  <c r="F16" i="5"/>
  <c r="F13" i="6"/>
  <c r="F12" i="6"/>
  <c r="F6" i="6"/>
  <c r="AG11" i="9"/>
  <c r="AG12" i="9" s="1"/>
  <c r="L11" i="9"/>
  <c r="L12" i="9" s="1"/>
  <c r="X11" i="9"/>
  <c r="X12" i="9" s="1"/>
  <c r="AL11" i="9"/>
  <c r="AL12" i="9" s="1"/>
  <c r="K11" i="9"/>
  <c r="K12" i="9" s="1"/>
  <c r="S11" i="9"/>
  <c r="S12" i="9" s="1"/>
  <c r="U11" i="9"/>
  <c r="U12" i="9" s="1"/>
  <c r="J19" i="7"/>
  <c r="J12" i="6"/>
  <c r="J6" i="6"/>
  <c r="J7" i="6"/>
  <c r="J13" i="6"/>
  <c r="J11" i="6"/>
  <c r="J5" i="6"/>
  <c r="J17" i="5"/>
  <c r="J13" i="7" s="1"/>
  <c r="J16" i="5"/>
  <c r="Y11" i="9"/>
  <c r="Y12" i="9" s="1"/>
  <c r="AI19" i="7"/>
  <c r="AI13" i="6"/>
  <c r="AI17" i="5"/>
  <c r="AI13" i="7" s="1"/>
  <c r="AI11" i="6"/>
  <c r="AI5" i="6"/>
  <c r="AI16" i="5"/>
  <c r="AI7" i="6"/>
  <c r="AI6" i="6"/>
  <c r="AC20" i="7"/>
  <c r="I19" i="7"/>
  <c r="I5" i="6"/>
  <c r="I12" i="6"/>
  <c r="I6" i="6"/>
  <c r="I13" i="6"/>
  <c r="I7" i="6"/>
  <c r="I17" i="5"/>
  <c r="I13" i="7" s="1"/>
  <c r="I11" i="6"/>
  <c r="K19" i="7"/>
  <c r="K13" i="6"/>
  <c r="K12" i="6"/>
  <c r="K6" i="6"/>
  <c r="K7" i="6"/>
  <c r="K17" i="5"/>
  <c r="K13" i="7" s="1"/>
  <c r="K11" i="6"/>
  <c r="K5" i="6"/>
  <c r="K16" i="5"/>
  <c r="AN11" i="9"/>
  <c r="AN12" i="9" s="1"/>
  <c r="AO19" i="7"/>
  <c r="AO6" i="6"/>
  <c r="AO7" i="6"/>
  <c r="AO11" i="6"/>
  <c r="AO5" i="6"/>
  <c r="AO13" i="6"/>
  <c r="AO17" i="5"/>
  <c r="AO13" i="7" s="1"/>
  <c r="C35" i="13"/>
  <c r="V11" i="9"/>
  <c r="V12" i="9" s="1"/>
  <c r="AF11" i="9"/>
  <c r="AF12" i="9" s="1"/>
  <c r="AM19" i="7"/>
  <c r="AM13" i="6"/>
  <c r="AM12" i="6"/>
  <c r="AM5" i="6"/>
  <c r="AM6" i="6"/>
  <c r="AM16" i="5"/>
  <c r="AM7" i="6"/>
  <c r="AM17" i="5"/>
  <c r="AM13" i="7" s="1"/>
  <c r="C33" i="13"/>
  <c r="O8" i="13"/>
  <c r="C19" i="6"/>
  <c r="C20" i="6" s="1"/>
  <c r="C5" i="8" s="1"/>
  <c r="C14" i="6"/>
  <c r="C42" i="12"/>
  <c r="I8" i="12"/>
  <c r="H11" i="9"/>
  <c r="H12" i="9" s="1"/>
  <c r="AK19" i="7"/>
  <c r="AK5" i="6"/>
  <c r="AK6" i="6"/>
  <c r="AK7" i="6"/>
  <c r="AK17" i="5"/>
  <c r="AK13" i="7" s="1"/>
  <c r="AK13" i="6"/>
  <c r="G20" i="7"/>
  <c r="O11" i="13"/>
  <c r="C12" i="13"/>
  <c r="X11" i="7"/>
  <c r="X10" i="5"/>
  <c r="X11" i="6" s="1"/>
  <c r="E45" i="12"/>
  <c r="E46" i="12" s="1"/>
  <c r="S11" i="7"/>
  <c r="S20" i="7" s="1"/>
  <c r="S10" i="5"/>
  <c r="S11" i="6" s="1"/>
  <c r="AH11" i="9"/>
  <c r="AH12" i="9" s="1"/>
  <c r="U17" i="5"/>
  <c r="U13" i="7" s="1"/>
  <c r="U11" i="6"/>
  <c r="U5" i="6"/>
  <c r="U7" i="6"/>
  <c r="U16" i="5"/>
  <c r="U13" i="6"/>
  <c r="U12" i="6"/>
  <c r="U19" i="7"/>
  <c r="U20" i="7" s="1"/>
  <c r="U6" i="6"/>
  <c r="AO11" i="7"/>
  <c r="AO10" i="5"/>
  <c r="J11" i="7"/>
  <c r="J10" i="5"/>
  <c r="E11" i="7"/>
  <c r="E10" i="5"/>
  <c r="AR19" i="7"/>
  <c r="AR7" i="6"/>
  <c r="AR16" i="5"/>
  <c r="AR13" i="6"/>
  <c r="AR17" i="5"/>
  <c r="AR13" i="7" s="1"/>
  <c r="AR20" i="7" s="1"/>
  <c r="AR6" i="6"/>
  <c r="AR5" i="6"/>
  <c r="AR8" i="6" s="1"/>
  <c r="AR11" i="6"/>
  <c r="T11" i="9"/>
  <c r="T12" i="9" s="1"/>
  <c r="AJ14" i="5"/>
  <c r="AJ15" i="5" s="1"/>
  <c r="V5" i="6"/>
  <c r="V19" i="7"/>
  <c r="V6" i="6"/>
  <c r="V7" i="6"/>
  <c r="V13" i="6"/>
  <c r="V17" i="5"/>
  <c r="V13" i="7" s="1"/>
  <c r="V16" i="5"/>
  <c r="AB10" i="5"/>
  <c r="AB11" i="6" s="1"/>
  <c r="AB11" i="7"/>
  <c r="AB20" i="7" s="1"/>
  <c r="N10" i="5"/>
  <c r="N11" i="7"/>
  <c r="O29" i="13"/>
  <c r="AM11" i="7"/>
  <c r="AM10" i="5"/>
  <c r="AM11" i="6" s="1"/>
  <c r="Q14" i="5"/>
  <c r="Q15" i="5"/>
  <c r="R16" i="5" s="1"/>
  <c r="Y11" i="7"/>
  <c r="Y10" i="5"/>
  <c r="AJ11" i="9"/>
  <c r="AJ12" i="9" s="1"/>
  <c r="AH11" i="7"/>
  <c r="AH20" i="7" s="1"/>
  <c r="AH10" i="5"/>
  <c r="X19" i="7"/>
  <c r="X5" i="6"/>
  <c r="X6" i="6"/>
  <c r="X16" i="5"/>
  <c r="X13" i="6"/>
  <c r="X17" i="5"/>
  <c r="X13" i="7" s="1"/>
  <c r="X7" i="6"/>
  <c r="H29" i="13"/>
  <c r="H30" i="13" s="1"/>
  <c r="H35" i="13" s="1"/>
  <c r="H36" i="13" s="1"/>
  <c r="H37" i="13" s="1"/>
  <c r="AR11" i="9"/>
  <c r="AR12" i="9" s="1"/>
  <c r="AL11" i="7"/>
  <c r="AL10" i="5"/>
  <c r="AG11" i="7"/>
  <c r="AG10" i="5"/>
  <c r="AG11" i="6" s="1"/>
  <c r="AG5" i="6"/>
  <c r="AG8" i="6" s="1"/>
  <c r="O15" i="5"/>
  <c r="P16" i="5" s="1"/>
  <c r="O14" i="5"/>
  <c r="G29" i="13"/>
  <c r="G30" i="13"/>
  <c r="G35" i="13" s="1"/>
  <c r="G36" i="13" s="1"/>
  <c r="G37" i="13" s="1"/>
  <c r="M11" i="7"/>
  <c r="M10" i="5"/>
  <c r="Y19" i="7"/>
  <c r="Y13" i="6"/>
  <c r="Y11" i="6"/>
  <c r="Y6" i="6"/>
  <c r="Y7" i="6"/>
  <c r="Y5" i="6"/>
  <c r="Y8" i="6" s="1"/>
  <c r="Y17" i="5"/>
  <c r="Y13" i="7" s="1"/>
  <c r="Y16" i="5"/>
  <c r="D19" i="3"/>
  <c r="C20" i="3"/>
  <c r="K11" i="7"/>
  <c r="K20" i="7" s="1"/>
  <c r="K10" i="5"/>
  <c r="P11" i="9"/>
  <c r="P12" i="9" s="1"/>
  <c r="T11" i="7"/>
  <c r="T10" i="5"/>
  <c r="T11" i="6" s="1"/>
  <c r="AM11" i="9"/>
  <c r="AM12" i="9" s="1"/>
  <c r="J30" i="13"/>
  <c r="J35" i="13" s="1"/>
  <c r="J36" i="13" s="1"/>
  <c r="J37" i="13" s="1"/>
  <c r="J29" i="13"/>
  <c r="N12" i="6"/>
  <c r="N7" i="6"/>
  <c r="N16" i="5"/>
  <c r="N11" i="6"/>
  <c r="N19" i="7"/>
  <c r="N6" i="6"/>
  <c r="N13" i="6"/>
  <c r="N5" i="6"/>
  <c r="N17" i="5"/>
  <c r="N13" i="7" s="1"/>
  <c r="P19" i="7"/>
  <c r="P7" i="6"/>
  <c r="P13" i="6"/>
  <c r="P17" i="5"/>
  <c r="P13" i="7" s="1"/>
  <c r="P5" i="6"/>
  <c r="P6" i="6"/>
  <c r="P12" i="6"/>
  <c r="P11" i="6"/>
  <c r="R19" i="7"/>
  <c r="R13" i="6"/>
  <c r="R17" i="5"/>
  <c r="R13" i="7" s="1"/>
  <c r="R11" i="6"/>
  <c r="R6" i="6"/>
  <c r="R5" i="6"/>
  <c r="R12" i="6"/>
  <c r="S16" i="5"/>
  <c r="R7" i="6"/>
  <c r="L11" i="7"/>
  <c r="L10" i="5"/>
  <c r="AE11" i="9"/>
  <c r="AE12" i="9" s="1"/>
  <c r="I11" i="9"/>
  <c r="I12" i="9" s="1"/>
  <c r="Q11" i="9"/>
  <c r="Q12" i="9" s="1"/>
  <c r="AE7" i="6"/>
  <c r="AE19" i="7"/>
  <c r="AE16" i="5"/>
  <c r="AE13" i="6"/>
  <c r="AE17" i="5"/>
  <c r="AE13" i="7" s="1"/>
  <c r="AE20" i="7" s="1"/>
  <c r="AE5" i="6"/>
  <c r="AE11" i="6"/>
  <c r="AE6" i="6"/>
  <c r="M29" i="13"/>
  <c r="M30" i="13"/>
  <c r="M35" i="13" s="1"/>
  <c r="M36" i="13" s="1"/>
  <c r="M37" i="13" s="1"/>
  <c r="C21" i="7"/>
  <c r="C22" i="7" s="1"/>
  <c r="K29" i="13"/>
  <c r="K30" i="13" s="1"/>
  <c r="K35" i="13" s="1"/>
  <c r="K36" i="13" s="1"/>
  <c r="K37" i="13" s="1"/>
  <c r="F11" i="7"/>
  <c r="F20" i="7" s="1"/>
  <c r="F10" i="5"/>
  <c r="I11" i="7"/>
  <c r="I20" i="7" s="1"/>
  <c r="I10" i="5"/>
  <c r="J11" i="9"/>
  <c r="J12" i="9" s="1"/>
  <c r="M11" i="9"/>
  <c r="M12" i="9" s="1"/>
  <c r="Z11" i="7"/>
  <c r="Z10" i="5"/>
  <c r="Z11" i="6" s="1"/>
  <c r="AI11" i="9"/>
  <c r="AI12" i="9" s="1"/>
  <c r="Z19" i="7"/>
  <c r="Z13" i="6"/>
  <c r="Z7" i="6"/>
  <c r="Z6" i="6"/>
  <c r="Z5" i="6"/>
  <c r="Z8" i="6" s="1"/>
  <c r="Z17" i="5"/>
  <c r="Z13" i="7" s="1"/>
  <c r="Z16" i="5"/>
  <c r="C8" i="6"/>
  <c r="AA11" i="7"/>
  <c r="AA10" i="5"/>
  <c r="AA11" i="6" s="1"/>
  <c r="I43" i="12"/>
  <c r="AQ6" i="6"/>
  <c r="AQ12" i="6"/>
  <c r="AQ7" i="6"/>
  <c r="AQ16" i="5"/>
  <c r="AQ17" i="5"/>
  <c r="AQ13" i="7" s="1"/>
  <c r="AQ20" i="7" s="1"/>
  <c r="AQ13" i="6"/>
  <c r="AQ19" i="7"/>
  <c r="AQ5" i="6"/>
  <c r="AQ11" i="6"/>
  <c r="M19" i="7"/>
  <c r="M6" i="6"/>
  <c r="M12" i="6"/>
  <c r="M7" i="6"/>
  <c r="M16" i="5"/>
  <c r="M17" i="5"/>
  <c r="M13" i="7" s="1"/>
  <c r="M11" i="6"/>
  <c r="M13" i="6"/>
  <c r="M5" i="6"/>
  <c r="F29" i="13"/>
  <c r="F30" i="13" s="1"/>
  <c r="F35" i="13" s="1"/>
  <c r="F36" i="13" s="1"/>
  <c r="F37" i="13" s="1"/>
  <c r="AH19" i="7"/>
  <c r="AH13" i="6"/>
  <c r="AH17" i="5"/>
  <c r="AH13" i="7" s="1"/>
  <c r="AH11" i="6"/>
  <c r="AH5" i="6"/>
  <c r="AH6" i="6"/>
  <c r="AH16" i="5"/>
  <c r="AH7" i="6"/>
  <c r="H14" i="5"/>
  <c r="H15" i="5" s="1"/>
  <c r="AL19" i="7"/>
  <c r="AL11" i="6"/>
  <c r="AL5" i="6"/>
  <c r="AL6" i="6"/>
  <c r="AL16" i="5"/>
  <c r="AL7" i="6"/>
  <c r="AL13" i="6"/>
  <c r="AL17" i="5"/>
  <c r="AL13" i="7" s="1"/>
  <c r="AL20" i="7" s="1"/>
  <c r="AA11" i="9"/>
  <c r="AA12" i="9" s="1"/>
  <c r="E29" i="13"/>
  <c r="E30" i="13"/>
  <c r="E35" i="13" s="1"/>
  <c r="E36" i="13" s="1"/>
  <c r="E37" i="13" s="1"/>
  <c r="E19" i="7"/>
  <c r="E17" i="5"/>
  <c r="E13" i="7" s="1"/>
  <c r="E11" i="6"/>
  <c r="E5" i="6"/>
  <c r="E16" i="5"/>
  <c r="E7" i="6"/>
  <c r="E13" i="6"/>
  <c r="E12" i="6"/>
  <c r="E6" i="6"/>
  <c r="E11" i="9"/>
  <c r="E12" i="9" s="1"/>
  <c r="D19" i="6"/>
  <c r="D20" i="6" s="1"/>
  <c r="D5" i="8" s="1"/>
  <c r="D14" i="6"/>
  <c r="D29" i="13"/>
  <c r="D30" i="13"/>
  <c r="D35" i="13" s="1"/>
  <c r="D36" i="13" s="1"/>
  <c r="D37" i="13" s="1"/>
  <c r="L36" i="13"/>
  <c r="L37" i="13" s="1"/>
  <c r="AK11" i="9"/>
  <c r="AK12" i="9" s="1"/>
  <c r="I37" i="12"/>
  <c r="C38" i="12"/>
  <c r="C39" i="12" s="1"/>
  <c r="AK11" i="7"/>
  <c r="AK20" i="7" s="1"/>
  <c r="AK10" i="5"/>
  <c r="AK11" i="6" s="1"/>
  <c r="J20" i="7"/>
  <c r="AG20" i="7"/>
  <c r="AP6" i="6"/>
  <c r="AP7" i="6"/>
  <c r="AP17" i="5"/>
  <c r="AP13" i="7" s="1"/>
  <c r="AP5" i="6"/>
  <c r="AP13" i="6"/>
  <c r="AP19" i="7"/>
  <c r="AP16" i="5"/>
  <c r="L19" i="7"/>
  <c r="L13" i="6"/>
  <c r="L12" i="6"/>
  <c r="L11" i="6"/>
  <c r="L7" i="6"/>
  <c r="L6" i="6"/>
  <c r="L5" i="6"/>
  <c r="L8" i="6" s="1"/>
  <c r="L17" i="5"/>
  <c r="L13" i="7" s="1"/>
  <c r="L16" i="5"/>
  <c r="T19" i="7"/>
  <c r="T13" i="6"/>
  <c r="T17" i="5"/>
  <c r="T13" i="7" s="1"/>
  <c r="T5" i="6"/>
  <c r="T8" i="6" s="1"/>
  <c r="T6" i="6"/>
  <c r="T16" i="5"/>
  <c r="T7" i="6"/>
  <c r="V11" i="7"/>
  <c r="V10" i="5"/>
  <c r="V11" i="6" s="1"/>
  <c r="N36" i="13"/>
  <c r="N37" i="13" s="1"/>
  <c r="C11" i="9"/>
  <c r="C12" i="9" s="1"/>
  <c r="D38" i="12"/>
  <c r="D39" i="12" s="1"/>
  <c r="D44" i="12" s="1"/>
  <c r="D45" i="12" s="1"/>
  <c r="D46" i="12" s="1"/>
  <c r="AP10" i="5"/>
  <c r="AP11" i="6" s="1"/>
  <c r="AP11" i="7"/>
  <c r="AP20" i="7" s="1"/>
  <c r="AN14" i="5"/>
  <c r="AN15" i="5" s="1"/>
  <c r="W11" i="7"/>
  <c r="W20" i="7" s="1"/>
  <c r="W10" i="5"/>
  <c r="W11" i="6" s="1"/>
  <c r="AD19" i="7"/>
  <c r="AD7" i="6"/>
  <c r="AD16" i="5"/>
  <c r="AD11" i="6"/>
  <c r="AD5" i="6"/>
  <c r="AD17" i="5"/>
  <c r="AD13" i="7" s="1"/>
  <c r="AD20" i="7" s="1"/>
  <c r="AD13" i="6"/>
  <c r="AD6" i="6"/>
  <c r="S5" i="6"/>
  <c r="S8" i="6" s="1"/>
  <c r="X20" i="7" l="1"/>
  <c r="AA20" i="7"/>
  <c r="AP8" i="6"/>
  <c r="R20" i="7"/>
  <c r="AR12" i="6"/>
  <c r="AI20" i="7"/>
  <c r="AA12" i="6"/>
  <c r="L20" i="7"/>
  <c r="L21" i="7" s="1"/>
  <c r="L22" i="7" s="1"/>
  <c r="AK8" i="6"/>
  <c r="Z20" i="7"/>
  <c r="Z21" i="7" s="1"/>
  <c r="Z22" i="7" s="1"/>
  <c r="AF20" i="7"/>
  <c r="AF21" i="7" s="1"/>
  <c r="AF22" i="7" s="1"/>
  <c r="D16" i="6"/>
  <c r="D4" i="8" s="1"/>
  <c r="D7" i="9" s="1"/>
  <c r="T20" i="7"/>
  <c r="T21" i="7" s="1"/>
  <c r="T22" i="7" s="1"/>
  <c r="T12" i="6"/>
  <c r="T14" i="6" s="1"/>
  <c r="T16" i="6" s="1"/>
  <c r="T4" i="8" s="1"/>
  <c r="E20" i="7"/>
  <c r="AE8" i="6"/>
  <c r="AM20" i="7"/>
  <c r="AM21" i="7" s="1"/>
  <c r="AM22" i="7" s="1"/>
  <c r="K8" i="6"/>
  <c r="C16" i="6"/>
  <c r="C4" i="8" s="1"/>
  <c r="K21" i="7"/>
  <c r="K22" i="7" s="1"/>
  <c r="U21" i="7"/>
  <c r="U22" i="7" s="1"/>
  <c r="AE21" i="7"/>
  <c r="AE22" i="7" s="1"/>
  <c r="AB21" i="7"/>
  <c r="AB22" i="7" s="1"/>
  <c r="AA14" i="6"/>
  <c r="AA16" i="6" s="1"/>
  <c r="AA4" i="8" s="1"/>
  <c r="AA19" i="6"/>
  <c r="AA20" i="6" s="1"/>
  <c r="AA5" i="8" s="1"/>
  <c r="X21" i="7"/>
  <c r="X22" i="7" s="1"/>
  <c r="I21" i="7"/>
  <c r="I22" i="7"/>
  <c r="F21" i="7"/>
  <c r="F22" i="7" s="1"/>
  <c r="R21" i="7"/>
  <c r="R22" i="7"/>
  <c r="E21" i="7"/>
  <c r="E22" i="7"/>
  <c r="AD21" i="7"/>
  <c r="AD22" i="7" s="1"/>
  <c r="C8" i="8"/>
  <c r="C24" i="7"/>
  <c r="AN19" i="7"/>
  <c r="AN13" i="6"/>
  <c r="AN11" i="6"/>
  <c r="AN7" i="6"/>
  <c r="AN6" i="6"/>
  <c r="AN5" i="6"/>
  <c r="AN17" i="5"/>
  <c r="AN13" i="7" s="1"/>
  <c r="AN16" i="5"/>
  <c r="AO16" i="5"/>
  <c r="AR21" i="7"/>
  <c r="AR22" i="7" s="1"/>
  <c r="V19" i="6"/>
  <c r="V20" i="6" s="1"/>
  <c r="V5" i="8" s="1"/>
  <c r="V14" i="6"/>
  <c r="AK14" i="6"/>
  <c r="AK16" i="6" s="1"/>
  <c r="AK4" i="8" s="1"/>
  <c r="AK19" i="6"/>
  <c r="AK20" i="6" s="1"/>
  <c r="AK5" i="8" s="1"/>
  <c r="AQ22" i="7"/>
  <c r="AQ21" i="7"/>
  <c r="AK21" i="7"/>
  <c r="AK22" i="7"/>
  <c r="W21" i="7"/>
  <c r="W22" i="7"/>
  <c r="AL21" i="7"/>
  <c r="AL22" i="7" s="1"/>
  <c r="AP14" i="6"/>
  <c r="AP16" i="6" s="1"/>
  <c r="AP4" i="8" s="1"/>
  <c r="AP19" i="6"/>
  <c r="AP20" i="6" s="1"/>
  <c r="AP5" i="8" s="1"/>
  <c r="D8" i="8"/>
  <c r="D24" i="7"/>
  <c r="T19" i="6"/>
  <c r="T20" i="6" s="1"/>
  <c r="T5" i="8" s="1"/>
  <c r="AB14" i="6"/>
  <c r="AB19" i="6"/>
  <c r="AB20" i="6" s="1"/>
  <c r="AB5" i="8" s="1"/>
  <c r="H5" i="6"/>
  <c r="H12" i="6"/>
  <c r="H6" i="6"/>
  <c r="H16" i="5"/>
  <c r="H7" i="6"/>
  <c r="H13" i="6"/>
  <c r="H17" i="5"/>
  <c r="H13" i="7" s="1"/>
  <c r="H20" i="7" s="1"/>
  <c r="H11" i="6"/>
  <c r="H19" i="7"/>
  <c r="I16" i="5"/>
  <c r="Z19" i="6"/>
  <c r="Z20" i="6" s="1"/>
  <c r="Z5" i="8" s="1"/>
  <c r="AJ19" i="7"/>
  <c r="AJ13" i="6"/>
  <c r="AJ17" i="5"/>
  <c r="AJ13" i="7" s="1"/>
  <c r="AJ11" i="6"/>
  <c r="AJ5" i="6"/>
  <c r="AJ12" i="6"/>
  <c r="AJ7" i="6"/>
  <c r="AJ16" i="5"/>
  <c r="AJ6" i="6"/>
  <c r="AK16" i="5"/>
  <c r="S21" i="7"/>
  <c r="S22" i="7" s="1"/>
  <c r="X19" i="6"/>
  <c r="X20" i="6" s="1"/>
  <c r="X5" i="8" s="1"/>
  <c r="AP21" i="7"/>
  <c r="AP22" i="7"/>
  <c r="AI21" i="7"/>
  <c r="AI22" i="7" s="1"/>
  <c r="AH21" i="7"/>
  <c r="AH22" i="7" s="1"/>
  <c r="I39" i="12"/>
  <c r="C44" i="12"/>
  <c r="V12" i="6"/>
  <c r="AL12" i="6"/>
  <c r="P8" i="6"/>
  <c r="AD8" i="6"/>
  <c r="I38" i="12"/>
  <c r="AH8" i="6"/>
  <c r="P20" i="7"/>
  <c r="AF8" i="6"/>
  <c r="AA21" i="7"/>
  <c r="AA22" i="7" s="1"/>
  <c r="X12" i="6"/>
  <c r="X14" i="6" s="1"/>
  <c r="O30" i="13"/>
  <c r="K19" i="6"/>
  <c r="K20" i="6" s="1"/>
  <c r="K5" i="8" s="1"/>
  <c r="K14" i="6"/>
  <c r="I8" i="6"/>
  <c r="AQ14" i="6"/>
  <c r="AQ19" i="6"/>
  <c r="AQ20" i="6" s="1"/>
  <c r="AQ5" i="8" s="1"/>
  <c r="Y19" i="6"/>
  <c r="Y20" i="6" s="1"/>
  <c r="Y5" i="8" s="1"/>
  <c r="Y14" i="6"/>
  <c r="Y16" i="6" s="1"/>
  <c r="Y4" i="8" s="1"/>
  <c r="X8" i="6"/>
  <c r="N20" i="7"/>
  <c r="V8" i="6"/>
  <c r="U8" i="6"/>
  <c r="AF12" i="6"/>
  <c r="AF14" i="6" s="1"/>
  <c r="E19" i="6"/>
  <c r="E20" i="6" s="1"/>
  <c r="E5" i="8" s="1"/>
  <c r="E14" i="6"/>
  <c r="Y12" i="6"/>
  <c r="U19" i="6"/>
  <c r="U20" i="6" s="1"/>
  <c r="U5" i="8" s="1"/>
  <c r="U14" i="6"/>
  <c r="AO8" i="6"/>
  <c r="AC21" i="7"/>
  <c r="AC22" i="7" s="1"/>
  <c r="J8" i="6"/>
  <c r="C7" i="9"/>
  <c r="C6" i="8"/>
  <c r="C16" i="8" s="1"/>
  <c r="R19" i="6"/>
  <c r="R20" i="6" s="1"/>
  <c r="R5" i="8" s="1"/>
  <c r="R14" i="6"/>
  <c r="C34" i="13"/>
  <c r="O12" i="13"/>
  <c r="N8" i="6"/>
  <c r="AM8" i="6"/>
  <c r="AM16" i="6" s="1"/>
  <c r="AM4" i="8" s="1"/>
  <c r="J19" i="6"/>
  <c r="J20" i="6" s="1"/>
  <c r="J5" i="8" s="1"/>
  <c r="J14" i="6"/>
  <c r="G8" i="6"/>
  <c r="R8" i="6"/>
  <c r="O33" i="13"/>
  <c r="AD12" i="6"/>
  <c r="V20" i="7"/>
  <c r="AM19" i="6"/>
  <c r="AM20" i="6" s="1"/>
  <c r="AM5" i="8" s="1"/>
  <c r="AM14" i="6"/>
  <c r="AB8" i="6"/>
  <c r="G21" i="7"/>
  <c r="G22" i="7" s="1"/>
  <c r="I42" i="12"/>
  <c r="F8" i="6"/>
  <c r="E8" i="6"/>
  <c r="E16" i="6" s="1"/>
  <c r="E4" i="8" s="1"/>
  <c r="AF19" i="6"/>
  <c r="AF20" i="6" s="1"/>
  <c r="AF5" i="8" s="1"/>
  <c r="AL19" i="6"/>
  <c r="AL20" i="6" s="1"/>
  <c r="AL5" i="8" s="1"/>
  <c r="AL14" i="6"/>
  <c r="AQ8" i="6"/>
  <c r="W19" i="6"/>
  <c r="W20" i="6" s="1"/>
  <c r="W5" i="8" s="1"/>
  <c r="W14" i="6"/>
  <c r="W16" i="6" s="1"/>
  <c r="W4" i="8" s="1"/>
  <c r="G19" i="6"/>
  <c r="G20" i="6" s="1"/>
  <c r="G5" i="8" s="1"/>
  <c r="G14" i="6"/>
  <c r="AC19" i="6"/>
  <c r="AC20" i="6" s="1"/>
  <c r="AC5" i="8" s="1"/>
  <c r="AG21" i="7"/>
  <c r="AG22" i="7" s="1"/>
  <c r="M8" i="6"/>
  <c r="AK12" i="6"/>
  <c r="AO12" i="6"/>
  <c r="AO14" i="6" s="1"/>
  <c r="I19" i="6"/>
  <c r="I20" i="6" s="1"/>
  <c r="I5" i="8" s="1"/>
  <c r="I14" i="6"/>
  <c r="AI12" i="6"/>
  <c r="F19" i="6"/>
  <c r="F20" i="6" s="1"/>
  <c r="F5" i="8" s="1"/>
  <c r="F14" i="6"/>
  <c r="Q16" i="5"/>
  <c r="Q13" i="6"/>
  <c r="Q17" i="5"/>
  <c r="Q13" i="7" s="1"/>
  <c r="Q11" i="6"/>
  <c r="Q7" i="6"/>
  <c r="Q6" i="6"/>
  <c r="Q5" i="6"/>
  <c r="Q12" i="6"/>
  <c r="Q19" i="7"/>
  <c r="AH14" i="6"/>
  <c r="AH19" i="6"/>
  <c r="AH20" i="6" s="1"/>
  <c r="AH5" i="8" s="1"/>
  <c r="O35" i="13"/>
  <c r="AL8" i="6"/>
  <c r="AL16" i="6" s="1"/>
  <c r="AL4" i="8" s="1"/>
  <c r="AP12" i="6"/>
  <c r="AO19" i="6"/>
  <c r="AO20" i="6" s="1"/>
  <c r="AO5" i="8" s="1"/>
  <c r="L19" i="6"/>
  <c r="L20" i="6" s="1"/>
  <c r="L5" i="8" s="1"/>
  <c r="L14" i="6"/>
  <c r="L16" i="6" s="1"/>
  <c r="L4" i="8" s="1"/>
  <c r="J21" i="7"/>
  <c r="J22" i="7"/>
  <c r="AH12" i="6"/>
  <c r="Z12" i="6"/>
  <c r="Z14" i="6" s="1"/>
  <c r="Z16" i="6" s="1"/>
  <c r="Z4" i="8" s="1"/>
  <c r="AE19" i="6"/>
  <c r="AE20" i="6" s="1"/>
  <c r="AE5" i="8" s="1"/>
  <c r="P19" i="6"/>
  <c r="P20" i="6" s="1"/>
  <c r="P5" i="8" s="1"/>
  <c r="P14" i="6"/>
  <c r="N19" i="6"/>
  <c r="N20" i="6" s="1"/>
  <c r="N5" i="8" s="1"/>
  <c r="N14" i="6"/>
  <c r="C21" i="3"/>
  <c r="D20" i="3"/>
  <c r="AI8" i="6"/>
  <c r="AD14" i="6"/>
  <c r="AD19" i="6"/>
  <c r="AD20" i="6" s="1"/>
  <c r="AD5" i="8" s="1"/>
  <c r="O7" i="6"/>
  <c r="O16" i="5"/>
  <c r="O13" i="6"/>
  <c r="O19" i="7"/>
  <c r="O5" i="6"/>
  <c r="O6" i="6"/>
  <c r="O12" i="6"/>
  <c r="O11" i="6"/>
  <c r="O17" i="5"/>
  <c r="O13" i="7" s="1"/>
  <c r="AG14" i="6"/>
  <c r="AG16" i="6" s="1"/>
  <c r="AG4" i="8" s="1"/>
  <c r="AG19" i="6"/>
  <c r="AG20" i="6" s="1"/>
  <c r="AG5" i="8" s="1"/>
  <c r="M19" i="6"/>
  <c r="M20" i="6" s="1"/>
  <c r="M5" i="8" s="1"/>
  <c r="M14" i="6"/>
  <c r="AE12" i="6"/>
  <c r="AE14" i="6" s="1"/>
  <c r="AE16" i="6" s="1"/>
  <c r="AE4" i="8" s="1"/>
  <c r="M20" i="7"/>
  <c r="Y20" i="7"/>
  <c r="AR14" i="6"/>
  <c r="AR16" i="6" s="1"/>
  <c r="AR4" i="8" s="1"/>
  <c r="AR19" i="6"/>
  <c r="AR20" i="6" s="1"/>
  <c r="AR5" i="8" s="1"/>
  <c r="AO20" i="7"/>
  <c r="S19" i="6"/>
  <c r="S20" i="6" s="1"/>
  <c r="S5" i="8" s="1"/>
  <c r="S14" i="6"/>
  <c r="S16" i="6" s="1"/>
  <c r="S4" i="8" s="1"/>
  <c r="AI19" i="6"/>
  <c r="AI20" i="6" s="1"/>
  <c r="AI5" i="8" s="1"/>
  <c r="AI14" i="6"/>
  <c r="AC12" i="6"/>
  <c r="AC14" i="6" s="1"/>
  <c r="AC16" i="6" s="1"/>
  <c r="AC4" i="8" s="1"/>
  <c r="F16" i="6" l="1"/>
  <c r="F4" i="8" s="1"/>
  <c r="N16" i="6"/>
  <c r="N4" i="8" s="1"/>
  <c r="D6" i="8"/>
  <c r="D9" i="8" s="1"/>
  <c r="D11" i="8" s="1"/>
  <c r="V16" i="6"/>
  <c r="V4" i="8" s="1"/>
  <c r="W7" i="9" s="1"/>
  <c r="AJ8" i="6"/>
  <c r="O8" i="6"/>
  <c r="Q8" i="6"/>
  <c r="K16" i="6"/>
  <c r="K4" i="8" s="1"/>
  <c r="L7" i="9" s="1"/>
  <c r="AJ20" i="7"/>
  <c r="AF16" i="6"/>
  <c r="AF4" i="8" s="1"/>
  <c r="AF7" i="9" s="1"/>
  <c r="AQ16" i="6"/>
  <c r="AQ4" i="8" s="1"/>
  <c r="AQ7" i="9" s="1"/>
  <c r="AB16" i="6"/>
  <c r="AB4" i="8" s="1"/>
  <c r="AB7" i="9" s="1"/>
  <c r="X16" i="6"/>
  <c r="X4" i="8" s="1"/>
  <c r="M16" i="6"/>
  <c r="M4" i="8" s="1"/>
  <c r="N7" i="9" s="1"/>
  <c r="R16" i="6"/>
  <c r="R4" i="8" s="1"/>
  <c r="R6" i="8" s="1"/>
  <c r="R9" i="8" s="1"/>
  <c r="R11" i="8" s="1"/>
  <c r="P16" i="6"/>
  <c r="P4" i="8" s="1"/>
  <c r="P6" i="8" s="1"/>
  <c r="P16" i="8" s="1"/>
  <c r="G16" i="6"/>
  <c r="G4" i="8" s="1"/>
  <c r="G7" i="9" s="1"/>
  <c r="AH8" i="8"/>
  <c r="AH24" i="7"/>
  <c r="AC6" i="8"/>
  <c r="X8" i="8"/>
  <c r="X24" i="7"/>
  <c r="F8" i="8"/>
  <c r="F24" i="7"/>
  <c r="AG6" i="8"/>
  <c r="AG16" i="8" s="1"/>
  <c r="T8" i="8"/>
  <c r="T24" i="7"/>
  <c r="T7" i="9"/>
  <c r="T6" i="8"/>
  <c r="T16" i="8"/>
  <c r="AL8" i="8"/>
  <c r="AL24" i="7"/>
  <c r="L8" i="8"/>
  <c r="L24" i="7"/>
  <c r="AA8" i="8"/>
  <c r="AA24" i="7"/>
  <c r="AB8" i="8"/>
  <c r="AB24" i="7"/>
  <c r="AE8" i="8"/>
  <c r="AE24" i="7"/>
  <c r="Z8" i="8"/>
  <c r="Z24" i="7"/>
  <c r="G8" i="8"/>
  <c r="G24" i="7"/>
  <c r="U8" i="8"/>
  <c r="U24" i="7"/>
  <c r="AI8" i="8"/>
  <c r="AI24" i="7"/>
  <c r="AF8" i="8"/>
  <c r="AF24" i="7"/>
  <c r="S8" i="8"/>
  <c r="S24" i="7"/>
  <c r="AK6" i="8"/>
  <c r="AK16" i="8" s="1"/>
  <c r="AE6" i="8"/>
  <c r="AE9" i="8" s="1"/>
  <c r="AE11" i="8" s="1"/>
  <c r="Y6" i="8"/>
  <c r="Y16" i="8" s="1"/>
  <c r="AD8" i="8"/>
  <c r="AD24" i="7"/>
  <c r="Z7" i="9"/>
  <c r="Z6" i="8"/>
  <c r="AC8" i="8"/>
  <c r="AC24" i="7"/>
  <c r="AP6" i="8"/>
  <c r="AR8" i="8"/>
  <c r="AR24" i="7"/>
  <c r="K8" i="8"/>
  <c r="K24" i="7"/>
  <c r="AR7" i="9"/>
  <c r="AR6" i="8"/>
  <c r="AR9" i="8" s="1"/>
  <c r="AR11" i="8" s="1"/>
  <c r="J16" i="6"/>
  <c r="J4" i="8" s="1"/>
  <c r="P21" i="7"/>
  <c r="P22" i="7" s="1"/>
  <c r="AJ14" i="6"/>
  <c r="AJ16" i="6" s="1"/>
  <c r="AJ4" i="8" s="1"/>
  <c r="AJ19" i="6"/>
  <c r="AJ20" i="6" s="1"/>
  <c r="AJ5" i="8" s="1"/>
  <c r="W6" i="8"/>
  <c r="N6" i="8"/>
  <c r="N16" i="8" s="1"/>
  <c r="W8" i="8"/>
  <c r="W24" i="7"/>
  <c r="AO16" i="6"/>
  <c r="AO4" i="8" s="1"/>
  <c r="AP7" i="9" s="1"/>
  <c r="AD16" i="6"/>
  <c r="AD4" i="8" s="1"/>
  <c r="AE7" i="9" s="1"/>
  <c r="H8" i="6"/>
  <c r="F6" i="8"/>
  <c r="F16" i="8" s="1"/>
  <c r="F7" i="9"/>
  <c r="N21" i="7"/>
  <c r="N22" i="7" s="1"/>
  <c r="L6" i="8"/>
  <c r="L9" i="8" s="1"/>
  <c r="L11" i="8" s="1"/>
  <c r="Q19" i="6"/>
  <c r="Q20" i="6" s="1"/>
  <c r="Q5" i="8" s="1"/>
  <c r="Q14" i="6"/>
  <c r="S6" i="8"/>
  <c r="AA6" i="8"/>
  <c r="AA7" i="9"/>
  <c r="E8" i="8"/>
  <c r="E24" i="7"/>
  <c r="AO21" i="7"/>
  <c r="AO22" i="7" s="1"/>
  <c r="AM6" i="8"/>
  <c r="AM16" i="8" s="1"/>
  <c r="AM7" i="9"/>
  <c r="M21" i="7"/>
  <c r="M22" i="7" s="1"/>
  <c r="AI16" i="6"/>
  <c r="AI4" i="8" s="1"/>
  <c r="Q20" i="7"/>
  <c r="D12" i="8"/>
  <c r="D13" i="8" s="1"/>
  <c r="C36" i="13"/>
  <c r="O34" i="13"/>
  <c r="I16" i="6"/>
  <c r="I4" i="8" s="1"/>
  <c r="D16" i="8"/>
  <c r="V21" i="7"/>
  <c r="V22" i="7" s="1"/>
  <c r="AN20" i="7"/>
  <c r="R8" i="8"/>
  <c r="R24" i="7"/>
  <c r="I8" i="8"/>
  <c r="I24" i="7"/>
  <c r="AJ21" i="7"/>
  <c r="AJ22" i="7" s="1"/>
  <c r="C22" i="3"/>
  <c r="D21" i="3"/>
  <c r="D17" i="8"/>
  <c r="AN8" i="6"/>
  <c r="O20" i="7"/>
  <c r="E6" i="8"/>
  <c r="E9" i="8" s="1"/>
  <c r="E11" i="8" s="1"/>
  <c r="E7" i="9"/>
  <c r="I44" i="12"/>
  <c r="C45" i="12"/>
  <c r="AK8" i="8"/>
  <c r="AK24" i="7"/>
  <c r="AM8" i="8"/>
  <c r="AM24" i="7"/>
  <c r="O19" i="6"/>
  <c r="O20" i="6" s="1"/>
  <c r="O5" i="8" s="1"/>
  <c r="O14" i="6"/>
  <c r="O16" i="6" s="1"/>
  <c r="O4" i="8" s="1"/>
  <c r="AL6" i="8"/>
  <c r="AL9" i="8" s="1"/>
  <c r="AL11" i="8" s="1"/>
  <c r="AL7" i="9"/>
  <c r="C9" i="8"/>
  <c r="H19" i="6"/>
  <c r="H20" i="6" s="1"/>
  <c r="H5" i="8" s="1"/>
  <c r="H14" i="6"/>
  <c r="AN19" i="6"/>
  <c r="AN20" i="6" s="1"/>
  <c r="AN5" i="8" s="1"/>
  <c r="Y21" i="7"/>
  <c r="Y22" i="7"/>
  <c r="AH16" i="6"/>
  <c r="AH4" i="8" s="1"/>
  <c r="AP8" i="8"/>
  <c r="AP24" i="7"/>
  <c r="J8" i="8"/>
  <c r="J24" i="7"/>
  <c r="AG8" i="8"/>
  <c r="AG24" i="7"/>
  <c r="U16" i="6"/>
  <c r="U4" i="8" s="1"/>
  <c r="H22" i="7"/>
  <c r="H21" i="7"/>
  <c r="AQ8" i="8"/>
  <c r="AQ24" i="7"/>
  <c r="AN12" i="6"/>
  <c r="AN14" i="6" s="1"/>
  <c r="AQ6" i="8" l="1"/>
  <c r="AQ16" i="8" s="1"/>
  <c r="V6" i="8"/>
  <c r="V16" i="8" s="1"/>
  <c r="AG7" i="9"/>
  <c r="K6" i="8"/>
  <c r="K16" i="8" s="1"/>
  <c r="AF6" i="8"/>
  <c r="AF9" i="8" s="1"/>
  <c r="X6" i="8"/>
  <c r="X16" i="8" s="1"/>
  <c r="M6" i="8"/>
  <c r="M16" i="8" s="1"/>
  <c r="X7" i="9"/>
  <c r="T9" i="8"/>
  <c r="T11" i="8" s="1"/>
  <c r="T12" i="8" s="1"/>
  <c r="T13" i="8" s="1"/>
  <c r="M7" i="9"/>
  <c r="Y7" i="9"/>
  <c r="W9" i="8"/>
  <c r="W11" i="8" s="1"/>
  <c r="W12" i="8" s="1"/>
  <c r="W13" i="8" s="1"/>
  <c r="S9" i="8"/>
  <c r="S11" i="8" s="1"/>
  <c r="S12" i="8" s="1"/>
  <c r="S7" i="9"/>
  <c r="Z9" i="8"/>
  <c r="Z11" i="8" s="1"/>
  <c r="Z12" i="8" s="1"/>
  <c r="Z13" i="8" s="1"/>
  <c r="AC7" i="9"/>
  <c r="AB6" i="8"/>
  <c r="AB9" i="8" s="1"/>
  <c r="AB11" i="8" s="1"/>
  <c r="AB12" i="8" s="1"/>
  <c r="AB13" i="8" s="1"/>
  <c r="Q16" i="6"/>
  <c r="Q4" i="8" s="1"/>
  <c r="Q7" i="9" s="1"/>
  <c r="AL16" i="8"/>
  <c r="AR17" i="8"/>
  <c r="AE17" i="8"/>
  <c r="G6" i="8"/>
  <c r="G9" i="8" s="1"/>
  <c r="G11" i="8" s="1"/>
  <c r="G12" i="8" s="1"/>
  <c r="G13" i="8" s="1"/>
  <c r="W16" i="8"/>
  <c r="E16" i="8"/>
  <c r="E17" i="8"/>
  <c r="W17" i="8"/>
  <c r="AL17" i="8"/>
  <c r="V8" i="8"/>
  <c r="V9" i="8" s="1"/>
  <c r="V24" i="7"/>
  <c r="M8" i="8"/>
  <c r="M24" i="7"/>
  <c r="P8" i="8"/>
  <c r="P9" i="8" s="1"/>
  <c r="P24" i="7"/>
  <c r="AJ7" i="9"/>
  <c r="AJ6" i="8"/>
  <c r="AK7" i="9"/>
  <c r="O7" i="9"/>
  <c r="O6" i="8"/>
  <c r="O16" i="8" s="1"/>
  <c r="P7" i="9"/>
  <c r="J6" i="8"/>
  <c r="J9" i="8" s="1"/>
  <c r="J11" i="8" s="1"/>
  <c r="J16" i="8"/>
  <c r="J7" i="9"/>
  <c r="AA9" i="8"/>
  <c r="L16" i="8"/>
  <c r="AR12" i="8"/>
  <c r="AR13" i="8" s="1"/>
  <c r="AE12" i="8"/>
  <c r="AE13" i="8"/>
  <c r="K7" i="9"/>
  <c r="L17" i="8"/>
  <c r="G17" i="8"/>
  <c r="AR16" i="8"/>
  <c r="AE16" i="8"/>
  <c r="AH6" i="8"/>
  <c r="AH9" i="8" s="1"/>
  <c r="AH11" i="8" s="1"/>
  <c r="AH7" i="9"/>
  <c r="AM9" i="8"/>
  <c r="Z16" i="8"/>
  <c r="AN16" i="6"/>
  <c r="AN4" i="8" s="1"/>
  <c r="AO7" i="9" s="1"/>
  <c r="AJ8" i="8"/>
  <c r="AJ24" i="7"/>
  <c r="I6" i="8"/>
  <c r="I9" i="8" s="1"/>
  <c r="I11" i="8" s="1"/>
  <c r="S16" i="8"/>
  <c r="AK9" i="8"/>
  <c r="L12" i="8"/>
  <c r="L13" i="8" s="1"/>
  <c r="AC9" i="8"/>
  <c r="U7" i="9"/>
  <c r="U6" i="8"/>
  <c r="U9" i="8" s="1"/>
  <c r="U11" i="8" s="1"/>
  <c r="I45" i="12"/>
  <c r="C46" i="12"/>
  <c r="N8" i="8"/>
  <c r="N9" i="8" s="1"/>
  <c r="N24" i="7"/>
  <c r="AQ9" i="8"/>
  <c r="R12" i="8"/>
  <c r="R13" i="8" s="1"/>
  <c r="V7" i="9"/>
  <c r="O36" i="13"/>
  <c r="C37" i="13"/>
  <c r="AO8" i="8"/>
  <c r="AO24" i="7"/>
  <c r="R16" i="8"/>
  <c r="C11" i="8"/>
  <c r="C17" i="8"/>
  <c r="F9" i="8"/>
  <c r="AC16" i="8"/>
  <c r="H8" i="8"/>
  <c r="H24" i="7"/>
  <c r="R17" i="8"/>
  <c r="D5" i="9"/>
  <c r="D8" i="9" s="1"/>
  <c r="D14" i="9" s="1"/>
  <c r="D18" i="8"/>
  <c r="AN21" i="7"/>
  <c r="AN22" i="7" s="1"/>
  <c r="Q21" i="7"/>
  <c r="Q22" i="7"/>
  <c r="AP9" i="8"/>
  <c r="AP16" i="8"/>
  <c r="AO6" i="8"/>
  <c r="AO16" i="8"/>
  <c r="AI7" i="9"/>
  <c r="AI6" i="8"/>
  <c r="AI9" i="8" s="1"/>
  <c r="AI11" i="8" s="1"/>
  <c r="AL12" i="8"/>
  <c r="AL13" i="8" s="1"/>
  <c r="E12" i="8"/>
  <c r="E13" i="8" s="1"/>
  <c r="AA16" i="8"/>
  <c r="H16" i="6"/>
  <c r="H4" i="8" s="1"/>
  <c r="X9" i="8"/>
  <c r="AG9" i="8"/>
  <c r="C23" i="3"/>
  <c r="D22" i="3"/>
  <c r="Y8" i="8"/>
  <c r="Y9" i="8" s="1"/>
  <c r="Y24" i="7"/>
  <c r="O21" i="7"/>
  <c r="O22" i="7" s="1"/>
  <c r="AD7" i="9"/>
  <c r="AD6" i="8"/>
  <c r="AD9" i="8" s="1"/>
  <c r="AD11" i="8" s="1"/>
  <c r="AF16" i="8" l="1"/>
  <c r="S13" i="8"/>
  <c r="T17" i="8"/>
  <c r="K9" i="8"/>
  <c r="K17" i="8" s="1"/>
  <c r="Z17" i="8"/>
  <c r="M9" i="8"/>
  <c r="R7" i="9"/>
  <c r="AB16" i="8"/>
  <c r="Q6" i="8"/>
  <c r="Q16" i="8" s="1"/>
  <c r="S17" i="8"/>
  <c r="G16" i="8"/>
  <c r="AJ9" i="8"/>
  <c r="AJ11" i="8" s="1"/>
  <c r="AJ12" i="8" s="1"/>
  <c r="AJ13" i="8" s="1"/>
  <c r="AB17" i="8"/>
  <c r="AI16" i="8"/>
  <c r="AH17" i="8"/>
  <c r="Z5" i="9"/>
  <c r="Z8" i="9" s="1"/>
  <c r="Z14" i="9" s="1"/>
  <c r="Z18" i="8"/>
  <c r="G5" i="9"/>
  <c r="G8" i="9" s="1"/>
  <c r="G14" i="9" s="1"/>
  <c r="G18" i="8"/>
  <c r="T5" i="9"/>
  <c r="T8" i="9" s="1"/>
  <c r="T14" i="9" s="1"/>
  <c r="T18" i="8"/>
  <c r="AN8" i="8"/>
  <c r="AN24" i="7"/>
  <c r="AR5" i="9"/>
  <c r="AR8" i="9" s="1"/>
  <c r="AR14" i="9" s="1"/>
  <c r="AR18" i="8"/>
  <c r="Y11" i="8"/>
  <c r="Y17" i="8"/>
  <c r="P11" i="8"/>
  <c r="P17" i="8"/>
  <c r="W5" i="9"/>
  <c r="W8" i="9" s="1"/>
  <c r="W14" i="9" s="1"/>
  <c r="W18" i="8"/>
  <c r="AB5" i="9"/>
  <c r="AB8" i="9" s="1"/>
  <c r="AB14" i="9" s="1"/>
  <c r="AB18" i="8"/>
  <c r="E5" i="9"/>
  <c r="E8" i="9" s="1"/>
  <c r="E14" i="9" s="1"/>
  <c r="E18" i="8"/>
  <c r="U16" i="8"/>
  <c r="J17" i="8"/>
  <c r="AM11" i="8"/>
  <c r="AM17" i="8"/>
  <c r="AE5" i="9"/>
  <c r="AE8" i="9" s="1"/>
  <c r="AE14" i="9" s="1"/>
  <c r="AE18" i="8"/>
  <c r="AJ16" i="8"/>
  <c r="O8" i="8"/>
  <c r="O9" i="8" s="1"/>
  <c r="O24" i="7"/>
  <c r="S5" i="9"/>
  <c r="S8" i="9" s="1"/>
  <c r="S14" i="9" s="1"/>
  <c r="S18" i="8"/>
  <c r="I12" i="8"/>
  <c r="I13" i="8" s="1"/>
  <c r="AK11" i="8"/>
  <c r="AK17" i="8"/>
  <c r="X11" i="8"/>
  <c r="X17" i="8"/>
  <c r="I16" i="8"/>
  <c r="AH12" i="8"/>
  <c r="AH13" i="8" s="1"/>
  <c r="K11" i="8"/>
  <c r="Q8" i="8"/>
  <c r="Q24" i="7"/>
  <c r="C12" i="8"/>
  <c r="C13" i="8" s="1"/>
  <c r="U12" i="8"/>
  <c r="U13" i="8" s="1"/>
  <c r="J12" i="8"/>
  <c r="J13" i="8" s="1"/>
  <c r="H7" i="9"/>
  <c r="H6" i="8"/>
  <c r="H9" i="8" s="1"/>
  <c r="H11" i="8" s="1"/>
  <c r="AO9" i="8"/>
  <c r="V11" i="8"/>
  <c r="V17" i="8"/>
  <c r="I17" i="8"/>
  <c r="AH16" i="8"/>
  <c r="AI12" i="8"/>
  <c r="AI13" i="8" s="1"/>
  <c r="AI17" i="8"/>
  <c r="AF11" i="8"/>
  <c r="AF17" i="8"/>
  <c r="AG11" i="8"/>
  <c r="AG17" i="8"/>
  <c r="AD12" i="8"/>
  <c r="AD13" i="8" s="1"/>
  <c r="I7" i="9"/>
  <c r="M11" i="8"/>
  <c r="M17" i="8"/>
  <c r="L5" i="9"/>
  <c r="L8" i="9" s="1"/>
  <c r="L14" i="9" s="1"/>
  <c r="L18" i="8"/>
  <c r="AD16" i="8"/>
  <c r="AC11" i="8"/>
  <c r="AC17" i="8"/>
  <c r="C24" i="3"/>
  <c r="D24" i="3" s="1"/>
  <c r="D23" i="3"/>
  <c r="C38" i="13"/>
  <c r="D38" i="13" s="1"/>
  <c r="E38" i="13" s="1"/>
  <c r="F38" i="13" s="1"/>
  <c r="G38" i="13" s="1"/>
  <c r="H38" i="13" s="1"/>
  <c r="I38" i="13" s="1"/>
  <c r="J38" i="13" s="1"/>
  <c r="K38" i="13" s="1"/>
  <c r="L38" i="13" s="1"/>
  <c r="M38" i="13" s="1"/>
  <c r="N38" i="13" s="1"/>
  <c r="O38" i="13" s="1"/>
  <c r="O37" i="13"/>
  <c r="N11" i="8"/>
  <c r="N17" i="8"/>
  <c r="R5" i="9"/>
  <c r="R18" i="8"/>
  <c r="AP11" i="8"/>
  <c r="AP17" i="8"/>
  <c r="AA11" i="8"/>
  <c r="AA17" i="8"/>
  <c r="U17" i="8"/>
  <c r="AD17" i="8"/>
  <c r="AQ11" i="8"/>
  <c r="AQ17" i="8"/>
  <c r="AL5" i="9"/>
  <c r="AL8" i="9" s="1"/>
  <c r="AL14" i="9" s="1"/>
  <c r="AL18" i="8"/>
  <c r="F11" i="8"/>
  <c r="F17" i="8"/>
  <c r="C47" i="12"/>
  <c r="D47" i="12" s="1"/>
  <c r="E47" i="12" s="1"/>
  <c r="F47" i="12" s="1"/>
  <c r="G47" i="12" s="1"/>
  <c r="H47" i="12" s="1"/>
  <c r="I47" i="12" s="1"/>
  <c r="I46" i="12"/>
  <c r="AN7" i="9"/>
  <c r="AN6" i="8"/>
  <c r="AN9" i="8" s="1"/>
  <c r="AN11" i="8" s="1"/>
  <c r="AJ17" i="8" l="1"/>
  <c r="R8" i="9"/>
  <c r="R14" i="9" s="1"/>
  <c r="Q9" i="8"/>
  <c r="Q11" i="8" s="1"/>
  <c r="O11" i="8"/>
  <c r="O17" i="8"/>
  <c r="AD5" i="9"/>
  <c r="AD8" i="9" s="1"/>
  <c r="AD14" i="9" s="1"/>
  <c r="AD18" i="8"/>
  <c r="I5" i="9"/>
  <c r="I8" i="9" s="1"/>
  <c r="I14" i="9" s="1"/>
  <c r="I18" i="8"/>
  <c r="U5" i="9"/>
  <c r="U8" i="9" s="1"/>
  <c r="U14" i="9" s="1"/>
  <c r="U18" i="8"/>
  <c r="C5" i="9"/>
  <c r="C8" i="9" s="1"/>
  <c r="C14" i="9" s="1"/>
  <c r="C18" i="8"/>
  <c r="AJ5" i="9"/>
  <c r="AJ8" i="9" s="1"/>
  <c r="AJ14" i="9" s="1"/>
  <c r="AJ18" i="8"/>
  <c r="Q17" i="8"/>
  <c r="AF12" i="8"/>
  <c r="AF13" i="8" s="1"/>
  <c r="X12" i="8"/>
  <c r="X13" i="8" s="1"/>
  <c r="Y12" i="8"/>
  <c r="Y13" i="8" s="1"/>
  <c r="AK12" i="8"/>
  <c r="AK13" i="8" s="1"/>
  <c r="AN17" i="8"/>
  <c r="AM12" i="8"/>
  <c r="AM13" i="8" s="1"/>
  <c r="AP12" i="8"/>
  <c r="AP13" i="8" s="1"/>
  <c r="J5" i="9"/>
  <c r="J8" i="9" s="1"/>
  <c r="J14" i="9" s="1"/>
  <c r="J18" i="8"/>
  <c r="AN16" i="8"/>
  <c r="AG12" i="8"/>
  <c r="AG13" i="8" s="1"/>
  <c r="AQ12" i="8"/>
  <c r="AQ13" i="8" s="1"/>
  <c r="AC12" i="8"/>
  <c r="AC13" i="8" s="1"/>
  <c r="M12" i="8"/>
  <c r="M13" i="8" s="1"/>
  <c r="V12" i="8"/>
  <c r="V13" i="8" s="1"/>
  <c r="P12" i="8"/>
  <c r="P13" i="8" s="1"/>
  <c r="AO11" i="8"/>
  <c r="AO17" i="8"/>
  <c r="AA12" i="8"/>
  <c r="AA13" i="8" s="1"/>
  <c r="F12" i="8"/>
  <c r="F13" i="8" s="1"/>
  <c r="H12" i="8"/>
  <c r="H13" i="8" s="1"/>
  <c r="K12" i="8"/>
  <c r="K13" i="8" s="1"/>
  <c r="AN12" i="8"/>
  <c r="AN13" i="8" s="1"/>
  <c r="AI5" i="9"/>
  <c r="AI8" i="9" s="1"/>
  <c r="AI14" i="9" s="1"/>
  <c r="AI18" i="8"/>
  <c r="N12" i="8"/>
  <c r="N13" i="8" s="1"/>
  <c r="H16" i="8"/>
  <c r="H17" i="8"/>
  <c r="AH5" i="9"/>
  <c r="AH8" i="9" s="1"/>
  <c r="AH14" i="9" s="1"/>
  <c r="AH18" i="8"/>
  <c r="H5" i="9" l="1"/>
  <c r="H8" i="9" s="1"/>
  <c r="H14" i="9" s="1"/>
  <c r="H18" i="8"/>
  <c r="AA5" i="9"/>
  <c r="AA8" i="9" s="1"/>
  <c r="AA14" i="9" s="1"/>
  <c r="AA18" i="8"/>
  <c r="P5" i="9"/>
  <c r="P8" i="9" s="1"/>
  <c r="P14" i="9" s="1"/>
  <c r="P18" i="8"/>
  <c r="N5" i="9"/>
  <c r="N8" i="9" s="1"/>
  <c r="N14" i="9" s="1"/>
  <c r="N18" i="8"/>
  <c r="V5" i="9"/>
  <c r="V8" i="9" s="1"/>
  <c r="V14" i="9" s="1"/>
  <c r="V18" i="8"/>
  <c r="X5" i="9"/>
  <c r="X8" i="9" s="1"/>
  <c r="X14" i="9" s="1"/>
  <c r="X18" i="8"/>
  <c r="AG5" i="9"/>
  <c r="AG8" i="9" s="1"/>
  <c r="AG14" i="9" s="1"/>
  <c r="B8" i="10" s="1"/>
  <c r="AG18" i="8"/>
  <c r="AP5" i="9"/>
  <c r="AP8" i="9" s="1"/>
  <c r="AP14" i="9" s="1"/>
  <c r="AP18" i="8"/>
  <c r="AK5" i="9"/>
  <c r="AK8" i="9" s="1"/>
  <c r="AK14" i="9" s="1"/>
  <c r="AK18" i="8"/>
  <c r="AC5" i="9"/>
  <c r="AC8" i="9" s="1"/>
  <c r="AC14" i="9" s="1"/>
  <c r="AC18" i="8"/>
  <c r="AN5" i="9"/>
  <c r="AN8" i="9" s="1"/>
  <c r="AN14" i="9" s="1"/>
  <c r="AN18" i="8"/>
  <c r="AF5" i="9"/>
  <c r="AF8" i="9" s="1"/>
  <c r="AF14" i="9" s="1"/>
  <c r="AF18" i="8"/>
  <c r="AM5" i="9"/>
  <c r="AM8" i="9" s="1"/>
  <c r="AM14" i="9" s="1"/>
  <c r="AM18" i="8"/>
  <c r="Q12" i="8"/>
  <c r="Q13" i="8"/>
  <c r="C15" i="9"/>
  <c r="K5" i="9"/>
  <c r="K8" i="9" s="1"/>
  <c r="K14" i="9" s="1"/>
  <c r="K18" i="8"/>
  <c r="AQ5" i="9"/>
  <c r="AQ8" i="9" s="1"/>
  <c r="AQ14" i="9" s="1"/>
  <c r="AQ18" i="8"/>
  <c r="M5" i="9"/>
  <c r="M8" i="9" s="1"/>
  <c r="M14" i="9" s="1"/>
  <c r="M18" i="8"/>
  <c r="F5" i="9"/>
  <c r="F8" i="9" s="1"/>
  <c r="F14" i="9" s="1"/>
  <c r="F18" i="8"/>
  <c r="Y5" i="9"/>
  <c r="Y8" i="9" s="1"/>
  <c r="Y14" i="9" s="1"/>
  <c r="Y18" i="8"/>
  <c r="AO12" i="8"/>
  <c r="AO13" i="8" s="1"/>
  <c r="O12" i="8"/>
  <c r="O13" i="8" s="1"/>
  <c r="B7" i="10" l="1"/>
  <c r="B5" i="10"/>
  <c r="AO5" i="9"/>
  <c r="AO8" i="9" s="1"/>
  <c r="AO14" i="9" s="1"/>
  <c r="B10" i="10" s="1"/>
  <c r="AO18" i="8"/>
  <c r="O5" i="9"/>
  <c r="O8" i="9" s="1"/>
  <c r="O14" i="9" s="1"/>
  <c r="O18" i="8"/>
  <c r="Q5" i="9"/>
  <c r="Q8" i="9" s="1"/>
  <c r="Q14" i="9" s="1"/>
  <c r="Q18" i="8"/>
  <c r="B9" i="10"/>
  <c r="D15" i="9"/>
  <c r="E15" i="9" s="1"/>
  <c r="F15" i="9" s="1"/>
  <c r="G15" i="9" s="1"/>
  <c r="H15" i="9" s="1"/>
  <c r="I15" i="9" s="1"/>
  <c r="J15" i="9" s="1"/>
  <c r="K15" i="9" s="1"/>
  <c r="L15" i="9" s="1"/>
  <c r="M15" i="9" s="1"/>
  <c r="N15" i="9" s="1"/>
  <c r="O15" i="9" l="1"/>
  <c r="P15" i="9" s="1"/>
  <c r="Q15" i="9" s="1"/>
  <c r="R15" i="9" s="1"/>
  <c r="S15" i="9" s="1"/>
  <c r="T15" i="9" s="1"/>
  <c r="U15" i="9" s="1"/>
  <c r="V15" i="9" s="1"/>
  <c r="W15" i="9" s="1"/>
  <c r="X15" i="9" s="1"/>
  <c r="Y15" i="9" s="1"/>
  <c r="Z15" i="9" s="1"/>
  <c r="AA15" i="9" s="1"/>
  <c r="AB15" i="9" s="1"/>
  <c r="AC15" i="9" s="1"/>
  <c r="AD15" i="9" s="1"/>
  <c r="AE15" i="9" s="1"/>
  <c r="AF15" i="9" s="1"/>
  <c r="AG15" i="9" s="1"/>
  <c r="AH15" i="9" s="1"/>
  <c r="AI15" i="9" s="1"/>
  <c r="AJ15" i="9" s="1"/>
  <c r="AK15" i="9" s="1"/>
  <c r="AL15" i="9" s="1"/>
  <c r="AM15" i="9" s="1"/>
  <c r="AN15" i="9" s="1"/>
  <c r="AO15" i="9" s="1"/>
  <c r="AP15" i="9" s="1"/>
  <c r="AQ15" i="9" s="1"/>
  <c r="AR15" i="9" s="1"/>
  <c r="B6" i="10"/>
  <c r="B15" i="10"/>
  <c r="B16" i="10" s="1"/>
  <c r="B13" i="10" l="1"/>
  <c r="F2" i="2" s="1"/>
  <c r="B14" i="10"/>
  <c r="G2" i="2" s="1"/>
</calcChain>
</file>

<file path=xl/sharedStrings.xml><?xml version="1.0" encoding="utf-8"?>
<sst xmlns="http://schemas.openxmlformats.org/spreadsheetml/2006/main" count="951" uniqueCount="496">
  <si>
    <t>VISIT VIETNAM — MÔ HÌNH TÀI CHÍNH v4 — HƯỚNG DẪN</t>
  </si>
  <si>
    <t>v4.0 | 21/03/2026 | Phiên bản tiếng Việt</t>
  </si>
  <si>
    <t>DANH SÁCH CÁC TRANG</t>
  </si>
  <si>
    <t>Trang</t>
  </si>
  <si>
    <t>Mục đích</t>
  </si>
  <si>
    <t>Ghi chú</t>
  </si>
  <si>
    <t>Hướng dẫn</t>
  </si>
  <si>
    <t>Giải thích mô hình, thuật ngữ, công thức, cách sử dụng</t>
  </si>
  <si>
    <t>Đọc trước</t>
  </si>
  <si>
    <t>Assumptions</t>
  </si>
  <si>
    <t>49 named ranges. MỌI đầu vào ở đây (ô vàng).</t>
  </si>
  <si>
    <t>Chỉ sửa ô vàng</t>
  </si>
  <si>
    <t>Đầu tư ban đầu</t>
  </si>
  <si>
    <t>10 hạng mục CAPEX → capex_total. Lịch khấu hao.</t>
  </si>
  <si>
    <t>capex_total dùng khắp nơi</t>
  </si>
  <si>
    <t>Nhân sự</t>
  </si>
  <si>
    <t>4 bộ phận × 42 kỳ. Lương = biên chế × named_salary × tăng × BHXH</t>
  </si>
  <si>
    <t>Ô vàng = biên chế</t>
  </si>
  <si>
    <t>Quy mô thị trường</t>
  </si>
  <si>
    <t>Đường cong S tăng trưởng DN. Year fracs từ base_year.</t>
  </si>
  <si>
    <t>Không hardcode năm</t>
  </si>
  <si>
    <t>Doanh thu</t>
  </si>
  <si>
    <t>6 nguồn thu. GĐ2 kích hoạt khi đạt ngưỡng stage2_gate.</t>
  </si>
  <si>
    <t>Named ranges trong formulas</t>
  </si>
  <si>
    <t>Chi phí</t>
  </si>
  <si>
    <t>CAPEX (Đầu tư) + OPEX (Nhân sự + 10 danh mục + dự phòng)</t>
  </si>
  <si>
    <t>Liên kết chéo trang</t>
  </si>
  <si>
    <t>Kết quả KD</t>
  </si>
  <si>
    <t>DT → Giá vốn → LN gộp → OPEX → EBITDA → KH → EBIT → Thuế 20% → LN ròng</t>
  </si>
  <si>
    <t>Thuế TNDN 20%</t>
  </si>
  <si>
    <t>Dòng tiền</t>
  </si>
  <si>
    <t>ĐTHĐ + ĐTĐT → DTTD + Lũy kế. Vốn lưu động qua ar_days.</t>
  </si>
  <si>
    <t>Named ranges</t>
  </si>
  <si>
    <t>Thẩm định</t>
  </si>
  <si>
    <t>FCF theo năm, NPV, IRR, ROI. Dùng discount_rate.</t>
  </si>
  <si>
    <t>Công thức NPV duy nhất</t>
  </si>
  <si>
    <t>Kịch bản</t>
  </si>
  <si>
    <t>5 kịch bản với giải thích chi tiết + yếu tố ảnh hưởng lớn nhất.</t>
  </si>
  <si>
    <t>Copy vào Assumptions chạy</t>
  </si>
  <si>
    <t>Ngân sách 2025</t>
  </si>
  <si>
    <t>Ngân sách tháng 7-12/2025. DT + CAPEX + OPEX + Dự phòng.</t>
  </si>
  <si>
    <t>Sẵn sàng duyệt</t>
  </si>
  <si>
    <t>Ngân sách 2026</t>
  </si>
  <si>
    <t>Ngân sách tháng 1-12/2026. Cùng cấu trúc, NS tăng.</t>
  </si>
  <si>
    <t>THUẬT NGỮ</t>
  </si>
  <si>
    <t>Thuật ngữ</t>
  </si>
  <si>
    <t>Tên đầy đủ / Ý nghĩa</t>
  </si>
  <si>
    <t>Trong mô hình này</t>
  </si>
  <si>
    <t>NPV</t>
  </si>
  <si>
    <t>Giá trị hiện tại ròng</t>
  </si>
  <si>
    <t>Tổng dòng tiền tương lai chiết khấu về hiện tại. Dương = tạo giá trị.</t>
  </si>
  <si>
    <t>IRR</t>
  </si>
  <si>
    <t>Tỷ suất hoàn vốn nội bộ</t>
  </si>
  <si>
    <t>Tỷ suất chiết khấu khi NPV = 0. Cao hơn = lợi nhuận tốt hơn.</t>
  </si>
  <si>
    <t>WACC</t>
  </si>
  <si>
    <t>Chi phí vốn bình quân gia quyền</t>
  </si>
  <si>
    <t>Lợi nhuận tối thiểu NĐT kỳ vọng. Dùng làm discount_rate (15% cơ sở).</t>
  </si>
  <si>
    <t>ROI</t>
  </si>
  <si>
    <t>Lợi nhuận trên đầu tư</t>
  </si>
  <si>
    <t>(Dòng tiền lũy kế + Đầu tư) / Đầu tư.</t>
  </si>
  <si>
    <t>EBITDA</t>
  </si>
  <si>
    <t>LN trước lãi, thuế, khấu hao</t>
  </si>
  <si>
    <t>Lợi nhuận hoạt động trước chi phí phi tiền mặt và thuế.</t>
  </si>
  <si>
    <t>EBIT</t>
  </si>
  <si>
    <t>LN trước lãi và thuế</t>
  </si>
  <si>
    <t>Thuế TNDN</t>
  </si>
  <si>
    <t>Thuế thu nhập doanh nghiệp</t>
  </si>
  <si>
    <t>Thuế suất chuẩn VN = 20%. Chỉ áp dụng khi EBIT &gt; 0.</t>
  </si>
  <si>
    <t>FCF</t>
  </si>
  <si>
    <t>Dòng tiền tự do</t>
  </si>
  <si>
    <t>CAPEX</t>
  </si>
  <si>
    <t>Chi phí đầu tư</t>
  </si>
  <si>
    <t>Đầu tư 1 lần vào tài sản (nền tảng 5.280Tr). Khấu hao dần.</t>
  </si>
  <si>
    <t>OPEX</t>
  </si>
  <si>
    <t>Chi phí hoạt động</t>
  </si>
  <si>
    <t>Chi phí liên tục: NS, marketing, cloud, pháp lý... Ghi nhận ngay.</t>
  </si>
  <si>
    <t>COGS</t>
  </si>
  <si>
    <t>Giá vốn hàng bán</t>
  </si>
  <si>
    <t>Chi phí trực tiếp gắn với DT: phí thanh toán (2.5% DT giao dịch).</t>
  </si>
  <si>
    <t>BHXH</t>
  </si>
  <si>
    <t>Bảo hiểm xã hội</t>
  </si>
  <si>
    <t>DN đóng ~21.5%: BHXH 17.5% + BHYT 3% + BHTN 1%.</t>
  </si>
  <si>
    <t>TAM</t>
  </si>
  <si>
    <t>Tổng thị trường tiềm năng</t>
  </si>
  <si>
    <t>Tất cả DN du lịch VN (~40.000).</t>
  </si>
  <si>
    <t>SAM</t>
  </si>
  <si>
    <t>Thị trường phục vụ được</t>
  </si>
  <si>
    <t>DN hoạt động số, có thể chứng nhận (~15.000).</t>
  </si>
  <si>
    <t>GMV</t>
  </si>
  <si>
    <t>Tổng giá trị giao dịch</t>
  </si>
  <si>
    <t>Tổng giá trị giao dịch qua nền tảng.</t>
  </si>
  <si>
    <t>VCR</t>
  </si>
  <si>
    <t>Bản ghi du khách chứng nhận</t>
  </si>
  <si>
    <t>Dữ liệu tạo ra/DN. Cơ sở tính giá DaaS.</t>
  </si>
  <si>
    <t>S-curve</t>
  </si>
  <si>
    <t>Đường cong tăng trưởng logistic</t>
  </si>
  <si>
    <t>DN tăng theo mẫu chậm→nhanh→chậm. max/(1+EXP(-k*(t-midpoint)))</t>
  </si>
  <si>
    <t>Giai đoạn 1</t>
  </si>
  <si>
    <t>Nền tảng chứng nhận (2025-2027)</t>
  </si>
  <si>
    <t>DT từ phí cert, đào tạo, kiểm toán. Không cần khối lượng GD.</t>
  </si>
  <si>
    <t>Giai đoạn 2</t>
  </si>
  <si>
    <t>Nền tảng giao dịch (2028-2030)</t>
  </si>
  <si>
    <t>DT từ phí GD, DaaS, QC. Yêu cầu ≥300 DN (stage2_gate).</t>
  </si>
  <si>
    <t>Named Range</t>
  </si>
  <si>
    <t>Tên được đặt cho ô Excel</t>
  </si>
  <si>
    <t>VD: cert_fee_yr1 → Assumptions!$B$26. Dùng trong công thức.</t>
  </si>
  <si>
    <t>Churn</t>
  </si>
  <si>
    <t>Tỷ lệ rời bỏ</t>
  </si>
  <si>
    <t>% DN không gia hạn mỗi năm. Giảm net_enterprises.</t>
  </si>
  <si>
    <t>VISIT VIETNAM — MÔ HÌNH TÀI CHÍNH v4 — GIẢ ĐỊNH</t>
  </si>
  <si>
    <t>THỜI GIAN</t>
  </si>
  <si>
    <t>Tham số</t>
  </si>
  <si>
    <t>Giá trị</t>
  </si>
  <si>
    <t>Đơn vị</t>
  </si>
  <si>
    <t>Năm cơ sở</t>
  </si>
  <si>
    <t>Năm</t>
  </si>
  <si>
    <t>Năm bắt đầu dự án</t>
  </si>
  <si>
    <t>Tháng bắt đầu</t>
  </si>
  <si>
    <t>Tháng</t>
  </si>
  <si>
    <t>Tháng 7</t>
  </si>
  <si>
    <t>DỮ LIỆU THỊ TRƯỜNG</t>
  </si>
  <si>
    <t>Tổng doanh nghiệp du lịch VN</t>
  </si>
  <si>
    <t>GSO/VNAT</t>
  </si>
  <si>
    <t>DN có thể phục vụ</t>
  </si>
  <si>
    <t>Hoạt động số</t>
  </si>
  <si>
    <t>Thị trường TMĐT du lịch (năm gốc)</t>
  </si>
  <si>
    <t>Tỷ VND</t>
  </si>
  <si>
    <t>e-Conomy SEA</t>
  </si>
  <si>
    <t>Tăng trưởng TMĐT du lịch/năm</t>
  </si>
  <si>
    <t>%</t>
  </si>
  <si>
    <t>Dữ liệu lịch sử</t>
  </si>
  <si>
    <t>ĐƯỜNG CONG TĂNG TRƯỞNG (S-CURVE)</t>
  </si>
  <si>
    <t>Trần doanh nghiệp (tối đa)</t>
  </si>
  <si>
    <t>Tiệm cận S-curve</t>
  </si>
  <si>
    <t>Năm tăng trưởng nhanh nhất</t>
  </si>
  <si>
    <t>Điểm uốn</t>
  </si>
  <si>
    <t>Hệ số dốc</t>
  </si>
  <si>
    <t>Cao hơn = dốc hơn</t>
  </si>
  <si>
    <t>DN ban đầu (thí điểm)</t>
  </si>
  <si>
    <t>Đối tác thí điểm</t>
  </si>
  <si>
    <t>Tỷ lệ không gia hạn/năm</t>
  </si>
  <si>
    <t>Churn chứng nhận</t>
  </si>
  <si>
    <t>GIÁ DỊCH VỤ</t>
  </si>
  <si>
    <t>Phí chứng nhận/DN/năm</t>
  </si>
  <si>
    <t>Tr VND</t>
  </si>
  <si>
    <t>Gói thuê bao năm</t>
  </si>
  <si>
    <t>Tăng phí chứng nhận/năm</t>
  </si>
  <si>
    <t>Tăng giá</t>
  </si>
  <si>
    <t>Phí giao dịch (% GMV)</t>
  </si>
  <si>
    <t>Hoa hồng nền tảng</t>
  </si>
  <si>
    <t>% GMV TMĐT du lịch qua VV</t>
  </si>
  <si>
    <t>Mục tiêu thực tế</t>
  </si>
  <si>
    <t>Giá DaaS/triệu VCR</t>
  </si>
  <si>
    <t>Thuê bao dữ liệu</t>
  </si>
  <si>
    <t>CPM quảng cáo</t>
  </si>
  <si>
    <t>K VND</t>
  </si>
  <si>
    <t>Benchmark B2B</t>
  </si>
  <si>
    <t>Lượt hiển thị QC/tháng (K)</t>
  </si>
  <si>
    <t>K</t>
  </si>
  <si>
    <t>Tỷ lệ theo DN</t>
  </si>
  <si>
    <t>Phí đào tạo/phiên</t>
  </si>
  <si>
    <t>Nguồn thu MỚI</t>
  </si>
  <si>
    <t>Phí kiểm toán chứng nhận</t>
  </si>
  <si>
    <t>% DN mua đào tạo</t>
  </si>
  <si>
    <t>Ước tính</t>
  </si>
  <si>
    <t>THAM SỐ CHI PHÍ</t>
  </si>
  <si>
    <t>Bảo trì (% CAPEX/năm)</t>
  </si>
  <si>
    <t>Chuẩn ngành 15-20%</t>
  </si>
  <si>
    <t>Marketing (cơ sở/năm)</t>
  </si>
  <si>
    <t>Dữ liệu gốc</t>
  </si>
  <si>
    <t>Tăng trưởng marketing/năm</t>
  </si>
  <si>
    <t>Tăng theo tham vọng</t>
  </si>
  <si>
    <t>Cloud cơ sở (năm)</t>
  </si>
  <si>
    <t>Chi phí cloud/triệu VCR</t>
  </si>
  <si>
    <t>Chi phí biến đổi</t>
  </si>
  <si>
    <t>VCR/DN/tháng</t>
  </si>
  <si>
    <t>bản ghi</t>
  </si>
  <si>
    <t>Ước tính lưu lượng</t>
  </si>
  <si>
    <t>Đối ngoại (năm)</t>
  </si>
  <si>
    <t>Pháp lý &amp; tuân thủ (năm)</t>
  </si>
  <si>
    <t>Thương hiệu &amp; sự kiện (năm)</t>
  </si>
  <si>
    <t>Bảo mật/pentest (năm)</t>
  </si>
  <si>
    <t>Đánh giá thí điểm (chỉ Y1)</t>
  </si>
  <si>
    <t>Chi phí 1 lần</t>
  </si>
  <si>
    <t>Phí cổng thanh toán</t>
  </si>
  <si>
    <t>Giá vốn giao dịch</t>
  </si>
  <si>
    <t>Hỗ trợ KH/DN/năm</t>
  </si>
  <si>
    <t>Tỷ lệ theo số DN</t>
  </si>
  <si>
    <t>Quản lý đối tác (năm)</t>
  </si>
  <si>
    <t>Quan hệ đối tác</t>
  </si>
  <si>
    <t>Dự phòng (% tổng OPEX)</t>
  </si>
  <si>
    <t>Đệm rủi ro</t>
  </si>
  <si>
    <t>THAM SỐ NHÂN SỰ</t>
  </si>
  <si>
    <t>Lương TB/tháng — Quản lý</t>
  </si>
  <si>
    <t>GĐ/PM</t>
  </si>
  <si>
    <t>Lương TB/tháng — Phát triển</t>
  </si>
  <si>
    <t>Kỹ sư</t>
  </si>
  <si>
    <t>Lương TB/tháng — Vận hành KD</t>
  </si>
  <si>
    <t>BD/hỗ trợ</t>
  </si>
  <si>
    <t>Lương TB/tháng — Dữ liệu</t>
  </si>
  <si>
    <t>Data eng</t>
  </si>
  <si>
    <t>Tăng lương hàng năm</t>
  </si>
  <si>
    <t>Thị trường VN</t>
  </si>
  <si>
    <t>Bảo hiểm XH (phần DN)</t>
  </si>
  <si>
    <t>BHXH+BHYT+BHTN</t>
  </si>
  <si>
    <t>Phí tuyển dụng (% lương Y1)</t>
  </si>
  <si>
    <t>Headhunter</t>
  </si>
  <si>
    <t>THAM SỐ TÀI CHÍNH</t>
  </si>
  <si>
    <t>Luật VN</t>
  </si>
  <si>
    <t>Tỷ suất chiết khấu (WACC)</t>
  </si>
  <si>
    <t>Điều chỉnh rủi ro</t>
  </si>
  <si>
    <t>Thời gian khấu hao</t>
  </si>
  <si>
    <t>Đường thẳng</t>
  </si>
  <si>
    <t>Số ngày phải thu</t>
  </si>
  <si>
    <t>Ngày</t>
  </si>
  <si>
    <t>Kỳ thu tiền</t>
  </si>
  <si>
    <t>Số ngày phải trả</t>
  </si>
  <si>
    <t>Kỳ thanh toán</t>
  </si>
  <si>
    <t>Ngưỡng Giai đoạn 2 (DN tối thiểu)</t>
  </si>
  <si>
    <t>Kích hoạt phí GD</t>
  </si>
  <si>
    <t>ĐẦU TƯ BAN ĐẦU — CHI TIẾT CAPEX (Tr VND)</t>
  </si>
  <si>
    <t>Hạng mục CAPEX</t>
  </si>
  <si>
    <t>Số tiền (Tr VND)</t>
  </si>
  <si>
    <t>Thời điểm</t>
  </si>
  <si>
    <t>Hạ tầng Cloud</t>
  </si>
  <si>
    <t>H2 2025</t>
  </si>
  <si>
    <t>Setup AWS/GCP ban đầu</t>
  </si>
  <si>
    <t>Phát triển Backend</t>
  </si>
  <si>
    <t>API, DB, logic lõi</t>
  </si>
  <si>
    <t>Frontend + mobile</t>
  </si>
  <si>
    <t>Web + ứng dụng di động</t>
  </si>
  <si>
    <t>Nền tảng dữ liệu</t>
  </si>
  <si>
    <t>Pipeline, phân tích</t>
  </si>
  <si>
    <t>Hạ tầng bảo mật</t>
  </si>
  <si>
    <t>Pentest, xác thực</t>
  </si>
  <si>
    <t>Thiết kế UX/UI</t>
  </si>
  <si>
    <t>Design system</t>
  </si>
  <si>
    <t>Tích hợp bên thứ 3</t>
  </si>
  <si>
    <t>Cổng TT, API OTA</t>
  </si>
  <si>
    <t>DevOps &amp; CI/CD</t>
  </si>
  <si>
    <t>Pipeline triển khai</t>
  </si>
  <si>
    <t>QA &amp; kiểm thử</t>
  </si>
  <si>
    <t>Kiểm thử tự động</t>
  </si>
  <si>
    <t>Dự phòng CAPEX (10%)</t>
  </si>
  <si>
    <t>Đệm phát sinh</t>
  </si>
  <si>
    <t>TỔNG ĐẦU TƯ BAN ĐẦU</t>
  </si>
  <si>
    <t>LỊCH KHẤU HAO</t>
  </si>
  <si>
    <t>Khấu hao/năm</t>
  </si>
  <si>
    <t>Khấu hao lũy kế</t>
  </si>
  <si>
    <t>Giá trị còn lại</t>
  </si>
  <si>
    <t>2025</t>
  </si>
  <si>
    <t>2026</t>
  </si>
  <si>
    <t>2027</t>
  </si>
  <si>
    <t>2028</t>
  </si>
  <si>
    <t>2029</t>
  </si>
  <si>
    <t>2030</t>
  </si>
  <si>
    <t>KẾ HOẠCH NHÂN SỰ — BIÊN CHẾ &amp; CHI PHÍ</t>
  </si>
  <si>
    <t>Bộ phận / Hạng mục</t>
  </si>
  <si>
    <t>ĐVT</t>
  </si>
  <si>
    <t>Th7 2025</t>
  </si>
  <si>
    <t>Th8 2025</t>
  </si>
  <si>
    <t>Th9 2025</t>
  </si>
  <si>
    <t>Th10 2025</t>
  </si>
  <si>
    <t>Th11 2025</t>
  </si>
  <si>
    <t>Th12 2025</t>
  </si>
  <si>
    <t>Th1 2026</t>
  </si>
  <si>
    <t>Th2 2026</t>
  </si>
  <si>
    <t>Th3 2026</t>
  </si>
  <si>
    <t>Th4 2026</t>
  </si>
  <si>
    <t>Th5 2026</t>
  </si>
  <si>
    <t>Th6 2026</t>
  </si>
  <si>
    <t>Th7 2026</t>
  </si>
  <si>
    <t>Th8 2026</t>
  </si>
  <si>
    <t>Th9 2026</t>
  </si>
  <si>
    <t>Th10 2026</t>
  </si>
  <si>
    <t>Th11 2026</t>
  </si>
  <si>
    <t>Th12 2026</t>
  </si>
  <si>
    <t>Th1 2027</t>
  </si>
  <si>
    <t>Th2 2027</t>
  </si>
  <si>
    <t>Th3 2027</t>
  </si>
  <si>
    <t>Th4 2027</t>
  </si>
  <si>
    <t>Th5 2027</t>
  </si>
  <si>
    <t>Th6 2027</t>
  </si>
  <si>
    <t>Th7 2027</t>
  </si>
  <si>
    <t>Th8 2027</t>
  </si>
  <si>
    <t>Th9 2027</t>
  </si>
  <si>
    <t>Th10 2027</t>
  </si>
  <si>
    <t>Th11 2027</t>
  </si>
  <si>
    <t>Th12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</si>
  <si>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</si>
  <si>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</si>
  <si>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</si>
  <si>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</si>
  <si>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</si>
  <si>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</si>
  <si>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</si>
  <si>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</si>
  <si>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</si>
  <si>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</si>
  <si>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</si>
  <si>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</si>
  <si>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SỐ LƯỢNG NHÂN SỰ</t>
  </si>
  <si>
    <t>Quản lý</t>
  </si>
  <si>
    <t>người</t>
  </si>
  <si>
    <t>Phát triển</t>
  </si>
  <si>
    <t>Vận hành KD</t>
  </si>
  <si>
    <t>Dữ liệu &amp; Phân tích</t>
  </si>
  <si>
    <t>TỔNG NHÂN SỰ</t>
  </si>
  <si>
    <t>TUYỂN MỚI</t>
  </si>
  <si>
    <t>Tuyển mới</t>
  </si>
  <si>
    <t>CHI PHÍ LƯƠNG (Tr VND)</t>
  </si>
  <si>
    <t>CP Quản lý</t>
  </si>
  <si>
    <t>CP Phát triển</t>
  </si>
  <si>
    <t>CP Vận hành KD</t>
  </si>
  <si>
    <t>CP Dữ liệu &amp; Phân tích</t>
  </si>
  <si>
    <t>TỔNG LƯƠNG</t>
  </si>
  <si>
    <t>Tuyển dụng</t>
  </si>
  <si>
    <t>TỔNG CHI PHÍ NHÂN SỰ</t>
  </si>
  <si>
    <t>QUY MÔ THỊ TRƯỜNG &amp; TĂNG TRƯỞNG</t>
  </si>
  <si>
    <t>Chỉ số kỳ</t>
  </si>
  <si>
    <t>idx</t>
  </si>
  <si>
    <t>Năm phân số</t>
  </si>
  <si>
    <t>năm</t>
  </si>
  <si>
    <t>Năm từ gốc</t>
  </si>
  <si>
    <t>Ước số kỳ</t>
  </si>
  <si>
    <t>chia</t>
  </si>
  <si>
    <t>Số tháng/kỳ</t>
  </si>
  <si>
    <t>tháng</t>
  </si>
  <si>
    <t>Hạng mục</t>
  </si>
  <si>
    <t>TT TMĐT du lịch</t>
  </si>
  <si>
    <t>TĂNG TRƯỞNG DN (S-CURVE)</t>
  </si>
  <si>
    <t>DN thô (S-curve)</t>
  </si>
  <si>
    <t>DN</t>
  </si>
  <si>
    <t>DN rời bỏ</t>
  </si>
  <si>
    <t>DN hoạt động ròng</t>
  </si>
  <si>
    <t>DN mới/kỳ</t>
  </si>
  <si>
    <t>VCR (triệu bản ghi)</t>
  </si>
  <si>
    <t>Tr</t>
  </si>
  <si>
    <t>BẢNG DOANH THU (Tr VND)</t>
  </si>
  <si>
    <t>GIAI ĐOẠN 1</t>
  </si>
  <si>
    <t xml:space="preserve">  Phí chứng nhận</t>
  </si>
  <si>
    <t xml:space="preserve">  Đào tạo &amp; tư vấn</t>
  </si>
  <si>
    <t xml:space="preserve">  Phí kiểm toán</t>
  </si>
  <si>
    <t>Tổng GĐ1</t>
  </si>
  <si>
    <t>GIAI ĐOẠN 2 (có điều kiện)</t>
  </si>
  <si>
    <t xml:space="preserve">  Phí giao dịch</t>
  </si>
  <si>
    <t xml:space="preserve">  DaaS</t>
  </si>
  <si>
    <t xml:space="preserve">  Quảng cáo</t>
  </si>
  <si>
    <t>Tổng GĐ2</t>
  </si>
  <si>
    <t>TỔNG DOANH THU</t>
  </si>
  <si>
    <t>GIÁ VỐN</t>
  </si>
  <si>
    <t xml:space="preserve">  Phí thanh toán</t>
  </si>
  <si>
    <t>TỔNG GIÁ VỐN</t>
  </si>
  <si>
    <t>BẢNG CHI PHÍ (Tr VND)</t>
  </si>
  <si>
    <t xml:space="preserve">  Phát triển nền tảng</t>
  </si>
  <si>
    <t xml:space="preserve">  Bảo trì</t>
  </si>
  <si>
    <t>TỔNG CAPEX</t>
  </si>
  <si>
    <t xml:space="preserve">  Nhân sự (từ Nhân sự)</t>
  </si>
  <si>
    <t xml:space="preserve">  Marketing</t>
  </si>
  <si>
    <t xml:space="preserve">  Thương hiệu &amp; sự kiện</t>
  </si>
  <si>
    <t xml:space="preserve">  Cloud &amp; hạ tầng</t>
  </si>
  <si>
    <t xml:space="preserve">  Bảo mật</t>
  </si>
  <si>
    <t xml:space="preserve">  Đối ngoại</t>
  </si>
  <si>
    <t xml:space="preserve">  Pháp lý</t>
  </si>
  <si>
    <t xml:space="preserve">  Đánh giá thí điểm (Y1)</t>
  </si>
  <si>
    <t xml:space="preserve">  Quản lý đối tác</t>
  </si>
  <si>
    <t xml:space="preserve">  Hỗ trợ khách hàng</t>
  </si>
  <si>
    <t>OPEX cộng dồn</t>
  </si>
  <si>
    <t xml:space="preserve">  Dự phòng</t>
  </si>
  <si>
    <t>TỔNG OPEX</t>
  </si>
  <si>
    <t>TỔNG CHI PHÍ</t>
  </si>
  <si>
    <t>BÁO CÁO KẾT QUẢ KINH DOANH (Tr VND)</t>
  </si>
  <si>
    <t>Giá vốn</t>
  </si>
  <si>
    <t>LỢI NHUẬN GỘP</t>
  </si>
  <si>
    <t>Khấu hao</t>
  </si>
  <si>
    <t>Thuế TNDN (20%)</t>
  </si>
  <si>
    <t>LỢI NHUẬN SAU THUẾ</t>
  </si>
  <si>
    <t>BIÊN LỢI NHUẬN</t>
  </si>
  <si>
    <t>Biên gộp</t>
  </si>
  <si>
    <t>Biên EBITDA</t>
  </si>
  <si>
    <t>Biên ròng</t>
  </si>
  <si>
    <t>BÁO CÁO DÒNG TIỀN (Tr VND)</t>
  </si>
  <si>
    <t>Dòng tiền hoạt động</t>
  </si>
  <si>
    <t xml:space="preserve">  Lợi nhuận ròng</t>
  </si>
  <si>
    <t xml:space="preserve">  Cộng: Khấu hao</t>
  </si>
  <si>
    <t xml:space="preserve">  Thay đổi vốn lưu động</t>
  </si>
  <si>
    <t>DÒNG TIỀN HOẠT ĐỘNG</t>
  </si>
  <si>
    <t>Dòng tiền đầu tư</t>
  </si>
  <si>
    <t xml:space="preserve">  Đầu tư CAPEX</t>
  </si>
  <si>
    <t>DÒNG TIỀN ĐẦU TƯ</t>
  </si>
  <si>
    <t>DÒNG TIỀN TỰ DO</t>
  </si>
  <si>
    <t>Dòng tiền lũy kế</t>
  </si>
  <si>
    <t>THẨM ĐỊNH DỰ ÁN &amp; LỢI NHUẬN</t>
  </si>
  <si>
    <t>Dòng tiền tự do theo năm</t>
  </si>
  <si>
    <t>FCF (Tr VND)</t>
  </si>
  <si>
    <t>H2_2025</t>
  </si>
  <si>
    <t>Chỉ số chính</t>
  </si>
  <si>
    <t>NPV (Giá trị hiện tại ròng)</t>
  </si>
  <si>
    <t>IRR (Tỷ suất hoàn vốn nội bộ)</t>
  </si>
  <si>
    <t>Đốt tiền tối đa</t>
  </si>
  <si>
    <t>ROI (Lợi nhuận đầu tư)</t>
  </si>
  <si>
    <t>Thuế TNDN áp dụng</t>
  </si>
  <si>
    <t>Tỷ suất chiết khấu</t>
  </si>
  <si>
    <t>PHÂN TÍCH KỊCH BẢN</t>
  </si>
  <si>
    <t>Sao chép giá trị từ cột kịch bản vào trang Assumptions để chạy.</t>
  </si>
  <si>
    <t>XẤU NHẤT</t>
  </si>
  <si>
    <t>THẬN TRỌNG</t>
  </si>
  <si>
    <t>CƠ SỞ</t>
  </si>
  <si>
    <t>LẠC QUAN</t>
  </si>
  <si>
    <t>TỐT NHẤT</t>
  </si>
  <si>
    <t>Trần DN (adoption_max)</t>
  </si>
  <si>
    <t>Hệ số dốc S-curve</t>
  </si>
  <si>
    <t>Thị phần GMV</t>
  </si>
  <si>
    <t>Phí chứng nhận (Tr)</t>
  </si>
  <si>
    <t>Tăng phí/năm</t>
  </si>
  <si>
    <t>Phí giao dịch</t>
  </si>
  <si>
    <t>Marketing cơ sở (Tr)</t>
  </si>
  <si>
    <t>Ngưỡng GĐ2</t>
  </si>
  <si>
    <t>🔑 YẾU TỐ ẢNH HƯỞNG LỚN NHẤT ĐẾN NPV/IRR</t>
  </si>
  <si>
    <t>3 yếu tố ảnh hưởng mạnh nhất đến kết quả mô hình:</t>
  </si>
  <si>
    <t>1. TRẦN DOANH NGHIỆP (adoption_max) — YẾU TỐ SỐ 1</t>
  </si>
  <si>
    <t xml:space="preserve">  Mọi nguồn doanh thu đều phụ thuộc số DN. Cert, đào tạo, kiểm toán — tỷ lệ thuận với DN.</t>
  </si>
  <si>
    <t xml:space="preserve">  Giai đoạn 2 (phí giao dịch, DaaS, QC) cũng phụ thuộc vượt ngưỡng. Tăng gấp đôi DN ≈ tăng gấp đôi DT.</t>
  </si>
  <si>
    <t xml:space="preserve">  → Xấu nhất: 200 = dự án không có sức hút. Tốt nhất: 3,500 = trở thành chuẩn ngành.</t>
  </si>
  <si>
    <t>2. THỊ PHẦN GMV (platform_market_share) — YẾU TỐ SỐ 2</t>
  </si>
  <si>
    <t xml:space="preserve">  % GMV TMĐT du lịch VN chạy qua nền tảng VV. Thị trường ~82.500 tỷ, tăng 8%/năm.</t>
  </si>
  <si>
    <t xml:space="preserve">  Chênh 0.1% = hàng trăm tỷ VND chênh lệch GMV → hàng tỷ phí giao dịch.</t>
  </si>
  <si>
    <t xml:space="preserve">  → Xấu nhất: 0.1% = ngách. Tốt nhất: 2% = nền tảng thống lĩnh.</t>
  </si>
  <si>
    <t>3. TỶ LỆ RỜI BỎ (churn_rate) — YẾU TỐ SỐ 3</t>
  </si>
  <si>
    <t xml:space="preserve">  % DN không gia hạn chứng nhận mỗi năm. Churn cao = phải liên tục thay thế DN đã mất.</t>
  </si>
  <si>
    <t xml:space="preserve">  35% churn: cần 35 DN mới/năm trên 100 DN chỉ để giữ nguyên. Rất tốn kém.</t>
  </si>
  <si>
    <t xml:space="preserve">  → Xấu nhất: 35% = chứng nhận không có giá trị. Tốt nhất: 10% = sản phẩm dính.</t>
  </si>
  <si>
    <t>📖 MÔ TẢ CHI TIẾT TỪNG KỊCH BẢN</t>
  </si>
  <si>
    <t>XẤU NHẤT — 'Ra mắt thất bại'</t>
  </si>
  <si>
    <t xml:space="preserve">  Chỉ 200 DN trong 5 năm. Thị trường không thấy giá trị chứng nhận.</t>
  </si>
  <si>
    <t xml:space="preserve">  GĐ2 không kích hoạt (200 &lt; 300). Doanh thu chỉ từ phí cert, quy mô nhỏ.</t>
  </si>
  <si>
    <t xml:space="preserve">  Kết quả: Dự án bị đóng sau 2-3 năm. Tổng lỗ = CAPEX + chi phí vận hành.</t>
  </si>
  <si>
    <t>THẬN TRỌNG — 'Tăng trưởng chậm'</t>
  </si>
  <si>
    <t xml:space="preserve">  600 DN trong 5 năm. Chứng nhận được một số công nhận nhưng tăng chậm.</t>
  </si>
  <si>
    <t xml:space="preserve">  GĐ2 kích hoạt muộn, thị phần nhỏ 0.3%. Có thể hòa vốn 2029-2030.</t>
  </si>
  <si>
    <t xml:space="preserve">  Kết quả: Tồn tại nhưng cần tiếp tục bù lỗ. Lợi nhuận biên.</t>
  </si>
  <si>
    <t>CƠ SỞ — 'Tăng trưởng thực tế' (Giả định hiện tại)</t>
  </si>
  <si>
    <t xml:space="preserve">  1.200 DN đến 2030 (3% SAM). Chứng nhận được thị trường công nhận.</t>
  </si>
  <si>
    <t xml:space="preserve">  GĐ2 kích hoạt 2027-2028, thị phần 0.5%. Hòa vốn khoảng 2027-2028.</t>
  </si>
  <si>
    <t xml:space="preserve">  Kết quả: Doanh nghiệp khả thi, tạo lợi nhuận vừa phải.</t>
  </si>
  <si>
    <t>LẠC QUAN — 'Tăng trưởng mạnh'</t>
  </si>
  <si>
    <t xml:space="preserve">  2.000 DN = 5% SAM. Chứng nhận VV trở thành yếu tố cạnh tranh.</t>
  </si>
  <si>
    <t xml:space="preserve">  GĐ2 kích hoạt sớm, thị phần 1%. Lợi nhuận tốt, thu hút đầu tư tiếp.</t>
  </si>
  <si>
    <t xml:space="preserve">  Kết quả: Doanh nghiệp hấp dẫn. Có thể mở rộng khu vực.</t>
  </si>
  <si>
    <t>TỐT NHẤT — 'Dẫn đầu thị trường'</t>
  </si>
  <si>
    <t xml:space="preserve">  3.500 DN = chuẩn chứng nhận quốc gia cho du lịch Việt Nam.</t>
  </si>
  <si>
    <t xml:space="preserve">  Thị phần 2%, churn 10%. Chính phủ bắt buộc hoặc khuyến khích chứng nhận.</t>
  </si>
  <si>
    <t xml:space="preserve">  Kết quả: Sẵn sàng IPO hoặc mục tiêu M&amp;A. Mở rộng Đông Nam Á.</t>
  </si>
  <si>
    <t>NGÂN SÁCH 2025 (Tr VND)</t>
  </si>
  <si>
    <t>Th7</t>
  </si>
  <si>
    <t>Th8</t>
  </si>
  <si>
    <t>Th9</t>
  </si>
  <si>
    <t>Th10</t>
  </si>
  <si>
    <t>Th11</t>
  </si>
  <si>
    <t>Th12</t>
  </si>
  <si>
    <t>TỔNG</t>
  </si>
  <si>
    <t>DOANH THU</t>
  </si>
  <si>
    <t xml:space="preserve">  Đào tạo</t>
  </si>
  <si>
    <t xml:space="preserve">  Kiểm toán</t>
  </si>
  <si>
    <t xml:space="preserve">  Cloud</t>
  </si>
  <si>
    <t xml:space="preserve">  Backend</t>
  </si>
  <si>
    <t xml:space="preserve">  Frontend</t>
  </si>
  <si>
    <t xml:space="preserve">  Data</t>
  </si>
  <si>
    <t xml:space="preserve">  UX/UI</t>
  </si>
  <si>
    <t xml:space="preserve">  Tích hợp</t>
  </si>
  <si>
    <t xml:space="preserve">  DevOps</t>
  </si>
  <si>
    <t xml:space="preserve">  QA</t>
  </si>
  <si>
    <t xml:space="preserve">  NS — QL(2)</t>
  </si>
  <si>
    <t xml:space="preserve">  NS — PT(12)</t>
  </si>
  <si>
    <t xml:space="preserve">  NS — VHKD(2)</t>
  </si>
  <si>
    <t xml:space="preserve">  Tuyển dụng</t>
  </si>
  <si>
    <t xml:space="preserve">  Thương hiệu</t>
  </si>
  <si>
    <t xml:space="preserve">  Đối tác</t>
  </si>
  <si>
    <t xml:space="preserve">  Thí điểm</t>
  </si>
  <si>
    <t xml:space="preserve">  Hỗ trợ KH</t>
  </si>
  <si>
    <t>TỔNG KẾT</t>
  </si>
  <si>
    <t>TỔNG NGÂN SÁCH</t>
  </si>
  <si>
    <t>RÒNG (DT - Ngân sách)</t>
  </si>
  <si>
    <t>Lũy kế</t>
  </si>
  <si>
    <t>NGÂN SÁCH 2026 (Tr VND)</t>
  </si>
  <si>
    <t>Th1</t>
  </si>
  <si>
    <t>Th2</t>
  </si>
  <si>
    <t>Th3</t>
  </si>
  <si>
    <t>Th4</t>
  </si>
  <si>
    <t>Th5</t>
  </si>
  <si>
    <t>Th6</t>
  </si>
  <si>
    <t xml:space="preserve">  NS — VHKD(6)</t>
  </si>
  <si>
    <t xml:space="preserve">  NS — DL(2)</t>
  </si>
  <si>
    <t>=@EBITDA -@ Khấu hao. Lợi nhuận trước thuế.</t>
  </si>
  <si>
    <t>=@ĐTHĐ +@ ĐTĐT. Tiền thực sự có sẵn sau mọi chi tiêu.</t>
  </si>
  <si>
    <t>Ô vàng = giá trị có thể chỉnh | Chữ xanh = placeholder | Named ranges trong mọi công thức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</si>
</sst>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"/>
    <numFmt numFmtId="167" formatCode="#,##0.0"/>
  </numFmts>
  <fonts count="20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10"/>
      <color rgb="FF666666"/>
      <name val="Calibri"/>
    </font>
    <font>
      <b/>
      <sz val="11"/>
      <color rgb="FF1F4E79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0000FF"/>
      <name val="Calibri"/>
    </font>
    <font>
      <i/>
      <sz val="10"/>
      <color rgb="FF888888"/>
      <name val="Calibri"/>
    </font>
    <font>
      <b/>
      <sz val="11"/>
      <name val="Calibri"/>
    </font>
    <font>
      <sz val="11"/>
      <color rgb="FFCC0000"/>
      <name val="Calibri"/>
    </font>
    <font>
      <sz val="11"/>
      <color rgb="FF00B050"/>
      <name val="Calibri"/>
    </font>
    <font>
      <b/>
      <sz val="10"/>
      <color rgb="FF333333"/>
      <name val="Calibri"/>
    </font>
    <font>
      <b/>
      <sz val="10"/>
      <color rgb="FF1F4E79"/>
      <name val="Calibri"/>
    </font>
    <font>
      <sz val="10"/>
      <color rgb="FF333333"/>
      <name val="Calibri"/>
    </font>
    <font>
      <b/>
      <sz val="10"/>
      <color rgb="FFCC0000"/>
      <name val="Calibri"/>
    </font>
    <font>
      <b/>
      <sz val="10"/>
      <color rgb="FF996600"/>
      <name val="Calibri"/>
    </font>
    <font>
      <b/>
      <sz val="10"/>
      <color rgb="FF0070C0"/>
      <name val="Calibri"/>
    </font>
    <font>
      <b/>
      <sz val="10"/>
      <color rgb="FF00B050"/>
      <name val="Calibri"/>
    </font>
    <font>
      <b/>
      <sz val="16"/>
      <color rgb="FF1F4E79"/>
      <name val="Calibri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FFCC"/>
        <bgColor rgb="FFFFFFCC"/>
      </patternFill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4" fillId="3" borderId="1" xfId="0" applyFont="1" applyFill="1" applyBorder="1" applyAlignment="1">
      <alignment horizontal="center"/>
    </xf>
    <xf numFmtId="0" fontId="5" fillId="0" borderId="1" xfId="0" applyFont="1" applyBorder="1"/>
    <xf numFmtId="3" fontId="6" fillId="4" borderId="1" xfId="0" applyNumberFormat="1" applyFont="1" applyFill="1" applyBorder="1"/>
    <xf numFmtId="0" fontId="7" fillId="0" borderId="1" xfId="0" applyFont="1" applyBorder="1"/>
    <xf numFmtId="164" fontId="6" fillId="4" borderId="1" xfId="0" applyNumberFormat="1" applyFont="1" applyFill="1" applyBorder="1"/>
    <xf numFmtId="165" fontId="6" fillId="4" borderId="1" xfId="0" applyNumberFormat="1" applyFont="1" applyFill="1" applyBorder="1"/>
    <xf numFmtId="3" fontId="8" fillId="5" borderId="1" xfId="0" applyNumberFormat="1" applyFont="1" applyFill="1" applyBorder="1"/>
    <xf numFmtId="3" fontId="5" fillId="0" borderId="1" xfId="0" applyNumberFormat="1" applyFont="1" applyBorder="1"/>
    <xf numFmtId="0" fontId="0" fillId="2" borderId="0" xfId="0" applyFill="1"/>
    <xf numFmtId="0" fontId="5" fillId="0" borderId="0" xfId="0" applyFont="1"/>
    <xf numFmtId="0" fontId="8" fillId="0" borderId="0" xfId="0" applyFont="1"/>
    <xf numFmtId="166" fontId="5" fillId="0" borderId="1" xfId="0" applyNumberFormat="1" applyFont="1" applyBorder="1"/>
    <xf numFmtId="167" fontId="5" fillId="0" borderId="1" xfId="0" applyNumberFormat="1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3" fontId="9" fillId="0" borderId="1" xfId="0" applyNumberFormat="1" applyFont="1" applyBorder="1"/>
    <xf numFmtId="3" fontId="0" fillId="0" borderId="1" xfId="0" applyNumberFormat="1" applyBorder="1"/>
    <xf numFmtId="3" fontId="10" fillId="0" borderId="1" xfId="0" applyNumberFormat="1" applyFont="1" applyBorder="1"/>
    <xf numFmtId="164" fontId="9" fillId="0" borderId="1" xfId="0" applyNumberFormat="1" applyFont="1" applyBorder="1"/>
    <xf numFmtId="164" fontId="0" fillId="0" borderId="1" xfId="0" applyNumberFormat="1" applyBorder="1"/>
    <xf numFmtId="164" fontId="8" fillId="5" borderId="1" xfId="0" applyNumberFormat="1" applyFont="1" applyFill="1" applyBorder="1"/>
    <xf numFmtId="164" fontId="10" fillId="0" borderId="1" xfId="0" applyNumberFormat="1" applyFont="1" applyBorder="1"/>
    <xf numFmtId="0" fontId="18" fillId="0" borderId="0" xfId="0" applyFont="1"/>
    <xf numFmtId="0" fontId="0" fillId="0" borderId="0" xfId="0"/>
    <xf numFmtId="0" fontId="1" fillId="0" borderId="0" xfId="0" applyFont="1"/>
    <xf numFmtId="0" fontId="13" fillId="0" borderId="0" xfId="0" applyFont="1"/>
    <xf numFmtId="0" fontId="12" fillId="0" borderId="0" xfId="0" applyFont="1"/>
    <xf numFmtId="0" fontId="3" fillId="2" borderId="1" xfId="0" applyFont="1" applyFill="1" applyBorder="1"/>
    <xf numFmtId="0" fontId="0" fillId="0" borderId="2" xfId="0" applyBorder="1"/>
    <xf numFmtId="0" fontId="0" fillId="0" borderId="3" xfId="0" applyBorder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1" fillId="0" borderId="0" xfId="0" applyFont="1"/>
    <xf numFmtId="0" fontId="17" fillId="0" borderId="0" xfId="0" applyFont="1"/>
    <xf numFmtId="0" fontId="5" fillId="0" borderId="1" xfId="0" quotePrefix="1" applyFont="1" applyBorder="1"/>
    <xf numFmtId="0" fontId="4" fillId="3" borderId="4" xfId="0" applyFont="1" applyFill="1" applyBorder="1" applyAlignment="1">
      <alignment horizontal="center"/>
    </xf>
    <xf numFmtId="3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42"/>
  <sheetViews>
    <sheetView topLeftCell="A9" workbookViewId="0">
      <selection activeCell="A16" sqref="A16"/>
    </sheetView>
  </sheetViews>
  <sheetFormatPr defaultRowHeight="14.4" x14ac:dyDescent="0.3"/>
  <cols>
    <col min="1" max="1" width="25" customWidth="1"/>
    <col min="2" max="2" width="68.33203125" bestFit="1" customWidth="1"/>
    <col min="3" max="3" width="35" customWidth="1"/>
  </cols>
  <sheetData>
    <row r="1" spans="1:3" ht="21" x14ac:dyDescent="0.4">
      <c r="A1" s="26" t="s">
        <v>0</v>
      </c>
      <c r="B1" s="27"/>
      <c r="C1" s="27"/>
    </row>
    <row r="2" spans="1:3" x14ac:dyDescent="0.3">
      <c r="A2" s="1" t="s">
        <v>1</v>
      </c>
    </row>
    <row r="4" spans="1:3" x14ac:dyDescent="0.3">
      <c r="A4" s="2" t="s">
        <v>2</v>
      </c>
    </row>
    <row r="5" spans="1:3" x14ac:dyDescent="0.3">
      <c r="A5" s="4" t="s">
        <v>3</v>
      </c>
      <c r="B5" s="4" t="s">
        <v>4</v>
      </c>
      <c r="C5" s="4" t="s">
        <v>5</v>
      </c>
    </row>
    <row r="6" spans="1:3" x14ac:dyDescent="0.3">
      <c r="A6" s="5" t="s">
        <v>6</v>
      </c>
      <c r="B6" s="5" t="s">
        <v>7</v>
      </c>
      <c r="C6" s="5" t="s">
        <v>8</v>
      </c>
    </row>
    <row r="7" spans="1:3" x14ac:dyDescent="0.3">
      <c r="A7" s="5" t="s">
        <v>9</v>
      </c>
      <c r="B7" s="5" t="s">
        <v>10</v>
      </c>
      <c r="C7" s="5" t="s">
        <v>11</v>
      </c>
    </row>
    <row r="8" spans="1:3" x14ac:dyDescent="0.3">
      <c r="A8" s="5" t="s">
        <v>12</v>
      </c>
      <c r="B8" s="5" t="s">
        <v>13</v>
      </c>
      <c r="C8" s="5" t="s">
        <v>14</v>
      </c>
    </row>
    <row r="9" spans="1:3" x14ac:dyDescent="0.3">
      <c r="A9" s="5" t="s">
        <v>15</v>
      </c>
      <c r="B9" s="5" t="s">
        <v>16</v>
      </c>
      <c r="C9" s="5" t="s">
        <v>17</v>
      </c>
    </row>
    <row r="10" spans="1:3" x14ac:dyDescent="0.3">
      <c r="A10" s="5" t="s">
        <v>18</v>
      </c>
      <c r="B10" s="5" t="s">
        <v>19</v>
      </c>
      <c r="C10" s="5" t="s">
        <v>20</v>
      </c>
    </row>
    <row r="11" spans="1:3" x14ac:dyDescent="0.3">
      <c r="A11" s="5" t="s">
        <v>21</v>
      </c>
      <c r="B11" s="5" t="s">
        <v>22</v>
      </c>
      <c r="C11" s="5" t="s">
        <v>23</v>
      </c>
    </row>
    <row r="12" spans="1:3" x14ac:dyDescent="0.3">
      <c r="A12" s="5" t="s">
        <v>24</v>
      </c>
      <c r="B12" s="5" t="s">
        <v>25</v>
      </c>
      <c r="C12" s="5" t="s">
        <v>26</v>
      </c>
    </row>
    <row r="13" spans="1:3" x14ac:dyDescent="0.3">
      <c r="A13" s="5" t="s">
        <v>27</v>
      </c>
      <c r="B13" s="5" t="s">
        <v>28</v>
      </c>
      <c r="C13" s="5" t="s">
        <v>29</v>
      </c>
    </row>
    <row r="14" spans="1:3" x14ac:dyDescent="0.3">
      <c r="A14" s="5" t="s">
        <v>30</v>
      </c>
      <c r="B14" s="5" t="s">
        <v>31</v>
      </c>
      <c r="C14" s="5" t="s">
        <v>32</v>
      </c>
    </row>
    <row r="15" spans="1:3" x14ac:dyDescent="0.3">
      <c r="A15" s="5" t="s">
        <v>33</v>
      </c>
      <c r="B15" s="5" t="s">
        <v>34</v>
      </c>
      <c r="C15" s="5" t="s">
        <v>35</v>
      </c>
    </row>
    <row r="16" spans="1:3" x14ac:dyDescent="0.3">
      <c r="A16" s="5" t="s">
        <v>36</v>
      </c>
      <c r="B16" s="5" t="s">
        <v>37</v>
      </c>
      <c r="C16" s="5" t="s">
        <v>38</v>
      </c>
    </row>
    <row r="17" spans="1:3" x14ac:dyDescent="0.3">
      <c r="A17" s="5" t="s">
        <v>39</v>
      </c>
      <c r="B17" s="5" t="s">
        <v>40</v>
      </c>
      <c r="C17" s="5" t="s">
        <v>41</v>
      </c>
    </row>
    <row r="18" spans="1:3" x14ac:dyDescent="0.3">
      <c r="A18" s="5" t="s">
        <v>42</v>
      </c>
      <c r="B18" s="5" t="s">
        <v>43</v>
      </c>
      <c r="C18" s="5" t="s">
        <v>41</v>
      </c>
    </row>
    <row r="20" spans="1:3" x14ac:dyDescent="0.3">
      <c r="A20" s="2" t="s">
        <v>44</v>
      </c>
    </row>
    <row r="21" spans="1:3" x14ac:dyDescent="0.3">
      <c r="A21" s="4" t="s">
        <v>45</v>
      </c>
      <c r="B21" s="4" t="s">
        <v>46</v>
      </c>
      <c r="C21" s="4" t="s">
        <v>47</v>
      </c>
    </row>
    <row r="22" spans="1:3" x14ac:dyDescent="0.3">
      <c r="A22" s="5" t="s">
        <v>48</v>
      </c>
      <c r="B22" s="5" t="s">
        <v>49</v>
      </c>
      <c r="C22" s="5" t="s">
        <v>50</v>
      </c>
    </row>
    <row r="23" spans="1:3" x14ac:dyDescent="0.3">
      <c r="A23" s="5" t="s">
        <v>51</v>
      </c>
      <c r="B23" s="5" t="s">
        <v>52</v>
      </c>
      <c r="C23" s="5" t="s">
        <v>53</v>
      </c>
    </row>
    <row r="24" spans="1:3" x14ac:dyDescent="0.3">
      <c r="A24" s="5" t="s">
        <v>54</v>
      </c>
      <c r="B24" s="5" t="s">
        <v>55</v>
      </c>
      <c r="C24" s="5" t="s">
        <v>56</v>
      </c>
    </row>
    <row r="25" spans="1:3" x14ac:dyDescent="0.3">
      <c r="A25" s="5" t="s">
        <v>57</v>
      </c>
      <c r="B25" s="5" t="s">
        <v>58</v>
      </c>
      <c r="C25" s="5" t="s">
        <v>59</v>
      </c>
    </row>
    <row r="26" spans="1:3" x14ac:dyDescent="0.3">
      <c r="A26" s="5" t="s">
        <v>60</v>
      </c>
      <c r="B26" s="5" t="s">
        <v>61</v>
      </c>
      <c r="C26" s="5" t="s">
        <v>62</v>
      </c>
    </row>
    <row r="27" spans="1:3" x14ac:dyDescent="0.3">
      <c r="A27" s="5" t="s">
        <v>63</v>
      </c>
      <c r="B27" s="5" t="s">
        <v>64</v>
      </c>
      <c r="C27" s="39" t="s">
        <v>493</v>
      </c>
    </row>
    <row r="28" spans="1:3" x14ac:dyDescent="0.3">
      <c r="A28" s="5" t="s">
        <v>65</v>
      </c>
      <c r="B28" s="5" t="s">
        <v>66</v>
      </c>
      <c r="C28" s="5" t="s">
        <v>67</v>
      </c>
    </row>
    <row r="29" spans="1:3" x14ac:dyDescent="0.3">
      <c r="A29" s="5" t="s">
        <v>68</v>
      </c>
      <c r="B29" s="5" t="s">
        <v>69</v>
      </c>
      <c r="C29" s="39" t="s">
        <v>494</v>
      </c>
    </row>
    <row r="30" spans="1:3" x14ac:dyDescent="0.3">
      <c r="A30" s="5" t="s">
        <v>70</v>
      </c>
      <c r="B30" s="5" t="s">
        <v>71</v>
      </c>
      <c r="C30" s="5" t="s">
        <v>72</v>
      </c>
    </row>
    <row r="31" spans="1:3" x14ac:dyDescent="0.3">
      <c r="A31" s="5" t="s">
        <v>73</v>
      </c>
      <c r="B31" s="5" t="s">
        <v>74</v>
      </c>
      <c r="C31" s="5" t="s">
        <v>75</v>
      </c>
    </row>
    <row r="32" spans="1:3" x14ac:dyDescent="0.3">
      <c r="A32" s="5" t="s">
        <v>76</v>
      </c>
      <c r="B32" s="5" t="s">
        <v>77</v>
      </c>
      <c r="C32" s="5" t="s">
        <v>78</v>
      </c>
    </row>
    <row r="33" spans="1:3" x14ac:dyDescent="0.3">
      <c r="A33" s="5" t="s">
        <v>79</v>
      </c>
      <c r="B33" s="5" t="s">
        <v>80</v>
      </c>
      <c r="C33" s="5" t="s">
        <v>81</v>
      </c>
    </row>
    <row r="34" spans="1:3" x14ac:dyDescent="0.3">
      <c r="A34" s="5" t="s">
        <v>82</v>
      </c>
      <c r="B34" s="5" t="s">
        <v>83</v>
      </c>
      <c r="C34" s="5" t="s">
        <v>84</v>
      </c>
    </row>
    <row r="35" spans="1:3" x14ac:dyDescent="0.3">
      <c r="A35" s="5" t="s">
        <v>85</v>
      </c>
      <c r="B35" s="5" t="s">
        <v>86</v>
      </c>
      <c r="C35" s="5" t="s">
        <v>87</v>
      </c>
    </row>
    <row r="36" spans="1:3" x14ac:dyDescent="0.3">
      <c r="A36" s="5" t="s">
        <v>88</v>
      </c>
      <c r="B36" s="5" t="s">
        <v>89</v>
      </c>
      <c r="C36" s="5" t="s">
        <v>90</v>
      </c>
    </row>
    <row r="37" spans="1:3" x14ac:dyDescent="0.3">
      <c r="A37" s="5" t="s">
        <v>91</v>
      </c>
      <c r="B37" s="5" t="s">
        <v>92</v>
      </c>
      <c r="C37" s="5" t="s">
        <v>93</v>
      </c>
    </row>
    <row r="38" spans="1:3" x14ac:dyDescent="0.3">
      <c r="A38" s="5" t="s">
        <v>94</v>
      </c>
      <c r="B38" s="5" t="s">
        <v>95</v>
      </c>
      <c r="C38" s="5" t="s">
        <v>96</v>
      </c>
    </row>
    <row r="39" spans="1:3" x14ac:dyDescent="0.3">
      <c r="A39" s="5" t="s">
        <v>97</v>
      </c>
      <c r="B39" s="5" t="s">
        <v>98</v>
      </c>
      <c r="C39" s="5" t="s">
        <v>99</v>
      </c>
    </row>
    <row r="40" spans="1:3" x14ac:dyDescent="0.3">
      <c r="A40" s="5" t="s">
        <v>100</v>
      </c>
      <c r="B40" s="5" t="s">
        <v>101</v>
      </c>
      <c r="C40" s="5" t="s">
        <v>102</v>
      </c>
    </row>
    <row r="41" spans="1:3" x14ac:dyDescent="0.3">
      <c r="A41" s="5" t="s">
        <v>103</v>
      </c>
      <c r="B41" s="5" t="s">
        <v>104</v>
      </c>
      <c r="C41" s="5" t="s">
        <v>105</v>
      </c>
    </row>
    <row r="42" spans="1:3" x14ac:dyDescent="0.3">
      <c r="A42" s="5" t="s">
        <v>106</v>
      </c>
      <c r="B42" s="5" t="s">
        <v>107</v>
      </c>
      <c r="C42" s="5" t="s">
        <v>108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700"/>
  </sheetPr>
  <dimension ref="A1:G72"/>
  <sheetViews>
    <sheetView tabSelected="1" workbookViewId="0">
      <pane ySplit="5" topLeftCell="A18" activePane="bottomLeft" state="frozen"/>
      <selection pane="bottomLeft" activeCell="A3" sqref="A3"/>
    </sheetView>
  </sheetViews>
  <sheetFormatPr defaultRowHeight="14.4" x14ac:dyDescent="0.3"/>
  <cols>
    <col min="1" max="1" width="42" customWidth="1"/>
    <col min="2" max="2" width="18" customWidth="1"/>
    <col min="3" max="3" width="12" customWidth="1"/>
    <col min="4" max="4" width="45" customWidth="1"/>
  </cols>
  <sheetData>
    <row r="1" spans="1:7" ht="18" x14ac:dyDescent="0.35">
      <c r="A1" s="28" t="s">
        <v>109</v>
      </c>
      <c r="B1" s="27"/>
      <c r="C1" s="27"/>
      <c r="D1" s="27"/>
      <c r="F1" s="40" t="s">
        <v>48</v>
      </c>
      <c r="G1" s="40" t="s">
        <v>51</v>
      </c>
    </row>
    <row r="2" spans="1:7" x14ac:dyDescent="0.3">
      <c r="A2" s="1" t="s">
        <v>495</v>
      </c>
      <c r="F2" s="41">
        <f>'Thẩm định'!B13</f>
        <v>6313.5008202430145</v>
      </c>
      <c r="G2" s="42">
        <f>'Thẩm định'!B14</f>
        <v>0.22064428059897856</v>
      </c>
    </row>
    <row r="4" spans="1:7" x14ac:dyDescent="0.3">
      <c r="A4" s="2" t="s">
        <v>110</v>
      </c>
      <c r="B4" s="3"/>
      <c r="C4" s="3"/>
      <c r="D4" s="3"/>
    </row>
    <row r="5" spans="1:7" x14ac:dyDescent="0.3">
      <c r="A5" s="4" t="s">
        <v>111</v>
      </c>
      <c r="B5" s="4" t="s">
        <v>112</v>
      </c>
      <c r="C5" s="4" t="s">
        <v>113</v>
      </c>
      <c r="D5" s="4" t="s">
        <v>5</v>
      </c>
    </row>
    <row r="6" spans="1:7" x14ac:dyDescent="0.3">
      <c r="A6" s="5" t="s">
        <v>114</v>
      </c>
      <c r="B6" s="6">
        <v>2025</v>
      </c>
      <c r="C6" s="5" t="s">
        <v>115</v>
      </c>
      <c r="D6" s="7" t="s">
        <v>116</v>
      </c>
    </row>
    <row r="7" spans="1:7" x14ac:dyDescent="0.3">
      <c r="A7" s="5" t="s">
        <v>117</v>
      </c>
      <c r="B7" s="6">
        <v>7</v>
      </c>
      <c r="C7" s="5" t="s">
        <v>118</v>
      </c>
      <c r="D7" s="7" t="s">
        <v>119</v>
      </c>
    </row>
    <row r="9" spans="1:7" x14ac:dyDescent="0.3">
      <c r="A9" s="2" t="s">
        <v>120</v>
      </c>
      <c r="B9" s="3"/>
      <c r="C9" s="3"/>
      <c r="D9" s="3"/>
    </row>
    <row r="10" spans="1:7" x14ac:dyDescent="0.3">
      <c r="A10" s="4" t="s">
        <v>111</v>
      </c>
      <c r="B10" s="4" t="s">
        <v>112</v>
      </c>
      <c r="C10" s="4" t="s">
        <v>113</v>
      </c>
      <c r="D10" s="4" t="s">
        <v>5</v>
      </c>
    </row>
    <row r="11" spans="1:7" x14ac:dyDescent="0.3">
      <c r="A11" s="5" t="s">
        <v>121</v>
      </c>
      <c r="B11" s="6">
        <v>40000</v>
      </c>
      <c r="C11" s="5"/>
      <c r="D11" s="7" t="s">
        <v>122</v>
      </c>
    </row>
    <row r="12" spans="1:7" x14ac:dyDescent="0.3">
      <c r="A12" s="5" t="s">
        <v>123</v>
      </c>
      <c r="B12" s="6">
        <v>15000</v>
      </c>
      <c r="C12" s="5"/>
      <c r="D12" s="7" t="s">
        <v>124</v>
      </c>
    </row>
    <row r="13" spans="1:7" x14ac:dyDescent="0.3">
      <c r="A13" s="5" t="s">
        <v>125</v>
      </c>
      <c r="B13" s="6">
        <v>82500</v>
      </c>
      <c r="C13" s="5" t="s">
        <v>126</v>
      </c>
      <c r="D13" s="7" t="s">
        <v>127</v>
      </c>
    </row>
    <row r="14" spans="1:7" x14ac:dyDescent="0.3">
      <c r="A14" s="5" t="s">
        <v>128</v>
      </c>
      <c r="B14" s="8">
        <v>0.08</v>
      </c>
      <c r="C14" s="5" t="s">
        <v>129</v>
      </c>
      <c r="D14" s="7" t="s">
        <v>130</v>
      </c>
    </row>
    <row r="16" spans="1:7" x14ac:dyDescent="0.3">
      <c r="A16" s="2" t="s">
        <v>131</v>
      </c>
      <c r="B16" s="3"/>
      <c r="C16" s="3"/>
      <c r="D16" s="3"/>
    </row>
    <row r="17" spans="1:4" x14ac:dyDescent="0.3">
      <c r="A17" s="4" t="s">
        <v>111</v>
      </c>
      <c r="B17" s="4" t="s">
        <v>112</v>
      </c>
      <c r="C17" s="4" t="s">
        <v>113</v>
      </c>
      <c r="D17" s="4" t="s">
        <v>5</v>
      </c>
    </row>
    <row r="18" spans="1:4" x14ac:dyDescent="0.3">
      <c r="A18" s="5" t="s">
        <v>132</v>
      </c>
      <c r="B18" s="6">
        <v>1200</v>
      </c>
      <c r="C18" s="5"/>
      <c r="D18" s="7" t="s">
        <v>133</v>
      </c>
    </row>
    <row r="19" spans="1:4" x14ac:dyDescent="0.3">
      <c r="A19" s="5" t="s">
        <v>134</v>
      </c>
      <c r="B19" s="6">
        <v>2028</v>
      </c>
      <c r="C19" s="5" t="s">
        <v>115</v>
      </c>
      <c r="D19" s="7" t="s">
        <v>135</v>
      </c>
    </row>
    <row r="20" spans="1:4" x14ac:dyDescent="0.3">
      <c r="A20" s="5" t="s">
        <v>136</v>
      </c>
      <c r="B20" s="9">
        <v>0.9</v>
      </c>
      <c r="C20" s="5"/>
      <c r="D20" s="7" t="s">
        <v>137</v>
      </c>
    </row>
    <row r="21" spans="1:4" x14ac:dyDescent="0.3">
      <c r="A21" s="5" t="s">
        <v>138</v>
      </c>
      <c r="B21" s="6">
        <v>15</v>
      </c>
      <c r="C21" s="5"/>
      <c r="D21" s="7" t="s">
        <v>139</v>
      </c>
    </row>
    <row r="22" spans="1:4" x14ac:dyDescent="0.3">
      <c r="A22" s="5" t="s">
        <v>140</v>
      </c>
      <c r="B22" s="8">
        <v>0.2</v>
      </c>
      <c r="C22" s="5" t="s">
        <v>129</v>
      </c>
      <c r="D22" s="7" t="s">
        <v>141</v>
      </c>
    </row>
    <row r="24" spans="1:4" x14ac:dyDescent="0.3">
      <c r="A24" s="2" t="s">
        <v>142</v>
      </c>
      <c r="B24" s="3"/>
      <c r="C24" s="3"/>
      <c r="D24" s="3"/>
    </row>
    <row r="25" spans="1:4" x14ac:dyDescent="0.3">
      <c r="A25" s="4" t="s">
        <v>111</v>
      </c>
      <c r="B25" s="4" t="s">
        <v>112</v>
      </c>
      <c r="C25" s="4" t="s">
        <v>113</v>
      </c>
      <c r="D25" s="4" t="s">
        <v>5</v>
      </c>
    </row>
    <row r="26" spans="1:4" x14ac:dyDescent="0.3">
      <c r="A26" s="5" t="s">
        <v>143</v>
      </c>
      <c r="B26" s="6">
        <v>25</v>
      </c>
      <c r="C26" s="5" t="s">
        <v>144</v>
      </c>
      <c r="D26" s="7" t="s">
        <v>145</v>
      </c>
    </row>
    <row r="27" spans="1:4" x14ac:dyDescent="0.3">
      <c r="A27" s="5" t="s">
        <v>146</v>
      </c>
      <c r="B27" s="8">
        <v>0.05</v>
      </c>
      <c r="C27" s="5" t="s">
        <v>129</v>
      </c>
      <c r="D27" s="7" t="s">
        <v>147</v>
      </c>
    </row>
    <row r="28" spans="1:4" x14ac:dyDescent="0.3">
      <c r="A28" s="5" t="s">
        <v>148</v>
      </c>
      <c r="B28" s="8">
        <v>0.02</v>
      </c>
      <c r="C28" s="5" t="s">
        <v>129</v>
      </c>
      <c r="D28" s="7" t="s">
        <v>149</v>
      </c>
    </row>
    <row r="29" spans="1:4" x14ac:dyDescent="0.3">
      <c r="A29" s="5" t="s">
        <v>150</v>
      </c>
      <c r="B29" s="8">
        <v>0.02</v>
      </c>
      <c r="C29" s="5" t="s">
        <v>129</v>
      </c>
      <c r="D29" s="7" t="s">
        <v>151</v>
      </c>
    </row>
    <row r="30" spans="1:4" x14ac:dyDescent="0.3">
      <c r="A30" s="5" t="s">
        <v>152</v>
      </c>
      <c r="B30" s="6">
        <v>30</v>
      </c>
      <c r="C30" s="5" t="s">
        <v>144</v>
      </c>
      <c r="D30" s="7" t="s">
        <v>153</v>
      </c>
    </row>
    <row r="31" spans="1:4" x14ac:dyDescent="0.3">
      <c r="A31" s="5" t="s">
        <v>154</v>
      </c>
      <c r="B31" s="6">
        <v>150</v>
      </c>
      <c r="C31" s="5" t="s">
        <v>155</v>
      </c>
      <c r="D31" s="7" t="s">
        <v>156</v>
      </c>
    </row>
    <row r="32" spans="1:4" x14ac:dyDescent="0.3">
      <c r="A32" s="5" t="s">
        <v>157</v>
      </c>
      <c r="B32" s="6">
        <v>500</v>
      </c>
      <c r="C32" s="5" t="s">
        <v>158</v>
      </c>
      <c r="D32" s="7" t="s">
        <v>159</v>
      </c>
    </row>
    <row r="33" spans="1:4" x14ac:dyDescent="0.3">
      <c r="A33" s="5" t="s">
        <v>160</v>
      </c>
      <c r="B33" s="6">
        <v>15</v>
      </c>
      <c r="C33" s="5" t="s">
        <v>144</v>
      </c>
      <c r="D33" s="7" t="s">
        <v>161</v>
      </c>
    </row>
    <row r="34" spans="1:4" x14ac:dyDescent="0.3">
      <c r="A34" s="5" t="s">
        <v>162</v>
      </c>
      <c r="B34" s="6">
        <v>10</v>
      </c>
      <c r="C34" s="5" t="s">
        <v>144</v>
      </c>
      <c r="D34" s="7" t="s">
        <v>161</v>
      </c>
    </row>
    <row r="35" spans="1:4" x14ac:dyDescent="0.3">
      <c r="A35" s="5" t="s">
        <v>163</v>
      </c>
      <c r="B35" s="8">
        <v>0.3</v>
      </c>
      <c r="C35" s="5" t="s">
        <v>129</v>
      </c>
      <c r="D35" s="7" t="s">
        <v>164</v>
      </c>
    </row>
    <row r="37" spans="1:4" x14ac:dyDescent="0.3">
      <c r="A37" s="2" t="s">
        <v>165</v>
      </c>
      <c r="B37" s="3"/>
      <c r="C37" s="3"/>
      <c r="D37" s="3"/>
    </row>
    <row r="38" spans="1:4" x14ac:dyDescent="0.3">
      <c r="A38" s="4" t="s">
        <v>111</v>
      </c>
      <c r="B38" s="4" t="s">
        <v>112</v>
      </c>
      <c r="C38" s="4" t="s">
        <v>113</v>
      </c>
      <c r="D38" s="4" t="s">
        <v>5</v>
      </c>
    </row>
    <row r="39" spans="1:4" x14ac:dyDescent="0.3">
      <c r="A39" s="5" t="s">
        <v>166</v>
      </c>
      <c r="B39" s="8">
        <v>0.18</v>
      </c>
      <c r="C39" s="5" t="s">
        <v>129</v>
      </c>
      <c r="D39" s="7" t="s">
        <v>167</v>
      </c>
    </row>
    <row r="40" spans="1:4" x14ac:dyDescent="0.3">
      <c r="A40" s="5" t="s">
        <v>168</v>
      </c>
      <c r="B40" s="6">
        <v>7000</v>
      </c>
      <c r="C40" s="5" t="s">
        <v>144</v>
      </c>
      <c r="D40" s="7" t="s">
        <v>169</v>
      </c>
    </row>
    <row r="41" spans="1:4" x14ac:dyDescent="0.3">
      <c r="A41" s="5" t="s">
        <v>170</v>
      </c>
      <c r="B41" s="8">
        <v>0.15</v>
      </c>
      <c r="C41" s="5" t="s">
        <v>129</v>
      </c>
      <c r="D41" s="7" t="s">
        <v>171</v>
      </c>
    </row>
    <row r="42" spans="1:4" x14ac:dyDescent="0.3">
      <c r="A42" s="5" t="s">
        <v>172</v>
      </c>
      <c r="B42" s="6">
        <v>3250</v>
      </c>
      <c r="C42" s="5" t="s">
        <v>144</v>
      </c>
      <c r="D42" s="7" t="s">
        <v>169</v>
      </c>
    </row>
    <row r="43" spans="1:4" x14ac:dyDescent="0.3">
      <c r="A43" s="5" t="s">
        <v>173</v>
      </c>
      <c r="B43" s="6">
        <v>8</v>
      </c>
      <c r="C43" s="5" t="s">
        <v>144</v>
      </c>
      <c r="D43" s="7" t="s">
        <v>174</v>
      </c>
    </row>
    <row r="44" spans="1:4" x14ac:dyDescent="0.3">
      <c r="A44" s="5" t="s">
        <v>175</v>
      </c>
      <c r="B44" s="6">
        <v>10000</v>
      </c>
      <c r="C44" s="5" t="s">
        <v>176</v>
      </c>
      <c r="D44" s="7" t="s">
        <v>177</v>
      </c>
    </row>
    <row r="45" spans="1:4" x14ac:dyDescent="0.3">
      <c r="A45" s="5" t="s">
        <v>178</v>
      </c>
      <c r="B45" s="6">
        <v>400</v>
      </c>
      <c r="C45" s="5" t="s">
        <v>144</v>
      </c>
      <c r="D45" s="7" t="s">
        <v>169</v>
      </c>
    </row>
    <row r="46" spans="1:4" x14ac:dyDescent="0.3">
      <c r="A46" s="5" t="s">
        <v>179</v>
      </c>
      <c r="B46" s="6">
        <v>240</v>
      </c>
      <c r="C46" s="5" t="s">
        <v>144</v>
      </c>
      <c r="D46" s="7" t="s">
        <v>169</v>
      </c>
    </row>
    <row r="47" spans="1:4" x14ac:dyDescent="0.3">
      <c r="A47" s="5" t="s">
        <v>180</v>
      </c>
      <c r="B47" s="6">
        <v>4000</v>
      </c>
      <c r="C47" s="5" t="s">
        <v>144</v>
      </c>
      <c r="D47" s="7" t="s">
        <v>169</v>
      </c>
    </row>
    <row r="48" spans="1:4" x14ac:dyDescent="0.3">
      <c r="A48" s="5" t="s">
        <v>181</v>
      </c>
      <c r="B48" s="6">
        <v>250</v>
      </c>
      <c r="C48" s="5" t="s">
        <v>144</v>
      </c>
      <c r="D48" s="7" t="s">
        <v>169</v>
      </c>
    </row>
    <row r="49" spans="1:4" x14ac:dyDescent="0.3">
      <c r="A49" s="5" t="s">
        <v>182</v>
      </c>
      <c r="B49" s="6">
        <v>200</v>
      </c>
      <c r="C49" s="5" t="s">
        <v>144</v>
      </c>
      <c r="D49" s="7" t="s">
        <v>183</v>
      </c>
    </row>
    <row r="50" spans="1:4" x14ac:dyDescent="0.3">
      <c r="A50" s="5" t="s">
        <v>184</v>
      </c>
      <c r="B50" s="8">
        <v>2.5000000000000001E-2</v>
      </c>
      <c r="C50" s="5" t="s">
        <v>129</v>
      </c>
      <c r="D50" s="7" t="s">
        <v>185</v>
      </c>
    </row>
    <row r="51" spans="1:4" x14ac:dyDescent="0.3">
      <c r="A51" s="5" t="s">
        <v>186</v>
      </c>
      <c r="B51" s="6">
        <v>2</v>
      </c>
      <c r="C51" s="5" t="s">
        <v>144</v>
      </c>
      <c r="D51" s="7" t="s">
        <v>187</v>
      </c>
    </row>
    <row r="52" spans="1:4" x14ac:dyDescent="0.3">
      <c r="A52" s="5" t="s">
        <v>188</v>
      </c>
      <c r="B52" s="6">
        <v>500</v>
      </c>
      <c r="C52" s="5" t="s">
        <v>144</v>
      </c>
      <c r="D52" s="7" t="s">
        <v>189</v>
      </c>
    </row>
    <row r="53" spans="1:4" x14ac:dyDescent="0.3">
      <c r="A53" s="5" t="s">
        <v>190</v>
      </c>
      <c r="B53" s="8">
        <v>0.1</v>
      </c>
      <c r="C53" s="5" t="s">
        <v>129</v>
      </c>
      <c r="D53" s="7" t="s">
        <v>191</v>
      </c>
    </row>
    <row r="55" spans="1:4" x14ac:dyDescent="0.3">
      <c r="A55" s="2" t="s">
        <v>192</v>
      </c>
      <c r="B55" s="3"/>
      <c r="C55" s="3"/>
      <c r="D55" s="3"/>
    </row>
    <row r="56" spans="1:4" x14ac:dyDescent="0.3">
      <c r="A56" s="4" t="s">
        <v>111</v>
      </c>
      <c r="B56" s="4" t="s">
        <v>112</v>
      </c>
      <c r="C56" s="4" t="s">
        <v>113</v>
      </c>
      <c r="D56" s="4" t="s">
        <v>5</v>
      </c>
    </row>
    <row r="57" spans="1:4" x14ac:dyDescent="0.3">
      <c r="A57" s="5" t="s">
        <v>193</v>
      </c>
      <c r="B57" s="6">
        <v>45</v>
      </c>
      <c r="C57" s="5" t="s">
        <v>144</v>
      </c>
      <c r="D57" s="7" t="s">
        <v>194</v>
      </c>
    </row>
    <row r="58" spans="1:4" x14ac:dyDescent="0.3">
      <c r="A58" s="5" t="s">
        <v>195</v>
      </c>
      <c r="B58" s="6">
        <v>35</v>
      </c>
      <c r="C58" s="5" t="s">
        <v>144</v>
      </c>
      <c r="D58" s="7" t="s">
        <v>196</v>
      </c>
    </row>
    <row r="59" spans="1:4" x14ac:dyDescent="0.3">
      <c r="A59" s="5" t="s">
        <v>197</v>
      </c>
      <c r="B59" s="6">
        <v>20</v>
      </c>
      <c r="C59" s="5" t="s">
        <v>144</v>
      </c>
      <c r="D59" s="7" t="s">
        <v>198</v>
      </c>
    </row>
    <row r="60" spans="1:4" x14ac:dyDescent="0.3">
      <c r="A60" s="5" t="s">
        <v>199</v>
      </c>
      <c r="B60" s="6">
        <v>40</v>
      </c>
      <c r="C60" s="5" t="s">
        <v>144</v>
      </c>
      <c r="D60" s="7" t="s">
        <v>200</v>
      </c>
    </row>
    <row r="61" spans="1:4" x14ac:dyDescent="0.3">
      <c r="A61" s="5" t="s">
        <v>201</v>
      </c>
      <c r="B61" s="8">
        <v>0.1</v>
      </c>
      <c r="C61" s="5" t="s">
        <v>129</v>
      </c>
      <c r="D61" s="7" t="s">
        <v>202</v>
      </c>
    </row>
    <row r="62" spans="1:4" x14ac:dyDescent="0.3">
      <c r="A62" s="5" t="s">
        <v>203</v>
      </c>
      <c r="B62" s="8">
        <v>0.215</v>
      </c>
      <c r="C62" s="5" t="s">
        <v>129</v>
      </c>
      <c r="D62" s="7" t="s">
        <v>204</v>
      </c>
    </row>
    <row r="63" spans="1:4" x14ac:dyDescent="0.3">
      <c r="A63" s="5" t="s">
        <v>205</v>
      </c>
      <c r="B63" s="8">
        <v>0.2</v>
      </c>
      <c r="C63" s="5" t="s">
        <v>129</v>
      </c>
      <c r="D63" s="7" t="s">
        <v>206</v>
      </c>
    </row>
    <row r="65" spans="1:4" x14ac:dyDescent="0.3">
      <c r="A65" s="2" t="s">
        <v>207</v>
      </c>
      <c r="B65" s="3"/>
      <c r="C65" s="3"/>
      <c r="D65" s="3"/>
    </row>
    <row r="66" spans="1:4" x14ac:dyDescent="0.3">
      <c r="A66" s="4" t="s">
        <v>111</v>
      </c>
      <c r="B66" s="4" t="s">
        <v>112</v>
      </c>
      <c r="C66" s="4" t="s">
        <v>113</v>
      </c>
      <c r="D66" s="4" t="s">
        <v>5</v>
      </c>
    </row>
    <row r="67" spans="1:4" x14ac:dyDescent="0.3">
      <c r="A67" s="5" t="s">
        <v>65</v>
      </c>
      <c r="B67" s="8">
        <v>0.2</v>
      </c>
      <c r="C67" s="5" t="s">
        <v>129</v>
      </c>
      <c r="D67" s="7" t="s">
        <v>208</v>
      </c>
    </row>
    <row r="68" spans="1:4" x14ac:dyDescent="0.3">
      <c r="A68" s="5" t="s">
        <v>209</v>
      </c>
      <c r="B68" s="8">
        <v>0.15</v>
      </c>
      <c r="C68" s="5" t="s">
        <v>129</v>
      </c>
      <c r="D68" s="7" t="s">
        <v>210</v>
      </c>
    </row>
    <row r="69" spans="1:4" x14ac:dyDescent="0.3">
      <c r="A69" s="5" t="s">
        <v>211</v>
      </c>
      <c r="B69" s="6">
        <v>5</v>
      </c>
      <c r="C69" s="5" t="s">
        <v>115</v>
      </c>
      <c r="D69" s="7" t="s">
        <v>212</v>
      </c>
    </row>
    <row r="70" spans="1:4" x14ac:dyDescent="0.3">
      <c r="A70" s="5" t="s">
        <v>213</v>
      </c>
      <c r="B70" s="6">
        <v>45</v>
      </c>
      <c r="C70" s="5" t="s">
        <v>214</v>
      </c>
      <c r="D70" s="7" t="s">
        <v>215</v>
      </c>
    </row>
    <row r="71" spans="1:4" x14ac:dyDescent="0.3">
      <c r="A71" s="5" t="s">
        <v>216</v>
      </c>
      <c r="B71" s="6">
        <v>30</v>
      </c>
      <c r="C71" s="5" t="s">
        <v>214</v>
      </c>
      <c r="D71" s="7" t="s">
        <v>217</v>
      </c>
    </row>
    <row r="72" spans="1:4" x14ac:dyDescent="0.3">
      <c r="A72" s="5" t="s">
        <v>218</v>
      </c>
      <c r="B72" s="6">
        <v>300</v>
      </c>
      <c r="C72" s="5"/>
      <c r="D72" s="7" t="s">
        <v>219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D24"/>
  <sheetViews>
    <sheetView workbookViewId="0">
      <selection activeCell="D12" sqref="D12"/>
    </sheetView>
  </sheetViews>
  <sheetFormatPr defaultRowHeight="14.4" x14ac:dyDescent="0.3"/>
  <cols>
    <col min="1" max="1" width="40" customWidth="1"/>
    <col min="2" max="2" width="18" customWidth="1"/>
    <col min="3" max="3" width="12" customWidth="1"/>
    <col min="4" max="4" width="40" customWidth="1"/>
  </cols>
  <sheetData>
    <row r="1" spans="1:4" x14ac:dyDescent="0.3">
      <c r="A1" s="2" t="s">
        <v>220</v>
      </c>
    </row>
    <row r="3" spans="1:4" x14ac:dyDescent="0.3">
      <c r="A3" s="4" t="s">
        <v>221</v>
      </c>
      <c r="B3" s="4" t="s">
        <v>222</v>
      </c>
      <c r="C3" s="4" t="s">
        <v>223</v>
      </c>
      <c r="D3" s="4" t="s">
        <v>5</v>
      </c>
    </row>
    <row r="4" spans="1:4" x14ac:dyDescent="0.3">
      <c r="A4" s="5" t="s">
        <v>224</v>
      </c>
      <c r="B4" s="6">
        <v>800</v>
      </c>
      <c r="C4" s="5" t="s">
        <v>225</v>
      </c>
      <c r="D4" s="7" t="s">
        <v>226</v>
      </c>
    </row>
    <row r="5" spans="1:4" x14ac:dyDescent="0.3">
      <c r="A5" s="5" t="s">
        <v>227</v>
      </c>
      <c r="B5" s="6">
        <v>1200</v>
      </c>
      <c r="C5" s="5" t="s">
        <v>225</v>
      </c>
      <c r="D5" s="7" t="s">
        <v>228</v>
      </c>
    </row>
    <row r="6" spans="1:4" x14ac:dyDescent="0.3">
      <c r="A6" s="5" t="s">
        <v>229</v>
      </c>
      <c r="B6" s="6">
        <v>900</v>
      </c>
      <c r="C6" s="5" t="s">
        <v>225</v>
      </c>
      <c r="D6" s="7" t="s">
        <v>230</v>
      </c>
    </row>
    <row r="7" spans="1:4" x14ac:dyDescent="0.3">
      <c r="A7" s="5" t="s">
        <v>231</v>
      </c>
      <c r="B7" s="6">
        <v>600</v>
      </c>
      <c r="C7" s="5" t="s">
        <v>225</v>
      </c>
      <c r="D7" s="7" t="s">
        <v>232</v>
      </c>
    </row>
    <row r="8" spans="1:4" x14ac:dyDescent="0.3">
      <c r="A8" s="5" t="s">
        <v>233</v>
      </c>
      <c r="B8" s="6">
        <v>250</v>
      </c>
      <c r="C8" s="5" t="s">
        <v>225</v>
      </c>
      <c r="D8" s="7" t="s">
        <v>234</v>
      </c>
    </row>
    <row r="9" spans="1:4" x14ac:dyDescent="0.3">
      <c r="A9" s="5" t="s">
        <v>235</v>
      </c>
      <c r="B9" s="6">
        <v>350</v>
      </c>
      <c r="C9" s="5" t="s">
        <v>225</v>
      </c>
      <c r="D9" s="7" t="s">
        <v>236</v>
      </c>
    </row>
    <row r="10" spans="1:4" x14ac:dyDescent="0.3">
      <c r="A10" s="5" t="s">
        <v>237</v>
      </c>
      <c r="B10" s="6">
        <v>400</v>
      </c>
      <c r="C10" s="5" t="s">
        <v>225</v>
      </c>
      <c r="D10" s="7" t="s">
        <v>238</v>
      </c>
    </row>
    <row r="11" spans="1:4" x14ac:dyDescent="0.3">
      <c r="A11" s="5" t="s">
        <v>239</v>
      </c>
      <c r="B11" s="6">
        <v>280</v>
      </c>
      <c r="C11" s="5" t="s">
        <v>225</v>
      </c>
      <c r="D11" s="7" t="s">
        <v>240</v>
      </c>
    </row>
    <row r="12" spans="1:4" x14ac:dyDescent="0.3">
      <c r="A12" s="5" t="s">
        <v>241</v>
      </c>
      <c r="B12" s="6">
        <v>200</v>
      </c>
      <c r="C12" s="5" t="s">
        <v>225</v>
      </c>
      <c r="D12" s="7" t="s">
        <v>242</v>
      </c>
    </row>
    <row r="13" spans="1:4" x14ac:dyDescent="0.3">
      <c r="A13" s="5" t="s">
        <v>243</v>
      </c>
      <c r="B13" s="6">
        <v>300</v>
      </c>
      <c r="C13" s="5" t="s">
        <v>225</v>
      </c>
      <c r="D13" s="7" t="s">
        <v>244</v>
      </c>
    </row>
    <row r="15" spans="1:4" x14ac:dyDescent="0.3">
      <c r="A15" s="5" t="s">
        <v>245</v>
      </c>
      <c r="B15" s="10">
        <f>SUM(B4:B13)</f>
        <v>5280</v>
      </c>
    </row>
    <row r="17" spans="1:4" x14ac:dyDescent="0.3">
      <c r="A17" s="2" t="s">
        <v>246</v>
      </c>
    </row>
    <row r="18" spans="1:4" x14ac:dyDescent="0.3">
      <c r="A18" s="4" t="s">
        <v>115</v>
      </c>
      <c r="B18" s="4" t="s">
        <v>247</v>
      </c>
      <c r="C18" s="4" t="s">
        <v>248</v>
      </c>
      <c r="D18" s="4" t="s">
        <v>249</v>
      </c>
    </row>
    <row r="19" spans="1:4" x14ac:dyDescent="0.3">
      <c r="A19" s="5" t="s">
        <v>250</v>
      </c>
      <c r="B19" s="11">
        <f>capex_total/depreciation_years</f>
        <v>1056</v>
      </c>
      <c r="C19" s="11">
        <f>B19</f>
        <v>1056</v>
      </c>
      <c r="D19" s="11">
        <f t="shared" ref="D19:D24" si="0">capex_total-C19</f>
        <v>4224</v>
      </c>
    </row>
    <row r="20" spans="1:4" x14ac:dyDescent="0.3">
      <c r="A20" s="5" t="s">
        <v>251</v>
      </c>
      <c r="B20" s="11">
        <f>capex_total/depreciation_years</f>
        <v>1056</v>
      </c>
      <c r="C20" s="11">
        <f>C19+B20</f>
        <v>2112</v>
      </c>
      <c r="D20" s="11">
        <f t="shared" si="0"/>
        <v>3168</v>
      </c>
    </row>
    <row r="21" spans="1:4" x14ac:dyDescent="0.3">
      <c r="A21" s="5" t="s">
        <v>252</v>
      </c>
      <c r="B21" s="11">
        <f>capex_total/depreciation_years</f>
        <v>1056</v>
      </c>
      <c r="C21" s="11">
        <f>C20+B21</f>
        <v>3168</v>
      </c>
      <c r="D21" s="11">
        <f t="shared" si="0"/>
        <v>2112</v>
      </c>
    </row>
    <row r="22" spans="1:4" x14ac:dyDescent="0.3">
      <c r="A22" s="5" t="s">
        <v>253</v>
      </c>
      <c r="B22" s="11">
        <f>capex_total/depreciation_years</f>
        <v>1056</v>
      </c>
      <c r="C22" s="11">
        <f>C21+B22</f>
        <v>4224</v>
      </c>
      <c r="D22" s="11">
        <f t="shared" si="0"/>
        <v>1056</v>
      </c>
    </row>
    <row r="23" spans="1:4" x14ac:dyDescent="0.3">
      <c r="A23" s="5" t="s">
        <v>254</v>
      </c>
      <c r="B23" s="11">
        <f>capex_total/depreciation_years</f>
        <v>1056</v>
      </c>
      <c r="C23" s="11">
        <f>C22+B23</f>
        <v>5280</v>
      </c>
      <c r="D23" s="11">
        <f t="shared" si="0"/>
        <v>0</v>
      </c>
    </row>
    <row r="24" spans="1:4" x14ac:dyDescent="0.3">
      <c r="A24" s="5" t="s">
        <v>255</v>
      </c>
      <c r="B24" s="11">
        <f>0</f>
        <v>0</v>
      </c>
      <c r="C24" s="11">
        <f>C23+B24</f>
        <v>5280</v>
      </c>
      <c r="D24" s="11">
        <f t="shared" si="0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AR21"/>
  <sheetViews>
    <sheetView workbookViewId="0">
      <selection activeCell="C17" sqref="C17"/>
    </sheetView>
  </sheetViews>
  <sheetFormatPr defaultRowHeight="14.4" x14ac:dyDescent="0.3"/>
  <cols>
    <col min="1" max="1" width="30" customWidth="1"/>
    <col min="2" max="2" width="14" customWidth="1"/>
    <col min="3" max="44" width="11" customWidth="1"/>
  </cols>
  <sheetData>
    <row r="1" spans="1:44" x14ac:dyDescent="0.3">
      <c r="A1" s="2" t="s">
        <v>256</v>
      </c>
    </row>
    <row r="3" spans="1:44" x14ac:dyDescent="0.3">
      <c r="A3" s="4" t="s">
        <v>257</v>
      </c>
      <c r="B3" s="4" t="s">
        <v>258</v>
      </c>
      <c r="C3" s="4" t="s">
        <v>259</v>
      </c>
      <c r="D3" s="4" t="s">
        <v>260</v>
      </c>
      <c r="E3" s="4" t="s">
        <v>261</v>
      </c>
      <c r="F3" s="4" t="s">
        <v>262</v>
      </c>
      <c r="G3" s="4" t="s">
        <v>263</v>
      </c>
      <c r="H3" s="4" t="s">
        <v>264</v>
      </c>
      <c r="I3" s="4" t="s">
        <v>265</v>
      </c>
      <c r="J3" s="4" t="s">
        <v>266</v>
      </c>
      <c r="K3" s="4" t="s">
        <v>267</v>
      </c>
      <c r="L3" s="4" t="s">
        <v>268</v>
      </c>
      <c r="M3" s="4" t="s">
        <v>269</v>
      </c>
      <c r="N3" s="4" t="s">
        <v>270</v>
      </c>
      <c r="O3" s="4" t="s">
        <v>271</v>
      </c>
      <c r="P3" s="4" t="s">
        <v>272</v>
      </c>
      <c r="Q3" s="4" t="s">
        <v>273</v>
      </c>
      <c r="R3" s="4" t="s">
        <v>274</v>
      </c>
      <c r="S3" s="4" t="s">
        <v>275</v>
      </c>
      <c r="T3" s="4" t="s">
        <v>276</v>
      </c>
      <c r="U3" s="4" t="s">
        <v>277</v>
      </c>
      <c r="V3" s="4" t="s">
        <v>278</v>
      </c>
      <c r="W3" s="4" t="s">
        <v>279</v>
      </c>
      <c r="X3" s="4" t="s">
        <v>280</v>
      </c>
      <c r="Y3" s="4" t="s">
        <v>281</v>
      </c>
      <c r="Z3" s="4" t="s">
        <v>282</v>
      </c>
      <c r="AA3" s="4" t="s">
        <v>283</v>
      </c>
      <c r="AB3" s="4" t="s">
        <v>284</v>
      </c>
      <c r="AC3" s="4" t="s">
        <v>285</v>
      </c>
      <c r="AD3" s="4" t="s">
        <v>286</v>
      </c>
      <c r="AE3" s="4" t="s">
        <v>287</v>
      </c>
      <c r="AF3" s="4" t="s">
        <v>288</v>
      </c>
      <c r="AG3" s="4" t="s">
        <v>289</v>
      </c>
      <c r="AH3" s="4" t="s">
        <v>290</v>
      </c>
      <c r="AI3" s="4" t="s">
        <v>291</v>
      </c>
      <c r="AJ3" s="4" t="s">
        <v>292</v>
      </c>
      <c r="AK3" s="4" t="s">
        <v>293</v>
      </c>
      <c r="AL3" s="4" t="s">
        <v>294</v>
      </c>
      <c r="AM3" s="4" t="s">
        <v>295</v>
      </c>
      <c r="AN3" s="4" t="s">
        <v>296</v>
      </c>
      <c r="AO3" s="4" t="s">
        <v>297</v>
      </c>
      <c r="AP3" s="4" t="s">
        <v>298</v>
      </c>
      <c r="AQ3" s="4" t="s">
        <v>299</v>
      </c>
      <c r="AR3" s="4" t="s">
        <v>300</v>
      </c>
    </row>
    <row r="4" spans="1:44" x14ac:dyDescent="0.3">
      <c r="A4" s="2" t="s">
        <v>301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</row>
    <row r="5" spans="1:44" x14ac:dyDescent="0.3">
      <c r="A5" s="5" t="s">
        <v>302</v>
      </c>
      <c r="B5" s="13" t="s">
        <v>303</v>
      </c>
      <c r="C5" s="6">
        <v>2</v>
      </c>
      <c r="D5" s="6">
        <v>2</v>
      </c>
      <c r="E5" s="6">
        <v>2</v>
      </c>
      <c r="F5" s="6">
        <v>2</v>
      </c>
      <c r="G5" s="6">
        <v>2</v>
      </c>
      <c r="H5" s="6">
        <v>2</v>
      </c>
      <c r="I5" s="6">
        <v>2</v>
      </c>
      <c r="J5" s="6">
        <v>2</v>
      </c>
      <c r="K5" s="6">
        <v>2</v>
      </c>
      <c r="L5" s="6">
        <v>2</v>
      </c>
      <c r="M5" s="6">
        <v>2</v>
      </c>
      <c r="N5" s="6">
        <v>2</v>
      </c>
      <c r="O5" s="6">
        <v>2</v>
      </c>
      <c r="P5" s="6">
        <v>2</v>
      </c>
      <c r="Q5" s="6">
        <v>2</v>
      </c>
      <c r="R5" s="6">
        <v>2</v>
      </c>
      <c r="S5" s="6">
        <v>2</v>
      </c>
      <c r="T5" s="6">
        <v>2</v>
      </c>
      <c r="U5" s="6">
        <v>3</v>
      </c>
      <c r="V5" s="6">
        <v>3</v>
      </c>
      <c r="W5" s="6">
        <v>3</v>
      </c>
      <c r="X5" s="6">
        <v>3</v>
      </c>
      <c r="Y5" s="6">
        <v>3</v>
      </c>
      <c r="Z5" s="6">
        <v>3</v>
      </c>
      <c r="AA5" s="6">
        <v>3</v>
      </c>
      <c r="AB5" s="6">
        <v>3</v>
      </c>
      <c r="AC5" s="6">
        <v>3</v>
      </c>
      <c r="AD5" s="6">
        <v>3</v>
      </c>
      <c r="AE5" s="6">
        <v>3</v>
      </c>
      <c r="AF5" s="6">
        <v>3</v>
      </c>
      <c r="AG5" s="6">
        <v>3</v>
      </c>
      <c r="AH5" s="6">
        <v>3</v>
      </c>
      <c r="AI5" s="6">
        <v>3</v>
      </c>
      <c r="AJ5" s="6">
        <v>3</v>
      </c>
      <c r="AK5" s="6">
        <v>4</v>
      </c>
      <c r="AL5" s="6">
        <v>4</v>
      </c>
      <c r="AM5" s="6">
        <v>4</v>
      </c>
      <c r="AN5" s="6">
        <v>4</v>
      </c>
      <c r="AO5" s="6">
        <v>4</v>
      </c>
      <c r="AP5" s="6">
        <v>4</v>
      </c>
      <c r="AQ5" s="6">
        <v>4</v>
      </c>
      <c r="AR5" s="6">
        <v>4</v>
      </c>
    </row>
    <row r="6" spans="1:44" x14ac:dyDescent="0.3">
      <c r="A6" s="5" t="s">
        <v>304</v>
      </c>
      <c r="B6" s="13" t="s">
        <v>303</v>
      </c>
      <c r="C6" s="6">
        <v>12</v>
      </c>
      <c r="D6" s="6">
        <v>12</v>
      </c>
      <c r="E6" s="6">
        <v>12</v>
      </c>
      <c r="F6" s="6">
        <v>12</v>
      </c>
      <c r="G6" s="6">
        <v>12</v>
      </c>
      <c r="H6" s="6">
        <v>12</v>
      </c>
      <c r="I6" s="6">
        <v>12</v>
      </c>
      <c r="J6" s="6">
        <v>12</v>
      </c>
      <c r="K6" s="6">
        <v>12</v>
      </c>
      <c r="L6" s="6">
        <v>12</v>
      </c>
      <c r="M6" s="6">
        <v>12</v>
      </c>
      <c r="N6" s="6">
        <v>12</v>
      </c>
      <c r="O6" s="6">
        <v>12</v>
      </c>
      <c r="P6" s="6">
        <v>12</v>
      </c>
      <c r="Q6" s="6">
        <v>12</v>
      </c>
      <c r="R6" s="6">
        <v>12</v>
      </c>
      <c r="S6" s="6">
        <v>12</v>
      </c>
      <c r="T6" s="6">
        <v>12</v>
      </c>
      <c r="U6" s="6">
        <v>14</v>
      </c>
      <c r="V6" s="6">
        <v>14</v>
      </c>
      <c r="W6" s="6">
        <v>14</v>
      </c>
      <c r="X6" s="6">
        <v>14</v>
      </c>
      <c r="Y6" s="6">
        <v>14</v>
      </c>
      <c r="Z6" s="6">
        <v>14</v>
      </c>
      <c r="AA6" s="6">
        <v>14</v>
      </c>
      <c r="AB6" s="6">
        <v>14</v>
      </c>
      <c r="AC6" s="6">
        <v>14</v>
      </c>
      <c r="AD6" s="6">
        <v>14</v>
      </c>
      <c r="AE6" s="6">
        <v>14</v>
      </c>
      <c r="AF6" s="6">
        <v>14</v>
      </c>
      <c r="AG6" s="6">
        <v>16</v>
      </c>
      <c r="AH6" s="6">
        <v>16</v>
      </c>
      <c r="AI6" s="6">
        <v>16</v>
      </c>
      <c r="AJ6" s="6">
        <v>16</v>
      </c>
      <c r="AK6" s="6">
        <v>18</v>
      </c>
      <c r="AL6" s="6">
        <v>18</v>
      </c>
      <c r="AM6" s="6">
        <v>18</v>
      </c>
      <c r="AN6" s="6">
        <v>18</v>
      </c>
      <c r="AO6" s="6">
        <v>20</v>
      </c>
      <c r="AP6" s="6">
        <v>20</v>
      </c>
      <c r="AQ6" s="6">
        <v>20</v>
      </c>
      <c r="AR6" s="6">
        <v>20</v>
      </c>
    </row>
    <row r="7" spans="1:44" x14ac:dyDescent="0.3">
      <c r="A7" s="5" t="s">
        <v>305</v>
      </c>
      <c r="B7" s="13" t="s">
        <v>303</v>
      </c>
      <c r="C7" s="6">
        <v>2</v>
      </c>
      <c r="D7" s="6">
        <v>2</v>
      </c>
      <c r="E7" s="6">
        <v>2</v>
      </c>
      <c r="F7" s="6">
        <v>2</v>
      </c>
      <c r="G7" s="6">
        <v>2</v>
      </c>
      <c r="H7" s="6">
        <v>2</v>
      </c>
      <c r="I7" s="6">
        <v>6</v>
      </c>
      <c r="J7" s="6">
        <v>6</v>
      </c>
      <c r="K7" s="6">
        <v>6</v>
      </c>
      <c r="L7" s="6">
        <v>6</v>
      </c>
      <c r="M7" s="6">
        <v>6</v>
      </c>
      <c r="N7" s="6">
        <v>6</v>
      </c>
      <c r="O7" s="6">
        <v>6</v>
      </c>
      <c r="P7" s="6">
        <v>6</v>
      </c>
      <c r="Q7" s="6">
        <v>6</v>
      </c>
      <c r="R7" s="6">
        <v>6</v>
      </c>
      <c r="S7" s="6">
        <v>6</v>
      </c>
      <c r="T7" s="6">
        <v>6</v>
      </c>
      <c r="U7" s="6">
        <v>10</v>
      </c>
      <c r="V7" s="6">
        <v>10</v>
      </c>
      <c r="W7" s="6">
        <v>10</v>
      </c>
      <c r="X7" s="6">
        <v>10</v>
      </c>
      <c r="Y7" s="6">
        <v>10</v>
      </c>
      <c r="Z7" s="6">
        <v>10</v>
      </c>
      <c r="AA7" s="6">
        <v>10</v>
      </c>
      <c r="AB7" s="6">
        <v>10</v>
      </c>
      <c r="AC7" s="6">
        <v>10</v>
      </c>
      <c r="AD7" s="6">
        <v>10</v>
      </c>
      <c r="AE7" s="6">
        <v>10</v>
      </c>
      <c r="AF7" s="6">
        <v>10</v>
      </c>
      <c r="AG7" s="6">
        <v>18</v>
      </c>
      <c r="AH7" s="6">
        <v>18</v>
      </c>
      <c r="AI7" s="6">
        <v>18</v>
      </c>
      <c r="AJ7" s="6">
        <v>18</v>
      </c>
      <c r="AK7" s="6">
        <v>28</v>
      </c>
      <c r="AL7" s="6">
        <v>28</v>
      </c>
      <c r="AM7" s="6">
        <v>28</v>
      </c>
      <c r="AN7" s="6">
        <v>28</v>
      </c>
      <c r="AO7" s="6">
        <v>35</v>
      </c>
      <c r="AP7" s="6">
        <v>35</v>
      </c>
      <c r="AQ7" s="6">
        <v>35</v>
      </c>
      <c r="AR7" s="6">
        <v>35</v>
      </c>
    </row>
    <row r="8" spans="1:44" x14ac:dyDescent="0.3">
      <c r="A8" s="5" t="s">
        <v>306</v>
      </c>
      <c r="B8" s="13" t="s">
        <v>303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2</v>
      </c>
      <c r="J8" s="6">
        <v>2</v>
      </c>
      <c r="K8" s="6">
        <v>2</v>
      </c>
      <c r="L8" s="6">
        <v>2</v>
      </c>
      <c r="M8" s="6">
        <v>2</v>
      </c>
      <c r="N8" s="6">
        <v>2</v>
      </c>
      <c r="O8" s="6">
        <v>2</v>
      </c>
      <c r="P8" s="6">
        <v>2</v>
      </c>
      <c r="Q8" s="6">
        <v>2</v>
      </c>
      <c r="R8" s="6">
        <v>2</v>
      </c>
      <c r="S8" s="6">
        <v>2</v>
      </c>
      <c r="T8" s="6">
        <v>2</v>
      </c>
      <c r="U8" s="6">
        <v>3</v>
      </c>
      <c r="V8" s="6">
        <v>3</v>
      </c>
      <c r="W8" s="6">
        <v>3</v>
      </c>
      <c r="X8" s="6">
        <v>3</v>
      </c>
      <c r="Y8" s="6">
        <v>3</v>
      </c>
      <c r="Z8" s="6">
        <v>3</v>
      </c>
      <c r="AA8" s="6">
        <v>3</v>
      </c>
      <c r="AB8" s="6">
        <v>3</v>
      </c>
      <c r="AC8" s="6">
        <v>3</v>
      </c>
      <c r="AD8" s="6">
        <v>3</v>
      </c>
      <c r="AE8" s="6">
        <v>3</v>
      </c>
      <c r="AF8" s="6">
        <v>3</v>
      </c>
      <c r="AG8" s="6">
        <v>4</v>
      </c>
      <c r="AH8" s="6">
        <v>4</v>
      </c>
      <c r="AI8" s="6">
        <v>4</v>
      </c>
      <c r="AJ8" s="6">
        <v>4</v>
      </c>
      <c r="AK8" s="6">
        <v>5</v>
      </c>
      <c r="AL8" s="6">
        <v>5</v>
      </c>
      <c r="AM8" s="6">
        <v>5</v>
      </c>
      <c r="AN8" s="6">
        <v>5</v>
      </c>
      <c r="AO8" s="6">
        <v>6</v>
      </c>
      <c r="AP8" s="6">
        <v>6</v>
      </c>
      <c r="AQ8" s="6">
        <v>6</v>
      </c>
      <c r="AR8" s="6">
        <v>6</v>
      </c>
    </row>
    <row r="9" spans="1:44" x14ac:dyDescent="0.3">
      <c r="A9" s="5" t="s">
        <v>307</v>
      </c>
      <c r="B9" s="14" t="s">
        <v>303</v>
      </c>
      <c r="C9" s="10">
        <f t="shared" ref="C9:AR9" si="0">C5+C6+C7+C8</f>
        <v>16</v>
      </c>
      <c r="D9" s="10">
        <f t="shared" si="0"/>
        <v>16</v>
      </c>
      <c r="E9" s="10">
        <f t="shared" si="0"/>
        <v>16</v>
      </c>
      <c r="F9" s="10">
        <f t="shared" si="0"/>
        <v>16</v>
      </c>
      <c r="G9" s="10">
        <f t="shared" si="0"/>
        <v>16</v>
      </c>
      <c r="H9" s="10">
        <f t="shared" si="0"/>
        <v>16</v>
      </c>
      <c r="I9" s="10">
        <f t="shared" si="0"/>
        <v>22</v>
      </c>
      <c r="J9" s="10">
        <f t="shared" si="0"/>
        <v>22</v>
      </c>
      <c r="K9" s="10">
        <f t="shared" si="0"/>
        <v>22</v>
      </c>
      <c r="L9" s="10">
        <f t="shared" si="0"/>
        <v>22</v>
      </c>
      <c r="M9" s="10">
        <f t="shared" si="0"/>
        <v>22</v>
      </c>
      <c r="N9" s="10">
        <f t="shared" si="0"/>
        <v>22</v>
      </c>
      <c r="O9" s="10">
        <f t="shared" si="0"/>
        <v>22</v>
      </c>
      <c r="P9" s="10">
        <f t="shared" si="0"/>
        <v>22</v>
      </c>
      <c r="Q9" s="10">
        <f t="shared" si="0"/>
        <v>22</v>
      </c>
      <c r="R9" s="10">
        <f t="shared" si="0"/>
        <v>22</v>
      </c>
      <c r="S9" s="10">
        <f t="shared" si="0"/>
        <v>22</v>
      </c>
      <c r="T9" s="10">
        <f t="shared" si="0"/>
        <v>22</v>
      </c>
      <c r="U9" s="10">
        <f t="shared" si="0"/>
        <v>30</v>
      </c>
      <c r="V9" s="10">
        <f t="shared" si="0"/>
        <v>30</v>
      </c>
      <c r="W9" s="10">
        <f t="shared" si="0"/>
        <v>30</v>
      </c>
      <c r="X9" s="10">
        <f t="shared" si="0"/>
        <v>30</v>
      </c>
      <c r="Y9" s="10">
        <f t="shared" si="0"/>
        <v>30</v>
      </c>
      <c r="Z9" s="10">
        <f t="shared" si="0"/>
        <v>30</v>
      </c>
      <c r="AA9" s="10">
        <f t="shared" si="0"/>
        <v>30</v>
      </c>
      <c r="AB9" s="10">
        <f t="shared" si="0"/>
        <v>30</v>
      </c>
      <c r="AC9" s="10">
        <f t="shared" si="0"/>
        <v>30</v>
      </c>
      <c r="AD9" s="10">
        <f t="shared" si="0"/>
        <v>30</v>
      </c>
      <c r="AE9" s="10">
        <f t="shared" si="0"/>
        <v>30</v>
      </c>
      <c r="AF9" s="10">
        <f t="shared" si="0"/>
        <v>30</v>
      </c>
      <c r="AG9" s="10">
        <f t="shared" si="0"/>
        <v>41</v>
      </c>
      <c r="AH9" s="10">
        <f t="shared" si="0"/>
        <v>41</v>
      </c>
      <c r="AI9" s="10">
        <f t="shared" si="0"/>
        <v>41</v>
      </c>
      <c r="AJ9" s="10">
        <f t="shared" si="0"/>
        <v>41</v>
      </c>
      <c r="AK9" s="10">
        <f t="shared" si="0"/>
        <v>55</v>
      </c>
      <c r="AL9" s="10">
        <f t="shared" si="0"/>
        <v>55</v>
      </c>
      <c r="AM9" s="10">
        <f t="shared" si="0"/>
        <v>55</v>
      </c>
      <c r="AN9" s="10">
        <f t="shared" si="0"/>
        <v>55</v>
      </c>
      <c r="AO9" s="10">
        <f t="shared" si="0"/>
        <v>65</v>
      </c>
      <c r="AP9" s="10">
        <f t="shared" si="0"/>
        <v>65</v>
      </c>
      <c r="AQ9" s="10">
        <f t="shared" si="0"/>
        <v>65</v>
      </c>
      <c r="AR9" s="10">
        <f t="shared" si="0"/>
        <v>65</v>
      </c>
    </row>
    <row r="11" spans="1:44" x14ac:dyDescent="0.3">
      <c r="A11" s="2" t="s">
        <v>308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</row>
    <row r="12" spans="1:44" x14ac:dyDescent="0.3">
      <c r="A12" s="5" t="s">
        <v>309</v>
      </c>
      <c r="B12" s="13" t="s">
        <v>303</v>
      </c>
      <c r="C12" s="11">
        <f>C9</f>
        <v>16</v>
      </c>
      <c r="D12" s="11">
        <f t="shared" ref="D12:AR12" si="1">MAX(0,D9-C9)</f>
        <v>0</v>
      </c>
      <c r="E12" s="11">
        <f t="shared" si="1"/>
        <v>0</v>
      </c>
      <c r="F12" s="11">
        <f t="shared" si="1"/>
        <v>0</v>
      </c>
      <c r="G12" s="11">
        <f t="shared" si="1"/>
        <v>0</v>
      </c>
      <c r="H12" s="11">
        <f t="shared" si="1"/>
        <v>0</v>
      </c>
      <c r="I12" s="11">
        <f t="shared" si="1"/>
        <v>6</v>
      </c>
      <c r="J12" s="11">
        <f t="shared" si="1"/>
        <v>0</v>
      </c>
      <c r="K12" s="11">
        <f t="shared" si="1"/>
        <v>0</v>
      </c>
      <c r="L12" s="11">
        <f t="shared" si="1"/>
        <v>0</v>
      </c>
      <c r="M12" s="11">
        <f t="shared" si="1"/>
        <v>0</v>
      </c>
      <c r="N12" s="11">
        <f t="shared" si="1"/>
        <v>0</v>
      </c>
      <c r="O12" s="11">
        <f t="shared" si="1"/>
        <v>0</v>
      </c>
      <c r="P12" s="11">
        <f t="shared" si="1"/>
        <v>0</v>
      </c>
      <c r="Q12" s="11">
        <f t="shared" si="1"/>
        <v>0</v>
      </c>
      <c r="R12" s="11">
        <f t="shared" si="1"/>
        <v>0</v>
      </c>
      <c r="S12" s="11">
        <f t="shared" si="1"/>
        <v>0</v>
      </c>
      <c r="T12" s="11">
        <f t="shared" si="1"/>
        <v>0</v>
      </c>
      <c r="U12" s="11">
        <f t="shared" si="1"/>
        <v>8</v>
      </c>
      <c r="V12" s="11">
        <f t="shared" si="1"/>
        <v>0</v>
      </c>
      <c r="W12" s="11">
        <f t="shared" si="1"/>
        <v>0</v>
      </c>
      <c r="X12" s="11">
        <f t="shared" si="1"/>
        <v>0</v>
      </c>
      <c r="Y12" s="11">
        <f t="shared" si="1"/>
        <v>0</v>
      </c>
      <c r="Z12" s="11">
        <f t="shared" si="1"/>
        <v>0</v>
      </c>
      <c r="AA12" s="11">
        <f t="shared" si="1"/>
        <v>0</v>
      </c>
      <c r="AB12" s="11">
        <f t="shared" si="1"/>
        <v>0</v>
      </c>
      <c r="AC12" s="11">
        <f t="shared" si="1"/>
        <v>0</v>
      </c>
      <c r="AD12" s="11">
        <f t="shared" si="1"/>
        <v>0</v>
      </c>
      <c r="AE12" s="11">
        <f t="shared" si="1"/>
        <v>0</v>
      </c>
      <c r="AF12" s="11">
        <f t="shared" si="1"/>
        <v>0</v>
      </c>
      <c r="AG12" s="11">
        <f t="shared" si="1"/>
        <v>11</v>
      </c>
      <c r="AH12" s="11">
        <f t="shared" si="1"/>
        <v>0</v>
      </c>
      <c r="AI12" s="11">
        <f t="shared" si="1"/>
        <v>0</v>
      </c>
      <c r="AJ12" s="11">
        <f t="shared" si="1"/>
        <v>0</v>
      </c>
      <c r="AK12" s="11">
        <f t="shared" si="1"/>
        <v>14</v>
      </c>
      <c r="AL12" s="11">
        <f t="shared" si="1"/>
        <v>0</v>
      </c>
      <c r="AM12" s="11">
        <f t="shared" si="1"/>
        <v>0</v>
      </c>
      <c r="AN12" s="11">
        <f t="shared" si="1"/>
        <v>0</v>
      </c>
      <c r="AO12" s="11">
        <f t="shared" si="1"/>
        <v>10</v>
      </c>
      <c r="AP12" s="11">
        <f t="shared" si="1"/>
        <v>0</v>
      </c>
      <c r="AQ12" s="11">
        <f t="shared" si="1"/>
        <v>0</v>
      </c>
      <c r="AR12" s="11">
        <f t="shared" si="1"/>
        <v>0</v>
      </c>
    </row>
    <row r="14" spans="1:44" x14ac:dyDescent="0.3">
      <c r="A14" s="2" t="s">
        <v>310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</row>
    <row r="15" spans="1:44" x14ac:dyDescent="0.3">
      <c r="A15" s="5" t="s">
        <v>311</v>
      </c>
      <c r="B15" s="13" t="s">
        <v>144</v>
      </c>
      <c r="C15" s="11">
        <f t="shared" ref="C15:H15" si="2">C5*salary_mgmt*1*(1+salary_escalation)^0*(1+bhxh_rate)</f>
        <v>109.35000000000001</v>
      </c>
      <c r="D15" s="11">
        <f t="shared" si="2"/>
        <v>109.35000000000001</v>
      </c>
      <c r="E15" s="11">
        <f t="shared" si="2"/>
        <v>109.35000000000001</v>
      </c>
      <c r="F15" s="11">
        <f t="shared" si="2"/>
        <v>109.35000000000001</v>
      </c>
      <c r="G15" s="11">
        <f t="shared" si="2"/>
        <v>109.35000000000001</v>
      </c>
      <c r="H15" s="11">
        <f t="shared" si="2"/>
        <v>109.35000000000001</v>
      </c>
      <c r="I15" s="11">
        <f t="shared" ref="I15:T15" si="3">I5*salary_mgmt*1*(1+salary_escalation)^1*(1+bhxh_rate)</f>
        <v>120.28500000000003</v>
      </c>
      <c r="J15" s="11">
        <f t="shared" si="3"/>
        <v>120.28500000000003</v>
      </c>
      <c r="K15" s="11">
        <f t="shared" si="3"/>
        <v>120.28500000000003</v>
      </c>
      <c r="L15" s="11">
        <f t="shared" si="3"/>
        <v>120.28500000000003</v>
      </c>
      <c r="M15" s="11">
        <f t="shared" si="3"/>
        <v>120.28500000000003</v>
      </c>
      <c r="N15" s="11">
        <f t="shared" si="3"/>
        <v>120.28500000000003</v>
      </c>
      <c r="O15" s="11">
        <f t="shared" si="3"/>
        <v>120.28500000000003</v>
      </c>
      <c r="P15" s="11">
        <f t="shared" si="3"/>
        <v>120.28500000000003</v>
      </c>
      <c r="Q15" s="11">
        <f t="shared" si="3"/>
        <v>120.28500000000003</v>
      </c>
      <c r="R15" s="11">
        <f t="shared" si="3"/>
        <v>120.28500000000003</v>
      </c>
      <c r="S15" s="11">
        <f t="shared" si="3"/>
        <v>120.28500000000003</v>
      </c>
      <c r="T15" s="11">
        <f t="shared" si="3"/>
        <v>120.28500000000003</v>
      </c>
      <c r="U15" s="11">
        <f t="shared" ref="U15:AF15" si="4">U5*salary_mgmt*1*(1+salary_escalation)^2*(1+bhxh_rate)</f>
        <v>198.47025000000005</v>
      </c>
      <c r="V15" s="11">
        <f t="shared" si="4"/>
        <v>198.47025000000005</v>
      </c>
      <c r="W15" s="11">
        <f t="shared" si="4"/>
        <v>198.47025000000005</v>
      </c>
      <c r="X15" s="11">
        <f t="shared" si="4"/>
        <v>198.47025000000005</v>
      </c>
      <c r="Y15" s="11">
        <f t="shared" si="4"/>
        <v>198.47025000000005</v>
      </c>
      <c r="Z15" s="11">
        <f t="shared" si="4"/>
        <v>198.47025000000005</v>
      </c>
      <c r="AA15" s="11">
        <f t="shared" si="4"/>
        <v>198.47025000000005</v>
      </c>
      <c r="AB15" s="11">
        <f t="shared" si="4"/>
        <v>198.47025000000005</v>
      </c>
      <c r="AC15" s="11">
        <f t="shared" si="4"/>
        <v>198.47025000000005</v>
      </c>
      <c r="AD15" s="11">
        <f t="shared" si="4"/>
        <v>198.47025000000005</v>
      </c>
      <c r="AE15" s="11">
        <f t="shared" si="4"/>
        <v>198.47025000000005</v>
      </c>
      <c r="AF15" s="11">
        <f t="shared" si="4"/>
        <v>198.47025000000005</v>
      </c>
      <c r="AG15" s="11">
        <f>AG5*salary_mgmt*3*(1+salary_escalation)^3*(1+bhxh_rate)</f>
        <v>654.95182500000021</v>
      </c>
      <c r="AH15" s="11">
        <f>AH5*salary_mgmt*3*(1+salary_escalation)^3*(1+bhxh_rate)</f>
        <v>654.95182500000021</v>
      </c>
      <c r="AI15" s="11">
        <f>AI5*salary_mgmt*3*(1+salary_escalation)^3*(1+bhxh_rate)</f>
        <v>654.95182500000021</v>
      </c>
      <c r="AJ15" s="11">
        <f>AJ5*salary_mgmt*3*(1+salary_escalation)^3*(1+bhxh_rate)</f>
        <v>654.95182500000021</v>
      </c>
      <c r="AK15" s="11">
        <f>AK5*salary_mgmt*3*(1+salary_escalation)^4*(1+bhxh_rate)</f>
        <v>960.59601000000043</v>
      </c>
      <c r="AL15" s="11">
        <f>AL5*salary_mgmt*3*(1+salary_escalation)^4*(1+bhxh_rate)</f>
        <v>960.59601000000043</v>
      </c>
      <c r="AM15" s="11">
        <f>AM5*salary_mgmt*3*(1+salary_escalation)^4*(1+bhxh_rate)</f>
        <v>960.59601000000043</v>
      </c>
      <c r="AN15" s="11">
        <f>AN5*salary_mgmt*3*(1+salary_escalation)^4*(1+bhxh_rate)</f>
        <v>960.59601000000043</v>
      </c>
      <c r="AO15" s="11">
        <f>AO5*salary_mgmt*3*(1+salary_escalation)^5*(1+bhxh_rate)</f>
        <v>1056.6556110000004</v>
      </c>
      <c r="AP15" s="11">
        <f>AP5*salary_mgmt*3*(1+salary_escalation)^5*(1+bhxh_rate)</f>
        <v>1056.6556110000004</v>
      </c>
      <c r="AQ15" s="11">
        <f>AQ5*salary_mgmt*3*(1+salary_escalation)^5*(1+bhxh_rate)</f>
        <v>1056.6556110000004</v>
      </c>
      <c r="AR15" s="11">
        <f>AR5*salary_mgmt*3*(1+salary_escalation)^5*(1+bhxh_rate)</f>
        <v>1056.6556110000004</v>
      </c>
    </row>
    <row r="16" spans="1:44" x14ac:dyDescent="0.3">
      <c r="A16" s="5" t="s">
        <v>312</v>
      </c>
      <c r="B16" s="13" t="s">
        <v>144</v>
      </c>
      <c r="C16" s="11">
        <f t="shared" ref="C16:H16" si="5">C6*salary_dev*1*(1+salary_escalation)^0*(1+bhxh_rate)</f>
        <v>510.3</v>
      </c>
      <c r="D16" s="11">
        <f t="shared" si="5"/>
        <v>510.3</v>
      </c>
      <c r="E16" s="11">
        <f t="shared" si="5"/>
        <v>510.3</v>
      </c>
      <c r="F16" s="11">
        <f t="shared" si="5"/>
        <v>510.3</v>
      </c>
      <c r="G16" s="11">
        <f t="shared" si="5"/>
        <v>510.3</v>
      </c>
      <c r="H16" s="11">
        <f t="shared" si="5"/>
        <v>510.3</v>
      </c>
      <c r="I16" s="11">
        <f t="shared" ref="I16:T16" si="6">I6*salary_dev*1*(1+salary_escalation)^1*(1+bhxh_rate)</f>
        <v>561.33000000000015</v>
      </c>
      <c r="J16" s="11">
        <f t="shared" si="6"/>
        <v>561.33000000000015</v>
      </c>
      <c r="K16" s="11">
        <f t="shared" si="6"/>
        <v>561.33000000000015</v>
      </c>
      <c r="L16" s="11">
        <f t="shared" si="6"/>
        <v>561.33000000000015</v>
      </c>
      <c r="M16" s="11">
        <f t="shared" si="6"/>
        <v>561.33000000000015</v>
      </c>
      <c r="N16" s="11">
        <f t="shared" si="6"/>
        <v>561.33000000000015</v>
      </c>
      <c r="O16" s="11">
        <f t="shared" si="6"/>
        <v>561.33000000000015</v>
      </c>
      <c r="P16" s="11">
        <f t="shared" si="6"/>
        <v>561.33000000000015</v>
      </c>
      <c r="Q16" s="11">
        <f t="shared" si="6"/>
        <v>561.33000000000015</v>
      </c>
      <c r="R16" s="11">
        <f t="shared" si="6"/>
        <v>561.33000000000015</v>
      </c>
      <c r="S16" s="11">
        <f t="shared" si="6"/>
        <v>561.33000000000015</v>
      </c>
      <c r="T16" s="11">
        <f t="shared" si="6"/>
        <v>561.33000000000015</v>
      </c>
      <c r="U16" s="11">
        <f t="shared" ref="U16:AF16" si="7">U6*salary_dev*1*(1+salary_escalation)^2*(1+bhxh_rate)</f>
        <v>720.37350000000015</v>
      </c>
      <c r="V16" s="11">
        <f t="shared" si="7"/>
        <v>720.37350000000015</v>
      </c>
      <c r="W16" s="11">
        <f t="shared" si="7"/>
        <v>720.37350000000015</v>
      </c>
      <c r="X16" s="11">
        <f t="shared" si="7"/>
        <v>720.37350000000015</v>
      </c>
      <c r="Y16" s="11">
        <f t="shared" si="7"/>
        <v>720.37350000000015</v>
      </c>
      <c r="Z16" s="11">
        <f t="shared" si="7"/>
        <v>720.37350000000015</v>
      </c>
      <c r="AA16" s="11">
        <f t="shared" si="7"/>
        <v>720.37350000000015</v>
      </c>
      <c r="AB16" s="11">
        <f t="shared" si="7"/>
        <v>720.37350000000015</v>
      </c>
      <c r="AC16" s="11">
        <f t="shared" si="7"/>
        <v>720.37350000000015</v>
      </c>
      <c r="AD16" s="11">
        <f t="shared" si="7"/>
        <v>720.37350000000015</v>
      </c>
      <c r="AE16" s="11">
        <f t="shared" si="7"/>
        <v>720.37350000000015</v>
      </c>
      <c r="AF16" s="11">
        <f t="shared" si="7"/>
        <v>720.37350000000015</v>
      </c>
      <c r="AG16" s="11">
        <f>AG6*salary_dev*3*(1+salary_escalation)^3*(1+bhxh_rate)</f>
        <v>2716.8372000000013</v>
      </c>
      <c r="AH16" s="11">
        <f>AH6*salary_dev*3*(1+salary_escalation)^3*(1+bhxh_rate)</f>
        <v>2716.8372000000013</v>
      </c>
      <c r="AI16" s="11">
        <f>AI6*salary_dev*3*(1+salary_escalation)^3*(1+bhxh_rate)</f>
        <v>2716.8372000000013</v>
      </c>
      <c r="AJ16" s="11">
        <f>AJ6*salary_dev*3*(1+salary_escalation)^3*(1+bhxh_rate)</f>
        <v>2716.8372000000013</v>
      </c>
      <c r="AK16" s="11">
        <f>AK6*salary_dev*3*(1+salary_escalation)^4*(1+bhxh_rate)</f>
        <v>3362.0860350000012</v>
      </c>
      <c r="AL16" s="11">
        <f>AL6*salary_dev*3*(1+salary_escalation)^4*(1+bhxh_rate)</f>
        <v>3362.0860350000012</v>
      </c>
      <c r="AM16" s="11">
        <f>AM6*salary_dev*3*(1+salary_escalation)^4*(1+bhxh_rate)</f>
        <v>3362.0860350000012</v>
      </c>
      <c r="AN16" s="11">
        <f>AN6*salary_dev*3*(1+salary_escalation)^4*(1+bhxh_rate)</f>
        <v>3362.0860350000012</v>
      </c>
      <c r="AO16" s="11">
        <f>AO6*salary_dev*3*(1+salary_escalation)^5*(1+bhxh_rate)</f>
        <v>4109.2162650000018</v>
      </c>
      <c r="AP16" s="11">
        <f>AP6*salary_dev*3*(1+salary_escalation)^5*(1+bhxh_rate)</f>
        <v>4109.2162650000018</v>
      </c>
      <c r="AQ16" s="11">
        <f>AQ6*salary_dev*3*(1+salary_escalation)^5*(1+bhxh_rate)</f>
        <v>4109.2162650000018</v>
      </c>
      <c r="AR16" s="11">
        <f>AR6*salary_dev*3*(1+salary_escalation)^5*(1+bhxh_rate)</f>
        <v>4109.2162650000018</v>
      </c>
    </row>
    <row r="17" spans="1:44" x14ac:dyDescent="0.3">
      <c r="A17" s="5" t="s">
        <v>313</v>
      </c>
      <c r="B17" s="13" t="s">
        <v>144</v>
      </c>
      <c r="C17" s="11">
        <f t="shared" ref="C17:H17" si="8">C7*salary_bizops*1*(1+salary_escalation)^0*(1+bhxh_rate)</f>
        <v>48.6</v>
      </c>
      <c r="D17" s="11">
        <f t="shared" si="8"/>
        <v>48.6</v>
      </c>
      <c r="E17" s="11">
        <f t="shared" si="8"/>
        <v>48.6</v>
      </c>
      <c r="F17" s="11">
        <f t="shared" si="8"/>
        <v>48.6</v>
      </c>
      <c r="G17" s="11">
        <f t="shared" si="8"/>
        <v>48.6</v>
      </c>
      <c r="H17" s="11">
        <f t="shared" si="8"/>
        <v>48.6</v>
      </c>
      <c r="I17" s="11">
        <f t="shared" ref="I17:T17" si="9">I7*salary_bizops*1*(1+salary_escalation)^1*(1+bhxh_rate)</f>
        <v>160.38000000000002</v>
      </c>
      <c r="J17" s="11">
        <f t="shared" si="9"/>
        <v>160.38000000000002</v>
      </c>
      <c r="K17" s="11">
        <f t="shared" si="9"/>
        <v>160.38000000000002</v>
      </c>
      <c r="L17" s="11">
        <f t="shared" si="9"/>
        <v>160.38000000000002</v>
      </c>
      <c r="M17" s="11">
        <f t="shared" si="9"/>
        <v>160.38000000000002</v>
      </c>
      <c r="N17" s="11">
        <f t="shared" si="9"/>
        <v>160.38000000000002</v>
      </c>
      <c r="O17" s="11">
        <f t="shared" si="9"/>
        <v>160.38000000000002</v>
      </c>
      <c r="P17" s="11">
        <f t="shared" si="9"/>
        <v>160.38000000000002</v>
      </c>
      <c r="Q17" s="11">
        <f t="shared" si="9"/>
        <v>160.38000000000002</v>
      </c>
      <c r="R17" s="11">
        <f t="shared" si="9"/>
        <v>160.38000000000002</v>
      </c>
      <c r="S17" s="11">
        <f t="shared" si="9"/>
        <v>160.38000000000002</v>
      </c>
      <c r="T17" s="11">
        <f t="shared" si="9"/>
        <v>160.38000000000002</v>
      </c>
      <c r="U17" s="11">
        <f t="shared" ref="U17:AF17" si="10">U7*salary_bizops*1*(1+salary_escalation)^2*(1+bhxh_rate)</f>
        <v>294.03000000000003</v>
      </c>
      <c r="V17" s="11">
        <f t="shared" si="10"/>
        <v>294.03000000000003</v>
      </c>
      <c r="W17" s="11">
        <f t="shared" si="10"/>
        <v>294.03000000000003</v>
      </c>
      <c r="X17" s="11">
        <f t="shared" si="10"/>
        <v>294.03000000000003</v>
      </c>
      <c r="Y17" s="11">
        <f t="shared" si="10"/>
        <v>294.03000000000003</v>
      </c>
      <c r="Z17" s="11">
        <f t="shared" si="10"/>
        <v>294.03000000000003</v>
      </c>
      <c r="AA17" s="11">
        <f t="shared" si="10"/>
        <v>294.03000000000003</v>
      </c>
      <c r="AB17" s="11">
        <f t="shared" si="10"/>
        <v>294.03000000000003</v>
      </c>
      <c r="AC17" s="11">
        <f t="shared" si="10"/>
        <v>294.03000000000003</v>
      </c>
      <c r="AD17" s="11">
        <f t="shared" si="10"/>
        <v>294.03000000000003</v>
      </c>
      <c r="AE17" s="11">
        <f t="shared" si="10"/>
        <v>294.03000000000003</v>
      </c>
      <c r="AF17" s="11">
        <f t="shared" si="10"/>
        <v>294.03000000000003</v>
      </c>
      <c r="AG17" s="11">
        <f>AG7*salary_bizops*3*(1+salary_escalation)^3*(1+bhxh_rate)</f>
        <v>1746.5382000000006</v>
      </c>
      <c r="AH17" s="11">
        <f>AH7*salary_bizops*3*(1+salary_escalation)^3*(1+bhxh_rate)</f>
        <v>1746.5382000000006</v>
      </c>
      <c r="AI17" s="11">
        <f>AI7*salary_bizops*3*(1+salary_escalation)^3*(1+bhxh_rate)</f>
        <v>1746.5382000000006</v>
      </c>
      <c r="AJ17" s="11">
        <f>AJ7*salary_bizops*3*(1+salary_escalation)^3*(1+bhxh_rate)</f>
        <v>1746.5382000000006</v>
      </c>
      <c r="AK17" s="11">
        <f>AK7*salary_bizops*3*(1+salary_escalation)^4*(1+bhxh_rate)</f>
        <v>2988.5209200000008</v>
      </c>
      <c r="AL17" s="11">
        <f>AL7*salary_bizops*3*(1+salary_escalation)^4*(1+bhxh_rate)</f>
        <v>2988.5209200000008</v>
      </c>
      <c r="AM17" s="11">
        <f>AM7*salary_bizops*3*(1+salary_escalation)^4*(1+bhxh_rate)</f>
        <v>2988.5209200000008</v>
      </c>
      <c r="AN17" s="11">
        <f>AN7*salary_bizops*3*(1+salary_escalation)^4*(1+bhxh_rate)</f>
        <v>2988.5209200000008</v>
      </c>
      <c r="AO17" s="11">
        <f>AO7*salary_bizops*3*(1+salary_escalation)^5*(1+bhxh_rate)</f>
        <v>4109.2162650000018</v>
      </c>
      <c r="AP17" s="11">
        <f>AP7*salary_bizops*3*(1+salary_escalation)^5*(1+bhxh_rate)</f>
        <v>4109.2162650000018</v>
      </c>
      <c r="AQ17" s="11">
        <f>AQ7*salary_bizops*3*(1+salary_escalation)^5*(1+bhxh_rate)</f>
        <v>4109.2162650000018</v>
      </c>
      <c r="AR17" s="11">
        <f>AR7*salary_bizops*3*(1+salary_escalation)^5*(1+bhxh_rate)</f>
        <v>4109.2162650000018</v>
      </c>
    </row>
    <row r="18" spans="1:44" x14ac:dyDescent="0.3">
      <c r="A18" s="5" t="s">
        <v>314</v>
      </c>
      <c r="B18" s="13" t="s">
        <v>144</v>
      </c>
      <c r="C18" s="11">
        <f t="shared" ref="C18:H18" si="11">C8*salary_data*1*(1+salary_escalation)^0*(1+bhxh_rate)</f>
        <v>0</v>
      </c>
      <c r="D18" s="11">
        <f t="shared" si="11"/>
        <v>0</v>
      </c>
      <c r="E18" s="11">
        <f t="shared" si="11"/>
        <v>0</v>
      </c>
      <c r="F18" s="11">
        <f t="shared" si="11"/>
        <v>0</v>
      </c>
      <c r="G18" s="11">
        <f t="shared" si="11"/>
        <v>0</v>
      </c>
      <c r="H18" s="11">
        <f t="shared" si="11"/>
        <v>0</v>
      </c>
      <c r="I18" s="11">
        <f t="shared" ref="I18:T18" si="12">I8*salary_data*1*(1+salary_escalation)^1*(1+bhxh_rate)</f>
        <v>106.92</v>
      </c>
      <c r="J18" s="11">
        <f t="shared" si="12"/>
        <v>106.92</v>
      </c>
      <c r="K18" s="11">
        <f t="shared" si="12"/>
        <v>106.92</v>
      </c>
      <c r="L18" s="11">
        <f t="shared" si="12"/>
        <v>106.92</v>
      </c>
      <c r="M18" s="11">
        <f t="shared" si="12"/>
        <v>106.92</v>
      </c>
      <c r="N18" s="11">
        <f t="shared" si="12"/>
        <v>106.92</v>
      </c>
      <c r="O18" s="11">
        <f t="shared" si="12"/>
        <v>106.92</v>
      </c>
      <c r="P18" s="11">
        <f t="shared" si="12"/>
        <v>106.92</v>
      </c>
      <c r="Q18" s="11">
        <f t="shared" si="12"/>
        <v>106.92</v>
      </c>
      <c r="R18" s="11">
        <f t="shared" si="12"/>
        <v>106.92</v>
      </c>
      <c r="S18" s="11">
        <f t="shared" si="12"/>
        <v>106.92</v>
      </c>
      <c r="T18" s="11">
        <f t="shared" si="12"/>
        <v>106.92</v>
      </c>
      <c r="U18" s="11">
        <f t="shared" ref="U18:AF18" si="13">U8*salary_data*1*(1+salary_escalation)^2*(1+bhxh_rate)</f>
        <v>176.41800000000003</v>
      </c>
      <c r="V18" s="11">
        <f t="shared" si="13"/>
        <v>176.41800000000003</v>
      </c>
      <c r="W18" s="11">
        <f t="shared" si="13"/>
        <v>176.41800000000003</v>
      </c>
      <c r="X18" s="11">
        <f t="shared" si="13"/>
        <v>176.41800000000003</v>
      </c>
      <c r="Y18" s="11">
        <f t="shared" si="13"/>
        <v>176.41800000000003</v>
      </c>
      <c r="Z18" s="11">
        <f t="shared" si="13"/>
        <v>176.41800000000003</v>
      </c>
      <c r="AA18" s="11">
        <f t="shared" si="13"/>
        <v>176.41800000000003</v>
      </c>
      <c r="AB18" s="11">
        <f t="shared" si="13"/>
        <v>176.41800000000003</v>
      </c>
      <c r="AC18" s="11">
        <f t="shared" si="13"/>
        <v>176.41800000000003</v>
      </c>
      <c r="AD18" s="11">
        <f t="shared" si="13"/>
        <v>176.41800000000003</v>
      </c>
      <c r="AE18" s="11">
        <f t="shared" si="13"/>
        <v>176.41800000000003</v>
      </c>
      <c r="AF18" s="11">
        <f t="shared" si="13"/>
        <v>176.41800000000003</v>
      </c>
      <c r="AG18" s="11">
        <f>AG8*salary_data*3*(1+salary_escalation)^3*(1+bhxh_rate)</f>
        <v>776.23920000000032</v>
      </c>
      <c r="AH18" s="11">
        <f>AH8*salary_data*3*(1+salary_escalation)^3*(1+bhxh_rate)</f>
        <v>776.23920000000032</v>
      </c>
      <c r="AI18" s="11">
        <f>AI8*salary_data*3*(1+salary_escalation)^3*(1+bhxh_rate)</f>
        <v>776.23920000000032</v>
      </c>
      <c r="AJ18" s="11">
        <f>AJ8*salary_data*3*(1+salary_escalation)^3*(1+bhxh_rate)</f>
        <v>776.23920000000032</v>
      </c>
      <c r="AK18" s="11">
        <f>AK8*salary_data*3*(1+salary_escalation)^4*(1+bhxh_rate)</f>
        <v>1067.3289000000004</v>
      </c>
      <c r="AL18" s="11">
        <f>AL8*salary_data*3*(1+salary_escalation)^4*(1+bhxh_rate)</f>
        <v>1067.3289000000004</v>
      </c>
      <c r="AM18" s="11">
        <f>AM8*salary_data*3*(1+salary_escalation)^4*(1+bhxh_rate)</f>
        <v>1067.3289000000004</v>
      </c>
      <c r="AN18" s="11">
        <f>AN8*salary_data*3*(1+salary_escalation)^4*(1+bhxh_rate)</f>
        <v>1067.3289000000004</v>
      </c>
      <c r="AO18" s="11">
        <f>AO8*salary_data*3*(1+salary_escalation)^5*(1+bhxh_rate)</f>
        <v>1408.8741480000006</v>
      </c>
      <c r="AP18" s="11">
        <f>AP8*salary_data*3*(1+salary_escalation)^5*(1+bhxh_rate)</f>
        <v>1408.8741480000006</v>
      </c>
      <c r="AQ18" s="11">
        <f>AQ8*salary_data*3*(1+salary_escalation)^5*(1+bhxh_rate)</f>
        <v>1408.8741480000006</v>
      </c>
      <c r="AR18" s="11">
        <f>AR8*salary_data*3*(1+salary_escalation)^5*(1+bhxh_rate)</f>
        <v>1408.8741480000006</v>
      </c>
    </row>
    <row r="19" spans="1:44" x14ac:dyDescent="0.3">
      <c r="A19" s="5" t="s">
        <v>315</v>
      </c>
      <c r="B19" s="14" t="s">
        <v>144</v>
      </c>
      <c r="C19" s="10">
        <f t="shared" ref="C19:AR19" si="14">C15+C16+C17+C18</f>
        <v>668.25</v>
      </c>
      <c r="D19" s="10">
        <f t="shared" si="14"/>
        <v>668.25</v>
      </c>
      <c r="E19" s="10">
        <f t="shared" si="14"/>
        <v>668.25</v>
      </c>
      <c r="F19" s="10">
        <f t="shared" si="14"/>
        <v>668.25</v>
      </c>
      <c r="G19" s="10">
        <f t="shared" si="14"/>
        <v>668.25</v>
      </c>
      <c r="H19" s="10">
        <f t="shared" si="14"/>
        <v>668.25</v>
      </c>
      <c r="I19" s="10">
        <f t="shared" si="14"/>
        <v>948.91500000000019</v>
      </c>
      <c r="J19" s="10">
        <f t="shared" si="14"/>
        <v>948.91500000000019</v>
      </c>
      <c r="K19" s="10">
        <f t="shared" si="14"/>
        <v>948.91500000000019</v>
      </c>
      <c r="L19" s="10">
        <f t="shared" si="14"/>
        <v>948.91500000000019</v>
      </c>
      <c r="M19" s="10">
        <f t="shared" si="14"/>
        <v>948.91500000000019</v>
      </c>
      <c r="N19" s="10">
        <f t="shared" si="14"/>
        <v>948.91500000000019</v>
      </c>
      <c r="O19" s="10">
        <f t="shared" si="14"/>
        <v>948.91500000000019</v>
      </c>
      <c r="P19" s="10">
        <f t="shared" si="14"/>
        <v>948.91500000000019</v>
      </c>
      <c r="Q19" s="10">
        <f t="shared" si="14"/>
        <v>948.91500000000019</v>
      </c>
      <c r="R19" s="10">
        <f t="shared" si="14"/>
        <v>948.91500000000019</v>
      </c>
      <c r="S19" s="10">
        <f t="shared" si="14"/>
        <v>948.91500000000019</v>
      </c>
      <c r="T19" s="10">
        <f t="shared" si="14"/>
        <v>948.91500000000019</v>
      </c>
      <c r="U19" s="10">
        <f t="shared" si="14"/>
        <v>1389.2917500000003</v>
      </c>
      <c r="V19" s="10">
        <f t="shared" si="14"/>
        <v>1389.2917500000003</v>
      </c>
      <c r="W19" s="10">
        <f t="shared" si="14"/>
        <v>1389.2917500000003</v>
      </c>
      <c r="X19" s="10">
        <f t="shared" si="14"/>
        <v>1389.2917500000003</v>
      </c>
      <c r="Y19" s="10">
        <f t="shared" si="14"/>
        <v>1389.2917500000003</v>
      </c>
      <c r="Z19" s="10">
        <f t="shared" si="14"/>
        <v>1389.2917500000003</v>
      </c>
      <c r="AA19" s="10">
        <f t="shared" si="14"/>
        <v>1389.2917500000003</v>
      </c>
      <c r="AB19" s="10">
        <f t="shared" si="14"/>
        <v>1389.2917500000003</v>
      </c>
      <c r="AC19" s="10">
        <f t="shared" si="14"/>
        <v>1389.2917500000003</v>
      </c>
      <c r="AD19" s="10">
        <f t="shared" si="14"/>
        <v>1389.2917500000003</v>
      </c>
      <c r="AE19" s="10">
        <f t="shared" si="14"/>
        <v>1389.2917500000003</v>
      </c>
      <c r="AF19" s="10">
        <f t="shared" si="14"/>
        <v>1389.2917500000003</v>
      </c>
      <c r="AG19" s="10">
        <f t="shared" si="14"/>
        <v>5894.5664250000018</v>
      </c>
      <c r="AH19" s="10">
        <f t="shared" si="14"/>
        <v>5894.5664250000018</v>
      </c>
      <c r="AI19" s="10">
        <f t="shared" si="14"/>
        <v>5894.5664250000018</v>
      </c>
      <c r="AJ19" s="10">
        <f t="shared" si="14"/>
        <v>5894.5664250000018</v>
      </c>
      <c r="AK19" s="10">
        <f t="shared" si="14"/>
        <v>8378.5318650000027</v>
      </c>
      <c r="AL19" s="10">
        <f t="shared" si="14"/>
        <v>8378.5318650000027</v>
      </c>
      <c r="AM19" s="10">
        <f t="shared" si="14"/>
        <v>8378.5318650000027</v>
      </c>
      <c r="AN19" s="10">
        <f t="shared" si="14"/>
        <v>8378.5318650000027</v>
      </c>
      <c r="AO19" s="10">
        <f t="shared" si="14"/>
        <v>10683.962289000005</v>
      </c>
      <c r="AP19" s="10">
        <f t="shared" si="14"/>
        <v>10683.962289000005</v>
      </c>
      <c r="AQ19" s="10">
        <f t="shared" si="14"/>
        <v>10683.962289000005</v>
      </c>
      <c r="AR19" s="10">
        <f t="shared" si="14"/>
        <v>10683.962289000005</v>
      </c>
    </row>
    <row r="20" spans="1:44" x14ac:dyDescent="0.3">
      <c r="A20" s="5" t="s">
        <v>316</v>
      </c>
      <c r="B20" s="13" t="s">
        <v>144</v>
      </c>
      <c r="C20" s="11">
        <f t="shared" ref="C20:AR20" si="15">C12*30*12*recruit_cost_pct</f>
        <v>1152</v>
      </c>
      <c r="D20" s="11">
        <f t="shared" si="15"/>
        <v>0</v>
      </c>
      <c r="E20" s="11">
        <f t="shared" si="15"/>
        <v>0</v>
      </c>
      <c r="F20" s="11">
        <f t="shared" si="15"/>
        <v>0</v>
      </c>
      <c r="G20" s="11">
        <f t="shared" si="15"/>
        <v>0</v>
      </c>
      <c r="H20" s="11">
        <f t="shared" si="15"/>
        <v>0</v>
      </c>
      <c r="I20" s="11">
        <f t="shared" si="15"/>
        <v>432</v>
      </c>
      <c r="J20" s="11">
        <f t="shared" si="15"/>
        <v>0</v>
      </c>
      <c r="K20" s="11">
        <f t="shared" si="15"/>
        <v>0</v>
      </c>
      <c r="L20" s="11">
        <f t="shared" si="15"/>
        <v>0</v>
      </c>
      <c r="M20" s="11">
        <f t="shared" si="15"/>
        <v>0</v>
      </c>
      <c r="N20" s="11">
        <f t="shared" si="15"/>
        <v>0</v>
      </c>
      <c r="O20" s="11">
        <f t="shared" si="15"/>
        <v>0</v>
      </c>
      <c r="P20" s="11">
        <f t="shared" si="15"/>
        <v>0</v>
      </c>
      <c r="Q20" s="11">
        <f t="shared" si="15"/>
        <v>0</v>
      </c>
      <c r="R20" s="11">
        <f t="shared" si="15"/>
        <v>0</v>
      </c>
      <c r="S20" s="11">
        <f t="shared" si="15"/>
        <v>0</v>
      </c>
      <c r="T20" s="11">
        <f t="shared" si="15"/>
        <v>0</v>
      </c>
      <c r="U20" s="11">
        <f t="shared" si="15"/>
        <v>576</v>
      </c>
      <c r="V20" s="11">
        <f t="shared" si="15"/>
        <v>0</v>
      </c>
      <c r="W20" s="11">
        <f t="shared" si="15"/>
        <v>0</v>
      </c>
      <c r="X20" s="11">
        <f t="shared" si="15"/>
        <v>0</v>
      </c>
      <c r="Y20" s="11">
        <f t="shared" si="15"/>
        <v>0</v>
      </c>
      <c r="Z20" s="11">
        <f t="shared" si="15"/>
        <v>0</v>
      </c>
      <c r="AA20" s="11">
        <f t="shared" si="15"/>
        <v>0</v>
      </c>
      <c r="AB20" s="11">
        <f t="shared" si="15"/>
        <v>0</v>
      </c>
      <c r="AC20" s="11">
        <f t="shared" si="15"/>
        <v>0</v>
      </c>
      <c r="AD20" s="11">
        <f t="shared" si="15"/>
        <v>0</v>
      </c>
      <c r="AE20" s="11">
        <f t="shared" si="15"/>
        <v>0</v>
      </c>
      <c r="AF20" s="11">
        <f t="shared" si="15"/>
        <v>0</v>
      </c>
      <c r="AG20" s="11">
        <f t="shared" si="15"/>
        <v>792</v>
      </c>
      <c r="AH20" s="11">
        <f t="shared" si="15"/>
        <v>0</v>
      </c>
      <c r="AI20" s="11">
        <f t="shared" si="15"/>
        <v>0</v>
      </c>
      <c r="AJ20" s="11">
        <f t="shared" si="15"/>
        <v>0</v>
      </c>
      <c r="AK20" s="11">
        <f t="shared" si="15"/>
        <v>1008</v>
      </c>
      <c r="AL20" s="11">
        <f t="shared" si="15"/>
        <v>0</v>
      </c>
      <c r="AM20" s="11">
        <f t="shared" si="15"/>
        <v>0</v>
      </c>
      <c r="AN20" s="11">
        <f t="shared" si="15"/>
        <v>0</v>
      </c>
      <c r="AO20" s="11">
        <f t="shared" si="15"/>
        <v>720</v>
      </c>
      <c r="AP20" s="11">
        <f t="shared" si="15"/>
        <v>0</v>
      </c>
      <c r="AQ20" s="11">
        <f t="shared" si="15"/>
        <v>0</v>
      </c>
      <c r="AR20" s="11">
        <f t="shared" si="15"/>
        <v>0</v>
      </c>
    </row>
    <row r="21" spans="1:44" x14ac:dyDescent="0.3">
      <c r="A21" s="5" t="s">
        <v>317</v>
      </c>
      <c r="B21" s="14" t="s">
        <v>144</v>
      </c>
      <c r="C21" s="10">
        <f t="shared" ref="C21:AR21" si="16">C19+C20</f>
        <v>1820.25</v>
      </c>
      <c r="D21" s="10">
        <f t="shared" si="16"/>
        <v>668.25</v>
      </c>
      <c r="E21" s="10">
        <f t="shared" si="16"/>
        <v>668.25</v>
      </c>
      <c r="F21" s="10">
        <f t="shared" si="16"/>
        <v>668.25</v>
      </c>
      <c r="G21" s="10">
        <f t="shared" si="16"/>
        <v>668.25</v>
      </c>
      <c r="H21" s="10">
        <f t="shared" si="16"/>
        <v>668.25</v>
      </c>
      <c r="I21" s="10">
        <f t="shared" si="16"/>
        <v>1380.9150000000002</v>
      </c>
      <c r="J21" s="10">
        <f t="shared" si="16"/>
        <v>948.91500000000019</v>
      </c>
      <c r="K21" s="10">
        <f t="shared" si="16"/>
        <v>948.91500000000019</v>
      </c>
      <c r="L21" s="10">
        <f t="shared" si="16"/>
        <v>948.91500000000019</v>
      </c>
      <c r="M21" s="10">
        <f t="shared" si="16"/>
        <v>948.91500000000019</v>
      </c>
      <c r="N21" s="10">
        <f t="shared" si="16"/>
        <v>948.91500000000019</v>
      </c>
      <c r="O21" s="10">
        <f t="shared" si="16"/>
        <v>948.91500000000019</v>
      </c>
      <c r="P21" s="10">
        <f t="shared" si="16"/>
        <v>948.91500000000019</v>
      </c>
      <c r="Q21" s="10">
        <f t="shared" si="16"/>
        <v>948.91500000000019</v>
      </c>
      <c r="R21" s="10">
        <f t="shared" si="16"/>
        <v>948.91500000000019</v>
      </c>
      <c r="S21" s="10">
        <f t="shared" si="16"/>
        <v>948.91500000000019</v>
      </c>
      <c r="T21" s="10">
        <f t="shared" si="16"/>
        <v>948.91500000000019</v>
      </c>
      <c r="U21" s="10">
        <f t="shared" si="16"/>
        <v>1965.2917500000003</v>
      </c>
      <c r="V21" s="10">
        <f t="shared" si="16"/>
        <v>1389.2917500000003</v>
      </c>
      <c r="W21" s="10">
        <f t="shared" si="16"/>
        <v>1389.2917500000003</v>
      </c>
      <c r="X21" s="10">
        <f t="shared" si="16"/>
        <v>1389.2917500000003</v>
      </c>
      <c r="Y21" s="10">
        <f t="shared" si="16"/>
        <v>1389.2917500000003</v>
      </c>
      <c r="Z21" s="10">
        <f t="shared" si="16"/>
        <v>1389.2917500000003</v>
      </c>
      <c r="AA21" s="10">
        <f t="shared" si="16"/>
        <v>1389.2917500000003</v>
      </c>
      <c r="AB21" s="10">
        <f t="shared" si="16"/>
        <v>1389.2917500000003</v>
      </c>
      <c r="AC21" s="10">
        <f t="shared" si="16"/>
        <v>1389.2917500000003</v>
      </c>
      <c r="AD21" s="10">
        <f t="shared" si="16"/>
        <v>1389.2917500000003</v>
      </c>
      <c r="AE21" s="10">
        <f t="shared" si="16"/>
        <v>1389.2917500000003</v>
      </c>
      <c r="AF21" s="10">
        <f t="shared" si="16"/>
        <v>1389.2917500000003</v>
      </c>
      <c r="AG21" s="10">
        <f t="shared" si="16"/>
        <v>6686.5664250000018</v>
      </c>
      <c r="AH21" s="10">
        <f t="shared" si="16"/>
        <v>5894.5664250000018</v>
      </c>
      <c r="AI21" s="10">
        <f t="shared" si="16"/>
        <v>5894.5664250000018</v>
      </c>
      <c r="AJ21" s="10">
        <f t="shared" si="16"/>
        <v>5894.5664250000018</v>
      </c>
      <c r="AK21" s="10">
        <f t="shared" si="16"/>
        <v>9386.5318650000027</v>
      </c>
      <c r="AL21" s="10">
        <f t="shared" si="16"/>
        <v>8378.5318650000027</v>
      </c>
      <c r="AM21" s="10">
        <f t="shared" si="16"/>
        <v>8378.5318650000027</v>
      </c>
      <c r="AN21" s="10">
        <f t="shared" si="16"/>
        <v>8378.5318650000027</v>
      </c>
      <c r="AO21" s="10">
        <f t="shared" si="16"/>
        <v>11403.962289000005</v>
      </c>
      <c r="AP21" s="10">
        <f t="shared" si="16"/>
        <v>10683.962289000005</v>
      </c>
      <c r="AQ21" s="10">
        <f t="shared" si="16"/>
        <v>10683.962289000005</v>
      </c>
      <c r="AR21" s="10">
        <f t="shared" si="16"/>
        <v>10683.962289000005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AR17"/>
  <sheetViews>
    <sheetView workbookViewId="0"/>
  </sheetViews>
  <sheetFormatPr defaultRowHeight="14.4" x14ac:dyDescent="0.3"/>
  <cols>
    <col min="1" max="1" width="35" customWidth="1"/>
    <col min="2" max="2" width="10" customWidth="1"/>
    <col min="3" max="44" width="11" customWidth="1"/>
  </cols>
  <sheetData>
    <row r="1" spans="1:44" x14ac:dyDescent="0.3">
      <c r="A1" s="2" t="s">
        <v>318</v>
      </c>
    </row>
    <row r="3" spans="1:44" x14ac:dyDescent="0.3">
      <c r="A3" s="5" t="s">
        <v>319</v>
      </c>
      <c r="B3" s="13" t="s">
        <v>320</v>
      </c>
      <c r="C3" s="11">
        <v>0</v>
      </c>
      <c r="D3" s="11">
        <v>1</v>
      </c>
      <c r="E3" s="11">
        <v>2</v>
      </c>
      <c r="F3" s="11">
        <v>3</v>
      </c>
      <c r="G3" s="11">
        <v>4</v>
      </c>
      <c r="H3" s="11">
        <v>5</v>
      </c>
      <c r="I3" s="11">
        <v>6</v>
      </c>
      <c r="J3" s="11">
        <v>7</v>
      </c>
      <c r="K3" s="11">
        <v>8</v>
      </c>
      <c r="L3" s="11">
        <v>9</v>
      </c>
      <c r="M3" s="11">
        <v>10</v>
      </c>
      <c r="N3" s="11">
        <v>11</v>
      </c>
      <c r="O3" s="11">
        <v>12</v>
      </c>
      <c r="P3" s="11">
        <v>13</v>
      </c>
      <c r="Q3" s="11">
        <v>14</v>
      </c>
      <c r="R3" s="11">
        <v>15</v>
      </c>
      <c r="S3" s="11">
        <v>16</v>
      </c>
      <c r="T3" s="11">
        <v>17</v>
      </c>
      <c r="U3" s="11">
        <v>18</v>
      </c>
      <c r="V3" s="11">
        <v>19</v>
      </c>
      <c r="W3" s="11">
        <v>20</v>
      </c>
      <c r="X3" s="11">
        <v>21</v>
      </c>
      <c r="Y3" s="11">
        <v>22</v>
      </c>
      <c r="Z3" s="11">
        <v>23</v>
      </c>
      <c r="AA3" s="11">
        <v>24</v>
      </c>
      <c r="AB3" s="11">
        <v>25</v>
      </c>
      <c r="AC3" s="11">
        <v>26</v>
      </c>
      <c r="AD3" s="11">
        <v>27</v>
      </c>
      <c r="AE3" s="11">
        <v>28</v>
      </c>
      <c r="AF3" s="11">
        <v>29</v>
      </c>
      <c r="AG3" s="11">
        <v>30</v>
      </c>
      <c r="AH3" s="11">
        <v>31</v>
      </c>
      <c r="AI3" s="11">
        <v>32</v>
      </c>
      <c r="AJ3" s="11">
        <v>33</v>
      </c>
      <c r="AK3" s="11">
        <v>34</v>
      </c>
      <c r="AL3" s="11">
        <v>35</v>
      </c>
      <c r="AM3" s="11">
        <v>36</v>
      </c>
      <c r="AN3" s="11">
        <v>37</v>
      </c>
      <c r="AO3" s="11">
        <v>38</v>
      </c>
      <c r="AP3" s="11">
        <v>39</v>
      </c>
      <c r="AQ3" s="11">
        <v>40</v>
      </c>
      <c r="AR3" s="11">
        <v>41</v>
      </c>
    </row>
    <row r="4" spans="1:44" x14ac:dyDescent="0.3">
      <c r="A4" s="5" t="s">
        <v>321</v>
      </c>
      <c r="B4" s="13" t="s">
        <v>322</v>
      </c>
      <c r="C4" s="15">
        <f t="shared" ref="C4:AF4" si="0">base_year+(start_month-1+C3)/12</f>
        <v>2025.5</v>
      </c>
      <c r="D4" s="15">
        <f t="shared" si="0"/>
        <v>2025.5833333333333</v>
      </c>
      <c r="E4" s="15">
        <f t="shared" si="0"/>
        <v>2025.6666666666667</v>
      </c>
      <c r="F4" s="15">
        <f t="shared" si="0"/>
        <v>2025.75</v>
      </c>
      <c r="G4" s="15">
        <f t="shared" si="0"/>
        <v>2025.8333333333333</v>
      </c>
      <c r="H4" s="15">
        <f t="shared" si="0"/>
        <v>2025.9166666666667</v>
      </c>
      <c r="I4" s="15">
        <f t="shared" si="0"/>
        <v>2026</v>
      </c>
      <c r="J4" s="15">
        <f t="shared" si="0"/>
        <v>2026.0833333333333</v>
      </c>
      <c r="K4" s="15">
        <f t="shared" si="0"/>
        <v>2026.1666666666667</v>
      </c>
      <c r="L4" s="15">
        <f t="shared" si="0"/>
        <v>2026.25</v>
      </c>
      <c r="M4" s="15">
        <f t="shared" si="0"/>
        <v>2026.3333333333333</v>
      </c>
      <c r="N4" s="15">
        <f t="shared" si="0"/>
        <v>2026.4166666666667</v>
      </c>
      <c r="O4" s="15">
        <f t="shared" si="0"/>
        <v>2026.5</v>
      </c>
      <c r="P4" s="15">
        <f t="shared" si="0"/>
        <v>2026.5833333333333</v>
      </c>
      <c r="Q4" s="15">
        <f t="shared" si="0"/>
        <v>2026.6666666666667</v>
      </c>
      <c r="R4" s="15">
        <f t="shared" si="0"/>
        <v>2026.75</v>
      </c>
      <c r="S4" s="15">
        <f t="shared" si="0"/>
        <v>2026.8333333333333</v>
      </c>
      <c r="T4" s="15">
        <f t="shared" si="0"/>
        <v>2026.9166666666667</v>
      </c>
      <c r="U4" s="15">
        <f t="shared" si="0"/>
        <v>2027</v>
      </c>
      <c r="V4" s="15">
        <f t="shared" si="0"/>
        <v>2027.0833333333333</v>
      </c>
      <c r="W4" s="15">
        <f t="shared" si="0"/>
        <v>2027.1666666666667</v>
      </c>
      <c r="X4" s="15">
        <f t="shared" si="0"/>
        <v>2027.25</v>
      </c>
      <c r="Y4" s="15">
        <f t="shared" si="0"/>
        <v>2027.3333333333333</v>
      </c>
      <c r="Z4" s="15">
        <f t="shared" si="0"/>
        <v>2027.4166666666667</v>
      </c>
      <c r="AA4" s="15">
        <f t="shared" si="0"/>
        <v>2027.5</v>
      </c>
      <c r="AB4" s="15">
        <f t="shared" si="0"/>
        <v>2027.5833333333333</v>
      </c>
      <c r="AC4" s="15">
        <f t="shared" si="0"/>
        <v>2027.6666666666667</v>
      </c>
      <c r="AD4" s="15">
        <f t="shared" si="0"/>
        <v>2027.75</v>
      </c>
      <c r="AE4" s="15">
        <f t="shared" si="0"/>
        <v>2027.8333333333333</v>
      </c>
      <c r="AF4" s="15">
        <f t="shared" si="0"/>
        <v>2027.9166666666667</v>
      </c>
      <c r="AG4" s="15">
        <f>2028+(1-0.5)/12</f>
        <v>2028.0416666666667</v>
      </c>
      <c r="AH4" s="15">
        <f>2028+(4-0.5)/12</f>
        <v>2028.2916666666667</v>
      </c>
      <c r="AI4" s="15">
        <f>2028+(7-0.5)/12</f>
        <v>2028.5416666666667</v>
      </c>
      <c r="AJ4" s="15">
        <f>2028+(10-0.5)/12</f>
        <v>2028.7916666666667</v>
      </c>
      <c r="AK4" s="15">
        <f>2028+(13-0.5)/12</f>
        <v>2029.0416666666667</v>
      </c>
      <c r="AL4" s="15">
        <f>2028+(16-0.5)/12</f>
        <v>2029.2916666666667</v>
      </c>
      <c r="AM4" s="15">
        <f>2028+(19-0.5)/12</f>
        <v>2029.5416666666667</v>
      </c>
      <c r="AN4" s="15">
        <f>2028+(22-0.5)/12</f>
        <v>2029.7916666666667</v>
      </c>
      <c r="AO4" s="15">
        <f>2028+(25-0.5)/12</f>
        <v>2030.0416666666667</v>
      </c>
      <c r="AP4" s="15">
        <f>2028+(28-0.5)/12</f>
        <v>2030.2916666666667</v>
      </c>
      <c r="AQ4" s="15">
        <f>2028+(31-0.5)/12</f>
        <v>2030.5416666666667</v>
      </c>
      <c r="AR4" s="15">
        <f>2028+(34-0.5)/12</f>
        <v>2030.7916666666667</v>
      </c>
    </row>
    <row r="5" spans="1:44" x14ac:dyDescent="0.3">
      <c r="A5" s="5" t="s">
        <v>323</v>
      </c>
      <c r="B5" s="13" t="s">
        <v>322</v>
      </c>
      <c r="C5" s="11">
        <f t="shared" ref="C5:AR5" si="1">FLOOR(C4-base_year,1)</f>
        <v>0</v>
      </c>
      <c r="D5" s="11">
        <f t="shared" si="1"/>
        <v>0</v>
      </c>
      <c r="E5" s="11">
        <f t="shared" si="1"/>
        <v>0</v>
      </c>
      <c r="F5" s="11">
        <f t="shared" si="1"/>
        <v>0</v>
      </c>
      <c r="G5" s="11">
        <f t="shared" si="1"/>
        <v>0</v>
      </c>
      <c r="H5" s="11">
        <f t="shared" si="1"/>
        <v>0</v>
      </c>
      <c r="I5" s="11">
        <f t="shared" si="1"/>
        <v>1</v>
      </c>
      <c r="J5" s="11">
        <f t="shared" si="1"/>
        <v>1</v>
      </c>
      <c r="K5" s="11">
        <f t="shared" si="1"/>
        <v>1</v>
      </c>
      <c r="L5" s="11">
        <f t="shared" si="1"/>
        <v>1</v>
      </c>
      <c r="M5" s="11">
        <f t="shared" si="1"/>
        <v>1</v>
      </c>
      <c r="N5" s="11">
        <f t="shared" si="1"/>
        <v>1</v>
      </c>
      <c r="O5" s="11">
        <f t="shared" si="1"/>
        <v>1</v>
      </c>
      <c r="P5" s="11">
        <f t="shared" si="1"/>
        <v>1</v>
      </c>
      <c r="Q5" s="11">
        <f t="shared" si="1"/>
        <v>1</v>
      </c>
      <c r="R5" s="11">
        <f t="shared" si="1"/>
        <v>1</v>
      </c>
      <c r="S5" s="11">
        <f t="shared" si="1"/>
        <v>1</v>
      </c>
      <c r="T5" s="11">
        <f t="shared" si="1"/>
        <v>1</v>
      </c>
      <c r="U5" s="11">
        <f t="shared" si="1"/>
        <v>2</v>
      </c>
      <c r="V5" s="11">
        <f t="shared" si="1"/>
        <v>2</v>
      </c>
      <c r="W5" s="11">
        <f t="shared" si="1"/>
        <v>2</v>
      </c>
      <c r="X5" s="11">
        <f t="shared" si="1"/>
        <v>2</v>
      </c>
      <c r="Y5" s="11">
        <f t="shared" si="1"/>
        <v>2</v>
      </c>
      <c r="Z5" s="11">
        <f t="shared" si="1"/>
        <v>2</v>
      </c>
      <c r="AA5" s="11">
        <f t="shared" si="1"/>
        <v>2</v>
      </c>
      <c r="AB5" s="11">
        <f t="shared" si="1"/>
        <v>2</v>
      </c>
      <c r="AC5" s="11">
        <f t="shared" si="1"/>
        <v>2</v>
      </c>
      <c r="AD5" s="11">
        <f t="shared" si="1"/>
        <v>2</v>
      </c>
      <c r="AE5" s="11">
        <f t="shared" si="1"/>
        <v>2</v>
      </c>
      <c r="AF5" s="11">
        <f t="shared" si="1"/>
        <v>2</v>
      </c>
      <c r="AG5" s="11">
        <f t="shared" si="1"/>
        <v>3</v>
      </c>
      <c r="AH5" s="11">
        <f t="shared" si="1"/>
        <v>3</v>
      </c>
      <c r="AI5" s="11">
        <f t="shared" si="1"/>
        <v>3</v>
      </c>
      <c r="AJ5" s="11">
        <f t="shared" si="1"/>
        <v>3</v>
      </c>
      <c r="AK5" s="11">
        <f t="shared" si="1"/>
        <v>4</v>
      </c>
      <c r="AL5" s="11">
        <f t="shared" si="1"/>
        <v>4</v>
      </c>
      <c r="AM5" s="11">
        <f t="shared" si="1"/>
        <v>4</v>
      </c>
      <c r="AN5" s="11">
        <f t="shared" si="1"/>
        <v>4</v>
      </c>
      <c r="AO5" s="11">
        <f t="shared" si="1"/>
        <v>5</v>
      </c>
      <c r="AP5" s="11">
        <f t="shared" si="1"/>
        <v>5</v>
      </c>
      <c r="AQ5" s="11">
        <f t="shared" si="1"/>
        <v>5</v>
      </c>
      <c r="AR5" s="11">
        <f t="shared" si="1"/>
        <v>5</v>
      </c>
    </row>
    <row r="6" spans="1:44" x14ac:dyDescent="0.3">
      <c r="A6" s="5" t="s">
        <v>324</v>
      </c>
      <c r="B6" s="13" t="s">
        <v>325</v>
      </c>
      <c r="C6" s="11">
        <v>12</v>
      </c>
      <c r="D6" s="11">
        <v>12</v>
      </c>
      <c r="E6" s="11">
        <v>12</v>
      </c>
      <c r="F6" s="11">
        <v>12</v>
      </c>
      <c r="G6" s="11">
        <v>12</v>
      </c>
      <c r="H6" s="11">
        <v>12</v>
      </c>
      <c r="I6" s="11">
        <v>12</v>
      </c>
      <c r="J6" s="11">
        <v>12</v>
      </c>
      <c r="K6" s="11">
        <v>12</v>
      </c>
      <c r="L6" s="11">
        <v>12</v>
      </c>
      <c r="M6" s="11">
        <v>12</v>
      </c>
      <c r="N6" s="11">
        <v>12</v>
      </c>
      <c r="O6" s="11">
        <v>12</v>
      </c>
      <c r="P6" s="11">
        <v>12</v>
      </c>
      <c r="Q6" s="11">
        <v>12</v>
      </c>
      <c r="R6" s="11">
        <v>12</v>
      </c>
      <c r="S6" s="11">
        <v>12</v>
      </c>
      <c r="T6" s="11">
        <v>12</v>
      </c>
      <c r="U6" s="11">
        <v>12</v>
      </c>
      <c r="V6" s="11">
        <v>12</v>
      </c>
      <c r="W6" s="11">
        <v>12</v>
      </c>
      <c r="X6" s="11">
        <v>12</v>
      </c>
      <c r="Y6" s="11">
        <v>12</v>
      </c>
      <c r="Z6" s="11">
        <v>12</v>
      </c>
      <c r="AA6" s="11">
        <v>12</v>
      </c>
      <c r="AB6" s="11">
        <v>12</v>
      </c>
      <c r="AC6" s="11">
        <v>12</v>
      </c>
      <c r="AD6" s="11">
        <v>12</v>
      </c>
      <c r="AE6" s="11">
        <v>12</v>
      </c>
      <c r="AF6" s="11">
        <v>12</v>
      </c>
      <c r="AG6" s="11">
        <v>4</v>
      </c>
      <c r="AH6" s="11">
        <v>4</v>
      </c>
      <c r="AI6" s="11">
        <v>4</v>
      </c>
      <c r="AJ6" s="11">
        <v>4</v>
      </c>
      <c r="AK6" s="11">
        <v>4</v>
      </c>
      <c r="AL6" s="11">
        <v>4</v>
      </c>
      <c r="AM6" s="11">
        <v>4</v>
      </c>
      <c r="AN6" s="11">
        <v>4</v>
      </c>
      <c r="AO6" s="11">
        <v>4</v>
      </c>
      <c r="AP6" s="11">
        <v>4</v>
      </c>
      <c r="AQ6" s="11">
        <v>4</v>
      </c>
      <c r="AR6" s="11">
        <v>4</v>
      </c>
    </row>
    <row r="7" spans="1:44" x14ac:dyDescent="0.3">
      <c r="A7" s="5" t="s">
        <v>326</v>
      </c>
      <c r="B7" s="13" t="s">
        <v>327</v>
      </c>
      <c r="C7" s="11">
        <v>1</v>
      </c>
      <c r="D7" s="11">
        <v>1</v>
      </c>
      <c r="E7" s="11">
        <v>1</v>
      </c>
      <c r="F7" s="11">
        <v>1</v>
      </c>
      <c r="G7" s="11">
        <v>1</v>
      </c>
      <c r="H7" s="11">
        <v>1</v>
      </c>
      <c r="I7" s="11">
        <v>1</v>
      </c>
      <c r="J7" s="11">
        <v>1</v>
      </c>
      <c r="K7" s="11">
        <v>1</v>
      </c>
      <c r="L7" s="11">
        <v>1</v>
      </c>
      <c r="M7" s="11">
        <v>1</v>
      </c>
      <c r="N7" s="11">
        <v>1</v>
      </c>
      <c r="O7" s="11">
        <v>1</v>
      </c>
      <c r="P7" s="11">
        <v>1</v>
      </c>
      <c r="Q7" s="11">
        <v>1</v>
      </c>
      <c r="R7" s="11">
        <v>1</v>
      </c>
      <c r="S7" s="11">
        <v>1</v>
      </c>
      <c r="T7" s="11">
        <v>1</v>
      </c>
      <c r="U7" s="11">
        <v>1</v>
      </c>
      <c r="V7" s="11">
        <v>1</v>
      </c>
      <c r="W7" s="11">
        <v>1</v>
      </c>
      <c r="X7" s="11">
        <v>1</v>
      </c>
      <c r="Y7" s="11">
        <v>1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1">
        <v>1</v>
      </c>
      <c r="AG7" s="11">
        <v>3</v>
      </c>
      <c r="AH7" s="11">
        <v>3</v>
      </c>
      <c r="AI7" s="11">
        <v>3</v>
      </c>
      <c r="AJ7" s="11">
        <v>3</v>
      </c>
      <c r="AK7" s="11">
        <v>3</v>
      </c>
      <c r="AL7" s="11">
        <v>3</v>
      </c>
      <c r="AM7" s="11">
        <v>3</v>
      </c>
      <c r="AN7" s="11">
        <v>3</v>
      </c>
      <c r="AO7" s="11">
        <v>3</v>
      </c>
      <c r="AP7" s="11">
        <v>3</v>
      </c>
      <c r="AQ7" s="11">
        <v>3</v>
      </c>
      <c r="AR7" s="11">
        <v>3</v>
      </c>
    </row>
    <row r="9" spans="1:44" x14ac:dyDescent="0.3">
      <c r="A9" s="4" t="s">
        <v>328</v>
      </c>
      <c r="B9" s="4" t="s">
        <v>258</v>
      </c>
      <c r="C9" s="4" t="s">
        <v>259</v>
      </c>
      <c r="D9" s="4" t="s">
        <v>260</v>
      </c>
      <c r="E9" s="4" t="s">
        <v>261</v>
      </c>
      <c r="F9" s="4" t="s">
        <v>262</v>
      </c>
      <c r="G9" s="4" t="s">
        <v>263</v>
      </c>
      <c r="H9" s="4" t="s">
        <v>264</v>
      </c>
      <c r="I9" s="4" t="s">
        <v>265</v>
      </c>
      <c r="J9" s="4" t="s">
        <v>266</v>
      </c>
      <c r="K9" s="4" t="s">
        <v>267</v>
      </c>
      <c r="L9" s="4" t="s">
        <v>268</v>
      </c>
      <c r="M9" s="4" t="s">
        <v>269</v>
      </c>
      <c r="N9" s="4" t="s">
        <v>270</v>
      </c>
      <c r="O9" s="4" t="s">
        <v>271</v>
      </c>
      <c r="P9" s="4" t="s">
        <v>272</v>
      </c>
      <c r="Q9" s="4" t="s">
        <v>273</v>
      </c>
      <c r="R9" s="4" t="s">
        <v>274</v>
      </c>
      <c r="S9" s="4" t="s">
        <v>275</v>
      </c>
      <c r="T9" s="4" t="s">
        <v>276</v>
      </c>
      <c r="U9" s="4" t="s">
        <v>277</v>
      </c>
      <c r="V9" s="4" t="s">
        <v>278</v>
      </c>
      <c r="W9" s="4" t="s">
        <v>279</v>
      </c>
      <c r="X9" s="4" t="s">
        <v>280</v>
      </c>
      <c r="Y9" s="4" t="s">
        <v>281</v>
      </c>
      <c r="Z9" s="4" t="s">
        <v>282</v>
      </c>
      <c r="AA9" s="4" t="s">
        <v>283</v>
      </c>
      <c r="AB9" s="4" t="s">
        <v>284</v>
      </c>
      <c r="AC9" s="4" t="s">
        <v>285</v>
      </c>
      <c r="AD9" s="4" t="s">
        <v>286</v>
      </c>
      <c r="AE9" s="4" t="s">
        <v>287</v>
      </c>
      <c r="AF9" s="4" t="s">
        <v>288</v>
      </c>
      <c r="AG9" s="4" t="s">
        <v>289</v>
      </c>
      <c r="AH9" s="4" t="s">
        <v>290</v>
      </c>
      <c r="AI9" s="4" t="s">
        <v>291</v>
      </c>
      <c r="AJ9" s="4" t="s">
        <v>292</v>
      </c>
      <c r="AK9" s="4" t="s">
        <v>293</v>
      </c>
      <c r="AL9" s="4" t="s">
        <v>294</v>
      </c>
      <c r="AM9" s="4" t="s">
        <v>295</v>
      </c>
      <c r="AN9" s="4" t="s">
        <v>296</v>
      </c>
      <c r="AO9" s="4" t="s">
        <v>297</v>
      </c>
      <c r="AP9" s="4" t="s">
        <v>298</v>
      </c>
      <c r="AQ9" s="4" t="s">
        <v>299</v>
      </c>
      <c r="AR9" s="4" t="s">
        <v>300</v>
      </c>
    </row>
    <row r="10" spans="1:44" x14ac:dyDescent="0.3">
      <c r="A10" s="5" t="s">
        <v>329</v>
      </c>
      <c r="B10" s="13" t="s">
        <v>126</v>
      </c>
      <c r="C10" s="16">
        <f t="shared" ref="C10:AR10" si="2">ecom_market_base*(1+ecom_growth_rate)^C5/C6</f>
        <v>6875</v>
      </c>
      <c r="D10" s="16">
        <f t="shared" si="2"/>
        <v>6875</v>
      </c>
      <c r="E10" s="16">
        <f t="shared" si="2"/>
        <v>6875</v>
      </c>
      <c r="F10" s="16">
        <f t="shared" si="2"/>
        <v>6875</v>
      </c>
      <c r="G10" s="16">
        <f t="shared" si="2"/>
        <v>6875</v>
      </c>
      <c r="H10" s="16">
        <f t="shared" si="2"/>
        <v>6875</v>
      </c>
      <c r="I10" s="16">
        <f t="shared" si="2"/>
        <v>7425</v>
      </c>
      <c r="J10" s="16">
        <f t="shared" si="2"/>
        <v>7425</v>
      </c>
      <c r="K10" s="16">
        <f t="shared" si="2"/>
        <v>7425</v>
      </c>
      <c r="L10" s="16">
        <f t="shared" si="2"/>
        <v>7425</v>
      </c>
      <c r="M10" s="16">
        <f t="shared" si="2"/>
        <v>7425</v>
      </c>
      <c r="N10" s="16">
        <f t="shared" si="2"/>
        <v>7425</v>
      </c>
      <c r="O10" s="16">
        <f t="shared" si="2"/>
        <v>7425</v>
      </c>
      <c r="P10" s="16">
        <f t="shared" si="2"/>
        <v>7425</v>
      </c>
      <c r="Q10" s="16">
        <f t="shared" si="2"/>
        <v>7425</v>
      </c>
      <c r="R10" s="16">
        <f t="shared" si="2"/>
        <v>7425</v>
      </c>
      <c r="S10" s="16">
        <f t="shared" si="2"/>
        <v>7425</v>
      </c>
      <c r="T10" s="16">
        <f t="shared" si="2"/>
        <v>7425</v>
      </c>
      <c r="U10" s="16">
        <f t="shared" si="2"/>
        <v>8019.0000000000009</v>
      </c>
      <c r="V10" s="16">
        <f t="shared" si="2"/>
        <v>8019.0000000000009</v>
      </c>
      <c r="W10" s="16">
        <f t="shared" si="2"/>
        <v>8019.0000000000009</v>
      </c>
      <c r="X10" s="16">
        <f t="shared" si="2"/>
        <v>8019.0000000000009</v>
      </c>
      <c r="Y10" s="16">
        <f t="shared" si="2"/>
        <v>8019.0000000000009</v>
      </c>
      <c r="Z10" s="16">
        <f t="shared" si="2"/>
        <v>8019.0000000000009</v>
      </c>
      <c r="AA10" s="16">
        <f t="shared" si="2"/>
        <v>8019.0000000000009</v>
      </c>
      <c r="AB10" s="16">
        <f t="shared" si="2"/>
        <v>8019.0000000000009</v>
      </c>
      <c r="AC10" s="16">
        <f t="shared" si="2"/>
        <v>8019.0000000000009</v>
      </c>
      <c r="AD10" s="16">
        <f t="shared" si="2"/>
        <v>8019.0000000000009</v>
      </c>
      <c r="AE10" s="16">
        <f t="shared" si="2"/>
        <v>8019.0000000000009</v>
      </c>
      <c r="AF10" s="16">
        <f t="shared" si="2"/>
        <v>8019.0000000000009</v>
      </c>
      <c r="AG10" s="16">
        <f t="shared" si="2"/>
        <v>25981.560000000005</v>
      </c>
      <c r="AH10" s="16">
        <f t="shared" si="2"/>
        <v>25981.560000000005</v>
      </c>
      <c r="AI10" s="16">
        <f t="shared" si="2"/>
        <v>25981.560000000005</v>
      </c>
      <c r="AJ10" s="16">
        <f t="shared" si="2"/>
        <v>25981.560000000005</v>
      </c>
      <c r="AK10" s="16">
        <f t="shared" si="2"/>
        <v>28060.084800000008</v>
      </c>
      <c r="AL10" s="16">
        <f t="shared" si="2"/>
        <v>28060.084800000008</v>
      </c>
      <c r="AM10" s="16">
        <f t="shared" si="2"/>
        <v>28060.084800000008</v>
      </c>
      <c r="AN10" s="16">
        <f t="shared" si="2"/>
        <v>28060.084800000008</v>
      </c>
      <c r="AO10" s="16">
        <f t="shared" si="2"/>
        <v>30304.891584000008</v>
      </c>
      <c r="AP10" s="16">
        <f t="shared" si="2"/>
        <v>30304.891584000008</v>
      </c>
      <c r="AQ10" s="16">
        <f t="shared" si="2"/>
        <v>30304.891584000008</v>
      </c>
      <c r="AR10" s="16">
        <f t="shared" si="2"/>
        <v>30304.891584000008</v>
      </c>
    </row>
    <row r="12" spans="1:44" x14ac:dyDescent="0.3">
      <c r="A12" s="2" t="s">
        <v>330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</row>
    <row r="13" spans="1:44" x14ac:dyDescent="0.3">
      <c r="A13" s="5" t="s">
        <v>331</v>
      </c>
      <c r="B13" s="13" t="s">
        <v>332</v>
      </c>
      <c r="C13" s="11">
        <f t="shared" ref="C13:AR13" si="3">MAX(pilot_count,adoption_max/(1+EXP(-adoption_steepness*(C4-adoption_midpoint))))</f>
        <v>114.41935787893139</v>
      </c>
      <c r="D13" s="11">
        <f t="shared" si="3"/>
        <v>122.42168302694898</v>
      </c>
      <c r="E13" s="11">
        <f t="shared" si="3"/>
        <v>130.91618543474348</v>
      </c>
      <c r="F13" s="11">
        <f t="shared" si="3"/>
        <v>139.92356299336726</v>
      </c>
      <c r="G13" s="11">
        <f t="shared" si="3"/>
        <v>149.46402982489076</v>
      </c>
      <c r="H13" s="11">
        <f t="shared" si="3"/>
        <v>159.55708823740451</v>
      </c>
      <c r="I13" s="11">
        <f t="shared" si="3"/>
        <v>170.22127788058535</v>
      </c>
      <c r="J13" s="11">
        <f t="shared" si="3"/>
        <v>181.4739030108785</v>
      </c>
      <c r="K13" s="11">
        <f t="shared" si="3"/>
        <v>193.33073949191336</v>
      </c>
      <c r="L13" s="11">
        <f t="shared" si="3"/>
        <v>205.80572397048107</v>
      </c>
      <c r="M13" s="11">
        <f t="shared" si="3"/>
        <v>218.91062856761542</v>
      </c>
      <c r="N13" s="11">
        <f t="shared" si="3"/>
        <v>232.65472538864464</v>
      </c>
      <c r="O13" s="11">
        <f t="shared" si="3"/>
        <v>247.04444616113679</v>
      </c>
      <c r="P13" s="11">
        <f t="shared" si="3"/>
        <v>262.08304331714737</v>
      </c>
      <c r="Q13" s="11">
        <f t="shared" si="3"/>
        <v>277.77025980119333</v>
      </c>
      <c r="R13" s="11">
        <f t="shared" si="3"/>
        <v>294.10201575884605</v>
      </c>
      <c r="S13" s="11">
        <f t="shared" si="3"/>
        <v>311.0701209813995</v>
      </c>
      <c r="T13" s="11">
        <f t="shared" si="3"/>
        <v>328.66202248708129</v>
      </c>
      <c r="U13" s="11">
        <f t="shared" si="3"/>
        <v>346.8605968499952</v>
      </c>
      <c r="V13" s="11">
        <f t="shared" si="3"/>
        <v>365.6439967829042</v>
      </c>
      <c r="W13" s="11">
        <f t="shared" si="3"/>
        <v>384.98556098954623</v>
      </c>
      <c r="X13" s="11">
        <f t="shared" si="3"/>
        <v>404.85379539590093</v>
      </c>
      <c r="Y13" s="11">
        <f t="shared" si="3"/>
        <v>425.21243252902673</v>
      </c>
      <c r="Z13" s="11">
        <f t="shared" si="3"/>
        <v>446.02057404557956</v>
      </c>
      <c r="AA13" s="11">
        <f t="shared" si="3"/>
        <v>467.23291926093361</v>
      </c>
      <c r="AB13" s="11">
        <f t="shared" si="3"/>
        <v>488.8000800550966</v>
      </c>
      <c r="AC13" s="11">
        <f t="shared" si="3"/>
        <v>510.66897982602916</v>
      </c>
      <c r="AD13" s="11">
        <f t="shared" si="3"/>
        <v>532.78333134645607</v>
      </c>
      <c r="AE13" s="11">
        <f t="shared" si="3"/>
        <v>555.08418558748019</v>
      </c>
      <c r="AF13" s="11">
        <f t="shared" si="3"/>
        <v>577.51054094577808</v>
      </c>
      <c r="AG13" s="11">
        <f t="shared" si="3"/>
        <v>611.24868182601335</v>
      </c>
      <c r="AH13" s="11">
        <f t="shared" si="3"/>
        <v>678.30089708053993</v>
      </c>
      <c r="AI13" s="11">
        <f t="shared" si="3"/>
        <v>743.42078357652088</v>
      </c>
      <c r="AJ13" s="11">
        <f t="shared" si="3"/>
        <v>805.1439994869512</v>
      </c>
      <c r="AK13" s="11">
        <f t="shared" si="3"/>
        <v>862.31327108504399</v>
      </c>
      <c r="AL13" s="11">
        <f t="shared" si="3"/>
        <v>914.14401725557593</v>
      </c>
      <c r="AM13" s="11">
        <f t="shared" si="3"/>
        <v>960.23139894189626</v>
      </c>
      <c r="AN13" s="11">
        <f t="shared" si="3"/>
        <v>1000.5098271508404</v>
      </c>
      <c r="AO13" s="11">
        <f t="shared" si="3"/>
        <v>1035.1833221550921</v>
      </c>
      <c r="AP13" s="11">
        <f t="shared" si="3"/>
        <v>1064.6455124605363</v>
      </c>
      <c r="AQ13" s="11">
        <f t="shared" si="3"/>
        <v>1089.4037876854309</v>
      </c>
      <c r="AR13" s="11">
        <f t="shared" si="3"/>
        <v>1110.016180467278</v>
      </c>
    </row>
    <row r="14" spans="1:44" x14ac:dyDescent="0.3">
      <c r="A14" s="5" t="s">
        <v>333</v>
      </c>
      <c r="B14" s="13" t="s">
        <v>332</v>
      </c>
      <c r="C14" s="11">
        <f>0</f>
        <v>0</v>
      </c>
      <c r="D14" s="11">
        <f t="shared" ref="D14:AR14" si="4">ROUND(D13*churn_rate/D6,0)</f>
        <v>2</v>
      </c>
      <c r="E14" s="11">
        <f t="shared" si="4"/>
        <v>2</v>
      </c>
      <c r="F14" s="11">
        <f t="shared" si="4"/>
        <v>2</v>
      </c>
      <c r="G14" s="11">
        <f t="shared" si="4"/>
        <v>2</v>
      </c>
      <c r="H14" s="11">
        <f t="shared" si="4"/>
        <v>3</v>
      </c>
      <c r="I14" s="11">
        <f t="shared" si="4"/>
        <v>3</v>
      </c>
      <c r="J14" s="11">
        <f t="shared" si="4"/>
        <v>3</v>
      </c>
      <c r="K14" s="11">
        <f t="shared" si="4"/>
        <v>3</v>
      </c>
      <c r="L14" s="11">
        <f t="shared" si="4"/>
        <v>3</v>
      </c>
      <c r="M14" s="11">
        <f t="shared" si="4"/>
        <v>4</v>
      </c>
      <c r="N14" s="11">
        <f t="shared" si="4"/>
        <v>4</v>
      </c>
      <c r="O14" s="11">
        <f t="shared" si="4"/>
        <v>4</v>
      </c>
      <c r="P14" s="11">
        <f t="shared" si="4"/>
        <v>4</v>
      </c>
      <c r="Q14" s="11">
        <f t="shared" si="4"/>
        <v>5</v>
      </c>
      <c r="R14" s="11">
        <f t="shared" si="4"/>
        <v>5</v>
      </c>
      <c r="S14" s="11">
        <f t="shared" si="4"/>
        <v>5</v>
      </c>
      <c r="T14" s="11">
        <f t="shared" si="4"/>
        <v>5</v>
      </c>
      <c r="U14" s="11">
        <f t="shared" si="4"/>
        <v>6</v>
      </c>
      <c r="V14" s="11">
        <f t="shared" si="4"/>
        <v>6</v>
      </c>
      <c r="W14" s="11">
        <f t="shared" si="4"/>
        <v>6</v>
      </c>
      <c r="X14" s="11">
        <f t="shared" si="4"/>
        <v>7</v>
      </c>
      <c r="Y14" s="11">
        <f t="shared" si="4"/>
        <v>7</v>
      </c>
      <c r="Z14" s="11">
        <f t="shared" si="4"/>
        <v>7</v>
      </c>
      <c r="AA14" s="11">
        <f t="shared" si="4"/>
        <v>8</v>
      </c>
      <c r="AB14" s="11">
        <f t="shared" si="4"/>
        <v>8</v>
      </c>
      <c r="AC14" s="11">
        <f t="shared" si="4"/>
        <v>9</v>
      </c>
      <c r="AD14" s="11">
        <f t="shared" si="4"/>
        <v>9</v>
      </c>
      <c r="AE14" s="11">
        <f t="shared" si="4"/>
        <v>9</v>
      </c>
      <c r="AF14" s="11">
        <f t="shared" si="4"/>
        <v>10</v>
      </c>
      <c r="AG14" s="11">
        <f t="shared" si="4"/>
        <v>31</v>
      </c>
      <c r="AH14" s="11">
        <f t="shared" si="4"/>
        <v>34</v>
      </c>
      <c r="AI14" s="11">
        <f t="shared" si="4"/>
        <v>37</v>
      </c>
      <c r="AJ14" s="11">
        <f t="shared" si="4"/>
        <v>40</v>
      </c>
      <c r="AK14" s="11">
        <f t="shared" si="4"/>
        <v>43</v>
      </c>
      <c r="AL14" s="11">
        <f t="shared" si="4"/>
        <v>46</v>
      </c>
      <c r="AM14" s="11">
        <f t="shared" si="4"/>
        <v>48</v>
      </c>
      <c r="AN14" s="11">
        <f t="shared" si="4"/>
        <v>50</v>
      </c>
      <c r="AO14" s="11">
        <f t="shared" si="4"/>
        <v>52</v>
      </c>
      <c r="AP14" s="11">
        <f t="shared" si="4"/>
        <v>53</v>
      </c>
      <c r="AQ14" s="11">
        <f t="shared" si="4"/>
        <v>54</v>
      </c>
      <c r="AR14" s="11">
        <f t="shared" si="4"/>
        <v>56</v>
      </c>
    </row>
    <row r="15" spans="1:44" x14ac:dyDescent="0.3">
      <c r="A15" s="5" t="s">
        <v>334</v>
      </c>
      <c r="B15" s="13" t="s">
        <v>332</v>
      </c>
      <c r="C15" s="10">
        <f t="shared" ref="C15:AR15" si="5">C13-C14</f>
        <v>114.41935787893139</v>
      </c>
      <c r="D15" s="10">
        <f t="shared" si="5"/>
        <v>120.42168302694898</v>
      </c>
      <c r="E15" s="10">
        <f t="shared" si="5"/>
        <v>128.91618543474348</v>
      </c>
      <c r="F15" s="10">
        <f t="shared" si="5"/>
        <v>137.92356299336726</v>
      </c>
      <c r="G15" s="10">
        <f t="shared" si="5"/>
        <v>147.46402982489076</v>
      </c>
      <c r="H15" s="10">
        <f t="shared" si="5"/>
        <v>156.55708823740451</v>
      </c>
      <c r="I15" s="10">
        <f t="shared" si="5"/>
        <v>167.22127788058535</v>
      </c>
      <c r="J15" s="10">
        <f t="shared" si="5"/>
        <v>178.4739030108785</v>
      </c>
      <c r="K15" s="10">
        <f t="shared" si="5"/>
        <v>190.33073949191336</v>
      </c>
      <c r="L15" s="10">
        <f t="shared" si="5"/>
        <v>202.80572397048107</v>
      </c>
      <c r="M15" s="10">
        <f t="shared" si="5"/>
        <v>214.91062856761542</v>
      </c>
      <c r="N15" s="10">
        <f t="shared" si="5"/>
        <v>228.65472538864464</v>
      </c>
      <c r="O15" s="10">
        <f t="shared" si="5"/>
        <v>243.04444616113679</v>
      </c>
      <c r="P15" s="10">
        <f t="shared" si="5"/>
        <v>258.08304331714737</v>
      </c>
      <c r="Q15" s="10">
        <f t="shared" si="5"/>
        <v>272.77025980119333</v>
      </c>
      <c r="R15" s="10">
        <f t="shared" si="5"/>
        <v>289.10201575884605</v>
      </c>
      <c r="S15" s="10">
        <f t="shared" si="5"/>
        <v>306.0701209813995</v>
      </c>
      <c r="T15" s="10">
        <f t="shared" si="5"/>
        <v>323.66202248708129</v>
      </c>
      <c r="U15" s="10">
        <f t="shared" si="5"/>
        <v>340.8605968499952</v>
      </c>
      <c r="V15" s="10">
        <f t="shared" si="5"/>
        <v>359.6439967829042</v>
      </c>
      <c r="W15" s="10">
        <f t="shared" si="5"/>
        <v>378.98556098954623</v>
      </c>
      <c r="X15" s="10">
        <f t="shared" si="5"/>
        <v>397.85379539590093</v>
      </c>
      <c r="Y15" s="10">
        <f t="shared" si="5"/>
        <v>418.21243252902673</v>
      </c>
      <c r="Z15" s="10">
        <f t="shared" si="5"/>
        <v>439.02057404557956</v>
      </c>
      <c r="AA15" s="10">
        <f t="shared" si="5"/>
        <v>459.23291926093361</v>
      </c>
      <c r="AB15" s="10">
        <f t="shared" si="5"/>
        <v>480.8000800550966</v>
      </c>
      <c r="AC15" s="10">
        <f t="shared" si="5"/>
        <v>501.66897982602916</v>
      </c>
      <c r="AD15" s="10">
        <f t="shared" si="5"/>
        <v>523.78333134645607</v>
      </c>
      <c r="AE15" s="10">
        <f t="shared" si="5"/>
        <v>546.08418558748019</v>
      </c>
      <c r="AF15" s="10">
        <f t="shared" si="5"/>
        <v>567.51054094577808</v>
      </c>
      <c r="AG15" s="10">
        <f t="shared" si="5"/>
        <v>580.24868182601335</v>
      </c>
      <c r="AH15" s="10">
        <f t="shared" si="5"/>
        <v>644.30089708053993</v>
      </c>
      <c r="AI15" s="10">
        <f t="shared" si="5"/>
        <v>706.42078357652088</v>
      </c>
      <c r="AJ15" s="10">
        <f t="shared" si="5"/>
        <v>765.1439994869512</v>
      </c>
      <c r="AK15" s="10">
        <f t="shared" si="5"/>
        <v>819.31327108504399</v>
      </c>
      <c r="AL15" s="10">
        <f t="shared" si="5"/>
        <v>868.14401725557593</v>
      </c>
      <c r="AM15" s="10">
        <f t="shared" si="5"/>
        <v>912.23139894189626</v>
      </c>
      <c r="AN15" s="10">
        <f t="shared" si="5"/>
        <v>950.50982715084035</v>
      </c>
      <c r="AO15" s="10">
        <f t="shared" si="5"/>
        <v>983.18332215509213</v>
      </c>
      <c r="AP15" s="10">
        <f t="shared" si="5"/>
        <v>1011.6455124605363</v>
      </c>
      <c r="AQ15" s="10">
        <f t="shared" si="5"/>
        <v>1035.4037876854309</v>
      </c>
      <c r="AR15" s="10">
        <f t="shared" si="5"/>
        <v>1054.016180467278</v>
      </c>
    </row>
    <row r="16" spans="1:44" x14ac:dyDescent="0.3">
      <c r="A16" s="5" t="s">
        <v>335</v>
      </c>
      <c r="B16" s="13" t="s">
        <v>332</v>
      </c>
      <c r="C16" s="11">
        <f>C15</f>
        <v>114.41935787893139</v>
      </c>
      <c r="D16" s="11">
        <f t="shared" ref="D16:AR16" si="6">MAX(0,D15-C15)</f>
        <v>6.0023251480175901</v>
      </c>
      <c r="E16" s="11">
        <f t="shared" si="6"/>
        <v>8.4945024077944993</v>
      </c>
      <c r="F16" s="11">
        <f t="shared" si="6"/>
        <v>9.007377558623773</v>
      </c>
      <c r="G16" s="11">
        <f t="shared" si="6"/>
        <v>9.5404668315235028</v>
      </c>
      <c r="H16" s="11">
        <f t="shared" si="6"/>
        <v>9.0930584125137557</v>
      </c>
      <c r="I16" s="11">
        <f t="shared" si="6"/>
        <v>10.664189643180833</v>
      </c>
      <c r="J16" s="11">
        <f t="shared" si="6"/>
        <v>11.252625130293154</v>
      </c>
      <c r="K16" s="11">
        <f t="shared" si="6"/>
        <v>11.856836481034861</v>
      </c>
      <c r="L16" s="11">
        <f t="shared" si="6"/>
        <v>12.474984478567706</v>
      </c>
      <c r="M16" s="11">
        <f t="shared" si="6"/>
        <v>12.10490459713435</v>
      </c>
      <c r="N16" s="11">
        <f t="shared" si="6"/>
        <v>13.744096821029217</v>
      </c>
      <c r="O16" s="11">
        <f t="shared" si="6"/>
        <v>14.389720772492154</v>
      </c>
      <c r="P16" s="11">
        <f t="shared" si="6"/>
        <v>15.038597156010582</v>
      </c>
      <c r="Q16" s="11">
        <f t="shared" si="6"/>
        <v>14.687216484045962</v>
      </c>
      <c r="R16" s="11">
        <f t="shared" si="6"/>
        <v>16.331755957652717</v>
      </c>
      <c r="S16" s="11">
        <f t="shared" si="6"/>
        <v>16.968105222553447</v>
      </c>
      <c r="T16" s="11">
        <f t="shared" si="6"/>
        <v>17.59190150568179</v>
      </c>
      <c r="U16" s="11">
        <f t="shared" si="6"/>
        <v>17.198574362913917</v>
      </c>
      <c r="V16" s="11">
        <f t="shared" si="6"/>
        <v>18.783399932908992</v>
      </c>
      <c r="W16" s="11">
        <f t="shared" si="6"/>
        <v>19.341564206642033</v>
      </c>
      <c r="X16" s="11">
        <f t="shared" si="6"/>
        <v>18.868234406354702</v>
      </c>
      <c r="Y16" s="11">
        <f t="shared" si="6"/>
        <v>20.358637133125796</v>
      </c>
      <c r="Z16" s="11">
        <f t="shared" si="6"/>
        <v>20.808141516552837</v>
      </c>
      <c r="AA16" s="11">
        <f t="shared" si="6"/>
        <v>20.212345215354048</v>
      </c>
      <c r="AB16" s="11">
        <f t="shared" si="6"/>
        <v>21.567160794162987</v>
      </c>
      <c r="AC16" s="11">
        <f t="shared" si="6"/>
        <v>20.868899770932558</v>
      </c>
      <c r="AD16" s="11">
        <f t="shared" si="6"/>
        <v>22.114351520426908</v>
      </c>
      <c r="AE16" s="11">
        <f t="shared" si="6"/>
        <v>22.300854241024126</v>
      </c>
      <c r="AF16" s="11">
        <f t="shared" si="6"/>
        <v>21.426355358297883</v>
      </c>
      <c r="AG16" s="11">
        <f t="shared" si="6"/>
        <v>12.738140880235278</v>
      </c>
      <c r="AH16" s="11">
        <f t="shared" si="6"/>
        <v>64.052215254526573</v>
      </c>
      <c r="AI16" s="11">
        <f t="shared" si="6"/>
        <v>62.11988649598095</v>
      </c>
      <c r="AJ16" s="11">
        <f t="shared" si="6"/>
        <v>58.723215910430326</v>
      </c>
      <c r="AK16" s="11">
        <f t="shared" si="6"/>
        <v>54.169271598092791</v>
      </c>
      <c r="AL16" s="11">
        <f t="shared" si="6"/>
        <v>48.830746170531938</v>
      </c>
      <c r="AM16" s="11">
        <f t="shared" si="6"/>
        <v>44.087381686320327</v>
      </c>
      <c r="AN16" s="11">
        <f t="shared" si="6"/>
        <v>38.278428208944092</v>
      </c>
      <c r="AO16" s="11">
        <f t="shared" si="6"/>
        <v>32.673495004251777</v>
      </c>
      <c r="AP16" s="11">
        <f t="shared" si="6"/>
        <v>28.46219030544421</v>
      </c>
      <c r="AQ16" s="11">
        <f t="shared" si="6"/>
        <v>23.758275224894533</v>
      </c>
      <c r="AR16" s="11">
        <f t="shared" si="6"/>
        <v>18.61239278184712</v>
      </c>
    </row>
    <row r="17" spans="1:44" x14ac:dyDescent="0.3">
      <c r="A17" s="5" t="s">
        <v>336</v>
      </c>
      <c r="B17" s="13" t="s">
        <v>337</v>
      </c>
      <c r="C17" s="17">
        <f t="shared" ref="C17:AR17" si="7">C15*vcr_per_enterprise*C7/1000000</f>
        <v>1.144193578789314</v>
      </c>
      <c r="D17" s="17">
        <f t="shared" si="7"/>
        <v>1.20421683026949</v>
      </c>
      <c r="E17" s="17">
        <f t="shared" si="7"/>
        <v>1.2891618543474348</v>
      </c>
      <c r="F17" s="17">
        <f t="shared" si="7"/>
        <v>1.3792356299336725</v>
      </c>
      <c r="G17" s="17">
        <f t="shared" si="7"/>
        <v>1.4746402982489075</v>
      </c>
      <c r="H17" s="17">
        <f t="shared" si="7"/>
        <v>1.5655708823740453</v>
      </c>
      <c r="I17" s="17">
        <f t="shared" si="7"/>
        <v>1.6722127788058536</v>
      </c>
      <c r="J17" s="17">
        <f t="shared" si="7"/>
        <v>1.7847390301087851</v>
      </c>
      <c r="K17" s="17">
        <f t="shared" si="7"/>
        <v>1.9033073949191335</v>
      </c>
      <c r="L17" s="17">
        <f t="shared" si="7"/>
        <v>2.0280572397048107</v>
      </c>
      <c r="M17" s="17">
        <f t="shared" si="7"/>
        <v>2.1491062856761545</v>
      </c>
      <c r="N17" s="17">
        <f t="shared" si="7"/>
        <v>2.2865472538864462</v>
      </c>
      <c r="O17" s="17">
        <f t="shared" si="7"/>
        <v>2.4304444616113678</v>
      </c>
      <c r="P17" s="17">
        <f t="shared" si="7"/>
        <v>2.580830433171474</v>
      </c>
      <c r="Q17" s="17">
        <f t="shared" si="7"/>
        <v>2.7277025980119332</v>
      </c>
      <c r="R17" s="17">
        <f t="shared" si="7"/>
        <v>2.8910201575884606</v>
      </c>
      <c r="S17" s="17">
        <f t="shared" si="7"/>
        <v>3.060701209813995</v>
      </c>
      <c r="T17" s="17">
        <f t="shared" si="7"/>
        <v>3.2366202248708129</v>
      </c>
      <c r="U17" s="17">
        <f t="shared" si="7"/>
        <v>3.4086059684999519</v>
      </c>
      <c r="V17" s="17">
        <f t="shared" si="7"/>
        <v>3.596439967829042</v>
      </c>
      <c r="W17" s="17">
        <f t="shared" si="7"/>
        <v>3.7898556098954623</v>
      </c>
      <c r="X17" s="17">
        <f t="shared" si="7"/>
        <v>3.9785379539590093</v>
      </c>
      <c r="Y17" s="17">
        <f t="shared" si="7"/>
        <v>4.1821243252902676</v>
      </c>
      <c r="Z17" s="17">
        <f t="shared" si="7"/>
        <v>4.3902057404557961</v>
      </c>
      <c r="AA17" s="17">
        <f t="shared" si="7"/>
        <v>4.5923291926093359</v>
      </c>
      <c r="AB17" s="17">
        <f t="shared" si="7"/>
        <v>4.8080008005509658</v>
      </c>
      <c r="AC17" s="17">
        <f t="shared" si="7"/>
        <v>5.016689798260292</v>
      </c>
      <c r="AD17" s="17">
        <f t="shared" si="7"/>
        <v>5.2378333134645603</v>
      </c>
      <c r="AE17" s="17">
        <f t="shared" si="7"/>
        <v>5.4608418558748024</v>
      </c>
      <c r="AF17" s="17">
        <f t="shared" si="7"/>
        <v>5.6751054094577809</v>
      </c>
      <c r="AG17" s="17">
        <f t="shared" si="7"/>
        <v>17.407460454780399</v>
      </c>
      <c r="AH17" s="17">
        <f t="shared" si="7"/>
        <v>19.329026912416197</v>
      </c>
      <c r="AI17" s="17">
        <f t="shared" si="7"/>
        <v>21.192623507295629</v>
      </c>
      <c r="AJ17" s="17">
        <f t="shared" si="7"/>
        <v>22.954319984608535</v>
      </c>
      <c r="AK17" s="17">
        <f t="shared" si="7"/>
        <v>24.579398132551319</v>
      </c>
      <c r="AL17" s="17">
        <f t="shared" si="7"/>
        <v>26.044320517667277</v>
      </c>
      <c r="AM17" s="17">
        <f t="shared" si="7"/>
        <v>27.366941968256892</v>
      </c>
      <c r="AN17" s="17">
        <f t="shared" si="7"/>
        <v>28.515294814525209</v>
      </c>
      <c r="AO17" s="17">
        <f t="shared" si="7"/>
        <v>29.495499664652765</v>
      </c>
      <c r="AP17" s="17">
        <f t="shared" si="7"/>
        <v>30.349365373816088</v>
      </c>
      <c r="AQ17" s="17">
        <f t="shared" si="7"/>
        <v>31.062113630562923</v>
      </c>
      <c r="AR17" s="17">
        <f t="shared" si="7"/>
        <v>31.62048541401834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R20"/>
  <sheetViews>
    <sheetView workbookViewId="0"/>
  </sheetViews>
  <sheetFormatPr defaultRowHeight="14.4" x14ac:dyDescent="0.3"/>
  <cols>
    <col min="1" max="1" width="38" customWidth="1"/>
    <col min="2" max="2" width="10" customWidth="1"/>
    <col min="3" max="44" width="11" customWidth="1"/>
  </cols>
  <sheetData>
    <row r="1" spans="1:44" x14ac:dyDescent="0.3">
      <c r="A1" s="2" t="s">
        <v>338</v>
      </c>
    </row>
    <row r="3" spans="1:44" x14ac:dyDescent="0.3">
      <c r="A3" s="4" t="s">
        <v>328</v>
      </c>
      <c r="B3" s="4" t="s">
        <v>258</v>
      </c>
      <c r="C3" s="4" t="s">
        <v>259</v>
      </c>
      <c r="D3" s="4" t="s">
        <v>260</v>
      </c>
      <c r="E3" s="4" t="s">
        <v>261</v>
      </c>
      <c r="F3" s="4" t="s">
        <v>262</v>
      </c>
      <c r="G3" s="4" t="s">
        <v>263</v>
      </c>
      <c r="H3" s="4" t="s">
        <v>264</v>
      </c>
      <c r="I3" s="4" t="s">
        <v>265</v>
      </c>
      <c r="J3" s="4" t="s">
        <v>266</v>
      </c>
      <c r="K3" s="4" t="s">
        <v>267</v>
      </c>
      <c r="L3" s="4" t="s">
        <v>268</v>
      </c>
      <c r="M3" s="4" t="s">
        <v>269</v>
      </c>
      <c r="N3" s="4" t="s">
        <v>270</v>
      </c>
      <c r="O3" s="4" t="s">
        <v>271</v>
      </c>
      <c r="P3" s="4" t="s">
        <v>272</v>
      </c>
      <c r="Q3" s="4" t="s">
        <v>273</v>
      </c>
      <c r="R3" s="4" t="s">
        <v>274</v>
      </c>
      <c r="S3" s="4" t="s">
        <v>275</v>
      </c>
      <c r="T3" s="4" t="s">
        <v>276</v>
      </c>
      <c r="U3" s="4" t="s">
        <v>277</v>
      </c>
      <c r="V3" s="4" t="s">
        <v>278</v>
      </c>
      <c r="W3" s="4" t="s">
        <v>279</v>
      </c>
      <c r="X3" s="4" t="s">
        <v>280</v>
      </c>
      <c r="Y3" s="4" t="s">
        <v>281</v>
      </c>
      <c r="Z3" s="4" t="s">
        <v>282</v>
      </c>
      <c r="AA3" s="4" t="s">
        <v>283</v>
      </c>
      <c r="AB3" s="4" t="s">
        <v>284</v>
      </c>
      <c r="AC3" s="4" t="s">
        <v>285</v>
      </c>
      <c r="AD3" s="4" t="s">
        <v>286</v>
      </c>
      <c r="AE3" s="4" t="s">
        <v>287</v>
      </c>
      <c r="AF3" s="4" t="s">
        <v>288</v>
      </c>
      <c r="AG3" s="4" t="s">
        <v>289</v>
      </c>
      <c r="AH3" s="4" t="s">
        <v>290</v>
      </c>
      <c r="AI3" s="4" t="s">
        <v>291</v>
      </c>
      <c r="AJ3" s="4" t="s">
        <v>292</v>
      </c>
      <c r="AK3" s="4" t="s">
        <v>293</v>
      </c>
      <c r="AL3" s="4" t="s">
        <v>294</v>
      </c>
      <c r="AM3" s="4" t="s">
        <v>295</v>
      </c>
      <c r="AN3" s="4" t="s">
        <v>296</v>
      </c>
      <c r="AO3" s="4" t="s">
        <v>297</v>
      </c>
      <c r="AP3" s="4" t="s">
        <v>298</v>
      </c>
      <c r="AQ3" s="4" t="s">
        <v>299</v>
      </c>
      <c r="AR3" s="4" t="s">
        <v>300</v>
      </c>
    </row>
    <row r="4" spans="1:44" x14ac:dyDescent="0.3">
      <c r="A4" s="2" t="s">
        <v>339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</row>
    <row r="5" spans="1:44" x14ac:dyDescent="0.3">
      <c r="A5" s="5" t="s">
        <v>340</v>
      </c>
      <c r="B5" s="5" t="s">
        <v>144</v>
      </c>
      <c r="C5" s="11">
        <f>'Quy mô thị trường'!C15*cert_fee_yr1*(1+cert_fee_escalation)^'Quy mô thị trường'!C5/'Quy mô thị trường'!C6</f>
        <v>238.37366224777372</v>
      </c>
      <c r="D5" s="11">
        <f>'Quy mô thị trường'!D15*cert_fee_yr1*(1+cert_fee_escalation)^'Quy mô thị trường'!D5/'Quy mô thị trường'!D6</f>
        <v>250.87850630614369</v>
      </c>
      <c r="E5" s="11">
        <f>'Quy mô thị trường'!E15*cert_fee_yr1*(1+cert_fee_escalation)^'Quy mô thị trường'!E5/'Quy mô thị trường'!E6</f>
        <v>268.57538632238226</v>
      </c>
      <c r="F5" s="11">
        <f>'Quy mô thị trường'!F15*cert_fee_yr1*(1+cert_fee_escalation)^'Quy mô thị trường'!F5/'Quy mô thị trường'!F6</f>
        <v>287.34075623618179</v>
      </c>
      <c r="G5" s="11">
        <f>'Quy mô thị trường'!G15*cert_fee_yr1*(1+cert_fee_escalation)^'Quy mô thị trường'!G5/'Quy mô thị trường'!G6</f>
        <v>307.21672880185571</v>
      </c>
      <c r="H5" s="11">
        <f>'Quy mô thị trường'!H15*cert_fee_yr1*(1+cert_fee_escalation)^'Quy mô thị trường'!H5/'Quy mô thị trường'!H6</f>
        <v>326.16060049459276</v>
      </c>
      <c r="I5" s="11">
        <f>'Quy mô thị trường'!I15*cert_fee_yr1*(1+cert_fee_escalation)^'Quy mô thị trường'!I5/'Quy mô thị trường'!I6</f>
        <v>365.79654536378047</v>
      </c>
      <c r="J5" s="11">
        <f>'Quy mô thị trường'!J15*cert_fee_yr1*(1+cert_fee_escalation)^'Quy mô thị trường'!J5/'Quy mô thị trường'!J6</f>
        <v>390.41166283629673</v>
      </c>
      <c r="K5" s="11">
        <f>'Quy mô thị trường'!K15*cert_fee_yr1*(1+cert_fee_escalation)^'Quy mô thị trường'!K5/'Quy mô thị trường'!K6</f>
        <v>416.34849263856057</v>
      </c>
      <c r="L5" s="11">
        <f>'Quy mô thị trường'!L15*cert_fee_yr1*(1+cert_fee_escalation)^'Quy mô thị trường'!L5/'Quy mô thị trường'!L6</f>
        <v>443.63752118542737</v>
      </c>
      <c r="M5" s="11">
        <f>'Quy mô thị trường'!M15*cert_fee_yr1*(1+cert_fee_escalation)^'Quy mô thị trường'!M5/'Quy mô thị trường'!M6</f>
        <v>470.11699999165876</v>
      </c>
      <c r="N5" s="11">
        <f>'Quy mô thị trường'!N15*cert_fee_yr1*(1+cert_fee_escalation)^'Quy mô thị trường'!N5/'Quy mô thị trường'!N6</f>
        <v>500.18221178766015</v>
      </c>
      <c r="O5" s="11">
        <f>'Quy mô thị trường'!O15*cert_fee_yr1*(1+cert_fee_escalation)^'Quy mô thị trường'!O5/'Quy mô thị trường'!O6</f>
        <v>531.6597259774868</v>
      </c>
      <c r="P5" s="11">
        <f>'Quy mô thị trường'!P15*cert_fee_yr1*(1+cert_fee_escalation)^'Quy mô thị trường'!P5/'Quy mô thị trường'!P6</f>
        <v>564.55665725625988</v>
      </c>
      <c r="Q5" s="11">
        <f>'Quy mô thị trường'!Q15*cert_fee_yr1*(1+cert_fee_escalation)^'Quy mô thị trường'!Q5/'Quy mô thị trường'!Q6</f>
        <v>596.68494331511044</v>
      </c>
      <c r="R5" s="11">
        <f>'Quy mô thị trường'!R15*cert_fee_yr1*(1+cert_fee_escalation)^'Quy mô thị trường'!R5/'Quy mô thị trường'!R6</f>
        <v>632.4106594724758</v>
      </c>
      <c r="S5" s="11">
        <f>'Quy mô thị trường'!S15*cert_fee_yr1*(1+cert_fee_escalation)^'Quy mô thị trường'!S5/'Quy mô thị trường'!S6</f>
        <v>669.52838964681143</v>
      </c>
      <c r="T5" s="11">
        <f>'Quy mô thị trường'!T15*cert_fee_yr1*(1+cert_fee_escalation)^'Quy mô thị trường'!T5/'Quy mô thị trường'!T6</f>
        <v>708.01067419049048</v>
      </c>
      <c r="U5" s="11">
        <f>'Quy mô thị trường'!U15*cert_fee_yr1*(1+cert_fee_escalation)^'Quy mô thị trường'!U5/'Quy mô thị trường'!U6</f>
        <v>782.91418338983283</v>
      </c>
      <c r="V5" s="11">
        <f>'Quy mô thị trường'!V15*cert_fee_yr1*(1+cert_fee_escalation)^'Quy mô thị trường'!V5/'Quy mô thị trường'!V6</f>
        <v>826.05730511073307</v>
      </c>
      <c r="W5" s="11">
        <f>'Quy mô thị trường'!W15*cert_fee_yr1*(1+cert_fee_escalation)^'Quy mô thị trường'!W5/'Quy mô thị trường'!W6</f>
        <v>870.48246039786397</v>
      </c>
      <c r="X5" s="11">
        <f>'Quy mô thị trường'!X15*cert_fee_yr1*(1+cert_fee_escalation)^'Quy mô thị trường'!X5/'Quy mô thị trường'!X6</f>
        <v>913.82043629996008</v>
      </c>
      <c r="Y5" s="11">
        <f>'Quy mô thị trường'!Y15*cert_fee_yr1*(1+cert_fee_escalation)^'Quy mô thị trường'!Y5/'Quy mô thị trường'!Y6</f>
        <v>960.58168096510826</v>
      </c>
      <c r="Z5" s="11">
        <f>'Quy mô thị trường'!Z15*cert_fee_yr1*(1+cert_fee_escalation)^'Quy mô thị trường'!Z5/'Quy mô thị trường'!Z6</f>
        <v>1008.3753810109406</v>
      </c>
      <c r="AA5" s="11">
        <f>'Quy mô thị trường'!AA15*cert_fee_yr1*(1+cert_fee_escalation)^'Quy mô thị trường'!AA5/'Quy mô thị trường'!AA6</f>
        <v>1054.8006114274569</v>
      </c>
      <c r="AB5" s="11">
        <f>'Quy mô thị trường'!AB15*cert_fee_yr1*(1+cert_fee_escalation)^'Quy mô thị trường'!AB5/'Quy mô thị trường'!AB6</f>
        <v>1104.33768387655</v>
      </c>
      <c r="AC5" s="11">
        <f>'Quy mô thị trường'!AC15*cert_fee_yr1*(1+cert_fee_escalation)^'Quy mô thị trường'!AC5/'Quy mô thị trường'!AC6</f>
        <v>1152.2709380379108</v>
      </c>
      <c r="AD5" s="11">
        <f>'Quy mô thị trường'!AD15*cert_fee_yr1*(1+cert_fee_escalation)^'Quy mô thị trường'!AD5/'Quy mô thị trường'!AD6</f>
        <v>1203.0648391863913</v>
      </c>
      <c r="AE5" s="11">
        <f>'Quy mô thị trường'!AE15*cert_fee_yr1*(1+cert_fee_escalation)^'Quy mô thị trường'!AE5/'Quy mô thị trường'!AE6</f>
        <v>1254.2871137712434</v>
      </c>
      <c r="AF5" s="11">
        <f>'Quy mô thị trường'!AF15*cert_fee_yr1*(1+cert_fee_escalation)^'Quy mô thị trường'!AF5/'Quy mô thị trường'!AF6</f>
        <v>1303.500773734834</v>
      </c>
      <c r="AG5" s="11">
        <f>'Quy mô thị trường'!AG15*cert_fee_yr1*(1+cert_fee_escalation)^'Quy mô thị trường'!AG5/'Quy mô thị trường'!AG6</f>
        <v>4198.189876867742</v>
      </c>
      <c r="AH5" s="11">
        <f>'Quy mô thị trường'!AH15*cert_fee_yr1*(1+cert_fee_escalation)^'Quy mô thị trường'!AH5/'Quy mô thị trường'!AH6</f>
        <v>4661.6176623928759</v>
      </c>
      <c r="AI5" s="11">
        <f>'Quy mô thị trường'!AI15*cert_fee_yr1*(1+cert_fee_escalation)^'Quy mô thị trường'!AI5/'Quy mô thị trường'!AI6</f>
        <v>5111.0647474235629</v>
      </c>
      <c r="AJ5" s="11">
        <f>'Quy mô thị trường'!AJ15*cert_fee_yr1*(1+cert_fee_escalation)^'Quy mô thị trường'!AJ5/'Quy mô thị trường'!AJ6</f>
        <v>5535.9363900380122</v>
      </c>
      <c r="AK5" s="11">
        <f>'Quy mô thị trường'!AK15*cert_fee_yr1*(1+cert_fee_escalation)^'Quy mô thị trường'!AK5/'Quy mô thị trường'!AK6</f>
        <v>6224.2525106988451</v>
      </c>
      <c r="AL5" s="11">
        <f>'Quy mô thị trường'!AL15*cert_fee_yr1*(1+cert_fee_escalation)^'Quy mô thị trường'!AL5/'Quy mô thị trường'!AL6</f>
        <v>6595.2154929641274</v>
      </c>
      <c r="AM5" s="11">
        <f>'Quy mô thị trường'!AM15*cert_fee_yr1*(1+cert_fee_escalation)^'Quy mô thị trường'!AM5/'Quy mô thị trường'!AM6</f>
        <v>6930.1435428757395</v>
      </c>
      <c r="AN5" s="11">
        <f>'Quy mô thị trường'!AN15*cert_fee_yr1*(1+cert_fee_escalation)^'Quy mô thị trường'!AN5/'Quy mô thị trường'!AN6</f>
        <v>7220.9414724266626</v>
      </c>
      <c r="AO5" s="11">
        <f>'Quy mô thị trường'!AO15*cert_fee_yr1*(1+cert_fee_escalation)^'Quy mô thị trường'!AO5/'Quy mô thị trường'!AO6</f>
        <v>7842.6171664002632</v>
      </c>
      <c r="AP5" s="11">
        <f>'Quy mô thị trường'!AP15*cert_fee_yr1*(1+cert_fee_escalation)^'Quy mô thị trường'!AP5/'Quy mô thị trường'!AP6</f>
        <v>8069.6532208702911</v>
      </c>
      <c r="AQ5" s="11">
        <f>'Quy mô thị trường'!AQ15*cert_fee_yr1*(1+cert_fee_escalation)^'Quy mô thị trường'!AQ5/'Quy mô thị trường'!AQ6</f>
        <v>8259.1672747848752</v>
      </c>
      <c r="AR5" s="11">
        <f>'Quy mô thị trường'!AR15*cert_fee_yr1*(1+cert_fee_escalation)^'Quy mô thị trường'!AR5/'Quy mô thị trường'!AR6</f>
        <v>8407.6338606691224</v>
      </c>
    </row>
    <row r="6" spans="1:44" x14ac:dyDescent="0.3">
      <c r="A6" s="5" t="s">
        <v>341</v>
      </c>
      <c r="B6" s="5" t="s">
        <v>144</v>
      </c>
      <c r="C6" s="11">
        <f>'Quy mô thị trường'!C15*training_pct*training_fee/'Quy mô thị trường'!C6</f>
        <v>42.907259204599278</v>
      </c>
      <c r="D6" s="11">
        <f>'Quy mô thị trường'!D15*training_pct*training_fee/'Quy mô thị trường'!D6</f>
        <v>45.158131135105862</v>
      </c>
      <c r="E6" s="11">
        <f>'Quy mô thị trường'!E15*training_pct*training_fee/'Quy mô thị trường'!E6</f>
        <v>48.34356953802881</v>
      </c>
      <c r="F6" s="11">
        <f>'Quy mô thị trường'!F15*training_pct*training_fee/'Quy mô thị trường'!F6</f>
        <v>51.721336122512717</v>
      </c>
      <c r="G6" s="11">
        <f>'Quy mô thị trường'!G15*training_pct*training_fee/'Quy mô thị trường'!G6</f>
        <v>55.299011184334034</v>
      </c>
      <c r="H6" s="11">
        <f>'Quy mô thị trường'!H15*training_pct*training_fee/'Quy mô thị trường'!H6</f>
        <v>58.708908089026693</v>
      </c>
      <c r="I6" s="11">
        <f>'Quy mô thị trường'!I15*training_pct*training_fee/'Quy mô thị trường'!I6</f>
        <v>62.707979205219509</v>
      </c>
      <c r="J6" s="11">
        <f>'Quy mô thị trường'!J15*training_pct*training_fee/'Quy mô thị trường'!J6</f>
        <v>66.927713629079435</v>
      </c>
      <c r="K6" s="11">
        <f>'Quy mô thị trường'!K15*training_pct*training_fee/'Quy mô thị trường'!K6</f>
        <v>71.374027309467508</v>
      </c>
      <c r="L6" s="11">
        <f>'Quy mô thị trường'!L15*training_pct*training_fee/'Quy mô thị trường'!L6</f>
        <v>76.052146488930404</v>
      </c>
      <c r="M6" s="11">
        <f>'Quy mô thị trường'!M15*training_pct*training_fee/'Quy mô thị trường'!M6</f>
        <v>80.591485712855771</v>
      </c>
      <c r="N6" s="11">
        <f>'Quy mô thị trường'!N15*training_pct*training_fee/'Quy mô thị trường'!N6</f>
        <v>85.745522020741717</v>
      </c>
      <c r="O6" s="11">
        <f>'Quy mô thị trường'!O15*training_pct*training_fee/'Quy mô thị trường'!O6</f>
        <v>91.141667310426286</v>
      </c>
      <c r="P6" s="11">
        <f>'Quy mô thị trường'!P15*training_pct*training_fee/'Quy mô thị trường'!P6</f>
        <v>96.781141243930264</v>
      </c>
      <c r="Q6" s="11">
        <f>'Quy mô thị trường'!Q15*training_pct*training_fee/'Quy mô thị trường'!Q6</f>
        <v>102.2888474254475</v>
      </c>
      <c r="R6" s="11">
        <f>'Quy mô thị trường'!R15*training_pct*training_fee/'Quy mô thị trường'!R6</f>
        <v>108.41325590956727</v>
      </c>
      <c r="S6" s="11">
        <f>'Quy mô thị trường'!S15*training_pct*training_fee/'Quy mô thị trường'!S6</f>
        <v>114.7762953680248</v>
      </c>
      <c r="T6" s="11">
        <f>'Quy mô thị trường'!T15*training_pct*training_fee/'Quy mô thị trường'!T6</f>
        <v>121.37325843265548</v>
      </c>
      <c r="U6" s="11">
        <f>'Quy mô thị trường'!U15*training_pct*training_fee/'Quy mô thị trường'!U6</f>
        <v>127.8227238187482</v>
      </c>
      <c r="V6" s="11">
        <f>'Quy mô thị trường'!V15*training_pct*training_fee/'Quy mô thị trường'!V6</f>
        <v>134.86649879358907</v>
      </c>
      <c r="W6" s="11">
        <f>'Quy mô thị trường'!W15*training_pct*training_fee/'Quy mô thị trường'!W6</f>
        <v>142.11958537107984</v>
      </c>
      <c r="X6" s="11">
        <f>'Quy mô thị trường'!X15*training_pct*training_fee/'Quy mô thị trường'!X6</f>
        <v>149.19517327346284</v>
      </c>
      <c r="Y6" s="11">
        <f>'Quy mô thị trường'!Y15*training_pct*training_fee/'Quy mô thị trường'!Y6</f>
        <v>156.82966219838502</v>
      </c>
      <c r="Z6" s="11">
        <f>'Quy mô thị trường'!Z15*training_pct*training_fee/'Quy mô thị trường'!Z6</f>
        <v>164.63271526709232</v>
      </c>
      <c r="AA6" s="11">
        <f>'Quy mô thị trường'!AA15*training_pct*training_fee/'Quy mô thị trường'!AA6</f>
        <v>172.21234472285008</v>
      </c>
      <c r="AB6" s="11">
        <f>'Quy mô thị trường'!AB15*training_pct*training_fee/'Quy mô thị trường'!AB6</f>
        <v>180.30003002066121</v>
      </c>
      <c r="AC6" s="11">
        <f>'Quy mô thị trường'!AC15*training_pct*training_fee/'Quy mô thị trường'!AC6</f>
        <v>188.12586743476092</v>
      </c>
      <c r="AD6" s="11">
        <f>'Quy mô thị trường'!AD15*training_pct*training_fee/'Quy mô thị trường'!AD6</f>
        <v>196.41874925492098</v>
      </c>
      <c r="AE6" s="11">
        <f>'Quy mô thị trường'!AE15*training_pct*training_fee/'Quy mô thị trường'!AE6</f>
        <v>204.78156959530506</v>
      </c>
      <c r="AF6" s="11">
        <f>'Quy mô thị trường'!AF15*training_pct*training_fee/'Quy mô thị trường'!AF6</f>
        <v>212.81645285466678</v>
      </c>
      <c r="AG6" s="11">
        <f>'Quy mô thị trường'!AG15*training_pct*training_fee/'Quy mô thị trường'!AG6</f>
        <v>652.77976705426499</v>
      </c>
      <c r="AH6" s="11">
        <f>'Quy mô thị trường'!AH15*training_pct*training_fee/'Quy mô thị trường'!AH6</f>
        <v>724.83850921560736</v>
      </c>
      <c r="AI6" s="11">
        <f>'Quy mô thị trường'!AI15*training_pct*training_fee/'Quy mô thị trường'!AI6</f>
        <v>794.72338152358589</v>
      </c>
      <c r="AJ6" s="11">
        <f>'Quy mô thị trường'!AJ15*training_pct*training_fee/'Quy mô thị trường'!AJ6</f>
        <v>860.78699942282003</v>
      </c>
      <c r="AK6" s="11">
        <f>'Quy mô thị trường'!AK15*training_pct*training_fee/'Quy mô thị trường'!AK6</f>
        <v>921.72742997067439</v>
      </c>
      <c r="AL6" s="11">
        <f>'Quy mô thị trường'!AL15*training_pct*training_fee/'Quy mô thị trường'!AL6</f>
        <v>976.66201941252302</v>
      </c>
      <c r="AM6" s="11">
        <f>'Quy mô thị trường'!AM15*training_pct*training_fee/'Quy mô thị trường'!AM6</f>
        <v>1026.2603238096331</v>
      </c>
      <c r="AN6" s="11">
        <f>'Quy mô thị trường'!AN15*training_pct*training_fee/'Quy mô thị trường'!AN6</f>
        <v>1069.3235555446954</v>
      </c>
      <c r="AO6" s="11">
        <f>'Quy mô thị trường'!AO15*training_pct*training_fee/'Quy mô thị trường'!AO6</f>
        <v>1106.0812374244786</v>
      </c>
      <c r="AP6" s="11">
        <f>'Quy mô thị trường'!AP15*training_pct*training_fee/'Quy mô thị trường'!AP6</f>
        <v>1138.1012015181034</v>
      </c>
      <c r="AQ6" s="11">
        <f>'Quy mô thị trường'!AQ15*training_pct*training_fee/'Quy mô thị trường'!AQ6</f>
        <v>1164.8292611461097</v>
      </c>
      <c r="AR6" s="11">
        <f>'Quy mô thị trường'!AR15*training_pct*training_fee/'Quy mô thị trường'!AR6</f>
        <v>1185.7682030256876</v>
      </c>
    </row>
    <row r="7" spans="1:44" x14ac:dyDescent="0.3">
      <c r="A7" s="5" t="s">
        <v>342</v>
      </c>
      <c r="B7" s="5" t="s">
        <v>144</v>
      </c>
      <c r="C7" s="11">
        <f>'Quy mô thị trường'!C15*audit_fee/'Quy mô thị trường'!C6</f>
        <v>95.349464899109492</v>
      </c>
      <c r="D7" s="11">
        <f>'Quy mô thị trường'!D15*audit_fee/'Quy mô thị trường'!D6</f>
        <v>100.35140252245749</v>
      </c>
      <c r="E7" s="11">
        <f>'Quy mô thị trường'!E15*audit_fee/'Quy mô thị trường'!E6</f>
        <v>107.43015452895291</v>
      </c>
      <c r="F7" s="11">
        <f>'Quy mô thị trường'!F15*audit_fee/'Quy mô thị trường'!F6</f>
        <v>114.93630249447271</v>
      </c>
      <c r="G7" s="11">
        <f>'Quy mô thị trường'!G15*audit_fee/'Quy mô thị trường'!G6</f>
        <v>122.8866915207423</v>
      </c>
      <c r="H7" s="11">
        <f>'Quy mô thị trường'!H15*audit_fee/'Quy mô thị trường'!H6</f>
        <v>130.46424019783709</v>
      </c>
      <c r="I7" s="11">
        <f>'Quy mô thị trường'!I15*audit_fee/'Quy mô thị trường'!I6</f>
        <v>139.35106490048778</v>
      </c>
      <c r="J7" s="11">
        <f>'Quy mô thị trường'!J15*audit_fee/'Quy mô thị trường'!J6</f>
        <v>148.72825250906541</v>
      </c>
      <c r="K7" s="11">
        <f>'Quy mô thị trường'!K15*audit_fee/'Quy mô thị trường'!K6</f>
        <v>158.60894957659448</v>
      </c>
      <c r="L7" s="11">
        <f>'Quy mô thị trường'!L15*audit_fee/'Quy mô thị trường'!L6</f>
        <v>169.00476997540088</v>
      </c>
      <c r="M7" s="11">
        <f>'Quy mô thị trường'!M15*audit_fee/'Quy mô thị trường'!M6</f>
        <v>179.09219047301283</v>
      </c>
      <c r="N7" s="11">
        <f>'Quy mô thị trường'!N15*audit_fee/'Quy mô thị trường'!N6</f>
        <v>190.54560449053722</v>
      </c>
      <c r="O7" s="11">
        <f>'Quy mô thị trường'!O15*audit_fee/'Quy mô thị trường'!O6</f>
        <v>202.537038467614</v>
      </c>
      <c r="P7" s="11">
        <f>'Quy mô thị trường'!P15*audit_fee/'Quy mô thị trường'!P6</f>
        <v>215.06920276428946</v>
      </c>
      <c r="Q7" s="11">
        <f>'Quy mô thị trường'!Q15*audit_fee/'Quy mô thị trường'!Q6</f>
        <v>227.30854983432778</v>
      </c>
      <c r="R7" s="11">
        <f>'Quy mô thị trường'!R15*audit_fee/'Quy mô thị trường'!R6</f>
        <v>240.91834646570501</v>
      </c>
      <c r="S7" s="11">
        <f>'Quy mô thị trường'!S15*audit_fee/'Quy mô thị trường'!S6</f>
        <v>255.05843415116624</v>
      </c>
      <c r="T7" s="11">
        <f>'Quy mô thị trường'!T15*audit_fee/'Quy mô thị trường'!T6</f>
        <v>269.71835207256771</v>
      </c>
      <c r="U7" s="11">
        <f>'Quy mô thị trường'!U15*audit_fee/'Quy mô thị trường'!U6</f>
        <v>284.05049737499598</v>
      </c>
      <c r="V7" s="11">
        <f>'Quy mô thị trường'!V15*audit_fee/'Quy mô thị trường'!V6</f>
        <v>299.70333065242016</v>
      </c>
      <c r="W7" s="11">
        <f>'Quy mô thị trường'!W15*audit_fee/'Quy mô thị trường'!W6</f>
        <v>315.82130082462186</v>
      </c>
      <c r="X7" s="11">
        <f>'Quy mô thị trường'!X15*audit_fee/'Quy mô thị trường'!X6</f>
        <v>331.5448294965841</v>
      </c>
      <c r="Y7" s="11">
        <f>'Quy mô thị trường'!Y15*audit_fee/'Quy mô thị trường'!Y6</f>
        <v>348.51036044085566</v>
      </c>
      <c r="Z7" s="11">
        <f>'Quy mô thị trường'!Z15*audit_fee/'Quy mô thị trường'!Z6</f>
        <v>365.85047837131629</v>
      </c>
      <c r="AA7" s="11">
        <f>'Quy mô thị trường'!AA15*audit_fee/'Quy mô thị trường'!AA6</f>
        <v>382.69409938411133</v>
      </c>
      <c r="AB7" s="11">
        <f>'Quy mô thị trường'!AB15*audit_fee/'Quy mô thị trường'!AB6</f>
        <v>400.6667333792472</v>
      </c>
      <c r="AC7" s="11">
        <f>'Quy mô thị trường'!AC15*audit_fee/'Quy mô thị trường'!AC6</f>
        <v>418.05748318835759</v>
      </c>
      <c r="AD7" s="11">
        <f>'Quy mô thị trường'!AD15*audit_fee/'Quy mô thị trường'!AD6</f>
        <v>436.48610945538007</v>
      </c>
      <c r="AE7" s="11">
        <f>'Quy mô thị trường'!AE15*audit_fee/'Quy mô thị trường'!AE6</f>
        <v>455.07015465623346</v>
      </c>
      <c r="AF7" s="11">
        <f>'Quy mô thị trường'!AF15*audit_fee/'Quy mô thị trường'!AF6</f>
        <v>472.92545078814845</v>
      </c>
      <c r="AG7" s="11">
        <f>'Quy mô thị trường'!AG15*audit_fee/'Quy mô thị trường'!AG6</f>
        <v>1450.6217045650333</v>
      </c>
      <c r="AH7" s="11">
        <f>'Quy mô thị trường'!AH15*audit_fee/'Quy mô thị trường'!AH6</f>
        <v>1610.7522427013498</v>
      </c>
      <c r="AI7" s="11">
        <f>'Quy mô thị trường'!AI15*audit_fee/'Quy mô thị trường'!AI6</f>
        <v>1766.0519589413022</v>
      </c>
      <c r="AJ7" s="11">
        <f>'Quy mô thị trường'!AJ15*audit_fee/'Quy mô thị trường'!AJ6</f>
        <v>1912.8599987173779</v>
      </c>
      <c r="AK7" s="11">
        <f>'Quy mô thị trường'!AK15*audit_fee/'Quy mô thị trường'!AK6</f>
        <v>2048.2831777126098</v>
      </c>
      <c r="AL7" s="11">
        <f>'Quy mô thị trường'!AL15*audit_fee/'Quy mô thị trường'!AL6</f>
        <v>2170.36004313894</v>
      </c>
      <c r="AM7" s="11">
        <f>'Quy mô thị trường'!AM15*audit_fee/'Quy mô thị trường'!AM6</f>
        <v>2280.5784973547406</v>
      </c>
      <c r="AN7" s="11">
        <f>'Quy mô thị trường'!AN15*audit_fee/'Quy mô thị trường'!AN6</f>
        <v>2376.2745678771007</v>
      </c>
      <c r="AO7" s="11">
        <f>'Quy mô thị trường'!AO15*audit_fee/'Quy mô thị trường'!AO6</f>
        <v>2457.9583053877304</v>
      </c>
      <c r="AP7" s="11">
        <f>'Quy mô thị trường'!AP15*audit_fee/'Quy mô thị trường'!AP6</f>
        <v>2529.1137811513408</v>
      </c>
      <c r="AQ7" s="11">
        <f>'Quy mô thị trường'!AQ15*audit_fee/'Quy mô thị trường'!AQ6</f>
        <v>2588.5094692135772</v>
      </c>
      <c r="AR7" s="11">
        <f>'Quy mô thị trường'!AR15*audit_fee/'Quy mô thị trường'!AR6</f>
        <v>2635.040451168195</v>
      </c>
    </row>
    <row r="8" spans="1:44" x14ac:dyDescent="0.3">
      <c r="A8" s="5" t="s">
        <v>343</v>
      </c>
      <c r="C8" s="10">
        <f t="shared" ref="C8:AR8" si="0">SUM(C5:C7)</f>
        <v>376.63038635148246</v>
      </c>
      <c r="D8" s="10">
        <f t="shared" si="0"/>
        <v>396.38803996370706</v>
      </c>
      <c r="E8" s="10">
        <f t="shared" si="0"/>
        <v>424.349110389364</v>
      </c>
      <c r="F8" s="10">
        <f t="shared" si="0"/>
        <v>453.99839485316721</v>
      </c>
      <c r="G8" s="10">
        <f t="shared" si="0"/>
        <v>485.40243150693203</v>
      </c>
      <c r="H8" s="10">
        <f t="shared" si="0"/>
        <v>515.33374878145651</v>
      </c>
      <c r="I8" s="10">
        <f t="shared" si="0"/>
        <v>567.85558946948777</v>
      </c>
      <c r="J8" s="10">
        <f t="shared" si="0"/>
        <v>606.06762897444162</v>
      </c>
      <c r="K8" s="10">
        <f t="shared" si="0"/>
        <v>646.33146952462255</v>
      </c>
      <c r="L8" s="10">
        <f t="shared" si="0"/>
        <v>688.6944376497587</v>
      </c>
      <c r="M8" s="10">
        <f t="shared" si="0"/>
        <v>729.80067617752729</v>
      </c>
      <c r="N8" s="10">
        <f t="shared" si="0"/>
        <v>776.4733382989391</v>
      </c>
      <c r="O8" s="10">
        <f t="shared" si="0"/>
        <v>825.33843175552715</v>
      </c>
      <c r="P8" s="10">
        <f t="shared" si="0"/>
        <v>876.40700126447962</v>
      </c>
      <c r="Q8" s="10">
        <f t="shared" si="0"/>
        <v>926.28234057488567</v>
      </c>
      <c r="R8" s="10">
        <f t="shared" si="0"/>
        <v>981.74226184774807</v>
      </c>
      <c r="S8" s="10">
        <f t="shared" si="0"/>
        <v>1039.3631191660024</v>
      </c>
      <c r="T8" s="10">
        <f t="shared" si="0"/>
        <v>1099.1022846957137</v>
      </c>
      <c r="U8" s="10">
        <f t="shared" si="0"/>
        <v>1194.787404583577</v>
      </c>
      <c r="V8" s="10">
        <f t="shared" si="0"/>
        <v>1260.6271345567422</v>
      </c>
      <c r="W8" s="10">
        <f t="shared" si="0"/>
        <v>1328.4233465935656</v>
      </c>
      <c r="X8" s="10">
        <f t="shared" si="0"/>
        <v>1394.5604390700069</v>
      </c>
      <c r="Y8" s="10">
        <f t="shared" si="0"/>
        <v>1465.921703604349</v>
      </c>
      <c r="Z8" s="10">
        <f t="shared" si="0"/>
        <v>1538.8585746493493</v>
      </c>
      <c r="AA8" s="10">
        <f t="shared" si="0"/>
        <v>1609.7070555344183</v>
      </c>
      <c r="AB8" s="10">
        <f t="shared" si="0"/>
        <v>1685.3044472764584</v>
      </c>
      <c r="AC8" s="10">
        <f t="shared" si="0"/>
        <v>1758.4542886610293</v>
      </c>
      <c r="AD8" s="10">
        <f t="shared" si="0"/>
        <v>1835.9696978966924</v>
      </c>
      <c r="AE8" s="10">
        <f t="shared" si="0"/>
        <v>1914.1388380227818</v>
      </c>
      <c r="AF8" s="10">
        <f t="shared" si="0"/>
        <v>1989.2426773776492</v>
      </c>
      <c r="AG8" s="10">
        <f t="shared" si="0"/>
        <v>6301.5913484870398</v>
      </c>
      <c r="AH8" s="10">
        <f t="shared" si="0"/>
        <v>6997.2084143098336</v>
      </c>
      <c r="AI8" s="10">
        <f t="shared" si="0"/>
        <v>7671.8400878884513</v>
      </c>
      <c r="AJ8" s="10">
        <f t="shared" si="0"/>
        <v>8309.583388178211</v>
      </c>
      <c r="AK8" s="10">
        <f t="shared" si="0"/>
        <v>9194.2631183821286</v>
      </c>
      <c r="AL8" s="10">
        <f t="shared" si="0"/>
        <v>9742.2375555155904</v>
      </c>
      <c r="AM8" s="10">
        <f t="shared" si="0"/>
        <v>10236.982364040112</v>
      </c>
      <c r="AN8" s="10">
        <f t="shared" si="0"/>
        <v>10666.539595848459</v>
      </c>
      <c r="AO8" s="10">
        <f t="shared" si="0"/>
        <v>11406.656709212471</v>
      </c>
      <c r="AP8" s="10">
        <f t="shared" si="0"/>
        <v>11736.868203539736</v>
      </c>
      <c r="AQ8" s="10">
        <f t="shared" si="0"/>
        <v>12012.506005144562</v>
      </c>
      <c r="AR8" s="10">
        <f t="shared" si="0"/>
        <v>12228.442514863005</v>
      </c>
    </row>
    <row r="10" spans="1:44" x14ac:dyDescent="0.3">
      <c r="A10" s="2" t="s">
        <v>344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</row>
    <row r="11" spans="1:44" x14ac:dyDescent="0.3">
      <c r="A11" s="5" t="s">
        <v>345</v>
      </c>
      <c r="B11" s="5" t="s">
        <v>144</v>
      </c>
      <c r="C11" s="11">
        <f>IF('Quy mô thị trường'!C15&gt;=stage2_gate,'Quy mô thị trường'!C10*platform_market_share*tx_take_rate*1000,0)</f>
        <v>0</v>
      </c>
      <c r="D11" s="11">
        <f>IF('Quy mô thị trường'!D15&gt;=stage2_gate,'Quy mô thị trường'!D10*platform_market_share*tx_take_rate*1000,0)</f>
        <v>0</v>
      </c>
      <c r="E11" s="11">
        <f>IF('Quy mô thị trường'!E15&gt;=stage2_gate,'Quy mô thị trường'!E10*platform_market_share*tx_take_rate*1000,0)</f>
        <v>0</v>
      </c>
      <c r="F11" s="11">
        <f>IF('Quy mô thị trường'!F15&gt;=stage2_gate,'Quy mô thị trường'!F10*platform_market_share*tx_take_rate*1000,0)</f>
        <v>0</v>
      </c>
      <c r="G11" s="11">
        <f>IF('Quy mô thị trường'!G15&gt;=stage2_gate,'Quy mô thị trường'!G10*platform_market_share*tx_take_rate*1000,0)</f>
        <v>0</v>
      </c>
      <c r="H11" s="11">
        <f>IF('Quy mô thị trường'!H15&gt;=stage2_gate,'Quy mô thị trường'!H10*platform_market_share*tx_take_rate*1000,0)</f>
        <v>0</v>
      </c>
      <c r="I11" s="11">
        <f>IF('Quy mô thị trường'!I15&gt;=stage2_gate,'Quy mô thị trường'!I10*platform_market_share*tx_take_rate*1000,0)</f>
        <v>0</v>
      </c>
      <c r="J11" s="11">
        <f>IF('Quy mô thị trường'!J15&gt;=stage2_gate,'Quy mô thị trường'!J10*platform_market_share*tx_take_rate*1000,0)</f>
        <v>0</v>
      </c>
      <c r="K11" s="11">
        <f>IF('Quy mô thị trường'!K15&gt;=stage2_gate,'Quy mô thị trường'!K10*platform_market_share*tx_take_rate*1000,0)</f>
        <v>0</v>
      </c>
      <c r="L11" s="11">
        <f>IF('Quy mô thị trường'!L15&gt;=stage2_gate,'Quy mô thị trường'!L10*platform_market_share*tx_take_rate*1000,0)</f>
        <v>0</v>
      </c>
      <c r="M11" s="11">
        <f>IF('Quy mô thị trường'!M15&gt;=stage2_gate,'Quy mô thị trường'!M10*platform_market_share*tx_take_rate*1000,0)</f>
        <v>0</v>
      </c>
      <c r="N11" s="11">
        <f>IF('Quy mô thị trường'!N15&gt;=stage2_gate,'Quy mô thị trường'!N10*platform_market_share*tx_take_rate*1000,0)</f>
        <v>0</v>
      </c>
      <c r="O11" s="11">
        <f>IF('Quy mô thị trường'!O15&gt;=stage2_gate,'Quy mô thị trường'!O10*platform_market_share*tx_take_rate*1000,0)</f>
        <v>0</v>
      </c>
      <c r="P11" s="11">
        <f>IF('Quy mô thị trường'!P15&gt;=stage2_gate,'Quy mô thị trường'!P10*platform_market_share*tx_take_rate*1000,0)</f>
        <v>0</v>
      </c>
      <c r="Q11" s="11">
        <f>IF('Quy mô thị trường'!Q15&gt;=stage2_gate,'Quy mô thị trường'!Q10*platform_market_share*tx_take_rate*1000,0)</f>
        <v>0</v>
      </c>
      <c r="R11" s="11">
        <f>IF('Quy mô thị trường'!R15&gt;=stage2_gate,'Quy mô thị trường'!R10*platform_market_share*tx_take_rate*1000,0)</f>
        <v>0</v>
      </c>
      <c r="S11" s="11">
        <f>IF('Quy mô thị trường'!S15&gt;=stage2_gate,'Quy mô thị trường'!S10*platform_market_share*tx_take_rate*1000,0)</f>
        <v>2970</v>
      </c>
      <c r="T11" s="11">
        <f>IF('Quy mô thị trường'!T15&gt;=stage2_gate,'Quy mô thị trường'!T10*platform_market_share*tx_take_rate*1000,0)</f>
        <v>2970</v>
      </c>
      <c r="U11" s="11">
        <f>IF('Quy mô thị trường'!U15&gt;=stage2_gate,'Quy mô thị trường'!U10*platform_market_share*tx_take_rate*1000,0)</f>
        <v>3207.6000000000008</v>
      </c>
      <c r="V11" s="11">
        <f>IF('Quy mô thị trường'!V15&gt;=stage2_gate,'Quy mô thị trường'!V10*platform_market_share*tx_take_rate*1000,0)</f>
        <v>3207.6000000000008</v>
      </c>
      <c r="W11" s="11">
        <f>IF('Quy mô thị trường'!W15&gt;=stage2_gate,'Quy mô thị trường'!W10*platform_market_share*tx_take_rate*1000,0)</f>
        <v>3207.6000000000008</v>
      </c>
      <c r="X11" s="11">
        <f>IF('Quy mô thị trường'!X15&gt;=stage2_gate,'Quy mô thị trường'!X10*platform_market_share*tx_take_rate*1000,0)</f>
        <v>3207.6000000000008</v>
      </c>
      <c r="Y11" s="11">
        <f>IF('Quy mô thị trường'!Y15&gt;=stage2_gate,'Quy mô thị trường'!Y10*platform_market_share*tx_take_rate*1000,0)</f>
        <v>3207.6000000000008</v>
      </c>
      <c r="Z11" s="11">
        <f>IF('Quy mô thị trường'!Z15&gt;=stage2_gate,'Quy mô thị trường'!Z10*platform_market_share*tx_take_rate*1000,0)</f>
        <v>3207.6000000000008</v>
      </c>
      <c r="AA11" s="11">
        <f>IF('Quy mô thị trường'!AA15&gt;=stage2_gate,'Quy mô thị trường'!AA10*platform_market_share*tx_take_rate*1000,0)</f>
        <v>3207.6000000000008</v>
      </c>
      <c r="AB11" s="11">
        <f>IF('Quy mô thị trường'!AB15&gt;=stage2_gate,'Quy mô thị trường'!AB10*platform_market_share*tx_take_rate*1000,0)</f>
        <v>3207.6000000000008</v>
      </c>
      <c r="AC11" s="11">
        <f>IF('Quy mô thị trường'!AC15&gt;=stage2_gate,'Quy mô thị trường'!AC10*platform_market_share*tx_take_rate*1000,0)</f>
        <v>3207.6000000000008</v>
      </c>
      <c r="AD11" s="11">
        <f>IF('Quy mô thị trường'!AD15&gt;=stage2_gate,'Quy mô thị trường'!AD10*platform_market_share*tx_take_rate*1000,0)</f>
        <v>3207.6000000000008</v>
      </c>
      <c r="AE11" s="11">
        <f>IF('Quy mô thị trường'!AE15&gt;=stage2_gate,'Quy mô thị trường'!AE10*platform_market_share*tx_take_rate*1000,0)</f>
        <v>3207.6000000000008</v>
      </c>
      <c r="AF11" s="11">
        <f>IF('Quy mô thị trường'!AF15&gt;=stage2_gate,'Quy mô thị trường'!AF10*platform_market_share*tx_take_rate*1000,0)</f>
        <v>3207.6000000000008</v>
      </c>
      <c r="AG11" s="11">
        <f>IF('Quy mô thị trường'!AG15&gt;=stage2_gate,'Quy mô thị trường'!AG10*platform_market_share*tx_take_rate*1000,0)</f>
        <v>10392.624000000003</v>
      </c>
      <c r="AH11" s="11">
        <f>IF('Quy mô thị trường'!AH15&gt;=stage2_gate,'Quy mô thị trường'!AH10*platform_market_share*tx_take_rate*1000,0)</f>
        <v>10392.624000000003</v>
      </c>
      <c r="AI11" s="11">
        <f>IF('Quy mô thị trường'!AI15&gt;=stage2_gate,'Quy mô thị trường'!AI10*platform_market_share*tx_take_rate*1000,0)</f>
        <v>10392.624000000003</v>
      </c>
      <c r="AJ11" s="11">
        <f>IF('Quy mô thị trường'!AJ15&gt;=stage2_gate,'Quy mô thị trường'!AJ10*platform_market_share*tx_take_rate*1000,0)</f>
        <v>10392.624000000003</v>
      </c>
      <c r="AK11" s="11">
        <f>IF('Quy mô thị trường'!AK15&gt;=stage2_gate,'Quy mô thị trường'!AK10*platform_market_share*tx_take_rate*1000,0)</f>
        <v>11224.033920000003</v>
      </c>
      <c r="AL11" s="11">
        <f>IF('Quy mô thị trường'!AL15&gt;=stage2_gate,'Quy mô thị trường'!AL10*platform_market_share*tx_take_rate*1000,0)</f>
        <v>11224.033920000003</v>
      </c>
      <c r="AM11" s="11">
        <f>IF('Quy mô thị trường'!AM15&gt;=stage2_gate,'Quy mô thị trường'!AM10*platform_market_share*tx_take_rate*1000,0)</f>
        <v>11224.033920000003</v>
      </c>
      <c r="AN11" s="11">
        <f>IF('Quy mô thị trường'!AN15&gt;=stage2_gate,'Quy mô thị trường'!AN10*platform_market_share*tx_take_rate*1000,0)</f>
        <v>11224.033920000003</v>
      </c>
      <c r="AO11" s="11">
        <f>IF('Quy mô thị trường'!AO15&gt;=stage2_gate,'Quy mô thị trường'!AO10*platform_market_share*tx_take_rate*1000,0)</f>
        <v>12121.956633600004</v>
      </c>
      <c r="AP11" s="11">
        <f>IF('Quy mô thị trường'!AP15&gt;=stage2_gate,'Quy mô thị trường'!AP10*platform_market_share*tx_take_rate*1000,0)</f>
        <v>12121.956633600004</v>
      </c>
      <c r="AQ11" s="11">
        <f>IF('Quy mô thị trường'!AQ15&gt;=stage2_gate,'Quy mô thị trường'!AQ10*platform_market_share*tx_take_rate*1000,0)</f>
        <v>12121.956633600004</v>
      </c>
      <c r="AR11" s="11">
        <f>IF('Quy mô thị trường'!AR15&gt;=stage2_gate,'Quy mô thị trường'!AR10*platform_market_share*tx_take_rate*1000,0)</f>
        <v>12121.956633600004</v>
      </c>
    </row>
    <row r="12" spans="1:44" x14ac:dyDescent="0.3">
      <c r="A12" s="5" t="s">
        <v>346</v>
      </c>
      <c r="B12" s="5" t="s">
        <v>144</v>
      </c>
      <c r="C12" s="11">
        <f>IF('Quy mô thị trường'!C15&gt;=stage2_gate,'Quy mô thị trường'!C17*daas_price,0)</f>
        <v>0</v>
      </c>
      <c r="D12" s="11">
        <f>IF('Quy mô thị trường'!D15&gt;=stage2_gate,'Quy mô thị trường'!D17*daas_price,0)</f>
        <v>0</v>
      </c>
      <c r="E12" s="11">
        <f>IF('Quy mô thị trường'!E15&gt;=stage2_gate,'Quy mô thị trường'!E17*daas_price,0)</f>
        <v>0</v>
      </c>
      <c r="F12" s="11">
        <f>IF('Quy mô thị trường'!F15&gt;=stage2_gate,'Quy mô thị trường'!F17*daas_price,0)</f>
        <v>0</v>
      </c>
      <c r="G12" s="11">
        <f>IF('Quy mô thị trường'!G15&gt;=stage2_gate,'Quy mô thị trường'!G17*daas_price,0)</f>
        <v>0</v>
      </c>
      <c r="H12" s="11">
        <f>IF('Quy mô thị trường'!H15&gt;=stage2_gate,'Quy mô thị trường'!H17*daas_price,0)</f>
        <v>0</v>
      </c>
      <c r="I12" s="11">
        <f>IF('Quy mô thị trường'!I15&gt;=stage2_gate,'Quy mô thị trường'!I17*daas_price,0)</f>
        <v>0</v>
      </c>
      <c r="J12" s="11">
        <f>IF('Quy mô thị trường'!J15&gt;=stage2_gate,'Quy mô thị trường'!J17*daas_price,0)</f>
        <v>0</v>
      </c>
      <c r="K12" s="11">
        <f>IF('Quy mô thị trường'!K15&gt;=stage2_gate,'Quy mô thị trường'!K17*daas_price,0)</f>
        <v>0</v>
      </c>
      <c r="L12" s="11">
        <f>IF('Quy mô thị trường'!L15&gt;=stage2_gate,'Quy mô thị trường'!L17*daas_price,0)</f>
        <v>0</v>
      </c>
      <c r="M12" s="11">
        <f>IF('Quy mô thị trường'!M15&gt;=stage2_gate,'Quy mô thị trường'!M17*daas_price,0)</f>
        <v>0</v>
      </c>
      <c r="N12" s="11">
        <f>IF('Quy mô thị trường'!N15&gt;=stage2_gate,'Quy mô thị trường'!N17*daas_price,0)</f>
        <v>0</v>
      </c>
      <c r="O12" s="11">
        <f>IF('Quy mô thị trường'!O15&gt;=stage2_gate,'Quy mô thị trường'!O17*daas_price,0)</f>
        <v>0</v>
      </c>
      <c r="P12" s="11">
        <f>IF('Quy mô thị trường'!P15&gt;=stage2_gate,'Quy mô thị trường'!P17*daas_price,0)</f>
        <v>0</v>
      </c>
      <c r="Q12" s="11">
        <f>IF('Quy mô thị trường'!Q15&gt;=stage2_gate,'Quy mô thị trường'!Q17*daas_price,0)</f>
        <v>0</v>
      </c>
      <c r="R12" s="11">
        <f>IF('Quy mô thị trường'!R15&gt;=stage2_gate,'Quy mô thị trường'!R17*daas_price,0)</f>
        <v>0</v>
      </c>
      <c r="S12" s="11">
        <f>IF('Quy mô thị trường'!S15&gt;=stage2_gate,'Quy mô thị trường'!S17*daas_price,0)</f>
        <v>91.821036294419855</v>
      </c>
      <c r="T12" s="11">
        <f>IF('Quy mô thị trường'!T15&gt;=stage2_gate,'Quy mô thị trường'!T17*daas_price,0)</f>
        <v>97.098606746124389</v>
      </c>
      <c r="U12" s="11">
        <f>IF('Quy mô thị trường'!U15&gt;=stage2_gate,'Quy mô thị trường'!U17*daas_price,0)</f>
        <v>102.25817905499855</v>
      </c>
      <c r="V12" s="11">
        <f>IF('Quy mô thị trường'!V15&gt;=stage2_gate,'Quy mô thị trường'!V17*daas_price,0)</f>
        <v>107.89319903487126</v>
      </c>
      <c r="W12" s="11">
        <f>IF('Quy mô thị trường'!W15&gt;=stage2_gate,'Quy mô thị trường'!W17*daas_price,0)</f>
        <v>113.69566829686387</v>
      </c>
      <c r="X12" s="11">
        <f>IF('Quy mô thị trường'!X15&gt;=stage2_gate,'Quy mô thị trường'!X17*daas_price,0)</f>
        <v>119.35613861877027</v>
      </c>
      <c r="Y12" s="11">
        <f>IF('Quy mô thị trường'!Y15&gt;=stage2_gate,'Quy mô thị trường'!Y17*daas_price,0)</f>
        <v>125.46372975870803</v>
      </c>
      <c r="Z12" s="11">
        <f>IF('Quy mô thị trường'!Z15&gt;=stage2_gate,'Quy mô thị trường'!Z17*daas_price,0)</f>
        <v>131.70617221367388</v>
      </c>
      <c r="AA12" s="11">
        <f>IF('Quy mô thị trường'!AA15&gt;=stage2_gate,'Quy mô thị trường'!AA17*daas_price,0)</f>
        <v>137.76987577828007</v>
      </c>
      <c r="AB12" s="11">
        <f>IF('Quy mô thị trường'!AB15&gt;=stage2_gate,'Quy mô thị trường'!AB17*daas_price,0)</f>
        <v>144.24002401652896</v>
      </c>
      <c r="AC12" s="11">
        <f>IF('Quy mô thị trường'!AC15&gt;=stage2_gate,'Quy mô thị trường'!AC17*daas_price,0)</f>
        <v>150.50069394780877</v>
      </c>
      <c r="AD12" s="11">
        <f>IF('Quy mô thị trường'!AD15&gt;=stage2_gate,'Quy mô thị trường'!AD17*daas_price,0)</f>
        <v>157.1349994039368</v>
      </c>
      <c r="AE12" s="11">
        <f>IF('Quy mô thị trường'!AE15&gt;=stage2_gate,'Quy mô thị trường'!AE17*daas_price,0)</f>
        <v>163.82525567624407</v>
      </c>
      <c r="AF12" s="11">
        <f>IF('Quy mô thị trường'!AF15&gt;=stage2_gate,'Quy mô thị trường'!AF17*daas_price,0)</f>
        <v>170.25316228373342</v>
      </c>
      <c r="AG12" s="11">
        <f>IF('Quy mô thị trường'!AG15&gt;=stage2_gate,'Quy mô thị trường'!AG17*daas_price,0)</f>
        <v>522.22381364341197</v>
      </c>
      <c r="AH12" s="11">
        <f>IF('Quy mô thị trường'!AH15&gt;=stage2_gate,'Quy mô thị trường'!AH17*daas_price,0)</f>
        <v>579.87080737248584</v>
      </c>
      <c r="AI12" s="11">
        <f>IF('Quy mô thị trường'!AI15&gt;=stage2_gate,'Quy mô thị trường'!AI17*daas_price,0)</f>
        <v>635.77870521886882</v>
      </c>
      <c r="AJ12" s="11">
        <f>IF('Quy mô thị trường'!AJ15&gt;=stage2_gate,'Quy mô thị trường'!AJ17*daas_price,0)</f>
        <v>688.629599538256</v>
      </c>
      <c r="AK12" s="11">
        <f>IF('Quy mô thị trường'!AK15&gt;=stage2_gate,'Quy mô thị trường'!AK17*daas_price,0)</f>
        <v>737.38194397653956</v>
      </c>
      <c r="AL12" s="11">
        <f>IF('Quy mô thị trường'!AL15&gt;=stage2_gate,'Quy mô thị trường'!AL17*daas_price,0)</f>
        <v>781.32961553001826</v>
      </c>
      <c r="AM12" s="11">
        <f>IF('Quy mô thị trường'!AM15&gt;=stage2_gate,'Quy mô thị trường'!AM17*daas_price,0)</f>
        <v>821.00825904770682</v>
      </c>
      <c r="AN12" s="11">
        <f>IF('Quy mô thị trường'!AN15&gt;=stage2_gate,'Quy mô thị trường'!AN17*daas_price,0)</f>
        <v>855.4588444357563</v>
      </c>
      <c r="AO12" s="11">
        <f>IF('Quy mô thị trường'!AO15&gt;=stage2_gate,'Quy mô thị trường'!AO17*daas_price,0)</f>
        <v>884.86498993958298</v>
      </c>
      <c r="AP12" s="11">
        <f>IF('Quy mô thị trường'!AP15&gt;=stage2_gate,'Quy mô thị trường'!AP17*daas_price,0)</f>
        <v>910.48096121448259</v>
      </c>
      <c r="AQ12" s="11">
        <f>IF('Quy mô thị trường'!AQ15&gt;=stage2_gate,'Quy mô thị trường'!AQ17*daas_price,0)</f>
        <v>931.86340891688769</v>
      </c>
      <c r="AR12" s="11">
        <f>IF('Quy mô thị trường'!AR15&gt;=stage2_gate,'Quy mô thị trường'!AR17*daas_price,0)</f>
        <v>948.61456242055021</v>
      </c>
    </row>
    <row r="13" spans="1:44" x14ac:dyDescent="0.3">
      <c r="A13" s="5" t="s">
        <v>347</v>
      </c>
      <c r="B13" s="5" t="s">
        <v>144</v>
      </c>
      <c r="C13" s="11">
        <f>IF('Quy mô thị trường'!C15&gt;=stage2_gate,ad_impressions_base*'Quy mô thị trường'!C7*'Quy mô thị trường'!C15/1000*ad_cpm/1000,0)</f>
        <v>0</v>
      </c>
      <c r="D13" s="11">
        <f>IF('Quy mô thị trường'!D15&gt;=stage2_gate,ad_impressions_base*'Quy mô thị trường'!D7*'Quy mô thị trường'!D15/1000*ad_cpm/1000,0)</f>
        <v>0</v>
      </c>
      <c r="E13" s="11">
        <f>IF('Quy mô thị trường'!E15&gt;=stage2_gate,ad_impressions_base*'Quy mô thị trường'!E7*'Quy mô thị trường'!E15/1000*ad_cpm/1000,0)</f>
        <v>0</v>
      </c>
      <c r="F13" s="11">
        <f>IF('Quy mô thị trường'!F15&gt;=stage2_gate,ad_impressions_base*'Quy mô thị trường'!F7*'Quy mô thị trường'!F15/1000*ad_cpm/1000,0)</f>
        <v>0</v>
      </c>
      <c r="G13" s="11">
        <f>IF('Quy mô thị trường'!G15&gt;=stage2_gate,ad_impressions_base*'Quy mô thị trường'!G7*'Quy mô thị trường'!G15/1000*ad_cpm/1000,0)</f>
        <v>0</v>
      </c>
      <c r="H13" s="11">
        <f>IF('Quy mô thị trường'!H15&gt;=stage2_gate,ad_impressions_base*'Quy mô thị trường'!H7*'Quy mô thị trường'!H15/1000*ad_cpm/1000,0)</f>
        <v>0</v>
      </c>
      <c r="I13" s="11">
        <f>IF('Quy mô thị trường'!I15&gt;=stage2_gate,ad_impressions_base*'Quy mô thị trường'!I7*'Quy mô thị trường'!I15/1000*ad_cpm/1000,0)</f>
        <v>0</v>
      </c>
      <c r="J13" s="11">
        <f>IF('Quy mô thị trường'!J15&gt;=stage2_gate,ad_impressions_base*'Quy mô thị trường'!J7*'Quy mô thị trường'!J15/1000*ad_cpm/1000,0)</f>
        <v>0</v>
      </c>
      <c r="K13" s="11">
        <f>IF('Quy mô thị trường'!K15&gt;=stage2_gate,ad_impressions_base*'Quy mô thị trường'!K7*'Quy mô thị trường'!K15/1000*ad_cpm/1000,0)</f>
        <v>0</v>
      </c>
      <c r="L13" s="11">
        <f>IF('Quy mô thị trường'!L15&gt;=stage2_gate,ad_impressions_base*'Quy mô thị trường'!L7*'Quy mô thị trường'!L15/1000*ad_cpm/1000,0)</f>
        <v>0</v>
      </c>
      <c r="M13" s="11">
        <f>IF('Quy mô thị trường'!M15&gt;=stage2_gate,ad_impressions_base*'Quy mô thị trường'!M7*'Quy mô thị trường'!M15/1000*ad_cpm/1000,0)</f>
        <v>0</v>
      </c>
      <c r="N13" s="11">
        <f>IF('Quy mô thị trường'!N15&gt;=stage2_gate,ad_impressions_base*'Quy mô thị trường'!N7*'Quy mô thị trường'!N15/1000*ad_cpm/1000,0)</f>
        <v>0</v>
      </c>
      <c r="O13" s="11">
        <f>IF('Quy mô thị trường'!O15&gt;=stage2_gate,ad_impressions_base*'Quy mô thị trường'!O7*'Quy mô thị trường'!O15/1000*ad_cpm/1000,0)</f>
        <v>0</v>
      </c>
      <c r="P13" s="11">
        <f>IF('Quy mô thị trường'!P15&gt;=stage2_gate,ad_impressions_base*'Quy mô thị trường'!P7*'Quy mô thị trường'!P15/1000*ad_cpm/1000,0)</f>
        <v>0</v>
      </c>
      <c r="Q13" s="11">
        <f>IF('Quy mô thị trường'!Q15&gt;=stage2_gate,ad_impressions_base*'Quy mô thị trường'!Q7*'Quy mô thị trường'!Q15/1000*ad_cpm/1000,0)</f>
        <v>0</v>
      </c>
      <c r="R13" s="11">
        <f>IF('Quy mô thị trường'!R15&gt;=stage2_gate,ad_impressions_base*'Quy mô thị trường'!R7*'Quy mô thị trường'!R15/1000*ad_cpm/1000,0)</f>
        <v>0</v>
      </c>
      <c r="S13" s="11">
        <f>IF('Quy mô thị trường'!S15&gt;=stage2_gate,ad_impressions_base*'Quy mô thị trường'!S7*'Quy mô thị trường'!S15/1000*ad_cpm/1000,0)</f>
        <v>22.95525907360496</v>
      </c>
      <c r="T13" s="11">
        <f>IF('Quy mô thị trường'!T15&gt;=stage2_gate,ad_impressions_base*'Quy mô thị trường'!T7*'Quy mô thị trường'!T15/1000*ad_cpm/1000,0)</f>
        <v>24.274651686531094</v>
      </c>
      <c r="U13" s="11">
        <f>IF('Quy mô thị trường'!U15&gt;=stage2_gate,ad_impressions_base*'Quy mô thị trường'!U7*'Quy mô thị trường'!U15/1000*ad_cpm/1000,0)</f>
        <v>25.564544763749641</v>
      </c>
      <c r="V13" s="11">
        <f>IF('Quy mô thị trường'!V15&gt;=stage2_gate,ad_impressions_base*'Quy mô thị trường'!V7*'Quy mô thị trường'!V15/1000*ad_cpm/1000,0)</f>
        <v>26.973299758717815</v>
      </c>
      <c r="W13" s="11">
        <f>IF('Quy mô thị trường'!W15&gt;=stage2_gate,ad_impressions_base*'Quy mô thị trường'!W7*'Quy mô thị trường'!W15/1000*ad_cpm/1000,0)</f>
        <v>28.423917074215964</v>
      </c>
      <c r="X13" s="11">
        <f>IF('Quy mô thị trường'!X15&gt;=stage2_gate,ad_impressions_base*'Quy mô thị trường'!X7*'Quy mô thị trường'!X15/1000*ad_cpm/1000,0)</f>
        <v>29.839034654692565</v>
      </c>
      <c r="Y13" s="11">
        <f>IF('Quy mô thị trường'!Y15&gt;=stage2_gate,ad_impressions_base*'Quy mô thị trường'!Y7*'Quy mô thị trường'!Y15/1000*ad_cpm/1000,0)</f>
        <v>31.365932439677007</v>
      </c>
      <c r="Z13" s="11">
        <f>IF('Quy mô thị trường'!Z15&gt;=stage2_gate,ad_impressions_base*'Quy mô thị trường'!Z7*'Quy mô thị trường'!Z15/1000*ad_cpm/1000,0)</f>
        <v>32.92654305341847</v>
      </c>
      <c r="AA13" s="11">
        <f>IF('Quy mô thị trường'!AA15&gt;=stage2_gate,ad_impressions_base*'Quy mô thị trường'!AA7*'Quy mô thị trường'!AA15/1000*ad_cpm/1000,0)</f>
        <v>34.442468944570024</v>
      </c>
      <c r="AB13" s="11">
        <f>IF('Quy mô thị trường'!AB15&gt;=stage2_gate,ad_impressions_base*'Quy mô thị trường'!AB7*'Quy mô thị trường'!AB15/1000*ad_cpm/1000,0)</f>
        <v>36.060006004132241</v>
      </c>
      <c r="AC13" s="11">
        <f>IF('Quy mô thị trường'!AC15&gt;=stage2_gate,ad_impressions_base*'Quy mô thị trường'!AC7*'Quy mô thị trường'!AC15/1000*ad_cpm/1000,0)</f>
        <v>37.625173486952193</v>
      </c>
      <c r="AD13" s="11">
        <f>IF('Quy mô thị trường'!AD15&gt;=stage2_gate,ad_impressions_base*'Quy mô thị trường'!AD7*'Quy mô thị trường'!AD15/1000*ad_cpm/1000,0)</f>
        <v>39.283749850984208</v>
      </c>
      <c r="AE13" s="11">
        <f>IF('Quy mô thị trường'!AE15&gt;=stage2_gate,ad_impressions_base*'Quy mô thị trường'!AE7*'Quy mô thị trường'!AE15/1000*ad_cpm/1000,0)</f>
        <v>40.956313919061017</v>
      </c>
      <c r="AF13" s="11">
        <f>IF('Quy mô thị trường'!AF15&gt;=stage2_gate,ad_impressions_base*'Quy mô thị trường'!AF7*'Quy mô thị trường'!AF15/1000*ad_cpm/1000,0)</f>
        <v>42.563290570933354</v>
      </c>
      <c r="AG13" s="11">
        <f>IF('Quy mô thị trường'!AG15&gt;=stage2_gate,ad_impressions_base*'Quy mô thị trường'!AG7*'Quy mô thị trường'!AG15/1000*ad_cpm/1000,0)</f>
        <v>130.55595341085299</v>
      </c>
      <c r="AH13" s="11">
        <f>IF('Quy mô thị trường'!AH15&gt;=stage2_gate,ad_impressions_base*'Quy mô thị trường'!AH7*'Quy mô thị trường'!AH15/1000*ad_cpm/1000,0)</f>
        <v>144.96770184312149</v>
      </c>
      <c r="AI13" s="11">
        <f>IF('Quy mô thị trường'!AI15&gt;=stage2_gate,ad_impressions_base*'Quy mô thị trường'!AI7*'Quy mô thị trường'!AI15/1000*ad_cpm/1000,0)</f>
        <v>158.94467630471723</v>
      </c>
      <c r="AJ13" s="11">
        <f>IF('Quy mô thị trường'!AJ15&gt;=stage2_gate,ad_impressions_base*'Quy mô thị trường'!AJ7*'Quy mô thị trường'!AJ15/1000*ad_cpm/1000,0)</f>
        <v>172.157399884564</v>
      </c>
      <c r="AK13" s="11">
        <f>IF('Quy mô thị trường'!AK15&gt;=stage2_gate,ad_impressions_base*'Quy mô thị trường'!AK7*'Quy mô thị trường'!AK15/1000*ad_cpm/1000,0)</f>
        <v>184.34548599413492</v>
      </c>
      <c r="AL13" s="11">
        <f>IF('Quy mô thị trường'!AL15&gt;=stage2_gate,ad_impressions_base*'Quy mô thị trường'!AL7*'Quy mô thị trường'!AL15/1000*ad_cpm/1000,0)</f>
        <v>195.33240388250456</v>
      </c>
      <c r="AM13" s="11">
        <f>IF('Quy mô thị trường'!AM15&gt;=stage2_gate,ad_impressions_base*'Quy mô thị trường'!AM7*'Quy mô thị trường'!AM15/1000*ad_cpm/1000,0)</f>
        <v>205.25206476192665</v>
      </c>
      <c r="AN13" s="11">
        <f>IF('Quy mô thị trường'!AN15&gt;=stage2_gate,ad_impressions_base*'Quy mô thị trường'!AN7*'Quy mô thị trường'!AN15/1000*ad_cpm/1000,0)</f>
        <v>213.86471110893908</v>
      </c>
      <c r="AO13" s="11">
        <f>IF('Quy mô thị trường'!AO15&gt;=stage2_gate,ad_impressions_base*'Quy mô thị trường'!AO7*'Quy mô thị trường'!AO15/1000*ad_cpm/1000,0)</f>
        <v>221.21624748489572</v>
      </c>
      <c r="AP13" s="11">
        <f>IF('Quy mô thị trường'!AP15&gt;=stage2_gate,ad_impressions_base*'Quy mô thị trường'!AP7*'Quy mô thị trường'!AP15/1000*ad_cpm/1000,0)</f>
        <v>227.62024030362068</v>
      </c>
      <c r="AQ13" s="11">
        <f>IF('Quy mô thị trường'!AQ15&gt;=stage2_gate,ad_impressions_base*'Quy mô thị trường'!AQ7*'Quy mô thị trường'!AQ15/1000*ad_cpm/1000,0)</f>
        <v>232.96585222922195</v>
      </c>
      <c r="AR13" s="11">
        <f>IF('Quy mô thị trường'!AR15&gt;=stage2_gate,ad_impressions_base*'Quy mô thị trường'!AR7*'Quy mô thị trường'!AR15/1000*ad_cpm/1000,0)</f>
        <v>237.15364060513753</v>
      </c>
    </row>
    <row r="14" spans="1:44" x14ac:dyDescent="0.3">
      <c r="A14" s="5" t="s">
        <v>348</v>
      </c>
      <c r="C14" s="10">
        <f t="shared" ref="C14:AR14" si="1">SUM(C11:C13)</f>
        <v>0</v>
      </c>
      <c r="D14" s="10">
        <f t="shared" si="1"/>
        <v>0</v>
      </c>
      <c r="E14" s="10">
        <f t="shared" si="1"/>
        <v>0</v>
      </c>
      <c r="F14" s="10">
        <f t="shared" si="1"/>
        <v>0</v>
      </c>
      <c r="G14" s="10">
        <f t="shared" si="1"/>
        <v>0</v>
      </c>
      <c r="H14" s="10">
        <f t="shared" si="1"/>
        <v>0</v>
      </c>
      <c r="I14" s="10">
        <f t="shared" si="1"/>
        <v>0</v>
      </c>
      <c r="J14" s="10">
        <f t="shared" si="1"/>
        <v>0</v>
      </c>
      <c r="K14" s="10">
        <f t="shared" si="1"/>
        <v>0</v>
      </c>
      <c r="L14" s="10">
        <f t="shared" si="1"/>
        <v>0</v>
      </c>
      <c r="M14" s="10">
        <f t="shared" si="1"/>
        <v>0</v>
      </c>
      <c r="N14" s="10">
        <f t="shared" si="1"/>
        <v>0</v>
      </c>
      <c r="O14" s="10">
        <f t="shared" si="1"/>
        <v>0</v>
      </c>
      <c r="P14" s="10">
        <f t="shared" si="1"/>
        <v>0</v>
      </c>
      <c r="Q14" s="10">
        <f t="shared" si="1"/>
        <v>0</v>
      </c>
      <c r="R14" s="10">
        <f t="shared" si="1"/>
        <v>0</v>
      </c>
      <c r="S14" s="10">
        <f t="shared" si="1"/>
        <v>3084.7762953680249</v>
      </c>
      <c r="T14" s="10">
        <f t="shared" si="1"/>
        <v>3091.3732584326553</v>
      </c>
      <c r="U14" s="10">
        <f t="shared" si="1"/>
        <v>3335.4227238187491</v>
      </c>
      <c r="V14" s="10">
        <f t="shared" si="1"/>
        <v>3342.4664987935903</v>
      </c>
      <c r="W14" s="10">
        <f t="shared" si="1"/>
        <v>3349.7195853710805</v>
      </c>
      <c r="X14" s="10">
        <f t="shared" si="1"/>
        <v>3356.7951732734637</v>
      </c>
      <c r="Y14" s="10">
        <f t="shared" si="1"/>
        <v>3364.4296621983858</v>
      </c>
      <c r="Z14" s="10">
        <f t="shared" si="1"/>
        <v>3372.2327152670928</v>
      </c>
      <c r="AA14" s="10">
        <f t="shared" si="1"/>
        <v>3379.8123447228509</v>
      </c>
      <c r="AB14" s="10">
        <f t="shared" si="1"/>
        <v>3387.9000300206621</v>
      </c>
      <c r="AC14" s="10">
        <f t="shared" si="1"/>
        <v>3395.7258674347618</v>
      </c>
      <c r="AD14" s="10">
        <f t="shared" si="1"/>
        <v>3404.0187492549221</v>
      </c>
      <c r="AE14" s="10">
        <f t="shared" si="1"/>
        <v>3412.3815695953058</v>
      </c>
      <c r="AF14" s="10">
        <f t="shared" si="1"/>
        <v>3420.4164528546676</v>
      </c>
      <c r="AG14" s="10">
        <f t="shared" si="1"/>
        <v>11045.403767054268</v>
      </c>
      <c r="AH14" s="10">
        <f t="shared" si="1"/>
        <v>11117.462509215611</v>
      </c>
      <c r="AI14" s="10">
        <f t="shared" si="1"/>
        <v>11187.34738152359</v>
      </c>
      <c r="AJ14" s="10">
        <f t="shared" si="1"/>
        <v>11253.410999422822</v>
      </c>
      <c r="AK14" s="10">
        <f t="shared" si="1"/>
        <v>12145.761349970679</v>
      </c>
      <c r="AL14" s="10">
        <f t="shared" si="1"/>
        <v>12200.695939412526</v>
      </c>
      <c r="AM14" s="10">
        <f t="shared" si="1"/>
        <v>12250.294243809636</v>
      </c>
      <c r="AN14" s="10">
        <f t="shared" si="1"/>
        <v>12293.357475544699</v>
      </c>
      <c r="AO14" s="10">
        <f t="shared" si="1"/>
        <v>13228.037871024482</v>
      </c>
      <c r="AP14" s="10">
        <f t="shared" si="1"/>
        <v>13260.057835118107</v>
      </c>
      <c r="AQ14" s="10">
        <f t="shared" si="1"/>
        <v>13286.785894746114</v>
      </c>
      <c r="AR14" s="10">
        <f t="shared" si="1"/>
        <v>13307.724836625694</v>
      </c>
    </row>
    <row r="16" spans="1:44" x14ac:dyDescent="0.3">
      <c r="A16" s="5" t="s">
        <v>349</v>
      </c>
      <c r="C16" s="10">
        <f t="shared" ref="C16:AR16" si="2">C8+C14</f>
        <v>376.63038635148246</v>
      </c>
      <c r="D16" s="10">
        <f t="shared" si="2"/>
        <v>396.38803996370706</v>
      </c>
      <c r="E16" s="10">
        <f t="shared" si="2"/>
        <v>424.349110389364</v>
      </c>
      <c r="F16" s="10">
        <f t="shared" si="2"/>
        <v>453.99839485316721</v>
      </c>
      <c r="G16" s="10">
        <f t="shared" si="2"/>
        <v>485.40243150693203</v>
      </c>
      <c r="H16" s="10">
        <f t="shared" si="2"/>
        <v>515.33374878145651</v>
      </c>
      <c r="I16" s="10">
        <f t="shared" si="2"/>
        <v>567.85558946948777</v>
      </c>
      <c r="J16" s="10">
        <f t="shared" si="2"/>
        <v>606.06762897444162</v>
      </c>
      <c r="K16" s="10">
        <f t="shared" si="2"/>
        <v>646.33146952462255</v>
      </c>
      <c r="L16" s="10">
        <f t="shared" si="2"/>
        <v>688.6944376497587</v>
      </c>
      <c r="M16" s="10">
        <f t="shared" si="2"/>
        <v>729.80067617752729</v>
      </c>
      <c r="N16" s="10">
        <f t="shared" si="2"/>
        <v>776.4733382989391</v>
      </c>
      <c r="O16" s="10">
        <f t="shared" si="2"/>
        <v>825.33843175552715</v>
      </c>
      <c r="P16" s="10">
        <f t="shared" si="2"/>
        <v>876.40700126447962</v>
      </c>
      <c r="Q16" s="10">
        <f t="shared" si="2"/>
        <v>926.28234057488567</v>
      </c>
      <c r="R16" s="10">
        <f t="shared" si="2"/>
        <v>981.74226184774807</v>
      </c>
      <c r="S16" s="10">
        <f t="shared" si="2"/>
        <v>4124.1394145340273</v>
      </c>
      <c r="T16" s="10">
        <f t="shared" si="2"/>
        <v>4190.4755431283693</v>
      </c>
      <c r="U16" s="10">
        <f t="shared" si="2"/>
        <v>4530.2101284023265</v>
      </c>
      <c r="V16" s="10">
        <f t="shared" si="2"/>
        <v>4603.0936333503323</v>
      </c>
      <c r="W16" s="10">
        <f t="shared" si="2"/>
        <v>4678.1429319646459</v>
      </c>
      <c r="X16" s="10">
        <f t="shared" si="2"/>
        <v>4751.3556123434701</v>
      </c>
      <c r="Y16" s="10">
        <f t="shared" si="2"/>
        <v>4830.351365802735</v>
      </c>
      <c r="Z16" s="10">
        <f t="shared" si="2"/>
        <v>4911.0912899164423</v>
      </c>
      <c r="AA16" s="10">
        <f t="shared" si="2"/>
        <v>4989.5194002572689</v>
      </c>
      <c r="AB16" s="10">
        <f t="shared" si="2"/>
        <v>5073.2044772971203</v>
      </c>
      <c r="AC16" s="10">
        <f t="shared" si="2"/>
        <v>5154.1801560957911</v>
      </c>
      <c r="AD16" s="10">
        <f t="shared" si="2"/>
        <v>5239.9884471516143</v>
      </c>
      <c r="AE16" s="10">
        <f t="shared" si="2"/>
        <v>5326.5204076180871</v>
      </c>
      <c r="AF16" s="10">
        <f t="shared" si="2"/>
        <v>5409.6591302323168</v>
      </c>
      <c r="AG16" s="10">
        <f t="shared" si="2"/>
        <v>17346.995115541307</v>
      </c>
      <c r="AH16" s="10">
        <f t="shared" si="2"/>
        <v>18114.670923525446</v>
      </c>
      <c r="AI16" s="10">
        <f t="shared" si="2"/>
        <v>18859.187469412042</v>
      </c>
      <c r="AJ16" s="10">
        <f t="shared" si="2"/>
        <v>19562.994387601033</v>
      </c>
      <c r="AK16" s="10">
        <f t="shared" si="2"/>
        <v>21340.024468352807</v>
      </c>
      <c r="AL16" s="10">
        <f t="shared" si="2"/>
        <v>21942.933494928118</v>
      </c>
      <c r="AM16" s="10">
        <f t="shared" si="2"/>
        <v>22487.276607849748</v>
      </c>
      <c r="AN16" s="10">
        <f t="shared" si="2"/>
        <v>22959.897071393156</v>
      </c>
      <c r="AO16" s="10">
        <f t="shared" si="2"/>
        <v>24634.694580236952</v>
      </c>
      <c r="AP16" s="10">
        <f t="shared" si="2"/>
        <v>24996.926038657843</v>
      </c>
      <c r="AQ16" s="10">
        <f t="shared" si="2"/>
        <v>25299.291899890675</v>
      </c>
      <c r="AR16" s="10">
        <f t="shared" si="2"/>
        <v>25536.167351488701</v>
      </c>
    </row>
    <row r="18" spans="1:44" x14ac:dyDescent="0.3">
      <c r="A18" s="2" t="s">
        <v>350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</row>
    <row r="19" spans="1:44" x14ac:dyDescent="0.3">
      <c r="A19" s="5" t="s">
        <v>351</v>
      </c>
      <c r="B19" s="5" t="s">
        <v>144</v>
      </c>
      <c r="C19" s="11">
        <f t="shared" ref="C19:AR19" si="3">C11*payment_proc_pct</f>
        <v>0</v>
      </c>
      <c r="D19" s="11">
        <f t="shared" si="3"/>
        <v>0</v>
      </c>
      <c r="E19" s="11">
        <f t="shared" si="3"/>
        <v>0</v>
      </c>
      <c r="F19" s="11">
        <f t="shared" si="3"/>
        <v>0</v>
      </c>
      <c r="G19" s="11">
        <f t="shared" si="3"/>
        <v>0</v>
      </c>
      <c r="H19" s="11">
        <f t="shared" si="3"/>
        <v>0</v>
      </c>
      <c r="I19" s="11">
        <f t="shared" si="3"/>
        <v>0</v>
      </c>
      <c r="J19" s="11">
        <f t="shared" si="3"/>
        <v>0</v>
      </c>
      <c r="K19" s="11">
        <f t="shared" si="3"/>
        <v>0</v>
      </c>
      <c r="L19" s="11">
        <f t="shared" si="3"/>
        <v>0</v>
      </c>
      <c r="M19" s="11">
        <f t="shared" si="3"/>
        <v>0</v>
      </c>
      <c r="N19" s="11">
        <f t="shared" si="3"/>
        <v>0</v>
      </c>
      <c r="O19" s="11">
        <f t="shared" si="3"/>
        <v>0</v>
      </c>
      <c r="P19" s="11">
        <f t="shared" si="3"/>
        <v>0</v>
      </c>
      <c r="Q19" s="11">
        <f t="shared" si="3"/>
        <v>0</v>
      </c>
      <c r="R19" s="11">
        <f t="shared" si="3"/>
        <v>0</v>
      </c>
      <c r="S19" s="11">
        <f t="shared" si="3"/>
        <v>74.25</v>
      </c>
      <c r="T19" s="11">
        <f t="shared" si="3"/>
        <v>74.25</v>
      </c>
      <c r="U19" s="11">
        <f t="shared" si="3"/>
        <v>80.190000000000026</v>
      </c>
      <c r="V19" s="11">
        <f t="shared" si="3"/>
        <v>80.190000000000026</v>
      </c>
      <c r="W19" s="11">
        <f t="shared" si="3"/>
        <v>80.190000000000026</v>
      </c>
      <c r="X19" s="11">
        <f t="shared" si="3"/>
        <v>80.190000000000026</v>
      </c>
      <c r="Y19" s="11">
        <f t="shared" si="3"/>
        <v>80.190000000000026</v>
      </c>
      <c r="Z19" s="11">
        <f t="shared" si="3"/>
        <v>80.190000000000026</v>
      </c>
      <c r="AA19" s="11">
        <f t="shared" si="3"/>
        <v>80.190000000000026</v>
      </c>
      <c r="AB19" s="11">
        <f t="shared" si="3"/>
        <v>80.190000000000026</v>
      </c>
      <c r="AC19" s="11">
        <f t="shared" si="3"/>
        <v>80.190000000000026</v>
      </c>
      <c r="AD19" s="11">
        <f t="shared" si="3"/>
        <v>80.190000000000026</v>
      </c>
      <c r="AE19" s="11">
        <f t="shared" si="3"/>
        <v>80.190000000000026</v>
      </c>
      <c r="AF19" s="11">
        <f t="shared" si="3"/>
        <v>80.190000000000026</v>
      </c>
      <c r="AG19" s="11">
        <f t="shared" si="3"/>
        <v>259.81560000000007</v>
      </c>
      <c r="AH19" s="11">
        <f t="shared" si="3"/>
        <v>259.81560000000007</v>
      </c>
      <c r="AI19" s="11">
        <f t="shared" si="3"/>
        <v>259.81560000000007</v>
      </c>
      <c r="AJ19" s="11">
        <f t="shared" si="3"/>
        <v>259.81560000000007</v>
      </c>
      <c r="AK19" s="11">
        <f t="shared" si="3"/>
        <v>280.6008480000001</v>
      </c>
      <c r="AL19" s="11">
        <f t="shared" si="3"/>
        <v>280.6008480000001</v>
      </c>
      <c r="AM19" s="11">
        <f t="shared" si="3"/>
        <v>280.6008480000001</v>
      </c>
      <c r="AN19" s="11">
        <f t="shared" si="3"/>
        <v>280.6008480000001</v>
      </c>
      <c r="AO19" s="11">
        <f t="shared" si="3"/>
        <v>303.04891584000012</v>
      </c>
      <c r="AP19" s="11">
        <f t="shared" si="3"/>
        <v>303.04891584000012</v>
      </c>
      <c r="AQ19" s="11">
        <f t="shared" si="3"/>
        <v>303.04891584000012</v>
      </c>
      <c r="AR19" s="11">
        <f t="shared" si="3"/>
        <v>303.04891584000012</v>
      </c>
    </row>
    <row r="20" spans="1:44" x14ac:dyDescent="0.3">
      <c r="A20" s="5" t="s">
        <v>352</v>
      </c>
      <c r="C20" s="10">
        <f t="shared" ref="C20:AR20" si="4">C19</f>
        <v>0</v>
      </c>
      <c r="D20" s="10">
        <f t="shared" si="4"/>
        <v>0</v>
      </c>
      <c r="E20" s="10">
        <f t="shared" si="4"/>
        <v>0</v>
      </c>
      <c r="F20" s="10">
        <f t="shared" si="4"/>
        <v>0</v>
      </c>
      <c r="G20" s="10">
        <f t="shared" si="4"/>
        <v>0</v>
      </c>
      <c r="H20" s="10">
        <f t="shared" si="4"/>
        <v>0</v>
      </c>
      <c r="I20" s="10">
        <f t="shared" si="4"/>
        <v>0</v>
      </c>
      <c r="J20" s="10">
        <f t="shared" si="4"/>
        <v>0</v>
      </c>
      <c r="K20" s="10">
        <f t="shared" si="4"/>
        <v>0</v>
      </c>
      <c r="L20" s="10">
        <f t="shared" si="4"/>
        <v>0</v>
      </c>
      <c r="M20" s="10">
        <f t="shared" si="4"/>
        <v>0</v>
      </c>
      <c r="N20" s="10">
        <f t="shared" si="4"/>
        <v>0</v>
      </c>
      <c r="O20" s="10">
        <f t="shared" si="4"/>
        <v>0</v>
      </c>
      <c r="P20" s="10">
        <f t="shared" si="4"/>
        <v>0</v>
      </c>
      <c r="Q20" s="10">
        <f t="shared" si="4"/>
        <v>0</v>
      </c>
      <c r="R20" s="10">
        <f t="shared" si="4"/>
        <v>0</v>
      </c>
      <c r="S20" s="10">
        <f t="shared" si="4"/>
        <v>74.25</v>
      </c>
      <c r="T20" s="10">
        <f t="shared" si="4"/>
        <v>74.25</v>
      </c>
      <c r="U20" s="10">
        <f t="shared" si="4"/>
        <v>80.190000000000026</v>
      </c>
      <c r="V20" s="10">
        <f t="shared" si="4"/>
        <v>80.190000000000026</v>
      </c>
      <c r="W20" s="10">
        <f t="shared" si="4"/>
        <v>80.190000000000026</v>
      </c>
      <c r="X20" s="10">
        <f t="shared" si="4"/>
        <v>80.190000000000026</v>
      </c>
      <c r="Y20" s="10">
        <f t="shared" si="4"/>
        <v>80.190000000000026</v>
      </c>
      <c r="Z20" s="10">
        <f t="shared" si="4"/>
        <v>80.190000000000026</v>
      </c>
      <c r="AA20" s="10">
        <f t="shared" si="4"/>
        <v>80.190000000000026</v>
      </c>
      <c r="AB20" s="10">
        <f t="shared" si="4"/>
        <v>80.190000000000026</v>
      </c>
      <c r="AC20" s="10">
        <f t="shared" si="4"/>
        <v>80.190000000000026</v>
      </c>
      <c r="AD20" s="10">
        <f t="shared" si="4"/>
        <v>80.190000000000026</v>
      </c>
      <c r="AE20" s="10">
        <f t="shared" si="4"/>
        <v>80.190000000000026</v>
      </c>
      <c r="AF20" s="10">
        <f t="shared" si="4"/>
        <v>80.190000000000026</v>
      </c>
      <c r="AG20" s="10">
        <f t="shared" si="4"/>
        <v>259.81560000000007</v>
      </c>
      <c r="AH20" s="10">
        <f t="shared" si="4"/>
        <v>259.81560000000007</v>
      </c>
      <c r="AI20" s="10">
        <f t="shared" si="4"/>
        <v>259.81560000000007</v>
      </c>
      <c r="AJ20" s="10">
        <f t="shared" si="4"/>
        <v>259.81560000000007</v>
      </c>
      <c r="AK20" s="10">
        <f t="shared" si="4"/>
        <v>280.6008480000001</v>
      </c>
      <c r="AL20" s="10">
        <f t="shared" si="4"/>
        <v>280.6008480000001</v>
      </c>
      <c r="AM20" s="10">
        <f t="shared" si="4"/>
        <v>280.6008480000001</v>
      </c>
      <c r="AN20" s="10">
        <f t="shared" si="4"/>
        <v>280.6008480000001</v>
      </c>
      <c r="AO20" s="10">
        <f t="shared" si="4"/>
        <v>303.04891584000012</v>
      </c>
      <c r="AP20" s="10">
        <f t="shared" si="4"/>
        <v>303.04891584000012</v>
      </c>
      <c r="AQ20" s="10">
        <f t="shared" si="4"/>
        <v>303.04891584000012</v>
      </c>
      <c r="AR20" s="10">
        <f t="shared" si="4"/>
        <v>303.04891584000012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6600"/>
  </sheetPr>
  <dimension ref="A1:AR24"/>
  <sheetViews>
    <sheetView workbookViewId="0"/>
  </sheetViews>
  <sheetFormatPr defaultRowHeight="14.4" x14ac:dyDescent="0.3"/>
  <cols>
    <col min="1" max="1" width="38" customWidth="1"/>
    <col min="2" max="2" width="10" customWidth="1"/>
    <col min="3" max="44" width="11" customWidth="1"/>
  </cols>
  <sheetData>
    <row r="1" spans="1:44" x14ac:dyDescent="0.3">
      <c r="A1" s="2" t="s">
        <v>353</v>
      </c>
    </row>
    <row r="3" spans="1:44" x14ac:dyDescent="0.3">
      <c r="A3" s="4" t="s">
        <v>328</v>
      </c>
      <c r="B3" s="4" t="s">
        <v>258</v>
      </c>
      <c r="C3" s="4" t="s">
        <v>259</v>
      </c>
      <c r="D3" s="4" t="s">
        <v>260</v>
      </c>
      <c r="E3" s="4" t="s">
        <v>261</v>
      </c>
      <c r="F3" s="4" t="s">
        <v>262</v>
      </c>
      <c r="G3" s="4" t="s">
        <v>263</v>
      </c>
      <c r="H3" s="4" t="s">
        <v>264</v>
      </c>
      <c r="I3" s="4" t="s">
        <v>265</v>
      </c>
      <c r="J3" s="4" t="s">
        <v>266</v>
      </c>
      <c r="K3" s="4" t="s">
        <v>267</v>
      </c>
      <c r="L3" s="4" t="s">
        <v>268</v>
      </c>
      <c r="M3" s="4" t="s">
        <v>269</v>
      </c>
      <c r="N3" s="4" t="s">
        <v>270</v>
      </c>
      <c r="O3" s="4" t="s">
        <v>271</v>
      </c>
      <c r="P3" s="4" t="s">
        <v>272</v>
      </c>
      <c r="Q3" s="4" t="s">
        <v>273</v>
      </c>
      <c r="R3" s="4" t="s">
        <v>274</v>
      </c>
      <c r="S3" s="4" t="s">
        <v>275</v>
      </c>
      <c r="T3" s="4" t="s">
        <v>276</v>
      </c>
      <c r="U3" s="4" t="s">
        <v>277</v>
      </c>
      <c r="V3" s="4" t="s">
        <v>278</v>
      </c>
      <c r="W3" s="4" t="s">
        <v>279</v>
      </c>
      <c r="X3" s="4" t="s">
        <v>280</v>
      </c>
      <c r="Y3" s="4" t="s">
        <v>281</v>
      </c>
      <c r="Z3" s="4" t="s">
        <v>282</v>
      </c>
      <c r="AA3" s="4" t="s">
        <v>283</v>
      </c>
      <c r="AB3" s="4" t="s">
        <v>284</v>
      </c>
      <c r="AC3" s="4" t="s">
        <v>285</v>
      </c>
      <c r="AD3" s="4" t="s">
        <v>286</v>
      </c>
      <c r="AE3" s="4" t="s">
        <v>287</v>
      </c>
      <c r="AF3" s="4" t="s">
        <v>288</v>
      </c>
      <c r="AG3" s="4" t="s">
        <v>289</v>
      </c>
      <c r="AH3" s="4" t="s">
        <v>290</v>
      </c>
      <c r="AI3" s="4" t="s">
        <v>291</v>
      </c>
      <c r="AJ3" s="4" t="s">
        <v>292</v>
      </c>
      <c r="AK3" s="4" t="s">
        <v>293</v>
      </c>
      <c r="AL3" s="4" t="s">
        <v>294</v>
      </c>
      <c r="AM3" s="4" t="s">
        <v>295</v>
      </c>
      <c r="AN3" s="4" t="s">
        <v>296</v>
      </c>
      <c r="AO3" s="4" t="s">
        <v>297</v>
      </c>
      <c r="AP3" s="4" t="s">
        <v>298</v>
      </c>
      <c r="AQ3" s="4" t="s">
        <v>299</v>
      </c>
      <c r="AR3" s="4" t="s">
        <v>300</v>
      </c>
    </row>
    <row r="4" spans="1:44" x14ac:dyDescent="0.3">
      <c r="A4" s="2" t="s">
        <v>70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</row>
    <row r="5" spans="1:44" x14ac:dyDescent="0.3">
      <c r="A5" s="5" t="s">
        <v>354</v>
      </c>
      <c r="B5" s="5" t="s">
        <v>144</v>
      </c>
      <c r="C5" s="11">
        <f t="shared" ref="C5:H5" si="0">capex_total/6</f>
        <v>880</v>
      </c>
      <c r="D5" s="11">
        <f t="shared" si="0"/>
        <v>880</v>
      </c>
      <c r="E5" s="11">
        <f t="shared" si="0"/>
        <v>880</v>
      </c>
      <c r="F5" s="11">
        <f t="shared" si="0"/>
        <v>880</v>
      </c>
      <c r="G5" s="11">
        <f t="shared" si="0"/>
        <v>880</v>
      </c>
      <c r="H5" s="11">
        <f t="shared" si="0"/>
        <v>880</v>
      </c>
      <c r="I5" s="11">
        <f>0</f>
        <v>0</v>
      </c>
      <c r="J5" s="11">
        <f>0</f>
        <v>0</v>
      </c>
      <c r="K5" s="11">
        <f>0</f>
        <v>0</v>
      </c>
      <c r="L5" s="11">
        <f>0</f>
        <v>0</v>
      </c>
      <c r="M5" s="11">
        <f>0</f>
        <v>0</v>
      </c>
      <c r="N5" s="11">
        <f>0</f>
        <v>0</v>
      </c>
      <c r="O5" s="11">
        <f>0</f>
        <v>0</v>
      </c>
      <c r="P5" s="11">
        <f>0</f>
        <v>0</v>
      </c>
      <c r="Q5" s="11">
        <f>0</f>
        <v>0</v>
      </c>
      <c r="R5" s="11">
        <f>0</f>
        <v>0</v>
      </c>
      <c r="S5" s="11">
        <f>0</f>
        <v>0</v>
      </c>
      <c r="T5" s="11">
        <f>0</f>
        <v>0</v>
      </c>
      <c r="U5" s="11">
        <f>0</f>
        <v>0</v>
      </c>
      <c r="V5" s="11">
        <f>0</f>
        <v>0</v>
      </c>
      <c r="W5" s="11">
        <f>0</f>
        <v>0</v>
      </c>
      <c r="X5" s="11">
        <f>0</f>
        <v>0</v>
      </c>
      <c r="Y5" s="11">
        <f>0</f>
        <v>0</v>
      </c>
      <c r="Z5" s="11">
        <f>0</f>
        <v>0</v>
      </c>
      <c r="AA5" s="11">
        <f>0</f>
        <v>0</v>
      </c>
      <c r="AB5" s="11">
        <f>0</f>
        <v>0</v>
      </c>
      <c r="AC5" s="11">
        <f>0</f>
        <v>0</v>
      </c>
      <c r="AD5" s="11">
        <f>0</f>
        <v>0</v>
      </c>
      <c r="AE5" s="11">
        <f>0</f>
        <v>0</v>
      </c>
      <c r="AF5" s="11">
        <f>0</f>
        <v>0</v>
      </c>
      <c r="AG5" s="11">
        <f>0</f>
        <v>0</v>
      </c>
      <c r="AH5" s="11">
        <f>0</f>
        <v>0</v>
      </c>
      <c r="AI5" s="11">
        <f>0</f>
        <v>0</v>
      </c>
      <c r="AJ5" s="11">
        <f>0</f>
        <v>0</v>
      </c>
      <c r="AK5" s="11">
        <f>0</f>
        <v>0</v>
      </c>
      <c r="AL5" s="11">
        <f>0</f>
        <v>0</v>
      </c>
      <c r="AM5" s="11">
        <f>0</f>
        <v>0</v>
      </c>
      <c r="AN5" s="11">
        <f>0</f>
        <v>0</v>
      </c>
      <c r="AO5" s="11">
        <f>0</f>
        <v>0</v>
      </c>
      <c r="AP5" s="11">
        <f>0</f>
        <v>0</v>
      </c>
      <c r="AQ5" s="11">
        <f>0</f>
        <v>0</v>
      </c>
      <c r="AR5" s="11">
        <f>0</f>
        <v>0</v>
      </c>
    </row>
    <row r="6" spans="1:44" x14ac:dyDescent="0.3">
      <c r="A6" s="5" t="s">
        <v>355</v>
      </c>
      <c r="B6" s="5" t="s">
        <v>144</v>
      </c>
      <c r="C6" s="11">
        <f>0</f>
        <v>0</v>
      </c>
      <c r="D6" s="11">
        <f>0</f>
        <v>0</v>
      </c>
      <c r="E6" s="11">
        <f>0</f>
        <v>0</v>
      </c>
      <c r="F6" s="11">
        <f>0</f>
        <v>0</v>
      </c>
      <c r="G6" s="11">
        <f>0</f>
        <v>0</v>
      </c>
      <c r="H6" s="11">
        <f>0</f>
        <v>0</v>
      </c>
      <c r="I6" s="11">
        <f>capex_total*capex_maintenance_pct/'Quy mô thị trường'!I6</f>
        <v>79.2</v>
      </c>
      <c r="J6" s="11">
        <f>capex_total*capex_maintenance_pct/'Quy mô thị trường'!J6</f>
        <v>79.2</v>
      </c>
      <c r="K6" s="11">
        <f>capex_total*capex_maintenance_pct/'Quy mô thị trường'!K6</f>
        <v>79.2</v>
      </c>
      <c r="L6" s="11">
        <f>capex_total*capex_maintenance_pct/'Quy mô thị trường'!L6</f>
        <v>79.2</v>
      </c>
      <c r="M6" s="11">
        <f>capex_total*capex_maintenance_pct/'Quy mô thị trường'!M6</f>
        <v>79.2</v>
      </c>
      <c r="N6" s="11">
        <f>capex_total*capex_maintenance_pct/'Quy mô thị trường'!N6</f>
        <v>79.2</v>
      </c>
      <c r="O6" s="11">
        <f>capex_total*capex_maintenance_pct/'Quy mô thị trường'!O6</f>
        <v>79.2</v>
      </c>
      <c r="P6" s="11">
        <f>capex_total*capex_maintenance_pct/'Quy mô thị trường'!P6</f>
        <v>79.2</v>
      </c>
      <c r="Q6" s="11">
        <f>capex_total*capex_maintenance_pct/'Quy mô thị trường'!Q6</f>
        <v>79.2</v>
      </c>
      <c r="R6" s="11">
        <f>capex_total*capex_maintenance_pct/'Quy mô thị trường'!R6</f>
        <v>79.2</v>
      </c>
      <c r="S6" s="11">
        <f>capex_total*capex_maintenance_pct/'Quy mô thị trường'!S6</f>
        <v>79.2</v>
      </c>
      <c r="T6" s="11">
        <f>capex_total*capex_maintenance_pct/'Quy mô thị trường'!T6</f>
        <v>79.2</v>
      </c>
      <c r="U6" s="11">
        <f>capex_total*capex_maintenance_pct/'Quy mô thị trường'!U6</f>
        <v>79.2</v>
      </c>
      <c r="V6" s="11">
        <f>capex_total*capex_maintenance_pct/'Quy mô thị trường'!V6</f>
        <v>79.2</v>
      </c>
      <c r="W6" s="11">
        <f>capex_total*capex_maintenance_pct/'Quy mô thị trường'!W6</f>
        <v>79.2</v>
      </c>
      <c r="X6" s="11">
        <f>capex_total*capex_maintenance_pct/'Quy mô thị trường'!X6</f>
        <v>79.2</v>
      </c>
      <c r="Y6" s="11">
        <f>capex_total*capex_maintenance_pct/'Quy mô thị trường'!Y6</f>
        <v>79.2</v>
      </c>
      <c r="Z6" s="11">
        <f>capex_total*capex_maintenance_pct/'Quy mô thị trường'!Z6</f>
        <v>79.2</v>
      </c>
      <c r="AA6" s="11">
        <f>capex_total*capex_maintenance_pct/'Quy mô thị trường'!AA6</f>
        <v>79.2</v>
      </c>
      <c r="AB6" s="11">
        <f>capex_total*capex_maintenance_pct/'Quy mô thị trường'!AB6</f>
        <v>79.2</v>
      </c>
      <c r="AC6" s="11">
        <f>capex_total*capex_maintenance_pct/'Quy mô thị trường'!AC6</f>
        <v>79.2</v>
      </c>
      <c r="AD6" s="11">
        <f>capex_total*capex_maintenance_pct/'Quy mô thị trường'!AD6</f>
        <v>79.2</v>
      </c>
      <c r="AE6" s="11">
        <f>capex_total*capex_maintenance_pct/'Quy mô thị trường'!AE6</f>
        <v>79.2</v>
      </c>
      <c r="AF6" s="11">
        <f>capex_total*capex_maintenance_pct/'Quy mô thị trường'!AF6</f>
        <v>79.2</v>
      </c>
      <c r="AG6" s="11">
        <f>capex_total*capex_maintenance_pct/'Quy mô thị trường'!AG6</f>
        <v>237.6</v>
      </c>
      <c r="AH6" s="11">
        <f>capex_total*capex_maintenance_pct/'Quy mô thị trường'!AH6</f>
        <v>237.6</v>
      </c>
      <c r="AI6" s="11">
        <f>capex_total*capex_maintenance_pct/'Quy mô thị trường'!AI6</f>
        <v>237.6</v>
      </c>
      <c r="AJ6" s="11">
        <f>capex_total*capex_maintenance_pct/'Quy mô thị trường'!AJ6</f>
        <v>237.6</v>
      </c>
      <c r="AK6" s="11">
        <f>capex_total*capex_maintenance_pct/'Quy mô thị trường'!AK6</f>
        <v>237.6</v>
      </c>
      <c r="AL6" s="11">
        <f>capex_total*capex_maintenance_pct/'Quy mô thị trường'!AL6</f>
        <v>237.6</v>
      </c>
      <c r="AM6" s="11">
        <f>capex_total*capex_maintenance_pct/'Quy mô thị trường'!AM6</f>
        <v>237.6</v>
      </c>
      <c r="AN6" s="11">
        <f>capex_total*capex_maintenance_pct/'Quy mô thị trường'!AN6</f>
        <v>237.6</v>
      </c>
      <c r="AO6" s="11">
        <f>capex_total*capex_maintenance_pct/'Quy mô thị trường'!AO6</f>
        <v>237.6</v>
      </c>
      <c r="AP6" s="11">
        <f>capex_total*capex_maintenance_pct/'Quy mô thị trường'!AP6</f>
        <v>237.6</v>
      </c>
      <c r="AQ6" s="11">
        <f>capex_total*capex_maintenance_pct/'Quy mô thị trường'!AQ6</f>
        <v>237.6</v>
      </c>
      <c r="AR6" s="11">
        <f>capex_total*capex_maintenance_pct/'Quy mô thị trường'!AR6</f>
        <v>237.6</v>
      </c>
    </row>
    <row r="7" spans="1:44" x14ac:dyDescent="0.3">
      <c r="A7" s="5" t="s">
        <v>356</v>
      </c>
      <c r="C7" s="10">
        <f t="shared" ref="C7:AR7" si="1">C5+C6</f>
        <v>880</v>
      </c>
      <c r="D7" s="10">
        <f t="shared" si="1"/>
        <v>880</v>
      </c>
      <c r="E7" s="10">
        <f t="shared" si="1"/>
        <v>880</v>
      </c>
      <c r="F7" s="10">
        <f t="shared" si="1"/>
        <v>880</v>
      </c>
      <c r="G7" s="10">
        <f t="shared" si="1"/>
        <v>880</v>
      </c>
      <c r="H7" s="10">
        <f t="shared" si="1"/>
        <v>880</v>
      </c>
      <c r="I7" s="10">
        <f t="shared" si="1"/>
        <v>79.2</v>
      </c>
      <c r="J7" s="10">
        <f t="shared" si="1"/>
        <v>79.2</v>
      </c>
      <c r="K7" s="10">
        <f t="shared" si="1"/>
        <v>79.2</v>
      </c>
      <c r="L7" s="10">
        <f t="shared" si="1"/>
        <v>79.2</v>
      </c>
      <c r="M7" s="10">
        <f t="shared" si="1"/>
        <v>79.2</v>
      </c>
      <c r="N7" s="10">
        <f t="shared" si="1"/>
        <v>79.2</v>
      </c>
      <c r="O7" s="10">
        <f t="shared" si="1"/>
        <v>79.2</v>
      </c>
      <c r="P7" s="10">
        <f t="shared" si="1"/>
        <v>79.2</v>
      </c>
      <c r="Q7" s="10">
        <f t="shared" si="1"/>
        <v>79.2</v>
      </c>
      <c r="R7" s="10">
        <f t="shared" si="1"/>
        <v>79.2</v>
      </c>
      <c r="S7" s="10">
        <f t="shared" si="1"/>
        <v>79.2</v>
      </c>
      <c r="T7" s="10">
        <f t="shared" si="1"/>
        <v>79.2</v>
      </c>
      <c r="U7" s="10">
        <f t="shared" si="1"/>
        <v>79.2</v>
      </c>
      <c r="V7" s="10">
        <f t="shared" si="1"/>
        <v>79.2</v>
      </c>
      <c r="W7" s="10">
        <f t="shared" si="1"/>
        <v>79.2</v>
      </c>
      <c r="X7" s="10">
        <f t="shared" si="1"/>
        <v>79.2</v>
      </c>
      <c r="Y7" s="10">
        <f t="shared" si="1"/>
        <v>79.2</v>
      </c>
      <c r="Z7" s="10">
        <f t="shared" si="1"/>
        <v>79.2</v>
      </c>
      <c r="AA7" s="10">
        <f t="shared" si="1"/>
        <v>79.2</v>
      </c>
      <c r="AB7" s="10">
        <f t="shared" si="1"/>
        <v>79.2</v>
      </c>
      <c r="AC7" s="10">
        <f t="shared" si="1"/>
        <v>79.2</v>
      </c>
      <c r="AD7" s="10">
        <f t="shared" si="1"/>
        <v>79.2</v>
      </c>
      <c r="AE7" s="10">
        <f t="shared" si="1"/>
        <v>79.2</v>
      </c>
      <c r="AF7" s="10">
        <f t="shared" si="1"/>
        <v>79.2</v>
      </c>
      <c r="AG7" s="10">
        <f t="shared" si="1"/>
        <v>237.6</v>
      </c>
      <c r="AH7" s="10">
        <f t="shared" si="1"/>
        <v>237.6</v>
      </c>
      <c r="AI7" s="10">
        <f t="shared" si="1"/>
        <v>237.6</v>
      </c>
      <c r="AJ7" s="10">
        <f t="shared" si="1"/>
        <v>237.6</v>
      </c>
      <c r="AK7" s="10">
        <f t="shared" si="1"/>
        <v>237.6</v>
      </c>
      <c r="AL7" s="10">
        <f t="shared" si="1"/>
        <v>237.6</v>
      </c>
      <c r="AM7" s="10">
        <f t="shared" si="1"/>
        <v>237.6</v>
      </c>
      <c r="AN7" s="10">
        <f t="shared" si="1"/>
        <v>237.6</v>
      </c>
      <c r="AO7" s="10">
        <f t="shared" si="1"/>
        <v>237.6</v>
      </c>
      <c r="AP7" s="10">
        <f t="shared" si="1"/>
        <v>237.6</v>
      </c>
      <c r="AQ7" s="10">
        <f t="shared" si="1"/>
        <v>237.6</v>
      </c>
      <c r="AR7" s="10">
        <f t="shared" si="1"/>
        <v>237.6</v>
      </c>
    </row>
    <row r="9" spans="1:44" x14ac:dyDescent="0.3">
      <c r="A9" s="2" t="s">
        <v>73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</row>
    <row r="10" spans="1:44" x14ac:dyDescent="0.3">
      <c r="A10" s="5" t="s">
        <v>357</v>
      </c>
      <c r="B10" s="5" t="s">
        <v>144</v>
      </c>
      <c r="C10" s="11">
        <f>'Nhân sự'!C21</f>
        <v>1820.25</v>
      </c>
      <c r="D10" s="11">
        <f>'Nhân sự'!D21</f>
        <v>668.25</v>
      </c>
      <c r="E10" s="11">
        <f>'Nhân sự'!E21</f>
        <v>668.25</v>
      </c>
      <c r="F10" s="11">
        <f>'Nhân sự'!F21</f>
        <v>668.25</v>
      </c>
      <c r="G10" s="11">
        <f>'Nhân sự'!G21</f>
        <v>668.25</v>
      </c>
      <c r="H10" s="11">
        <f>'Nhân sự'!H21</f>
        <v>668.25</v>
      </c>
      <c r="I10" s="11">
        <f>'Nhân sự'!I21</f>
        <v>1380.9150000000002</v>
      </c>
      <c r="J10" s="11">
        <f>'Nhân sự'!J21</f>
        <v>948.91500000000019</v>
      </c>
      <c r="K10" s="11">
        <f>'Nhân sự'!K21</f>
        <v>948.91500000000019</v>
      </c>
      <c r="L10" s="11">
        <f>'Nhân sự'!L21</f>
        <v>948.91500000000019</v>
      </c>
      <c r="M10" s="11">
        <f>'Nhân sự'!M21</f>
        <v>948.91500000000019</v>
      </c>
      <c r="N10" s="11">
        <f>'Nhân sự'!N21</f>
        <v>948.91500000000019</v>
      </c>
      <c r="O10" s="11">
        <f>'Nhân sự'!O21</f>
        <v>948.91500000000019</v>
      </c>
      <c r="P10" s="11">
        <f>'Nhân sự'!P21</f>
        <v>948.91500000000019</v>
      </c>
      <c r="Q10" s="11">
        <f>'Nhân sự'!Q21</f>
        <v>948.91500000000019</v>
      </c>
      <c r="R10" s="11">
        <f>'Nhân sự'!R21</f>
        <v>948.91500000000019</v>
      </c>
      <c r="S10" s="11">
        <f>'Nhân sự'!S21</f>
        <v>948.91500000000019</v>
      </c>
      <c r="T10" s="11">
        <f>'Nhân sự'!T21</f>
        <v>948.91500000000019</v>
      </c>
      <c r="U10" s="11">
        <f>'Nhân sự'!U21</f>
        <v>1965.2917500000003</v>
      </c>
      <c r="V10" s="11">
        <f>'Nhân sự'!V21</f>
        <v>1389.2917500000003</v>
      </c>
      <c r="W10" s="11">
        <f>'Nhân sự'!W21</f>
        <v>1389.2917500000003</v>
      </c>
      <c r="X10" s="11">
        <f>'Nhân sự'!X21</f>
        <v>1389.2917500000003</v>
      </c>
      <c r="Y10" s="11">
        <f>'Nhân sự'!Y21</f>
        <v>1389.2917500000003</v>
      </c>
      <c r="Z10" s="11">
        <f>'Nhân sự'!Z21</f>
        <v>1389.2917500000003</v>
      </c>
      <c r="AA10" s="11">
        <f>'Nhân sự'!AA21</f>
        <v>1389.2917500000003</v>
      </c>
      <c r="AB10" s="11">
        <f>'Nhân sự'!AB21</f>
        <v>1389.2917500000003</v>
      </c>
      <c r="AC10" s="11">
        <f>'Nhân sự'!AC21</f>
        <v>1389.2917500000003</v>
      </c>
      <c r="AD10" s="11">
        <f>'Nhân sự'!AD21</f>
        <v>1389.2917500000003</v>
      </c>
      <c r="AE10" s="11">
        <f>'Nhân sự'!AE21</f>
        <v>1389.2917500000003</v>
      </c>
      <c r="AF10" s="11">
        <f>'Nhân sự'!AF21</f>
        <v>1389.2917500000003</v>
      </c>
      <c r="AG10" s="11">
        <f>'Nhân sự'!AG21</f>
        <v>6686.5664250000018</v>
      </c>
      <c r="AH10" s="11">
        <f>'Nhân sự'!AH21</f>
        <v>5894.5664250000018</v>
      </c>
      <c r="AI10" s="11">
        <f>'Nhân sự'!AI21</f>
        <v>5894.5664250000018</v>
      </c>
      <c r="AJ10" s="11">
        <f>'Nhân sự'!AJ21</f>
        <v>5894.5664250000018</v>
      </c>
      <c r="AK10" s="11">
        <f>'Nhân sự'!AK21</f>
        <v>9386.5318650000027</v>
      </c>
      <c r="AL10" s="11">
        <f>'Nhân sự'!AL21</f>
        <v>8378.5318650000027</v>
      </c>
      <c r="AM10" s="11">
        <f>'Nhân sự'!AM21</f>
        <v>8378.5318650000027</v>
      </c>
      <c r="AN10" s="11">
        <f>'Nhân sự'!AN21</f>
        <v>8378.5318650000027</v>
      </c>
      <c r="AO10" s="11">
        <f>'Nhân sự'!AO21</f>
        <v>11403.962289000005</v>
      </c>
      <c r="AP10" s="11">
        <f>'Nhân sự'!AP21</f>
        <v>10683.962289000005</v>
      </c>
      <c r="AQ10" s="11">
        <f>'Nhân sự'!AQ21</f>
        <v>10683.962289000005</v>
      </c>
      <c r="AR10" s="11">
        <f>'Nhân sự'!AR21</f>
        <v>10683.962289000005</v>
      </c>
    </row>
    <row r="11" spans="1:44" x14ac:dyDescent="0.3">
      <c r="A11" s="5" t="s">
        <v>358</v>
      </c>
      <c r="B11" s="5" t="s">
        <v>144</v>
      </c>
      <c r="C11" s="11">
        <f>opex_marketing*(1+marketing_growth)^'Quy mô thị trường'!C5/'Quy mô thị trường'!C6</f>
        <v>583.33333333333337</v>
      </c>
      <c r="D11" s="11">
        <f>opex_marketing*(1+marketing_growth)^'Quy mô thị trường'!D5/'Quy mô thị trường'!D6</f>
        <v>583.33333333333337</v>
      </c>
      <c r="E11" s="11">
        <f>opex_marketing*(1+marketing_growth)^'Quy mô thị trường'!E5/'Quy mô thị trường'!E6</f>
        <v>583.33333333333337</v>
      </c>
      <c r="F11" s="11">
        <f>opex_marketing*(1+marketing_growth)^'Quy mô thị trường'!F5/'Quy mô thị trường'!F6</f>
        <v>583.33333333333337</v>
      </c>
      <c r="G11" s="11">
        <f>opex_marketing*(1+marketing_growth)^'Quy mô thị trường'!G5/'Quy mô thị trường'!G6</f>
        <v>583.33333333333337</v>
      </c>
      <c r="H11" s="11">
        <f>opex_marketing*(1+marketing_growth)^'Quy mô thị trường'!H5/'Quy mô thị trường'!H6</f>
        <v>583.33333333333337</v>
      </c>
      <c r="I11" s="11">
        <f>opex_marketing*(1+marketing_growth)^'Quy mô thị trường'!I5/'Quy mô thị trường'!I6</f>
        <v>670.83333333333326</v>
      </c>
      <c r="J11" s="11">
        <f>opex_marketing*(1+marketing_growth)^'Quy mô thị trường'!J5/'Quy mô thị trường'!J6</f>
        <v>670.83333333333326</v>
      </c>
      <c r="K11" s="11">
        <f>opex_marketing*(1+marketing_growth)^'Quy mô thị trường'!K5/'Quy mô thị trường'!K6</f>
        <v>670.83333333333326</v>
      </c>
      <c r="L11" s="11">
        <f>opex_marketing*(1+marketing_growth)^'Quy mô thị trường'!L5/'Quy mô thị trường'!L6</f>
        <v>670.83333333333326</v>
      </c>
      <c r="M11" s="11">
        <f>opex_marketing*(1+marketing_growth)^'Quy mô thị trường'!M5/'Quy mô thị trường'!M6</f>
        <v>670.83333333333326</v>
      </c>
      <c r="N11" s="11">
        <f>opex_marketing*(1+marketing_growth)^'Quy mô thị trường'!N5/'Quy mô thị trường'!N6</f>
        <v>670.83333333333326</v>
      </c>
      <c r="O11" s="11">
        <f>opex_marketing*(1+marketing_growth)^'Quy mô thị trường'!O5/'Quy mô thị trường'!O6</f>
        <v>670.83333333333326</v>
      </c>
      <c r="P11" s="11">
        <f>opex_marketing*(1+marketing_growth)^'Quy mô thị trường'!P5/'Quy mô thị trường'!P6</f>
        <v>670.83333333333326</v>
      </c>
      <c r="Q11" s="11">
        <f>opex_marketing*(1+marketing_growth)^'Quy mô thị trường'!Q5/'Quy mô thị trường'!Q6</f>
        <v>670.83333333333326</v>
      </c>
      <c r="R11" s="11">
        <f>opex_marketing*(1+marketing_growth)^'Quy mô thị trường'!R5/'Quy mô thị trường'!R6</f>
        <v>670.83333333333326</v>
      </c>
      <c r="S11" s="11">
        <f>opex_marketing*(1+marketing_growth)^'Quy mô thị trường'!S5/'Quy mô thị trường'!S6</f>
        <v>670.83333333333326</v>
      </c>
      <c r="T11" s="11">
        <f>opex_marketing*(1+marketing_growth)^'Quy mô thị trường'!T5/'Quy mô thị trường'!T6</f>
        <v>670.83333333333326</v>
      </c>
      <c r="U11" s="11">
        <f>opex_marketing*(1+marketing_growth)^'Quy mô thị trường'!U5/'Quy mô thị trường'!U6</f>
        <v>771.45833333333314</v>
      </c>
      <c r="V11" s="11">
        <f>opex_marketing*(1+marketing_growth)^'Quy mô thị trường'!V5/'Quy mô thị trường'!V6</f>
        <v>771.45833333333314</v>
      </c>
      <c r="W11" s="11">
        <f>opex_marketing*(1+marketing_growth)^'Quy mô thị trường'!W5/'Quy mô thị trường'!W6</f>
        <v>771.45833333333314</v>
      </c>
      <c r="X11" s="11">
        <f>opex_marketing*(1+marketing_growth)^'Quy mô thị trường'!X5/'Quy mô thị trường'!X6</f>
        <v>771.45833333333314</v>
      </c>
      <c r="Y11" s="11">
        <f>opex_marketing*(1+marketing_growth)^'Quy mô thị trường'!Y5/'Quy mô thị trường'!Y6</f>
        <v>771.45833333333314</v>
      </c>
      <c r="Z11" s="11">
        <f>opex_marketing*(1+marketing_growth)^'Quy mô thị trường'!Z5/'Quy mô thị trường'!Z6</f>
        <v>771.45833333333314</v>
      </c>
      <c r="AA11" s="11">
        <f>opex_marketing*(1+marketing_growth)^'Quy mô thị trường'!AA5/'Quy mô thị trường'!AA6</f>
        <v>771.45833333333314</v>
      </c>
      <c r="AB11" s="11">
        <f>opex_marketing*(1+marketing_growth)^'Quy mô thị trường'!AB5/'Quy mô thị trường'!AB6</f>
        <v>771.45833333333314</v>
      </c>
      <c r="AC11" s="11">
        <f>opex_marketing*(1+marketing_growth)^'Quy mô thị trường'!AC5/'Quy mô thị trường'!AC6</f>
        <v>771.45833333333314</v>
      </c>
      <c r="AD11" s="11">
        <f>opex_marketing*(1+marketing_growth)^'Quy mô thị trường'!AD5/'Quy mô thị trường'!AD6</f>
        <v>771.45833333333314</v>
      </c>
      <c r="AE11" s="11">
        <f>opex_marketing*(1+marketing_growth)^'Quy mô thị trường'!AE5/'Quy mô thị trường'!AE6</f>
        <v>771.45833333333314</v>
      </c>
      <c r="AF11" s="11">
        <f>opex_marketing*(1+marketing_growth)^'Quy mô thị trường'!AF5/'Quy mô thị trường'!AF6</f>
        <v>771.45833333333314</v>
      </c>
      <c r="AG11" s="11">
        <f>opex_marketing*(1+marketing_growth)^'Quy mô thị trường'!AG5/'Quy mô thị trường'!AG6</f>
        <v>2661.5312499999991</v>
      </c>
      <c r="AH11" s="11">
        <f>opex_marketing*(1+marketing_growth)^'Quy mô thị trường'!AH5/'Quy mô thị trường'!AH6</f>
        <v>2661.5312499999991</v>
      </c>
      <c r="AI11" s="11">
        <f>opex_marketing*(1+marketing_growth)^'Quy mô thị trường'!AI5/'Quy mô thị trường'!AI6</f>
        <v>2661.5312499999991</v>
      </c>
      <c r="AJ11" s="11">
        <f>opex_marketing*(1+marketing_growth)^'Quy mô thị trường'!AJ5/'Quy mô thị trường'!AJ6</f>
        <v>2661.5312499999991</v>
      </c>
      <c r="AK11" s="11">
        <f>opex_marketing*(1+marketing_growth)^'Quy mô thị trường'!AK5/'Quy mô thị trường'!AK6</f>
        <v>3060.7609374999988</v>
      </c>
      <c r="AL11" s="11">
        <f>opex_marketing*(1+marketing_growth)^'Quy mô thị trường'!AL5/'Quy mô thị trường'!AL6</f>
        <v>3060.7609374999988</v>
      </c>
      <c r="AM11" s="11">
        <f>opex_marketing*(1+marketing_growth)^'Quy mô thị trường'!AM5/'Quy mô thị trường'!AM6</f>
        <v>3060.7609374999988</v>
      </c>
      <c r="AN11" s="11">
        <f>opex_marketing*(1+marketing_growth)^'Quy mô thị trường'!AN5/'Quy mô thị trường'!AN6</f>
        <v>3060.7609374999988</v>
      </c>
      <c r="AO11" s="11">
        <f>opex_marketing*(1+marketing_growth)^'Quy mô thị trường'!AO5/'Quy mô thị trường'!AO6</f>
        <v>3519.8750781249987</v>
      </c>
      <c r="AP11" s="11">
        <f>opex_marketing*(1+marketing_growth)^'Quy mô thị trường'!AP5/'Quy mô thị trường'!AP6</f>
        <v>3519.8750781249987</v>
      </c>
      <c r="AQ11" s="11">
        <f>opex_marketing*(1+marketing_growth)^'Quy mô thị trường'!AQ5/'Quy mô thị trường'!AQ6</f>
        <v>3519.8750781249987</v>
      </c>
      <c r="AR11" s="11">
        <f>opex_marketing*(1+marketing_growth)^'Quy mô thị trường'!AR5/'Quy mô thị trường'!AR6</f>
        <v>3519.8750781249987</v>
      </c>
    </row>
    <row r="12" spans="1:44" x14ac:dyDescent="0.3">
      <c r="A12" s="5" t="s">
        <v>359</v>
      </c>
      <c r="B12" s="5" t="s">
        <v>144</v>
      </c>
      <c r="C12" s="11">
        <f>opex_branding/'Quy mô thị trường'!C6</f>
        <v>333.33333333333331</v>
      </c>
      <c r="D12" s="11">
        <f>opex_branding/'Quy mô thị trường'!D6</f>
        <v>333.33333333333331</v>
      </c>
      <c r="E12" s="11">
        <f>opex_branding/'Quy mô thị trường'!E6</f>
        <v>333.33333333333331</v>
      </c>
      <c r="F12" s="11">
        <f>opex_branding/'Quy mô thị trường'!F6</f>
        <v>333.33333333333331</v>
      </c>
      <c r="G12" s="11">
        <f>opex_branding/'Quy mô thị trường'!G6</f>
        <v>333.33333333333331</v>
      </c>
      <c r="H12" s="11">
        <f>opex_branding/'Quy mô thị trường'!H6</f>
        <v>333.33333333333331</v>
      </c>
      <c r="I12" s="11">
        <f>opex_branding/'Quy mô thị trường'!I6</f>
        <v>333.33333333333331</v>
      </c>
      <c r="J12" s="11">
        <f>opex_branding/'Quy mô thị trường'!J6</f>
        <v>333.33333333333331</v>
      </c>
      <c r="K12" s="11">
        <f>opex_branding/'Quy mô thị trường'!K6</f>
        <v>333.33333333333331</v>
      </c>
      <c r="L12" s="11">
        <f>opex_branding/'Quy mô thị trường'!L6</f>
        <v>333.33333333333331</v>
      </c>
      <c r="M12" s="11">
        <f>opex_branding/'Quy mô thị trường'!M6</f>
        <v>333.33333333333331</v>
      </c>
      <c r="N12" s="11">
        <f>opex_branding/'Quy mô thị trường'!N6</f>
        <v>333.33333333333331</v>
      </c>
      <c r="O12" s="11">
        <f>opex_branding/'Quy mô thị trường'!O6</f>
        <v>333.33333333333331</v>
      </c>
      <c r="P12" s="11">
        <f>opex_branding/'Quy mô thị trường'!P6</f>
        <v>333.33333333333331</v>
      </c>
      <c r="Q12" s="11">
        <f>opex_branding/'Quy mô thị trường'!Q6</f>
        <v>333.33333333333331</v>
      </c>
      <c r="R12" s="11">
        <f>opex_branding/'Quy mô thị trường'!R6</f>
        <v>333.33333333333331</v>
      </c>
      <c r="S12" s="11">
        <f>opex_branding/'Quy mô thị trường'!S6</f>
        <v>333.33333333333331</v>
      </c>
      <c r="T12" s="11">
        <f>opex_branding/'Quy mô thị trường'!T6</f>
        <v>333.33333333333331</v>
      </c>
      <c r="U12" s="11">
        <f>opex_branding/'Quy mô thị trường'!U6</f>
        <v>333.33333333333331</v>
      </c>
      <c r="V12" s="11">
        <f>opex_branding/'Quy mô thị trường'!V6</f>
        <v>333.33333333333331</v>
      </c>
      <c r="W12" s="11">
        <f>opex_branding/'Quy mô thị trường'!W6</f>
        <v>333.33333333333331</v>
      </c>
      <c r="X12" s="11">
        <f>opex_branding/'Quy mô thị trường'!X6</f>
        <v>333.33333333333331</v>
      </c>
      <c r="Y12" s="11">
        <f>opex_branding/'Quy mô thị trường'!Y6</f>
        <v>333.33333333333331</v>
      </c>
      <c r="Z12" s="11">
        <f>opex_branding/'Quy mô thị trường'!Z6</f>
        <v>333.33333333333331</v>
      </c>
      <c r="AA12" s="11">
        <f>opex_branding/'Quy mô thị trường'!AA6</f>
        <v>333.33333333333331</v>
      </c>
      <c r="AB12" s="11">
        <f>opex_branding/'Quy mô thị trường'!AB6</f>
        <v>333.33333333333331</v>
      </c>
      <c r="AC12" s="11">
        <f>opex_branding/'Quy mô thị trường'!AC6</f>
        <v>333.33333333333331</v>
      </c>
      <c r="AD12" s="11">
        <f>opex_branding/'Quy mô thị trường'!AD6</f>
        <v>333.33333333333331</v>
      </c>
      <c r="AE12" s="11">
        <f>opex_branding/'Quy mô thị trường'!AE6</f>
        <v>333.33333333333331</v>
      </c>
      <c r="AF12" s="11">
        <f>opex_branding/'Quy mô thị trường'!AF6</f>
        <v>333.33333333333331</v>
      </c>
      <c r="AG12" s="11">
        <f>opex_branding/'Quy mô thị trường'!AG6</f>
        <v>1000</v>
      </c>
      <c r="AH12" s="11">
        <f>opex_branding/'Quy mô thị trường'!AH6</f>
        <v>1000</v>
      </c>
      <c r="AI12" s="11">
        <f>opex_branding/'Quy mô thị trường'!AI6</f>
        <v>1000</v>
      </c>
      <c r="AJ12" s="11">
        <f>opex_branding/'Quy mô thị trường'!AJ6</f>
        <v>1000</v>
      </c>
      <c r="AK12" s="11">
        <f>opex_branding/'Quy mô thị trường'!AK6</f>
        <v>1000</v>
      </c>
      <c r="AL12" s="11">
        <f>opex_branding/'Quy mô thị trường'!AL6</f>
        <v>1000</v>
      </c>
      <c r="AM12" s="11">
        <f>opex_branding/'Quy mô thị trường'!AM6</f>
        <v>1000</v>
      </c>
      <c r="AN12" s="11">
        <f>opex_branding/'Quy mô thị trường'!AN6</f>
        <v>1000</v>
      </c>
      <c r="AO12" s="11">
        <f>opex_branding/'Quy mô thị trường'!AO6</f>
        <v>1000</v>
      </c>
      <c r="AP12" s="11">
        <f>opex_branding/'Quy mô thị trường'!AP6</f>
        <v>1000</v>
      </c>
      <c r="AQ12" s="11">
        <f>opex_branding/'Quy mô thị trường'!AQ6</f>
        <v>1000</v>
      </c>
      <c r="AR12" s="11">
        <f>opex_branding/'Quy mô thị trường'!AR6</f>
        <v>1000</v>
      </c>
    </row>
    <row r="13" spans="1:44" x14ac:dyDescent="0.3">
      <c r="A13" s="5" t="s">
        <v>360</v>
      </c>
      <c r="B13" s="5" t="s">
        <v>144</v>
      </c>
      <c r="C13" s="11">
        <f>opex_cloud_base/'Quy mô thị trường'!C6+'Quy mô thị trường'!C17*cloud_per_1M_vcr</f>
        <v>279.98688196364782</v>
      </c>
      <c r="D13" s="11">
        <f>opex_cloud_base/'Quy mô thị trường'!D6+'Quy mô thị trường'!D17*cloud_per_1M_vcr</f>
        <v>280.46706797548921</v>
      </c>
      <c r="E13" s="11">
        <f>opex_cloud_base/'Quy mô thị trường'!E6+'Quy mô thị trường'!E17*cloud_per_1M_vcr</f>
        <v>281.14662816811278</v>
      </c>
      <c r="F13" s="11">
        <f>opex_cloud_base/'Quy mô thị trường'!F6+'Quy mô thị trường'!F17*cloud_per_1M_vcr</f>
        <v>281.86721837280271</v>
      </c>
      <c r="G13" s="11">
        <f>opex_cloud_base/'Quy mô thị trường'!G6+'Quy mô thị trường'!G17*cloud_per_1M_vcr</f>
        <v>282.63045571932457</v>
      </c>
      <c r="H13" s="11">
        <f>opex_cloud_base/'Quy mô thị trường'!H6+'Quy mô thị trường'!H17*cloud_per_1M_vcr</f>
        <v>283.35790039232569</v>
      </c>
      <c r="I13" s="11">
        <f>opex_cloud_base/'Quy mô thị trường'!I6+'Quy mô thị trường'!I17*cloud_per_1M_vcr</f>
        <v>284.21103556378011</v>
      </c>
      <c r="J13" s="11">
        <f>opex_cloud_base/'Quy mô thị trường'!J6+'Quy mô thị trường'!J17*cloud_per_1M_vcr</f>
        <v>285.11124557420362</v>
      </c>
      <c r="K13" s="11">
        <f>opex_cloud_base/'Quy mô thị trường'!K6+'Quy mô thị trường'!K17*cloud_per_1M_vcr</f>
        <v>286.05979249268637</v>
      </c>
      <c r="L13" s="11">
        <f>opex_cloud_base/'Quy mô thị trường'!L6+'Quy mô thị trường'!L17*cloud_per_1M_vcr</f>
        <v>287.05779125097177</v>
      </c>
      <c r="M13" s="11">
        <f>opex_cloud_base/'Quy mô thị trường'!M6+'Quy mô thị trường'!M17*cloud_per_1M_vcr</f>
        <v>288.02618361874255</v>
      </c>
      <c r="N13" s="11">
        <f>opex_cloud_base/'Quy mô thị trường'!N6+'Quy mô thị trường'!N17*cloud_per_1M_vcr</f>
        <v>289.12571136442489</v>
      </c>
      <c r="O13" s="11">
        <f>opex_cloud_base/'Quy mô thị trường'!O6+'Quy mô thị trường'!O17*cloud_per_1M_vcr</f>
        <v>290.27688902622424</v>
      </c>
      <c r="P13" s="11">
        <f>opex_cloud_base/'Quy mô thị trường'!P6+'Quy mô thị trường'!P17*cloud_per_1M_vcr</f>
        <v>291.47997679870508</v>
      </c>
      <c r="Q13" s="11">
        <f>opex_cloud_base/'Quy mô thị trường'!Q6+'Quy mô thị trường'!Q17*cloud_per_1M_vcr</f>
        <v>292.65495411742876</v>
      </c>
      <c r="R13" s="11">
        <f>opex_cloud_base/'Quy mô thị trường'!R6+'Quy mô thị trường'!R17*cloud_per_1M_vcr</f>
        <v>293.96149459404103</v>
      </c>
      <c r="S13" s="11">
        <f>opex_cloud_base/'Quy mô thị trường'!S6+'Quy mô thị trường'!S17*cloud_per_1M_vcr</f>
        <v>295.31894301184525</v>
      </c>
      <c r="T13" s="11">
        <f>opex_cloud_base/'Quy mô thị trường'!T6+'Quy mô thị trường'!T17*cloud_per_1M_vcr</f>
        <v>296.72629513229981</v>
      </c>
      <c r="U13" s="11">
        <f>opex_cloud_base/'Quy mô thị trường'!U6+'Quy mô thị trường'!U17*cloud_per_1M_vcr</f>
        <v>298.1021810813329</v>
      </c>
      <c r="V13" s="11">
        <f>opex_cloud_base/'Quy mô thị trường'!V6+'Quy mô thị trường'!V17*cloud_per_1M_vcr</f>
        <v>299.60485307596565</v>
      </c>
      <c r="W13" s="11">
        <f>opex_cloud_base/'Quy mô thị trường'!W6+'Quy mô thị trường'!W17*cloud_per_1M_vcr</f>
        <v>301.15217821249701</v>
      </c>
      <c r="X13" s="11">
        <f>opex_cloud_base/'Quy mô thị trường'!X6+'Quy mô thị trường'!X17*cloud_per_1M_vcr</f>
        <v>302.66163696500541</v>
      </c>
      <c r="Y13" s="11">
        <f>opex_cloud_base/'Quy mô thị trường'!Y6+'Quy mô thị trường'!Y17*cloud_per_1M_vcr</f>
        <v>304.29032793565545</v>
      </c>
      <c r="Z13" s="11">
        <f>opex_cloud_base/'Quy mô thị trường'!Z6+'Quy mô thị trường'!Z17*cloud_per_1M_vcr</f>
        <v>305.9549792569797</v>
      </c>
      <c r="AA13" s="11">
        <f>opex_cloud_base/'Quy mô thị trường'!AA6+'Quy mô thị trường'!AA17*cloud_per_1M_vcr</f>
        <v>307.57196687420799</v>
      </c>
      <c r="AB13" s="11">
        <f>opex_cloud_base/'Quy mô thị trường'!AB6+'Quy mô thị trường'!AB17*cloud_per_1M_vcr</f>
        <v>309.29733973774103</v>
      </c>
      <c r="AC13" s="11">
        <f>opex_cloud_base/'Quy mô thị trường'!AC6+'Quy mô thị trường'!AC17*cloud_per_1M_vcr</f>
        <v>310.96685171941567</v>
      </c>
      <c r="AD13" s="11">
        <f>opex_cloud_base/'Quy mô thị trường'!AD6+'Quy mô thị trường'!AD17*cloud_per_1M_vcr</f>
        <v>312.73599984104982</v>
      </c>
      <c r="AE13" s="11">
        <f>opex_cloud_base/'Quy mô thị trường'!AE6+'Quy mô thị trường'!AE17*cloud_per_1M_vcr</f>
        <v>314.52006818033175</v>
      </c>
      <c r="AF13" s="11">
        <f>opex_cloud_base/'Quy mô thị trường'!AF6+'Quy mô thị trường'!AF17*cloud_per_1M_vcr</f>
        <v>316.23417660899554</v>
      </c>
      <c r="AG13" s="11">
        <f>opex_cloud_base/'Quy mô thị trường'!AG6+'Quy mô thị trường'!AG17*cloud_per_1M_vcr</f>
        <v>951.75968363824313</v>
      </c>
      <c r="AH13" s="11">
        <f>opex_cloud_base/'Quy mô thị trường'!AH6+'Quy mô thị trường'!AH17*cloud_per_1M_vcr</f>
        <v>967.13221529932957</v>
      </c>
      <c r="AI13" s="11">
        <f>opex_cloud_base/'Quy mô thị trường'!AI6+'Quy mô thị trường'!AI17*cloud_per_1M_vcr</f>
        <v>982.04098805836497</v>
      </c>
      <c r="AJ13" s="11">
        <f>opex_cloud_base/'Quy mô thị trường'!AJ6+'Quy mô thị trường'!AJ17*cloud_per_1M_vcr</f>
        <v>996.13455987686825</v>
      </c>
      <c r="AK13" s="11">
        <f>opex_cloud_base/'Quy mô thị trường'!AK6+'Quy mô thị trường'!AK17*cloud_per_1M_vcr</f>
        <v>1009.1351850604105</v>
      </c>
      <c r="AL13" s="11">
        <f>opex_cloud_base/'Quy mô thị trường'!AL6+'Quy mô thị trường'!AL17*cloud_per_1M_vcr</f>
        <v>1020.8545641413382</v>
      </c>
      <c r="AM13" s="11">
        <f>opex_cloud_base/'Quy mô thị trường'!AM6+'Quy mô thị trường'!AM17*cloud_per_1M_vcr</f>
        <v>1031.4355357460552</v>
      </c>
      <c r="AN13" s="11">
        <f>opex_cloud_base/'Quy mô thị trường'!AN6+'Quy mô thị trường'!AN17*cloud_per_1M_vcr</f>
        <v>1040.6223585162018</v>
      </c>
      <c r="AO13" s="11">
        <f>opex_cloud_base/'Quy mô thị trường'!AO6+'Quy mô thị trường'!AO17*cloud_per_1M_vcr</f>
        <v>1048.463997317222</v>
      </c>
      <c r="AP13" s="11">
        <f>opex_cloud_base/'Quy mô thị trường'!AP6+'Quy mô thị trường'!AP17*cloud_per_1M_vcr</f>
        <v>1055.2949229905287</v>
      </c>
      <c r="AQ13" s="11">
        <f>opex_cloud_base/'Quy mô thị trường'!AQ6+'Quy mô thị trường'!AQ17*cloud_per_1M_vcr</f>
        <v>1060.9969090445034</v>
      </c>
      <c r="AR13" s="11">
        <f>opex_cloud_base/'Quy mô thị trường'!AR6+'Quy mô thị trường'!AR17*cloud_per_1M_vcr</f>
        <v>1065.4638833121467</v>
      </c>
    </row>
    <row r="14" spans="1:44" x14ac:dyDescent="0.3">
      <c r="A14" s="5" t="s">
        <v>361</v>
      </c>
      <c r="B14" s="5" t="s">
        <v>144</v>
      </c>
      <c r="C14" s="11">
        <f>opex_security/'Quy mô thị trường'!C6</f>
        <v>20.833333333333332</v>
      </c>
      <c r="D14" s="11">
        <f>opex_security/'Quy mô thị trường'!D6</f>
        <v>20.833333333333332</v>
      </c>
      <c r="E14" s="11">
        <f>opex_security/'Quy mô thị trường'!E6</f>
        <v>20.833333333333332</v>
      </c>
      <c r="F14" s="11">
        <f>opex_security/'Quy mô thị trường'!F6</f>
        <v>20.833333333333332</v>
      </c>
      <c r="G14" s="11">
        <f>opex_security/'Quy mô thị trường'!G6</f>
        <v>20.833333333333332</v>
      </c>
      <c r="H14" s="11">
        <f>opex_security/'Quy mô thị trường'!H6</f>
        <v>20.833333333333332</v>
      </c>
      <c r="I14" s="11">
        <f>opex_security/'Quy mô thị trường'!I6</f>
        <v>20.833333333333332</v>
      </c>
      <c r="J14" s="11">
        <f>opex_security/'Quy mô thị trường'!J6</f>
        <v>20.833333333333332</v>
      </c>
      <c r="K14" s="11">
        <f>opex_security/'Quy mô thị trường'!K6</f>
        <v>20.833333333333332</v>
      </c>
      <c r="L14" s="11">
        <f>opex_security/'Quy mô thị trường'!L6</f>
        <v>20.833333333333332</v>
      </c>
      <c r="M14" s="11">
        <f>opex_security/'Quy mô thị trường'!M6</f>
        <v>20.833333333333332</v>
      </c>
      <c r="N14" s="11">
        <f>opex_security/'Quy mô thị trường'!N6</f>
        <v>20.833333333333332</v>
      </c>
      <c r="O14" s="11">
        <f>opex_security/'Quy mô thị trường'!O6</f>
        <v>20.833333333333332</v>
      </c>
      <c r="P14" s="11">
        <f>opex_security/'Quy mô thị trường'!P6</f>
        <v>20.833333333333332</v>
      </c>
      <c r="Q14" s="11">
        <f>opex_security/'Quy mô thị trường'!Q6</f>
        <v>20.833333333333332</v>
      </c>
      <c r="R14" s="11">
        <f>opex_security/'Quy mô thị trường'!R6</f>
        <v>20.833333333333332</v>
      </c>
      <c r="S14" s="11">
        <f>opex_security/'Quy mô thị trường'!S6</f>
        <v>20.833333333333332</v>
      </c>
      <c r="T14" s="11">
        <f>opex_security/'Quy mô thị trường'!T6</f>
        <v>20.833333333333332</v>
      </c>
      <c r="U14" s="11">
        <f>opex_security/'Quy mô thị trường'!U6</f>
        <v>20.833333333333332</v>
      </c>
      <c r="V14" s="11">
        <f>opex_security/'Quy mô thị trường'!V6</f>
        <v>20.833333333333332</v>
      </c>
      <c r="W14" s="11">
        <f>opex_security/'Quy mô thị trường'!W6</f>
        <v>20.833333333333332</v>
      </c>
      <c r="X14" s="11">
        <f>opex_security/'Quy mô thị trường'!X6</f>
        <v>20.833333333333332</v>
      </c>
      <c r="Y14" s="11">
        <f>opex_security/'Quy mô thị trường'!Y6</f>
        <v>20.833333333333332</v>
      </c>
      <c r="Z14" s="11">
        <f>opex_security/'Quy mô thị trường'!Z6</f>
        <v>20.833333333333332</v>
      </c>
      <c r="AA14" s="11">
        <f>opex_security/'Quy mô thị trường'!AA6</f>
        <v>20.833333333333332</v>
      </c>
      <c r="AB14" s="11">
        <f>opex_security/'Quy mô thị trường'!AB6</f>
        <v>20.833333333333332</v>
      </c>
      <c r="AC14" s="11">
        <f>opex_security/'Quy mô thị trường'!AC6</f>
        <v>20.833333333333332</v>
      </c>
      <c r="AD14" s="11">
        <f>opex_security/'Quy mô thị trường'!AD6</f>
        <v>20.833333333333332</v>
      </c>
      <c r="AE14" s="11">
        <f>opex_security/'Quy mô thị trường'!AE6</f>
        <v>20.833333333333332</v>
      </c>
      <c r="AF14" s="11">
        <f>opex_security/'Quy mô thị trường'!AF6</f>
        <v>20.833333333333332</v>
      </c>
      <c r="AG14" s="11">
        <f>opex_security/'Quy mô thị trường'!AG6</f>
        <v>62.5</v>
      </c>
      <c r="AH14" s="11">
        <f>opex_security/'Quy mô thị trường'!AH6</f>
        <v>62.5</v>
      </c>
      <c r="AI14" s="11">
        <f>opex_security/'Quy mô thị trường'!AI6</f>
        <v>62.5</v>
      </c>
      <c r="AJ14" s="11">
        <f>opex_security/'Quy mô thị trường'!AJ6</f>
        <v>62.5</v>
      </c>
      <c r="AK14" s="11">
        <f>opex_security/'Quy mô thị trường'!AK6</f>
        <v>62.5</v>
      </c>
      <c r="AL14" s="11">
        <f>opex_security/'Quy mô thị trường'!AL6</f>
        <v>62.5</v>
      </c>
      <c r="AM14" s="11">
        <f>opex_security/'Quy mô thị trường'!AM6</f>
        <v>62.5</v>
      </c>
      <c r="AN14" s="11">
        <f>opex_security/'Quy mô thị trường'!AN6</f>
        <v>62.5</v>
      </c>
      <c r="AO14" s="11">
        <f>opex_security/'Quy mô thị trường'!AO6</f>
        <v>62.5</v>
      </c>
      <c r="AP14" s="11">
        <f>opex_security/'Quy mô thị trường'!AP6</f>
        <v>62.5</v>
      </c>
      <c r="AQ14" s="11">
        <f>opex_security/'Quy mô thị trường'!AQ6</f>
        <v>62.5</v>
      </c>
      <c r="AR14" s="11">
        <f>opex_security/'Quy mô thị trường'!AR6</f>
        <v>62.5</v>
      </c>
    </row>
    <row r="15" spans="1:44" x14ac:dyDescent="0.3">
      <c r="A15" s="5" t="s">
        <v>362</v>
      </c>
      <c r="B15" s="5" t="s">
        <v>144</v>
      </c>
      <c r="C15" s="11">
        <f>opex_external/'Quy mô thị trường'!C6</f>
        <v>33.333333333333336</v>
      </c>
      <c r="D15" s="11">
        <f>opex_external/'Quy mô thị trường'!D6</f>
        <v>33.333333333333336</v>
      </c>
      <c r="E15" s="11">
        <f>opex_external/'Quy mô thị trường'!E6</f>
        <v>33.333333333333336</v>
      </c>
      <c r="F15" s="11">
        <f>opex_external/'Quy mô thị trường'!F6</f>
        <v>33.333333333333336</v>
      </c>
      <c r="G15" s="11">
        <f>opex_external/'Quy mô thị trường'!G6</f>
        <v>33.333333333333336</v>
      </c>
      <c r="H15" s="11">
        <f>opex_external/'Quy mô thị trường'!H6</f>
        <v>33.333333333333336</v>
      </c>
      <c r="I15" s="11">
        <f>opex_external/'Quy mô thị trường'!I6</f>
        <v>33.333333333333336</v>
      </c>
      <c r="J15" s="11">
        <f>opex_external/'Quy mô thị trường'!J6</f>
        <v>33.333333333333336</v>
      </c>
      <c r="K15" s="11">
        <f>opex_external/'Quy mô thị trường'!K6</f>
        <v>33.333333333333336</v>
      </c>
      <c r="L15" s="11">
        <f>opex_external/'Quy mô thị trường'!L6</f>
        <v>33.333333333333336</v>
      </c>
      <c r="M15" s="11">
        <f>opex_external/'Quy mô thị trường'!M6</f>
        <v>33.333333333333336</v>
      </c>
      <c r="N15" s="11">
        <f>opex_external/'Quy mô thị trường'!N6</f>
        <v>33.333333333333336</v>
      </c>
      <c r="O15" s="11">
        <f>opex_external/'Quy mô thị trường'!O6</f>
        <v>33.333333333333336</v>
      </c>
      <c r="P15" s="11">
        <f>opex_external/'Quy mô thị trường'!P6</f>
        <v>33.333333333333336</v>
      </c>
      <c r="Q15" s="11">
        <f>opex_external/'Quy mô thị trường'!Q6</f>
        <v>33.333333333333336</v>
      </c>
      <c r="R15" s="11">
        <f>opex_external/'Quy mô thị trường'!R6</f>
        <v>33.333333333333336</v>
      </c>
      <c r="S15" s="11">
        <f>opex_external/'Quy mô thị trường'!S6</f>
        <v>33.333333333333336</v>
      </c>
      <c r="T15" s="11">
        <f>opex_external/'Quy mô thị trường'!T6</f>
        <v>33.333333333333336</v>
      </c>
      <c r="U15" s="11">
        <f>opex_external/'Quy mô thị trường'!U6</f>
        <v>33.333333333333336</v>
      </c>
      <c r="V15" s="11">
        <f>opex_external/'Quy mô thị trường'!V6</f>
        <v>33.333333333333336</v>
      </c>
      <c r="W15" s="11">
        <f>opex_external/'Quy mô thị trường'!W6</f>
        <v>33.333333333333336</v>
      </c>
      <c r="X15" s="11">
        <f>opex_external/'Quy mô thị trường'!X6</f>
        <v>33.333333333333336</v>
      </c>
      <c r="Y15" s="11">
        <f>opex_external/'Quy mô thị trường'!Y6</f>
        <v>33.333333333333336</v>
      </c>
      <c r="Z15" s="11">
        <f>opex_external/'Quy mô thị trường'!Z6</f>
        <v>33.333333333333336</v>
      </c>
      <c r="AA15" s="11">
        <f>opex_external/'Quy mô thị trường'!AA6</f>
        <v>33.333333333333336</v>
      </c>
      <c r="AB15" s="11">
        <f>opex_external/'Quy mô thị trường'!AB6</f>
        <v>33.333333333333336</v>
      </c>
      <c r="AC15" s="11">
        <f>opex_external/'Quy mô thị trường'!AC6</f>
        <v>33.333333333333336</v>
      </c>
      <c r="AD15" s="11">
        <f>opex_external/'Quy mô thị trường'!AD6</f>
        <v>33.333333333333336</v>
      </c>
      <c r="AE15" s="11">
        <f>opex_external/'Quy mô thị trường'!AE6</f>
        <v>33.333333333333336</v>
      </c>
      <c r="AF15" s="11">
        <f>opex_external/'Quy mô thị trường'!AF6</f>
        <v>33.333333333333336</v>
      </c>
      <c r="AG15" s="11">
        <f>opex_external/'Quy mô thị trường'!AG6</f>
        <v>100</v>
      </c>
      <c r="AH15" s="11">
        <f>opex_external/'Quy mô thị trường'!AH6</f>
        <v>100</v>
      </c>
      <c r="AI15" s="11">
        <f>opex_external/'Quy mô thị trường'!AI6</f>
        <v>100</v>
      </c>
      <c r="AJ15" s="11">
        <f>opex_external/'Quy mô thị trường'!AJ6</f>
        <v>100</v>
      </c>
      <c r="AK15" s="11">
        <f>opex_external/'Quy mô thị trường'!AK6</f>
        <v>100</v>
      </c>
      <c r="AL15" s="11">
        <f>opex_external/'Quy mô thị trường'!AL6</f>
        <v>100</v>
      </c>
      <c r="AM15" s="11">
        <f>opex_external/'Quy mô thị trường'!AM6</f>
        <v>100</v>
      </c>
      <c r="AN15" s="11">
        <f>opex_external/'Quy mô thị trường'!AN6</f>
        <v>100</v>
      </c>
      <c r="AO15" s="11">
        <f>opex_external/'Quy mô thị trường'!AO6</f>
        <v>100</v>
      </c>
      <c r="AP15" s="11">
        <f>opex_external/'Quy mô thị trường'!AP6</f>
        <v>100</v>
      </c>
      <c r="AQ15" s="11">
        <f>opex_external/'Quy mô thị trường'!AQ6</f>
        <v>100</v>
      </c>
      <c r="AR15" s="11">
        <f>opex_external/'Quy mô thị trường'!AR6</f>
        <v>100</v>
      </c>
    </row>
    <row r="16" spans="1:44" x14ac:dyDescent="0.3">
      <c r="A16" s="5" t="s">
        <v>363</v>
      </c>
      <c r="B16" s="5" t="s">
        <v>144</v>
      </c>
      <c r="C16" s="11">
        <f>opex_legal/'Quy mô thị trường'!C6</f>
        <v>20</v>
      </c>
      <c r="D16" s="11">
        <f>opex_legal/'Quy mô thị trường'!D6</f>
        <v>20</v>
      </c>
      <c r="E16" s="11">
        <f>opex_legal/'Quy mô thị trường'!E6</f>
        <v>20</v>
      </c>
      <c r="F16" s="11">
        <f>opex_legal/'Quy mô thị trường'!F6</f>
        <v>20</v>
      </c>
      <c r="G16" s="11">
        <f>opex_legal/'Quy mô thị trường'!G6</f>
        <v>20</v>
      </c>
      <c r="H16" s="11">
        <f>opex_legal/'Quy mô thị trường'!H6</f>
        <v>20</v>
      </c>
      <c r="I16" s="11">
        <f>opex_legal/'Quy mô thị trường'!I6</f>
        <v>20</v>
      </c>
      <c r="J16" s="11">
        <f>opex_legal/'Quy mô thị trường'!J6</f>
        <v>20</v>
      </c>
      <c r="K16" s="11">
        <f>opex_legal/'Quy mô thị trường'!K6</f>
        <v>20</v>
      </c>
      <c r="L16" s="11">
        <f>opex_legal/'Quy mô thị trường'!L6</f>
        <v>20</v>
      </c>
      <c r="M16" s="11">
        <f>opex_legal/'Quy mô thị trường'!M6</f>
        <v>20</v>
      </c>
      <c r="N16" s="11">
        <f>opex_legal/'Quy mô thị trường'!N6</f>
        <v>20</v>
      </c>
      <c r="O16" s="11">
        <f>opex_legal/'Quy mô thị trường'!O6</f>
        <v>20</v>
      </c>
      <c r="P16" s="11">
        <f>opex_legal/'Quy mô thị trường'!P6</f>
        <v>20</v>
      </c>
      <c r="Q16" s="11">
        <f>opex_legal/'Quy mô thị trường'!Q6</f>
        <v>20</v>
      </c>
      <c r="R16" s="11">
        <f>opex_legal/'Quy mô thị trường'!R6</f>
        <v>20</v>
      </c>
      <c r="S16" s="11">
        <f>opex_legal/'Quy mô thị trường'!S6</f>
        <v>20</v>
      </c>
      <c r="T16" s="11">
        <f>opex_legal/'Quy mô thị trường'!T6</f>
        <v>20</v>
      </c>
      <c r="U16" s="11">
        <f>opex_legal/'Quy mô thị trường'!U6</f>
        <v>20</v>
      </c>
      <c r="V16" s="11">
        <f>opex_legal/'Quy mô thị trường'!V6</f>
        <v>20</v>
      </c>
      <c r="W16" s="11">
        <f>opex_legal/'Quy mô thị trường'!W6</f>
        <v>20</v>
      </c>
      <c r="X16" s="11">
        <f>opex_legal/'Quy mô thị trường'!X6</f>
        <v>20</v>
      </c>
      <c r="Y16" s="11">
        <f>opex_legal/'Quy mô thị trường'!Y6</f>
        <v>20</v>
      </c>
      <c r="Z16" s="11">
        <f>opex_legal/'Quy mô thị trường'!Z6</f>
        <v>20</v>
      </c>
      <c r="AA16" s="11">
        <f>opex_legal/'Quy mô thị trường'!AA6</f>
        <v>20</v>
      </c>
      <c r="AB16" s="11">
        <f>opex_legal/'Quy mô thị trường'!AB6</f>
        <v>20</v>
      </c>
      <c r="AC16" s="11">
        <f>opex_legal/'Quy mô thị trường'!AC6</f>
        <v>20</v>
      </c>
      <c r="AD16" s="11">
        <f>opex_legal/'Quy mô thị trường'!AD6</f>
        <v>20</v>
      </c>
      <c r="AE16" s="11">
        <f>opex_legal/'Quy mô thị trường'!AE6</f>
        <v>20</v>
      </c>
      <c r="AF16" s="11">
        <f>opex_legal/'Quy mô thị trường'!AF6</f>
        <v>20</v>
      </c>
      <c r="AG16" s="11">
        <f>opex_legal/'Quy mô thị trường'!AG6</f>
        <v>60</v>
      </c>
      <c r="AH16" s="11">
        <f>opex_legal/'Quy mô thị trường'!AH6</f>
        <v>60</v>
      </c>
      <c r="AI16" s="11">
        <f>opex_legal/'Quy mô thị trường'!AI6</f>
        <v>60</v>
      </c>
      <c r="AJ16" s="11">
        <f>opex_legal/'Quy mô thị trường'!AJ6</f>
        <v>60</v>
      </c>
      <c r="AK16" s="11">
        <f>opex_legal/'Quy mô thị trường'!AK6</f>
        <v>60</v>
      </c>
      <c r="AL16" s="11">
        <f>opex_legal/'Quy mô thị trường'!AL6</f>
        <v>60</v>
      </c>
      <c r="AM16" s="11">
        <f>opex_legal/'Quy mô thị trường'!AM6</f>
        <v>60</v>
      </c>
      <c r="AN16" s="11">
        <f>opex_legal/'Quy mô thị trường'!AN6</f>
        <v>60</v>
      </c>
      <c r="AO16" s="11">
        <f>opex_legal/'Quy mô thị trường'!AO6</f>
        <v>60</v>
      </c>
      <c r="AP16" s="11">
        <f>opex_legal/'Quy mô thị trường'!AP6</f>
        <v>60</v>
      </c>
      <c r="AQ16" s="11">
        <f>opex_legal/'Quy mô thị trường'!AQ6</f>
        <v>60</v>
      </c>
      <c r="AR16" s="11">
        <f>opex_legal/'Quy mô thị trường'!AR6</f>
        <v>60</v>
      </c>
    </row>
    <row r="17" spans="1:44" x14ac:dyDescent="0.3">
      <c r="A17" s="5" t="s">
        <v>364</v>
      </c>
      <c r="B17" s="5" t="s">
        <v>144</v>
      </c>
      <c r="C17" s="11">
        <f>opex_pilot_eval/'Quy mô thị trường'!C6</f>
        <v>16.666666666666668</v>
      </c>
      <c r="D17" s="11">
        <f>opex_pilot_eval/'Quy mô thị trường'!D6</f>
        <v>16.666666666666668</v>
      </c>
      <c r="E17" s="11">
        <f>opex_pilot_eval/'Quy mô thị trường'!E6</f>
        <v>16.666666666666668</v>
      </c>
      <c r="F17" s="11">
        <f>opex_pilot_eval/'Quy mô thị trường'!F6</f>
        <v>16.666666666666668</v>
      </c>
      <c r="G17" s="11">
        <f>opex_pilot_eval/'Quy mô thị trường'!G6</f>
        <v>16.666666666666668</v>
      </c>
      <c r="H17" s="11">
        <f>opex_pilot_eval/'Quy mô thị trường'!H6</f>
        <v>16.666666666666668</v>
      </c>
      <c r="I17" s="11">
        <f>0</f>
        <v>0</v>
      </c>
      <c r="J17" s="11">
        <f>0</f>
        <v>0</v>
      </c>
      <c r="K17" s="11">
        <f>0</f>
        <v>0</v>
      </c>
      <c r="L17" s="11">
        <f>0</f>
        <v>0</v>
      </c>
      <c r="M17" s="11">
        <f>0</f>
        <v>0</v>
      </c>
      <c r="N17" s="11">
        <f>0</f>
        <v>0</v>
      </c>
      <c r="O17" s="11">
        <f>0</f>
        <v>0</v>
      </c>
      <c r="P17" s="11">
        <f>0</f>
        <v>0</v>
      </c>
      <c r="Q17" s="11">
        <f>0</f>
        <v>0</v>
      </c>
      <c r="R17" s="11">
        <f>0</f>
        <v>0</v>
      </c>
      <c r="S17" s="11">
        <f>0</f>
        <v>0</v>
      </c>
      <c r="T17" s="11">
        <f>0</f>
        <v>0</v>
      </c>
      <c r="U17" s="11">
        <f>0</f>
        <v>0</v>
      </c>
      <c r="V17" s="11">
        <f>0</f>
        <v>0</v>
      </c>
      <c r="W17" s="11">
        <f>0</f>
        <v>0</v>
      </c>
      <c r="X17" s="11">
        <f>0</f>
        <v>0</v>
      </c>
      <c r="Y17" s="11">
        <f>0</f>
        <v>0</v>
      </c>
      <c r="Z17" s="11">
        <f>0</f>
        <v>0</v>
      </c>
      <c r="AA17" s="11">
        <f>0</f>
        <v>0</v>
      </c>
      <c r="AB17" s="11">
        <f>0</f>
        <v>0</v>
      </c>
      <c r="AC17" s="11">
        <f>0</f>
        <v>0</v>
      </c>
      <c r="AD17" s="11">
        <f>0</f>
        <v>0</v>
      </c>
      <c r="AE17" s="11">
        <f>0</f>
        <v>0</v>
      </c>
      <c r="AF17" s="11">
        <f>0</f>
        <v>0</v>
      </c>
      <c r="AG17" s="11">
        <f>0</f>
        <v>0</v>
      </c>
      <c r="AH17" s="11">
        <f>0</f>
        <v>0</v>
      </c>
      <c r="AI17" s="11">
        <f>0</f>
        <v>0</v>
      </c>
      <c r="AJ17" s="11">
        <f>0</f>
        <v>0</v>
      </c>
      <c r="AK17" s="11">
        <f>0</f>
        <v>0</v>
      </c>
      <c r="AL17" s="11">
        <f>0</f>
        <v>0</v>
      </c>
      <c r="AM17" s="11">
        <f>0</f>
        <v>0</v>
      </c>
      <c r="AN17" s="11">
        <f>0</f>
        <v>0</v>
      </c>
      <c r="AO17" s="11">
        <f>0</f>
        <v>0</v>
      </c>
      <c r="AP17" s="11">
        <f>0</f>
        <v>0</v>
      </c>
      <c r="AQ17" s="11">
        <f>0</f>
        <v>0</v>
      </c>
      <c r="AR17" s="11">
        <f>0</f>
        <v>0</v>
      </c>
    </row>
    <row r="18" spans="1:44" x14ac:dyDescent="0.3">
      <c r="A18" s="5" t="s">
        <v>365</v>
      </c>
      <c r="B18" s="5" t="s">
        <v>144</v>
      </c>
      <c r="C18" s="11">
        <f>opex_partner_mgmt/'Quy mô thị trường'!C6</f>
        <v>41.666666666666664</v>
      </c>
      <c r="D18" s="11">
        <f>opex_partner_mgmt/'Quy mô thị trường'!D6</f>
        <v>41.666666666666664</v>
      </c>
      <c r="E18" s="11">
        <f>opex_partner_mgmt/'Quy mô thị trường'!E6</f>
        <v>41.666666666666664</v>
      </c>
      <c r="F18" s="11">
        <f>opex_partner_mgmt/'Quy mô thị trường'!F6</f>
        <v>41.666666666666664</v>
      </c>
      <c r="G18" s="11">
        <f>opex_partner_mgmt/'Quy mô thị trường'!G6</f>
        <v>41.666666666666664</v>
      </c>
      <c r="H18" s="11">
        <f>opex_partner_mgmt/'Quy mô thị trường'!H6</f>
        <v>41.666666666666664</v>
      </c>
      <c r="I18" s="11">
        <f>opex_partner_mgmt/'Quy mô thị trường'!I6</f>
        <v>41.666666666666664</v>
      </c>
      <c r="J18" s="11">
        <f>opex_partner_mgmt/'Quy mô thị trường'!J6</f>
        <v>41.666666666666664</v>
      </c>
      <c r="K18" s="11">
        <f>opex_partner_mgmt/'Quy mô thị trường'!K6</f>
        <v>41.666666666666664</v>
      </c>
      <c r="L18" s="11">
        <f>opex_partner_mgmt/'Quy mô thị trường'!L6</f>
        <v>41.666666666666664</v>
      </c>
      <c r="M18" s="11">
        <f>opex_partner_mgmt/'Quy mô thị trường'!M6</f>
        <v>41.666666666666664</v>
      </c>
      <c r="N18" s="11">
        <f>opex_partner_mgmt/'Quy mô thị trường'!N6</f>
        <v>41.666666666666664</v>
      </c>
      <c r="O18" s="11">
        <f>opex_partner_mgmt/'Quy mô thị trường'!O6</f>
        <v>41.666666666666664</v>
      </c>
      <c r="P18" s="11">
        <f>opex_partner_mgmt/'Quy mô thị trường'!P6</f>
        <v>41.666666666666664</v>
      </c>
      <c r="Q18" s="11">
        <f>opex_partner_mgmt/'Quy mô thị trường'!Q6</f>
        <v>41.666666666666664</v>
      </c>
      <c r="R18" s="11">
        <f>opex_partner_mgmt/'Quy mô thị trường'!R6</f>
        <v>41.666666666666664</v>
      </c>
      <c r="S18" s="11">
        <f>opex_partner_mgmt/'Quy mô thị trường'!S6</f>
        <v>41.666666666666664</v>
      </c>
      <c r="T18" s="11">
        <f>opex_partner_mgmt/'Quy mô thị trường'!T6</f>
        <v>41.666666666666664</v>
      </c>
      <c r="U18" s="11">
        <f>opex_partner_mgmt/'Quy mô thị trường'!U6</f>
        <v>41.666666666666664</v>
      </c>
      <c r="V18" s="11">
        <f>opex_partner_mgmt/'Quy mô thị trường'!V6</f>
        <v>41.666666666666664</v>
      </c>
      <c r="W18" s="11">
        <f>opex_partner_mgmt/'Quy mô thị trường'!W6</f>
        <v>41.666666666666664</v>
      </c>
      <c r="X18" s="11">
        <f>opex_partner_mgmt/'Quy mô thị trường'!X6</f>
        <v>41.666666666666664</v>
      </c>
      <c r="Y18" s="11">
        <f>opex_partner_mgmt/'Quy mô thị trường'!Y6</f>
        <v>41.666666666666664</v>
      </c>
      <c r="Z18" s="11">
        <f>opex_partner_mgmt/'Quy mô thị trường'!Z6</f>
        <v>41.666666666666664</v>
      </c>
      <c r="AA18" s="11">
        <f>opex_partner_mgmt/'Quy mô thị trường'!AA6</f>
        <v>41.666666666666664</v>
      </c>
      <c r="AB18" s="11">
        <f>opex_partner_mgmt/'Quy mô thị trường'!AB6</f>
        <v>41.666666666666664</v>
      </c>
      <c r="AC18" s="11">
        <f>opex_partner_mgmt/'Quy mô thị trường'!AC6</f>
        <v>41.666666666666664</v>
      </c>
      <c r="AD18" s="11">
        <f>opex_partner_mgmt/'Quy mô thị trường'!AD6</f>
        <v>41.666666666666664</v>
      </c>
      <c r="AE18" s="11">
        <f>opex_partner_mgmt/'Quy mô thị trường'!AE6</f>
        <v>41.666666666666664</v>
      </c>
      <c r="AF18" s="11">
        <f>opex_partner_mgmt/'Quy mô thị trường'!AF6</f>
        <v>41.666666666666664</v>
      </c>
      <c r="AG18" s="11">
        <f>opex_partner_mgmt/'Quy mô thị trường'!AG6</f>
        <v>125</v>
      </c>
      <c r="AH18" s="11">
        <f>opex_partner_mgmt/'Quy mô thị trường'!AH6</f>
        <v>125</v>
      </c>
      <c r="AI18" s="11">
        <f>opex_partner_mgmt/'Quy mô thị trường'!AI6</f>
        <v>125</v>
      </c>
      <c r="AJ18" s="11">
        <f>opex_partner_mgmt/'Quy mô thị trường'!AJ6</f>
        <v>125</v>
      </c>
      <c r="AK18" s="11">
        <f>opex_partner_mgmt/'Quy mô thị trường'!AK6</f>
        <v>125</v>
      </c>
      <c r="AL18" s="11">
        <f>opex_partner_mgmt/'Quy mô thị trường'!AL6</f>
        <v>125</v>
      </c>
      <c r="AM18" s="11">
        <f>opex_partner_mgmt/'Quy mô thị trường'!AM6</f>
        <v>125</v>
      </c>
      <c r="AN18" s="11">
        <f>opex_partner_mgmt/'Quy mô thị trường'!AN6</f>
        <v>125</v>
      </c>
      <c r="AO18" s="11">
        <f>opex_partner_mgmt/'Quy mô thị trường'!AO6</f>
        <v>125</v>
      </c>
      <c r="AP18" s="11">
        <f>opex_partner_mgmt/'Quy mô thị trường'!AP6</f>
        <v>125</v>
      </c>
      <c r="AQ18" s="11">
        <f>opex_partner_mgmt/'Quy mô thị trường'!AQ6</f>
        <v>125</v>
      </c>
      <c r="AR18" s="11">
        <f>opex_partner_mgmt/'Quy mô thị trường'!AR6</f>
        <v>125</v>
      </c>
    </row>
    <row r="19" spans="1:44" x14ac:dyDescent="0.3">
      <c r="A19" s="5" t="s">
        <v>366</v>
      </c>
      <c r="B19" s="5" t="s">
        <v>144</v>
      </c>
      <c r="C19" s="11">
        <f>'Quy mô thị trường'!C15*opex_support_per_ent/'Quy mô thị trường'!C6</f>
        <v>19.069892979821898</v>
      </c>
      <c r="D19" s="11">
        <f>'Quy mô thị trường'!D15*opex_support_per_ent/'Quy mô thị trường'!D6</f>
        <v>20.070280504491496</v>
      </c>
      <c r="E19" s="11">
        <f>'Quy mô thị trường'!E15*opex_support_per_ent/'Quy mô thị trường'!E6</f>
        <v>21.486030905790582</v>
      </c>
      <c r="F19" s="11">
        <f>'Quy mô thị trường'!F15*opex_support_per_ent/'Quy mô thị trường'!F6</f>
        <v>22.987260498894543</v>
      </c>
      <c r="G19" s="11">
        <f>'Quy mô thị trường'!G15*opex_support_per_ent/'Quy mô thị trường'!G6</f>
        <v>24.577338304148459</v>
      </c>
      <c r="H19" s="11">
        <f>'Quy mô thị trường'!H15*opex_support_per_ent/'Quy mô thị trường'!H6</f>
        <v>26.092848039567418</v>
      </c>
      <c r="I19" s="11">
        <f>'Quy mô thị trường'!I15*opex_support_per_ent/'Quy mô thị trường'!I6</f>
        <v>27.870212980097559</v>
      </c>
      <c r="J19" s="11">
        <f>'Quy mô thị trường'!J15*opex_support_per_ent/'Quy mô thị trường'!J6</f>
        <v>29.745650501813085</v>
      </c>
      <c r="K19" s="11">
        <f>'Quy mô thị trường'!K15*opex_support_per_ent/'Quy mô thị trường'!K6</f>
        <v>31.721789915318894</v>
      </c>
      <c r="L19" s="11">
        <f>'Quy mô thị trường'!L15*opex_support_per_ent/'Quy mô thị trường'!L6</f>
        <v>33.800953995080178</v>
      </c>
      <c r="M19" s="11">
        <f>'Quy mô thị trường'!M15*opex_support_per_ent/'Quy mô thị trường'!M6</f>
        <v>35.81843809460257</v>
      </c>
      <c r="N19" s="11">
        <f>'Quy mô thị trường'!N15*opex_support_per_ent/'Quy mô thị trường'!N6</f>
        <v>38.109120898107442</v>
      </c>
      <c r="O19" s="11">
        <f>'Quy mô thị trường'!O15*opex_support_per_ent/'Quy mô thị trường'!O6</f>
        <v>40.507407693522801</v>
      </c>
      <c r="P19" s="11">
        <f>'Quy mô thị trường'!P15*opex_support_per_ent/'Quy mô thị trường'!P6</f>
        <v>43.013840552857893</v>
      </c>
      <c r="Q19" s="11">
        <f>'Quy mô thị trường'!Q15*opex_support_per_ent/'Quy mô thị trường'!Q6</f>
        <v>45.461709966865556</v>
      </c>
      <c r="R19" s="11">
        <f>'Quy mô thị trường'!R15*opex_support_per_ent/'Quy mô thị trường'!R6</f>
        <v>48.183669293141008</v>
      </c>
      <c r="S19" s="11">
        <f>'Quy mô thị trường'!S15*opex_support_per_ent/'Quy mô thị trường'!S6</f>
        <v>51.011686830233252</v>
      </c>
      <c r="T19" s="11">
        <f>'Quy mô thị trường'!T15*opex_support_per_ent/'Quy mô thị trường'!T6</f>
        <v>53.943670414513548</v>
      </c>
      <c r="U19" s="11">
        <f>'Quy mô thị trường'!U15*opex_support_per_ent/'Quy mô thị trường'!U6</f>
        <v>56.810099474999198</v>
      </c>
      <c r="V19" s="11">
        <f>'Quy mô thị trường'!V15*opex_support_per_ent/'Quy mô thị trường'!V6</f>
        <v>59.940666130484033</v>
      </c>
      <c r="W19" s="11">
        <f>'Quy mô thị trường'!W15*opex_support_per_ent/'Quy mô thị trường'!W6</f>
        <v>63.164260164924372</v>
      </c>
      <c r="X19" s="11">
        <f>'Quy mô thị trường'!X15*opex_support_per_ent/'Quy mô thị trường'!X6</f>
        <v>66.308965899316817</v>
      </c>
      <c r="Y19" s="11">
        <f>'Quy mô thị trường'!Y15*opex_support_per_ent/'Quy mô thị trường'!Y6</f>
        <v>69.702072088171121</v>
      </c>
      <c r="Z19" s="11">
        <f>'Quy mô thị trường'!Z15*opex_support_per_ent/'Quy mô thị trường'!Z6</f>
        <v>73.170095674263266</v>
      </c>
      <c r="AA19" s="11">
        <f>'Quy mô thị trường'!AA15*opex_support_per_ent/'Quy mô thị trường'!AA6</f>
        <v>76.538819876822274</v>
      </c>
      <c r="AB19" s="11">
        <f>'Quy mô thị trường'!AB15*opex_support_per_ent/'Quy mô thị trường'!AB6</f>
        <v>80.133346675849438</v>
      </c>
      <c r="AC19" s="11">
        <f>'Quy mô thị trường'!AC15*opex_support_per_ent/'Quy mô thị trường'!AC6</f>
        <v>83.611496637671522</v>
      </c>
      <c r="AD19" s="11">
        <f>'Quy mô thị trường'!AD15*opex_support_per_ent/'Quy mô thị trường'!AD6</f>
        <v>87.297221891076006</v>
      </c>
      <c r="AE19" s="11">
        <f>'Quy mô thị trường'!AE15*opex_support_per_ent/'Quy mô thị trường'!AE6</f>
        <v>91.014030931246694</v>
      </c>
      <c r="AF19" s="11">
        <f>'Quy mô thị trường'!AF15*opex_support_per_ent/'Quy mô thị trường'!AF6</f>
        <v>94.585090157629679</v>
      </c>
      <c r="AG19" s="11">
        <f>'Quy mô thị trường'!AG15*opex_support_per_ent/'Quy mô thị trường'!AG6</f>
        <v>290.12434091300668</v>
      </c>
      <c r="AH19" s="11">
        <f>'Quy mô thị trường'!AH15*opex_support_per_ent/'Quy mô thị trường'!AH6</f>
        <v>322.15044854026996</v>
      </c>
      <c r="AI19" s="11">
        <f>'Quy mô thị trường'!AI15*opex_support_per_ent/'Quy mô thị trường'!AI6</f>
        <v>353.21039178826044</v>
      </c>
      <c r="AJ19" s="11">
        <f>'Quy mô thị trường'!AJ15*opex_support_per_ent/'Quy mô thị trường'!AJ6</f>
        <v>382.5719997434756</v>
      </c>
      <c r="AK19" s="11">
        <f>'Quy mô thị trường'!AK15*opex_support_per_ent/'Quy mô thị trường'!AK6</f>
        <v>409.656635542522</v>
      </c>
      <c r="AL19" s="11">
        <f>'Quy mô thị trường'!AL15*opex_support_per_ent/'Quy mô thị trường'!AL6</f>
        <v>434.07200862778797</v>
      </c>
      <c r="AM19" s="11">
        <f>'Quy mô thị trường'!AM15*opex_support_per_ent/'Quy mô thị trường'!AM6</f>
        <v>456.11569947094813</v>
      </c>
      <c r="AN19" s="11">
        <f>'Quy mô thị trường'!AN15*opex_support_per_ent/'Quy mô thị trường'!AN6</f>
        <v>475.25491357542018</v>
      </c>
      <c r="AO19" s="11">
        <f>'Quy mô thị trường'!AO15*opex_support_per_ent/'Quy mô thị trường'!AO6</f>
        <v>491.59166107754606</v>
      </c>
      <c r="AP19" s="11">
        <f>'Quy mô thị trường'!AP15*opex_support_per_ent/'Quy mô thị trường'!AP6</f>
        <v>505.82275623026817</v>
      </c>
      <c r="AQ19" s="11">
        <f>'Quy mô thị trường'!AQ15*opex_support_per_ent/'Quy mô thị trường'!AQ6</f>
        <v>517.70189384271544</v>
      </c>
      <c r="AR19" s="11">
        <f>'Quy mô thị trường'!AR15*opex_support_per_ent/'Quy mô thị trường'!AR6</f>
        <v>527.008090233639</v>
      </c>
    </row>
    <row r="20" spans="1:44" x14ac:dyDescent="0.3">
      <c r="A20" s="5" t="s">
        <v>367</v>
      </c>
      <c r="C20" s="10">
        <f t="shared" ref="C20:AR20" si="2">SUM(C10:C19)</f>
        <v>3168.4734416101364</v>
      </c>
      <c r="D20" s="10">
        <f t="shared" si="2"/>
        <v>2017.9540151466474</v>
      </c>
      <c r="E20" s="10">
        <f t="shared" si="2"/>
        <v>2020.0493257405701</v>
      </c>
      <c r="F20" s="10">
        <f t="shared" si="2"/>
        <v>2022.271145538364</v>
      </c>
      <c r="G20" s="10">
        <f t="shared" si="2"/>
        <v>2024.6244606901398</v>
      </c>
      <c r="H20" s="10">
        <f t="shared" si="2"/>
        <v>2026.8674150985598</v>
      </c>
      <c r="I20" s="10">
        <f t="shared" si="2"/>
        <v>2812.9962485438782</v>
      </c>
      <c r="J20" s="10">
        <f t="shared" si="2"/>
        <v>2383.7718960760167</v>
      </c>
      <c r="K20" s="10">
        <f t="shared" si="2"/>
        <v>2386.6965824080053</v>
      </c>
      <c r="L20" s="10">
        <f t="shared" si="2"/>
        <v>2389.7737452460524</v>
      </c>
      <c r="M20" s="10">
        <f t="shared" si="2"/>
        <v>2392.7596217133455</v>
      </c>
      <c r="N20" s="10">
        <f t="shared" si="2"/>
        <v>2396.1498322625325</v>
      </c>
      <c r="O20" s="10">
        <f t="shared" si="2"/>
        <v>2399.6992967197475</v>
      </c>
      <c r="P20" s="10">
        <f t="shared" si="2"/>
        <v>2403.4088173515629</v>
      </c>
      <c r="Q20" s="10">
        <f t="shared" si="2"/>
        <v>2407.0316640842948</v>
      </c>
      <c r="R20" s="10">
        <f t="shared" si="2"/>
        <v>2411.0601638871822</v>
      </c>
      <c r="S20" s="10">
        <f t="shared" si="2"/>
        <v>2415.2456298420789</v>
      </c>
      <c r="T20" s="10">
        <f t="shared" si="2"/>
        <v>2419.5849655468137</v>
      </c>
      <c r="U20" s="10">
        <f t="shared" si="2"/>
        <v>3540.8290305563328</v>
      </c>
      <c r="V20" s="10">
        <f t="shared" si="2"/>
        <v>2969.4622692064504</v>
      </c>
      <c r="W20" s="10">
        <f t="shared" si="2"/>
        <v>2974.2331883774214</v>
      </c>
      <c r="X20" s="10">
        <f t="shared" si="2"/>
        <v>2978.8873528643226</v>
      </c>
      <c r="Y20" s="10">
        <f t="shared" si="2"/>
        <v>2983.9091500238269</v>
      </c>
      <c r="Z20" s="10">
        <f t="shared" si="2"/>
        <v>2989.0418249312434</v>
      </c>
      <c r="AA20" s="10">
        <f t="shared" si="2"/>
        <v>2994.0275367510308</v>
      </c>
      <c r="AB20" s="10">
        <f t="shared" si="2"/>
        <v>2999.3474364135905</v>
      </c>
      <c r="AC20" s="10">
        <f t="shared" si="2"/>
        <v>3004.4950983570875</v>
      </c>
      <c r="AD20" s="10">
        <f t="shared" si="2"/>
        <v>3009.949971732126</v>
      </c>
      <c r="AE20" s="10">
        <f t="shared" si="2"/>
        <v>3015.4508491115789</v>
      </c>
      <c r="AF20" s="10">
        <f t="shared" si="2"/>
        <v>3020.7360167666252</v>
      </c>
      <c r="AG20" s="10">
        <f t="shared" si="2"/>
        <v>11937.481699551252</v>
      </c>
      <c r="AH20" s="10">
        <f t="shared" si="2"/>
        <v>11192.880338839599</v>
      </c>
      <c r="AI20" s="10">
        <f t="shared" si="2"/>
        <v>11238.849054846625</v>
      </c>
      <c r="AJ20" s="10">
        <f t="shared" si="2"/>
        <v>11282.304234620344</v>
      </c>
      <c r="AK20" s="10">
        <f t="shared" si="2"/>
        <v>15213.584623102934</v>
      </c>
      <c r="AL20" s="10">
        <f t="shared" si="2"/>
        <v>14241.719375269129</v>
      </c>
      <c r="AM20" s="10">
        <f t="shared" si="2"/>
        <v>14274.344037717005</v>
      </c>
      <c r="AN20" s="10">
        <f t="shared" si="2"/>
        <v>14302.670074591624</v>
      </c>
      <c r="AO20" s="10">
        <f t="shared" si="2"/>
        <v>17811.39302551977</v>
      </c>
      <c r="AP20" s="10">
        <f t="shared" si="2"/>
        <v>17112.455046345796</v>
      </c>
      <c r="AQ20" s="10">
        <f t="shared" si="2"/>
        <v>17130.036170012223</v>
      </c>
      <c r="AR20" s="10">
        <f t="shared" si="2"/>
        <v>17143.809340670789</v>
      </c>
    </row>
    <row r="21" spans="1:44" x14ac:dyDescent="0.3">
      <c r="A21" s="5" t="s">
        <v>368</v>
      </c>
      <c r="B21" s="5" t="s">
        <v>144</v>
      </c>
      <c r="C21" s="11">
        <f t="shared" ref="C21:AR21" si="3">C20*opex_contingency_pct</f>
        <v>316.84734416101367</v>
      </c>
      <c r="D21" s="11">
        <f t="shared" si="3"/>
        <v>201.79540151466475</v>
      </c>
      <c r="E21" s="11">
        <f t="shared" si="3"/>
        <v>202.00493257405702</v>
      </c>
      <c r="F21" s="11">
        <f t="shared" si="3"/>
        <v>202.2271145538364</v>
      </c>
      <c r="G21" s="11">
        <f t="shared" si="3"/>
        <v>202.46244606901399</v>
      </c>
      <c r="H21" s="11">
        <f t="shared" si="3"/>
        <v>202.68674150985601</v>
      </c>
      <c r="I21" s="11">
        <f t="shared" si="3"/>
        <v>281.29962485438784</v>
      </c>
      <c r="J21" s="11">
        <f t="shared" si="3"/>
        <v>238.37718960760168</v>
      </c>
      <c r="K21" s="11">
        <f t="shared" si="3"/>
        <v>238.66965824080054</v>
      </c>
      <c r="L21" s="11">
        <f t="shared" si="3"/>
        <v>238.97737452460524</v>
      </c>
      <c r="M21" s="11">
        <f t="shared" si="3"/>
        <v>239.27596217133456</v>
      </c>
      <c r="N21" s="11">
        <f t="shared" si="3"/>
        <v>239.61498322625326</v>
      </c>
      <c r="O21" s="11">
        <f t="shared" si="3"/>
        <v>239.96992967197477</v>
      </c>
      <c r="P21" s="11">
        <f t="shared" si="3"/>
        <v>240.3408817351563</v>
      </c>
      <c r="Q21" s="11">
        <f t="shared" si="3"/>
        <v>240.7031664084295</v>
      </c>
      <c r="R21" s="11">
        <f t="shared" si="3"/>
        <v>241.10601638871822</v>
      </c>
      <c r="S21" s="11">
        <f t="shared" si="3"/>
        <v>241.5245629842079</v>
      </c>
      <c r="T21" s="11">
        <f t="shared" si="3"/>
        <v>241.95849655468137</v>
      </c>
      <c r="U21" s="11">
        <f t="shared" si="3"/>
        <v>354.08290305563332</v>
      </c>
      <c r="V21" s="11">
        <f t="shared" si="3"/>
        <v>296.94622692064507</v>
      </c>
      <c r="W21" s="11">
        <f t="shared" si="3"/>
        <v>297.42331883774216</v>
      </c>
      <c r="X21" s="11">
        <f t="shared" si="3"/>
        <v>297.88873528643228</v>
      </c>
      <c r="Y21" s="11">
        <f t="shared" si="3"/>
        <v>298.39091500238271</v>
      </c>
      <c r="Z21" s="11">
        <f t="shared" si="3"/>
        <v>298.90418249312432</v>
      </c>
      <c r="AA21" s="11">
        <f t="shared" si="3"/>
        <v>299.4027536751031</v>
      </c>
      <c r="AB21" s="11">
        <f t="shared" si="3"/>
        <v>299.93474364135903</v>
      </c>
      <c r="AC21" s="11">
        <f t="shared" si="3"/>
        <v>300.44950983570874</v>
      </c>
      <c r="AD21" s="11">
        <f t="shared" si="3"/>
        <v>300.9949971732126</v>
      </c>
      <c r="AE21" s="11">
        <f t="shared" si="3"/>
        <v>301.54508491115791</v>
      </c>
      <c r="AF21" s="11">
        <f t="shared" si="3"/>
        <v>302.07360167666252</v>
      </c>
      <c r="AG21" s="11">
        <f t="shared" si="3"/>
        <v>1193.7481699551251</v>
      </c>
      <c r="AH21" s="11">
        <f t="shared" si="3"/>
        <v>1119.28803388396</v>
      </c>
      <c r="AI21" s="11">
        <f t="shared" si="3"/>
        <v>1123.8849054846626</v>
      </c>
      <c r="AJ21" s="11">
        <f t="shared" si="3"/>
        <v>1128.2304234620344</v>
      </c>
      <c r="AK21" s="11">
        <f t="shared" si="3"/>
        <v>1521.3584623102934</v>
      </c>
      <c r="AL21" s="11">
        <f t="shared" si="3"/>
        <v>1424.1719375269131</v>
      </c>
      <c r="AM21" s="11">
        <f t="shared" si="3"/>
        <v>1427.4344037717005</v>
      </c>
      <c r="AN21" s="11">
        <f t="shared" si="3"/>
        <v>1430.2670074591624</v>
      </c>
      <c r="AO21" s="11">
        <f t="shared" si="3"/>
        <v>1781.1393025519772</v>
      </c>
      <c r="AP21" s="11">
        <f t="shared" si="3"/>
        <v>1711.2455046345797</v>
      </c>
      <c r="AQ21" s="11">
        <f t="shared" si="3"/>
        <v>1713.0036170012224</v>
      </c>
      <c r="AR21" s="11">
        <f t="shared" si="3"/>
        <v>1714.3809340670789</v>
      </c>
    </row>
    <row r="22" spans="1:44" x14ac:dyDescent="0.3">
      <c r="A22" s="5" t="s">
        <v>369</v>
      </c>
      <c r="C22" s="10">
        <f t="shared" ref="C22:AR22" si="4">C20+C21</f>
        <v>3485.32078577115</v>
      </c>
      <c r="D22" s="10">
        <f t="shared" si="4"/>
        <v>2219.7494166613124</v>
      </c>
      <c r="E22" s="10">
        <f t="shared" si="4"/>
        <v>2222.0542583146271</v>
      </c>
      <c r="F22" s="10">
        <f t="shared" si="4"/>
        <v>2224.4982600922003</v>
      </c>
      <c r="G22" s="10">
        <f t="shared" si="4"/>
        <v>2227.0869067591539</v>
      </c>
      <c r="H22" s="10">
        <f t="shared" si="4"/>
        <v>2229.5541566084157</v>
      </c>
      <c r="I22" s="10">
        <f t="shared" si="4"/>
        <v>3094.2958733982659</v>
      </c>
      <c r="J22" s="10">
        <f t="shared" si="4"/>
        <v>2622.1490856836185</v>
      </c>
      <c r="K22" s="10">
        <f t="shared" si="4"/>
        <v>2625.3662406488056</v>
      </c>
      <c r="L22" s="10">
        <f t="shared" si="4"/>
        <v>2628.7511197706576</v>
      </c>
      <c r="M22" s="10">
        <f t="shared" si="4"/>
        <v>2632.0355838846799</v>
      </c>
      <c r="N22" s="10">
        <f t="shared" si="4"/>
        <v>2635.7648154887856</v>
      </c>
      <c r="O22" s="10">
        <f t="shared" si="4"/>
        <v>2639.6692263917221</v>
      </c>
      <c r="P22" s="10">
        <f t="shared" si="4"/>
        <v>2643.7496990867194</v>
      </c>
      <c r="Q22" s="10">
        <f t="shared" si="4"/>
        <v>2647.7348304927241</v>
      </c>
      <c r="R22" s="10">
        <f t="shared" si="4"/>
        <v>2652.1661802759004</v>
      </c>
      <c r="S22" s="10">
        <f t="shared" si="4"/>
        <v>2656.7701928262868</v>
      </c>
      <c r="T22" s="10">
        <f t="shared" si="4"/>
        <v>2661.5434621014952</v>
      </c>
      <c r="U22" s="10">
        <f t="shared" si="4"/>
        <v>3894.9119336119661</v>
      </c>
      <c r="V22" s="10">
        <f t="shared" si="4"/>
        <v>3266.4084961270955</v>
      </c>
      <c r="W22" s="10">
        <f t="shared" si="4"/>
        <v>3271.6565072151634</v>
      </c>
      <c r="X22" s="10">
        <f t="shared" si="4"/>
        <v>3276.7760881507547</v>
      </c>
      <c r="Y22" s="10">
        <f t="shared" si="4"/>
        <v>3282.3000650262097</v>
      </c>
      <c r="Z22" s="10">
        <f t="shared" si="4"/>
        <v>3287.9460074243675</v>
      </c>
      <c r="AA22" s="10">
        <f t="shared" si="4"/>
        <v>3293.430290426134</v>
      </c>
      <c r="AB22" s="10">
        <f t="shared" si="4"/>
        <v>3299.2821800549495</v>
      </c>
      <c r="AC22" s="10">
        <f t="shared" si="4"/>
        <v>3304.9446081927963</v>
      </c>
      <c r="AD22" s="10">
        <f t="shared" si="4"/>
        <v>3310.9449689053386</v>
      </c>
      <c r="AE22" s="10">
        <f t="shared" si="4"/>
        <v>3316.9959340227369</v>
      </c>
      <c r="AF22" s="10">
        <f t="shared" si="4"/>
        <v>3322.8096184432879</v>
      </c>
      <c r="AG22" s="10">
        <f t="shared" si="4"/>
        <v>13131.229869506376</v>
      </c>
      <c r="AH22" s="10">
        <f t="shared" si="4"/>
        <v>12312.16837272356</v>
      </c>
      <c r="AI22" s="10">
        <f t="shared" si="4"/>
        <v>12362.733960331288</v>
      </c>
      <c r="AJ22" s="10">
        <f t="shared" si="4"/>
        <v>12410.534658082379</v>
      </c>
      <c r="AK22" s="10">
        <f t="shared" si="4"/>
        <v>16734.943085413226</v>
      </c>
      <c r="AL22" s="10">
        <f t="shared" si="4"/>
        <v>15665.891312796042</v>
      </c>
      <c r="AM22" s="10">
        <f t="shared" si="4"/>
        <v>15701.778441488705</v>
      </c>
      <c r="AN22" s="10">
        <f t="shared" si="4"/>
        <v>15732.937082050787</v>
      </c>
      <c r="AO22" s="10">
        <f t="shared" si="4"/>
        <v>19592.532328071746</v>
      </c>
      <c r="AP22" s="10">
        <f t="shared" si="4"/>
        <v>18823.700550980375</v>
      </c>
      <c r="AQ22" s="10">
        <f t="shared" si="4"/>
        <v>18843.039787013444</v>
      </c>
      <c r="AR22" s="10">
        <f t="shared" si="4"/>
        <v>18858.190274737866</v>
      </c>
    </row>
    <row r="24" spans="1:44" x14ac:dyDescent="0.3">
      <c r="A24" s="5" t="s">
        <v>370</v>
      </c>
      <c r="C24" s="10">
        <f t="shared" ref="C24:AR24" si="5">C7+C22</f>
        <v>4365.3207857711495</v>
      </c>
      <c r="D24" s="10">
        <f t="shared" si="5"/>
        <v>3099.7494166613124</v>
      </c>
      <c r="E24" s="10">
        <f t="shared" si="5"/>
        <v>3102.0542583146271</v>
      </c>
      <c r="F24" s="10">
        <f t="shared" si="5"/>
        <v>3104.4982600922003</v>
      </c>
      <c r="G24" s="10">
        <f t="shared" si="5"/>
        <v>3107.0869067591539</v>
      </c>
      <c r="H24" s="10">
        <f t="shared" si="5"/>
        <v>3109.5541566084157</v>
      </c>
      <c r="I24" s="10">
        <f t="shared" si="5"/>
        <v>3173.4958733982658</v>
      </c>
      <c r="J24" s="10">
        <f t="shared" si="5"/>
        <v>2701.3490856836183</v>
      </c>
      <c r="K24" s="10">
        <f t="shared" si="5"/>
        <v>2704.5662406488054</v>
      </c>
      <c r="L24" s="10">
        <f t="shared" si="5"/>
        <v>2707.9511197706574</v>
      </c>
      <c r="M24" s="10">
        <f t="shared" si="5"/>
        <v>2711.2355838846797</v>
      </c>
      <c r="N24" s="10">
        <f t="shared" si="5"/>
        <v>2714.9648154887855</v>
      </c>
      <c r="O24" s="10">
        <f t="shared" si="5"/>
        <v>2718.8692263917219</v>
      </c>
      <c r="P24" s="10">
        <f t="shared" si="5"/>
        <v>2722.9496990867192</v>
      </c>
      <c r="Q24" s="10">
        <f t="shared" si="5"/>
        <v>2726.9348304927239</v>
      </c>
      <c r="R24" s="10">
        <f t="shared" si="5"/>
        <v>2731.3661802759002</v>
      </c>
      <c r="S24" s="10">
        <f t="shared" si="5"/>
        <v>2735.9701928262866</v>
      </c>
      <c r="T24" s="10">
        <f t="shared" si="5"/>
        <v>2740.743462101495</v>
      </c>
      <c r="U24" s="10">
        <f t="shared" si="5"/>
        <v>3974.1119336119659</v>
      </c>
      <c r="V24" s="10">
        <f t="shared" si="5"/>
        <v>3345.6084961270953</v>
      </c>
      <c r="W24" s="10">
        <f t="shared" si="5"/>
        <v>3350.8565072151632</v>
      </c>
      <c r="X24" s="10">
        <f t="shared" si="5"/>
        <v>3355.9760881507545</v>
      </c>
      <c r="Y24" s="10">
        <f t="shared" si="5"/>
        <v>3361.5000650262095</v>
      </c>
      <c r="Z24" s="10">
        <f t="shared" si="5"/>
        <v>3367.1460074243673</v>
      </c>
      <c r="AA24" s="10">
        <f t="shared" si="5"/>
        <v>3372.6302904261338</v>
      </c>
      <c r="AB24" s="10">
        <f t="shared" si="5"/>
        <v>3378.4821800549494</v>
      </c>
      <c r="AC24" s="10">
        <f t="shared" si="5"/>
        <v>3384.1446081927961</v>
      </c>
      <c r="AD24" s="10">
        <f t="shared" si="5"/>
        <v>3390.1449689053384</v>
      </c>
      <c r="AE24" s="10">
        <f t="shared" si="5"/>
        <v>3396.1959340227368</v>
      </c>
      <c r="AF24" s="10">
        <f t="shared" si="5"/>
        <v>3402.0096184432878</v>
      </c>
      <c r="AG24" s="10">
        <f t="shared" si="5"/>
        <v>13368.829869506377</v>
      </c>
      <c r="AH24" s="10">
        <f t="shared" si="5"/>
        <v>12549.76837272356</v>
      </c>
      <c r="AI24" s="10">
        <f t="shared" si="5"/>
        <v>12600.333960331289</v>
      </c>
      <c r="AJ24" s="10">
        <f t="shared" si="5"/>
        <v>12648.134658082379</v>
      </c>
      <c r="AK24" s="10">
        <f t="shared" si="5"/>
        <v>16972.543085413225</v>
      </c>
      <c r="AL24" s="10">
        <f t="shared" si="5"/>
        <v>15903.491312796043</v>
      </c>
      <c r="AM24" s="10">
        <f t="shared" si="5"/>
        <v>15939.378441488705</v>
      </c>
      <c r="AN24" s="10">
        <f t="shared" si="5"/>
        <v>15970.537082050787</v>
      </c>
      <c r="AO24" s="10">
        <f t="shared" si="5"/>
        <v>19830.132328071744</v>
      </c>
      <c r="AP24" s="10">
        <f t="shared" si="5"/>
        <v>19061.300550980373</v>
      </c>
      <c r="AQ24" s="10">
        <f t="shared" si="5"/>
        <v>19080.639787013442</v>
      </c>
      <c r="AR24" s="10">
        <f t="shared" si="5"/>
        <v>19095.790274737865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AR18"/>
  <sheetViews>
    <sheetView workbookViewId="0"/>
  </sheetViews>
  <sheetFormatPr defaultRowHeight="14.4" x14ac:dyDescent="0.3"/>
  <cols>
    <col min="1" max="1" width="38" customWidth="1"/>
    <col min="2" max="2" width="10" customWidth="1"/>
    <col min="3" max="44" width="11" customWidth="1"/>
  </cols>
  <sheetData>
    <row r="1" spans="1:44" x14ac:dyDescent="0.3">
      <c r="A1" s="2" t="s">
        <v>371</v>
      </c>
    </row>
    <row r="3" spans="1:44" x14ac:dyDescent="0.3">
      <c r="A3" s="4" t="s">
        <v>328</v>
      </c>
      <c r="B3" s="4" t="s">
        <v>258</v>
      </c>
      <c r="C3" s="4" t="s">
        <v>259</v>
      </c>
      <c r="D3" s="4" t="s">
        <v>260</v>
      </c>
      <c r="E3" s="4" t="s">
        <v>261</v>
      </c>
      <c r="F3" s="4" t="s">
        <v>262</v>
      </c>
      <c r="G3" s="4" t="s">
        <v>263</v>
      </c>
      <c r="H3" s="4" t="s">
        <v>264</v>
      </c>
      <c r="I3" s="4" t="s">
        <v>265</v>
      </c>
      <c r="J3" s="4" t="s">
        <v>266</v>
      </c>
      <c r="K3" s="4" t="s">
        <v>267</v>
      </c>
      <c r="L3" s="4" t="s">
        <v>268</v>
      </c>
      <c r="M3" s="4" t="s">
        <v>269</v>
      </c>
      <c r="N3" s="4" t="s">
        <v>270</v>
      </c>
      <c r="O3" s="4" t="s">
        <v>271</v>
      </c>
      <c r="P3" s="4" t="s">
        <v>272</v>
      </c>
      <c r="Q3" s="4" t="s">
        <v>273</v>
      </c>
      <c r="R3" s="4" t="s">
        <v>274</v>
      </c>
      <c r="S3" s="4" t="s">
        <v>275</v>
      </c>
      <c r="T3" s="4" t="s">
        <v>276</v>
      </c>
      <c r="U3" s="4" t="s">
        <v>277</v>
      </c>
      <c r="V3" s="4" t="s">
        <v>278</v>
      </c>
      <c r="W3" s="4" t="s">
        <v>279</v>
      </c>
      <c r="X3" s="4" t="s">
        <v>280</v>
      </c>
      <c r="Y3" s="4" t="s">
        <v>281</v>
      </c>
      <c r="Z3" s="4" t="s">
        <v>282</v>
      </c>
      <c r="AA3" s="4" t="s">
        <v>283</v>
      </c>
      <c r="AB3" s="4" t="s">
        <v>284</v>
      </c>
      <c r="AC3" s="4" t="s">
        <v>285</v>
      </c>
      <c r="AD3" s="4" t="s">
        <v>286</v>
      </c>
      <c r="AE3" s="4" t="s">
        <v>287</v>
      </c>
      <c r="AF3" s="4" t="s">
        <v>288</v>
      </c>
      <c r="AG3" s="4" t="s">
        <v>289</v>
      </c>
      <c r="AH3" s="4" t="s">
        <v>290</v>
      </c>
      <c r="AI3" s="4" t="s">
        <v>291</v>
      </c>
      <c r="AJ3" s="4" t="s">
        <v>292</v>
      </c>
      <c r="AK3" s="4" t="s">
        <v>293</v>
      </c>
      <c r="AL3" s="4" t="s">
        <v>294</v>
      </c>
      <c r="AM3" s="4" t="s">
        <v>295</v>
      </c>
      <c r="AN3" s="4" t="s">
        <v>296</v>
      </c>
      <c r="AO3" s="4" t="s">
        <v>297</v>
      </c>
      <c r="AP3" s="4" t="s">
        <v>298</v>
      </c>
      <c r="AQ3" s="4" t="s">
        <v>299</v>
      </c>
      <c r="AR3" s="4" t="s">
        <v>300</v>
      </c>
    </row>
    <row r="4" spans="1:44" x14ac:dyDescent="0.3">
      <c r="A4" s="5" t="s">
        <v>21</v>
      </c>
      <c r="C4" s="11">
        <f>'Doanh thu'!C16</f>
        <v>376.63038635148246</v>
      </c>
      <c r="D4" s="11">
        <f>'Doanh thu'!D16</f>
        <v>396.38803996370706</v>
      </c>
      <c r="E4" s="11">
        <f>'Doanh thu'!E16</f>
        <v>424.349110389364</v>
      </c>
      <c r="F4" s="11">
        <f>'Doanh thu'!F16</f>
        <v>453.99839485316721</v>
      </c>
      <c r="G4" s="11">
        <f>'Doanh thu'!G16</f>
        <v>485.40243150693203</v>
      </c>
      <c r="H4" s="11">
        <f>'Doanh thu'!H16</f>
        <v>515.33374878145651</v>
      </c>
      <c r="I4" s="11">
        <f>'Doanh thu'!I16</f>
        <v>567.85558946948777</v>
      </c>
      <c r="J4" s="11">
        <f>'Doanh thu'!J16</f>
        <v>606.06762897444162</v>
      </c>
      <c r="K4" s="11">
        <f>'Doanh thu'!K16</f>
        <v>646.33146952462255</v>
      </c>
      <c r="L4" s="11">
        <f>'Doanh thu'!L16</f>
        <v>688.6944376497587</v>
      </c>
      <c r="M4" s="11">
        <f>'Doanh thu'!M16</f>
        <v>729.80067617752729</v>
      </c>
      <c r="N4" s="11">
        <f>'Doanh thu'!N16</f>
        <v>776.4733382989391</v>
      </c>
      <c r="O4" s="11">
        <f>'Doanh thu'!O16</f>
        <v>825.33843175552715</v>
      </c>
      <c r="P4" s="11">
        <f>'Doanh thu'!P16</f>
        <v>876.40700126447962</v>
      </c>
      <c r="Q4" s="11">
        <f>'Doanh thu'!Q16</f>
        <v>926.28234057488567</v>
      </c>
      <c r="R4" s="11">
        <f>'Doanh thu'!R16</f>
        <v>981.74226184774807</v>
      </c>
      <c r="S4" s="11">
        <f>'Doanh thu'!S16</f>
        <v>4124.1394145340273</v>
      </c>
      <c r="T4" s="11">
        <f>'Doanh thu'!T16</f>
        <v>4190.4755431283693</v>
      </c>
      <c r="U4" s="11">
        <f>'Doanh thu'!U16</f>
        <v>4530.2101284023265</v>
      </c>
      <c r="V4" s="11">
        <f>'Doanh thu'!V16</f>
        <v>4603.0936333503323</v>
      </c>
      <c r="W4" s="11">
        <f>'Doanh thu'!W16</f>
        <v>4678.1429319646459</v>
      </c>
      <c r="X4" s="11">
        <f>'Doanh thu'!X16</f>
        <v>4751.3556123434701</v>
      </c>
      <c r="Y4" s="11">
        <f>'Doanh thu'!Y16</f>
        <v>4830.351365802735</v>
      </c>
      <c r="Z4" s="11">
        <f>'Doanh thu'!Z16</f>
        <v>4911.0912899164423</v>
      </c>
      <c r="AA4" s="11">
        <f>'Doanh thu'!AA16</f>
        <v>4989.5194002572689</v>
      </c>
      <c r="AB4" s="11">
        <f>'Doanh thu'!AB16</f>
        <v>5073.2044772971203</v>
      </c>
      <c r="AC4" s="11">
        <f>'Doanh thu'!AC16</f>
        <v>5154.1801560957911</v>
      </c>
      <c r="AD4" s="11">
        <f>'Doanh thu'!AD16</f>
        <v>5239.9884471516143</v>
      </c>
      <c r="AE4" s="11">
        <f>'Doanh thu'!AE16</f>
        <v>5326.5204076180871</v>
      </c>
      <c r="AF4" s="11">
        <f>'Doanh thu'!AF16</f>
        <v>5409.6591302323168</v>
      </c>
      <c r="AG4" s="11">
        <f>'Doanh thu'!AG16</f>
        <v>17346.995115541307</v>
      </c>
      <c r="AH4" s="11">
        <f>'Doanh thu'!AH16</f>
        <v>18114.670923525446</v>
      </c>
      <c r="AI4" s="11">
        <f>'Doanh thu'!AI16</f>
        <v>18859.187469412042</v>
      </c>
      <c r="AJ4" s="11">
        <f>'Doanh thu'!AJ16</f>
        <v>19562.994387601033</v>
      </c>
      <c r="AK4" s="11">
        <f>'Doanh thu'!AK16</f>
        <v>21340.024468352807</v>
      </c>
      <c r="AL4" s="11">
        <f>'Doanh thu'!AL16</f>
        <v>21942.933494928118</v>
      </c>
      <c r="AM4" s="11">
        <f>'Doanh thu'!AM16</f>
        <v>22487.276607849748</v>
      </c>
      <c r="AN4" s="11">
        <f>'Doanh thu'!AN16</f>
        <v>22959.897071393156</v>
      </c>
      <c r="AO4" s="11">
        <f>'Doanh thu'!AO16</f>
        <v>24634.694580236952</v>
      </c>
      <c r="AP4" s="11">
        <f>'Doanh thu'!AP16</f>
        <v>24996.926038657843</v>
      </c>
      <c r="AQ4" s="11">
        <f>'Doanh thu'!AQ16</f>
        <v>25299.291899890675</v>
      </c>
      <c r="AR4" s="11">
        <f>'Doanh thu'!AR16</f>
        <v>25536.167351488701</v>
      </c>
    </row>
    <row r="5" spans="1:44" x14ac:dyDescent="0.3">
      <c r="A5" s="5" t="s">
        <v>372</v>
      </c>
      <c r="C5" s="11">
        <f>-'Doanh thu'!C20</f>
        <v>0</v>
      </c>
      <c r="D5" s="11">
        <f>-'Doanh thu'!D20</f>
        <v>0</v>
      </c>
      <c r="E5" s="11">
        <f>-'Doanh thu'!E20</f>
        <v>0</v>
      </c>
      <c r="F5" s="11">
        <f>-'Doanh thu'!F20</f>
        <v>0</v>
      </c>
      <c r="G5" s="11">
        <f>-'Doanh thu'!G20</f>
        <v>0</v>
      </c>
      <c r="H5" s="11">
        <f>-'Doanh thu'!H20</f>
        <v>0</v>
      </c>
      <c r="I5" s="11">
        <f>-'Doanh thu'!I20</f>
        <v>0</v>
      </c>
      <c r="J5" s="11">
        <f>-'Doanh thu'!J20</f>
        <v>0</v>
      </c>
      <c r="K5" s="11">
        <f>-'Doanh thu'!K20</f>
        <v>0</v>
      </c>
      <c r="L5" s="11">
        <f>-'Doanh thu'!L20</f>
        <v>0</v>
      </c>
      <c r="M5" s="11">
        <f>-'Doanh thu'!M20</f>
        <v>0</v>
      </c>
      <c r="N5" s="11">
        <f>-'Doanh thu'!N20</f>
        <v>0</v>
      </c>
      <c r="O5" s="11">
        <f>-'Doanh thu'!O20</f>
        <v>0</v>
      </c>
      <c r="P5" s="11">
        <f>-'Doanh thu'!P20</f>
        <v>0</v>
      </c>
      <c r="Q5" s="11">
        <f>-'Doanh thu'!Q20</f>
        <v>0</v>
      </c>
      <c r="R5" s="11">
        <f>-'Doanh thu'!R20</f>
        <v>0</v>
      </c>
      <c r="S5" s="11">
        <f>-'Doanh thu'!S20</f>
        <v>-74.25</v>
      </c>
      <c r="T5" s="11">
        <f>-'Doanh thu'!T20</f>
        <v>-74.25</v>
      </c>
      <c r="U5" s="11">
        <f>-'Doanh thu'!U20</f>
        <v>-80.190000000000026</v>
      </c>
      <c r="V5" s="11">
        <f>-'Doanh thu'!V20</f>
        <v>-80.190000000000026</v>
      </c>
      <c r="W5" s="11">
        <f>-'Doanh thu'!W20</f>
        <v>-80.190000000000026</v>
      </c>
      <c r="X5" s="11">
        <f>-'Doanh thu'!X20</f>
        <v>-80.190000000000026</v>
      </c>
      <c r="Y5" s="11">
        <f>-'Doanh thu'!Y20</f>
        <v>-80.190000000000026</v>
      </c>
      <c r="Z5" s="11">
        <f>-'Doanh thu'!Z20</f>
        <v>-80.190000000000026</v>
      </c>
      <c r="AA5" s="11">
        <f>-'Doanh thu'!AA20</f>
        <v>-80.190000000000026</v>
      </c>
      <c r="AB5" s="11">
        <f>-'Doanh thu'!AB20</f>
        <v>-80.190000000000026</v>
      </c>
      <c r="AC5" s="11">
        <f>-'Doanh thu'!AC20</f>
        <v>-80.190000000000026</v>
      </c>
      <c r="AD5" s="11">
        <f>-'Doanh thu'!AD20</f>
        <v>-80.190000000000026</v>
      </c>
      <c r="AE5" s="11">
        <f>-'Doanh thu'!AE20</f>
        <v>-80.190000000000026</v>
      </c>
      <c r="AF5" s="11">
        <f>-'Doanh thu'!AF20</f>
        <v>-80.190000000000026</v>
      </c>
      <c r="AG5" s="11">
        <f>-'Doanh thu'!AG20</f>
        <v>-259.81560000000007</v>
      </c>
      <c r="AH5" s="11">
        <f>-'Doanh thu'!AH20</f>
        <v>-259.81560000000007</v>
      </c>
      <c r="AI5" s="11">
        <f>-'Doanh thu'!AI20</f>
        <v>-259.81560000000007</v>
      </c>
      <c r="AJ5" s="11">
        <f>-'Doanh thu'!AJ20</f>
        <v>-259.81560000000007</v>
      </c>
      <c r="AK5" s="11">
        <f>-'Doanh thu'!AK20</f>
        <v>-280.6008480000001</v>
      </c>
      <c r="AL5" s="11">
        <f>-'Doanh thu'!AL20</f>
        <v>-280.6008480000001</v>
      </c>
      <c r="AM5" s="11">
        <f>-'Doanh thu'!AM20</f>
        <v>-280.6008480000001</v>
      </c>
      <c r="AN5" s="11">
        <f>-'Doanh thu'!AN20</f>
        <v>-280.6008480000001</v>
      </c>
      <c r="AO5" s="11">
        <f>-'Doanh thu'!AO20</f>
        <v>-303.04891584000012</v>
      </c>
      <c r="AP5" s="11">
        <f>-'Doanh thu'!AP20</f>
        <v>-303.04891584000012</v>
      </c>
      <c r="AQ5" s="11">
        <f>-'Doanh thu'!AQ20</f>
        <v>-303.04891584000012</v>
      </c>
      <c r="AR5" s="11">
        <f>-'Doanh thu'!AR20</f>
        <v>-303.04891584000012</v>
      </c>
    </row>
    <row r="6" spans="1:44" x14ac:dyDescent="0.3">
      <c r="A6" s="5" t="s">
        <v>373</v>
      </c>
      <c r="C6" s="10">
        <f t="shared" ref="C6:AR6" si="0">C4+C5</f>
        <v>376.63038635148246</v>
      </c>
      <c r="D6" s="10">
        <f t="shared" si="0"/>
        <v>396.38803996370706</v>
      </c>
      <c r="E6" s="10">
        <f t="shared" si="0"/>
        <v>424.349110389364</v>
      </c>
      <c r="F6" s="10">
        <f t="shared" si="0"/>
        <v>453.99839485316721</v>
      </c>
      <c r="G6" s="10">
        <f t="shared" si="0"/>
        <v>485.40243150693203</v>
      </c>
      <c r="H6" s="10">
        <f t="shared" si="0"/>
        <v>515.33374878145651</v>
      </c>
      <c r="I6" s="10">
        <f t="shared" si="0"/>
        <v>567.85558946948777</v>
      </c>
      <c r="J6" s="10">
        <f t="shared" si="0"/>
        <v>606.06762897444162</v>
      </c>
      <c r="K6" s="10">
        <f t="shared" si="0"/>
        <v>646.33146952462255</v>
      </c>
      <c r="L6" s="10">
        <f t="shared" si="0"/>
        <v>688.6944376497587</v>
      </c>
      <c r="M6" s="10">
        <f t="shared" si="0"/>
        <v>729.80067617752729</v>
      </c>
      <c r="N6" s="10">
        <f t="shared" si="0"/>
        <v>776.4733382989391</v>
      </c>
      <c r="O6" s="10">
        <f t="shared" si="0"/>
        <v>825.33843175552715</v>
      </c>
      <c r="P6" s="10">
        <f t="shared" si="0"/>
        <v>876.40700126447962</v>
      </c>
      <c r="Q6" s="10">
        <f t="shared" si="0"/>
        <v>926.28234057488567</v>
      </c>
      <c r="R6" s="10">
        <f t="shared" si="0"/>
        <v>981.74226184774807</v>
      </c>
      <c r="S6" s="10">
        <f t="shared" si="0"/>
        <v>4049.8894145340273</v>
      </c>
      <c r="T6" s="10">
        <f t="shared" si="0"/>
        <v>4116.2255431283693</v>
      </c>
      <c r="U6" s="10">
        <f t="shared" si="0"/>
        <v>4450.0201284023269</v>
      </c>
      <c r="V6" s="10">
        <f t="shared" si="0"/>
        <v>4522.9036333503327</v>
      </c>
      <c r="W6" s="10">
        <f t="shared" si="0"/>
        <v>4597.9529319646463</v>
      </c>
      <c r="X6" s="10">
        <f t="shared" si="0"/>
        <v>4671.1656123434705</v>
      </c>
      <c r="Y6" s="10">
        <f t="shared" si="0"/>
        <v>4750.1613658027354</v>
      </c>
      <c r="Z6" s="10">
        <f t="shared" si="0"/>
        <v>4830.9012899164427</v>
      </c>
      <c r="AA6" s="10">
        <f t="shared" si="0"/>
        <v>4909.3294002572693</v>
      </c>
      <c r="AB6" s="10">
        <f t="shared" si="0"/>
        <v>4993.0144772971207</v>
      </c>
      <c r="AC6" s="10">
        <f t="shared" si="0"/>
        <v>5073.9901560957915</v>
      </c>
      <c r="AD6" s="10">
        <f t="shared" si="0"/>
        <v>5159.7984471516147</v>
      </c>
      <c r="AE6" s="10">
        <f t="shared" si="0"/>
        <v>5246.3304076180875</v>
      </c>
      <c r="AF6" s="10">
        <f t="shared" si="0"/>
        <v>5329.4691302323172</v>
      </c>
      <c r="AG6" s="10">
        <f t="shared" si="0"/>
        <v>17087.179515541306</v>
      </c>
      <c r="AH6" s="10">
        <f t="shared" si="0"/>
        <v>17854.855323525444</v>
      </c>
      <c r="AI6" s="10">
        <f t="shared" si="0"/>
        <v>18599.37186941204</v>
      </c>
      <c r="AJ6" s="10">
        <f t="shared" si="0"/>
        <v>19303.178787601031</v>
      </c>
      <c r="AK6" s="10">
        <f t="shared" si="0"/>
        <v>21059.423620352805</v>
      </c>
      <c r="AL6" s="10">
        <f t="shared" si="0"/>
        <v>21662.332646928116</v>
      </c>
      <c r="AM6" s="10">
        <f t="shared" si="0"/>
        <v>22206.675759849746</v>
      </c>
      <c r="AN6" s="10">
        <f t="shared" si="0"/>
        <v>22679.296223393154</v>
      </c>
      <c r="AO6" s="10">
        <f t="shared" si="0"/>
        <v>24331.64566439695</v>
      </c>
      <c r="AP6" s="10">
        <f t="shared" si="0"/>
        <v>24693.877122817841</v>
      </c>
      <c r="AQ6" s="10">
        <f t="shared" si="0"/>
        <v>24996.242984050674</v>
      </c>
      <c r="AR6" s="10">
        <f t="shared" si="0"/>
        <v>25233.118435648699</v>
      </c>
    </row>
    <row r="8" spans="1:44" x14ac:dyDescent="0.3">
      <c r="A8" s="5" t="s">
        <v>74</v>
      </c>
      <c r="C8" s="11">
        <f>-'Chi phí'!C22</f>
        <v>-3485.32078577115</v>
      </c>
      <c r="D8" s="11">
        <f>-'Chi phí'!D22</f>
        <v>-2219.7494166613124</v>
      </c>
      <c r="E8" s="11">
        <f>-'Chi phí'!E22</f>
        <v>-2222.0542583146271</v>
      </c>
      <c r="F8" s="11">
        <f>-'Chi phí'!F22</f>
        <v>-2224.4982600922003</v>
      </c>
      <c r="G8" s="11">
        <f>-'Chi phí'!G22</f>
        <v>-2227.0869067591539</v>
      </c>
      <c r="H8" s="11">
        <f>-'Chi phí'!H22</f>
        <v>-2229.5541566084157</v>
      </c>
      <c r="I8" s="11">
        <f>-'Chi phí'!I22</f>
        <v>-3094.2958733982659</v>
      </c>
      <c r="J8" s="11">
        <f>-'Chi phí'!J22</f>
        <v>-2622.1490856836185</v>
      </c>
      <c r="K8" s="11">
        <f>-'Chi phí'!K22</f>
        <v>-2625.3662406488056</v>
      </c>
      <c r="L8" s="11">
        <f>-'Chi phí'!L22</f>
        <v>-2628.7511197706576</v>
      </c>
      <c r="M8" s="11">
        <f>-'Chi phí'!M22</f>
        <v>-2632.0355838846799</v>
      </c>
      <c r="N8" s="11">
        <f>-'Chi phí'!N22</f>
        <v>-2635.7648154887856</v>
      </c>
      <c r="O8" s="11">
        <f>-'Chi phí'!O22</f>
        <v>-2639.6692263917221</v>
      </c>
      <c r="P8" s="11">
        <f>-'Chi phí'!P22</f>
        <v>-2643.7496990867194</v>
      </c>
      <c r="Q8" s="11">
        <f>-'Chi phí'!Q22</f>
        <v>-2647.7348304927241</v>
      </c>
      <c r="R8" s="11">
        <f>-'Chi phí'!R22</f>
        <v>-2652.1661802759004</v>
      </c>
      <c r="S8" s="11">
        <f>-'Chi phí'!S22</f>
        <v>-2656.7701928262868</v>
      </c>
      <c r="T8" s="11">
        <f>-'Chi phí'!T22</f>
        <v>-2661.5434621014952</v>
      </c>
      <c r="U8" s="11">
        <f>-'Chi phí'!U22</f>
        <v>-3894.9119336119661</v>
      </c>
      <c r="V8" s="11">
        <f>-'Chi phí'!V22</f>
        <v>-3266.4084961270955</v>
      </c>
      <c r="W8" s="11">
        <f>-'Chi phí'!W22</f>
        <v>-3271.6565072151634</v>
      </c>
      <c r="X8" s="11">
        <f>-'Chi phí'!X22</f>
        <v>-3276.7760881507547</v>
      </c>
      <c r="Y8" s="11">
        <f>-'Chi phí'!Y22</f>
        <v>-3282.3000650262097</v>
      </c>
      <c r="Z8" s="11">
        <f>-'Chi phí'!Z22</f>
        <v>-3287.9460074243675</v>
      </c>
      <c r="AA8" s="11">
        <f>-'Chi phí'!AA22</f>
        <v>-3293.430290426134</v>
      </c>
      <c r="AB8" s="11">
        <f>-'Chi phí'!AB22</f>
        <v>-3299.2821800549495</v>
      </c>
      <c r="AC8" s="11">
        <f>-'Chi phí'!AC22</f>
        <v>-3304.9446081927963</v>
      </c>
      <c r="AD8" s="11">
        <f>-'Chi phí'!AD22</f>
        <v>-3310.9449689053386</v>
      </c>
      <c r="AE8" s="11">
        <f>-'Chi phí'!AE22</f>
        <v>-3316.9959340227369</v>
      </c>
      <c r="AF8" s="11">
        <f>-'Chi phí'!AF22</f>
        <v>-3322.8096184432879</v>
      </c>
      <c r="AG8" s="11">
        <f>-'Chi phí'!AG22</f>
        <v>-13131.229869506376</v>
      </c>
      <c r="AH8" s="11">
        <f>-'Chi phí'!AH22</f>
        <v>-12312.16837272356</v>
      </c>
      <c r="AI8" s="11">
        <f>-'Chi phí'!AI22</f>
        <v>-12362.733960331288</v>
      </c>
      <c r="AJ8" s="11">
        <f>-'Chi phí'!AJ22</f>
        <v>-12410.534658082379</v>
      </c>
      <c r="AK8" s="11">
        <f>-'Chi phí'!AK22</f>
        <v>-16734.943085413226</v>
      </c>
      <c r="AL8" s="11">
        <f>-'Chi phí'!AL22</f>
        <v>-15665.891312796042</v>
      </c>
      <c r="AM8" s="11">
        <f>-'Chi phí'!AM22</f>
        <v>-15701.778441488705</v>
      </c>
      <c r="AN8" s="11">
        <f>-'Chi phí'!AN22</f>
        <v>-15732.937082050787</v>
      </c>
      <c r="AO8" s="11">
        <f>-'Chi phí'!AO22</f>
        <v>-19592.532328071746</v>
      </c>
      <c r="AP8" s="11">
        <f>-'Chi phí'!AP22</f>
        <v>-18823.700550980375</v>
      </c>
      <c r="AQ8" s="11">
        <f>-'Chi phí'!AQ22</f>
        <v>-18843.039787013444</v>
      </c>
      <c r="AR8" s="11">
        <f>-'Chi phí'!AR22</f>
        <v>-18858.190274737866</v>
      </c>
    </row>
    <row r="9" spans="1:44" x14ac:dyDescent="0.3">
      <c r="A9" s="5" t="s">
        <v>60</v>
      </c>
      <c r="C9" s="10">
        <f t="shared" ref="C9:AR9" si="1">C6+C8</f>
        <v>-3108.6903994196673</v>
      </c>
      <c r="D9" s="10">
        <f t="shared" si="1"/>
        <v>-1823.3613766976052</v>
      </c>
      <c r="E9" s="10">
        <f t="shared" si="1"/>
        <v>-1797.7051479252632</v>
      </c>
      <c r="F9" s="10">
        <f t="shared" si="1"/>
        <v>-1770.4998652390332</v>
      </c>
      <c r="G9" s="10">
        <f t="shared" si="1"/>
        <v>-1741.6844752522218</v>
      </c>
      <c r="H9" s="10">
        <f t="shared" si="1"/>
        <v>-1714.2204078269592</v>
      </c>
      <c r="I9" s="10">
        <f t="shared" si="1"/>
        <v>-2526.4402839287782</v>
      </c>
      <c r="J9" s="10">
        <f t="shared" si="1"/>
        <v>-2016.081456709177</v>
      </c>
      <c r="K9" s="10">
        <f t="shared" si="1"/>
        <v>-1979.034771124183</v>
      </c>
      <c r="L9" s="10">
        <f t="shared" si="1"/>
        <v>-1940.056682120899</v>
      </c>
      <c r="M9" s="10">
        <f t="shared" si="1"/>
        <v>-1902.2349077071526</v>
      </c>
      <c r="N9" s="10">
        <f t="shared" si="1"/>
        <v>-1859.2914771898465</v>
      </c>
      <c r="O9" s="10">
        <f t="shared" si="1"/>
        <v>-1814.3307946361949</v>
      </c>
      <c r="P9" s="10">
        <f t="shared" si="1"/>
        <v>-1767.3426978222396</v>
      </c>
      <c r="Q9" s="10">
        <f t="shared" si="1"/>
        <v>-1721.4524899178384</v>
      </c>
      <c r="R9" s="10">
        <f t="shared" si="1"/>
        <v>-1670.4239184281523</v>
      </c>
      <c r="S9" s="10">
        <f t="shared" si="1"/>
        <v>1393.1192217077405</v>
      </c>
      <c r="T9" s="10">
        <f t="shared" si="1"/>
        <v>1454.6820810268741</v>
      </c>
      <c r="U9" s="10">
        <f t="shared" si="1"/>
        <v>555.10819479036081</v>
      </c>
      <c r="V9" s="10">
        <f t="shared" si="1"/>
        <v>1256.4951372232372</v>
      </c>
      <c r="W9" s="10">
        <f t="shared" si="1"/>
        <v>1326.2964247494829</v>
      </c>
      <c r="X9" s="10">
        <f t="shared" si="1"/>
        <v>1394.3895241927157</v>
      </c>
      <c r="Y9" s="10">
        <f t="shared" si="1"/>
        <v>1467.8613007765257</v>
      </c>
      <c r="Z9" s="10">
        <f t="shared" si="1"/>
        <v>1542.9552824920752</v>
      </c>
      <c r="AA9" s="10">
        <f t="shared" si="1"/>
        <v>1615.8991098311353</v>
      </c>
      <c r="AB9" s="10">
        <f t="shared" si="1"/>
        <v>1693.7322972421712</v>
      </c>
      <c r="AC9" s="10">
        <f t="shared" si="1"/>
        <v>1769.0455479029952</v>
      </c>
      <c r="AD9" s="10">
        <f t="shared" si="1"/>
        <v>1848.8534782462762</v>
      </c>
      <c r="AE9" s="10">
        <f t="shared" si="1"/>
        <v>1929.3344735953506</v>
      </c>
      <c r="AF9" s="10">
        <f t="shared" si="1"/>
        <v>2006.6595117890292</v>
      </c>
      <c r="AG9" s="10">
        <f t="shared" si="1"/>
        <v>3955.9496460349292</v>
      </c>
      <c r="AH9" s="10">
        <f t="shared" si="1"/>
        <v>5542.6869508018844</v>
      </c>
      <c r="AI9" s="10">
        <f t="shared" si="1"/>
        <v>6236.6379090807513</v>
      </c>
      <c r="AJ9" s="10">
        <f t="shared" si="1"/>
        <v>6892.6441295186523</v>
      </c>
      <c r="AK9" s="10">
        <f t="shared" si="1"/>
        <v>4324.4805349395792</v>
      </c>
      <c r="AL9" s="10">
        <f t="shared" si="1"/>
        <v>5996.4413341320742</v>
      </c>
      <c r="AM9" s="10">
        <f t="shared" si="1"/>
        <v>6504.8973183610415</v>
      </c>
      <c r="AN9" s="10">
        <f t="shared" si="1"/>
        <v>6946.3591413423674</v>
      </c>
      <c r="AO9" s="10">
        <f t="shared" si="1"/>
        <v>4739.1133363252047</v>
      </c>
      <c r="AP9" s="10">
        <f t="shared" si="1"/>
        <v>5870.1765718374663</v>
      </c>
      <c r="AQ9" s="10">
        <f t="shared" si="1"/>
        <v>6153.20319703723</v>
      </c>
      <c r="AR9" s="10">
        <f t="shared" si="1"/>
        <v>6374.928160910833</v>
      </c>
    </row>
    <row r="10" spans="1:44" x14ac:dyDescent="0.3">
      <c r="A10" s="5" t="s">
        <v>374</v>
      </c>
      <c r="C10" s="11">
        <f>-capex_total/depreciation_years/'Quy mô thị trường'!C6</f>
        <v>-88</v>
      </c>
      <c r="D10" s="11">
        <f>-capex_total/depreciation_years/'Quy mô thị trường'!D6</f>
        <v>-88</v>
      </c>
      <c r="E10" s="11">
        <f>-capex_total/depreciation_years/'Quy mô thị trường'!E6</f>
        <v>-88</v>
      </c>
      <c r="F10" s="11">
        <f>-capex_total/depreciation_years/'Quy mô thị trường'!F6</f>
        <v>-88</v>
      </c>
      <c r="G10" s="11">
        <f>-capex_total/depreciation_years/'Quy mô thị trường'!G6</f>
        <v>-88</v>
      </c>
      <c r="H10" s="11">
        <f>-capex_total/depreciation_years/'Quy mô thị trường'!H6</f>
        <v>-88</v>
      </c>
      <c r="I10" s="11">
        <f>-capex_total/depreciation_years/'Quy mô thị trường'!I6</f>
        <v>-88</v>
      </c>
      <c r="J10" s="11">
        <f>-capex_total/depreciation_years/'Quy mô thị trường'!J6</f>
        <v>-88</v>
      </c>
      <c r="K10" s="11">
        <f>-capex_total/depreciation_years/'Quy mô thị trường'!K6</f>
        <v>-88</v>
      </c>
      <c r="L10" s="11">
        <f>-capex_total/depreciation_years/'Quy mô thị trường'!L6</f>
        <v>-88</v>
      </c>
      <c r="M10" s="11">
        <f>-capex_total/depreciation_years/'Quy mô thị trường'!M6</f>
        <v>-88</v>
      </c>
      <c r="N10" s="11">
        <f>-capex_total/depreciation_years/'Quy mô thị trường'!N6</f>
        <v>-88</v>
      </c>
      <c r="O10" s="11">
        <f>-capex_total/depreciation_years/'Quy mô thị trường'!O6</f>
        <v>-88</v>
      </c>
      <c r="P10" s="11">
        <f>-capex_total/depreciation_years/'Quy mô thị trường'!P6</f>
        <v>-88</v>
      </c>
      <c r="Q10" s="11">
        <f>-capex_total/depreciation_years/'Quy mô thị trường'!Q6</f>
        <v>-88</v>
      </c>
      <c r="R10" s="11">
        <f>-capex_total/depreciation_years/'Quy mô thị trường'!R6</f>
        <v>-88</v>
      </c>
      <c r="S10" s="11">
        <f>-capex_total/depreciation_years/'Quy mô thị trường'!S6</f>
        <v>-88</v>
      </c>
      <c r="T10" s="11">
        <f>-capex_total/depreciation_years/'Quy mô thị trường'!T6</f>
        <v>-88</v>
      </c>
      <c r="U10" s="11">
        <f>-capex_total/depreciation_years/'Quy mô thị trường'!U6</f>
        <v>-88</v>
      </c>
      <c r="V10" s="11">
        <f>-capex_total/depreciation_years/'Quy mô thị trường'!V6</f>
        <v>-88</v>
      </c>
      <c r="W10" s="11">
        <f>-capex_total/depreciation_years/'Quy mô thị trường'!W6</f>
        <v>-88</v>
      </c>
      <c r="X10" s="11">
        <f>-capex_total/depreciation_years/'Quy mô thị trường'!X6</f>
        <v>-88</v>
      </c>
      <c r="Y10" s="11">
        <f>-capex_total/depreciation_years/'Quy mô thị trường'!Y6</f>
        <v>-88</v>
      </c>
      <c r="Z10" s="11">
        <f>-capex_total/depreciation_years/'Quy mô thị trường'!Z6</f>
        <v>-88</v>
      </c>
      <c r="AA10" s="11">
        <f>-capex_total/depreciation_years/'Quy mô thị trường'!AA6</f>
        <v>-88</v>
      </c>
      <c r="AB10" s="11">
        <f>-capex_total/depreciation_years/'Quy mô thị trường'!AB6</f>
        <v>-88</v>
      </c>
      <c r="AC10" s="11">
        <f>-capex_total/depreciation_years/'Quy mô thị trường'!AC6</f>
        <v>-88</v>
      </c>
      <c r="AD10" s="11">
        <f>-capex_total/depreciation_years/'Quy mô thị trường'!AD6</f>
        <v>-88</v>
      </c>
      <c r="AE10" s="11">
        <f>-capex_total/depreciation_years/'Quy mô thị trường'!AE6</f>
        <v>-88</v>
      </c>
      <c r="AF10" s="11">
        <f>-capex_total/depreciation_years/'Quy mô thị trường'!AF6</f>
        <v>-88</v>
      </c>
      <c r="AG10" s="11">
        <f>-capex_total/depreciation_years/'Quy mô thị trường'!AG6</f>
        <v>-264</v>
      </c>
      <c r="AH10" s="11">
        <f>-capex_total/depreciation_years/'Quy mô thị trường'!AH6</f>
        <v>-264</v>
      </c>
      <c r="AI10" s="11">
        <f>-capex_total/depreciation_years/'Quy mô thị trường'!AI6</f>
        <v>-264</v>
      </c>
      <c r="AJ10" s="11">
        <f>-capex_total/depreciation_years/'Quy mô thị trường'!AJ6</f>
        <v>-264</v>
      </c>
      <c r="AK10" s="11">
        <f>-capex_total/depreciation_years/'Quy mô thị trường'!AK6</f>
        <v>-264</v>
      </c>
      <c r="AL10" s="11">
        <f>-capex_total/depreciation_years/'Quy mô thị trường'!AL6</f>
        <v>-264</v>
      </c>
      <c r="AM10" s="11">
        <f>-capex_total/depreciation_years/'Quy mô thị trường'!AM6</f>
        <v>-264</v>
      </c>
      <c r="AN10" s="11">
        <f>-capex_total/depreciation_years/'Quy mô thị trường'!AN6</f>
        <v>-264</v>
      </c>
      <c r="AO10" s="11">
        <f>0</f>
        <v>0</v>
      </c>
      <c r="AP10" s="11">
        <f>0</f>
        <v>0</v>
      </c>
      <c r="AQ10" s="11">
        <f>0</f>
        <v>0</v>
      </c>
      <c r="AR10" s="11">
        <f>0</f>
        <v>0</v>
      </c>
    </row>
    <row r="11" spans="1:44" x14ac:dyDescent="0.3">
      <c r="A11" s="5" t="s">
        <v>63</v>
      </c>
      <c r="C11" s="10">
        <f t="shared" ref="C11:AR11" si="2">C9+C10</f>
        <v>-3196.6903994196673</v>
      </c>
      <c r="D11" s="10">
        <f t="shared" si="2"/>
        <v>-1911.3613766976052</v>
      </c>
      <c r="E11" s="10">
        <f t="shared" si="2"/>
        <v>-1885.7051479252632</v>
      </c>
      <c r="F11" s="10">
        <f t="shared" si="2"/>
        <v>-1858.4998652390332</v>
      </c>
      <c r="G11" s="10">
        <f t="shared" si="2"/>
        <v>-1829.6844752522218</v>
      </c>
      <c r="H11" s="10">
        <f t="shared" si="2"/>
        <v>-1802.2204078269592</v>
      </c>
      <c r="I11" s="10">
        <f t="shared" si="2"/>
        <v>-2614.4402839287782</v>
      </c>
      <c r="J11" s="10">
        <f t="shared" si="2"/>
        <v>-2104.081456709177</v>
      </c>
      <c r="K11" s="10">
        <f t="shared" si="2"/>
        <v>-2067.034771124183</v>
      </c>
      <c r="L11" s="10">
        <f t="shared" si="2"/>
        <v>-2028.056682120899</v>
      </c>
      <c r="M11" s="10">
        <f t="shared" si="2"/>
        <v>-1990.2349077071526</v>
      </c>
      <c r="N11" s="10">
        <f t="shared" si="2"/>
        <v>-1947.2914771898465</v>
      </c>
      <c r="O11" s="10">
        <f t="shared" si="2"/>
        <v>-1902.3307946361949</v>
      </c>
      <c r="P11" s="10">
        <f t="shared" si="2"/>
        <v>-1855.3426978222396</v>
      </c>
      <c r="Q11" s="10">
        <f t="shared" si="2"/>
        <v>-1809.4524899178384</v>
      </c>
      <c r="R11" s="10">
        <f t="shared" si="2"/>
        <v>-1758.4239184281523</v>
      </c>
      <c r="S11" s="10">
        <f t="shared" si="2"/>
        <v>1305.1192217077405</v>
      </c>
      <c r="T11" s="10">
        <f t="shared" si="2"/>
        <v>1366.6820810268741</v>
      </c>
      <c r="U11" s="10">
        <f t="shared" si="2"/>
        <v>467.10819479036081</v>
      </c>
      <c r="V11" s="10">
        <f t="shared" si="2"/>
        <v>1168.4951372232372</v>
      </c>
      <c r="W11" s="10">
        <f t="shared" si="2"/>
        <v>1238.2964247494829</v>
      </c>
      <c r="X11" s="10">
        <f t="shared" si="2"/>
        <v>1306.3895241927157</v>
      </c>
      <c r="Y11" s="10">
        <f t="shared" si="2"/>
        <v>1379.8613007765257</v>
      </c>
      <c r="Z11" s="10">
        <f t="shared" si="2"/>
        <v>1454.9552824920752</v>
      </c>
      <c r="AA11" s="10">
        <f t="shared" si="2"/>
        <v>1527.8991098311353</v>
      </c>
      <c r="AB11" s="10">
        <f t="shared" si="2"/>
        <v>1605.7322972421712</v>
      </c>
      <c r="AC11" s="10">
        <f t="shared" si="2"/>
        <v>1681.0455479029952</v>
      </c>
      <c r="AD11" s="10">
        <f t="shared" si="2"/>
        <v>1760.8534782462762</v>
      </c>
      <c r="AE11" s="10">
        <f t="shared" si="2"/>
        <v>1841.3344735953506</v>
      </c>
      <c r="AF11" s="10">
        <f t="shared" si="2"/>
        <v>1918.6595117890292</v>
      </c>
      <c r="AG11" s="10">
        <f t="shared" si="2"/>
        <v>3691.9496460349292</v>
      </c>
      <c r="AH11" s="10">
        <f t="shared" si="2"/>
        <v>5278.6869508018844</v>
      </c>
      <c r="AI11" s="10">
        <f t="shared" si="2"/>
        <v>5972.6379090807513</v>
      </c>
      <c r="AJ11" s="10">
        <f t="shared" si="2"/>
        <v>6628.6441295186523</v>
      </c>
      <c r="AK11" s="10">
        <f t="shared" si="2"/>
        <v>4060.4805349395792</v>
      </c>
      <c r="AL11" s="10">
        <f t="shared" si="2"/>
        <v>5732.4413341320742</v>
      </c>
      <c r="AM11" s="10">
        <f t="shared" si="2"/>
        <v>6240.8973183610415</v>
      </c>
      <c r="AN11" s="10">
        <f t="shared" si="2"/>
        <v>6682.3591413423674</v>
      </c>
      <c r="AO11" s="10">
        <f t="shared" si="2"/>
        <v>4739.1133363252047</v>
      </c>
      <c r="AP11" s="10">
        <f t="shared" si="2"/>
        <v>5870.1765718374663</v>
      </c>
      <c r="AQ11" s="10">
        <f t="shared" si="2"/>
        <v>6153.20319703723</v>
      </c>
      <c r="AR11" s="10">
        <f t="shared" si="2"/>
        <v>6374.928160910833</v>
      </c>
    </row>
    <row r="12" spans="1:44" x14ac:dyDescent="0.3">
      <c r="A12" s="5" t="s">
        <v>375</v>
      </c>
      <c r="C12" s="11">
        <f t="shared" ref="C12:AR12" si="3">IF(C11&gt;0,-C11*cit_rate,0)</f>
        <v>0</v>
      </c>
      <c r="D12" s="11">
        <f t="shared" si="3"/>
        <v>0</v>
      </c>
      <c r="E12" s="11">
        <f t="shared" si="3"/>
        <v>0</v>
      </c>
      <c r="F12" s="11">
        <f t="shared" si="3"/>
        <v>0</v>
      </c>
      <c r="G12" s="11">
        <f t="shared" si="3"/>
        <v>0</v>
      </c>
      <c r="H12" s="11">
        <f t="shared" si="3"/>
        <v>0</v>
      </c>
      <c r="I12" s="11">
        <f t="shared" si="3"/>
        <v>0</v>
      </c>
      <c r="J12" s="11">
        <f t="shared" si="3"/>
        <v>0</v>
      </c>
      <c r="K12" s="11">
        <f t="shared" si="3"/>
        <v>0</v>
      </c>
      <c r="L12" s="11">
        <f t="shared" si="3"/>
        <v>0</v>
      </c>
      <c r="M12" s="11">
        <f t="shared" si="3"/>
        <v>0</v>
      </c>
      <c r="N12" s="11">
        <f t="shared" si="3"/>
        <v>0</v>
      </c>
      <c r="O12" s="11">
        <f t="shared" si="3"/>
        <v>0</v>
      </c>
      <c r="P12" s="11">
        <f t="shared" si="3"/>
        <v>0</v>
      </c>
      <c r="Q12" s="11">
        <f t="shared" si="3"/>
        <v>0</v>
      </c>
      <c r="R12" s="11">
        <f t="shared" si="3"/>
        <v>0</v>
      </c>
      <c r="S12" s="11">
        <f t="shared" si="3"/>
        <v>-261.02384434154811</v>
      </c>
      <c r="T12" s="11">
        <f t="shared" si="3"/>
        <v>-273.33641620537486</v>
      </c>
      <c r="U12" s="11">
        <f t="shared" si="3"/>
        <v>-93.421638958072165</v>
      </c>
      <c r="V12" s="11">
        <f t="shared" si="3"/>
        <v>-233.69902744464744</v>
      </c>
      <c r="W12" s="11">
        <f t="shared" si="3"/>
        <v>-247.65928494989657</v>
      </c>
      <c r="X12" s="11">
        <f t="shared" si="3"/>
        <v>-261.27790483854318</v>
      </c>
      <c r="Y12" s="11">
        <f t="shared" si="3"/>
        <v>-275.97226015530515</v>
      </c>
      <c r="Z12" s="11">
        <f t="shared" si="3"/>
        <v>-290.99105649841505</v>
      </c>
      <c r="AA12" s="11">
        <f t="shared" si="3"/>
        <v>-305.57982196622709</v>
      </c>
      <c r="AB12" s="11">
        <f t="shared" si="3"/>
        <v>-321.14645944843426</v>
      </c>
      <c r="AC12" s="11">
        <f t="shared" si="3"/>
        <v>-336.20910958059903</v>
      </c>
      <c r="AD12" s="11">
        <f t="shared" si="3"/>
        <v>-352.17069564925526</v>
      </c>
      <c r="AE12" s="11">
        <f t="shared" si="3"/>
        <v>-368.26689471907014</v>
      </c>
      <c r="AF12" s="11">
        <f t="shared" si="3"/>
        <v>-383.73190235780589</v>
      </c>
      <c r="AG12" s="11">
        <f t="shared" si="3"/>
        <v>-738.38992920698593</v>
      </c>
      <c r="AH12" s="11">
        <f t="shared" si="3"/>
        <v>-1055.7373901603769</v>
      </c>
      <c r="AI12" s="11">
        <f t="shared" si="3"/>
        <v>-1194.5275818161504</v>
      </c>
      <c r="AJ12" s="11">
        <f t="shared" si="3"/>
        <v>-1325.7288259037305</v>
      </c>
      <c r="AK12" s="11">
        <f t="shared" si="3"/>
        <v>-812.09610698791585</v>
      </c>
      <c r="AL12" s="11">
        <f t="shared" si="3"/>
        <v>-1146.4882668264149</v>
      </c>
      <c r="AM12" s="11">
        <f t="shared" si="3"/>
        <v>-1248.1794636722084</v>
      </c>
      <c r="AN12" s="11">
        <f t="shared" si="3"/>
        <v>-1336.4718282684735</v>
      </c>
      <c r="AO12" s="11">
        <f t="shared" si="3"/>
        <v>-947.82266726504099</v>
      </c>
      <c r="AP12" s="11">
        <f t="shared" si="3"/>
        <v>-1174.0353143674934</v>
      </c>
      <c r="AQ12" s="11">
        <f t="shared" si="3"/>
        <v>-1230.6406394074461</v>
      </c>
      <c r="AR12" s="11">
        <f t="shared" si="3"/>
        <v>-1274.9856321821667</v>
      </c>
    </row>
    <row r="13" spans="1:44" x14ac:dyDescent="0.3">
      <c r="A13" s="5" t="s">
        <v>376</v>
      </c>
      <c r="C13" s="10">
        <f t="shared" ref="C13:AR13" si="4">C11+C12</f>
        <v>-3196.6903994196673</v>
      </c>
      <c r="D13" s="10">
        <f t="shared" si="4"/>
        <v>-1911.3613766976052</v>
      </c>
      <c r="E13" s="10">
        <f t="shared" si="4"/>
        <v>-1885.7051479252632</v>
      </c>
      <c r="F13" s="10">
        <f t="shared" si="4"/>
        <v>-1858.4998652390332</v>
      </c>
      <c r="G13" s="10">
        <f t="shared" si="4"/>
        <v>-1829.6844752522218</v>
      </c>
      <c r="H13" s="10">
        <f t="shared" si="4"/>
        <v>-1802.2204078269592</v>
      </c>
      <c r="I13" s="10">
        <f t="shared" si="4"/>
        <v>-2614.4402839287782</v>
      </c>
      <c r="J13" s="10">
        <f t="shared" si="4"/>
        <v>-2104.081456709177</v>
      </c>
      <c r="K13" s="10">
        <f t="shared" si="4"/>
        <v>-2067.034771124183</v>
      </c>
      <c r="L13" s="10">
        <f t="shared" si="4"/>
        <v>-2028.056682120899</v>
      </c>
      <c r="M13" s="10">
        <f t="shared" si="4"/>
        <v>-1990.2349077071526</v>
      </c>
      <c r="N13" s="10">
        <f t="shared" si="4"/>
        <v>-1947.2914771898465</v>
      </c>
      <c r="O13" s="10">
        <f t="shared" si="4"/>
        <v>-1902.3307946361949</v>
      </c>
      <c r="P13" s="10">
        <f t="shared" si="4"/>
        <v>-1855.3426978222396</v>
      </c>
      <c r="Q13" s="10">
        <f t="shared" si="4"/>
        <v>-1809.4524899178384</v>
      </c>
      <c r="R13" s="10">
        <f t="shared" si="4"/>
        <v>-1758.4239184281523</v>
      </c>
      <c r="S13" s="10">
        <f t="shared" si="4"/>
        <v>1044.0953773661925</v>
      </c>
      <c r="T13" s="10">
        <f t="shared" si="4"/>
        <v>1093.3456648214992</v>
      </c>
      <c r="U13" s="10">
        <f t="shared" si="4"/>
        <v>373.68655583228866</v>
      </c>
      <c r="V13" s="10">
        <f t="shared" si="4"/>
        <v>934.79610977858977</v>
      </c>
      <c r="W13" s="10">
        <f t="shared" si="4"/>
        <v>990.63713979958629</v>
      </c>
      <c r="X13" s="10">
        <f t="shared" si="4"/>
        <v>1045.1116193541725</v>
      </c>
      <c r="Y13" s="10">
        <f t="shared" si="4"/>
        <v>1103.8890406212206</v>
      </c>
      <c r="Z13" s="10">
        <f t="shared" si="4"/>
        <v>1163.9642259936602</v>
      </c>
      <c r="AA13" s="10">
        <f t="shared" si="4"/>
        <v>1222.3192878649083</v>
      </c>
      <c r="AB13" s="10">
        <f t="shared" si="4"/>
        <v>1284.585837793737</v>
      </c>
      <c r="AC13" s="10">
        <f t="shared" si="4"/>
        <v>1344.8364383223961</v>
      </c>
      <c r="AD13" s="10">
        <f t="shared" si="4"/>
        <v>1408.6827825970208</v>
      </c>
      <c r="AE13" s="10">
        <f t="shared" si="4"/>
        <v>1473.0675788762805</v>
      </c>
      <c r="AF13" s="10">
        <f t="shared" si="4"/>
        <v>1534.9276094312233</v>
      </c>
      <c r="AG13" s="10">
        <f t="shared" si="4"/>
        <v>2953.5597168279432</v>
      </c>
      <c r="AH13" s="10">
        <f t="shared" si="4"/>
        <v>4222.9495606415076</v>
      </c>
      <c r="AI13" s="10">
        <f t="shared" si="4"/>
        <v>4778.1103272646014</v>
      </c>
      <c r="AJ13" s="10">
        <f t="shared" si="4"/>
        <v>5302.9153036149219</v>
      </c>
      <c r="AK13" s="10">
        <f t="shared" si="4"/>
        <v>3248.3844279516634</v>
      </c>
      <c r="AL13" s="10">
        <f t="shared" si="4"/>
        <v>4585.9530673056597</v>
      </c>
      <c r="AM13" s="10">
        <f t="shared" si="4"/>
        <v>4992.7178546888335</v>
      </c>
      <c r="AN13" s="10">
        <f t="shared" si="4"/>
        <v>5345.8873130738939</v>
      </c>
      <c r="AO13" s="10">
        <f t="shared" si="4"/>
        <v>3791.290669060164</v>
      </c>
      <c r="AP13" s="10">
        <f t="shared" si="4"/>
        <v>4696.1412574699734</v>
      </c>
      <c r="AQ13" s="10">
        <f t="shared" si="4"/>
        <v>4922.5625576297844</v>
      </c>
      <c r="AR13" s="10">
        <f t="shared" si="4"/>
        <v>5099.9425287286667</v>
      </c>
    </row>
    <row r="15" spans="1:44" x14ac:dyDescent="0.3">
      <c r="A15" s="2" t="s">
        <v>377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</row>
    <row r="16" spans="1:44" x14ac:dyDescent="0.3">
      <c r="A16" s="5" t="s">
        <v>378</v>
      </c>
      <c r="C16" s="18">
        <f t="shared" ref="C16:AR16" si="5">IF(C4=0,0,C6/C4)</f>
        <v>1</v>
      </c>
      <c r="D16" s="18">
        <f t="shared" si="5"/>
        <v>1</v>
      </c>
      <c r="E16" s="18">
        <f t="shared" si="5"/>
        <v>1</v>
      </c>
      <c r="F16" s="18">
        <f t="shared" si="5"/>
        <v>1</v>
      </c>
      <c r="G16" s="18">
        <f t="shared" si="5"/>
        <v>1</v>
      </c>
      <c r="H16" s="18">
        <f t="shared" si="5"/>
        <v>1</v>
      </c>
      <c r="I16" s="18">
        <f t="shared" si="5"/>
        <v>1</v>
      </c>
      <c r="J16" s="18">
        <f t="shared" si="5"/>
        <v>1</v>
      </c>
      <c r="K16" s="18">
        <f t="shared" si="5"/>
        <v>1</v>
      </c>
      <c r="L16" s="18">
        <f t="shared" si="5"/>
        <v>1</v>
      </c>
      <c r="M16" s="18">
        <f t="shared" si="5"/>
        <v>1</v>
      </c>
      <c r="N16" s="18">
        <f t="shared" si="5"/>
        <v>1</v>
      </c>
      <c r="O16" s="18">
        <f t="shared" si="5"/>
        <v>1</v>
      </c>
      <c r="P16" s="18">
        <f t="shared" si="5"/>
        <v>1</v>
      </c>
      <c r="Q16" s="18">
        <f t="shared" si="5"/>
        <v>1</v>
      </c>
      <c r="R16" s="18">
        <f t="shared" si="5"/>
        <v>1</v>
      </c>
      <c r="S16" s="18">
        <f t="shared" si="5"/>
        <v>0.98199624393435081</v>
      </c>
      <c r="T16" s="18">
        <f t="shared" si="5"/>
        <v>0.98228124726279409</v>
      </c>
      <c r="U16" s="18">
        <f t="shared" si="5"/>
        <v>0.98229883433060972</v>
      </c>
      <c r="V16" s="18">
        <f t="shared" si="5"/>
        <v>0.98257910735966636</v>
      </c>
      <c r="W16" s="18">
        <f t="shared" si="5"/>
        <v>0.9828585827397277</v>
      </c>
      <c r="X16" s="18">
        <f t="shared" si="5"/>
        <v>0.9831227113812161</v>
      </c>
      <c r="Y16" s="18">
        <f t="shared" si="5"/>
        <v>0.98339872321344612</v>
      </c>
      <c r="Z16" s="18">
        <f t="shared" si="5"/>
        <v>0.98367165355597286</v>
      </c>
      <c r="AA16" s="18">
        <f t="shared" si="5"/>
        <v>0.98392831181378615</v>
      </c>
      <c r="AB16" s="18">
        <f t="shared" si="5"/>
        <v>0.98419342244948838</v>
      </c>
      <c r="AC16" s="18">
        <f t="shared" si="5"/>
        <v>0.9844417545426386</v>
      </c>
      <c r="AD16" s="18">
        <f t="shared" si="5"/>
        <v>0.98469653114529487</v>
      </c>
      <c r="AE16" s="18">
        <f t="shared" si="5"/>
        <v>0.98494514357153118</v>
      </c>
      <c r="AF16" s="18">
        <f t="shared" si="5"/>
        <v>0.9851765151796994</v>
      </c>
      <c r="AG16" s="18">
        <f t="shared" si="5"/>
        <v>0.9850224434681929</v>
      </c>
      <c r="AH16" s="18">
        <f t="shared" si="5"/>
        <v>0.98565717251520257</v>
      </c>
      <c r="AI16" s="18">
        <f t="shared" si="5"/>
        <v>0.98622339374793322</v>
      </c>
      <c r="AJ16" s="18">
        <f t="shared" si="5"/>
        <v>0.98671902701333536</v>
      </c>
      <c r="AK16" s="18">
        <f t="shared" si="5"/>
        <v>0.98685095940653056</v>
      </c>
      <c r="AL16" s="18">
        <f t="shared" si="5"/>
        <v>0.98721224543359898</v>
      </c>
      <c r="AM16" s="18">
        <f t="shared" si="5"/>
        <v>0.98752179497351622</v>
      </c>
      <c r="AN16" s="18">
        <f t="shared" si="5"/>
        <v>0.98777865392307806</v>
      </c>
      <c r="AO16" s="18">
        <f t="shared" si="5"/>
        <v>0.98769828808500348</v>
      </c>
      <c r="AP16" s="18">
        <f t="shared" si="5"/>
        <v>0.98787655268606489</v>
      </c>
      <c r="AQ16" s="18">
        <f t="shared" si="5"/>
        <v>0.98802144672510339</v>
      </c>
      <c r="AR16" s="18">
        <f t="shared" si="5"/>
        <v>0.98813256070620425</v>
      </c>
    </row>
    <row r="17" spans="1:44" x14ac:dyDescent="0.3">
      <c r="A17" s="5" t="s">
        <v>379</v>
      </c>
      <c r="C17" s="18">
        <f t="shared" ref="C17:AR17" si="6">IF(C4=0,0,C9/C4)</f>
        <v>-8.2539553686423659</v>
      </c>
      <c r="D17" s="18">
        <f t="shared" si="6"/>
        <v>-4.599940444380084</v>
      </c>
      <c r="E17" s="18">
        <f t="shared" si="6"/>
        <v>-4.2363825065540217</v>
      </c>
      <c r="F17" s="18">
        <f t="shared" si="6"/>
        <v>-3.8997932268277085</v>
      </c>
      <c r="G17" s="18">
        <f t="shared" si="6"/>
        <v>-3.5881247439267283</v>
      </c>
      <c r="H17" s="18">
        <f t="shared" si="6"/>
        <v>-3.3264276051788881</v>
      </c>
      <c r="I17" s="18">
        <f t="shared" si="6"/>
        <v>-4.4490894001573089</v>
      </c>
      <c r="J17" s="18">
        <f t="shared" si="6"/>
        <v>-3.326495856775411</v>
      </c>
      <c r="K17" s="18">
        <f t="shared" si="6"/>
        <v>-3.0619501980613215</v>
      </c>
      <c r="L17" s="18">
        <f t="shared" si="6"/>
        <v>-2.8170064633330623</v>
      </c>
      <c r="M17" s="18">
        <f t="shared" si="6"/>
        <v>-2.6065129422330453</v>
      </c>
      <c r="N17" s="18">
        <f t="shared" si="6"/>
        <v>-2.3945335731206097</v>
      </c>
      <c r="O17" s="18">
        <f t="shared" si="6"/>
        <v>-2.1982870599846445</v>
      </c>
      <c r="P17" s="18">
        <f t="shared" si="6"/>
        <v>-2.016577566441526</v>
      </c>
      <c r="Q17" s="18">
        <f t="shared" si="6"/>
        <v>-1.858453318725088</v>
      </c>
      <c r="R17" s="18">
        <f t="shared" si="6"/>
        <v>-1.7014892638768844</v>
      </c>
      <c r="S17" s="18">
        <f t="shared" si="6"/>
        <v>0.33779634529283836</v>
      </c>
      <c r="T17" s="18">
        <f t="shared" si="6"/>
        <v>0.34714009568968673</v>
      </c>
      <c r="U17" s="18">
        <f t="shared" si="6"/>
        <v>0.12253475645866593</v>
      </c>
      <c r="V17" s="18">
        <f t="shared" si="6"/>
        <v>0.27296753820510605</v>
      </c>
      <c r="W17" s="18">
        <f t="shared" si="6"/>
        <v>0.28350917106170753</v>
      </c>
      <c r="X17" s="18">
        <f t="shared" si="6"/>
        <v>0.29347193474010946</v>
      </c>
      <c r="Y17" s="18">
        <f t="shared" si="6"/>
        <v>0.30388292478441437</v>
      </c>
      <c r="Z17" s="18">
        <f t="shared" si="6"/>
        <v>0.31417768300501847</v>
      </c>
      <c r="AA17" s="18">
        <f t="shared" si="6"/>
        <v>0.32385866858195134</v>
      </c>
      <c r="AB17" s="18">
        <f t="shared" si="6"/>
        <v>0.33385847245497791</v>
      </c>
      <c r="AC17" s="18">
        <f t="shared" si="6"/>
        <v>0.34322540041809846</v>
      </c>
      <c r="AD17" s="18">
        <f t="shared" si="6"/>
        <v>0.35283541116417683</v>
      </c>
      <c r="AE17" s="18">
        <f t="shared" si="6"/>
        <v>0.36221291311227888</v>
      </c>
      <c r="AF17" s="18">
        <f t="shared" si="6"/>
        <v>0.37094010241322795</v>
      </c>
      <c r="AG17" s="18">
        <f t="shared" si="6"/>
        <v>0.22804812128474997</v>
      </c>
      <c r="AH17" s="18">
        <f t="shared" si="6"/>
        <v>0.3059777886223492</v>
      </c>
      <c r="AI17" s="18">
        <f t="shared" si="6"/>
        <v>0.33069494214403639</v>
      </c>
      <c r="AJ17" s="18">
        <f t="shared" si="6"/>
        <v>0.35233073183761632</v>
      </c>
      <c r="AK17" s="18">
        <f t="shared" si="6"/>
        <v>0.20264646562860184</v>
      </c>
      <c r="AL17" s="18">
        <f t="shared" si="6"/>
        <v>0.27327437033512814</v>
      </c>
      <c r="AM17" s="18">
        <f t="shared" si="6"/>
        <v>0.28927012513780098</v>
      </c>
      <c r="AN17" s="18">
        <f t="shared" si="6"/>
        <v>0.30254313073542355</v>
      </c>
      <c r="AO17" s="18">
        <f t="shared" si="6"/>
        <v>0.19237556694236965</v>
      </c>
      <c r="AP17" s="18">
        <f t="shared" si="6"/>
        <v>0.2348359379372974</v>
      </c>
      <c r="AQ17" s="18">
        <f t="shared" si="6"/>
        <v>0.24321641970792943</v>
      </c>
      <c r="AR17" s="18">
        <f t="shared" si="6"/>
        <v>0.24964310709450255</v>
      </c>
    </row>
    <row r="18" spans="1:44" x14ac:dyDescent="0.3">
      <c r="A18" s="5" t="s">
        <v>380</v>
      </c>
      <c r="C18" s="18">
        <f t="shared" ref="C18:AR18" si="7">IF(C4=0,0,C13/C4)</f>
        <v>-8.4876061923384558</v>
      </c>
      <c r="D18" s="18">
        <f t="shared" si="7"/>
        <v>-4.8219451244608891</v>
      </c>
      <c r="E18" s="18">
        <f t="shared" si="7"/>
        <v>-4.4437589281029091</v>
      </c>
      <c r="F18" s="18">
        <f t="shared" si="7"/>
        <v>-4.0936265112569652</v>
      </c>
      <c r="G18" s="18">
        <f t="shared" si="7"/>
        <v>-3.7694176141062288</v>
      </c>
      <c r="H18" s="18">
        <f t="shared" si="7"/>
        <v>-3.4971907275400422</v>
      </c>
      <c r="I18" s="18">
        <f t="shared" si="7"/>
        <v>-4.6040583775380064</v>
      </c>
      <c r="J18" s="18">
        <f t="shared" si="7"/>
        <v>-3.471694174245211</v>
      </c>
      <c r="K18" s="18">
        <f t="shared" si="7"/>
        <v>-3.1981032466893327</v>
      </c>
      <c r="L18" s="18">
        <f t="shared" si="7"/>
        <v>-2.9447844664490876</v>
      </c>
      <c r="M18" s="18">
        <f t="shared" si="7"/>
        <v>-2.727093811602634</v>
      </c>
      <c r="N18" s="18">
        <f t="shared" si="7"/>
        <v>-2.5078665050571862</v>
      </c>
      <c r="O18" s="18">
        <f t="shared" si="7"/>
        <v>-2.3049099877608543</v>
      </c>
      <c r="P18" s="18">
        <f t="shared" si="7"/>
        <v>-2.1169875356373833</v>
      </c>
      <c r="Q18" s="18">
        <f t="shared" si="7"/>
        <v>-1.9534567492615957</v>
      </c>
      <c r="R18" s="18">
        <f t="shared" si="7"/>
        <v>-1.7911258247338797</v>
      </c>
      <c r="S18" s="18">
        <f t="shared" si="7"/>
        <v>0.2531668482609144</v>
      </c>
      <c r="T18" s="18">
        <f t="shared" si="7"/>
        <v>0.2609120739564727</v>
      </c>
      <c r="U18" s="18">
        <f t="shared" si="7"/>
        <v>8.2487687158140074E-2</v>
      </c>
      <c r="V18" s="18">
        <f t="shared" si="7"/>
        <v>0.20307996843814025</v>
      </c>
      <c r="W18" s="18">
        <f t="shared" si="7"/>
        <v>0.21175863033829015</v>
      </c>
      <c r="X18" s="18">
        <f t="shared" si="7"/>
        <v>0.21996072376462286</v>
      </c>
      <c r="Y18" s="18">
        <f t="shared" si="7"/>
        <v>0.22853183071450747</v>
      </c>
      <c r="Z18" s="18">
        <f t="shared" si="7"/>
        <v>0.23700724691954647</v>
      </c>
      <c r="AA18" s="18">
        <f t="shared" si="7"/>
        <v>0.24497735950317845</v>
      </c>
      <c r="AB18" s="18">
        <f t="shared" si="7"/>
        <v>0.25320994719261408</v>
      </c>
      <c r="AC18" s="18">
        <f t="shared" si="7"/>
        <v>0.26092150402074582</v>
      </c>
      <c r="AD18" s="18">
        <f t="shared" si="7"/>
        <v>0.26883318480649732</v>
      </c>
      <c r="AE18" s="18">
        <f t="shared" si="7"/>
        <v>0.27655344693122219</v>
      </c>
      <c r="AF18" s="18">
        <f t="shared" si="7"/>
        <v>0.28373832296625801</v>
      </c>
      <c r="AG18" s="18">
        <f t="shared" si="7"/>
        <v>0.17026347774674971</v>
      </c>
      <c r="AH18" s="18">
        <f t="shared" si="7"/>
        <v>0.23312317283982129</v>
      </c>
      <c r="AI18" s="18">
        <f t="shared" si="7"/>
        <v>0.25335716795934499</v>
      </c>
      <c r="AJ18" s="18">
        <f t="shared" si="7"/>
        <v>0.27106869217198637</v>
      </c>
      <c r="AK18" s="18">
        <f t="shared" si="7"/>
        <v>0.15222027663412513</v>
      </c>
      <c r="AL18" s="18">
        <f t="shared" si="7"/>
        <v>0.2089945297590067</v>
      </c>
      <c r="AM18" s="18">
        <f t="shared" si="7"/>
        <v>0.22202412242956981</v>
      </c>
      <c r="AN18" s="18">
        <f t="shared" si="7"/>
        <v>0.23283585707945498</v>
      </c>
      <c r="AO18" s="18">
        <f t="shared" si="7"/>
        <v>0.15390045355389573</v>
      </c>
      <c r="AP18" s="18">
        <f t="shared" si="7"/>
        <v>0.18786875034983794</v>
      </c>
      <c r="AQ18" s="18">
        <f t="shared" si="7"/>
        <v>0.19457313576634355</v>
      </c>
      <c r="AR18" s="18">
        <f t="shared" si="7"/>
        <v>0.19971448567560204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AR15"/>
  <sheetViews>
    <sheetView workbookViewId="0"/>
  </sheetViews>
  <sheetFormatPr defaultRowHeight="14.4" x14ac:dyDescent="0.3"/>
  <cols>
    <col min="1" max="1" width="38" customWidth="1"/>
    <col min="2" max="2" width="10" customWidth="1"/>
    <col min="3" max="44" width="11" customWidth="1"/>
  </cols>
  <sheetData>
    <row r="1" spans="1:44" x14ac:dyDescent="0.3">
      <c r="A1" s="2" t="s">
        <v>381</v>
      </c>
    </row>
    <row r="3" spans="1:44" x14ac:dyDescent="0.3">
      <c r="A3" s="4" t="s">
        <v>328</v>
      </c>
      <c r="B3" s="4" t="s">
        <v>258</v>
      </c>
      <c r="C3" s="4" t="s">
        <v>259</v>
      </c>
      <c r="D3" s="4" t="s">
        <v>260</v>
      </c>
      <c r="E3" s="4" t="s">
        <v>261</v>
      </c>
      <c r="F3" s="4" t="s">
        <v>262</v>
      </c>
      <c r="G3" s="4" t="s">
        <v>263</v>
      </c>
      <c r="H3" s="4" t="s">
        <v>264</v>
      </c>
      <c r="I3" s="4" t="s">
        <v>265</v>
      </c>
      <c r="J3" s="4" t="s">
        <v>266</v>
      </c>
      <c r="K3" s="4" t="s">
        <v>267</v>
      </c>
      <c r="L3" s="4" t="s">
        <v>268</v>
      </c>
      <c r="M3" s="4" t="s">
        <v>269</v>
      </c>
      <c r="N3" s="4" t="s">
        <v>270</v>
      </c>
      <c r="O3" s="4" t="s">
        <v>271</v>
      </c>
      <c r="P3" s="4" t="s">
        <v>272</v>
      </c>
      <c r="Q3" s="4" t="s">
        <v>273</v>
      </c>
      <c r="R3" s="4" t="s">
        <v>274</v>
      </c>
      <c r="S3" s="4" t="s">
        <v>275</v>
      </c>
      <c r="T3" s="4" t="s">
        <v>276</v>
      </c>
      <c r="U3" s="4" t="s">
        <v>277</v>
      </c>
      <c r="V3" s="4" t="s">
        <v>278</v>
      </c>
      <c r="W3" s="4" t="s">
        <v>279</v>
      </c>
      <c r="X3" s="4" t="s">
        <v>280</v>
      </c>
      <c r="Y3" s="4" t="s">
        <v>281</v>
      </c>
      <c r="Z3" s="4" t="s">
        <v>282</v>
      </c>
      <c r="AA3" s="4" t="s">
        <v>283</v>
      </c>
      <c r="AB3" s="4" t="s">
        <v>284</v>
      </c>
      <c r="AC3" s="4" t="s">
        <v>285</v>
      </c>
      <c r="AD3" s="4" t="s">
        <v>286</v>
      </c>
      <c r="AE3" s="4" t="s">
        <v>287</v>
      </c>
      <c r="AF3" s="4" t="s">
        <v>288</v>
      </c>
      <c r="AG3" s="4" t="s">
        <v>289</v>
      </c>
      <c r="AH3" s="4" t="s">
        <v>290</v>
      </c>
      <c r="AI3" s="4" t="s">
        <v>291</v>
      </c>
      <c r="AJ3" s="4" t="s">
        <v>292</v>
      </c>
      <c r="AK3" s="4" t="s">
        <v>293</v>
      </c>
      <c r="AL3" s="4" t="s">
        <v>294</v>
      </c>
      <c r="AM3" s="4" t="s">
        <v>295</v>
      </c>
      <c r="AN3" s="4" t="s">
        <v>296</v>
      </c>
      <c r="AO3" s="4" t="s">
        <v>297</v>
      </c>
      <c r="AP3" s="4" t="s">
        <v>298</v>
      </c>
      <c r="AQ3" s="4" t="s">
        <v>299</v>
      </c>
      <c r="AR3" s="4" t="s">
        <v>300</v>
      </c>
    </row>
    <row r="4" spans="1:44" x14ac:dyDescent="0.3">
      <c r="A4" s="2" t="s">
        <v>382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</row>
    <row r="5" spans="1:44" x14ac:dyDescent="0.3">
      <c r="A5" s="5" t="s">
        <v>383</v>
      </c>
      <c r="C5" s="11">
        <f>'Kết quả KD'!C13</f>
        <v>-3196.6903994196673</v>
      </c>
      <c r="D5" s="11">
        <f>'Kết quả KD'!D13</f>
        <v>-1911.3613766976052</v>
      </c>
      <c r="E5" s="11">
        <f>'Kết quả KD'!E13</f>
        <v>-1885.7051479252632</v>
      </c>
      <c r="F5" s="11">
        <f>'Kết quả KD'!F13</f>
        <v>-1858.4998652390332</v>
      </c>
      <c r="G5" s="11">
        <f>'Kết quả KD'!G13</f>
        <v>-1829.6844752522218</v>
      </c>
      <c r="H5" s="11">
        <f>'Kết quả KD'!H13</f>
        <v>-1802.2204078269592</v>
      </c>
      <c r="I5" s="11">
        <f>'Kết quả KD'!I13</f>
        <v>-2614.4402839287782</v>
      </c>
      <c r="J5" s="11">
        <f>'Kết quả KD'!J13</f>
        <v>-2104.081456709177</v>
      </c>
      <c r="K5" s="11">
        <f>'Kết quả KD'!K13</f>
        <v>-2067.034771124183</v>
      </c>
      <c r="L5" s="11">
        <f>'Kết quả KD'!L13</f>
        <v>-2028.056682120899</v>
      </c>
      <c r="M5" s="11">
        <f>'Kết quả KD'!M13</f>
        <v>-1990.2349077071526</v>
      </c>
      <c r="N5" s="11">
        <f>'Kết quả KD'!N13</f>
        <v>-1947.2914771898465</v>
      </c>
      <c r="O5" s="11">
        <f>'Kết quả KD'!O13</f>
        <v>-1902.3307946361949</v>
      </c>
      <c r="P5" s="11">
        <f>'Kết quả KD'!P13</f>
        <v>-1855.3426978222396</v>
      </c>
      <c r="Q5" s="11">
        <f>'Kết quả KD'!Q13</f>
        <v>-1809.4524899178384</v>
      </c>
      <c r="R5" s="11">
        <f>'Kết quả KD'!R13</f>
        <v>-1758.4239184281523</v>
      </c>
      <c r="S5" s="11">
        <f>'Kết quả KD'!S13</f>
        <v>1044.0953773661925</v>
      </c>
      <c r="T5" s="11">
        <f>'Kết quả KD'!T13</f>
        <v>1093.3456648214992</v>
      </c>
      <c r="U5" s="11">
        <f>'Kết quả KD'!U13</f>
        <v>373.68655583228866</v>
      </c>
      <c r="V5" s="11">
        <f>'Kết quả KD'!V13</f>
        <v>934.79610977858977</v>
      </c>
      <c r="W5" s="11">
        <f>'Kết quả KD'!W13</f>
        <v>990.63713979958629</v>
      </c>
      <c r="X5" s="11">
        <f>'Kết quả KD'!X13</f>
        <v>1045.1116193541725</v>
      </c>
      <c r="Y5" s="11">
        <f>'Kết quả KD'!Y13</f>
        <v>1103.8890406212206</v>
      </c>
      <c r="Z5" s="11">
        <f>'Kết quả KD'!Z13</f>
        <v>1163.9642259936602</v>
      </c>
      <c r="AA5" s="11">
        <f>'Kết quả KD'!AA13</f>
        <v>1222.3192878649083</v>
      </c>
      <c r="AB5" s="11">
        <f>'Kết quả KD'!AB13</f>
        <v>1284.585837793737</v>
      </c>
      <c r="AC5" s="11">
        <f>'Kết quả KD'!AC13</f>
        <v>1344.8364383223961</v>
      </c>
      <c r="AD5" s="11">
        <f>'Kết quả KD'!AD13</f>
        <v>1408.6827825970208</v>
      </c>
      <c r="AE5" s="11">
        <f>'Kết quả KD'!AE13</f>
        <v>1473.0675788762805</v>
      </c>
      <c r="AF5" s="11">
        <f>'Kết quả KD'!AF13</f>
        <v>1534.9276094312233</v>
      </c>
      <c r="AG5" s="11">
        <f>'Kết quả KD'!AG13</f>
        <v>2953.5597168279432</v>
      </c>
      <c r="AH5" s="11">
        <f>'Kết quả KD'!AH13</f>
        <v>4222.9495606415076</v>
      </c>
      <c r="AI5" s="11">
        <f>'Kết quả KD'!AI13</f>
        <v>4778.1103272646014</v>
      </c>
      <c r="AJ5" s="11">
        <f>'Kết quả KD'!AJ13</f>
        <v>5302.9153036149219</v>
      </c>
      <c r="AK5" s="11">
        <f>'Kết quả KD'!AK13</f>
        <v>3248.3844279516634</v>
      </c>
      <c r="AL5" s="11">
        <f>'Kết quả KD'!AL13</f>
        <v>4585.9530673056597</v>
      </c>
      <c r="AM5" s="11">
        <f>'Kết quả KD'!AM13</f>
        <v>4992.7178546888335</v>
      </c>
      <c r="AN5" s="11">
        <f>'Kết quả KD'!AN13</f>
        <v>5345.8873130738939</v>
      </c>
      <c r="AO5" s="11">
        <f>'Kết quả KD'!AO13</f>
        <v>3791.290669060164</v>
      </c>
      <c r="AP5" s="11">
        <f>'Kết quả KD'!AP13</f>
        <v>4696.1412574699734</v>
      </c>
      <c r="AQ5" s="11">
        <f>'Kết quả KD'!AQ13</f>
        <v>4922.5625576297844</v>
      </c>
      <c r="AR5" s="11">
        <f>'Kết quả KD'!AR13</f>
        <v>5099.9425287286667</v>
      </c>
    </row>
    <row r="6" spans="1:44" x14ac:dyDescent="0.3">
      <c r="A6" s="5" t="s">
        <v>384</v>
      </c>
      <c r="C6" s="11">
        <f>-'Kết quả KD'!C10</f>
        <v>88</v>
      </c>
      <c r="D6" s="11">
        <f>-'Kết quả KD'!D10</f>
        <v>88</v>
      </c>
      <c r="E6" s="11">
        <f>-'Kết quả KD'!E10</f>
        <v>88</v>
      </c>
      <c r="F6" s="11">
        <f>-'Kết quả KD'!F10</f>
        <v>88</v>
      </c>
      <c r="G6" s="11">
        <f>-'Kết quả KD'!G10</f>
        <v>88</v>
      </c>
      <c r="H6" s="11">
        <f>-'Kết quả KD'!H10</f>
        <v>88</v>
      </c>
      <c r="I6" s="11">
        <f>-'Kết quả KD'!I10</f>
        <v>88</v>
      </c>
      <c r="J6" s="11">
        <f>-'Kết quả KD'!J10</f>
        <v>88</v>
      </c>
      <c r="K6" s="11">
        <f>-'Kết quả KD'!K10</f>
        <v>88</v>
      </c>
      <c r="L6" s="11">
        <f>-'Kết quả KD'!L10</f>
        <v>88</v>
      </c>
      <c r="M6" s="11">
        <f>-'Kết quả KD'!M10</f>
        <v>88</v>
      </c>
      <c r="N6" s="11">
        <f>-'Kết quả KD'!N10</f>
        <v>88</v>
      </c>
      <c r="O6" s="11">
        <f>-'Kết quả KD'!O10</f>
        <v>88</v>
      </c>
      <c r="P6" s="11">
        <f>-'Kết quả KD'!P10</f>
        <v>88</v>
      </c>
      <c r="Q6" s="11">
        <f>-'Kết quả KD'!Q10</f>
        <v>88</v>
      </c>
      <c r="R6" s="11">
        <f>-'Kết quả KD'!R10</f>
        <v>88</v>
      </c>
      <c r="S6" s="11">
        <f>-'Kết quả KD'!S10</f>
        <v>88</v>
      </c>
      <c r="T6" s="11">
        <f>-'Kết quả KD'!T10</f>
        <v>88</v>
      </c>
      <c r="U6" s="11">
        <f>-'Kết quả KD'!U10</f>
        <v>88</v>
      </c>
      <c r="V6" s="11">
        <f>-'Kết quả KD'!V10</f>
        <v>88</v>
      </c>
      <c r="W6" s="11">
        <f>-'Kết quả KD'!W10</f>
        <v>88</v>
      </c>
      <c r="X6" s="11">
        <f>-'Kết quả KD'!X10</f>
        <v>88</v>
      </c>
      <c r="Y6" s="11">
        <f>-'Kết quả KD'!Y10</f>
        <v>88</v>
      </c>
      <c r="Z6" s="11">
        <f>-'Kết quả KD'!Z10</f>
        <v>88</v>
      </c>
      <c r="AA6" s="11">
        <f>-'Kết quả KD'!AA10</f>
        <v>88</v>
      </c>
      <c r="AB6" s="11">
        <f>-'Kết quả KD'!AB10</f>
        <v>88</v>
      </c>
      <c r="AC6" s="11">
        <f>-'Kết quả KD'!AC10</f>
        <v>88</v>
      </c>
      <c r="AD6" s="11">
        <f>-'Kết quả KD'!AD10</f>
        <v>88</v>
      </c>
      <c r="AE6" s="11">
        <f>-'Kết quả KD'!AE10</f>
        <v>88</v>
      </c>
      <c r="AF6" s="11">
        <f>-'Kết quả KD'!AF10</f>
        <v>88</v>
      </c>
      <c r="AG6" s="11">
        <f>-'Kết quả KD'!AG10</f>
        <v>264</v>
      </c>
      <c r="AH6" s="11">
        <f>-'Kết quả KD'!AH10</f>
        <v>264</v>
      </c>
      <c r="AI6" s="11">
        <f>-'Kết quả KD'!AI10</f>
        <v>264</v>
      </c>
      <c r="AJ6" s="11">
        <f>-'Kết quả KD'!AJ10</f>
        <v>264</v>
      </c>
      <c r="AK6" s="11">
        <f>-'Kết quả KD'!AK10</f>
        <v>264</v>
      </c>
      <c r="AL6" s="11">
        <f>-'Kết quả KD'!AL10</f>
        <v>264</v>
      </c>
      <c r="AM6" s="11">
        <f>-'Kết quả KD'!AM10</f>
        <v>264</v>
      </c>
      <c r="AN6" s="11">
        <f>-'Kết quả KD'!AN10</f>
        <v>264</v>
      </c>
      <c r="AO6" s="11">
        <f>-'Kết quả KD'!AO10</f>
        <v>0</v>
      </c>
      <c r="AP6" s="11">
        <f>-'Kết quả KD'!AP10</f>
        <v>0</v>
      </c>
      <c r="AQ6" s="11">
        <f>-'Kết quả KD'!AQ10</f>
        <v>0</v>
      </c>
      <c r="AR6" s="11">
        <f>-'Kết quả KD'!AR10</f>
        <v>0</v>
      </c>
    </row>
    <row r="7" spans="1:44" x14ac:dyDescent="0.3">
      <c r="A7" s="5" t="s">
        <v>385</v>
      </c>
      <c r="C7" s="11">
        <f>-'Kết quả KD'!C4*ar_days/365</f>
        <v>-46.433883248812904</v>
      </c>
      <c r="D7" s="11">
        <f>-('Kết quả KD'!D4-'Kết quả KD'!C4)*ar_days/365</f>
        <v>-2.4358751028770058</v>
      </c>
      <c r="E7" s="11">
        <f>-('Kết quả KD'!E4-'Kết quả KD'!D4)*ar_days/365</f>
        <v>-3.4472552579577052</v>
      </c>
      <c r="F7" s="11">
        <f>-('Kết quả KD'!F4-'Kết quả KD'!E4)*ar_days/365</f>
        <v>-3.6553912352634099</v>
      </c>
      <c r="G7" s="11">
        <f>-('Kết quả KD'!G4-'Kết quả KD'!F4)*ar_days/365</f>
        <v>-3.8717305463545664</v>
      </c>
      <c r="H7" s="11">
        <f>-('Kết quả KD'!H4-'Kết quả KD'!G4)*ar_days/365</f>
        <v>-3.6901624037084968</v>
      </c>
      <c r="I7" s="11">
        <f>-('Kết quả KD'!I4-'Kết quả KD'!H4)*ar_days/365</f>
        <v>-6.4752954272915257</v>
      </c>
      <c r="J7" s="11">
        <f>-('Kết quả KD'!J4-'Kết quả KD'!I4)*ar_days/365</f>
        <v>-4.7110733636244468</v>
      </c>
      <c r="K7" s="11">
        <f>-('Kết quả KD'!K4-'Kết quả KD'!J4)*ar_days/365</f>
        <v>-4.9640351363236768</v>
      </c>
      <c r="L7" s="11">
        <f>-('Kết quả KD'!L4-'Kết quả KD'!K4)*ar_days/365</f>
        <v>-5.222831686660621</v>
      </c>
      <c r="M7" s="11">
        <f>-('Kết quả KD'!M4-'Kết quả KD'!L4)*ar_days/365</f>
        <v>-5.0678924212317451</v>
      </c>
      <c r="N7" s="11">
        <f>-('Kết quả KD'!N4-'Kết quả KD'!M4)*ar_days/365</f>
        <v>-5.7541638231877572</v>
      </c>
      <c r="O7" s="11">
        <f>-('Kết quả KD'!O4-'Kết quả KD'!N4)*ar_days/365</f>
        <v>-6.0244635768396231</v>
      </c>
      <c r="P7" s="11">
        <f>-('Kết quả KD'!P4-'Kết quả KD'!O4)*ar_days/365</f>
        <v>-6.2961250079530435</v>
      </c>
      <c r="Q7" s="11">
        <f>-('Kết quả KD'!Q4-'Kết quả KD'!P4)*ar_days/365</f>
        <v>-6.1490144355295131</v>
      </c>
      <c r="R7" s="11">
        <f>-('Kết quả KD'!R4-'Kết quả KD'!Q4)*ar_days/365</f>
        <v>-6.8375245404898859</v>
      </c>
      <c r="S7" s="11">
        <f>-('Kết quả KD'!S4-'Kết quả KD'!R4)*ar_days/365</f>
        <v>-387.41882704351389</v>
      </c>
      <c r="T7" s="11">
        <f>-('Kết quả KD'!T4-'Kết quả KD'!S4)*ar_days/365</f>
        <v>-8.1784268130010656</v>
      </c>
      <c r="U7" s="11">
        <f>-('Kết quả KD'!U4-'Kết quả KD'!T4)*ar_days/365</f>
        <v>-41.885085855693355</v>
      </c>
      <c r="V7" s="11">
        <f>-('Kết quả KD'!V4-'Kết quả KD'!U4)*ar_days/365</f>
        <v>-8.9856375963294806</v>
      </c>
      <c r="W7" s="11">
        <f>-('Kết quả KD'!W4-'Kết quả KD'!V4)*ar_days/365</f>
        <v>-9.2526532538194797</v>
      </c>
      <c r="X7" s="11">
        <f>-('Kết quả KD'!X4-'Kết quả KD'!W4)*ar_days/365</f>
        <v>-9.0262208686221594</v>
      </c>
      <c r="Y7" s="11">
        <f>-('Kết quả KD'!Y4-'Kết quả KD'!X4)*ar_days/365</f>
        <v>-9.739202481279241</v>
      </c>
      <c r="Z7" s="11">
        <f>-('Kết quả KD'!Z4-'Kết quả KD'!Y4)*ar_days/365</f>
        <v>-9.9542372194981574</v>
      </c>
      <c r="AA7" s="11">
        <f>-('Kết quả KD'!AA4-'Kết quả KD'!Z4)*ar_days/365</f>
        <v>-9.6692190831156086</v>
      </c>
      <c r="AB7" s="11">
        <f>-('Kết quả KD'!AB4-'Kết quả KD'!AA4)*ar_days/365</f>
        <v>-10.317338265187162</v>
      </c>
      <c r="AC7" s="11">
        <f>-('Kết quả KD'!AC4-'Kết quả KD'!AB4)*ar_days/365</f>
        <v>-9.9833028655895433</v>
      </c>
      <c r="AD7" s="11">
        <f>-('Kết quả KD'!AD4-'Kết quả KD'!AC4)*ar_days/365</f>
        <v>-10.579104376745331</v>
      </c>
      <c r="AE7" s="11">
        <f>-('Kết quả KD'!AE4-'Kết quả KD'!AD4)*ar_days/365</f>
        <v>-10.668323893126784</v>
      </c>
      <c r="AF7" s="11">
        <f>-('Kết quả KD'!AF4-'Kết quả KD'!AE4)*ar_days/365</f>
        <v>-10.249979500384478</v>
      </c>
      <c r="AG7" s="11">
        <f>-('Kết quả KD'!AG4-'Kết quả KD'!AF4)*ar_days/365</f>
        <v>-1471.7263543531631</v>
      </c>
      <c r="AH7" s="11">
        <f>-('Kết quả KD'!AH4-'Kết quả KD'!AG4)*ar_days/365</f>
        <v>-94.644962628181446</v>
      </c>
      <c r="AI7" s="11">
        <f>-('Kết quả KD'!AI4-'Kết quả KD'!AH4)*ar_days/365</f>
        <v>-91.789711136703602</v>
      </c>
      <c r="AJ7" s="11">
        <f>-('Kết quả KD'!AJ4-'Kết quả KD'!AI4)*ar_days/365</f>
        <v>-86.770715941108534</v>
      </c>
      <c r="AK7" s="11">
        <f>-('Kết quả KD'!AK4-'Kết quả KD'!AJ4)*ar_days/365</f>
        <v>-219.08590036665711</v>
      </c>
      <c r="AL7" s="11">
        <f>-('Kết quả KD'!AL4-'Kết quả KD'!AK4)*ar_days/365</f>
        <v>-74.331249851750684</v>
      </c>
      <c r="AM7" s="11">
        <f>-('Kết quả KD'!AM4-'Kết quả KD'!AL4)*ar_days/365</f>
        <v>-67.110794743762554</v>
      </c>
      <c r="AN7" s="11">
        <f>-('Kết quả KD'!AN4-'Kết quả KD'!AM4)*ar_days/365</f>
        <v>-58.268276327269454</v>
      </c>
      <c r="AO7" s="11">
        <f>-('Kết quả KD'!AO4-'Kết quả KD'!AN4)*ar_days/365</f>
        <v>-206.48188465197487</v>
      </c>
      <c r="AP7" s="11">
        <f>-('Kết quả KD'!AP4-'Kết quả KD'!AO4)*ar_days/365</f>
        <v>-44.658672956000224</v>
      </c>
      <c r="AQ7" s="11">
        <f>-('Kết quả KD'!AQ4-'Kết quả KD'!AP4)*ar_days/365</f>
        <v>-37.277982891719098</v>
      </c>
      <c r="AR7" s="11">
        <f>-('Kết quả KD'!AR4-'Kết quả KD'!AQ4)*ar_days/365</f>
        <v>-29.203822799756555</v>
      </c>
    </row>
    <row r="8" spans="1:44" x14ac:dyDescent="0.3">
      <c r="A8" s="5" t="s">
        <v>386</v>
      </c>
      <c r="C8" s="10">
        <f t="shared" ref="C8:AR8" si="0">C5+C6+C7</f>
        <v>-3155.1242826684802</v>
      </c>
      <c r="D8" s="10">
        <f t="shared" si="0"/>
        <v>-1825.7972518004822</v>
      </c>
      <c r="E8" s="10">
        <f t="shared" si="0"/>
        <v>-1801.1524031832209</v>
      </c>
      <c r="F8" s="10">
        <f t="shared" si="0"/>
        <v>-1774.1552564742965</v>
      </c>
      <c r="G8" s="10">
        <f t="shared" si="0"/>
        <v>-1745.5562057985762</v>
      </c>
      <c r="H8" s="10">
        <f t="shared" si="0"/>
        <v>-1717.9105702306676</v>
      </c>
      <c r="I8" s="10">
        <f t="shared" si="0"/>
        <v>-2532.9155793560699</v>
      </c>
      <c r="J8" s="10">
        <f t="shared" si="0"/>
        <v>-2020.7925300728014</v>
      </c>
      <c r="K8" s="10">
        <f t="shared" si="0"/>
        <v>-1983.9988062605066</v>
      </c>
      <c r="L8" s="10">
        <f t="shared" si="0"/>
        <v>-1945.2795138075596</v>
      </c>
      <c r="M8" s="10">
        <f t="shared" si="0"/>
        <v>-1907.3028001283844</v>
      </c>
      <c r="N8" s="10">
        <f t="shared" si="0"/>
        <v>-1865.0456410130344</v>
      </c>
      <c r="O8" s="10">
        <f t="shared" si="0"/>
        <v>-1820.3552582130346</v>
      </c>
      <c r="P8" s="10">
        <f t="shared" si="0"/>
        <v>-1773.6388228301928</v>
      </c>
      <c r="Q8" s="10">
        <f t="shared" si="0"/>
        <v>-1727.601504353368</v>
      </c>
      <c r="R8" s="10">
        <f t="shared" si="0"/>
        <v>-1677.2614429686423</v>
      </c>
      <c r="S8" s="10">
        <f t="shared" si="0"/>
        <v>744.67655032267862</v>
      </c>
      <c r="T8" s="10">
        <f t="shared" si="0"/>
        <v>1173.1672380084981</v>
      </c>
      <c r="U8" s="10">
        <f t="shared" si="0"/>
        <v>419.80146997659529</v>
      </c>
      <c r="V8" s="10">
        <f t="shared" si="0"/>
        <v>1013.8104721822602</v>
      </c>
      <c r="W8" s="10">
        <f t="shared" si="0"/>
        <v>1069.3844865457668</v>
      </c>
      <c r="X8" s="10">
        <f t="shared" si="0"/>
        <v>1124.0853984855503</v>
      </c>
      <c r="Y8" s="10">
        <f t="shared" si="0"/>
        <v>1182.1498381399413</v>
      </c>
      <c r="Z8" s="10">
        <f t="shared" si="0"/>
        <v>1242.0099887741621</v>
      </c>
      <c r="AA8" s="10">
        <f t="shared" si="0"/>
        <v>1300.6500687817927</v>
      </c>
      <c r="AB8" s="10">
        <f t="shared" si="0"/>
        <v>1362.2684995285499</v>
      </c>
      <c r="AC8" s="10">
        <f t="shared" si="0"/>
        <v>1422.8531354568065</v>
      </c>
      <c r="AD8" s="10">
        <f t="shared" si="0"/>
        <v>1486.1036782202755</v>
      </c>
      <c r="AE8" s="10">
        <f t="shared" si="0"/>
        <v>1550.3992549831537</v>
      </c>
      <c r="AF8" s="10">
        <f t="shared" si="0"/>
        <v>1612.677629930839</v>
      </c>
      <c r="AG8" s="10">
        <f t="shared" si="0"/>
        <v>1745.8333624747802</v>
      </c>
      <c r="AH8" s="10">
        <f t="shared" si="0"/>
        <v>4392.3045980133265</v>
      </c>
      <c r="AI8" s="10">
        <f t="shared" si="0"/>
        <v>4950.3206161278977</v>
      </c>
      <c r="AJ8" s="10">
        <f t="shared" si="0"/>
        <v>5480.1445876738135</v>
      </c>
      <c r="AK8" s="10">
        <f t="shared" si="0"/>
        <v>3293.2985275850065</v>
      </c>
      <c r="AL8" s="10">
        <f t="shared" si="0"/>
        <v>4775.621817453909</v>
      </c>
      <c r="AM8" s="10">
        <f t="shared" si="0"/>
        <v>5189.6070599450713</v>
      </c>
      <c r="AN8" s="10">
        <f t="shared" si="0"/>
        <v>5551.6190367466243</v>
      </c>
      <c r="AO8" s="10">
        <f t="shared" si="0"/>
        <v>3584.8087844081892</v>
      </c>
      <c r="AP8" s="10">
        <f t="shared" si="0"/>
        <v>4651.4825845139731</v>
      </c>
      <c r="AQ8" s="10">
        <f t="shared" si="0"/>
        <v>4885.2845747380652</v>
      </c>
      <c r="AR8" s="10">
        <f t="shared" si="0"/>
        <v>5070.7387059289103</v>
      </c>
    </row>
    <row r="10" spans="1:44" x14ac:dyDescent="0.3">
      <c r="A10" s="2" t="s">
        <v>387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</row>
    <row r="11" spans="1:44" x14ac:dyDescent="0.3">
      <c r="A11" s="5" t="s">
        <v>388</v>
      </c>
      <c r="C11" s="11">
        <f>-'Chi phí'!C7</f>
        <v>-880</v>
      </c>
      <c r="D11" s="11">
        <f>-'Chi phí'!D7</f>
        <v>-880</v>
      </c>
      <c r="E11" s="11">
        <f>-'Chi phí'!E7</f>
        <v>-880</v>
      </c>
      <c r="F11" s="11">
        <f>-'Chi phí'!F7</f>
        <v>-880</v>
      </c>
      <c r="G11" s="11">
        <f>-'Chi phí'!G7</f>
        <v>-880</v>
      </c>
      <c r="H11" s="11">
        <f>-'Chi phí'!H7</f>
        <v>-880</v>
      </c>
      <c r="I11" s="11">
        <f>-'Chi phí'!I7</f>
        <v>-79.2</v>
      </c>
      <c r="J11" s="11">
        <f>-'Chi phí'!J7</f>
        <v>-79.2</v>
      </c>
      <c r="K11" s="11">
        <f>-'Chi phí'!K7</f>
        <v>-79.2</v>
      </c>
      <c r="L11" s="11">
        <f>-'Chi phí'!L7</f>
        <v>-79.2</v>
      </c>
      <c r="M11" s="11">
        <f>-'Chi phí'!M7</f>
        <v>-79.2</v>
      </c>
      <c r="N11" s="11">
        <f>-'Chi phí'!N7</f>
        <v>-79.2</v>
      </c>
      <c r="O11" s="11">
        <f>-'Chi phí'!O7</f>
        <v>-79.2</v>
      </c>
      <c r="P11" s="11">
        <f>-'Chi phí'!P7</f>
        <v>-79.2</v>
      </c>
      <c r="Q11" s="11">
        <f>-'Chi phí'!Q7</f>
        <v>-79.2</v>
      </c>
      <c r="R11" s="11">
        <f>-'Chi phí'!R7</f>
        <v>-79.2</v>
      </c>
      <c r="S11" s="11">
        <f>-'Chi phí'!S7</f>
        <v>-79.2</v>
      </c>
      <c r="T11" s="11">
        <f>-'Chi phí'!T7</f>
        <v>-79.2</v>
      </c>
      <c r="U11" s="11">
        <f>-'Chi phí'!U7</f>
        <v>-79.2</v>
      </c>
      <c r="V11" s="11">
        <f>-'Chi phí'!V7</f>
        <v>-79.2</v>
      </c>
      <c r="W11" s="11">
        <f>-'Chi phí'!W7</f>
        <v>-79.2</v>
      </c>
      <c r="X11" s="11">
        <f>-'Chi phí'!X7</f>
        <v>-79.2</v>
      </c>
      <c r="Y11" s="11">
        <f>-'Chi phí'!Y7</f>
        <v>-79.2</v>
      </c>
      <c r="Z11" s="11">
        <f>-'Chi phí'!Z7</f>
        <v>-79.2</v>
      </c>
      <c r="AA11" s="11">
        <f>-'Chi phí'!AA7</f>
        <v>-79.2</v>
      </c>
      <c r="AB11" s="11">
        <f>-'Chi phí'!AB7</f>
        <v>-79.2</v>
      </c>
      <c r="AC11" s="11">
        <f>-'Chi phí'!AC7</f>
        <v>-79.2</v>
      </c>
      <c r="AD11" s="11">
        <f>-'Chi phí'!AD7</f>
        <v>-79.2</v>
      </c>
      <c r="AE11" s="11">
        <f>-'Chi phí'!AE7</f>
        <v>-79.2</v>
      </c>
      <c r="AF11" s="11">
        <f>-'Chi phí'!AF7</f>
        <v>-79.2</v>
      </c>
      <c r="AG11" s="11">
        <f>-'Chi phí'!AG7</f>
        <v>-237.6</v>
      </c>
      <c r="AH11" s="11">
        <f>-'Chi phí'!AH7</f>
        <v>-237.6</v>
      </c>
      <c r="AI11" s="11">
        <f>-'Chi phí'!AI7</f>
        <v>-237.6</v>
      </c>
      <c r="AJ11" s="11">
        <f>-'Chi phí'!AJ7</f>
        <v>-237.6</v>
      </c>
      <c r="AK11" s="11">
        <f>-'Chi phí'!AK7</f>
        <v>-237.6</v>
      </c>
      <c r="AL11" s="11">
        <f>-'Chi phí'!AL7</f>
        <v>-237.6</v>
      </c>
      <c r="AM11" s="11">
        <f>-'Chi phí'!AM7</f>
        <v>-237.6</v>
      </c>
      <c r="AN11" s="11">
        <f>-'Chi phí'!AN7</f>
        <v>-237.6</v>
      </c>
      <c r="AO11" s="11">
        <f>-'Chi phí'!AO7</f>
        <v>-237.6</v>
      </c>
      <c r="AP11" s="11">
        <f>-'Chi phí'!AP7</f>
        <v>-237.6</v>
      </c>
      <c r="AQ11" s="11">
        <f>-'Chi phí'!AQ7</f>
        <v>-237.6</v>
      </c>
      <c r="AR11" s="11">
        <f>-'Chi phí'!AR7</f>
        <v>-237.6</v>
      </c>
    </row>
    <row r="12" spans="1:44" x14ac:dyDescent="0.3">
      <c r="A12" s="5" t="s">
        <v>389</v>
      </c>
      <c r="C12" s="10">
        <f t="shared" ref="C12:AR12" si="1">C11</f>
        <v>-880</v>
      </c>
      <c r="D12" s="10">
        <f t="shared" si="1"/>
        <v>-880</v>
      </c>
      <c r="E12" s="10">
        <f t="shared" si="1"/>
        <v>-880</v>
      </c>
      <c r="F12" s="10">
        <f t="shared" si="1"/>
        <v>-880</v>
      </c>
      <c r="G12" s="10">
        <f t="shared" si="1"/>
        <v>-880</v>
      </c>
      <c r="H12" s="10">
        <f t="shared" si="1"/>
        <v>-880</v>
      </c>
      <c r="I12" s="10">
        <f t="shared" si="1"/>
        <v>-79.2</v>
      </c>
      <c r="J12" s="10">
        <f t="shared" si="1"/>
        <v>-79.2</v>
      </c>
      <c r="K12" s="10">
        <f t="shared" si="1"/>
        <v>-79.2</v>
      </c>
      <c r="L12" s="10">
        <f t="shared" si="1"/>
        <v>-79.2</v>
      </c>
      <c r="M12" s="10">
        <f t="shared" si="1"/>
        <v>-79.2</v>
      </c>
      <c r="N12" s="10">
        <f t="shared" si="1"/>
        <v>-79.2</v>
      </c>
      <c r="O12" s="10">
        <f t="shared" si="1"/>
        <v>-79.2</v>
      </c>
      <c r="P12" s="10">
        <f t="shared" si="1"/>
        <v>-79.2</v>
      </c>
      <c r="Q12" s="10">
        <f t="shared" si="1"/>
        <v>-79.2</v>
      </c>
      <c r="R12" s="10">
        <f t="shared" si="1"/>
        <v>-79.2</v>
      </c>
      <c r="S12" s="10">
        <f t="shared" si="1"/>
        <v>-79.2</v>
      </c>
      <c r="T12" s="10">
        <f t="shared" si="1"/>
        <v>-79.2</v>
      </c>
      <c r="U12" s="10">
        <f t="shared" si="1"/>
        <v>-79.2</v>
      </c>
      <c r="V12" s="10">
        <f t="shared" si="1"/>
        <v>-79.2</v>
      </c>
      <c r="W12" s="10">
        <f t="shared" si="1"/>
        <v>-79.2</v>
      </c>
      <c r="X12" s="10">
        <f t="shared" si="1"/>
        <v>-79.2</v>
      </c>
      <c r="Y12" s="10">
        <f t="shared" si="1"/>
        <v>-79.2</v>
      </c>
      <c r="Z12" s="10">
        <f t="shared" si="1"/>
        <v>-79.2</v>
      </c>
      <c r="AA12" s="10">
        <f t="shared" si="1"/>
        <v>-79.2</v>
      </c>
      <c r="AB12" s="10">
        <f t="shared" si="1"/>
        <v>-79.2</v>
      </c>
      <c r="AC12" s="10">
        <f t="shared" si="1"/>
        <v>-79.2</v>
      </c>
      <c r="AD12" s="10">
        <f t="shared" si="1"/>
        <v>-79.2</v>
      </c>
      <c r="AE12" s="10">
        <f t="shared" si="1"/>
        <v>-79.2</v>
      </c>
      <c r="AF12" s="10">
        <f t="shared" si="1"/>
        <v>-79.2</v>
      </c>
      <c r="AG12" s="10">
        <f t="shared" si="1"/>
        <v>-237.6</v>
      </c>
      <c r="AH12" s="10">
        <f t="shared" si="1"/>
        <v>-237.6</v>
      </c>
      <c r="AI12" s="10">
        <f t="shared" si="1"/>
        <v>-237.6</v>
      </c>
      <c r="AJ12" s="10">
        <f t="shared" si="1"/>
        <v>-237.6</v>
      </c>
      <c r="AK12" s="10">
        <f t="shared" si="1"/>
        <v>-237.6</v>
      </c>
      <c r="AL12" s="10">
        <f t="shared" si="1"/>
        <v>-237.6</v>
      </c>
      <c r="AM12" s="10">
        <f t="shared" si="1"/>
        <v>-237.6</v>
      </c>
      <c r="AN12" s="10">
        <f t="shared" si="1"/>
        <v>-237.6</v>
      </c>
      <c r="AO12" s="10">
        <f t="shared" si="1"/>
        <v>-237.6</v>
      </c>
      <c r="AP12" s="10">
        <f t="shared" si="1"/>
        <v>-237.6</v>
      </c>
      <c r="AQ12" s="10">
        <f t="shared" si="1"/>
        <v>-237.6</v>
      </c>
      <c r="AR12" s="10">
        <f t="shared" si="1"/>
        <v>-237.6</v>
      </c>
    </row>
    <row r="14" spans="1:44" x14ac:dyDescent="0.3">
      <c r="A14" s="5" t="s">
        <v>390</v>
      </c>
      <c r="C14" s="10">
        <f t="shared" ref="C14:AR14" si="2">C8+C12</f>
        <v>-4035.1242826684802</v>
      </c>
      <c r="D14" s="10">
        <f t="shared" si="2"/>
        <v>-2705.7972518004822</v>
      </c>
      <c r="E14" s="10">
        <f t="shared" si="2"/>
        <v>-2681.1524031832209</v>
      </c>
      <c r="F14" s="10">
        <f t="shared" si="2"/>
        <v>-2654.1552564742965</v>
      </c>
      <c r="G14" s="10">
        <f t="shared" si="2"/>
        <v>-2625.5562057985762</v>
      </c>
      <c r="H14" s="10">
        <f t="shared" si="2"/>
        <v>-2597.9105702306679</v>
      </c>
      <c r="I14" s="10">
        <f t="shared" si="2"/>
        <v>-2612.1155793560697</v>
      </c>
      <c r="J14" s="10">
        <f t="shared" si="2"/>
        <v>-2099.9925300728014</v>
      </c>
      <c r="K14" s="10">
        <f t="shared" si="2"/>
        <v>-2063.1988062605064</v>
      </c>
      <c r="L14" s="10">
        <f t="shared" si="2"/>
        <v>-2024.4795138075597</v>
      </c>
      <c r="M14" s="10">
        <f t="shared" si="2"/>
        <v>-1986.5028001283845</v>
      </c>
      <c r="N14" s="10">
        <f t="shared" si="2"/>
        <v>-1944.2456410130344</v>
      </c>
      <c r="O14" s="10">
        <f t="shared" si="2"/>
        <v>-1899.5552582130347</v>
      </c>
      <c r="P14" s="10">
        <f t="shared" si="2"/>
        <v>-1852.8388228301928</v>
      </c>
      <c r="Q14" s="10">
        <f t="shared" si="2"/>
        <v>-1806.801504353368</v>
      </c>
      <c r="R14" s="10">
        <f t="shared" si="2"/>
        <v>-1756.4614429686424</v>
      </c>
      <c r="S14" s="10">
        <f t="shared" si="2"/>
        <v>665.47655032267858</v>
      </c>
      <c r="T14" s="10">
        <f t="shared" si="2"/>
        <v>1093.967238008498</v>
      </c>
      <c r="U14" s="10">
        <f t="shared" si="2"/>
        <v>340.6014699765953</v>
      </c>
      <c r="V14" s="10">
        <f t="shared" si="2"/>
        <v>934.6104721822602</v>
      </c>
      <c r="W14" s="10">
        <f t="shared" si="2"/>
        <v>990.18448654576673</v>
      </c>
      <c r="X14" s="10">
        <f t="shared" si="2"/>
        <v>1044.8853984855502</v>
      </c>
      <c r="Y14" s="10">
        <f t="shared" si="2"/>
        <v>1102.9498381399412</v>
      </c>
      <c r="Z14" s="10">
        <f t="shared" si="2"/>
        <v>1162.8099887741621</v>
      </c>
      <c r="AA14" s="10">
        <f t="shared" si="2"/>
        <v>1221.4500687817927</v>
      </c>
      <c r="AB14" s="10">
        <f t="shared" si="2"/>
        <v>1283.0684995285499</v>
      </c>
      <c r="AC14" s="10">
        <f t="shared" si="2"/>
        <v>1343.6531354568065</v>
      </c>
      <c r="AD14" s="10">
        <f t="shared" si="2"/>
        <v>1406.9036782202754</v>
      </c>
      <c r="AE14" s="10">
        <f t="shared" si="2"/>
        <v>1471.1992549831537</v>
      </c>
      <c r="AF14" s="10">
        <f t="shared" si="2"/>
        <v>1533.4776299308389</v>
      </c>
      <c r="AG14" s="10">
        <f t="shared" si="2"/>
        <v>1508.2333624747803</v>
      </c>
      <c r="AH14" s="10">
        <f t="shared" si="2"/>
        <v>4154.7045980133262</v>
      </c>
      <c r="AI14" s="10">
        <f t="shared" si="2"/>
        <v>4712.7206161278973</v>
      </c>
      <c r="AJ14" s="10">
        <f t="shared" si="2"/>
        <v>5242.5445876738131</v>
      </c>
      <c r="AK14" s="10">
        <f t="shared" si="2"/>
        <v>3055.6985275850066</v>
      </c>
      <c r="AL14" s="10">
        <f t="shared" si="2"/>
        <v>4538.0218174539086</v>
      </c>
      <c r="AM14" s="10">
        <f t="shared" si="2"/>
        <v>4952.007059945071</v>
      </c>
      <c r="AN14" s="10">
        <f t="shared" si="2"/>
        <v>5314.0190367466239</v>
      </c>
      <c r="AO14" s="10">
        <f t="shared" si="2"/>
        <v>3347.2087844081893</v>
      </c>
      <c r="AP14" s="10">
        <f t="shared" si="2"/>
        <v>4413.8825845139727</v>
      </c>
      <c r="AQ14" s="10">
        <f t="shared" si="2"/>
        <v>4647.6845747380648</v>
      </c>
      <c r="AR14" s="10">
        <f t="shared" si="2"/>
        <v>4833.13870592891</v>
      </c>
    </row>
    <row r="15" spans="1:44" x14ac:dyDescent="0.3">
      <c r="A15" s="5" t="s">
        <v>391</v>
      </c>
      <c r="C15" s="11">
        <f>C14</f>
        <v>-4035.1242826684802</v>
      </c>
      <c r="D15" s="11">
        <f t="shared" ref="D15:AR15" si="3">C15+D14</f>
        <v>-6740.9215344689619</v>
      </c>
      <c r="E15" s="11">
        <f t="shared" si="3"/>
        <v>-9422.0739376521833</v>
      </c>
      <c r="F15" s="11">
        <f t="shared" si="3"/>
        <v>-12076.229194126479</v>
      </c>
      <c r="G15" s="11">
        <f t="shared" si="3"/>
        <v>-14701.785399925055</v>
      </c>
      <c r="H15" s="11">
        <f t="shared" si="3"/>
        <v>-17299.695970155721</v>
      </c>
      <c r="I15" s="11">
        <f t="shared" si="3"/>
        <v>-19911.811549511789</v>
      </c>
      <c r="J15" s="11">
        <f t="shared" si="3"/>
        <v>-22011.804079584592</v>
      </c>
      <c r="K15" s="11">
        <f t="shared" si="3"/>
        <v>-24075.002885845097</v>
      </c>
      <c r="L15" s="11">
        <f t="shared" si="3"/>
        <v>-26099.482399652657</v>
      </c>
      <c r="M15" s="11">
        <f t="shared" si="3"/>
        <v>-28085.98519978104</v>
      </c>
      <c r="N15" s="11">
        <f t="shared" si="3"/>
        <v>-30030.230840794073</v>
      </c>
      <c r="O15" s="11">
        <f t="shared" si="3"/>
        <v>-31929.786099007106</v>
      </c>
      <c r="P15" s="11">
        <f t="shared" si="3"/>
        <v>-33782.624921837298</v>
      </c>
      <c r="Q15" s="11">
        <f t="shared" si="3"/>
        <v>-35589.426426190665</v>
      </c>
      <c r="R15" s="11">
        <f t="shared" si="3"/>
        <v>-37345.887869159305</v>
      </c>
      <c r="S15" s="11">
        <f t="shared" si="3"/>
        <v>-36680.411318836625</v>
      </c>
      <c r="T15" s="11">
        <f t="shared" si="3"/>
        <v>-35586.444080828129</v>
      </c>
      <c r="U15" s="11">
        <f t="shared" si="3"/>
        <v>-35245.842610851534</v>
      </c>
      <c r="V15" s="11">
        <f t="shared" si="3"/>
        <v>-34311.232138669271</v>
      </c>
      <c r="W15" s="11">
        <f t="shared" si="3"/>
        <v>-33321.047652123503</v>
      </c>
      <c r="X15" s="11">
        <f t="shared" si="3"/>
        <v>-32276.162253637955</v>
      </c>
      <c r="Y15" s="11">
        <f t="shared" si="3"/>
        <v>-31173.212415498012</v>
      </c>
      <c r="Z15" s="11">
        <f t="shared" si="3"/>
        <v>-30010.402426723849</v>
      </c>
      <c r="AA15" s="11">
        <f t="shared" si="3"/>
        <v>-28788.952357942057</v>
      </c>
      <c r="AB15" s="11">
        <f t="shared" si="3"/>
        <v>-27505.883858413508</v>
      </c>
      <c r="AC15" s="11">
        <f t="shared" si="3"/>
        <v>-26162.230722956701</v>
      </c>
      <c r="AD15" s="11">
        <f t="shared" si="3"/>
        <v>-24755.327044736427</v>
      </c>
      <c r="AE15" s="11">
        <f t="shared" si="3"/>
        <v>-23284.127789753275</v>
      </c>
      <c r="AF15" s="11">
        <f t="shared" si="3"/>
        <v>-21750.650159822435</v>
      </c>
      <c r="AG15" s="11">
        <f t="shared" si="3"/>
        <v>-20242.416797347654</v>
      </c>
      <c r="AH15" s="11">
        <f t="shared" si="3"/>
        <v>-16087.712199334328</v>
      </c>
      <c r="AI15" s="11">
        <f t="shared" si="3"/>
        <v>-11374.991583206431</v>
      </c>
      <c r="AJ15" s="11">
        <f t="shared" si="3"/>
        <v>-6132.4469955326176</v>
      </c>
      <c r="AK15" s="11">
        <f t="shared" si="3"/>
        <v>-3076.7484679476111</v>
      </c>
      <c r="AL15" s="11">
        <f t="shared" si="3"/>
        <v>1461.2733495062976</v>
      </c>
      <c r="AM15" s="11">
        <f t="shared" si="3"/>
        <v>6413.2804094513685</v>
      </c>
      <c r="AN15" s="11">
        <f t="shared" si="3"/>
        <v>11727.299446197992</v>
      </c>
      <c r="AO15" s="11">
        <f t="shared" si="3"/>
        <v>15074.508230606181</v>
      </c>
      <c r="AP15" s="11">
        <f t="shared" si="3"/>
        <v>19488.390815120154</v>
      </c>
      <c r="AQ15" s="11">
        <f t="shared" si="3"/>
        <v>24136.075389858219</v>
      </c>
      <c r="AR15" s="11">
        <f t="shared" si="3"/>
        <v>28969.214095787131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B18"/>
  <sheetViews>
    <sheetView workbookViewId="0"/>
  </sheetViews>
  <sheetFormatPr defaultRowHeight="14.4" x14ac:dyDescent="0.3"/>
  <cols>
    <col min="1" max="1" width="38" customWidth="1"/>
    <col min="2" max="2" width="18" customWidth="1"/>
  </cols>
  <sheetData>
    <row r="1" spans="1:2" x14ac:dyDescent="0.3">
      <c r="A1" s="2" t="s">
        <v>392</v>
      </c>
    </row>
    <row r="3" spans="1:2" x14ac:dyDescent="0.3">
      <c r="A3" s="2" t="s">
        <v>393</v>
      </c>
    </row>
    <row r="4" spans="1:2" x14ac:dyDescent="0.3">
      <c r="A4" s="4" t="s">
        <v>115</v>
      </c>
      <c r="B4" s="4" t="s">
        <v>394</v>
      </c>
    </row>
    <row r="5" spans="1:2" x14ac:dyDescent="0.3">
      <c r="A5" s="5" t="s">
        <v>395</v>
      </c>
      <c r="B5" s="11">
        <f>SUM('Dòng tiền'!C14:H14)</f>
        <v>-17299.695970155721</v>
      </c>
    </row>
    <row r="6" spans="1:2" x14ac:dyDescent="0.3">
      <c r="A6" s="5" t="s">
        <v>251</v>
      </c>
      <c r="B6" s="11">
        <f>SUM('Dòng tiền'!I14:T14)</f>
        <v>-18286.748110672415</v>
      </c>
    </row>
    <row r="7" spans="1:2" x14ac:dyDescent="0.3">
      <c r="A7" s="5" t="s">
        <v>252</v>
      </c>
      <c r="B7" s="11">
        <f>SUM('Dòng tiền'!U14:AF14)</f>
        <v>13835.793921005692</v>
      </c>
    </row>
    <row r="8" spans="1:2" x14ac:dyDescent="0.3">
      <c r="A8" s="5" t="s">
        <v>253</v>
      </c>
      <c r="B8" s="11">
        <f>SUM('Dòng tiền'!AG14:AJ14)</f>
        <v>15618.203164289818</v>
      </c>
    </row>
    <row r="9" spans="1:2" x14ac:dyDescent="0.3">
      <c r="A9" s="5" t="s">
        <v>254</v>
      </c>
      <c r="B9" s="11">
        <f>SUM('Dòng tiền'!AK14:AN14)</f>
        <v>17859.746441730611</v>
      </c>
    </row>
    <row r="10" spans="1:2" x14ac:dyDescent="0.3">
      <c r="A10" s="5" t="s">
        <v>255</v>
      </c>
      <c r="B10" s="11">
        <f>SUM('Dòng tiền'!AO14:AR14)</f>
        <v>17241.914649589136</v>
      </c>
    </row>
    <row r="12" spans="1:2" x14ac:dyDescent="0.3">
      <c r="A12" s="2" t="s">
        <v>396</v>
      </c>
    </row>
    <row r="13" spans="1:2" x14ac:dyDescent="0.3">
      <c r="A13" s="5" t="s">
        <v>397</v>
      </c>
      <c r="B13" s="11">
        <f>NPV(discount_rate,B6:B10)+B5</f>
        <v>6313.5008202430145</v>
      </c>
    </row>
    <row r="14" spans="1:2" x14ac:dyDescent="0.3">
      <c r="A14" s="5" t="s">
        <v>398</v>
      </c>
      <c r="B14" s="18">
        <f>IFERROR(IRR(B5:B10),"N/A")</f>
        <v>0.22064428059897856</v>
      </c>
    </row>
    <row r="15" spans="1:2" x14ac:dyDescent="0.3">
      <c r="A15" s="5" t="s">
        <v>399</v>
      </c>
      <c r="B15" s="11">
        <f>-MIN('Dòng tiền'!C15:'Dòng tiền'!AR15)</f>
        <v>37345.887869159305</v>
      </c>
    </row>
    <row r="16" spans="1:2" x14ac:dyDescent="0.3">
      <c r="A16" s="5" t="s">
        <v>400</v>
      </c>
      <c r="B16" s="18">
        <f>IF(B15=0,0,('Dòng tiền'!AR15+B15)/B15)</f>
        <v>1.7757002376615139</v>
      </c>
    </row>
    <row r="17" spans="1:2" x14ac:dyDescent="0.3">
      <c r="A17" s="5" t="s">
        <v>401</v>
      </c>
      <c r="B17" s="18">
        <f>cit_rate</f>
        <v>0.2</v>
      </c>
    </row>
    <row r="18" spans="1:2" x14ac:dyDescent="0.3">
      <c r="A18" s="5" t="s">
        <v>402</v>
      </c>
      <c r="B18" s="18">
        <f>discount_rate</f>
        <v>0.15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F61"/>
  <sheetViews>
    <sheetView workbookViewId="0">
      <selection sqref="A1:F1"/>
    </sheetView>
  </sheetViews>
  <sheetFormatPr defaultRowHeight="14.4" x14ac:dyDescent="0.3"/>
  <cols>
    <col min="1" max="1" width="32" customWidth="1"/>
    <col min="2" max="6" width="16" customWidth="1"/>
  </cols>
  <sheetData>
    <row r="1" spans="1:6" x14ac:dyDescent="0.3">
      <c r="A1" s="31" t="s">
        <v>403</v>
      </c>
      <c r="B1" s="32"/>
      <c r="C1" s="32"/>
      <c r="D1" s="32"/>
      <c r="E1" s="32"/>
      <c r="F1" s="33"/>
    </row>
    <row r="2" spans="1:6" x14ac:dyDescent="0.3">
      <c r="A2" s="1" t="s">
        <v>404</v>
      </c>
    </row>
    <row r="4" spans="1:6" x14ac:dyDescent="0.3">
      <c r="A4" s="4" t="s">
        <v>111</v>
      </c>
      <c r="B4" s="4" t="s">
        <v>405</v>
      </c>
      <c r="C4" s="4" t="s">
        <v>406</v>
      </c>
      <c r="D4" s="4" t="s">
        <v>407</v>
      </c>
      <c r="E4" s="4" t="s">
        <v>408</v>
      </c>
      <c r="F4" s="4" t="s">
        <v>409</v>
      </c>
    </row>
    <row r="5" spans="1:6" x14ac:dyDescent="0.3">
      <c r="A5" s="5" t="s">
        <v>410</v>
      </c>
      <c r="B5" s="19">
        <v>200</v>
      </c>
      <c r="C5" s="20">
        <v>600</v>
      </c>
      <c r="D5" s="10">
        <f>adoption_max</f>
        <v>1200</v>
      </c>
      <c r="E5" s="20">
        <v>2000</v>
      </c>
      <c r="F5" s="21">
        <v>3500</v>
      </c>
    </row>
    <row r="6" spans="1:6" x14ac:dyDescent="0.3">
      <c r="A6" s="5" t="s">
        <v>411</v>
      </c>
      <c r="B6" s="22">
        <v>0.5</v>
      </c>
      <c r="C6" s="23">
        <v>0.7</v>
      </c>
      <c r="D6" s="24">
        <f>adoption_steepness</f>
        <v>0.9</v>
      </c>
      <c r="E6" s="23">
        <v>1.2</v>
      </c>
      <c r="F6" s="25">
        <v>1.5</v>
      </c>
    </row>
    <row r="7" spans="1:6" x14ac:dyDescent="0.3">
      <c r="A7" s="5" t="s">
        <v>107</v>
      </c>
      <c r="B7" s="22">
        <v>0.35</v>
      </c>
      <c r="C7" s="23">
        <v>0.25</v>
      </c>
      <c r="D7" s="24">
        <f>churn_rate</f>
        <v>0.2</v>
      </c>
      <c r="E7" s="23">
        <v>0.15</v>
      </c>
      <c r="F7" s="25">
        <v>0.1</v>
      </c>
    </row>
    <row r="8" spans="1:6" x14ac:dyDescent="0.3">
      <c r="A8" s="5" t="s">
        <v>412</v>
      </c>
      <c r="B8" s="22">
        <v>1E-3</v>
      </c>
      <c r="C8" s="23">
        <v>3.0000000000000001E-3</v>
      </c>
      <c r="D8" s="24">
        <f>platform_market_share</f>
        <v>0.02</v>
      </c>
      <c r="E8" s="23">
        <v>0.01</v>
      </c>
      <c r="F8" s="25">
        <v>0.02</v>
      </c>
    </row>
    <row r="9" spans="1:6" x14ac:dyDescent="0.3">
      <c r="A9" s="5" t="s">
        <v>413</v>
      </c>
      <c r="B9" s="19">
        <v>15</v>
      </c>
      <c r="C9" s="20">
        <v>20</v>
      </c>
      <c r="D9" s="10">
        <f>cert_fee_yr1</f>
        <v>25</v>
      </c>
      <c r="E9" s="20">
        <v>30</v>
      </c>
      <c r="F9" s="21">
        <v>40</v>
      </c>
    </row>
    <row r="10" spans="1:6" x14ac:dyDescent="0.3">
      <c r="A10" s="5" t="s">
        <v>414</v>
      </c>
      <c r="B10" s="22">
        <v>0</v>
      </c>
      <c r="C10" s="23">
        <v>0.03</v>
      </c>
      <c r="D10" s="24">
        <f>cert_fee_escalation</f>
        <v>0.05</v>
      </c>
      <c r="E10" s="23">
        <v>0.08</v>
      </c>
      <c r="F10" s="25">
        <v>0.12</v>
      </c>
    </row>
    <row r="11" spans="1:6" x14ac:dyDescent="0.3">
      <c r="A11" s="5" t="s">
        <v>415</v>
      </c>
      <c r="B11" s="22">
        <v>0.01</v>
      </c>
      <c r="C11" s="23">
        <v>1.4999999999999999E-2</v>
      </c>
      <c r="D11" s="24">
        <f>tx_take_rate</f>
        <v>0.02</v>
      </c>
      <c r="E11" s="23">
        <v>2.5000000000000001E-2</v>
      </c>
      <c r="F11" s="25">
        <v>0.03</v>
      </c>
    </row>
    <row r="12" spans="1:6" x14ac:dyDescent="0.3">
      <c r="A12" s="5" t="s">
        <v>416</v>
      </c>
      <c r="B12" s="19">
        <v>8000</v>
      </c>
      <c r="C12" s="20">
        <v>7500</v>
      </c>
      <c r="D12" s="10">
        <f>opex_marketing</f>
        <v>7000</v>
      </c>
      <c r="E12" s="20">
        <v>6000</v>
      </c>
      <c r="F12" s="21">
        <v>5000</v>
      </c>
    </row>
    <row r="13" spans="1:6" x14ac:dyDescent="0.3">
      <c r="A13" s="5" t="s">
        <v>54</v>
      </c>
      <c r="B13" s="22">
        <v>0.2</v>
      </c>
      <c r="C13" s="23">
        <v>0.18</v>
      </c>
      <c r="D13" s="24">
        <f>discount_rate</f>
        <v>0.15</v>
      </c>
      <c r="E13" s="23">
        <v>0.12</v>
      </c>
      <c r="F13" s="25">
        <v>0.1</v>
      </c>
    </row>
    <row r="14" spans="1:6" x14ac:dyDescent="0.3">
      <c r="A14" s="5" t="s">
        <v>417</v>
      </c>
      <c r="B14" s="19">
        <v>500</v>
      </c>
      <c r="C14" s="20">
        <v>400</v>
      </c>
      <c r="D14" s="10">
        <f>stage2_gate</f>
        <v>300</v>
      </c>
      <c r="E14" s="20">
        <v>200</v>
      </c>
      <c r="F14" s="21">
        <v>150</v>
      </c>
    </row>
    <row r="17" spans="1:6" x14ac:dyDescent="0.3">
      <c r="A17" s="31" t="s">
        <v>418</v>
      </c>
      <c r="B17" s="32"/>
      <c r="C17" s="32"/>
      <c r="D17" s="32"/>
      <c r="E17" s="32"/>
      <c r="F17" s="33"/>
    </row>
    <row r="19" spans="1:6" x14ac:dyDescent="0.3">
      <c r="A19" s="37" t="s">
        <v>419</v>
      </c>
      <c r="B19" s="27"/>
      <c r="C19" s="27"/>
      <c r="D19" s="27"/>
      <c r="E19" s="27"/>
      <c r="F19" s="27"/>
    </row>
    <row r="21" spans="1:6" x14ac:dyDescent="0.3">
      <c r="A21" s="30" t="s">
        <v>420</v>
      </c>
      <c r="B21" s="27"/>
      <c r="C21" s="27"/>
      <c r="D21" s="27"/>
      <c r="E21" s="27"/>
      <c r="F21" s="27"/>
    </row>
    <row r="22" spans="1:6" x14ac:dyDescent="0.3">
      <c r="A22" s="29" t="s">
        <v>421</v>
      </c>
      <c r="B22" s="27"/>
      <c r="C22" s="27"/>
      <c r="D22" s="27"/>
      <c r="E22" s="27"/>
      <c r="F22" s="27"/>
    </row>
    <row r="23" spans="1:6" x14ac:dyDescent="0.3">
      <c r="A23" s="29" t="s">
        <v>422</v>
      </c>
      <c r="B23" s="27"/>
      <c r="C23" s="27"/>
      <c r="D23" s="27"/>
      <c r="E23" s="27"/>
      <c r="F23" s="27"/>
    </row>
    <row r="24" spans="1:6" x14ac:dyDescent="0.3">
      <c r="A24" s="29" t="s">
        <v>423</v>
      </c>
      <c r="B24" s="27"/>
      <c r="C24" s="27"/>
      <c r="D24" s="27"/>
      <c r="E24" s="27"/>
      <c r="F24" s="27"/>
    </row>
    <row r="26" spans="1:6" x14ac:dyDescent="0.3">
      <c r="A26" s="30" t="s">
        <v>424</v>
      </c>
      <c r="B26" s="27"/>
      <c r="C26" s="27"/>
      <c r="D26" s="27"/>
      <c r="E26" s="27"/>
      <c r="F26" s="27"/>
    </row>
    <row r="27" spans="1:6" x14ac:dyDescent="0.3">
      <c r="A27" s="29" t="s">
        <v>425</v>
      </c>
      <c r="B27" s="27"/>
      <c r="C27" s="27"/>
      <c r="D27" s="27"/>
      <c r="E27" s="27"/>
      <c r="F27" s="27"/>
    </row>
    <row r="28" spans="1:6" x14ac:dyDescent="0.3">
      <c r="A28" s="29" t="s">
        <v>426</v>
      </c>
      <c r="B28" s="27"/>
      <c r="C28" s="27"/>
      <c r="D28" s="27"/>
      <c r="E28" s="27"/>
      <c r="F28" s="27"/>
    </row>
    <row r="29" spans="1:6" x14ac:dyDescent="0.3">
      <c r="A29" s="29" t="s">
        <v>427</v>
      </c>
      <c r="B29" s="27"/>
      <c r="C29" s="27"/>
      <c r="D29" s="27"/>
      <c r="E29" s="27"/>
      <c r="F29" s="27"/>
    </row>
    <row r="31" spans="1:6" x14ac:dyDescent="0.3">
      <c r="A31" s="30" t="s">
        <v>428</v>
      </c>
      <c r="B31" s="27"/>
      <c r="C31" s="27"/>
      <c r="D31" s="27"/>
      <c r="E31" s="27"/>
      <c r="F31" s="27"/>
    </row>
    <row r="32" spans="1:6" x14ac:dyDescent="0.3">
      <c r="A32" s="29" t="s">
        <v>429</v>
      </c>
      <c r="B32" s="27"/>
      <c r="C32" s="27"/>
      <c r="D32" s="27"/>
      <c r="E32" s="27"/>
      <c r="F32" s="27"/>
    </row>
    <row r="33" spans="1:6" x14ac:dyDescent="0.3">
      <c r="A33" s="29" t="s">
        <v>430</v>
      </c>
      <c r="B33" s="27"/>
      <c r="C33" s="27"/>
      <c r="D33" s="27"/>
      <c r="E33" s="27"/>
      <c r="F33" s="27"/>
    </row>
    <row r="34" spans="1:6" x14ac:dyDescent="0.3">
      <c r="A34" s="29" t="s">
        <v>431</v>
      </c>
      <c r="B34" s="27"/>
      <c r="C34" s="27"/>
      <c r="D34" s="27"/>
      <c r="E34" s="27"/>
      <c r="F34" s="27"/>
    </row>
    <row r="36" spans="1:6" x14ac:dyDescent="0.3">
      <c r="A36" s="31" t="s">
        <v>432</v>
      </c>
      <c r="B36" s="32"/>
      <c r="C36" s="32"/>
      <c r="D36" s="32"/>
      <c r="E36" s="32"/>
      <c r="F36" s="33"/>
    </row>
    <row r="38" spans="1:6" x14ac:dyDescent="0.3">
      <c r="A38" s="36" t="s">
        <v>433</v>
      </c>
      <c r="B38" s="27"/>
      <c r="C38" s="27"/>
      <c r="D38" s="27"/>
      <c r="E38" s="27"/>
      <c r="F38" s="27"/>
    </row>
    <row r="39" spans="1:6" x14ac:dyDescent="0.3">
      <c r="A39" s="29" t="s">
        <v>434</v>
      </c>
      <c r="B39" s="27"/>
      <c r="C39" s="27"/>
      <c r="D39" s="27"/>
      <c r="E39" s="27"/>
      <c r="F39" s="27"/>
    </row>
    <row r="40" spans="1:6" x14ac:dyDescent="0.3">
      <c r="A40" s="29" t="s">
        <v>435</v>
      </c>
      <c r="B40" s="27"/>
      <c r="C40" s="27"/>
      <c r="D40" s="27"/>
      <c r="E40" s="27"/>
      <c r="F40" s="27"/>
    </row>
    <row r="41" spans="1:6" x14ac:dyDescent="0.3">
      <c r="A41" s="29" t="s">
        <v>436</v>
      </c>
      <c r="B41" s="27"/>
      <c r="C41" s="27"/>
      <c r="D41" s="27"/>
      <c r="E41" s="27"/>
      <c r="F41" s="27"/>
    </row>
    <row r="43" spans="1:6" x14ac:dyDescent="0.3">
      <c r="A43" s="35" t="s">
        <v>437</v>
      </c>
      <c r="B43" s="27"/>
      <c r="C43" s="27"/>
      <c r="D43" s="27"/>
      <c r="E43" s="27"/>
      <c r="F43" s="27"/>
    </row>
    <row r="44" spans="1:6" x14ac:dyDescent="0.3">
      <c r="A44" s="29" t="s">
        <v>438</v>
      </c>
      <c r="B44" s="27"/>
      <c r="C44" s="27"/>
      <c r="D44" s="27"/>
      <c r="E44" s="27"/>
      <c r="F44" s="27"/>
    </row>
    <row r="45" spans="1:6" x14ac:dyDescent="0.3">
      <c r="A45" s="29" t="s">
        <v>439</v>
      </c>
      <c r="B45" s="27"/>
      <c r="C45" s="27"/>
      <c r="D45" s="27"/>
      <c r="E45" s="27"/>
      <c r="F45" s="27"/>
    </row>
    <row r="46" spans="1:6" x14ac:dyDescent="0.3">
      <c r="A46" s="29" t="s">
        <v>440</v>
      </c>
      <c r="B46" s="27"/>
      <c r="C46" s="27"/>
      <c r="D46" s="27"/>
      <c r="E46" s="27"/>
      <c r="F46" s="27"/>
    </row>
    <row r="48" spans="1:6" x14ac:dyDescent="0.3">
      <c r="A48" s="30" t="s">
        <v>441</v>
      </c>
      <c r="B48" s="27"/>
      <c r="C48" s="27"/>
      <c r="D48" s="27"/>
      <c r="E48" s="27"/>
      <c r="F48" s="27"/>
    </row>
    <row r="49" spans="1:6" x14ac:dyDescent="0.3">
      <c r="A49" s="29" t="s">
        <v>442</v>
      </c>
      <c r="B49" s="27"/>
      <c r="C49" s="27"/>
      <c r="D49" s="27"/>
      <c r="E49" s="27"/>
      <c r="F49" s="27"/>
    </row>
    <row r="50" spans="1:6" x14ac:dyDescent="0.3">
      <c r="A50" s="29" t="s">
        <v>443</v>
      </c>
      <c r="B50" s="27"/>
      <c r="C50" s="27"/>
      <c r="D50" s="27"/>
      <c r="E50" s="27"/>
      <c r="F50" s="27"/>
    </row>
    <row r="51" spans="1:6" x14ac:dyDescent="0.3">
      <c r="A51" s="29" t="s">
        <v>444</v>
      </c>
      <c r="B51" s="27"/>
      <c r="C51" s="27"/>
      <c r="D51" s="27"/>
      <c r="E51" s="27"/>
      <c r="F51" s="27"/>
    </row>
    <row r="53" spans="1:6" x14ac:dyDescent="0.3">
      <c r="A53" s="34" t="s">
        <v>445</v>
      </c>
      <c r="B53" s="27"/>
      <c r="C53" s="27"/>
      <c r="D53" s="27"/>
      <c r="E53" s="27"/>
      <c r="F53" s="27"/>
    </row>
    <row r="54" spans="1:6" x14ac:dyDescent="0.3">
      <c r="A54" s="29" t="s">
        <v>446</v>
      </c>
      <c r="B54" s="27"/>
      <c r="C54" s="27"/>
      <c r="D54" s="27"/>
      <c r="E54" s="27"/>
      <c r="F54" s="27"/>
    </row>
    <row r="55" spans="1:6" x14ac:dyDescent="0.3">
      <c r="A55" s="29" t="s">
        <v>447</v>
      </c>
      <c r="B55" s="27"/>
      <c r="C55" s="27"/>
      <c r="D55" s="27"/>
      <c r="E55" s="27"/>
      <c r="F55" s="27"/>
    </row>
    <row r="56" spans="1:6" x14ac:dyDescent="0.3">
      <c r="A56" s="29" t="s">
        <v>448</v>
      </c>
      <c r="B56" s="27"/>
      <c r="C56" s="27"/>
      <c r="D56" s="27"/>
      <c r="E56" s="27"/>
      <c r="F56" s="27"/>
    </row>
    <row r="58" spans="1:6" x14ac:dyDescent="0.3">
      <c r="A58" s="38" t="s">
        <v>449</v>
      </c>
      <c r="B58" s="27"/>
      <c r="C58" s="27"/>
      <c r="D58" s="27"/>
      <c r="E58" s="27"/>
      <c r="F58" s="27"/>
    </row>
    <row r="59" spans="1:6" x14ac:dyDescent="0.3">
      <c r="A59" s="29" t="s">
        <v>450</v>
      </c>
      <c r="B59" s="27"/>
      <c r="C59" s="27"/>
      <c r="D59" s="27"/>
      <c r="E59" s="27"/>
      <c r="F59" s="27"/>
    </row>
    <row r="60" spans="1:6" x14ac:dyDescent="0.3">
      <c r="A60" s="29" t="s">
        <v>451</v>
      </c>
      <c r="B60" s="27"/>
      <c r="C60" s="27"/>
      <c r="D60" s="27"/>
      <c r="E60" s="27"/>
      <c r="F60" s="27"/>
    </row>
    <row r="61" spans="1:6" x14ac:dyDescent="0.3">
      <c r="A61" s="29" t="s">
        <v>452</v>
      </c>
      <c r="B61" s="27"/>
      <c r="C61" s="27"/>
      <c r="D61" s="27"/>
      <c r="E61" s="27"/>
      <c r="F61" s="27"/>
    </row>
  </sheetData>
  <mergeCells count="36">
    <mergeCell ref="A1:F1"/>
    <mergeCell ref="A45:F45"/>
    <mergeCell ref="A61:F61"/>
    <mergeCell ref="A59:F59"/>
    <mergeCell ref="A24:F24"/>
    <mergeCell ref="A49:F49"/>
    <mergeCell ref="A51:F51"/>
    <mergeCell ref="A60:F60"/>
    <mergeCell ref="A36:F36"/>
    <mergeCell ref="A58:F58"/>
    <mergeCell ref="A34:F34"/>
    <mergeCell ref="A40:F40"/>
    <mergeCell ref="A48:F48"/>
    <mergeCell ref="A39:F39"/>
    <mergeCell ref="A17:F17"/>
    <mergeCell ref="A53:F53"/>
    <mergeCell ref="A29:F29"/>
    <mergeCell ref="A43:F43"/>
    <mergeCell ref="A38:F38"/>
    <mergeCell ref="A28:F28"/>
    <mergeCell ref="A19:F19"/>
    <mergeCell ref="A44:F44"/>
    <mergeCell ref="A31:F31"/>
    <mergeCell ref="A56:F56"/>
    <mergeCell ref="A26:F26"/>
    <mergeCell ref="A21:F21"/>
    <mergeCell ref="A55:F55"/>
    <mergeCell ref="A33:F33"/>
    <mergeCell ref="A23:F23"/>
    <mergeCell ref="A32:F32"/>
    <mergeCell ref="A22:F22"/>
    <mergeCell ref="A41:F41"/>
    <mergeCell ref="A54:F54"/>
    <mergeCell ref="A46:F46"/>
    <mergeCell ref="A27:F27"/>
    <mergeCell ref="A50:F5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472C4"/>
  </sheetPr>
  <dimension ref="A1:I47"/>
  <sheetViews>
    <sheetView topLeftCell="A16" workbookViewId="0">
      <selection activeCell="I45" sqref="I45"/>
    </sheetView>
  </sheetViews>
  <sheetFormatPr defaultRowHeight="14.4" x14ac:dyDescent="0.3"/>
  <cols>
    <col min="1" max="1" width="35" customWidth="1"/>
    <col min="2" max="8" width="12" customWidth="1"/>
    <col min="9" max="9" width="14" customWidth="1"/>
  </cols>
  <sheetData>
    <row r="1" spans="1:9" x14ac:dyDescent="0.3">
      <c r="A1" s="2" t="s">
        <v>453</v>
      </c>
    </row>
    <row r="3" spans="1:9" x14ac:dyDescent="0.3">
      <c r="A3" s="4" t="s">
        <v>328</v>
      </c>
      <c r="B3" s="4" t="s">
        <v>258</v>
      </c>
      <c r="C3" s="4" t="s">
        <v>454</v>
      </c>
      <c r="D3" s="4" t="s">
        <v>455</v>
      </c>
      <c r="E3" s="4" t="s">
        <v>456</v>
      </c>
      <c r="F3" s="4" t="s">
        <v>457</v>
      </c>
      <c r="G3" s="4" t="s">
        <v>458</v>
      </c>
      <c r="H3" s="4" t="s">
        <v>459</v>
      </c>
      <c r="I3" s="4" t="s">
        <v>460</v>
      </c>
    </row>
    <row r="4" spans="1:9" x14ac:dyDescent="0.3">
      <c r="A4" s="2" t="s">
        <v>461</v>
      </c>
      <c r="C4" s="12"/>
      <c r="D4" s="12"/>
      <c r="E4" s="12"/>
      <c r="F4" s="12"/>
      <c r="G4" s="12"/>
      <c r="H4" s="12"/>
      <c r="I4" s="12"/>
    </row>
    <row r="5" spans="1:9" x14ac:dyDescent="0.3">
      <c r="A5" s="5" t="s">
        <v>340</v>
      </c>
      <c r="B5" s="5" t="s">
        <v>144</v>
      </c>
      <c r="C5" s="11">
        <f>MAX(pilot_count,adoption_max/(1+EXP(-adoption_steepness*(2025.542-adoption_midpoint))))*cert_fee_yr1*(1+cert_fee_escalation)^0/12</f>
        <v>246.65065563399014</v>
      </c>
      <c r="D5" s="11">
        <f>MAX(pilot_count,adoption_max/(1+EXP(-adoption_steepness*(2025.625-adoption_midpoint))))*cert_fee_yr1*(1+cert_fee_escalation)^0/12</f>
        <v>263.7627283986339</v>
      </c>
      <c r="E5" s="11">
        <f>MAX(pilot_count,adoption_max/(1+EXP(-adoption_steepness*(2025.708-adoption_midpoint))))*cert_fee_yr1*(1+cert_fee_escalation)^0/12</f>
        <v>281.9134699732773</v>
      </c>
      <c r="F5" s="11">
        <f>MAX(pilot_count,adoption_max/(1+EXP(-adoption_steepness*(2025.792-adoption_midpoint))))*cert_fee_yr1*(1+cert_fee_escalation)^0/12</f>
        <v>301.38350999876781</v>
      </c>
      <c r="G5" s="11">
        <f>MAX(pilot_count,adoption_max/(1+EXP(-adoption_steepness*(2025.875-adoption_midpoint))))*cert_fee_yr1*(1+cert_fee_escalation)^0/12</f>
        <v>321.75062645987242</v>
      </c>
      <c r="H5" s="11">
        <f>MAX(pilot_count,adoption_max/(1+EXP(-adoption_steepness*(2025.958-adoption_midpoint))))*cert_fee_yr1*(1+cert_fee_escalation)^0/12</f>
        <v>343.27922628391002</v>
      </c>
      <c r="I5" s="10">
        <f>SUM(C5:H5)</f>
        <v>1758.7402167484515</v>
      </c>
    </row>
    <row r="6" spans="1:9" x14ac:dyDescent="0.3">
      <c r="A6" s="5" t="s">
        <v>462</v>
      </c>
      <c r="B6" s="5" t="s">
        <v>144</v>
      </c>
      <c r="C6" s="11">
        <f>MAX(pilot_count,adoption_max/(1+EXP(-adoption_steepness*(2025.542-adoption_midpoint))))*training_pct*training_fee/12</f>
        <v>44.397118014118227</v>
      </c>
      <c r="D6" s="11">
        <f>MAX(pilot_count,adoption_max/(1+EXP(-adoption_steepness*(2025.625-adoption_midpoint))))*training_pct*training_fee/12</f>
        <v>47.477291111754091</v>
      </c>
      <c r="E6" s="11">
        <f>MAX(pilot_count,adoption_max/(1+EXP(-adoption_steepness*(2025.708-adoption_midpoint))))*training_pct*training_fee/12</f>
        <v>50.744424595189912</v>
      </c>
      <c r="F6" s="11">
        <f>MAX(pilot_count,adoption_max/(1+EXP(-adoption_steepness*(2025.792-adoption_midpoint))))*training_pct*training_fee/12</f>
        <v>54.249031799778209</v>
      </c>
      <c r="G6" s="11">
        <f>MAX(pilot_count,adoption_max/(1+EXP(-adoption_steepness*(2025.875-adoption_midpoint))))*training_pct*training_fee/12</f>
        <v>57.915112762777035</v>
      </c>
      <c r="H6" s="11">
        <f>MAX(pilot_count,adoption_max/(1+EXP(-adoption_steepness*(2025.958-adoption_midpoint))))*training_pct*training_fee/12</f>
        <v>61.790260731103807</v>
      </c>
      <c r="I6" s="10">
        <f>SUM(C6:H6)</f>
        <v>316.57323901472125</v>
      </c>
    </row>
    <row r="7" spans="1:9" x14ac:dyDescent="0.3">
      <c r="A7" s="5" t="s">
        <v>463</v>
      </c>
      <c r="B7" s="5" t="s">
        <v>144</v>
      </c>
      <c r="C7" s="11">
        <f>MAX(pilot_count,adoption_max/(1+EXP(-adoption_steepness*(2025.542-adoption_midpoint))))*audit_fee/12</f>
        <v>98.660262253596059</v>
      </c>
      <c r="D7" s="11">
        <f>MAX(pilot_count,adoption_max/(1+EXP(-adoption_steepness*(2025.625-adoption_midpoint))))*audit_fee/12</f>
        <v>105.50509135945354</v>
      </c>
      <c r="E7" s="11">
        <f>MAX(pilot_count,adoption_max/(1+EXP(-adoption_steepness*(2025.708-adoption_midpoint))))*audit_fee/12</f>
        <v>112.76538798931092</v>
      </c>
      <c r="F7" s="11">
        <f>MAX(pilot_count,adoption_max/(1+EXP(-adoption_steepness*(2025.792-adoption_midpoint))))*audit_fee/12</f>
        <v>120.55340399950713</v>
      </c>
      <c r="G7" s="11">
        <f>MAX(pilot_count,adoption_max/(1+EXP(-adoption_steepness*(2025.875-adoption_midpoint))))*audit_fee/12</f>
        <v>128.70025058394899</v>
      </c>
      <c r="H7" s="11">
        <f>MAX(pilot_count,adoption_max/(1+EXP(-adoption_steepness*(2025.958-adoption_midpoint))))*audit_fee/12</f>
        <v>137.311690513564</v>
      </c>
      <c r="I7" s="10">
        <f>SUM(C7:H7)</f>
        <v>703.49608669938061</v>
      </c>
    </row>
    <row r="8" spans="1:9" x14ac:dyDescent="0.3">
      <c r="A8" s="5" t="s">
        <v>349</v>
      </c>
      <c r="C8" s="10">
        <f t="shared" ref="C8:H8" si="0">SUM(C5:C7)</f>
        <v>389.70803590170442</v>
      </c>
      <c r="D8" s="10">
        <f t="shared" si="0"/>
        <v>416.74511086984154</v>
      </c>
      <c r="E8" s="10">
        <f t="shared" si="0"/>
        <v>445.42328255777812</v>
      </c>
      <c r="F8" s="10">
        <f t="shared" si="0"/>
        <v>476.18594579805313</v>
      </c>
      <c r="G8" s="10">
        <f t="shared" si="0"/>
        <v>508.36598980659846</v>
      </c>
      <c r="H8" s="10">
        <f t="shared" si="0"/>
        <v>542.38117752857784</v>
      </c>
      <c r="I8" s="10">
        <f>SUM(C8:H8)</f>
        <v>2778.8095424625535</v>
      </c>
    </row>
    <row r="10" spans="1:9" x14ac:dyDescent="0.3">
      <c r="A10" s="2" t="s">
        <v>70</v>
      </c>
      <c r="C10" s="12"/>
      <c r="D10" s="12"/>
      <c r="E10" s="12"/>
      <c r="F10" s="12"/>
      <c r="G10" s="12"/>
      <c r="H10" s="12"/>
      <c r="I10" s="12"/>
    </row>
    <row r="11" spans="1:9" x14ac:dyDescent="0.3">
      <c r="A11" s="5" t="s">
        <v>464</v>
      </c>
      <c r="B11" s="5" t="s">
        <v>144</v>
      </c>
      <c r="C11" s="11">
        <f t="shared" ref="C11:H11" si="1">capex_cloud_setup/6</f>
        <v>133.33333333333334</v>
      </c>
      <c r="D11" s="11">
        <f t="shared" si="1"/>
        <v>133.33333333333334</v>
      </c>
      <c r="E11" s="11">
        <f t="shared" si="1"/>
        <v>133.33333333333334</v>
      </c>
      <c r="F11" s="11">
        <f t="shared" si="1"/>
        <v>133.33333333333334</v>
      </c>
      <c r="G11" s="11">
        <f t="shared" si="1"/>
        <v>133.33333333333334</v>
      </c>
      <c r="H11" s="11">
        <f t="shared" si="1"/>
        <v>133.33333333333334</v>
      </c>
      <c r="I11" s="10">
        <f t="shared" ref="I11:I21" si="2">SUM(C11:H11)</f>
        <v>800.00000000000011</v>
      </c>
    </row>
    <row r="12" spans="1:9" x14ac:dyDescent="0.3">
      <c r="A12" s="5" t="s">
        <v>465</v>
      </c>
      <c r="B12" s="5" t="s">
        <v>144</v>
      </c>
      <c r="C12" s="11">
        <f t="shared" ref="C12:H12" si="3">capex_backend/6</f>
        <v>200</v>
      </c>
      <c r="D12" s="11">
        <f t="shared" si="3"/>
        <v>200</v>
      </c>
      <c r="E12" s="11">
        <f t="shared" si="3"/>
        <v>200</v>
      </c>
      <c r="F12" s="11">
        <f t="shared" si="3"/>
        <v>200</v>
      </c>
      <c r="G12" s="11">
        <f t="shared" si="3"/>
        <v>200</v>
      </c>
      <c r="H12" s="11">
        <f t="shared" si="3"/>
        <v>200</v>
      </c>
      <c r="I12" s="10">
        <f t="shared" si="2"/>
        <v>1200</v>
      </c>
    </row>
    <row r="13" spans="1:9" x14ac:dyDescent="0.3">
      <c r="A13" s="5" t="s">
        <v>466</v>
      </c>
      <c r="B13" s="5" t="s">
        <v>144</v>
      </c>
      <c r="C13" s="11">
        <f t="shared" ref="C13:H13" si="4">capex_frontend/6</f>
        <v>150</v>
      </c>
      <c r="D13" s="11">
        <f t="shared" si="4"/>
        <v>150</v>
      </c>
      <c r="E13" s="11">
        <f t="shared" si="4"/>
        <v>150</v>
      </c>
      <c r="F13" s="11">
        <f t="shared" si="4"/>
        <v>150</v>
      </c>
      <c r="G13" s="11">
        <f t="shared" si="4"/>
        <v>150</v>
      </c>
      <c r="H13" s="11">
        <f t="shared" si="4"/>
        <v>150</v>
      </c>
      <c r="I13" s="10">
        <f t="shared" si="2"/>
        <v>900</v>
      </c>
    </row>
    <row r="14" spans="1:9" x14ac:dyDescent="0.3">
      <c r="A14" s="5" t="s">
        <v>467</v>
      </c>
      <c r="B14" s="5" t="s">
        <v>144</v>
      </c>
      <c r="C14" s="11">
        <f t="shared" ref="C14:H14" si="5">capex_data_platform/6</f>
        <v>100</v>
      </c>
      <c r="D14" s="11">
        <f t="shared" si="5"/>
        <v>100</v>
      </c>
      <c r="E14" s="11">
        <f t="shared" si="5"/>
        <v>100</v>
      </c>
      <c r="F14" s="11">
        <f t="shared" si="5"/>
        <v>100</v>
      </c>
      <c r="G14" s="11">
        <f t="shared" si="5"/>
        <v>100</v>
      </c>
      <c r="H14" s="11">
        <f t="shared" si="5"/>
        <v>100</v>
      </c>
      <c r="I14" s="10">
        <f t="shared" si="2"/>
        <v>600</v>
      </c>
    </row>
    <row r="15" spans="1:9" x14ac:dyDescent="0.3">
      <c r="A15" s="5" t="s">
        <v>361</v>
      </c>
      <c r="B15" s="5" t="s">
        <v>144</v>
      </c>
      <c r="C15" s="11">
        <f t="shared" ref="C15:H15" si="6">capex_security_setup/6</f>
        <v>41.666666666666664</v>
      </c>
      <c r="D15" s="11">
        <f t="shared" si="6"/>
        <v>41.666666666666664</v>
      </c>
      <c r="E15" s="11">
        <f t="shared" si="6"/>
        <v>41.666666666666664</v>
      </c>
      <c r="F15" s="11">
        <f t="shared" si="6"/>
        <v>41.666666666666664</v>
      </c>
      <c r="G15" s="11">
        <f t="shared" si="6"/>
        <v>41.666666666666664</v>
      </c>
      <c r="H15" s="11">
        <f t="shared" si="6"/>
        <v>41.666666666666664</v>
      </c>
      <c r="I15" s="10">
        <f t="shared" si="2"/>
        <v>249.99999999999997</v>
      </c>
    </row>
    <row r="16" spans="1:9" x14ac:dyDescent="0.3">
      <c r="A16" s="5" t="s">
        <v>468</v>
      </c>
      <c r="B16" s="5" t="s">
        <v>144</v>
      </c>
      <c r="C16" s="11">
        <f t="shared" ref="C16:H16" si="7">capex_ux_design/6</f>
        <v>58.333333333333336</v>
      </c>
      <c r="D16" s="11">
        <f t="shared" si="7"/>
        <v>58.333333333333336</v>
      </c>
      <c r="E16" s="11">
        <f t="shared" si="7"/>
        <v>58.333333333333336</v>
      </c>
      <c r="F16" s="11">
        <f t="shared" si="7"/>
        <v>58.333333333333336</v>
      </c>
      <c r="G16" s="11">
        <f t="shared" si="7"/>
        <v>58.333333333333336</v>
      </c>
      <c r="H16" s="11">
        <f t="shared" si="7"/>
        <v>58.333333333333336</v>
      </c>
      <c r="I16" s="10">
        <f t="shared" si="2"/>
        <v>350</v>
      </c>
    </row>
    <row r="17" spans="1:9" x14ac:dyDescent="0.3">
      <c r="A17" s="5" t="s">
        <v>469</v>
      </c>
      <c r="B17" s="5" t="s">
        <v>144</v>
      </c>
      <c r="C17" s="11">
        <f t="shared" ref="C17:H17" si="8">capex_integration/6</f>
        <v>66.666666666666671</v>
      </c>
      <c r="D17" s="11">
        <f t="shared" si="8"/>
        <v>66.666666666666671</v>
      </c>
      <c r="E17" s="11">
        <f t="shared" si="8"/>
        <v>66.666666666666671</v>
      </c>
      <c r="F17" s="11">
        <f t="shared" si="8"/>
        <v>66.666666666666671</v>
      </c>
      <c r="G17" s="11">
        <f t="shared" si="8"/>
        <v>66.666666666666671</v>
      </c>
      <c r="H17" s="11">
        <f t="shared" si="8"/>
        <v>66.666666666666671</v>
      </c>
      <c r="I17" s="10">
        <f t="shared" si="2"/>
        <v>400.00000000000006</v>
      </c>
    </row>
    <row r="18" spans="1:9" x14ac:dyDescent="0.3">
      <c r="A18" s="5" t="s">
        <v>470</v>
      </c>
      <c r="B18" s="5" t="s">
        <v>144</v>
      </c>
      <c r="C18" s="11">
        <f t="shared" ref="C18:H18" si="9">capex_devops/6</f>
        <v>46.666666666666664</v>
      </c>
      <c r="D18" s="11">
        <f t="shared" si="9"/>
        <v>46.666666666666664</v>
      </c>
      <c r="E18" s="11">
        <f t="shared" si="9"/>
        <v>46.666666666666664</v>
      </c>
      <c r="F18" s="11">
        <f t="shared" si="9"/>
        <v>46.666666666666664</v>
      </c>
      <c r="G18" s="11">
        <f t="shared" si="9"/>
        <v>46.666666666666664</v>
      </c>
      <c r="H18" s="11">
        <f t="shared" si="9"/>
        <v>46.666666666666664</v>
      </c>
      <c r="I18" s="10">
        <f t="shared" si="2"/>
        <v>280</v>
      </c>
    </row>
    <row r="19" spans="1:9" x14ac:dyDescent="0.3">
      <c r="A19" s="5" t="s">
        <v>471</v>
      </c>
      <c r="B19" s="5" t="s">
        <v>144</v>
      </c>
      <c r="C19" s="11">
        <f t="shared" ref="C19:H19" si="10">capex_testing/6</f>
        <v>33.333333333333336</v>
      </c>
      <c r="D19" s="11">
        <f t="shared" si="10"/>
        <v>33.333333333333336</v>
      </c>
      <c r="E19" s="11">
        <f t="shared" si="10"/>
        <v>33.333333333333336</v>
      </c>
      <c r="F19" s="11">
        <f t="shared" si="10"/>
        <v>33.333333333333336</v>
      </c>
      <c r="G19" s="11">
        <f t="shared" si="10"/>
        <v>33.333333333333336</v>
      </c>
      <c r="H19" s="11">
        <f t="shared" si="10"/>
        <v>33.333333333333336</v>
      </c>
      <c r="I19" s="10">
        <f t="shared" si="2"/>
        <v>200.00000000000003</v>
      </c>
    </row>
    <row r="20" spans="1:9" x14ac:dyDescent="0.3">
      <c r="A20" s="5" t="s">
        <v>368</v>
      </c>
      <c r="B20" s="5" t="s">
        <v>144</v>
      </c>
      <c r="C20" s="11">
        <f t="shared" ref="C20:H20" si="11">capex_contingency/6</f>
        <v>50</v>
      </c>
      <c r="D20" s="11">
        <f t="shared" si="11"/>
        <v>50</v>
      </c>
      <c r="E20" s="11">
        <f t="shared" si="11"/>
        <v>50</v>
      </c>
      <c r="F20" s="11">
        <f t="shared" si="11"/>
        <v>50</v>
      </c>
      <c r="G20" s="11">
        <f t="shared" si="11"/>
        <v>50</v>
      </c>
      <c r="H20" s="11">
        <f t="shared" si="11"/>
        <v>50</v>
      </c>
      <c r="I20" s="10">
        <f t="shared" si="2"/>
        <v>300</v>
      </c>
    </row>
    <row r="21" spans="1:9" x14ac:dyDescent="0.3">
      <c r="A21" s="5" t="s">
        <v>356</v>
      </c>
      <c r="C21" s="10">
        <f t="shared" ref="C21:H21" si="12">SUM(C11:C20)</f>
        <v>880</v>
      </c>
      <c r="D21" s="10">
        <f t="shared" si="12"/>
        <v>880</v>
      </c>
      <c r="E21" s="10">
        <f t="shared" si="12"/>
        <v>880</v>
      </c>
      <c r="F21" s="10">
        <f t="shared" si="12"/>
        <v>880</v>
      </c>
      <c r="G21" s="10">
        <f t="shared" si="12"/>
        <v>880</v>
      </c>
      <c r="H21" s="10">
        <f t="shared" si="12"/>
        <v>880</v>
      </c>
      <c r="I21" s="10">
        <f t="shared" si="2"/>
        <v>5280</v>
      </c>
    </row>
    <row r="23" spans="1:9" x14ac:dyDescent="0.3">
      <c r="A23" s="2" t="s">
        <v>73</v>
      </c>
      <c r="C23" s="12"/>
      <c r="D23" s="12"/>
      <c r="E23" s="12"/>
      <c r="F23" s="12"/>
      <c r="G23" s="12"/>
      <c r="H23" s="12"/>
      <c r="I23" s="12"/>
    </row>
    <row r="24" spans="1:9" x14ac:dyDescent="0.3">
      <c r="A24" s="5" t="s">
        <v>472</v>
      </c>
      <c r="B24" s="5" t="s">
        <v>144</v>
      </c>
      <c r="C24" s="11">
        <f t="shared" ref="C24:H24" si="13">salary_mgmt*2*(1+salary_escalation)^0*(1+bhxh_rate)</f>
        <v>109.35000000000001</v>
      </c>
      <c r="D24" s="11">
        <f t="shared" si="13"/>
        <v>109.35000000000001</v>
      </c>
      <c r="E24" s="11">
        <f t="shared" si="13"/>
        <v>109.35000000000001</v>
      </c>
      <c r="F24" s="11">
        <f t="shared" si="13"/>
        <v>109.35000000000001</v>
      </c>
      <c r="G24" s="11">
        <f t="shared" si="13"/>
        <v>109.35000000000001</v>
      </c>
      <c r="H24" s="11">
        <f t="shared" si="13"/>
        <v>109.35000000000001</v>
      </c>
      <c r="I24" s="10">
        <f t="shared" ref="I24:I39" si="14">SUM(C24:H24)</f>
        <v>656.1</v>
      </c>
    </row>
    <row r="25" spans="1:9" x14ac:dyDescent="0.3">
      <c r="A25" s="5" t="s">
        <v>473</v>
      </c>
      <c r="B25" s="5" t="s">
        <v>144</v>
      </c>
      <c r="C25" s="11">
        <f t="shared" ref="C25:H25" si="15">salary_dev*12*(1+salary_escalation)^0*(1+bhxh_rate)</f>
        <v>510.3</v>
      </c>
      <c r="D25" s="11">
        <f t="shared" si="15"/>
        <v>510.3</v>
      </c>
      <c r="E25" s="11">
        <f t="shared" si="15"/>
        <v>510.3</v>
      </c>
      <c r="F25" s="11">
        <f t="shared" si="15"/>
        <v>510.3</v>
      </c>
      <c r="G25" s="11">
        <f t="shared" si="15"/>
        <v>510.3</v>
      </c>
      <c r="H25" s="11">
        <f t="shared" si="15"/>
        <v>510.3</v>
      </c>
      <c r="I25" s="10">
        <f t="shared" si="14"/>
        <v>3061.8</v>
      </c>
    </row>
    <row r="26" spans="1:9" x14ac:dyDescent="0.3">
      <c r="A26" s="5" t="s">
        <v>474</v>
      </c>
      <c r="B26" s="5" t="s">
        <v>144</v>
      </c>
      <c r="C26" s="11">
        <f t="shared" ref="C26:H26" si="16">salary_bizops*2*(1+salary_escalation)^0*(1+bhxh_rate)</f>
        <v>48.6</v>
      </c>
      <c r="D26" s="11">
        <f t="shared" si="16"/>
        <v>48.6</v>
      </c>
      <c r="E26" s="11">
        <f t="shared" si="16"/>
        <v>48.6</v>
      </c>
      <c r="F26" s="11">
        <f t="shared" si="16"/>
        <v>48.6</v>
      </c>
      <c r="G26" s="11">
        <f t="shared" si="16"/>
        <v>48.6</v>
      </c>
      <c r="H26" s="11">
        <f t="shared" si="16"/>
        <v>48.6</v>
      </c>
      <c r="I26" s="10">
        <f t="shared" si="14"/>
        <v>291.60000000000002</v>
      </c>
    </row>
    <row r="27" spans="1:9" x14ac:dyDescent="0.3">
      <c r="A27" s="5" t="s">
        <v>475</v>
      </c>
      <c r="B27" s="5" t="s">
        <v>144</v>
      </c>
      <c r="C27" s="11">
        <f>16*30*12*recruit_cost_pct</f>
        <v>1152</v>
      </c>
      <c r="D27" s="11">
        <f>0</f>
        <v>0</v>
      </c>
      <c r="E27" s="11">
        <f>0</f>
        <v>0</v>
      </c>
      <c r="F27" s="11">
        <f>0</f>
        <v>0</v>
      </c>
      <c r="G27" s="11">
        <f>0</f>
        <v>0</v>
      </c>
      <c r="H27" s="11">
        <f>0</f>
        <v>0</v>
      </c>
      <c r="I27" s="10">
        <f t="shared" si="14"/>
        <v>1152</v>
      </c>
    </row>
    <row r="28" spans="1:9" x14ac:dyDescent="0.3">
      <c r="A28" s="5" t="s">
        <v>358</v>
      </c>
      <c r="B28" s="5" t="s">
        <v>144</v>
      </c>
      <c r="C28" s="11">
        <f t="shared" ref="C28:H28" si="17">opex_marketing*(1+marketing_growth)^0/12</f>
        <v>583.33333333333337</v>
      </c>
      <c r="D28" s="11">
        <f t="shared" si="17"/>
        <v>583.33333333333337</v>
      </c>
      <c r="E28" s="11">
        <f t="shared" si="17"/>
        <v>583.33333333333337</v>
      </c>
      <c r="F28" s="11">
        <f t="shared" si="17"/>
        <v>583.33333333333337</v>
      </c>
      <c r="G28" s="11">
        <f t="shared" si="17"/>
        <v>583.33333333333337</v>
      </c>
      <c r="H28" s="11">
        <f t="shared" si="17"/>
        <v>583.33333333333337</v>
      </c>
      <c r="I28" s="10">
        <f t="shared" si="14"/>
        <v>3500.0000000000005</v>
      </c>
    </row>
    <row r="29" spans="1:9" x14ac:dyDescent="0.3">
      <c r="A29" s="5" t="s">
        <v>476</v>
      </c>
      <c r="B29" s="5" t="s">
        <v>144</v>
      </c>
      <c r="C29" s="11">
        <f t="shared" ref="C29:H29" si="18">opex_branding/12</f>
        <v>333.33333333333331</v>
      </c>
      <c r="D29" s="11">
        <f t="shared" si="18"/>
        <v>333.33333333333331</v>
      </c>
      <c r="E29" s="11">
        <f t="shared" si="18"/>
        <v>333.33333333333331</v>
      </c>
      <c r="F29" s="11">
        <f t="shared" si="18"/>
        <v>333.33333333333331</v>
      </c>
      <c r="G29" s="11">
        <f t="shared" si="18"/>
        <v>333.33333333333331</v>
      </c>
      <c r="H29" s="11">
        <f t="shared" si="18"/>
        <v>333.33333333333331</v>
      </c>
      <c r="I29" s="10">
        <f t="shared" si="14"/>
        <v>1999.9999999999998</v>
      </c>
    </row>
    <row r="30" spans="1:9" x14ac:dyDescent="0.3">
      <c r="A30" s="5" t="s">
        <v>464</v>
      </c>
      <c r="B30" s="5" t="s">
        <v>144</v>
      </c>
      <c r="C30" s="11">
        <f t="shared" ref="C30:H30" si="19">opex_cloud_base/12</f>
        <v>270.83333333333331</v>
      </c>
      <c r="D30" s="11">
        <f t="shared" si="19"/>
        <v>270.83333333333331</v>
      </c>
      <c r="E30" s="11">
        <f t="shared" si="19"/>
        <v>270.83333333333331</v>
      </c>
      <c r="F30" s="11">
        <f t="shared" si="19"/>
        <v>270.83333333333331</v>
      </c>
      <c r="G30" s="11">
        <f t="shared" si="19"/>
        <v>270.83333333333331</v>
      </c>
      <c r="H30" s="11">
        <f t="shared" si="19"/>
        <v>270.83333333333331</v>
      </c>
      <c r="I30" s="10">
        <f t="shared" si="14"/>
        <v>1624.9999999999998</v>
      </c>
    </row>
    <row r="31" spans="1:9" x14ac:dyDescent="0.3">
      <c r="A31" s="5" t="s">
        <v>361</v>
      </c>
      <c r="B31" s="5" t="s">
        <v>144</v>
      </c>
      <c r="C31" s="11">
        <f t="shared" ref="C31:H31" si="20">opex_security/12</f>
        <v>20.833333333333332</v>
      </c>
      <c r="D31" s="11">
        <f t="shared" si="20"/>
        <v>20.833333333333332</v>
      </c>
      <c r="E31" s="11">
        <f t="shared" si="20"/>
        <v>20.833333333333332</v>
      </c>
      <c r="F31" s="11">
        <f t="shared" si="20"/>
        <v>20.833333333333332</v>
      </c>
      <c r="G31" s="11">
        <f t="shared" si="20"/>
        <v>20.833333333333332</v>
      </c>
      <c r="H31" s="11">
        <f t="shared" si="20"/>
        <v>20.833333333333332</v>
      </c>
      <c r="I31" s="10">
        <f t="shared" si="14"/>
        <v>124.99999999999999</v>
      </c>
    </row>
    <row r="32" spans="1:9" x14ac:dyDescent="0.3">
      <c r="A32" s="5" t="s">
        <v>362</v>
      </c>
      <c r="B32" s="5" t="s">
        <v>144</v>
      </c>
      <c r="C32" s="11">
        <f t="shared" ref="C32:H32" si="21">opex_external/12</f>
        <v>33.333333333333336</v>
      </c>
      <c r="D32" s="11">
        <f t="shared" si="21"/>
        <v>33.333333333333336</v>
      </c>
      <c r="E32" s="11">
        <f t="shared" si="21"/>
        <v>33.333333333333336</v>
      </c>
      <c r="F32" s="11">
        <f t="shared" si="21"/>
        <v>33.333333333333336</v>
      </c>
      <c r="G32" s="11">
        <f t="shared" si="21"/>
        <v>33.333333333333336</v>
      </c>
      <c r="H32" s="11">
        <f t="shared" si="21"/>
        <v>33.333333333333336</v>
      </c>
      <c r="I32" s="10">
        <f t="shared" si="14"/>
        <v>200.00000000000003</v>
      </c>
    </row>
    <row r="33" spans="1:9" x14ac:dyDescent="0.3">
      <c r="A33" s="5" t="s">
        <v>363</v>
      </c>
      <c r="B33" s="5" t="s">
        <v>144</v>
      </c>
      <c r="C33" s="11">
        <f t="shared" ref="C33:H33" si="22">opex_legal/12</f>
        <v>20</v>
      </c>
      <c r="D33" s="11">
        <f t="shared" si="22"/>
        <v>20</v>
      </c>
      <c r="E33" s="11">
        <f t="shared" si="22"/>
        <v>20</v>
      </c>
      <c r="F33" s="11">
        <f t="shared" si="22"/>
        <v>20</v>
      </c>
      <c r="G33" s="11">
        <f t="shared" si="22"/>
        <v>20</v>
      </c>
      <c r="H33" s="11">
        <f t="shared" si="22"/>
        <v>20</v>
      </c>
      <c r="I33" s="10">
        <f t="shared" si="14"/>
        <v>120</v>
      </c>
    </row>
    <row r="34" spans="1:9" x14ac:dyDescent="0.3">
      <c r="A34" s="5" t="s">
        <v>477</v>
      </c>
      <c r="B34" s="5" t="s">
        <v>144</v>
      </c>
      <c r="C34" s="11">
        <f t="shared" ref="C34:H34" si="23">opex_partner_mgmt/12</f>
        <v>41.666666666666664</v>
      </c>
      <c r="D34" s="11">
        <f t="shared" si="23"/>
        <v>41.666666666666664</v>
      </c>
      <c r="E34" s="11">
        <f t="shared" si="23"/>
        <v>41.666666666666664</v>
      </c>
      <c r="F34" s="11">
        <f t="shared" si="23"/>
        <v>41.666666666666664</v>
      </c>
      <c r="G34" s="11">
        <f t="shared" si="23"/>
        <v>41.666666666666664</v>
      </c>
      <c r="H34" s="11">
        <f t="shared" si="23"/>
        <v>41.666666666666664</v>
      </c>
      <c r="I34" s="10">
        <f t="shared" si="14"/>
        <v>249.99999999999997</v>
      </c>
    </row>
    <row r="35" spans="1:9" x14ac:dyDescent="0.3">
      <c r="A35" s="5" t="s">
        <v>478</v>
      </c>
      <c r="B35" s="5" t="s">
        <v>144</v>
      </c>
      <c r="C35" s="11">
        <f t="shared" ref="C35:H35" si="24">opex_pilot_eval/6</f>
        <v>33.333333333333336</v>
      </c>
      <c r="D35" s="11">
        <f t="shared" si="24"/>
        <v>33.333333333333336</v>
      </c>
      <c r="E35" s="11">
        <f t="shared" si="24"/>
        <v>33.333333333333336</v>
      </c>
      <c r="F35" s="11">
        <f t="shared" si="24"/>
        <v>33.333333333333336</v>
      </c>
      <c r="G35" s="11">
        <f t="shared" si="24"/>
        <v>33.333333333333336</v>
      </c>
      <c r="H35" s="11">
        <f t="shared" si="24"/>
        <v>33.333333333333336</v>
      </c>
      <c r="I35" s="10">
        <f t="shared" si="14"/>
        <v>200.00000000000003</v>
      </c>
    </row>
    <row r="36" spans="1:9" x14ac:dyDescent="0.3">
      <c r="A36" s="5" t="s">
        <v>479</v>
      </c>
      <c r="B36" s="5" t="s">
        <v>144</v>
      </c>
      <c r="C36" s="11">
        <f>MAX(pilot_count,adoption_max/(1+EXP(-adoption_steepness*(2025.542-adoption_midpoint))))*opex_support_per_ent/12</f>
        <v>19.732052450719213</v>
      </c>
      <c r="D36" s="11">
        <f>MAX(pilot_count,adoption_max/(1+EXP(-adoption_steepness*(2025.625-adoption_midpoint))))*opex_support_per_ent/12</f>
        <v>21.101018271890709</v>
      </c>
      <c r="E36" s="11">
        <f>MAX(pilot_count,adoption_max/(1+EXP(-adoption_steepness*(2025.708-adoption_midpoint))))*opex_support_per_ent/12</f>
        <v>22.553077597862185</v>
      </c>
      <c r="F36" s="11">
        <f>MAX(pilot_count,adoption_max/(1+EXP(-adoption_steepness*(2025.792-adoption_midpoint))))*opex_support_per_ent/12</f>
        <v>24.110680799901427</v>
      </c>
      <c r="G36" s="11">
        <f>MAX(pilot_count,adoption_max/(1+EXP(-adoption_steepness*(2025.875-adoption_midpoint))))*opex_support_per_ent/12</f>
        <v>25.740050116789792</v>
      </c>
      <c r="H36" s="11">
        <f>MAX(pilot_count,adoption_max/(1+EXP(-adoption_steepness*(2025.958-adoption_midpoint))))*opex_support_per_ent/12</f>
        <v>27.462338102712803</v>
      </c>
      <c r="I36" s="10">
        <f t="shared" si="14"/>
        <v>140.69921733987613</v>
      </c>
    </row>
    <row r="37" spans="1:9" x14ac:dyDescent="0.3">
      <c r="A37" s="5" t="s">
        <v>367</v>
      </c>
      <c r="C37" s="10">
        <f t="shared" ref="C37:H37" si="25">SUM(C24:C36)</f>
        <v>3176.6487191173865</v>
      </c>
      <c r="D37" s="10">
        <f t="shared" si="25"/>
        <v>2026.0176849385573</v>
      </c>
      <c r="E37" s="10">
        <f t="shared" si="25"/>
        <v>2027.4697442645288</v>
      </c>
      <c r="F37" s="10">
        <f t="shared" si="25"/>
        <v>2029.027347466568</v>
      </c>
      <c r="G37" s="10">
        <f t="shared" si="25"/>
        <v>2030.6567167834562</v>
      </c>
      <c r="H37" s="10">
        <f t="shared" si="25"/>
        <v>2032.3790047693792</v>
      </c>
      <c r="I37" s="10">
        <f t="shared" si="14"/>
        <v>13322.199217339876</v>
      </c>
    </row>
    <row r="38" spans="1:9" x14ac:dyDescent="0.3">
      <c r="A38" s="5" t="s">
        <v>368</v>
      </c>
      <c r="B38" s="5" t="s">
        <v>144</v>
      </c>
      <c r="C38" s="11">
        <f t="shared" ref="C38:H38" si="26">C37*opex_contingency_pct</f>
        <v>317.66487191173866</v>
      </c>
      <c r="D38" s="11">
        <f t="shared" si="26"/>
        <v>202.60176849385573</v>
      </c>
      <c r="E38" s="11">
        <f t="shared" si="26"/>
        <v>202.74697442645288</v>
      </c>
      <c r="F38" s="11">
        <f t="shared" si="26"/>
        <v>202.90273474665682</v>
      </c>
      <c r="G38" s="11">
        <f t="shared" si="26"/>
        <v>203.06567167834564</v>
      </c>
      <c r="H38" s="11">
        <f t="shared" si="26"/>
        <v>203.23790047693794</v>
      </c>
      <c r="I38" s="10">
        <f t="shared" si="14"/>
        <v>1332.2199217339878</v>
      </c>
    </row>
    <row r="39" spans="1:9" x14ac:dyDescent="0.3">
      <c r="A39" s="5" t="s">
        <v>369</v>
      </c>
      <c r="C39" s="10">
        <f t="shared" ref="C39:H39" si="27">C37+C38</f>
        <v>3494.3135910291253</v>
      </c>
      <c r="D39" s="10">
        <f t="shared" si="27"/>
        <v>2228.6194534324131</v>
      </c>
      <c r="E39" s="10">
        <f t="shared" si="27"/>
        <v>2230.2167186909819</v>
      </c>
      <c r="F39" s="10">
        <f t="shared" si="27"/>
        <v>2231.930082213225</v>
      </c>
      <c r="G39" s="10">
        <f t="shared" si="27"/>
        <v>2233.722388461802</v>
      </c>
      <c r="H39" s="10">
        <f t="shared" si="27"/>
        <v>2235.6169052463169</v>
      </c>
      <c r="I39" s="10">
        <f t="shared" si="14"/>
        <v>14654.419139073865</v>
      </c>
    </row>
    <row r="41" spans="1:9" x14ac:dyDescent="0.3">
      <c r="A41" s="2" t="s">
        <v>480</v>
      </c>
      <c r="C41" s="12"/>
      <c r="D41" s="12"/>
      <c r="E41" s="12"/>
      <c r="F41" s="12"/>
      <c r="G41" s="12"/>
      <c r="H41" s="12"/>
      <c r="I41" s="12"/>
    </row>
    <row r="42" spans="1:9" x14ac:dyDescent="0.3">
      <c r="A42" s="5" t="s">
        <v>21</v>
      </c>
      <c r="C42" s="11">
        <f t="shared" ref="C42:H42" si="28">C8</f>
        <v>389.70803590170442</v>
      </c>
      <c r="D42" s="11">
        <f t="shared" si="28"/>
        <v>416.74511086984154</v>
      </c>
      <c r="E42" s="11">
        <f t="shared" si="28"/>
        <v>445.42328255777812</v>
      </c>
      <c r="F42" s="11">
        <f t="shared" si="28"/>
        <v>476.18594579805313</v>
      </c>
      <c r="G42" s="11">
        <f t="shared" si="28"/>
        <v>508.36598980659846</v>
      </c>
      <c r="H42" s="11">
        <f t="shared" si="28"/>
        <v>542.38117752857784</v>
      </c>
      <c r="I42" s="10">
        <f>SUM(C42:H42)</f>
        <v>2778.8095424625535</v>
      </c>
    </row>
    <row r="43" spans="1:9" x14ac:dyDescent="0.3">
      <c r="A43" s="5" t="s">
        <v>70</v>
      </c>
      <c r="C43" s="11">
        <f t="shared" ref="C43:H43" si="29">C21</f>
        <v>880</v>
      </c>
      <c r="D43" s="11">
        <f t="shared" si="29"/>
        <v>880</v>
      </c>
      <c r="E43" s="11">
        <f t="shared" si="29"/>
        <v>880</v>
      </c>
      <c r="F43" s="11">
        <f t="shared" si="29"/>
        <v>880</v>
      </c>
      <c r="G43" s="11">
        <f t="shared" si="29"/>
        <v>880</v>
      </c>
      <c r="H43" s="11">
        <f t="shared" si="29"/>
        <v>880</v>
      </c>
      <c r="I43" s="10">
        <f>SUM(C43:H43)</f>
        <v>5280</v>
      </c>
    </row>
    <row r="44" spans="1:9" x14ac:dyDescent="0.3">
      <c r="A44" s="5" t="s">
        <v>73</v>
      </c>
      <c r="C44" s="11">
        <f t="shared" ref="C44:H44" si="30">C39</f>
        <v>3494.3135910291253</v>
      </c>
      <c r="D44" s="11">
        <f t="shared" si="30"/>
        <v>2228.6194534324131</v>
      </c>
      <c r="E44" s="11">
        <f t="shared" si="30"/>
        <v>2230.2167186909819</v>
      </c>
      <c r="F44" s="11">
        <f t="shared" si="30"/>
        <v>2231.930082213225</v>
      </c>
      <c r="G44" s="11">
        <f t="shared" si="30"/>
        <v>2233.722388461802</v>
      </c>
      <c r="H44" s="11">
        <f t="shared" si="30"/>
        <v>2235.6169052463169</v>
      </c>
      <c r="I44" s="10">
        <f>SUM(C44:H44)</f>
        <v>14654.419139073865</v>
      </c>
    </row>
    <row r="45" spans="1:9" x14ac:dyDescent="0.3">
      <c r="A45" s="5" t="s">
        <v>481</v>
      </c>
      <c r="C45" s="10">
        <f t="shared" ref="C45:H45" si="31">C43+C44</f>
        <v>4374.3135910291257</v>
      </c>
      <c r="D45" s="10">
        <f t="shared" si="31"/>
        <v>3108.6194534324131</v>
      </c>
      <c r="E45" s="10">
        <f t="shared" si="31"/>
        <v>3110.2167186909819</v>
      </c>
      <c r="F45" s="10">
        <f t="shared" si="31"/>
        <v>3111.930082213225</v>
      </c>
      <c r="G45" s="10">
        <f t="shared" si="31"/>
        <v>3113.722388461802</v>
      </c>
      <c r="H45" s="10">
        <f t="shared" si="31"/>
        <v>3115.6169052463169</v>
      </c>
      <c r="I45" s="10">
        <f>SUM(C45:H45)</f>
        <v>19934.419139073863</v>
      </c>
    </row>
    <row r="46" spans="1:9" x14ac:dyDescent="0.3">
      <c r="A46" s="5" t="s">
        <v>482</v>
      </c>
      <c r="C46" s="10">
        <f t="shared" ref="C46:H46" si="32">C42-C45</f>
        <v>-3984.6055551274212</v>
      </c>
      <c r="D46" s="10">
        <f t="shared" si="32"/>
        <v>-2691.8743425625717</v>
      </c>
      <c r="E46" s="10">
        <f t="shared" si="32"/>
        <v>-2664.7934361332036</v>
      </c>
      <c r="F46" s="10">
        <f t="shared" si="32"/>
        <v>-2635.7441364151719</v>
      </c>
      <c r="G46" s="10">
        <f t="shared" si="32"/>
        <v>-2605.3563986552035</v>
      </c>
      <c r="H46" s="10">
        <f t="shared" si="32"/>
        <v>-2573.2357277177389</v>
      </c>
      <c r="I46" s="10">
        <f>SUM(C46:H46)</f>
        <v>-17155.60959661131</v>
      </c>
    </row>
    <row r="47" spans="1:9" x14ac:dyDescent="0.3">
      <c r="A47" s="5" t="s">
        <v>483</v>
      </c>
      <c r="C47" s="11">
        <f>C46</f>
        <v>-3984.6055551274212</v>
      </c>
      <c r="D47" s="11">
        <f>C47+D46</f>
        <v>-6676.4798976899929</v>
      </c>
      <c r="E47" s="11">
        <f>D47+E46</f>
        <v>-9341.2733338231956</v>
      </c>
      <c r="F47" s="11">
        <f>E47+F46</f>
        <v>-11977.017470238367</v>
      </c>
      <c r="G47" s="11">
        <f>F47+G46</f>
        <v>-14582.37386889357</v>
      </c>
      <c r="H47" s="11">
        <f>G47+H46</f>
        <v>-17155.60959661131</v>
      </c>
      <c r="I47" s="10">
        <f>H47</f>
        <v>-17155.60959661131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</sheetPr>
  <dimension ref="A1:O38"/>
  <sheetViews>
    <sheetView workbookViewId="0">
      <selection activeCell="O36" sqref="O36"/>
    </sheetView>
  </sheetViews>
  <sheetFormatPr defaultRowHeight="14.4" x14ac:dyDescent="0.3"/>
  <cols>
    <col min="1" max="1" width="35" customWidth="1"/>
    <col min="2" max="14" width="12" customWidth="1"/>
    <col min="15" max="15" width="14" customWidth="1"/>
  </cols>
  <sheetData>
    <row r="1" spans="1:15" x14ac:dyDescent="0.3">
      <c r="A1" s="2" t="s">
        <v>484</v>
      </c>
    </row>
    <row r="3" spans="1:15" x14ac:dyDescent="0.3">
      <c r="A3" s="4" t="s">
        <v>328</v>
      </c>
      <c r="B3" s="4" t="s">
        <v>258</v>
      </c>
      <c r="C3" s="4" t="s">
        <v>485</v>
      </c>
      <c r="D3" s="4" t="s">
        <v>486</v>
      </c>
      <c r="E3" s="4" t="s">
        <v>487</v>
      </c>
      <c r="F3" s="4" t="s">
        <v>488</v>
      </c>
      <c r="G3" s="4" t="s">
        <v>489</v>
      </c>
      <c r="H3" s="4" t="s">
        <v>490</v>
      </c>
      <c r="I3" s="4" t="s">
        <v>454</v>
      </c>
      <c r="J3" s="4" t="s">
        <v>455</v>
      </c>
      <c r="K3" s="4" t="s">
        <v>456</v>
      </c>
      <c r="L3" s="4" t="s">
        <v>457</v>
      </c>
      <c r="M3" s="4" t="s">
        <v>458</v>
      </c>
      <c r="N3" s="4" t="s">
        <v>459</v>
      </c>
      <c r="O3" s="4" t="s">
        <v>460</v>
      </c>
    </row>
    <row r="4" spans="1:15" x14ac:dyDescent="0.3">
      <c r="A4" s="2" t="s">
        <v>461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x14ac:dyDescent="0.3">
      <c r="A5" s="5" t="s">
        <v>340</v>
      </c>
      <c r="B5" s="5" t="s">
        <v>144</v>
      </c>
      <c r="C5" s="11">
        <f>MAX(pilot_count,adoption_max/(1+EXP(-adoption_steepness*(2026.042-adoption_midpoint))))*cert_fee_yr1*(1+cert_fee_escalation)^1/12</f>
        <v>384.60192590968603</v>
      </c>
      <c r="D5" s="11">
        <f>MAX(pilot_count,adoption_max/(1+EXP(-adoption_steepness*(2026.125-adoption_midpoint))))*cert_fee_yr1*(1+cert_fee_escalation)^1/12</f>
        <v>409.77535579432566</v>
      </c>
      <c r="E5" s="11">
        <f>MAX(pilot_count,adoption_max/(1+EXP(-adoption_steepness*(2026.208-adoption_midpoint))))*cert_fee_yr1*(1+cert_fee_escalation)^1/12</f>
        <v>436.2756122279302</v>
      </c>
      <c r="F5" s="11">
        <f>MAX(pilot_count,adoption_max/(1+EXP(-adoption_steepness*(2026.292-adoption_midpoint))))*cert_fee_yr1*(1+cert_fee_escalation)^1/12</f>
        <v>464.47453789182367</v>
      </c>
      <c r="G5" s="11">
        <f>MAX(pilot_count,adoption_max/(1+EXP(-adoption_steepness*(2026.375-adoption_midpoint))))*cert_fee_yr1*(1+cert_fee_escalation)^1/12</f>
        <v>493.72379306313411</v>
      </c>
      <c r="H5" s="11">
        <f>MAX(pilot_count,adoption_max/(1+EXP(-adoption_steepness*(2026.458-adoption_midpoint))))*cert_fee_yr1*(1+cert_fee_escalation)^1/12</f>
        <v>524.36791729628214</v>
      </c>
      <c r="I5" s="11">
        <f>MAX(pilot_count,adoption_max/(1+EXP(-adoption_steepness*(2026.542-adoption_midpoint))))*cert_fee_yr1*(1+cert_fee_escalation)^1/12</f>
        <v>556.81221060976191</v>
      </c>
      <c r="J5" s="11">
        <f>MAX(pilot_count,adoption_max/(1+EXP(-adoption_steepness*(2026.625-adoption_midpoint))))*cert_fee_yr1*(1+cert_fee_escalation)^1/12</f>
        <v>590.28754754193926</v>
      </c>
      <c r="K5" s="11">
        <f>MAX(pilot_count,adoption_max/(1+EXP(-adoption_steepness*(2026.708-adoption_midpoint))))*cert_fee_yr1*(1+cert_fee_escalation)^1/12</f>
        <v>625.16706763670902</v>
      </c>
      <c r="L5" s="11">
        <f>MAX(pilot_count,adoption_max/(1+EXP(-adoption_steepness*(2026.792-adoption_midpoint))))*cert_fee_yr1*(1+cert_fee_escalation)^1/12</f>
        <v>661.88299603619885</v>
      </c>
      <c r="M5" s="11">
        <f>MAX(pilot_count,adoption_max/(1+EXP(-adoption_steepness*(2026.875-adoption_midpoint))))*cert_fee_yr1*(1+cert_fee_escalation)^1/12</f>
        <v>699.53856482926403</v>
      </c>
      <c r="N5" s="11">
        <f>MAX(pilot_count,adoption_max/(1+EXP(-adoption_steepness*(2026.958-adoption_midpoint))))*cert_fee_yr1*(1+cert_fee_escalation)^1/12</f>
        <v>738.53048445801824</v>
      </c>
      <c r="O5" s="10">
        <f>SUM(C5:N5)</f>
        <v>6585.4380132950737</v>
      </c>
    </row>
    <row r="6" spans="1:15" x14ac:dyDescent="0.3">
      <c r="A6" s="5" t="s">
        <v>462</v>
      </c>
      <c r="B6" s="5" t="s">
        <v>144</v>
      </c>
      <c r="C6" s="11">
        <f>MAX(pilot_count,adoption_max/(1+EXP(-adoption_steepness*(2026.042-adoption_midpoint))))*training_pct*training_fee/12</f>
        <v>65.931758727374742</v>
      </c>
      <c r="D6" s="11">
        <f>MAX(pilot_count,adoption_max/(1+EXP(-adoption_steepness*(2026.125-adoption_midpoint))))*training_pct*training_fee/12</f>
        <v>70.247203850455833</v>
      </c>
      <c r="E6" s="11">
        <f>MAX(pilot_count,adoption_max/(1+EXP(-adoption_steepness*(2026.208-adoption_midpoint))))*training_pct*training_fee/12</f>
        <v>74.79010495335946</v>
      </c>
      <c r="F6" s="11">
        <f>MAX(pilot_count,adoption_max/(1+EXP(-adoption_steepness*(2026.292-adoption_midpoint))))*training_pct*training_fee/12</f>
        <v>79.624206495741191</v>
      </c>
      <c r="G6" s="11">
        <f>MAX(pilot_count,adoption_max/(1+EXP(-adoption_steepness*(2026.375-adoption_midpoint))))*training_pct*training_fee/12</f>
        <v>84.638364525108699</v>
      </c>
      <c r="H6" s="11">
        <f>MAX(pilot_count,adoption_max/(1+EXP(-adoption_steepness*(2026.458-adoption_midpoint))))*training_pct*training_fee/12</f>
        <v>89.89164296507694</v>
      </c>
      <c r="I6" s="11">
        <f>MAX(pilot_count,adoption_max/(1+EXP(-adoption_steepness*(2026.542-adoption_midpoint))))*training_pct*training_fee/12</f>
        <v>95.453521818816299</v>
      </c>
      <c r="J6" s="11">
        <f>MAX(pilot_count,adoption_max/(1+EXP(-adoption_steepness*(2026.625-adoption_midpoint))))*training_pct*training_fee/12</f>
        <v>101.19215100718959</v>
      </c>
      <c r="K6" s="11">
        <f>MAX(pilot_count,adoption_max/(1+EXP(-adoption_steepness*(2026.708-adoption_midpoint))))*training_pct*training_fee/12</f>
        <v>107.1714973091501</v>
      </c>
      <c r="L6" s="11">
        <f>MAX(pilot_count,adoption_max/(1+EXP(-adoption_steepness*(2026.792-adoption_midpoint))))*training_pct*training_fee/12</f>
        <v>113.46565646334837</v>
      </c>
      <c r="M6" s="11">
        <f>MAX(pilot_count,adoption_max/(1+EXP(-adoption_steepness*(2026.875-adoption_midpoint))))*training_pct*training_fee/12</f>
        <v>119.92089682787382</v>
      </c>
      <c r="N6" s="11">
        <f>MAX(pilot_count,adoption_max/(1+EXP(-adoption_steepness*(2026.958-adoption_midpoint))))*training_pct*training_fee/12</f>
        <v>126.60522590708881</v>
      </c>
      <c r="O6" s="10">
        <f>SUM(C6:N6)</f>
        <v>1128.9322308505839</v>
      </c>
    </row>
    <row r="7" spans="1:15" x14ac:dyDescent="0.3">
      <c r="A7" s="5" t="s">
        <v>463</v>
      </c>
      <c r="B7" s="5" t="s">
        <v>144</v>
      </c>
      <c r="C7" s="11">
        <f>MAX(pilot_count,adoption_max/(1+EXP(-adoption_steepness*(2026.042-adoption_midpoint))))*audit_fee/12</f>
        <v>146.5150193941661</v>
      </c>
      <c r="D7" s="11">
        <f>MAX(pilot_count,adoption_max/(1+EXP(-adoption_steepness*(2026.125-adoption_midpoint))))*audit_fee/12</f>
        <v>156.1048974454574</v>
      </c>
      <c r="E7" s="11">
        <f>MAX(pilot_count,adoption_max/(1+EXP(-adoption_steepness*(2026.208-adoption_midpoint))))*audit_fee/12</f>
        <v>166.20023322968771</v>
      </c>
      <c r="F7" s="11">
        <f>MAX(pilot_count,adoption_max/(1+EXP(-adoption_steepness*(2026.292-adoption_midpoint))))*audit_fee/12</f>
        <v>176.94268110164708</v>
      </c>
      <c r="G7" s="11">
        <f>MAX(pilot_count,adoption_max/(1+EXP(-adoption_steepness*(2026.375-adoption_midpoint))))*audit_fee/12</f>
        <v>188.08525450024158</v>
      </c>
      <c r="H7" s="11">
        <f>MAX(pilot_count,adoption_max/(1+EXP(-adoption_steepness*(2026.458-adoption_midpoint))))*audit_fee/12</f>
        <v>199.75920658905989</v>
      </c>
      <c r="I7" s="11">
        <f>MAX(pilot_count,adoption_max/(1+EXP(-adoption_steepness*(2026.542-adoption_midpoint))))*audit_fee/12</f>
        <v>212.1189373751474</v>
      </c>
      <c r="J7" s="11">
        <f>MAX(pilot_count,adoption_max/(1+EXP(-adoption_steepness*(2026.625-adoption_midpoint))))*audit_fee/12</f>
        <v>224.87144668264355</v>
      </c>
      <c r="K7" s="11">
        <f>MAX(pilot_count,adoption_max/(1+EXP(-adoption_steepness*(2026.708-adoption_midpoint))))*audit_fee/12</f>
        <v>238.15888290922246</v>
      </c>
      <c r="L7" s="11">
        <f>MAX(pilot_count,adoption_max/(1+EXP(-adoption_steepness*(2026.792-adoption_midpoint))))*audit_fee/12</f>
        <v>252.14590325188524</v>
      </c>
      <c r="M7" s="11">
        <f>MAX(pilot_count,adoption_max/(1+EXP(-adoption_steepness*(2026.875-adoption_midpoint))))*audit_fee/12</f>
        <v>266.49088183971958</v>
      </c>
      <c r="N7" s="11">
        <f>MAX(pilot_count,adoption_max/(1+EXP(-adoption_steepness*(2026.958-adoption_midpoint))))*audit_fee/12</f>
        <v>281.34494646019738</v>
      </c>
      <c r="O7" s="10">
        <f>SUM(C7:N7)</f>
        <v>2508.7382907790752</v>
      </c>
    </row>
    <row r="8" spans="1:15" x14ac:dyDescent="0.3">
      <c r="A8" s="5" t="s">
        <v>349</v>
      </c>
      <c r="C8" s="10">
        <f t="shared" ref="C8:N8" si="0">SUM(C5:C7)</f>
        <v>597.04870403122686</v>
      </c>
      <c r="D8" s="10">
        <f t="shared" si="0"/>
        <v>636.12745709023886</v>
      </c>
      <c r="E8" s="10">
        <f t="shared" si="0"/>
        <v>677.26595041097733</v>
      </c>
      <c r="F8" s="10">
        <f t="shared" si="0"/>
        <v>721.04142548921197</v>
      </c>
      <c r="G8" s="10">
        <f t="shared" si="0"/>
        <v>766.44741208848438</v>
      </c>
      <c r="H8" s="10">
        <f t="shared" si="0"/>
        <v>814.01876685041896</v>
      </c>
      <c r="I8" s="10">
        <f t="shared" si="0"/>
        <v>864.38466980372561</v>
      </c>
      <c r="J8" s="10">
        <f t="shared" si="0"/>
        <v>916.35114523177242</v>
      </c>
      <c r="K8" s="10">
        <f t="shared" si="0"/>
        <v>970.49744785508165</v>
      </c>
      <c r="L8" s="10">
        <f t="shared" si="0"/>
        <v>1027.4945557514325</v>
      </c>
      <c r="M8" s="10">
        <f t="shared" si="0"/>
        <v>1085.9503434968574</v>
      </c>
      <c r="N8" s="10">
        <f t="shared" si="0"/>
        <v>1146.4806568253043</v>
      </c>
      <c r="O8" s="10">
        <f>SUM(C8:N8)</f>
        <v>10223.108534924733</v>
      </c>
    </row>
    <row r="10" spans="1:15" x14ac:dyDescent="0.3">
      <c r="A10" s="2" t="s">
        <v>70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spans="1:15" x14ac:dyDescent="0.3">
      <c r="A11" s="5" t="s">
        <v>355</v>
      </c>
      <c r="B11" s="5" t="s">
        <v>144</v>
      </c>
      <c r="C11" s="11">
        <f t="shared" ref="C11:N11" si="1">capex_total*capex_maintenance_pct/12</f>
        <v>79.2</v>
      </c>
      <c r="D11" s="11">
        <f t="shared" si="1"/>
        <v>79.2</v>
      </c>
      <c r="E11" s="11">
        <f t="shared" si="1"/>
        <v>79.2</v>
      </c>
      <c r="F11" s="11">
        <f t="shared" si="1"/>
        <v>79.2</v>
      </c>
      <c r="G11" s="11">
        <f t="shared" si="1"/>
        <v>79.2</v>
      </c>
      <c r="H11" s="11">
        <f t="shared" si="1"/>
        <v>79.2</v>
      </c>
      <c r="I11" s="11">
        <f t="shared" si="1"/>
        <v>79.2</v>
      </c>
      <c r="J11" s="11">
        <f t="shared" si="1"/>
        <v>79.2</v>
      </c>
      <c r="K11" s="11">
        <f t="shared" si="1"/>
        <v>79.2</v>
      </c>
      <c r="L11" s="11">
        <f t="shared" si="1"/>
        <v>79.2</v>
      </c>
      <c r="M11" s="11">
        <f t="shared" si="1"/>
        <v>79.2</v>
      </c>
      <c r="N11" s="11">
        <f t="shared" si="1"/>
        <v>79.2</v>
      </c>
      <c r="O11" s="10">
        <f>SUM(C11:N11)</f>
        <v>950.4000000000002</v>
      </c>
    </row>
    <row r="12" spans="1:15" x14ac:dyDescent="0.3">
      <c r="A12" s="5" t="s">
        <v>356</v>
      </c>
      <c r="C12" s="10">
        <f t="shared" ref="C12:N12" si="2">SUM(C11:C11)</f>
        <v>79.2</v>
      </c>
      <c r="D12" s="10">
        <f t="shared" si="2"/>
        <v>79.2</v>
      </c>
      <c r="E12" s="10">
        <f t="shared" si="2"/>
        <v>79.2</v>
      </c>
      <c r="F12" s="10">
        <f t="shared" si="2"/>
        <v>79.2</v>
      </c>
      <c r="G12" s="10">
        <f t="shared" si="2"/>
        <v>79.2</v>
      </c>
      <c r="H12" s="10">
        <f t="shared" si="2"/>
        <v>79.2</v>
      </c>
      <c r="I12" s="10">
        <f t="shared" si="2"/>
        <v>79.2</v>
      </c>
      <c r="J12" s="10">
        <f t="shared" si="2"/>
        <v>79.2</v>
      </c>
      <c r="K12" s="10">
        <f t="shared" si="2"/>
        <v>79.2</v>
      </c>
      <c r="L12" s="10">
        <f t="shared" si="2"/>
        <v>79.2</v>
      </c>
      <c r="M12" s="10">
        <f t="shared" si="2"/>
        <v>79.2</v>
      </c>
      <c r="N12" s="10">
        <f t="shared" si="2"/>
        <v>79.2</v>
      </c>
      <c r="O12" s="10">
        <f>SUM(C12:N12)</f>
        <v>950.4000000000002</v>
      </c>
    </row>
    <row r="14" spans="1:15" x14ac:dyDescent="0.3">
      <c r="A14" s="2" t="s">
        <v>73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15" x14ac:dyDescent="0.3">
      <c r="A15" s="5" t="s">
        <v>472</v>
      </c>
      <c r="B15" s="5" t="s">
        <v>144</v>
      </c>
      <c r="C15" s="11">
        <f t="shared" ref="C15:N15" si="3">salary_mgmt*2*(1+salary_escalation)^1*(1+bhxh_rate)</f>
        <v>120.28500000000003</v>
      </c>
      <c r="D15" s="11">
        <f t="shared" si="3"/>
        <v>120.28500000000003</v>
      </c>
      <c r="E15" s="11">
        <f t="shared" si="3"/>
        <v>120.28500000000003</v>
      </c>
      <c r="F15" s="11">
        <f t="shared" si="3"/>
        <v>120.28500000000003</v>
      </c>
      <c r="G15" s="11">
        <f t="shared" si="3"/>
        <v>120.28500000000003</v>
      </c>
      <c r="H15" s="11">
        <f t="shared" si="3"/>
        <v>120.28500000000003</v>
      </c>
      <c r="I15" s="11">
        <f t="shared" si="3"/>
        <v>120.28500000000003</v>
      </c>
      <c r="J15" s="11">
        <f t="shared" si="3"/>
        <v>120.28500000000003</v>
      </c>
      <c r="K15" s="11">
        <f t="shared" si="3"/>
        <v>120.28500000000003</v>
      </c>
      <c r="L15" s="11">
        <f t="shared" si="3"/>
        <v>120.28500000000003</v>
      </c>
      <c r="M15" s="11">
        <f t="shared" si="3"/>
        <v>120.28500000000003</v>
      </c>
      <c r="N15" s="11">
        <f t="shared" si="3"/>
        <v>120.28500000000003</v>
      </c>
      <c r="O15" s="10">
        <f t="shared" ref="O15:O30" si="4">SUM(C15:N15)</f>
        <v>1443.4200000000008</v>
      </c>
    </row>
    <row r="16" spans="1:15" x14ac:dyDescent="0.3">
      <c r="A16" s="5" t="s">
        <v>473</v>
      </c>
      <c r="B16" s="5" t="s">
        <v>144</v>
      </c>
      <c r="C16" s="11">
        <f t="shared" ref="C16:N16" si="5">salary_dev*12*(1+salary_escalation)^1*(1+bhxh_rate)</f>
        <v>561.33000000000015</v>
      </c>
      <c r="D16" s="11">
        <f t="shared" si="5"/>
        <v>561.33000000000015</v>
      </c>
      <c r="E16" s="11">
        <f t="shared" si="5"/>
        <v>561.33000000000015</v>
      </c>
      <c r="F16" s="11">
        <f t="shared" si="5"/>
        <v>561.33000000000015</v>
      </c>
      <c r="G16" s="11">
        <f t="shared" si="5"/>
        <v>561.33000000000015</v>
      </c>
      <c r="H16" s="11">
        <f t="shared" si="5"/>
        <v>561.33000000000015</v>
      </c>
      <c r="I16" s="11">
        <f t="shared" si="5"/>
        <v>561.33000000000015</v>
      </c>
      <c r="J16" s="11">
        <f t="shared" si="5"/>
        <v>561.33000000000015</v>
      </c>
      <c r="K16" s="11">
        <f t="shared" si="5"/>
        <v>561.33000000000015</v>
      </c>
      <c r="L16" s="11">
        <f t="shared" si="5"/>
        <v>561.33000000000015</v>
      </c>
      <c r="M16" s="11">
        <f t="shared" si="5"/>
        <v>561.33000000000015</v>
      </c>
      <c r="N16" s="11">
        <f t="shared" si="5"/>
        <v>561.33000000000015</v>
      </c>
      <c r="O16" s="10">
        <f t="shared" si="4"/>
        <v>6735.96</v>
      </c>
    </row>
    <row r="17" spans="1:15" x14ac:dyDescent="0.3">
      <c r="A17" s="5" t="s">
        <v>491</v>
      </c>
      <c r="B17" s="5" t="s">
        <v>144</v>
      </c>
      <c r="C17" s="11">
        <f t="shared" ref="C17:N17" si="6">salary_bizops*6*(1+salary_escalation)^1*(1+bhxh_rate)</f>
        <v>160.38000000000002</v>
      </c>
      <c r="D17" s="11">
        <f t="shared" si="6"/>
        <v>160.38000000000002</v>
      </c>
      <c r="E17" s="11">
        <f t="shared" si="6"/>
        <v>160.38000000000002</v>
      </c>
      <c r="F17" s="11">
        <f t="shared" si="6"/>
        <v>160.38000000000002</v>
      </c>
      <c r="G17" s="11">
        <f t="shared" si="6"/>
        <v>160.38000000000002</v>
      </c>
      <c r="H17" s="11">
        <f t="shared" si="6"/>
        <v>160.38000000000002</v>
      </c>
      <c r="I17" s="11">
        <f t="shared" si="6"/>
        <v>160.38000000000002</v>
      </c>
      <c r="J17" s="11">
        <f t="shared" si="6"/>
        <v>160.38000000000002</v>
      </c>
      <c r="K17" s="11">
        <f t="shared" si="6"/>
        <v>160.38000000000002</v>
      </c>
      <c r="L17" s="11">
        <f t="shared" si="6"/>
        <v>160.38000000000002</v>
      </c>
      <c r="M17" s="11">
        <f t="shared" si="6"/>
        <v>160.38000000000002</v>
      </c>
      <c r="N17" s="11">
        <f t="shared" si="6"/>
        <v>160.38000000000002</v>
      </c>
      <c r="O17" s="10">
        <f t="shared" si="4"/>
        <v>1924.5600000000006</v>
      </c>
    </row>
    <row r="18" spans="1:15" x14ac:dyDescent="0.3">
      <c r="A18" s="5" t="s">
        <v>492</v>
      </c>
      <c r="B18" s="5" t="s">
        <v>144</v>
      </c>
      <c r="C18" s="11">
        <f t="shared" ref="C18:N18" si="7">salary_data*2*(1+salary_escalation)^1*(1+bhxh_rate)</f>
        <v>106.92</v>
      </c>
      <c r="D18" s="11">
        <f t="shared" si="7"/>
        <v>106.92</v>
      </c>
      <c r="E18" s="11">
        <f t="shared" si="7"/>
        <v>106.92</v>
      </c>
      <c r="F18" s="11">
        <f t="shared" si="7"/>
        <v>106.92</v>
      </c>
      <c r="G18" s="11">
        <f t="shared" si="7"/>
        <v>106.92</v>
      </c>
      <c r="H18" s="11">
        <f t="shared" si="7"/>
        <v>106.92</v>
      </c>
      <c r="I18" s="11">
        <f t="shared" si="7"/>
        <v>106.92</v>
      </c>
      <c r="J18" s="11">
        <f t="shared" si="7"/>
        <v>106.92</v>
      </c>
      <c r="K18" s="11">
        <f t="shared" si="7"/>
        <v>106.92</v>
      </c>
      <c r="L18" s="11">
        <f t="shared" si="7"/>
        <v>106.92</v>
      </c>
      <c r="M18" s="11">
        <f t="shared" si="7"/>
        <v>106.92</v>
      </c>
      <c r="N18" s="11">
        <f t="shared" si="7"/>
        <v>106.92</v>
      </c>
      <c r="O18" s="10">
        <f t="shared" si="4"/>
        <v>1283.04</v>
      </c>
    </row>
    <row r="19" spans="1:15" x14ac:dyDescent="0.3">
      <c r="A19" s="5" t="s">
        <v>475</v>
      </c>
      <c r="B19" s="5" t="s">
        <v>144</v>
      </c>
      <c r="C19" s="11">
        <f>6*30*12*recruit_cost_pct</f>
        <v>432</v>
      </c>
      <c r="D19" s="11">
        <f>0</f>
        <v>0</v>
      </c>
      <c r="E19" s="11">
        <f>0</f>
        <v>0</v>
      </c>
      <c r="F19" s="11">
        <f>0</f>
        <v>0</v>
      </c>
      <c r="G19" s="11">
        <f>0</f>
        <v>0</v>
      </c>
      <c r="H19" s="11">
        <f>0</f>
        <v>0</v>
      </c>
      <c r="I19" s="11">
        <f>0</f>
        <v>0</v>
      </c>
      <c r="J19" s="11">
        <f>0</f>
        <v>0</v>
      </c>
      <c r="K19" s="11">
        <f>0</f>
        <v>0</v>
      </c>
      <c r="L19" s="11">
        <f>0</f>
        <v>0</v>
      </c>
      <c r="M19" s="11">
        <f>0</f>
        <v>0</v>
      </c>
      <c r="N19" s="11">
        <f>0</f>
        <v>0</v>
      </c>
      <c r="O19" s="10">
        <f t="shared" si="4"/>
        <v>432</v>
      </c>
    </row>
    <row r="20" spans="1:15" x14ac:dyDescent="0.3">
      <c r="A20" s="5" t="s">
        <v>358</v>
      </c>
      <c r="B20" s="5" t="s">
        <v>144</v>
      </c>
      <c r="C20" s="11">
        <f t="shared" ref="C20:N20" si="8">opex_marketing*(1+marketing_growth)^1/12</f>
        <v>670.83333333333326</v>
      </c>
      <c r="D20" s="11">
        <f t="shared" si="8"/>
        <v>670.83333333333326</v>
      </c>
      <c r="E20" s="11">
        <f t="shared" si="8"/>
        <v>670.83333333333326</v>
      </c>
      <c r="F20" s="11">
        <f t="shared" si="8"/>
        <v>670.83333333333326</v>
      </c>
      <c r="G20" s="11">
        <f t="shared" si="8"/>
        <v>670.83333333333326</v>
      </c>
      <c r="H20" s="11">
        <f t="shared" si="8"/>
        <v>670.83333333333326</v>
      </c>
      <c r="I20" s="11">
        <f t="shared" si="8"/>
        <v>670.83333333333326</v>
      </c>
      <c r="J20" s="11">
        <f t="shared" si="8"/>
        <v>670.83333333333326</v>
      </c>
      <c r="K20" s="11">
        <f t="shared" si="8"/>
        <v>670.83333333333326</v>
      </c>
      <c r="L20" s="11">
        <f t="shared" si="8"/>
        <v>670.83333333333326</v>
      </c>
      <c r="M20" s="11">
        <f t="shared" si="8"/>
        <v>670.83333333333326</v>
      </c>
      <c r="N20" s="11">
        <f t="shared" si="8"/>
        <v>670.83333333333326</v>
      </c>
      <c r="O20" s="10">
        <f t="shared" si="4"/>
        <v>8049.9999999999973</v>
      </c>
    </row>
    <row r="21" spans="1:15" x14ac:dyDescent="0.3">
      <c r="A21" s="5" t="s">
        <v>476</v>
      </c>
      <c r="B21" s="5" t="s">
        <v>144</v>
      </c>
      <c r="C21" s="11">
        <f t="shared" ref="C21:N21" si="9">opex_branding/12</f>
        <v>333.33333333333331</v>
      </c>
      <c r="D21" s="11">
        <f t="shared" si="9"/>
        <v>333.33333333333331</v>
      </c>
      <c r="E21" s="11">
        <f t="shared" si="9"/>
        <v>333.33333333333331</v>
      </c>
      <c r="F21" s="11">
        <f t="shared" si="9"/>
        <v>333.33333333333331</v>
      </c>
      <c r="G21" s="11">
        <f t="shared" si="9"/>
        <v>333.33333333333331</v>
      </c>
      <c r="H21" s="11">
        <f t="shared" si="9"/>
        <v>333.33333333333331</v>
      </c>
      <c r="I21" s="11">
        <f t="shared" si="9"/>
        <v>333.33333333333331</v>
      </c>
      <c r="J21" s="11">
        <f t="shared" si="9"/>
        <v>333.33333333333331</v>
      </c>
      <c r="K21" s="11">
        <f t="shared" si="9"/>
        <v>333.33333333333331</v>
      </c>
      <c r="L21" s="11">
        <f t="shared" si="9"/>
        <v>333.33333333333331</v>
      </c>
      <c r="M21" s="11">
        <f t="shared" si="9"/>
        <v>333.33333333333331</v>
      </c>
      <c r="N21" s="11">
        <f t="shared" si="9"/>
        <v>333.33333333333331</v>
      </c>
      <c r="O21" s="10">
        <f t="shared" si="4"/>
        <v>4000.0000000000005</v>
      </c>
    </row>
    <row r="22" spans="1:15" x14ac:dyDescent="0.3">
      <c r="A22" s="5" t="s">
        <v>464</v>
      </c>
      <c r="B22" s="5" t="s">
        <v>144</v>
      </c>
      <c r="C22" s="11">
        <f t="shared" ref="C22:N22" si="10">opex_cloud_base/12</f>
        <v>270.83333333333331</v>
      </c>
      <c r="D22" s="11">
        <f t="shared" si="10"/>
        <v>270.83333333333331</v>
      </c>
      <c r="E22" s="11">
        <f t="shared" si="10"/>
        <v>270.83333333333331</v>
      </c>
      <c r="F22" s="11">
        <f t="shared" si="10"/>
        <v>270.83333333333331</v>
      </c>
      <c r="G22" s="11">
        <f t="shared" si="10"/>
        <v>270.83333333333331</v>
      </c>
      <c r="H22" s="11">
        <f t="shared" si="10"/>
        <v>270.83333333333331</v>
      </c>
      <c r="I22" s="11">
        <f t="shared" si="10"/>
        <v>270.83333333333331</v>
      </c>
      <c r="J22" s="11">
        <f t="shared" si="10"/>
        <v>270.83333333333331</v>
      </c>
      <c r="K22" s="11">
        <f t="shared" si="10"/>
        <v>270.83333333333331</v>
      </c>
      <c r="L22" s="11">
        <f t="shared" si="10"/>
        <v>270.83333333333331</v>
      </c>
      <c r="M22" s="11">
        <f t="shared" si="10"/>
        <v>270.83333333333331</v>
      </c>
      <c r="N22" s="11">
        <f t="shared" si="10"/>
        <v>270.83333333333331</v>
      </c>
      <c r="O22" s="10">
        <f t="shared" si="4"/>
        <v>3250.0000000000005</v>
      </c>
    </row>
    <row r="23" spans="1:15" x14ac:dyDescent="0.3">
      <c r="A23" s="5" t="s">
        <v>361</v>
      </c>
      <c r="B23" s="5" t="s">
        <v>144</v>
      </c>
      <c r="C23" s="11">
        <f t="shared" ref="C23:N23" si="11">opex_security/12</f>
        <v>20.833333333333332</v>
      </c>
      <c r="D23" s="11">
        <f t="shared" si="11"/>
        <v>20.833333333333332</v>
      </c>
      <c r="E23" s="11">
        <f t="shared" si="11"/>
        <v>20.833333333333332</v>
      </c>
      <c r="F23" s="11">
        <f t="shared" si="11"/>
        <v>20.833333333333332</v>
      </c>
      <c r="G23" s="11">
        <f t="shared" si="11"/>
        <v>20.833333333333332</v>
      </c>
      <c r="H23" s="11">
        <f t="shared" si="11"/>
        <v>20.833333333333332</v>
      </c>
      <c r="I23" s="11">
        <f t="shared" si="11"/>
        <v>20.833333333333332</v>
      </c>
      <c r="J23" s="11">
        <f t="shared" si="11"/>
        <v>20.833333333333332</v>
      </c>
      <c r="K23" s="11">
        <f t="shared" si="11"/>
        <v>20.833333333333332</v>
      </c>
      <c r="L23" s="11">
        <f t="shared" si="11"/>
        <v>20.833333333333332</v>
      </c>
      <c r="M23" s="11">
        <f t="shared" si="11"/>
        <v>20.833333333333332</v>
      </c>
      <c r="N23" s="11">
        <f t="shared" si="11"/>
        <v>20.833333333333332</v>
      </c>
      <c r="O23" s="10">
        <f t="shared" si="4"/>
        <v>250.00000000000003</v>
      </c>
    </row>
    <row r="24" spans="1:15" x14ac:dyDescent="0.3">
      <c r="A24" s="5" t="s">
        <v>362</v>
      </c>
      <c r="B24" s="5" t="s">
        <v>144</v>
      </c>
      <c r="C24" s="11">
        <f t="shared" ref="C24:N24" si="12">opex_external/12</f>
        <v>33.333333333333336</v>
      </c>
      <c r="D24" s="11">
        <f t="shared" si="12"/>
        <v>33.333333333333336</v>
      </c>
      <c r="E24" s="11">
        <f t="shared" si="12"/>
        <v>33.333333333333336</v>
      </c>
      <c r="F24" s="11">
        <f t="shared" si="12"/>
        <v>33.333333333333336</v>
      </c>
      <c r="G24" s="11">
        <f t="shared" si="12"/>
        <v>33.333333333333336</v>
      </c>
      <c r="H24" s="11">
        <f t="shared" si="12"/>
        <v>33.333333333333336</v>
      </c>
      <c r="I24" s="11">
        <f t="shared" si="12"/>
        <v>33.333333333333336</v>
      </c>
      <c r="J24" s="11">
        <f t="shared" si="12"/>
        <v>33.333333333333336</v>
      </c>
      <c r="K24" s="11">
        <f t="shared" si="12"/>
        <v>33.333333333333336</v>
      </c>
      <c r="L24" s="11">
        <f t="shared" si="12"/>
        <v>33.333333333333336</v>
      </c>
      <c r="M24" s="11">
        <f t="shared" si="12"/>
        <v>33.333333333333336</v>
      </c>
      <c r="N24" s="11">
        <f t="shared" si="12"/>
        <v>33.333333333333336</v>
      </c>
      <c r="O24" s="10">
        <f t="shared" si="4"/>
        <v>399.99999999999994</v>
      </c>
    </row>
    <row r="25" spans="1:15" x14ac:dyDescent="0.3">
      <c r="A25" s="5" t="s">
        <v>363</v>
      </c>
      <c r="B25" s="5" t="s">
        <v>144</v>
      </c>
      <c r="C25" s="11">
        <f t="shared" ref="C25:N25" si="13">opex_legal/12</f>
        <v>20</v>
      </c>
      <c r="D25" s="11">
        <f t="shared" si="13"/>
        <v>20</v>
      </c>
      <c r="E25" s="11">
        <f t="shared" si="13"/>
        <v>20</v>
      </c>
      <c r="F25" s="11">
        <f t="shared" si="13"/>
        <v>20</v>
      </c>
      <c r="G25" s="11">
        <f t="shared" si="13"/>
        <v>20</v>
      </c>
      <c r="H25" s="11">
        <f t="shared" si="13"/>
        <v>20</v>
      </c>
      <c r="I25" s="11">
        <f t="shared" si="13"/>
        <v>20</v>
      </c>
      <c r="J25" s="11">
        <f t="shared" si="13"/>
        <v>20</v>
      </c>
      <c r="K25" s="11">
        <f t="shared" si="13"/>
        <v>20</v>
      </c>
      <c r="L25" s="11">
        <f t="shared" si="13"/>
        <v>20</v>
      </c>
      <c r="M25" s="11">
        <f t="shared" si="13"/>
        <v>20</v>
      </c>
      <c r="N25" s="11">
        <f t="shared" si="13"/>
        <v>20</v>
      </c>
      <c r="O25" s="10">
        <f t="shared" si="4"/>
        <v>240</v>
      </c>
    </row>
    <row r="26" spans="1:15" x14ac:dyDescent="0.3">
      <c r="A26" s="5" t="s">
        <v>477</v>
      </c>
      <c r="B26" s="5" t="s">
        <v>144</v>
      </c>
      <c r="C26" s="11">
        <f t="shared" ref="C26:N26" si="14">opex_partner_mgmt/12</f>
        <v>41.666666666666664</v>
      </c>
      <c r="D26" s="11">
        <f t="shared" si="14"/>
        <v>41.666666666666664</v>
      </c>
      <c r="E26" s="11">
        <f t="shared" si="14"/>
        <v>41.666666666666664</v>
      </c>
      <c r="F26" s="11">
        <f t="shared" si="14"/>
        <v>41.666666666666664</v>
      </c>
      <c r="G26" s="11">
        <f t="shared" si="14"/>
        <v>41.666666666666664</v>
      </c>
      <c r="H26" s="11">
        <f t="shared" si="14"/>
        <v>41.666666666666664</v>
      </c>
      <c r="I26" s="11">
        <f t="shared" si="14"/>
        <v>41.666666666666664</v>
      </c>
      <c r="J26" s="11">
        <f t="shared" si="14"/>
        <v>41.666666666666664</v>
      </c>
      <c r="K26" s="11">
        <f t="shared" si="14"/>
        <v>41.666666666666664</v>
      </c>
      <c r="L26" s="11">
        <f t="shared" si="14"/>
        <v>41.666666666666664</v>
      </c>
      <c r="M26" s="11">
        <f t="shared" si="14"/>
        <v>41.666666666666664</v>
      </c>
      <c r="N26" s="11">
        <f t="shared" si="14"/>
        <v>41.666666666666664</v>
      </c>
      <c r="O26" s="10">
        <f t="shared" si="4"/>
        <v>500.00000000000006</v>
      </c>
    </row>
    <row r="27" spans="1:15" x14ac:dyDescent="0.3">
      <c r="A27" s="5" t="s">
        <v>479</v>
      </c>
      <c r="B27" s="5" t="s">
        <v>144</v>
      </c>
      <c r="C27" s="11">
        <f>MAX(pilot_count,adoption_max/(1+EXP(-adoption_steepness*(2026.042-adoption_midpoint))))*opex_support_per_ent/12</f>
        <v>29.30300387883322</v>
      </c>
      <c r="D27" s="11">
        <f>MAX(pilot_count,adoption_max/(1+EXP(-adoption_steepness*(2026.125-adoption_midpoint))))*opex_support_per_ent/12</f>
        <v>31.22097948909148</v>
      </c>
      <c r="E27" s="11">
        <f>MAX(pilot_count,adoption_max/(1+EXP(-adoption_steepness*(2026.208-adoption_midpoint))))*opex_support_per_ent/12</f>
        <v>33.240046645937539</v>
      </c>
      <c r="F27" s="11">
        <f>MAX(pilot_count,adoption_max/(1+EXP(-adoption_steepness*(2026.292-adoption_midpoint))))*opex_support_per_ent/12</f>
        <v>35.388536220329421</v>
      </c>
      <c r="G27" s="11">
        <f>MAX(pilot_count,adoption_max/(1+EXP(-adoption_steepness*(2026.375-adoption_midpoint))))*opex_support_per_ent/12</f>
        <v>37.617050900048312</v>
      </c>
      <c r="H27" s="11">
        <f>MAX(pilot_count,adoption_max/(1+EXP(-adoption_steepness*(2026.458-adoption_midpoint))))*opex_support_per_ent/12</f>
        <v>39.951841317811976</v>
      </c>
      <c r="I27" s="11">
        <f>MAX(pilot_count,adoption_max/(1+EXP(-adoption_steepness*(2026.542-adoption_midpoint))))*opex_support_per_ent/12</f>
        <v>42.423787475029478</v>
      </c>
      <c r="J27" s="11">
        <f>MAX(pilot_count,adoption_max/(1+EXP(-adoption_steepness*(2026.625-adoption_midpoint))))*opex_support_per_ent/12</f>
        <v>44.974289336528706</v>
      </c>
      <c r="K27" s="11">
        <f>MAX(pilot_count,adoption_max/(1+EXP(-adoption_steepness*(2026.708-adoption_midpoint))))*opex_support_per_ent/12</f>
        <v>47.631776581844491</v>
      </c>
      <c r="L27" s="11">
        <f>MAX(pilot_count,adoption_max/(1+EXP(-adoption_steepness*(2026.792-adoption_midpoint))))*opex_support_per_ent/12</f>
        <v>50.429180650377049</v>
      </c>
      <c r="M27" s="11">
        <f>MAX(pilot_count,adoption_max/(1+EXP(-adoption_steepness*(2026.875-adoption_midpoint))))*opex_support_per_ent/12</f>
        <v>53.298176367943917</v>
      </c>
      <c r="N27" s="11">
        <f>MAX(pilot_count,adoption_max/(1+EXP(-adoption_steepness*(2026.958-adoption_midpoint))))*opex_support_per_ent/12</f>
        <v>56.268989292039471</v>
      </c>
      <c r="O27" s="10">
        <f t="shared" si="4"/>
        <v>501.74765815581509</v>
      </c>
    </row>
    <row r="28" spans="1:15" x14ac:dyDescent="0.3">
      <c r="A28" s="5" t="s">
        <v>367</v>
      </c>
      <c r="C28" s="10">
        <f t="shared" ref="C28:N28" si="15">SUM(C15:C27)</f>
        <v>2801.0513372121673</v>
      </c>
      <c r="D28" s="10">
        <f t="shared" si="15"/>
        <v>2370.9693128224249</v>
      </c>
      <c r="E28" s="10">
        <f t="shared" si="15"/>
        <v>2372.988379979271</v>
      </c>
      <c r="F28" s="10">
        <f t="shared" si="15"/>
        <v>2375.136869553663</v>
      </c>
      <c r="G28" s="10">
        <f t="shared" si="15"/>
        <v>2377.365384233382</v>
      </c>
      <c r="H28" s="10">
        <f t="shared" si="15"/>
        <v>2379.7001746511455</v>
      </c>
      <c r="I28" s="10">
        <f t="shared" si="15"/>
        <v>2382.1721208083627</v>
      </c>
      <c r="J28" s="10">
        <f t="shared" si="15"/>
        <v>2384.7226226698622</v>
      </c>
      <c r="K28" s="10">
        <f t="shared" si="15"/>
        <v>2387.3801099151779</v>
      </c>
      <c r="L28" s="10">
        <f t="shared" si="15"/>
        <v>2390.1775139837105</v>
      </c>
      <c r="M28" s="10">
        <f t="shared" si="15"/>
        <v>2393.0465097012775</v>
      </c>
      <c r="N28" s="10">
        <f t="shared" si="15"/>
        <v>2396.0173226253728</v>
      </c>
      <c r="O28" s="10">
        <f t="shared" si="4"/>
        <v>29010.727658155822</v>
      </c>
    </row>
    <row r="29" spans="1:15" x14ac:dyDescent="0.3">
      <c r="A29" s="5" t="s">
        <v>368</v>
      </c>
      <c r="B29" s="5" t="s">
        <v>144</v>
      </c>
      <c r="C29" s="11">
        <f t="shared" ref="C29:N29" si="16">C28*opex_contingency_pct</f>
        <v>280.10513372121676</v>
      </c>
      <c r="D29" s="11">
        <f t="shared" si="16"/>
        <v>237.09693128224251</v>
      </c>
      <c r="E29" s="11">
        <f t="shared" si="16"/>
        <v>237.29883799792711</v>
      </c>
      <c r="F29" s="11">
        <f t="shared" si="16"/>
        <v>237.51368695536632</v>
      </c>
      <c r="G29" s="11">
        <f t="shared" si="16"/>
        <v>237.7365384233382</v>
      </c>
      <c r="H29" s="11">
        <f t="shared" si="16"/>
        <v>237.97001746511455</v>
      </c>
      <c r="I29" s="11">
        <f t="shared" si="16"/>
        <v>238.21721208083628</v>
      </c>
      <c r="J29" s="11">
        <f t="shared" si="16"/>
        <v>238.47226226698623</v>
      </c>
      <c r="K29" s="11">
        <f t="shared" si="16"/>
        <v>238.7380109915178</v>
      </c>
      <c r="L29" s="11">
        <f t="shared" si="16"/>
        <v>239.01775139837105</v>
      </c>
      <c r="M29" s="11">
        <f t="shared" si="16"/>
        <v>239.30465097012777</v>
      </c>
      <c r="N29" s="11">
        <f t="shared" si="16"/>
        <v>239.6017322625373</v>
      </c>
      <c r="O29" s="10">
        <f t="shared" si="4"/>
        <v>2901.072765815582</v>
      </c>
    </row>
    <row r="30" spans="1:15" x14ac:dyDescent="0.3">
      <c r="A30" s="5" t="s">
        <v>369</v>
      </c>
      <c r="C30" s="10">
        <f t="shared" ref="C30:N30" si="17">C28+C29</f>
        <v>3081.1564709333838</v>
      </c>
      <c r="D30" s="10">
        <f t="shared" si="17"/>
        <v>2608.0662441046675</v>
      </c>
      <c r="E30" s="10">
        <f t="shared" si="17"/>
        <v>2610.287217977198</v>
      </c>
      <c r="F30" s="10">
        <f t="shared" si="17"/>
        <v>2612.6505565090292</v>
      </c>
      <c r="G30" s="10">
        <f t="shared" si="17"/>
        <v>2615.10192265672</v>
      </c>
      <c r="H30" s="10">
        <f t="shared" si="17"/>
        <v>2617.6701921162603</v>
      </c>
      <c r="I30" s="10">
        <f t="shared" si="17"/>
        <v>2620.3893328891991</v>
      </c>
      <c r="J30" s="10">
        <f t="shared" si="17"/>
        <v>2623.1948849368482</v>
      </c>
      <c r="K30" s="10">
        <f t="shared" si="17"/>
        <v>2626.1181209066958</v>
      </c>
      <c r="L30" s="10">
        <f t="shared" si="17"/>
        <v>2629.1952653820817</v>
      </c>
      <c r="M30" s="10">
        <f t="shared" si="17"/>
        <v>2632.3511606714051</v>
      </c>
      <c r="N30" s="10">
        <f t="shared" si="17"/>
        <v>2635.6190548879099</v>
      </c>
      <c r="O30" s="10">
        <f t="shared" si="4"/>
        <v>31911.800423971399</v>
      </c>
    </row>
    <row r="32" spans="1:15" x14ac:dyDescent="0.3">
      <c r="A32" s="2" t="s">
        <v>480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A33" s="5" t="s">
        <v>21</v>
      </c>
      <c r="C33" s="11">
        <f t="shared" ref="C33:N33" si="18">C8</f>
        <v>597.04870403122686</v>
      </c>
      <c r="D33" s="11">
        <f t="shared" si="18"/>
        <v>636.12745709023886</v>
      </c>
      <c r="E33" s="11">
        <f t="shared" si="18"/>
        <v>677.26595041097733</v>
      </c>
      <c r="F33" s="11">
        <f t="shared" si="18"/>
        <v>721.04142548921197</v>
      </c>
      <c r="G33" s="11">
        <f t="shared" si="18"/>
        <v>766.44741208848438</v>
      </c>
      <c r="H33" s="11">
        <f t="shared" si="18"/>
        <v>814.01876685041896</v>
      </c>
      <c r="I33" s="11">
        <f t="shared" si="18"/>
        <v>864.38466980372561</v>
      </c>
      <c r="J33" s="11">
        <f t="shared" si="18"/>
        <v>916.35114523177242</v>
      </c>
      <c r="K33" s="11">
        <f t="shared" si="18"/>
        <v>970.49744785508165</v>
      </c>
      <c r="L33" s="11">
        <f t="shared" si="18"/>
        <v>1027.4945557514325</v>
      </c>
      <c r="M33" s="11">
        <f t="shared" si="18"/>
        <v>1085.9503434968574</v>
      </c>
      <c r="N33" s="11">
        <f t="shared" si="18"/>
        <v>1146.4806568253043</v>
      </c>
      <c r="O33" s="10">
        <f>SUM(C33:N33)</f>
        <v>10223.108534924733</v>
      </c>
    </row>
    <row r="34" spans="1:15" x14ac:dyDescent="0.3">
      <c r="A34" s="5" t="s">
        <v>70</v>
      </c>
      <c r="C34" s="11">
        <f t="shared" ref="C34:N34" si="19">C12</f>
        <v>79.2</v>
      </c>
      <c r="D34" s="11">
        <f t="shared" si="19"/>
        <v>79.2</v>
      </c>
      <c r="E34" s="11">
        <f t="shared" si="19"/>
        <v>79.2</v>
      </c>
      <c r="F34" s="11">
        <f t="shared" si="19"/>
        <v>79.2</v>
      </c>
      <c r="G34" s="11">
        <f t="shared" si="19"/>
        <v>79.2</v>
      </c>
      <c r="H34" s="11">
        <f t="shared" si="19"/>
        <v>79.2</v>
      </c>
      <c r="I34" s="11">
        <f t="shared" si="19"/>
        <v>79.2</v>
      </c>
      <c r="J34" s="11">
        <f t="shared" si="19"/>
        <v>79.2</v>
      </c>
      <c r="K34" s="11">
        <f t="shared" si="19"/>
        <v>79.2</v>
      </c>
      <c r="L34" s="11">
        <f t="shared" si="19"/>
        <v>79.2</v>
      </c>
      <c r="M34" s="11">
        <f t="shared" si="19"/>
        <v>79.2</v>
      </c>
      <c r="N34" s="11">
        <f t="shared" si="19"/>
        <v>79.2</v>
      </c>
      <c r="O34" s="10">
        <f>SUM(C34:N34)</f>
        <v>950.4000000000002</v>
      </c>
    </row>
    <row r="35" spans="1:15" x14ac:dyDescent="0.3">
      <c r="A35" s="5" t="s">
        <v>73</v>
      </c>
      <c r="C35" s="11">
        <f t="shared" ref="C35:N35" si="20">C30</f>
        <v>3081.1564709333838</v>
      </c>
      <c r="D35" s="11">
        <f t="shared" si="20"/>
        <v>2608.0662441046675</v>
      </c>
      <c r="E35" s="11">
        <f t="shared" si="20"/>
        <v>2610.287217977198</v>
      </c>
      <c r="F35" s="11">
        <f t="shared" si="20"/>
        <v>2612.6505565090292</v>
      </c>
      <c r="G35" s="11">
        <f t="shared" si="20"/>
        <v>2615.10192265672</v>
      </c>
      <c r="H35" s="11">
        <f t="shared" si="20"/>
        <v>2617.6701921162603</v>
      </c>
      <c r="I35" s="11">
        <f t="shared" si="20"/>
        <v>2620.3893328891991</v>
      </c>
      <c r="J35" s="11">
        <f t="shared" si="20"/>
        <v>2623.1948849368482</v>
      </c>
      <c r="K35" s="11">
        <f t="shared" si="20"/>
        <v>2626.1181209066958</v>
      </c>
      <c r="L35" s="11">
        <f t="shared" si="20"/>
        <v>2629.1952653820817</v>
      </c>
      <c r="M35" s="11">
        <f t="shared" si="20"/>
        <v>2632.3511606714051</v>
      </c>
      <c r="N35" s="11">
        <f t="shared" si="20"/>
        <v>2635.6190548879099</v>
      </c>
      <c r="O35" s="10">
        <f>SUM(C35:N35)</f>
        <v>31911.800423971399</v>
      </c>
    </row>
    <row r="36" spans="1:15" x14ac:dyDescent="0.3">
      <c r="A36" s="5" t="s">
        <v>481</v>
      </c>
      <c r="C36" s="10">
        <f t="shared" ref="C36:N36" si="21">C34+C35</f>
        <v>3160.3564709333837</v>
      </c>
      <c r="D36" s="10">
        <f t="shared" si="21"/>
        <v>2687.2662441046673</v>
      </c>
      <c r="E36" s="10">
        <f t="shared" si="21"/>
        <v>2689.4872179771978</v>
      </c>
      <c r="F36" s="10">
        <f t="shared" si="21"/>
        <v>2691.850556509029</v>
      </c>
      <c r="G36" s="10">
        <f t="shared" si="21"/>
        <v>2694.3019226567199</v>
      </c>
      <c r="H36" s="10">
        <f t="shared" si="21"/>
        <v>2696.8701921162601</v>
      </c>
      <c r="I36" s="10">
        <f t="shared" si="21"/>
        <v>2699.5893328891989</v>
      </c>
      <c r="J36" s="10">
        <f t="shared" si="21"/>
        <v>2702.394884936848</v>
      </c>
      <c r="K36" s="10">
        <f t="shared" si="21"/>
        <v>2705.3181209066956</v>
      </c>
      <c r="L36" s="10">
        <f t="shared" si="21"/>
        <v>2708.3952653820816</v>
      </c>
      <c r="M36" s="10">
        <f t="shared" si="21"/>
        <v>2711.5511606714049</v>
      </c>
      <c r="N36" s="10">
        <f t="shared" si="21"/>
        <v>2714.8190548879097</v>
      </c>
      <c r="O36" s="10">
        <f>SUM(C36:N36)</f>
        <v>32862.200423971393</v>
      </c>
    </row>
    <row r="37" spans="1:15" x14ac:dyDescent="0.3">
      <c r="A37" s="5" t="s">
        <v>482</v>
      </c>
      <c r="C37" s="10">
        <f t="shared" ref="C37:N37" si="22">C33-C36</f>
        <v>-2563.3077669021568</v>
      </c>
      <c r="D37" s="10">
        <f t="shared" si="22"/>
        <v>-2051.1387870144285</v>
      </c>
      <c r="E37" s="10">
        <f t="shared" si="22"/>
        <v>-2012.2212675662204</v>
      </c>
      <c r="F37" s="10">
        <f t="shared" si="22"/>
        <v>-1970.809131019817</v>
      </c>
      <c r="G37" s="10">
        <f t="shared" si="22"/>
        <v>-1927.8545105682356</v>
      </c>
      <c r="H37" s="10">
        <f t="shared" si="22"/>
        <v>-1882.851425265841</v>
      </c>
      <c r="I37" s="10">
        <f t="shared" si="22"/>
        <v>-1835.2046630854734</v>
      </c>
      <c r="J37" s="10">
        <f t="shared" si="22"/>
        <v>-1786.0437397050755</v>
      </c>
      <c r="K37" s="10">
        <f t="shared" si="22"/>
        <v>-1734.820673051614</v>
      </c>
      <c r="L37" s="10">
        <f t="shared" si="22"/>
        <v>-1680.9007096306491</v>
      </c>
      <c r="M37" s="10">
        <f t="shared" si="22"/>
        <v>-1625.6008171745475</v>
      </c>
      <c r="N37" s="10">
        <f t="shared" si="22"/>
        <v>-1568.3383980626054</v>
      </c>
      <c r="O37" s="10">
        <f>SUM(C37:N37)</f>
        <v>-22639.091889046664</v>
      </c>
    </row>
    <row r="38" spans="1:15" x14ac:dyDescent="0.3">
      <c r="A38" s="5" t="s">
        <v>483</v>
      </c>
      <c r="C38" s="11">
        <f>C37</f>
        <v>-2563.3077669021568</v>
      </c>
      <c r="D38" s="11">
        <f t="shared" ref="D38:N38" si="23">C38+D37</f>
        <v>-4614.4465539165849</v>
      </c>
      <c r="E38" s="11">
        <f t="shared" si="23"/>
        <v>-6626.6678214828053</v>
      </c>
      <c r="F38" s="11">
        <f t="shared" si="23"/>
        <v>-8597.4769525026222</v>
      </c>
      <c r="G38" s="11">
        <f t="shared" si="23"/>
        <v>-10525.331463070857</v>
      </c>
      <c r="H38" s="11">
        <f t="shared" si="23"/>
        <v>-12408.182888336698</v>
      </c>
      <c r="I38" s="11">
        <f t="shared" si="23"/>
        <v>-14243.387551422171</v>
      </c>
      <c r="J38" s="11">
        <f t="shared" si="23"/>
        <v>-16029.431291127246</v>
      </c>
      <c r="K38" s="11">
        <f t="shared" si="23"/>
        <v>-17764.25196417886</v>
      </c>
      <c r="L38" s="11">
        <f t="shared" si="23"/>
        <v>-19445.152673809509</v>
      </c>
      <c r="M38" s="11">
        <f t="shared" si="23"/>
        <v>-21070.753490984058</v>
      </c>
      <c r="N38" s="11">
        <f t="shared" si="23"/>
        <v>-22639.091889046664</v>
      </c>
      <c r="O38" s="10">
        <f>N38</f>
        <v>-22639.091889046664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60</vt:i4>
      </vt:variant>
    </vt:vector>
  </HeadingPairs>
  <TitlesOfParts>
    <vt:vector size="73" baseType="lpstr">
      <vt:lpstr>Hướng dẫn</vt:lpstr>
      <vt:lpstr>Assumptions</vt:lpstr>
      <vt:lpstr>Đầu tư ban đầu</vt:lpstr>
      <vt:lpstr>Nhân sự</vt:lpstr>
      <vt:lpstr>Quy mô thị trường</vt:lpstr>
      <vt:lpstr>Doanh thu</vt:lpstr>
      <vt:lpstr>Chi phí</vt:lpstr>
      <vt:lpstr>Kết quả KD</vt:lpstr>
      <vt:lpstr>Dòng tiền</vt:lpstr>
      <vt:lpstr>Thẩm định</vt:lpstr>
      <vt:lpstr>Kịch bản</vt:lpstr>
      <vt:lpstr>Ngân sách 2025</vt:lpstr>
      <vt:lpstr>Ngân sách 2026</vt:lpstr>
      <vt:lpstr>ad_cpm</vt:lpstr>
      <vt:lpstr>ad_impressions_base</vt:lpstr>
      <vt:lpstr>adoption_max</vt:lpstr>
      <vt:lpstr>adoption_midpoint</vt:lpstr>
      <vt:lpstr>adoption_steepness</vt:lpstr>
      <vt:lpstr>ap_days</vt:lpstr>
      <vt:lpstr>ar_days</vt:lpstr>
      <vt:lpstr>audit_fee</vt:lpstr>
      <vt:lpstr>base_year</vt:lpstr>
      <vt:lpstr>bhxh_rate</vt:lpstr>
      <vt:lpstr>capex_backend</vt:lpstr>
      <vt:lpstr>capex_cloud_setup</vt:lpstr>
      <vt:lpstr>capex_contingency</vt:lpstr>
      <vt:lpstr>capex_data_platform</vt:lpstr>
      <vt:lpstr>capex_devops</vt:lpstr>
      <vt:lpstr>capex_frontend</vt:lpstr>
      <vt:lpstr>capex_integration</vt:lpstr>
      <vt:lpstr>capex_maintenance_pct</vt:lpstr>
      <vt:lpstr>capex_security_setup</vt:lpstr>
      <vt:lpstr>capex_testing</vt:lpstr>
      <vt:lpstr>capex_total</vt:lpstr>
      <vt:lpstr>capex_ux_design</vt:lpstr>
      <vt:lpstr>cert_fee_escalation</vt:lpstr>
      <vt:lpstr>cert_fee_yr1</vt:lpstr>
      <vt:lpstr>churn_rate</vt:lpstr>
      <vt:lpstr>cit_rate</vt:lpstr>
      <vt:lpstr>cloud_per_1M_vcr</vt:lpstr>
      <vt:lpstr>daas_price</vt:lpstr>
      <vt:lpstr>depreciation_years</vt:lpstr>
      <vt:lpstr>discount_rate</vt:lpstr>
      <vt:lpstr>ecom_growth_rate</vt:lpstr>
      <vt:lpstr>ecom_market_base</vt:lpstr>
      <vt:lpstr>marketing_growth</vt:lpstr>
      <vt:lpstr>opex_branding</vt:lpstr>
      <vt:lpstr>opex_cloud_base</vt:lpstr>
      <vt:lpstr>opex_contingency_pct</vt:lpstr>
      <vt:lpstr>opex_external</vt:lpstr>
      <vt:lpstr>opex_legal</vt:lpstr>
      <vt:lpstr>opex_marketing</vt:lpstr>
      <vt:lpstr>opex_partner_mgmt</vt:lpstr>
      <vt:lpstr>opex_pilot_eval</vt:lpstr>
      <vt:lpstr>opex_security</vt:lpstr>
      <vt:lpstr>opex_support_per_ent</vt:lpstr>
      <vt:lpstr>payment_proc_pct</vt:lpstr>
      <vt:lpstr>pilot_count</vt:lpstr>
      <vt:lpstr>platform_market_share</vt:lpstr>
      <vt:lpstr>recruit_cost_pct</vt:lpstr>
      <vt:lpstr>salary_bizops</vt:lpstr>
      <vt:lpstr>salary_data</vt:lpstr>
      <vt:lpstr>salary_dev</vt:lpstr>
      <vt:lpstr>salary_escalation</vt:lpstr>
      <vt:lpstr>salary_mgmt</vt:lpstr>
      <vt:lpstr>SAM_enterprises</vt:lpstr>
      <vt:lpstr>stage2_gate</vt:lpstr>
      <vt:lpstr>start_month</vt:lpstr>
      <vt:lpstr>TAM_enterprises</vt:lpstr>
      <vt:lpstr>training_fee</vt:lpstr>
      <vt:lpstr>training_pct</vt:lpstr>
      <vt:lpstr>tx_take_rate</vt:lpstr>
      <vt:lpstr>vcr_per_enterprise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Hoai Nam (VPBDH)</cp:lastModifiedBy>
  <dcterms:created xsi:type="dcterms:W3CDTF">2026-03-21T10:49:10Z</dcterms:created>
  <dcterms:modified xsi:type="dcterms:W3CDTF">2026-03-21T11:02:49Z</dcterms:modified>
</cp:coreProperties>
</file>