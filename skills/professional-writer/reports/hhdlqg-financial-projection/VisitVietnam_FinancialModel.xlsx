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hhdlqg-financial-projection\"/>
    </mc:Choice>
  </mc:AlternateContent>
  <xr:revisionPtr revIDLastSave="0" documentId="13_ncr:1_{6AF67E33-7B43-46E0-BE14-285DB55590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Assumptions" sheetId="2" r:id="rId2"/>
    <sheet name="Market Sizing" sheetId="3" r:id="rId3"/>
    <sheet name="Revenue Schedule" sheetId="4" r:id="rId4"/>
    <sheet name="Cost Schedule" sheetId="5" r:id="rId5"/>
    <sheet name="P&amp;L" sheetId="6" r:id="rId6"/>
    <sheet name="Cash Flow" sheetId="7" r:id="rId7"/>
    <sheet name="DCF &amp; Returns" sheetId="8" r:id="rId8"/>
    <sheet name="Sensitiv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8" l="1"/>
  <c r="B22" i="8"/>
  <c r="AR10" i="6"/>
  <c r="AR6" i="7" s="1"/>
  <c r="AQ10" i="6"/>
  <c r="AQ6" i="7" s="1"/>
  <c r="AP10" i="6"/>
  <c r="AP6" i="7" s="1"/>
  <c r="AO10" i="6"/>
  <c r="AO6" i="7" s="1"/>
  <c r="AN10" i="6"/>
  <c r="AN6" i="7" s="1"/>
  <c r="AM10" i="6"/>
  <c r="AM6" i="7" s="1"/>
  <c r="AL10" i="6"/>
  <c r="AL6" i="7" s="1"/>
  <c r="AK10" i="6"/>
  <c r="AK6" i="7" s="1"/>
  <c r="AJ10" i="6"/>
  <c r="AJ6" i="7" s="1"/>
  <c r="AI10" i="6"/>
  <c r="AI6" i="7" s="1"/>
  <c r="AH10" i="6"/>
  <c r="AH6" i="7" s="1"/>
  <c r="AG10" i="6"/>
  <c r="AG6" i="7" s="1"/>
  <c r="AF10" i="6"/>
  <c r="AF6" i="7" s="1"/>
  <c r="AE10" i="6"/>
  <c r="AE6" i="7" s="1"/>
  <c r="AD10" i="6"/>
  <c r="AD6" i="7" s="1"/>
  <c r="AC10" i="6"/>
  <c r="AC6" i="7" s="1"/>
  <c r="AB10" i="6"/>
  <c r="AB6" i="7" s="1"/>
  <c r="AA10" i="6"/>
  <c r="AA6" i="7" s="1"/>
  <c r="Z10" i="6"/>
  <c r="Z6" i="7" s="1"/>
  <c r="Y10" i="6"/>
  <c r="Y6" i="7" s="1"/>
  <c r="X10" i="6"/>
  <c r="X6" i="7" s="1"/>
  <c r="W10" i="6"/>
  <c r="W6" i="7" s="1"/>
  <c r="V10" i="6"/>
  <c r="V6" i="7" s="1"/>
  <c r="U10" i="6"/>
  <c r="U6" i="7" s="1"/>
  <c r="T10" i="6"/>
  <c r="T6" i="7" s="1"/>
  <c r="S10" i="6"/>
  <c r="S6" i="7" s="1"/>
  <c r="R10" i="6"/>
  <c r="R6" i="7" s="1"/>
  <c r="Q10" i="6"/>
  <c r="Q6" i="7" s="1"/>
  <c r="P10" i="6"/>
  <c r="P6" i="7" s="1"/>
  <c r="O10" i="6"/>
  <c r="O6" i="7" s="1"/>
  <c r="N10" i="6"/>
  <c r="N6" i="7" s="1"/>
  <c r="M10" i="6"/>
  <c r="M6" i="7" s="1"/>
  <c r="L10" i="6"/>
  <c r="L6" i="7" s="1"/>
  <c r="K10" i="6"/>
  <c r="K6" i="7" s="1"/>
  <c r="J10" i="6"/>
  <c r="J6" i="7" s="1"/>
  <c r="I10" i="6"/>
  <c r="I6" i="7" s="1"/>
  <c r="H10" i="6"/>
  <c r="H6" i="7" s="1"/>
  <c r="G10" i="6"/>
  <c r="G6" i="7" s="1"/>
  <c r="F10" i="6"/>
  <c r="F6" i="7" s="1"/>
  <c r="E10" i="6"/>
  <c r="E6" i="7" s="1"/>
  <c r="D10" i="6"/>
  <c r="D6" i="7" s="1"/>
  <c r="C10" i="6"/>
  <c r="C6" i="7" s="1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P7" i="5"/>
  <c r="AN7" i="5"/>
  <c r="AL7" i="5"/>
  <c r="AJ7" i="5"/>
  <c r="AH7" i="5"/>
  <c r="AE7" i="5"/>
  <c r="AB7" i="5"/>
  <c r="N7" i="5"/>
  <c r="L7" i="5"/>
  <c r="J7" i="5"/>
  <c r="H7" i="5"/>
  <c r="F7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R5" i="5"/>
  <c r="AR7" i="5" s="1"/>
  <c r="AQ5" i="5"/>
  <c r="AQ7" i="5" s="1"/>
  <c r="AP5" i="5"/>
  <c r="AO5" i="5"/>
  <c r="AO7" i="5" s="1"/>
  <c r="AN5" i="5"/>
  <c r="AM5" i="5"/>
  <c r="AM7" i="5" s="1"/>
  <c r="AL5" i="5"/>
  <c r="AK5" i="5"/>
  <c r="AK7" i="5" s="1"/>
  <c r="AJ5" i="5"/>
  <c r="AI5" i="5"/>
  <c r="AI7" i="5" s="1"/>
  <c r="AH5" i="5"/>
  <c r="AG5" i="5"/>
  <c r="AG7" i="5" s="1"/>
  <c r="AF5" i="5"/>
  <c r="AF7" i="5" s="1"/>
  <c r="AE5" i="5"/>
  <c r="AD5" i="5"/>
  <c r="AD7" i="5" s="1"/>
  <c r="AC5" i="5"/>
  <c r="AC7" i="5" s="1"/>
  <c r="AB5" i="5"/>
  <c r="AA5" i="5"/>
  <c r="AA7" i="5" s="1"/>
  <c r="Z5" i="5"/>
  <c r="Z7" i="5" s="1"/>
  <c r="Y5" i="5"/>
  <c r="Y7" i="5" s="1"/>
  <c r="X5" i="5"/>
  <c r="X7" i="5" s="1"/>
  <c r="W5" i="5"/>
  <c r="W7" i="5" s="1"/>
  <c r="V5" i="5"/>
  <c r="V7" i="5" s="1"/>
  <c r="U5" i="5"/>
  <c r="U7" i="5" s="1"/>
  <c r="T5" i="5"/>
  <c r="T7" i="5" s="1"/>
  <c r="S5" i="5"/>
  <c r="S7" i="5" s="1"/>
  <c r="R5" i="5"/>
  <c r="R7" i="5" s="1"/>
  <c r="Q5" i="5"/>
  <c r="Q7" i="5" s="1"/>
  <c r="P5" i="5"/>
  <c r="P7" i="5" s="1"/>
  <c r="O5" i="5"/>
  <c r="O7" i="5" s="1"/>
  <c r="N5" i="5"/>
  <c r="M5" i="5"/>
  <c r="M7" i="5" s="1"/>
  <c r="L5" i="5"/>
  <c r="K5" i="5"/>
  <c r="K7" i="5" s="1"/>
  <c r="J5" i="5"/>
  <c r="I5" i="5"/>
  <c r="I7" i="5" s="1"/>
  <c r="H5" i="5"/>
  <c r="G5" i="5"/>
  <c r="G7" i="5" s="1"/>
  <c r="F5" i="5"/>
  <c r="E5" i="5"/>
  <c r="E7" i="5" s="1"/>
  <c r="D5" i="5"/>
  <c r="D7" i="5" s="1"/>
  <c r="C5" i="5"/>
  <c r="C7" i="5" s="1"/>
  <c r="AG11" i="3"/>
  <c r="C11" i="3"/>
  <c r="AR10" i="3"/>
  <c r="AQ10" i="3"/>
  <c r="AQ11" i="3" s="1"/>
  <c r="AP10" i="3"/>
  <c r="AO10" i="3"/>
  <c r="AN10" i="3"/>
  <c r="AM10" i="3"/>
  <c r="AL10" i="3"/>
  <c r="AK10" i="3"/>
  <c r="AJ10" i="3"/>
  <c r="AI10" i="3"/>
  <c r="AH10" i="3"/>
  <c r="AG10" i="3"/>
  <c r="AG12" i="3" s="1"/>
  <c r="AF10" i="3"/>
  <c r="AE10" i="3"/>
  <c r="AE11" i="3" s="1"/>
  <c r="AE12" i="3" s="1"/>
  <c r="AD10" i="3"/>
  <c r="AC10" i="3"/>
  <c r="AC11" i="3" s="1"/>
  <c r="AC12" i="3" s="1"/>
  <c r="AB10" i="3"/>
  <c r="AA10" i="3"/>
  <c r="Z10" i="3"/>
  <c r="Y10" i="3"/>
  <c r="X10" i="3"/>
  <c r="W10" i="3"/>
  <c r="V10" i="3"/>
  <c r="U10" i="3"/>
  <c r="T10" i="3"/>
  <c r="S10" i="3"/>
  <c r="R10" i="3"/>
  <c r="Q10" i="3"/>
  <c r="Q11" i="3" s="1"/>
  <c r="Q12" i="3" s="1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C12" i="3" s="1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G5" i="1"/>
  <c r="E5" i="1"/>
  <c r="C11" i="7" l="1"/>
  <c r="C12" i="7" s="1"/>
  <c r="AC13" i="4"/>
  <c r="AC12" i="4"/>
  <c r="AC11" i="4"/>
  <c r="AC7" i="4"/>
  <c r="AC14" i="3"/>
  <c r="AC14" i="5" s="1"/>
  <c r="AC6" i="4"/>
  <c r="AC5" i="4"/>
  <c r="C13" i="4"/>
  <c r="C11" i="4"/>
  <c r="C12" i="4"/>
  <c r="C6" i="4"/>
  <c r="C14" i="3"/>
  <c r="C14" i="5" s="1"/>
  <c r="C13" i="3"/>
  <c r="C5" i="4"/>
  <c r="C7" i="4"/>
  <c r="AE5" i="4"/>
  <c r="AE13" i="4"/>
  <c r="AE6" i="4"/>
  <c r="AE14" i="3"/>
  <c r="AE14" i="5" s="1"/>
  <c r="AE7" i="4"/>
  <c r="AE11" i="4"/>
  <c r="Q13" i="4"/>
  <c r="Q14" i="3"/>
  <c r="Q14" i="5" s="1"/>
  <c r="Q7" i="4"/>
  <c r="Q6" i="4"/>
  <c r="Q11" i="4"/>
  <c r="Q5" i="4"/>
  <c r="AQ12" i="3"/>
  <c r="T11" i="7"/>
  <c r="T12" i="7" s="1"/>
  <c r="AE11" i="7"/>
  <c r="AE12" i="7" s="1"/>
  <c r="G12" i="3"/>
  <c r="V11" i="7"/>
  <c r="V12" i="7" s="1"/>
  <c r="O11" i="3"/>
  <c r="O12" i="3" s="1"/>
  <c r="S12" i="3"/>
  <c r="Z11" i="7"/>
  <c r="Z12" i="7" s="1"/>
  <c r="V12" i="3"/>
  <c r="AF12" i="3"/>
  <c r="X11" i="7"/>
  <c r="X12" i="7" s="1"/>
  <c r="AG11" i="4"/>
  <c r="AG13" i="3"/>
  <c r="AG13" i="4"/>
  <c r="AG12" i="4"/>
  <c r="AG7" i="4"/>
  <c r="AG6" i="4"/>
  <c r="AG5" i="4"/>
  <c r="AG14" i="3"/>
  <c r="AG14" i="5" s="1"/>
  <c r="F12" i="3"/>
  <c r="J12" i="3"/>
  <c r="P11" i="7"/>
  <c r="P12" i="7" s="1"/>
  <c r="AD11" i="7"/>
  <c r="AD12" i="7" s="1"/>
  <c r="AR11" i="7"/>
  <c r="AR12" i="7" s="1"/>
  <c r="E12" i="3"/>
  <c r="K12" i="3"/>
  <c r="Y12" i="3"/>
  <c r="Q11" i="7"/>
  <c r="Q12" i="7" s="1"/>
  <c r="O11" i="7"/>
  <c r="O12" i="7" s="1"/>
  <c r="AC11" i="7"/>
  <c r="AC12" i="7" s="1"/>
  <c r="AQ11" i="7"/>
  <c r="AQ12" i="7" s="1"/>
  <c r="AB11" i="7"/>
  <c r="AB12" i="7" s="1"/>
  <c r="P11" i="3"/>
  <c r="P12" i="3" s="1"/>
  <c r="AD11" i="3"/>
  <c r="AD12" i="3" s="1"/>
  <c r="AR11" i="3"/>
  <c r="AR12" i="3" s="1"/>
  <c r="AF11" i="7"/>
  <c r="AF12" i="7" s="1"/>
  <c r="H11" i="7"/>
  <c r="H12" i="7" s="1"/>
  <c r="F11" i="3"/>
  <c r="T11" i="3"/>
  <c r="T12" i="3" s="1"/>
  <c r="AH11" i="3"/>
  <c r="AH12" i="3" s="1"/>
  <c r="J11" i="7"/>
  <c r="J12" i="7" s="1"/>
  <c r="AL11" i="7"/>
  <c r="AL12" i="7" s="1"/>
  <c r="E11" i="3"/>
  <c r="G11" i="3"/>
  <c r="U11" i="3"/>
  <c r="U12" i="3" s="1"/>
  <c r="AI11" i="3"/>
  <c r="AI12" i="3" s="1"/>
  <c r="G11" i="7"/>
  <c r="G12" i="7" s="1"/>
  <c r="U11" i="7"/>
  <c r="U12" i="7" s="1"/>
  <c r="AI11" i="7"/>
  <c r="AI12" i="7" s="1"/>
  <c r="L11" i="7"/>
  <c r="L12" i="7" s="1"/>
  <c r="AN11" i="7"/>
  <c r="AN12" i="7" s="1"/>
  <c r="E11" i="7"/>
  <c r="E12" i="7" s="1"/>
  <c r="S11" i="7"/>
  <c r="S12" i="7" s="1"/>
  <c r="AJ11" i="7"/>
  <c r="AJ12" i="7" s="1"/>
  <c r="H11" i="3"/>
  <c r="H12" i="3" s="1"/>
  <c r="V11" i="3"/>
  <c r="AJ11" i="3"/>
  <c r="AJ12" i="3" s="1"/>
  <c r="N11" i="7"/>
  <c r="N12" i="7" s="1"/>
  <c r="AP11" i="7"/>
  <c r="AP12" i="7" s="1"/>
  <c r="AC19" i="5"/>
  <c r="AC8" i="6" s="1"/>
  <c r="F11" i="7"/>
  <c r="F12" i="7" s="1"/>
  <c r="I11" i="3"/>
  <c r="I12" i="3" s="1"/>
  <c r="W11" i="3"/>
  <c r="W12" i="3" s="1"/>
  <c r="AK11" i="3"/>
  <c r="AK12" i="3" s="1"/>
  <c r="I11" i="7"/>
  <c r="I12" i="7" s="1"/>
  <c r="W11" i="7"/>
  <c r="W12" i="7" s="1"/>
  <c r="AK11" i="7"/>
  <c r="AK12" i="7" s="1"/>
  <c r="D11" i="3"/>
  <c r="D12" i="3" s="1"/>
  <c r="R11" i="3"/>
  <c r="R12" i="3" s="1"/>
  <c r="AF11" i="3"/>
  <c r="D11" i="7"/>
  <c r="D12" i="7" s="1"/>
  <c r="AH11" i="7"/>
  <c r="AH12" i="7" s="1"/>
  <c r="J11" i="3"/>
  <c r="X11" i="3"/>
  <c r="X12" i="3" s="1"/>
  <c r="AL11" i="3"/>
  <c r="AL12" i="3" s="1"/>
  <c r="C19" i="5"/>
  <c r="C8" i="6" s="1"/>
  <c r="Q19" i="5"/>
  <c r="Q8" i="6" s="1"/>
  <c r="AE19" i="5"/>
  <c r="AE8" i="6" s="1"/>
  <c r="R11" i="7"/>
  <c r="R12" i="7" s="1"/>
  <c r="S11" i="3"/>
  <c r="K11" i="3"/>
  <c r="Y11" i="3"/>
  <c r="AM11" i="3"/>
  <c r="AM12" i="3" s="1"/>
  <c r="K11" i="7"/>
  <c r="K12" i="7" s="1"/>
  <c r="Y11" i="7"/>
  <c r="Y12" i="7" s="1"/>
  <c r="AM11" i="7"/>
  <c r="AM12" i="7" s="1"/>
  <c r="L11" i="3"/>
  <c r="L12" i="3" s="1"/>
  <c r="Z11" i="3"/>
  <c r="Z12" i="3" s="1"/>
  <c r="AN11" i="3"/>
  <c r="AN12" i="3" s="1"/>
  <c r="AG19" i="5"/>
  <c r="AG8" i="6" s="1"/>
  <c r="AG11" i="7"/>
  <c r="AG12" i="7" s="1"/>
  <c r="AG21" i="5"/>
  <c r="M11" i="3"/>
  <c r="M12" i="3" s="1"/>
  <c r="AA11" i="3"/>
  <c r="AA12" i="3" s="1"/>
  <c r="AO11" i="3"/>
  <c r="AO12" i="3" s="1"/>
  <c r="M11" i="7"/>
  <c r="M12" i="7" s="1"/>
  <c r="AA11" i="7"/>
  <c r="AA12" i="7" s="1"/>
  <c r="AO11" i="7"/>
  <c r="AO12" i="7" s="1"/>
  <c r="N11" i="3"/>
  <c r="N12" i="3" s="1"/>
  <c r="AB11" i="3"/>
  <c r="AB12" i="3" s="1"/>
  <c r="AP11" i="3"/>
  <c r="AP12" i="3" s="1"/>
  <c r="AM13" i="4" l="1"/>
  <c r="AM11" i="4"/>
  <c r="AM7" i="4"/>
  <c r="AM6" i="4"/>
  <c r="AM5" i="4"/>
  <c r="AM8" i="4" s="1"/>
  <c r="AM14" i="3"/>
  <c r="AM14" i="5" s="1"/>
  <c r="AM19" i="5" s="1"/>
  <c r="AM13" i="3"/>
  <c r="D12" i="4"/>
  <c r="D11" i="4"/>
  <c r="D7" i="4"/>
  <c r="D13" i="3"/>
  <c r="D13" i="4"/>
  <c r="D6" i="4"/>
  <c r="D5" i="4"/>
  <c r="D14" i="3"/>
  <c r="D14" i="5" s="1"/>
  <c r="D19" i="5" s="1"/>
  <c r="O13" i="4"/>
  <c r="O11" i="4"/>
  <c r="O7" i="4"/>
  <c r="O13" i="3"/>
  <c r="O5" i="4"/>
  <c r="O8" i="4" s="1"/>
  <c r="O14" i="3"/>
  <c r="O14" i="5" s="1"/>
  <c r="O19" i="5" s="1"/>
  <c r="O6" i="4"/>
  <c r="W13" i="4"/>
  <c r="W12" i="4"/>
  <c r="W11" i="4"/>
  <c r="W7" i="4"/>
  <c r="W6" i="4"/>
  <c r="W5" i="4"/>
  <c r="W14" i="3"/>
  <c r="W14" i="5" s="1"/>
  <c r="W19" i="5" s="1"/>
  <c r="W13" i="3"/>
  <c r="AI13" i="4"/>
  <c r="AI11" i="4"/>
  <c r="AI7" i="4"/>
  <c r="AI6" i="4"/>
  <c r="AI5" i="4"/>
  <c r="AI14" i="3"/>
  <c r="AI14" i="5" s="1"/>
  <c r="AI19" i="5" s="1"/>
  <c r="AI13" i="3"/>
  <c r="B19" i="1"/>
  <c r="H13" i="4"/>
  <c r="H12" i="4"/>
  <c r="H11" i="4"/>
  <c r="H7" i="4"/>
  <c r="H6" i="4"/>
  <c r="H5" i="4"/>
  <c r="H14" i="3"/>
  <c r="H14" i="5" s="1"/>
  <c r="H19" i="5" s="1"/>
  <c r="H13" i="3"/>
  <c r="U13" i="4"/>
  <c r="U11" i="4"/>
  <c r="U7" i="4"/>
  <c r="U6" i="4"/>
  <c r="U5" i="4"/>
  <c r="U8" i="4" s="1"/>
  <c r="U14" i="3"/>
  <c r="U14" i="5" s="1"/>
  <c r="U19" i="5" s="1"/>
  <c r="U13" i="3"/>
  <c r="AO13" i="4"/>
  <c r="AO11" i="4"/>
  <c r="AO7" i="4"/>
  <c r="AO6" i="4"/>
  <c r="AO5" i="4"/>
  <c r="AO8" i="4" s="1"/>
  <c r="AO14" i="3"/>
  <c r="AO14" i="5" s="1"/>
  <c r="AO19" i="5" s="1"/>
  <c r="AO13" i="3"/>
  <c r="AA13" i="4"/>
  <c r="AA12" i="4"/>
  <c r="AA11" i="4"/>
  <c r="AA7" i="4"/>
  <c r="AA6" i="4"/>
  <c r="AA5" i="4"/>
  <c r="AA14" i="3"/>
  <c r="AA14" i="5" s="1"/>
  <c r="AA19" i="5" s="1"/>
  <c r="AA13" i="3"/>
  <c r="AK13" i="4"/>
  <c r="AK11" i="4"/>
  <c r="AK7" i="4"/>
  <c r="AK6" i="4"/>
  <c r="AK5" i="4"/>
  <c r="AK14" i="3"/>
  <c r="AK14" i="5" s="1"/>
  <c r="AK19" i="5" s="1"/>
  <c r="AK13" i="3"/>
  <c r="I13" i="4"/>
  <c r="I12" i="4"/>
  <c r="I11" i="4"/>
  <c r="I7" i="4"/>
  <c r="I6" i="4"/>
  <c r="I5" i="4"/>
  <c r="I14" i="3"/>
  <c r="I14" i="5" s="1"/>
  <c r="I19" i="5" s="1"/>
  <c r="I13" i="3"/>
  <c r="AN13" i="4"/>
  <c r="AN11" i="4"/>
  <c r="AN7" i="4"/>
  <c r="AN6" i="4"/>
  <c r="AN5" i="4"/>
  <c r="AN8" i="4" s="1"/>
  <c r="AN14" i="3"/>
  <c r="AN14" i="5" s="1"/>
  <c r="AN19" i="5" s="1"/>
  <c r="AN13" i="3"/>
  <c r="F19" i="1"/>
  <c r="P13" i="4"/>
  <c r="P11" i="4"/>
  <c r="P7" i="4"/>
  <c r="P6" i="4"/>
  <c r="P5" i="4"/>
  <c r="P14" i="3"/>
  <c r="P14" i="5" s="1"/>
  <c r="P19" i="5" s="1"/>
  <c r="P13" i="3"/>
  <c r="Q13" i="3"/>
  <c r="X13" i="4"/>
  <c r="X12" i="4"/>
  <c r="X11" i="4"/>
  <c r="X7" i="4"/>
  <c r="X6" i="4"/>
  <c r="X5" i="4"/>
  <c r="X14" i="3"/>
  <c r="X14" i="5" s="1"/>
  <c r="X19" i="5" s="1"/>
  <c r="X13" i="3"/>
  <c r="AP13" i="4"/>
  <c r="AP11" i="4"/>
  <c r="AP7" i="4"/>
  <c r="AP6" i="4"/>
  <c r="AP5" i="4"/>
  <c r="AP14" i="3"/>
  <c r="AP14" i="5" s="1"/>
  <c r="AP19" i="5" s="1"/>
  <c r="AP13" i="3"/>
  <c r="AB13" i="4"/>
  <c r="AB12" i="4"/>
  <c r="AB11" i="4"/>
  <c r="AB7" i="4"/>
  <c r="AB6" i="4"/>
  <c r="AB5" i="4"/>
  <c r="AB14" i="3"/>
  <c r="AB14" i="5" s="1"/>
  <c r="AB19" i="5" s="1"/>
  <c r="AB13" i="3"/>
  <c r="AC13" i="3"/>
  <c r="R13" i="3"/>
  <c r="R13" i="4"/>
  <c r="R11" i="4"/>
  <c r="R5" i="4"/>
  <c r="R6" i="4"/>
  <c r="R14" i="3"/>
  <c r="R14" i="5" s="1"/>
  <c r="R19" i="5" s="1"/>
  <c r="R12" i="4"/>
  <c r="R7" i="4"/>
  <c r="AH13" i="4"/>
  <c r="AH11" i="4"/>
  <c r="AH7" i="4"/>
  <c r="AH6" i="4"/>
  <c r="AH5" i="4"/>
  <c r="AH14" i="3"/>
  <c r="AH14" i="5" s="1"/>
  <c r="AH19" i="5" s="1"/>
  <c r="AH13" i="3"/>
  <c r="C19" i="1"/>
  <c r="T13" i="4"/>
  <c r="T12" i="4"/>
  <c r="T11" i="4"/>
  <c r="T7" i="4"/>
  <c r="T6" i="4"/>
  <c r="T5" i="4"/>
  <c r="T14" i="3"/>
  <c r="T14" i="5" s="1"/>
  <c r="T19" i="5" s="1"/>
  <c r="T13" i="3"/>
  <c r="M13" i="4"/>
  <c r="M11" i="4"/>
  <c r="M7" i="4"/>
  <c r="M6" i="4"/>
  <c r="M5" i="4"/>
  <c r="M14" i="3"/>
  <c r="M14" i="5" s="1"/>
  <c r="M19" i="5" s="1"/>
  <c r="M13" i="3"/>
  <c r="AR13" i="4"/>
  <c r="AR12" i="4"/>
  <c r="AR11" i="4"/>
  <c r="AR7" i="4"/>
  <c r="AR6" i="4"/>
  <c r="AR5" i="4"/>
  <c r="AR14" i="3"/>
  <c r="AR14" i="5" s="1"/>
  <c r="AR19" i="5" s="1"/>
  <c r="AR13" i="3"/>
  <c r="G19" i="1"/>
  <c r="AD13" i="4"/>
  <c r="AD11" i="4"/>
  <c r="AD7" i="4"/>
  <c r="AD6" i="4"/>
  <c r="AD5" i="4"/>
  <c r="AD8" i="4" s="1"/>
  <c r="AD14" i="3"/>
  <c r="AD14" i="5" s="1"/>
  <c r="AD19" i="5" s="1"/>
  <c r="AD13" i="3"/>
  <c r="AE13" i="3"/>
  <c r="AL13" i="4"/>
  <c r="AL11" i="4"/>
  <c r="AL7" i="4"/>
  <c r="AL6" i="4"/>
  <c r="AL5" i="4"/>
  <c r="AL8" i="4" s="1"/>
  <c r="AL14" i="3"/>
  <c r="AL14" i="5" s="1"/>
  <c r="AL19" i="5" s="1"/>
  <c r="AL13" i="3"/>
  <c r="Z13" i="4"/>
  <c r="Z12" i="4"/>
  <c r="Z11" i="4"/>
  <c r="Z7" i="4"/>
  <c r="Z6" i="4"/>
  <c r="Z5" i="4"/>
  <c r="Z14" i="3"/>
  <c r="Z14" i="5" s="1"/>
  <c r="Z19" i="5" s="1"/>
  <c r="Z13" i="3"/>
  <c r="L13" i="4"/>
  <c r="L11" i="4"/>
  <c r="L7" i="4"/>
  <c r="L6" i="4"/>
  <c r="L5" i="4"/>
  <c r="L14" i="3"/>
  <c r="L14" i="5" s="1"/>
  <c r="L19" i="5" s="1"/>
  <c r="L13" i="3"/>
  <c r="N13" i="4"/>
  <c r="N12" i="4"/>
  <c r="N11" i="4"/>
  <c r="N7" i="4"/>
  <c r="N6" i="4"/>
  <c r="N5" i="4"/>
  <c r="N14" i="3"/>
  <c r="N14" i="5" s="1"/>
  <c r="N19" i="5" s="1"/>
  <c r="N13" i="3"/>
  <c r="E19" i="1"/>
  <c r="AJ13" i="4"/>
  <c r="AJ11" i="4"/>
  <c r="AJ7" i="4"/>
  <c r="AJ6" i="4"/>
  <c r="AJ5" i="4"/>
  <c r="AJ8" i="4" s="1"/>
  <c r="AJ14" i="3"/>
  <c r="AJ14" i="5" s="1"/>
  <c r="AJ19" i="5" s="1"/>
  <c r="AJ13" i="3"/>
  <c r="AG19" i="4"/>
  <c r="AG20" i="4" s="1"/>
  <c r="AG5" i="6" s="1"/>
  <c r="AG14" i="4"/>
  <c r="AC8" i="4"/>
  <c r="K13" i="4"/>
  <c r="K12" i="4"/>
  <c r="K11" i="4"/>
  <c r="K7" i="4"/>
  <c r="K6" i="4"/>
  <c r="K5" i="4"/>
  <c r="K14" i="3"/>
  <c r="K14" i="5" s="1"/>
  <c r="K19" i="5" s="1"/>
  <c r="K13" i="3"/>
  <c r="AE14" i="4"/>
  <c r="AE19" i="4"/>
  <c r="AE20" i="4" s="1"/>
  <c r="AE5" i="6" s="1"/>
  <c r="E13" i="4"/>
  <c r="E6" i="4"/>
  <c r="E13" i="3"/>
  <c r="E12" i="4"/>
  <c r="E11" i="4"/>
  <c r="E7" i="4"/>
  <c r="E5" i="4"/>
  <c r="E8" i="4" s="1"/>
  <c r="E14" i="3"/>
  <c r="E14" i="5" s="1"/>
  <c r="E19" i="5" s="1"/>
  <c r="S11" i="4"/>
  <c r="S7" i="4"/>
  <c r="S5" i="4"/>
  <c r="S8" i="4" s="1"/>
  <c r="S14" i="3"/>
  <c r="S14" i="5" s="1"/>
  <c r="S19" i="5" s="1"/>
  <c r="S13" i="3"/>
  <c r="S13" i="4"/>
  <c r="S12" i="4"/>
  <c r="S6" i="4"/>
  <c r="AQ13" i="4"/>
  <c r="AQ11" i="4"/>
  <c r="AQ7" i="4"/>
  <c r="AQ6" i="4"/>
  <c r="AQ14" i="3"/>
  <c r="AQ14" i="5" s="1"/>
  <c r="AQ19" i="5" s="1"/>
  <c r="AQ13" i="3"/>
  <c r="AQ5" i="4"/>
  <c r="AE12" i="4"/>
  <c r="J13" i="4"/>
  <c r="J12" i="4"/>
  <c r="J11" i="4"/>
  <c r="J7" i="4"/>
  <c r="J6" i="4"/>
  <c r="J5" i="4"/>
  <c r="J14" i="3"/>
  <c r="J14" i="5" s="1"/>
  <c r="J19" i="5" s="1"/>
  <c r="J13" i="3"/>
  <c r="D19" i="1"/>
  <c r="AF13" i="3"/>
  <c r="AF13" i="4"/>
  <c r="AF5" i="4"/>
  <c r="AF7" i="4"/>
  <c r="AF11" i="4"/>
  <c r="AF6" i="4"/>
  <c r="AF14" i="3"/>
  <c r="AF14" i="5" s="1"/>
  <c r="AF19" i="5" s="1"/>
  <c r="AC21" i="5"/>
  <c r="Q8" i="4"/>
  <c r="AE8" i="4"/>
  <c r="AC14" i="4"/>
  <c r="AC19" i="4"/>
  <c r="AC20" i="4" s="1"/>
  <c r="AC5" i="6" s="1"/>
  <c r="Q19" i="4"/>
  <c r="Q20" i="4" s="1"/>
  <c r="Q5" i="6" s="1"/>
  <c r="Q14" i="4"/>
  <c r="AE21" i="5"/>
  <c r="C8" i="4"/>
  <c r="C16" i="4" s="1"/>
  <c r="V13" i="4"/>
  <c r="V12" i="4"/>
  <c r="V11" i="4"/>
  <c r="V7" i="4"/>
  <c r="V6" i="4"/>
  <c r="V5" i="4"/>
  <c r="V14" i="3"/>
  <c r="V14" i="5" s="1"/>
  <c r="V19" i="5" s="1"/>
  <c r="V13" i="3"/>
  <c r="Q21" i="5"/>
  <c r="AG8" i="4"/>
  <c r="AG16" i="4" s="1"/>
  <c r="Q12" i="4"/>
  <c r="Y13" i="4"/>
  <c r="Y11" i="4"/>
  <c r="Y7" i="4"/>
  <c r="Y6" i="4"/>
  <c r="Y5" i="4"/>
  <c r="Y8" i="4" s="1"/>
  <c r="Y14" i="3"/>
  <c r="Y14" i="5" s="1"/>
  <c r="Y19" i="5" s="1"/>
  <c r="Y13" i="3"/>
  <c r="C19" i="4"/>
  <c r="C20" i="4" s="1"/>
  <c r="C5" i="6" s="1"/>
  <c r="C14" i="4"/>
  <c r="F13" i="4"/>
  <c r="F12" i="4"/>
  <c r="F11" i="4"/>
  <c r="F7" i="4"/>
  <c r="F6" i="4"/>
  <c r="F5" i="4"/>
  <c r="F14" i="3"/>
  <c r="F14" i="5" s="1"/>
  <c r="F19" i="5" s="1"/>
  <c r="F13" i="3"/>
  <c r="G13" i="4"/>
  <c r="G12" i="4"/>
  <c r="G11" i="4"/>
  <c r="G7" i="4"/>
  <c r="G6" i="4"/>
  <c r="G5" i="4"/>
  <c r="G14" i="3"/>
  <c r="G14" i="5" s="1"/>
  <c r="G19" i="5" s="1"/>
  <c r="G13" i="3"/>
  <c r="C21" i="5"/>
  <c r="R8" i="6" l="1"/>
  <c r="R21" i="5"/>
  <c r="X14" i="4"/>
  <c r="X19" i="4"/>
  <c r="X20" i="4" s="1"/>
  <c r="X5" i="6" s="1"/>
  <c r="S8" i="6"/>
  <c r="S21" i="5"/>
  <c r="F8" i="6"/>
  <c r="F21" i="5"/>
  <c r="Y19" i="4"/>
  <c r="Y20" i="4" s="1"/>
  <c r="Y5" i="6" s="1"/>
  <c r="Y14" i="4"/>
  <c r="Y16" i="4" s="1"/>
  <c r="C4" i="6"/>
  <c r="C22" i="4"/>
  <c r="K8" i="6"/>
  <c r="K21" i="5"/>
  <c r="L8" i="6"/>
  <c r="L21" i="5"/>
  <c r="M8" i="6"/>
  <c r="M21" i="5"/>
  <c r="R8" i="4"/>
  <c r="AP8" i="6"/>
  <c r="AP21" i="5"/>
  <c r="AK8" i="6"/>
  <c r="F13" i="1" s="1"/>
  <c r="AK21" i="5"/>
  <c r="U19" i="4"/>
  <c r="U20" i="4" s="1"/>
  <c r="U5" i="6" s="1"/>
  <c r="U14" i="4"/>
  <c r="U16" i="4" s="1"/>
  <c r="AI8" i="4"/>
  <c r="D14" i="4"/>
  <c r="D19" i="4"/>
  <c r="D20" i="4" s="1"/>
  <c r="D5" i="6" s="1"/>
  <c r="U8" i="6"/>
  <c r="U21" i="5"/>
  <c r="AN8" i="6"/>
  <c r="AN21" i="5"/>
  <c r="AA19" i="4"/>
  <c r="AA20" i="4" s="1"/>
  <c r="AA5" i="6" s="1"/>
  <c r="AA14" i="4"/>
  <c r="AF19" i="4"/>
  <c r="AF20" i="4" s="1"/>
  <c r="AF5" i="6" s="1"/>
  <c r="AN16" i="4"/>
  <c r="AI8" i="6"/>
  <c r="AI21" i="5"/>
  <c r="F8" i="4"/>
  <c r="Y12" i="4"/>
  <c r="AF8" i="4"/>
  <c r="AQ8" i="4"/>
  <c r="K8" i="4"/>
  <c r="AJ19" i="4"/>
  <c r="AJ20" i="4" s="1"/>
  <c r="AJ5" i="6" s="1"/>
  <c r="L8" i="4"/>
  <c r="AD19" i="4"/>
  <c r="AD20" i="4" s="1"/>
  <c r="AD5" i="6" s="1"/>
  <c r="M8" i="4"/>
  <c r="R19" i="4"/>
  <c r="R20" i="4" s="1"/>
  <c r="R5" i="6" s="1"/>
  <c r="R14" i="4"/>
  <c r="AP8" i="4"/>
  <c r="AK8" i="4"/>
  <c r="U12" i="4"/>
  <c r="O8" i="6"/>
  <c r="O21" i="5"/>
  <c r="AI19" i="4"/>
  <c r="AI20" i="4" s="1"/>
  <c r="AI5" i="6" s="1"/>
  <c r="AM8" i="6"/>
  <c r="AM21" i="5"/>
  <c r="N14" i="4"/>
  <c r="N19" i="4"/>
  <c r="N20" i="4" s="1"/>
  <c r="N5" i="6" s="1"/>
  <c r="AR14" i="4"/>
  <c r="AR19" i="4"/>
  <c r="AR20" i="4" s="1"/>
  <c r="AR5" i="6" s="1"/>
  <c r="I14" i="4"/>
  <c r="I19" i="4"/>
  <c r="I20" i="4" s="1"/>
  <c r="I5" i="6" s="1"/>
  <c r="C11" i="1" s="1"/>
  <c r="V14" i="4"/>
  <c r="V19" i="4"/>
  <c r="V20" i="4" s="1"/>
  <c r="V5" i="6" s="1"/>
  <c r="W19" i="4"/>
  <c r="W20" i="4" s="1"/>
  <c r="W5" i="6" s="1"/>
  <c r="W14" i="4"/>
  <c r="Z14" i="4"/>
  <c r="Z19" i="4"/>
  <c r="Z20" i="4" s="1"/>
  <c r="Z5" i="6" s="1"/>
  <c r="AL8" i="6"/>
  <c r="AL21" i="5"/>
  <c r="AD12" i="4"/>
  <c r="AD14" i="4" s="1"/>
  <c r="AD16" i="4" s="1"/>
  <c r="AN14" i="4"/>
  <c r="AN19" i="4"/>
  <c r="AN20" i="4" s="1"/>
  <c r="AN5" i="6" s="1"/>
  <c r="AH8" i="6"/>
  <c r="AH21" i="5"/>
  <c r="P8" i="6"/>
  <c r="P21" i="5"/>
  <c r="F19" i="4"/>
  <c r="F20" i="4" s="1"/>
  <c r="F5" i="6" s="1"/>
  <c r="F14" i="4"/>
  <c r="AG4" i="6"/>
  <c r="AG22" i="4"/>
  <c r="K19" i="4"/>
  <c r="K20" i="4" s="1"/>
  <c r="K5" i="6" s="1"/>
  <c r="K14" i="4"/>
  <c r="L19" i="4"/>
  <c r="L20" i="4" s="1"/>
  <c r="L5" i="6" s="1"/>
  <c r="M19" i="4"/>
  <c r="M20" i="4" s="1"/>
  <c r="M5" i="6" s="1"/>
  <c r="M14" i="4"/>
  <c r="AH8" i="4"/>
  <c r="AH16" i="4" s="1"/>
  <c r="AP19" i="4"/>
  <c r="AP20" i="4" s="1"/>
  <c r="AP5" i="6" s="1"/>
  <c r="P8" i="4"/>
  <c r="AK14" i="4"/>
  <c r="AK19" i="4"/>
  <c r="AK20" i="4" s="1"/>
  <c r="AK5" i="6" s="1"/>
  <c r="H8" i="6"/>
  <c r="H21" i="5"/>
  <c r="AI12" i="4"/>
  <c r="AI14" i="4" s="1"/>
  <c r="G19" i="4"/>
  <c r="G20" i="4" s="1"/>
  <c r="G5" i="6" s="1"/>
  <c r="G14" i="4"/>
  <c r="AB14" i="4"/>
  <c r="AB19" i="4"/>
  <c r="AB20" i="4" s="1"/>
  <c r="AB5" i="6" s="1"/>
  <c r="AJ8" i="6"/>
  <c r="AJ21" i="5"/>
  <c r="L12" i="4"/>
  <c r="L14" i="4" s="1"/>
  <c r="M12" i="4"/>
  <c r="AP12" i="4"/>
  <c r="AP14" i="4" s="1"/>
  <c r="AK12" i="4"/>
  <c r="H8" i="4"/>
  <c r="O19" i="4"/>
  <c r="O20" i="4" s="1"/>
  <c r="O5" i="6" s="1"/>
  <c r="AF8" i="6"/>
  <c r="AF21" i="5"/>
  <c r="AJ12" i="4"/>
  <c r="AJ14" i="4" s="1"/>
  <c r="AJ16" i="4" s="1"/>
  <c r="G8" i="6"/>
  <c r="G21" i="5"/>
  <c r="AB8" i="6"/>
  <c r="AB21" i="5"/>
  <c r="I8" i="6"/>
  <c r="I21" i="5"/>
  <c r="O12" i="4"/>
  <c r="O14" i="4" s="1"/>
  <c r="O16" i="4" s="1"/>
  <c r="Y8" i="6"/>
  <c r="Y21" i="5"/>
  <c r="J14" i="4"/>
  <c r="J19" i="4"/>
  <c r="J20" i="4" s="1"/>
  <c r="J5" i="6" s="1"/>
  <c r="AF12" i="4"/>
  <c r="AF14" i="4" s="1"/>
  <c r="S19" i="4"/>
  <c r="S20" i="4" s="1"/>
  <c r="S5" i="6" s="1"/>
  <c r="S14" i="4"/>
  <c r="S16" i="4" s="1"/>
  <c r="AQ8" i="6"/>
  <c r="AQ21" i="5"/>
  <c r="AQ19" i="4"/>
  <c r="AQ20" i="4" s="1"/>
  <c r="AQ5" i="6" s="1"/>
  <c r="E14" i="4"/>
  <c r="E16" i="4" s="1"/>
  <c r="E19" i="4"/>
  <c r="E20" i="4" s="1"/>
  <c r="E5" i="6" s="1"/>
  <c r="G8" i="4"/>
  <c r="V8" i="6"/>
  <c r="V21" i="5"/>
  <c r="Q16" i="4"/>
  <c r="J8" i="6"/>
  <c r="J21" i="5"/>
  <c r="AQ12" i="4"/>
  <c r="AQ14" i="4" s="1"/>
  <c r="AC16" i="4"/>
  <c r="N8" i="4"/>
  <c r="N16" i="4" s="1"/>
  <c r="AL12" i="4"/>
  <c r="AR8" i="4"/>
  <c r="AH19" i="4"/>
  <c r="AH20" i="4" s="1"/>
  <c r="AH5" i="6" s="1"/>
  <c r="AH14" i="4"/>
  <c r="AB8" i="4"/>
  <c r="P19" i="4"/>
  <c r="P20" i="4" s="1"/>
  <c r="P5" i="6" s="1"/>
  <c r="I8" i="4"/>
  <c r="AO12" i="4"/>
  <c r="AO14" i="4" s="1"/>
  <c r="AO16" i="4" s="1"/>
  <c r="W8" i="6"/>
  <c r="W21" i="5"/>
  <c r="AM19" i="4"/>
  <c r="AM20" i="4" s="1"/>
  <c r="AM5" i="6" s="1"/>
  <c r="AD8" i="6"/>
  <c r="AD21" i="5"/>
  <c r="AO8" i="6"/>
  <c r="AO21" i="5"/>
  <c r="E8" i="6"/>
  <c r="E21" i="5"/>
  <c r="AN12" i="4"/>
  <c r="AE16" i="4"/>
  <c r="AR8" i="6"/>
  <c r="AR21" i="5"/>
  <c r="Z8" i="6"/>
  <c r="Z21" i="5"/>
  <c r="T8" i="6"/>
  <c r="T21" i="5"/>
  <c r="AH12" i="4"/>
  <c r="X8" i="6"/>
  <c r="X21" i="5"/>
  <c r="P12" i="4"/>
  <c r="P14" i="4" s="1"/>
  <c r="AA8" i="6"/>
  <c r="AA21" i="5"/>
  <c r="H14" i="4"/>
  <c r="H19" i="4"/>
  <c r="H20" i="4" s="1"/>
  <c r="H5" i="6" s="1"/>
  <c r="B11" i="1" s="1"/>
  <c r="W8" i="4"/>
  <c r="W16" i="4" s="1"/>
  <c r="D8" i="6"/>
  <c r="B13" i="1" s="1"/>
  <c r="D21" i="5"/>
  <c r="AM12" i="4"/>
  <c r="AM14" i="4" s="1"/>
  <c r="AM16" i="4" s="1"/>
  <c r="T14" i="4"/>
  <c r="T19" i="4"/>
  <c r="T20" i="4" s="1"/>
  <c r="T5" i="6" s="1"/>
  <c r="N8" i="6"/>
  <c r="N21" i="5"/>
  <c r="AL14" i="4"/>
  <c r="AL16" i="4" s="1"/>
  <c r="AL19" i="4"/>
  <c r="AL20" i="4" s="1"/>
  <c r="AL5" i="6" s="1"/>
  <c r="AO19" i="4"/>
  <c r="AO20" i="4" s="1"/>
  <c r="AO5" i="6" s="1"/>
  <c r="V8" i="4"/>
  <c r="V16" i="4" s="1"/>
  <c r="J8" i="4"/>
  <c r="J16" i="4" s="1"/>
  <c r="E11" i="1"/>
  <c r="Z8" i="4"/>
  <c r="Z16" i="4" s="1"/>
  <c r="T8" i="4"/>
  <c r="T16" i="4" s="1"/>
  <c r="X8" i="4"/>
  <c r="X16" i="4" s="1"/>
  <c r="AA8" i="4"/>
  <c r="AA16" i="4" s="1"/>
  <c r="D8" i="4"/>
  <c r="D16" i="4" s="1"/>
  <c r="AJ4" i="6" l="1"/>
  <c r="AJ22" i="4"/>
  <c r="AL4" i="6"/>
  <c r="AL22" i="4"/>
  <c r="AO4" i="6"/>
  <c r="AO22" i="4"/>
  <c r="S4" i="6"/>
  <c r="S22" i="4"/>
  <c r="U4" i="6"/>
  <c r="U22" i="4"/>
  <c r="Y4" i="6"/>
  <c r="Y22" i="4"/>
  <c r="AM4" i="6"/>
  <c r="AM22" i="4"/>
  <c r="O4" i="6"/>
  <c r="O22" i="4"/>
  <c r="E4" i="6"/>
  <c r="E22" i="4"/>
  <c r="AD4" i="6"/>
  <c r="AD22" i="4"/>
  <c r="AP16" i="4"/>
  <c r="Q4" i="6"/>
  <c r="Q22" i="4"/>
  <c r="M16" i="4"/>
  <c r="L16" i="4"/>
  <c r="Z4" i="6"/>
  <c r="Z22" i="4"/>
  <c r="D11" i="1"/>
  <c r="J4" i="6"/>
  <c r="J22" i="4"/>
  <c r="AB16" i="4"/>
  <c r="R16" i="4"/>
  <c r="E13" i="1"/>
  <c r="AN4" i="6"/>
  <c r="AN22" i="4"/>
  <c r="I16" i="4"/>
  <c r="G11" i="1"/>
  <c r="H16" i="4"/>
  <c r="T4" i="6"/>
  <c r="T22" i="4"/>
  <c r="C13" i="1"/>
  <c r="K16" i="4"/>
  <c r="AI16" i="4"/>
  <c r="G13" i="1"/>
  <c r="AR16" i="4"/>
  <c r="F11" i="1"/>
  <c r="AG16" i="6"/>
  <c r="AG6" i="6"/>
  <c r="AQ16" i="4"/>
  <c r="AE4" i="6"/>
  <c r="AE22" i="4"/>
  <c r="G16" i="4"/>
  <c r="AF16" i="4"/>
  <c r="D13" i="1"/>
  <c r="X4" i="6"/>
  <c r="X22" i="4"/>
  <c r="W4" i="6"/>
  <c r="W22" i="4"/>
  <c r="V4" i="6"/>
  <c r="V22" i="4"/>
  <c r="D4" i="6"/>
  <c r="D22" i="4"/>
  <c r="N4" i="6"/>
  <c r="N22" i="4"/>
  <c r="P16" i="4"/>
  <c r="AH4" i="6"/>
  <c r="AH22" i="4"/>
  <c r="C7" i="7"/>
  <c r="C6" i="6"/>
  <c r="AA4" i="6"/>
  <c r="AA22" i="4"/>
  <c r="AC4" i="6"/>
  <c r="AC22" i="4"/>
  <c r="AK16" i="4"/>
  <c r="F16" i="4"/>
  <c r="Z7" i="7" l="1"/>
  <c r="Z6" i="6"/>
  <c r="Z9" i="6" s="1"/>
  <c r="Z11" i="6" s="1"/>
  <c r="AH7" i="7"/>
  <c r="AH6" i="6"/>
  <c r="AH9" i="6" s="1"/>
  <c r="AH11" i="6" s="1"/>
  <c r="AQ4" i="6"/>
  <c r="AQ22" i="4"/>
  <c r="AC7" i="7"/>
  <c r="AC6" i="6"/>
  <c r="AC9" i="6" s="1"/>
  <c r="AC11" i="6" s="1"/>
  <c r="H4" i="6"/>
  <c r="H22" i="4"/>
  <c r="S7" i="7"/>
  <c r="S6" i="6"/>
  <c r="S9" i="6" s="1"/>
  <c r="S11" i="6" s="1"/>
  <c r="G4" i="6"/>
  <c r="G22" i="4"/>
  <c r="F4" i="6"/>
  <c r="F22" i="4"/>
  <c r="V7" i="7"/>
  <c r="V6" i="6"/>
  <c r="V9" i="6" s="1"/>
  <c r="V11" i="6" s="1"/>
  <c r="P4" i="6"/>
  <c r="P22" i="4"/>
  <c r="L4" i="6"/>
  <c r="L22" i="4"/>
  <c r="E10" i="1"/>
  <c r="U7" i="7"/>
  <c r="U16" i="6"/>
  <c r="U6" i="6"/>
  <c r="AA7" i="7"/>
  <c r="AA6" i="6"/>
  <c r="AA9" i="6" s="1"/>
  <c r="AA11" i="6" s="1"/>
  <c r="AD7" i="7"/>
  <c r="AD6" i="6"/>
  <c r="AD9" i="6" s="1"/>
  <c r="AD11" i="6" s="1"/>
  <c r="AO7" i="7"/>
  <c r="AO6" i="6"/>
  <c r="K4" i="6"/>
  <c r="K22" i="4"/>
  <c r="I4" i="6"/>
  <c r="I22" i="4"/>
  <c r="AP4" i="6"/>
  <c r="AP22" i="4"/>
  <c r="W7" i="7"/>
  <c r="W17" i="6"/>
  <c r="W16" i="6"/>
  <c r="W6" i="6"/>
  <c r="W9" i="6" s="1"/>
  <c r="W11" i="6" s="1"/>
  <c r="R4" i="6"/>
  <c r="R22" i="4"/>
  <c r="AE7" i="7"/>
  <c r="AE6" i="6"/>
  <c r="AE9" i="6" s="1"/>
  <c r="AE11" i="6" s="1"/>
  <c r="T7" i="7"/>
  <c r="T17" i="6"/>
  <c r="T16" i="6"/>
  <c r="T6" i="6"/>
  <c r="T9" i="6" s="1"/>
  <c r="T11" i="6" s="1"/>
  <c r="M4" i="6"/>
  <c r="M22" i="4"/>
  <c r="AG9" i="6"/>
  <c r="Q6" i="6"/>
  <c r="Q9" i="6" s="1"/>
  <c r="Q11" i="6" s="1"/>
  <c r="X7" i="7"/>
  <c r="X16" i="6"/>
  <c r="X6" i="6"/>
  <c r="X9" i="6" s="1"/>
  <c r="X11" i="6" s="1"/>
  <c r="AR4" i="6"/>
  <c r="AR22" i="4"/>
  <c r="AB4" i="6"/>
  <c r="AB22" i="4"/>
  <c r="E7" i="7"/>
  <c r="E6" i="6"/>
  <c r="E9" i="6" s="1"/>
  <c r="E11" i="6" s="1"/>
  <c r="AL17" i="6"/>
  <c r="AL16" i="6"/>
  <c r="AL6" i="6"/>
  <c r="AL9" i="6" s="1"/>
  <c r="AL11" i="6" s="1"/>
  <c r="N7" i="7"/>
  <c r="N16" i="6"/>
  <c r="N6" i="6"/>
  <c r="N9" i="6" s="1"/>
  <c r="N11" i="6" s="1"/>
  <c r="C9" i="6"/>
  <c r="C16" i="6"/>
  <c r="AM7" i="7"/>
  <c r="AM6" i="6"/>
  <c r="AM9" i="6" s="1"/>
  <c r="AM11" i="6" s="1"/>
  <c r="AK4" i="6"/>
  <c r="AK22" i="4"/>
  <c r="Y7" i="7"/>
  <c r="Y17" i="6"/>
  <c r="Y16" i="6"/>
  <c r="Y6" i="6"/>
  <c r="Y9" i="6" s="1"/>
  <c r="Y11" i="6" s="1"/>
  <c r="D7" i="7"/>
  <c r="D6" i="6"/>
  <c r="D9" i="6" s="1"/>
  <c r="D11" i="6" s="1"/>
  <c r="AN7" i="7"/>
  <c r="AN17" i="6"/>
  <c r="AN16" i="6"/>
  <c r="AN6" i="6"/>
  <c r="AN9" i="6" s="1"/>
  <c r="AN11" i="6" s="1"/>
  <c r="AF4" i="6"/>
  <c r="AF22" i="4"/>
  <c r="AI4" i="6"/>
  <c r="AI22" i="4"/>
  <c r="J7" i="7"/>
  <c r="J6" i="6"/>
  <c r="J9" i="6" s="1"/>
  <c r="J11" i="6" s="1"/>
  <c r="O7" i="7"/>
  <c r="O17" i="6"/>
  <c r="O16" i="6"/>
  <c r="O6" i="6"/>
  <c r="O9" i="6" s="1"/>
  <c r="O11" i="6" s="1"/>
  <c r="AJ7" i="7"/>
  <c r="AJ6" i="6"/>
  <c r="AJ9" i="6" s="1"/>
  <c r="AJ11" i="6" s="1"/>
  <c r="AK7" i="7" l="1"/>
  <c r="AK6" i="6"/>
  <c r="F10" i="1"/>
  <c r="AL12" i="6"/>
  <c r="AL13" i="6" s="1"/>
  <c r="X12" i="6"/>
  <c r="X13" i="6" s="1"/>
  <c r="T12" i="6"/>
  <c r="T13" i="6" s="1"/>
  <c r="F7" i="7"/>
  <c r="F6" i="6"/>
  <c r="F9" i="6" s="1"/>
  <c r="F11" i="6" s="1"/>
  <c r="B10" i="1"/>
  <c r="AQ7" i="7"/>
  <c r="AQ6" i="6"/>
  <c r="AQ9" i="6" s="1"/>
  <c r="AQ11" i="6" s="1"/>
  <c r="AH12" i="6"/>
  <c r="AH13" i="6" s="1"/>
  <c r="J16" i="6"/>
  <c r="AL7" i="7"/>
  <c r="AP7" i="7"/>
  <c r="AP6" i="6"/>
  <c r="AP9" i="6" s="1"/>
  <c r="AP11" i="6" s="1"/>
  <c r="S16" i="6"/>
  <c r="AH16" i="6"/>
  <c r="AD12" i="6"/>
  <c r="AD13" i="6" s="1"/>
  <c r="X17" i="6"/>
  <c r="AD16" i="6"/>
  <c r="D12" i="6"/>
  <c r="D13" i="6" s="1"/>
  <c r="S12" i="6"/>
  <c r="S13" i="6" s="1"/>
  <c r="D17" i="6"/>
  <c r="L7" i="7"/>
  <c r="L6" i="6"/>
  <c r="L9" i="6" s="1"/>
  <c r="L11" i="6" s="1"/>
  <c r="S17" i="6"/>
  <c r="AH17" i="6"/>
  <c r="AR7" i="7"/>
  <c r="AR6" i="6"/>
  <c r="AR9" i="6" s="1"/>
  <c r="AR11" i="6" s="1"/>
  <c r="AM16" i="6"/>
  <c r="E12" i="6"/>
  <c r="E13" i="6" s="1"/>
  <c r="Q12" i="6"/>
  <c r="Q13" i="6" s="1"/>
  <c r="AE12" i="6"/>
  <c r="AE13" i="6" s="1"/>
  <c r="E16" i="6"/>
  <c r="Q16" i="6"/>
  <c r="AE16" i="6"/>
  <c r="I7" i="7"/>
  <c r="I6" i="6"/>
  <c r="C10" i="1"/>
  <c r="AA12" i="6"/>
  <c r="AA13" i="6" s="1"/>
  <c r="P7" i="7"/>
  <c r="P6" i="6"/>
  <c r="P9" i="6" s="1"/>
  <c r="P11" i="6" s="1"/>
  <c r="AM12" i="6"/>
  <c r="AM13" i="6" s="1"/>
  <c r="J17" i="6"/>
  <c r="AJ16" i="6"/>
  <c r="Y12" i="6"/>
  <c r="Y13" i="6" s="1"/>
  <c r="C11" i="6"/>
  <c r="C17" i="6"/>
  <c r="K7" i="7"/>
  <c r="K6" i="6"/>
  <c r="K9" i="6" s="1"/>
  <c r="K11" i="6" s="1"/>
  <c r="AA17" i="6"/>
  <c r="V12" i="6"/>
  <c r="V13" i="6" s="1"/>
  <c r="Z12" i="6"/>
  <c r="Z13" i="6" s="1"/>
  <c r="J13" i="6"/>
  <c r="J12" i="6"/>
  <c r="AM17" i="6"/>
  <c r="AD17" i="6"/>
  <c r="D16" i="6"/>
  <c r="E17" i="6"/>
  <c r="Q17" i="6"/>
  <c r="AE17" i="6"/>
  <c r="AA16" i="6"/>
  <c r="AJ17" i="6"/>
  <c r="AI7" i="7"/>
  <c r="AI17" i="6"/>
  <c r="AI16" i="6"/>
  <c r="AI6" i="6"/>
  <c r="AI9" i="6" s="1"/>
  <c r="AI11" i="6" s="1"/>
  <c r="N12" i="6"/>
  <c r="N13" i="6" s="1"/>
  <c r="Q7" i="7"/>
  <c r="G10" i="1"/>
  <c r="V16" i="6"/>
  <c r="H7" i="7"/>
  <c r="H6" i="6"/>
  <c r="H9" i="6" s="1"/>
  <c r="H11" i="6" s="1"/>
  <c r="Z16" i="6"/>
  <c r="M7" i="7"/>
  <c r="M6" i="6"/>
  <c r="M9" i="6" s="1"/>
  <c r="M11" i="6" s="1"/>
  <c r="G7" i="7"/>
  <c r="G6" i="6"/>
  <c r="G9" i="6" s="1"/>
  <c r="G11" i="6" s="1"/>
  <c r="AJ12" i="6"/>
  <c r="AJ13" i="6" s="1"/>
  <c r="E12" i="1"/>
  <c r="AO9" i="6"/>
  <c r="G12" i="1"/>
  <c r="V17" i="6"/>
  <c r="AC12" i="6"/>
  <c r="AC13" i="6" s="1"/>
  <c r="Z17" i="6"/>
  <c r="AF7" i="7"/>
  <c r="AF6" i="6"/>
  <c r="AF9" i="6" s="1"/>
  <c r="AF11" i="6" s="1"/>
  <c r="AG7" i="7"/>
  <c r="N17" i="6"/>
  <c r="AB7" i="7"/>
  <c r="AB17" i="6"/>
  <c r="AB16" i="6"/>
  <c r="AB6" i="6"/>
  <c r="AB9" i="6" s="1"/>
  <c r="AB11" i="6" s="1"/>
  <c r="AG11" i="6"/>
  <c r="E14" i="1"/>
  <c r="AG17" i="6"/>
  <c r="R7" i="7"/>
  <c r="R6" i="6"/>
  <c r="R9" i="6" s="1"/>
  <c r="R11" i="6" s="1"/>
  <c r="AO16" i="6"/>
  <c r="D10" i="1"/>
  <c r="AC16" i="6"/>
  <c r="O12" i="6"/>
  <c r="O13" i="6" s="1"/>
  <c r="AN12" i="6"/>
  <c r="AN13" i="6" s="1"/>
  <c r="W12" i="6"/>
  <c r="W13" i="6" s="1"/>
  <c r="U9" i="6"/>
  <c r="AC17" i="6"/>
  <c r="Z5" i="7" l="1"/>
  <c r="Z8" i="7" s="1"/>
  <c r="Z14" i="7" s="1"/>
  <c r="Z18" i="6"/>
  <c r="W5" i="7"/>
  <c r="W8" i="7" s="1"/>
  <c r="W14" i="7" s="1"/>
  <c r="W18" i="6"/>
  <c r="AH5" i="7"/>
  <c r="AH8" i="7" s="1"/>
  <c r="AH14" i="7" s="1"/>
  <c r="AH18" i="6"/>
  <c r="N5" i="7"/>
  <c r="N8" i="7" s="1"/>
  <c r="N14" i="7" s="1"/>
  <c r="N18" i="6"/>
  <c r="D5" i="7"/>
  <c r="D8" i="7" s="1"/>
  <c r="D14" i="7" s="1"/>
  <c r="D18" i="6"/>
  <c r="AA5" i="7"/>
  <c r="AA8" i="7" s="1"/>
  <c r="AA14" i="7" s="1"/>
  <c r="AA18" i="6"/>
  <c r="V5" i="7"/>
  <c r="V8" i="7" s="1"/>
  <c r="V14" i="7" s="1"/>
  <c r="V18" i="6"/>
  <c r="AJ5" i="7"/>
  <c r="AJ8" i="7" s="1"/>
  <c r="AJ14" i="7" s="1"/>
  <c r="AJ18" i="6"/>
  <c r="S5" i="7"/>
  <c r="S8" i="7" s="1"/>
  <c r="S14" i="7" s="1"/>
  <c r="S18" i="6"/>
  <c r="AN5" i="7"/>
  <c r="AN8" i="7" s="1"/>
  <c r="AN14" i="7" s="1"/>
  <c r="AN18" i="6"/>
  <c r="AE5" i="7"/>
  <c r="AE8" i="7" s="1"/>
  <c r="AE14" i="7" s="1"/>
  <c r="AE18" i="6"/>
  <c r="T5" i="7"/>
  <c r="T8" i="7" s="1"/>
  <c r="T14" i="7" s="1"/>
  <c r="T18" i="6"/>
  <c r="O5" i="7"/>
  <c r="O8" i="7" s="1"/>
  <c r="O14" i="7" s="1"/>
  <c r="O18" i="6"/>
  <c r="Y5" i="7"/>
  <c r="Y8" i="7" s="1"/>
  <c r="Y14" i="7" s="1"/>
  <c r="Y18" i="6"/>
  <c r="Q5" i="7"/>
  <c r="Q8" i="7" s="1"/>
  <c r="Q14" i="7" s="1"/>
  <c r="Q18" i="6"/>
  <c r="AD5" i="7"/>
  <c r="AD8" i="7" s="1"/>
  <c r="AD14" i="7" s="1"/>
  <c r="AD18" i="6"/>
  <c r="X5" i="7"/>
  <c r="X8" i="7" s="1"/>
  <c r="X14" i="7" s="1"/>
  <c r="X18" i="6"/>
  <c r="E5" i="7"/>
  <c r="E8" i="7" s="1"/>
  <c r="E14" i="7" s="1"/>
  <c r="E18" i="6"/>
  <c r="AL5" i="7"/>
  <c r="AL8" i="7" s="1"/>
  <c r="AL14" i="7" s="1"/>
  <c r="AL18" i="6"/>
  <c r="AM5" i="7"/>
  <c r="AM8" i="7" s="1"/>
  <c r="AM14" i="7" s="1"/>
  <c r="AM18" i="6"/>
  <c r="AC5" i="7"/>
  <c r="AC8" i="7" s="1"/>
  <c r="AC14" i="7" s="1"/>
  <c r="AC18" i="6"/>
  <c r="J5" i="7"/>
  <c r="J8" i="7" s="1"/>
  <c r="J14" i="7" s="1"/>
  <c r="J18" i="6"/>
  <c r="AO11" i="6"/>
  <c r="G14" i="1"/>
  <c r="AO17" i="6"/>
  <c r="H12" i="6"/>
  <c r="H13" i="6" s="1"/>
  <c r="AQ12" i="6"/>
  <c r="AQ13" i="6" s="1"/>
  <c r="P12" i="6"/>
  <c r="P13" i="6" s="1"/>
  <c r="AQ16" i="6"/>
  <c r="R17" i="6"/>
  <c r="AF17" i="6"/>
  <c r="I9" i="6"/>
  <c r="C12" i="1"/>
  <c r="AR16" i="6"/>
  <c r="H16" i="6"/>
  <c r="AF12" i="6"/>
  <c r="AF13" i="6" s="1"/>
  <c r="G16" i="6"/>
  <c r="P16" i="6"/>
  <c r="B12" i="1"/>
  <c r="L16" i="6"/>
  <c r="AK9" i="6"/>
  <c r="F12" i="1"/>
  <c r="AR12" i="6"/>
  <c r="AR13" i="6" s="1"/>
  <c r="AR17" i="6"/>
  <c r="G13" i="6"/>
  <c r="G12" i="6"/>
  <c r="AF16" i="6"/>
  <c r="D12" i="1"/>
  <c r="G17" i="6"/>
  <c r="K17" i="6"/>
  <c r="L13" i="6"/>
  <c r="L12" i="6"/>
  <c r="L17" i="6"/>
  <c r="AP12" i="6"/>
  <c r="AP13" i="6" s="1"/>
  <c r="AK16" i="6"/>
  <c r="H17" i="6"/>
  <c r="K12" i="6"/>
  <c r="K13" i="6" s="1"/>
  <c r="AQ17" i="6"/>
  <c r="P17" i="6"/>
  <c r="U11" i="6"/>
  <c r="D14" i="1"/>
  <c r="U17" i="6"/>
  <c r="AP16" i="6"/>
  <c r="F12" i="6"/>
  <c r="F13" i="6" s="1"/>
  <c r="AP17" i="6"/>
  <c r="F16" i="6"/>
  <c r="I16" i="6"/>
  <c r="R13" i="6"/>
  <c r="R12" i="6"/>
  <c r="R16" i="6"/>
  <c r="K16" i="6"/>
  <c r="M12" i="6"/>
  <c r="M13" i="6" s="1"/>
  <c r="AG12" i="6"/>
  <c r="M16" i="6"/>
  <c r="B14" i="1"/>
  <c r="AB12" i="6"/>
  <c r="AB13" i="6" s="1"/>
  <c r="M17" i="6"/>
  <c r="AI12" i="6"/>
  <c r="AI13" i="6" s="1"/>
  <c r="C12" i="6"/>
  <c r="F17" i="6"/>
  <c r="M5" i="7" l="1"/>
  <c r="M8" i="7" s="1"/>
  <c r="M14" i="7" s="1"/>
  <c r="M18" i="6"/>
  <c r="AR5" i="7"/>
  <c r="AR8" i="7" s="1"/>
  <c r="AR14" i="7" s="1"/>
  <c r="AR18" i="6"/>
  <c r="P5" i="7"/>
  <c r="P8" i="7" s="1"/>
  <c r="P14" i="7" s="1"/>
  <c r="P18" i="6"/>
  <c r="H5" i="7"/>
  <c r="H8" i="7" s="1"/>
  <c r="H14" i="7" s="1"/>
  <c r="H18" i="6"/>
  <c r="K5" i="7"/>
  <c r="K8" i="7" s="1"/>
  <c r="K14" i="7" s="1"/>
  <c r="K18" i="6"/>
  <c r="AP5" i="7"/>
  <c r="AP8" i="7" s="1"/>
  <c r="AP14" i="7" s="1"/>
  <c r="AP18" i="6"/>
  <c r="F5" i="7"/>
  <c r="F8" i="7" s="1"/>
  <c r="F14" i="7" s="1"/>
  <c r="F18" i="6"/>
  <c r="AB5" i="7"/>
  <c r="AB8" i="7" s="1"/>
  <c r="AB14" i="7" s="1"/>
  <c r="AB18" i="6"/>
  <c r="AQ5" i="7"/>
  <c r="AQ8" i="7" s="1"/>
  <c r="AQ14" i="7" s="1"/>
  <c r="AQ18" i="6"/>
  <c r="AI5" i="7"/>
  <c r="AI8" i="7" s="1"/>
  <c r="AI14" i="7" s="1"/>
  <c r="AI18" i="6"/>
  <c r="AF5" i="7"/>
  <c r="AF8" i="7" s="1"/>
  <c r="AF14" i="7" s="1"/>
  <c r="AF18" i="6"/>
  <c r="AK11" i="6"/>
  <c r="F14" i="1"/>
  <c r="AK17" i="6"/>
  <c r="L5" i="7"/>
  <c r="L8" i="7" s="1"/>
  <c r="L14" i="7" s="1"/>
  <c r="L18" i="6"/>
  <c r="E15" i="1"/>
  <c r="AG13" i="6"/>
  <c r="U12" i="6"/>
  <c r="D15" i="1" s="1"/>
  <c r="AO12" i="6"/>
  <c r="G15" i="1" s="1"/>
  <c r="R5" i="7"/>
  <c r="R8" i="7" s="1"/>
  <c r="R14" i="7" s="1"/>
  <c r="R18" i="6"/>
  <c r="G5" i="7"/>
  <c r="G8" i="7" s="1"/>
  <c r="G14" i="7" s="1"/>
  <c r="G18" i="6"/>
  <c r="B15" i="1"/>
  <c r="C13" i="6"/>
  <c r="I11" i="6"/>
  <c r="C14" i="1"/>
  <c r="I17" i="6"/>
  <c r="I12" i="6" l="1"/>
  <c r="C15" i="1" s="1"/>
  <c r="AO13" i="6"/>
  <c r="C5" i="7"/>
  <c r="C8" i="7" s="1"/>
  <c r="C14" i="7" s="1"/>
  <c r="B16" i="1"/>
  <c r="C18" i="6"/>
  <c r="AK12" i="6"/>
  <c r="F15" i="1" s="1"/>
  <c r="U13" i="6"/>
  <c r="AG5" i="7"/>
  <c r="AG8" i="7" s="1"/>
  <c r="AG14" i="7" s="1"/>
  <c r="E16" i="1"/>
  <c r="AG18" i="6"/>
  <c r="B8" i="8" l="1"/>
  <c r="E17" i="1"/>
  <c r="U5" i="7"/>
  <c r="U8" i="7" s="1"/>
  <c r="U14" i="7" s="1"/>
  <c r="D16" i="1"/>
  <c r="U18" i="6"/>
  <c r="AK13" i="6"/>
  <c r="AO5" i="7"/>
  <c r="AO8" i="7" s="1"/>
  <c r="AO14" i="7" s="1"/>
  <c r="G16" i="1"/>
  <c r="AO18" i="6"/>
  <c r="B5" i="8"/>
  <c r="C15" i="7"/>
  <c r="B17" i="1"/>
  <c r="I13" i="6"/>
  <c r="I5" i="7" l="1"/>
  <c r="I8" i="7" s="1"/>
  <c r="I14" i="7" s="1"/>
  <c r="C16" i="1"/>
  <c r="I18" i="6"/>
  <c r="D15" i="7"/>
  <c r="E15" i="7" s="1"/>
  <c r="F15" i="7" s="1"/>
  <c r="G15" i="7" s="1"/>
  <c r="H15" i="7" s="1"/>
  <c r="AK5" i="7"/>
  <c r="AK8" i="7" s="1"/>
  <c r="AK14" i="7" s="1"/>
  <c r="F16" i="1"/>
  <c r="AK18" i="6"/>
  <c r="B7" i="8"/>
  <c r="D17" i="1"/>
  <c r="B10" i="8"/>
  <c r="G17" i="1"/>
  <c r="B9" i="8" l="1"/>
  <c r="F17" i="1"/>
  <c r="I15" i="7"/>
  <c r="B18" i="1"/>
  <c r="B6" i="8"/>
  <c r="C17" i="1"/>
  <c r="B13" i="8" l="1"/>
  <c r="B14" i="8"/>
  <c r="J15" i="7"/>
  <c r="B21" i="8" l="1"/>
  <c r="C5" i="1"/>
  <c r="K15" i="7"/>
  <c r="L15" i="7" s="1"/>
  <c r="M15" i="7" s="1"/>
  <c r="N15" i="7" s="1"/>
  <c r="O15" i="7" s="1"/>
  <c r="P15" i="7" s="1"/>
  <c r="Q15" i="7" s="1"/>
  <c r="R15" i="7" s="1"/>
  <c r="S15" i="7" s="1"/>
  <c r="T15" i="7" s="1"/>
  <c r="B20" i="8"/>
  <c r="A5" i="1"/>
  <c r="B17" i="8" l="1"/>
  <c r="U15" i="7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C18" i="1"/>
  <c r="AG15" i="7" l="1"/>
  <c r="AH15" i="7" s="1"/>
  <c r="AI15" i="7" s="1"/>
  <c r="AJ15" i="7" s="1"/>
  <c r="D18" i="1"/>
  <c r="AK15" i="7" l="1"/>
  <c r="AL15" i="7" s="1"/>
  <c r="AM15" i="7" s="1"/>
  <c r="AN15" i="7" s="1"/>
  <c r="E18" i="1"/>
  <c r="AO15" i="7" l="1"/>
  <c r="AP15" i="7" s="1"/>
  <c r="AQ15" i="7" s="1"/>
  <c r="AR15" i="7" s="1"/>
  <c r="F18" i="1"/>
  <c r="G18" i="1" l="1"/>
  <c r="B15" i="8"/>
  <c r="B16" i="8" s="1"/>
</calcChain>
</file>

<file path=xl/sharedStrings.xml><?xml version="1.0" encoding="utf-8"?>
<sst xmlns="http://schemas.openxmlformats.org/spreadsheetml/2006/main" count="655" uniqueCount="339">
  <si>
    <t>VISIT VIETNAM — FINANCIAL MODEL DASHBOARD</t>
  </si>
  <si>
    <t>KEY METRICS</t>
  </si>
  <si>
    <t>NPV</t>
  </si>
  <si>
    <t>IRR</t>
  </si>
  <si>
    <t>CIT Rate</t>
  </si>
  <si>
    <t>Discount Rate</t>
  </si>
  <si>
    <t>M VND</t>
  </si>
  <si>
    <t>Applied</t>
  </si>
  <si>
    <t>WACC</t>
  </si>
  <si>
    <t>ANNUAL SUMMARY (M VND)</t>
  </si>
  <si>
    <t>Metric</t>
  </si>
  <si>
    <t>H2 2025</t>
  </si>
  <si>
    <t>2026</t>
  </si>
  <si>
    <t>2027</t>
  </si>
  <si>
    <t>2028</t>
  </si>
  <si>
    <t>2029</t>
  </si>
  <si>
    <t>2030</t>
  </si>
  <si>
    <t>Revenue</t>
  </si>
  <si>
    <t>COGS</t>
  </si>
  <si>
    <t>Gross Profit</t>
  </si>
  <si>
    <t>OPEX</t>
  </si>
  <si>
    <t>EBITDA</t>
  </si>
  <si>
    <t>Tax (CIT 20%)</t>
  </si>
  <si>
    <t>Net Income</t>
  </si>
  <si>
    <t>Free Cash Flow</t>
  </si>
  <si>
    <t>Cumulative CF</t>
  </si>
  <si>
    <t>Net enterprises</t>
  </si>
  <si>
    <t>VISIT VIETNAM — FINANCIAL MODEL ASSUMPTIONS</t>
  </si>
  <si>
    <t>All yellow cells are editable placeholders. Change values to update the entire model.</t>
  </si>
  <si>
    <t>MARKET DATA</t>
  </si>
  <si>
    <t>Parameter</t>
  </si>
  <si>
    <t>Value</t>
  </si>
  <si>
    <t>Unit</t>
  </si>
  <si>
    <t>Notes</t>
  </si>
  <si>
    <t>Total tourism enterprises in Vietnam</t>
  </si>
  <si>
    <t>GSO/VNAT statistics</t>
  </si>
  <si>
    <t>Digitally active / certifiable subset</t>
  </si>
  <si>
    <t>Industry reports</t>
  </si>
  <si>
    <t>E-commerce tourism market (2025)</t>
  </si>
  <si>
    <t>Bn VND</t>
  </si>
  <si>
    <t>e-Conomy SEA</t>
  </si>
  <si>
    <t>E-tourism market YoY growth</t>
  </si>
  <si>
    <t>%</t>
  </si>
  <si>
    <t>Historical 2020-2025</t>
  </si>
  <si>
    <t>Existing competitors' combined share</t>
  </si>
  <si>
    <t>Desk research</t>
  </si>
  <si>
    <t>ADOPTION S-CURVE PARAMETERS</t>
  </si>
  <si>
    <t>Maximum enterprises (ceiling)</t>
  </si>
  <si>
    <t>S-curve asymptote</t>
  </si>
  <si>
    <t>Midpoint year (fastest growth)</t>
  </si>
  <si>
    <t>Year</t>
  </si>
  <si>
    <t>Inflection point</t>
  </si>
  <si>
    <t>Steepness factor</t>
  </si>
  <si>
    <t>Higher = steeper curve</t>
  </si>
  <si>
    <t>Starting enterprises (H2 2025)</t>
  </si>
  <si>
    <t>Pilot partners</t>
  </si>
  <si>
    <t>Annual non-renewal rate</t>
  </si>
  <si>
    <t>Certification churn</t>
  </si>
  <si>
    <t>PRICING</t>
  </si>
  <si>
    <t>Certification fee per enterprise/yr</t>
  </si>
  <si>
    <t>Annual subscription</t>
  </si>
  <si>
    <t>Cert fee annual price increase</t>
  </si>
  <si>
    <t>Reduced from old 15%</t>
  </si>
  <si>
    <t>Transaction fee (% of GMV)</t>
  </si>
  <si>
    <t>Platform commission</t>
  </si>
  <si>
    <t>% of e-tourism GMV via VV</t>
  </si>
  <si>
    <t>Realistic; was 25%</t>
  </si>
  <si>
    <t>DaaS price per million VCR</t>
  </si>
  <si>
    <t>Data subscription</t>
  </si>
  <si>
    <t>Advertising CPM</t>
  </si>
  <si>
    <t>K VND</t>
  </si>
  <si>
    <t>B2B travel benchmark</t>
  </si>
  <si>
    <t>Monthly ad impressions (K)</t>
  </si>
  <si>
    <t>K</t>
  </si>
  <si>
    <t>Grows with traffic</t>
  </si>
  <si>
    <t>Training/consulting fee per engagement</t>
  </si>
  <si>
    <t>NEW stream</t>
  </si>
  <si>
    <t>Per-certification audit fee</t>
  </si>
  <si>
    <t>% enterprises buying training</t>
  </si>
  <si>
    <t>Estimated</t>
  </si>
  <si>
    <t>Audits per enterprise per year</t>
  </si>
  <si>
    <t>Annual cycle</t>
  </si>
  <si>
    <t>COST PARAMETERS</t>
  </si>
  <si>
    <t>Platform development (MVP)</t>
  </si>
  <si>
    <t>Current Excel data</t>
  </si>
  <si>
    <t>Annual maintenance (% of CAPEX)</t>
  </si>
  <si>
    <t>Industry std 15-20%</t>
  </si>
  <si>
    <t>Marketing &amp; communications (annual)</t>
  </si>
  <si>
    <t>Current data</t>
  </si>
  <si>
    <t>Cloud &amp; licenses (base annual)</t>
  </si>
  <si>
    <t>Cloud cost per million VCR</t>
  </si>
  <si>
    <t>Scales with traffic</t>
  </si>
  <si>
    <t>External affairs (annual)</t>
  </si>
  <si>
    <t>Legal &amp; compliance (annual)</t>
  </si>
  <si>
    <t>Pilot evaluation (Y1 only)</t>
  </si>
  <si>
    <t>One-time</t>
  </si>
  <si>
    <t>Payment gateway fee (% tx rev)</t>
  </si>
  <si>
    <t>COGS for transactions</t>
  </si>
  <si>
    <t>Branding &amp; events (annual)</t>
  </si>
  <si>
    <t>Security / pentest (annual)</t>
  </si>
  <si>
    <t>HR &amp; OVERHEAD</t>
  </si>
  <si>
    <t>Avg salary — Management (monthly)</t>
  </si>
  <si>
    <t>Director/PM level</t>
  </si>
  <si>
    <t>Avg salary — Development (monthly)</t>
  </si>
  <si>
    <t>Engineers, DevOps, QA</t>
  </si>
  <si>
    <t>Avg salary — BizOps (monthly)</t>
  </si>
  <si>
    <t>BD, cert specialists, support</t>
  </si>
  <si>
    <t>Avg salary — Data &amp; Analytics (monthly)</t>
  </si>
  <si>
    <t>Data eng, analysts</t>
  </si>
  <si>
    <t>Annual salary increase</t>
  </si>
  <si>
    <t>VN labor market</t>
  </si>
  <si>
    <t>Social insurance overhead (employer)</t>
  </si>
  <si>
    <t>BHXH+BHYT+BHTN</t>
  </si>
  <si>
    <t>Recruitment fee (% Y1 salary)</t>
  </si>
  <si>
    <t>Headhunter</t>
  </si>
  <si>
    <t>FINANCIAL PARAMETERS</t>
  </si>
  <si>
    <t>Corporate income tax (CIT)</t>
  </si>
  <si>
    <t>Vietnamese law — WAS MISSING</t>
  </si>
  <si>
    <t>Discount rate (WACC)</t>
  </si>
  <si>
    <t>Risk-adjusted</t>
  </si>
  <si>
    <t>CAPEX depreciation period</t>
  </si>
  <si>
    <t>Years</t>
  </si>
  <si>
    <t>Straight-line</t>
  </si>
  <si>
    <t>Accounts receivable days</t>
  </si>
  <si>
    <t>Days</t>
  </si>
  <si>
    <t>Collection period</t>
  </si>
  <si>
    <t>Accounts payable days</t>
  </si>
  <si>
    <t>Payment terms</t>
  </si>
  <si>
    <t>Stage 2 gate (min enterprises)</t>
  </si>
  <si>
    <t>Must reach to activate tx fees</t>
  </si>
  <si>
    <t>SCENARIO PARAMETERS</t>
  </si>
  <si>
    <t>Active scenario:</t>
  </si>
  <si>
    <t>Base</t>
  </si>
  <si>
    <t>Bull</t>
  </si>
  <si>
    <t>Bear</t>
  </si>
  <si>
    <t>Adoption max</t>
  </si>
  <si>
    <t>Platform market share</t>
  </si>
  <si>
    <t>Cert fee escalation</t>
  </si>
  <si>
    <t>Churn rate</t>
  </si>
  <si>
    <t>OPEX growth factor</t>
  </si>
  <si>
    <t>MARKET SIZING &amp; ADOPTION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</si>
  <si>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</si>
  <si>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</si>
  <si>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</si>
  <si>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</si>
  <si>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</si>
  <si>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</si>
  <si>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</si>
  <si>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</si>
  <si>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</si>
  <si>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</si>
  <si>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</si>
  <si>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</si>
  <si>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</si>
  <si>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</si>
  <si>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</si>
  <si>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</si>
  <si>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</si>
  <si>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</si>
  <si>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</si>
  <si>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</si>
  <si>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</si>
  <si>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</si>
  <si>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</si>
  <si>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</si>
  <si>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</si>
  <si>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</si>
  <si>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</si>
  <si>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</si>
  <si>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</si>
  <si>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</si>
  <si>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</si>
  <si>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</si>
  <si>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</si>
  <si>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</si>
  <si>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</si>
  <si>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</si>
  <si>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</si>
  <si>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</si>
  <si>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</si>
  <si>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</si>
  <si>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</si>
  <si>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</si>
  <si>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Market Size</t>
  </si>
  <si>
    <t>TAM (total enterprises)</t>
  </si>
  <si>
    <t>count</t>
  </si>
  <si>
    <t>SAM (serviceable)</t>
  </si>
  <si>
    <t>E-commerce tourism market</t>
  </si>
  <si>
    <t>Enterprise Adoption (S-Curve)</t>
  </si>
  <si>
    <t>Gross enterprises (S-curve)</t>
  </si>
  <si>
    <t>Churned enterprises</t>
  </si>
  <si>
    <t>Net active enterprises</t>
  </si>
  <si>
    <t>New enterprises (period)</t>
  </si>
  <si>
    <t>VCR (visitor records)</t>
  </si>
  <si>
    <t>M records</t>
  </si>
  <si>
    <t>REVENUE SCHEDULE (M VND)</t>
  </si>
  <si>
    <t>Item</t>
  </si>
  <si>
    <t>TOTAL</t>
  </si>
  <si>
    <t>Stage 1 Revenue</t>
  </si>
  <si>
    <t xml:space="preserve">  Certification fees</t>
  </si>
  <si>
    <t xml:space="preserve">  Training &amp; consulting</t>
  </si>
  <si>
    <t xml:space="preserve">  Audit fees</t>
  </si>
  <si>
    <t>Subtotal Stage 1</t>
  </si>
  <si>
    <t>Stage 2 Revenue (gated on enterprise count)</t>
  </si>
  <si>
    <t xml:space="preserve">  Transaction fees</t>
  </si>
  <si>
    <t xml:space="preserve">  DaaS (data as a service)</t>
  </si>
  <si>
    <t xml:space="preserve">  Advertising</t>
  </si>
  <si>
    <t>Subtotal Stage 2</t>
  </si>
  <si>
    <t>TOTAL REVENUE</t>
  </si>
  <si>
    <t>COST OF GOODS SOLD (COGS)</t>
  </si>
  <si>
    <t xml:space="preserve">  Payment processing fees</t>
  </si>
  <si>
    <t>TOTAL COGS</t>
  </si>
  <si>
    <t>GROSS PROFIT</t>
  </si>
  <si>
    <t>COST SCHEDULE (M VND)</t>
  </si>
  <si>
    <t>CAPITAL EXPENDITURE (CAPEX)</t>
  </si>
  <si>
    <t xml:space="preserve">  Platform development</t>
  </si>
  <si>
    <t xml:space="preserve">  Annual maintenance</t>
  </si>
  <si>
    <t>TOTAL CAPEX</t>
  </si>
  <si>
    <t>OPERATING EXPENDITURE (OPEX)</t>
  </si>
  <si>
    <t xml:space="preserve">  Human resources (total)</t>
  </si>
  <si>
    <t xml:space="preserve">  Recruitment costs</t>
  </si>
  <si>
    <t xml:space="preserve">  Marketing &amp; communications</t>
  </si>
  <si>
    <t xml:space="preserve">  Branding &amp; events</t>
  </si>
  <si>
    <t xml:space="preserve">  Cloud &amp; infrastructure</t>
  </si>
  <si>
    <t xml:space="preserve">  Security / pentest</t>
  </si>
  <si>
    <t xml:space="preserve">  External affairs</t>
  </si>
  <si>
    <t xml:space="preserve">  Legal &amp; compliance</t>
  </si>
  <si>
    <t xml:space="preserve">  Pilot evaluation (Y1 only)</t>
  </si>
  <si>
    <t>TOTAL OPEX</t>
  </si>
  <si>
    <t>TOTAL COSTS (CAPEX + OPEX)</t>
  </si>
  <si>
    <t>PROFIT &amp; LOSS STATEMENT (M VND)</t>
  </si>
  <si>
    <t>Cost of goods sold</t>
  </si>
  <si>
    <t>Operating expenses</t>
  </si>
  <si>
    <t>Depreciation &amp; amortization</t>
  </si>
  <si>
    <t>EBIT</t>
  </si>
  <si>
    <t>Corporate income tax (CIT 20%)</t>
  </si>
  <si>
    <t>NET INCOME</t>
  </si>
  <si>
    <t>KEY RATIOS</t>
  </si>
  <si>
    <t>Gross margin</t>
  </si>
  <si>
    <t>EBITDA margin</t>
  </si>
  <si>
    <t>Net income margin</t>
  </si>
  <si>
    <t>CASH FLOW STATEMENT (M VND)</t>
  </si>
  <si>
    <t>Operating Cash Flow</t>
  </si>
  <si>
    <t xml:space="preserve">  Net income</t>
  </si>
  <si>
    <t xml:space="preserve">  Add: Depreciation</t>
  </si>
  <si>
    <t xml:space="preserve">  Change in working capital</t>
  </si>
  <si>
    <t>OPERATING CASH FLOW</t>
  </si>
  <si>
    <t>Investing Cash Flow</t>
  </si>
  <si>
    <t xml:space="preserve">  Capital expenditure</t>
  </si>
  <si>
    <t>INVESTING CASH FLOW</t>
  </si>
  <si>
    <t>FREE CASH FLOW</t>
  </si>
  <si>
    <t>Cumulative cash flow</t>
  </si>
  <si>
    <t>DCF VALUATION &amp; RETURN METRICS</t>
  </si>
  <si>
    <t>Annual Free Cash Flow Summary</t>
  </si>
  <si>
    <t>FCF (M VND)</t>
  </si>
  <si>
    <t>Discounted Cash Flow</t>
  </si>
  <si>
    <t>NPV @ discount rate</t>
  </si>
  <si>
    <t>Total investment (cumulative losses)</t>
  </si>
  <si>
    <t>ROI (5-year)</t>
  </si>
  <si>
    <t>Payback period (years)</t>
  </si>
  <si>
    <t>Key Metrics Summary</t>
  </si>
  <si>
    <t>Discount rate used</t>
  </si>
  <si>
    <t>CIT rate applied</t>
  </si>
  <si>
    <t>SENSITIVITY ANALYSIS</t>
  </si>
  <si>
    <t>Note: Data tables require manual setup in Excel (What-If Analysis &gt; Data Table).</t>
  </si>
  <si>
    <t>Below are the parameter ranges and corner-case NPV values for quick reference.</t>
  </si>
  <si>
    <t>Table 1: Enterprise Ceiling × Cert Fee → NPV Impact</t>
  </si>
  <si>
    <t>Enterprise ceiling</t>
  </si>
  <si>
    <t>500 ent.</t>
  </si>
  <si>
    <t>1,000 ent.</t>
  </si>
  <si>
    <t>1,500 ent.</t>
  </si>
  <si>
    <t>2,000 ent.</t>
  </si>
  <si>
    <t>3,000 ent.</t>
  </si>
  <si>
    <t>5,000 ent.</t>
  </si>
  <si>
    <t>Cert fee: 20M VND</t>
  </si>
  <si>
    <t>🔴 ~10B/yr cert</t>
  </si>
  <si>
    <t>🔴 ~20B/yr cert</t>
  </si>
  <si>
    <t>🟡 ~30B/yr cert</t>
  </si>
  <si>
    <t>🟡 ~40B/yr cert</t>
  </si>
  <si>
    <t>🟢 ~60B/yr cert</t>
  </si>
  <si>
    <t>🟢 ~100B/yr cert</t>
  </si>
  <si>
    <t>Cert fee: 25M VND</t>
  </si>
  <si>
    <t>🔴 ~12B/yr cert</t>
  </si>
  <si>
    <t>🟡 ~25B/yr cert</t>
  </si>
  <si>
    <t>🟡 ~38B/yr cert</t>
  </si>
  <si>
    <t>🟡 ~50B/yr cert</t>
  </si>
  <si>
    <t>🟢 ~75B/yr cert</t>
  </si>
  <si>
    <t>🟢 ~125B/yr cert</t>
  </si>
  <si>
    <t>Cert fee: 30M VND</t>
  </si>
  <si>
    <t>🔴 ~15B/yr cert</t>
  </si>
  <si>
    <t>🟡 ~45B/yr cert</t>
  </si>
  <si>
    <t>🟢 ~90B/yr cert</t>
  </si>
  <si>
    <t>🟢 ~150B/yr cert</t>
  </si>
  <si>
    <t>Cert fee: 35M VND</t>
  </si>
  <si>
    <t>🔴 ~18B/yr cert</t>
  </si>
  <si>
    <t>🟡 ~35B/yr cert</t>
  </si>
  <si>
    <t>🟢 ~52B/yr cert</t>
  </si>
  <si>
    <t>🟢 ~70B/yr cert</t>
  </si>
  <si>
    <t>🟢 ~105B/yr cert</t>
  </si>
  <si>
    <t>🟢 ~175B/yr cert</t>
  </si>
  <si>
    <t>Cert fee: 40M VND</t>
  </si>
  <si>
    <t>🟢 ~80B/yr cert</t>
  </si>
  <si>
    <t>🟢 ~120B/yr cert</t>
  </si>
  <si>
    <t>🟢 ~200B/yr cert</t>
  </si>
  <si>
    <t>Cert fee: 50M VND</t>
  </si>
  <si>
    <t>🟢 ~250B/yr cert</t>
  </si>
  <si>
    <t>Table 2: Market Share × Take Rate → Annual Tx Revenue (2030)</t>
  </si>
  <si>
    <t>Market share</t>
  </si>
  <si>
    <t>0.5% take</t>
  </si>
  <si>
    <t>1.0% take</t>
  </si>
  <si>
    <t>1.5% take</t>
  </si>
  <si>
    <t>2.0% take</t>
  </si>
  <si>
    <t>2.5% take</t>
  </si>
  <si>
    <t>3.0% take</t>
  </si>
  <si>
    <t>Market share: 0.5%</t>
  </si>
  <si>
    <t>Market share: 1.0%</t>
  </si>
  <si>
    <t>Market share: 2.0%</t>
  </si>
  <si>
    <t>Market share: 3.0%</t>
  </si>
  <si>
    <t>Market share: 5.0%</t>
  </si>
  <si>
    <t>Market share: 10.0%</t>
  </si>
  <si>
    <t>Scenario Comparison (from Assumptions sheet)</t>
  </si>
  <si>
    <t>Failure</t>
  </si>
  <si>
    <t>3,000</t>
  </si>
  <si>
    <t>1,500</t>
  </si>
  <si>
    <t>500</t>
  </si>
  <si>
    <t>100</t>
  </si>
  <si>
    <t>5%</t>
  </si>
  <si>
    <t>2%</t>
  </si>
  <si>
    <t>0.5%</t>
  </si>
  <si>
    <t>0%</t>
  </si>
  <si>
    <t>10%</t>
  </si>
  <si>
    <t>8%</t>
  </si>
  <si>
    <t>15%</t>
  </si>
  <si>
    <t>25%</t>
  </si>
  <si>
    <t>40%</t>
  </si>
  <si>
    <t>1.0x</t>
  </si>
  <si>
    <t>1.2x</t>
  </si>
  <si>
    <t>1.3x</t>
  </si>
  <si>
    <t>To run scenarios: change values in Assumptions sheet → model recalculates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</si>
</sst>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0.0\x"/>
  </numFmts>
  <fonts count="14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1"/>
      <name val="Calibri"/>
    </font>
    <font>
      <b/>
      <sz val="16"/>
      <color rgb="FF1F4E79"/>
      <name val="Calibri"/>
    </font>
    <font>
      <sz val="10"/>
      <color rgb="FF666666"/>
      <name val="Calibri"/>
    </font>
    <font>
      <b/>
      <sz val="14"/>
      <color rgb="FF1F4E79"/>
      <name val="Calibri"/>
    </font>
    <font>
      <sz val="9"/>
      <name val="Calibri"/>
    </font>
    <font>
      <sz val="11"/>
      <color rgb="FFCC0000"/>
      <name val="Calibri"/>
    </font>
    <font>
      <i/>
      <sz val="10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3" fontId="5" fillId="4" borderId="1" xfId="0" applyNumberFormat="1" applyFont="1" applyFill="1" applyBorder="1"/>
    <xf numFmtId="0" fontId="4" fillId="0" borderId="0" xfId="0" applyFont="1"/>
    <xf numFmtId="0" fontId="6" fillId="0" borderId="0" xfId="0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0" fontId="7" fillId="0" borderId="0" xfId="0" applyFont="1"/>
    <xf numFmtId="0" fontId="5" fillId="4" borderId="1" xfId="0" applyFont="1" applyFill="1" applyBorder="1"/>
    <xf numFmtId="3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0" fillId="2" borderId="0" xfId="0" applyFill="1"/>
    <xf numFmtId="3" fontId="4" fillId="0" borderId="1" xfId="0" applyNumberFormat="1" applyFont="1" applyBorder="1"/>
    <xf numFmtId="164" fontId="4" fillId="0" borderId="1" xfId="0" applyNumberFormat="1" applyFont="1" applyBorder="1"/>
    <xf numFmtId="3" fontId="7" fillId="5" borderId="1" xfId="0" applyNumberFormat="1" applyFont="1" applyFill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0" fontId="9" fillId="0" borderId="0" xfId="0" applyFont="1"/>
    <xf numFmtId="3" fontId="10" fillId="0" borderId="0" xfId="0" applyNumberFormat="1" applyFont="1"/>
    <xf numFmtId="165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8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9"/>
  <sheetViews>
    <sheetView tabSelected="1" workbookViewId="0">
      <selection activeCell="A5" sqref="A5"/>
    </sheetView>
  </sheetViews>
  <sheetFormatPr defaultRowHeight="14.4" x14ac:dyDescent="0.3"/>
  <cols>
    <col min="1" max="1" width="25" customWidth="1"/>
    <col min="2" max="8" width="18" customWidth="1"/>
  </cols>
  <sheetData>
    <row r="1" spans="1:8" ht="21" x14ac:dyDescent="0.4">
      <c r="A1" s="31" t="s">
        <v>0</v>
      </c>
      <c r="B1" s="32"/>
      <c r="C1" s="32"/>
      <c r="D1" s="32"/>
      <c r="E1" s="32"/>
      <c r="F1" s="32"/>
      <c r="G1" s="32"/>
      <c r="H1" s="32"/>
    </row>
    <row r="3" spans="1:8" x14ac:dyDescent="0.3">
      <c r="A3" s="28" t="s">
        <v>1</v>
      </c>
      <c r="B3" s="29"/>
      <c r="C3" s="29"/>
      <c r="D3" s="30"/>
    </row>
    <row r="4" spans="1:8" x14ac:dyDescent="0.3">
      <c r="A4" s="22" t="s">
        <v>2</v>
      </c>
      <c r="C4" s="22" t="s">
        <v>3</v>
      </c>
      <c r="E4" s="22" t="s">
        <v>4</v>
      </c>
      <c r="G4" s="22" t="s">
        <v>5</v>
      </c>
    </row>
    <row r="5" spans="1:8" ht="18" x14ac:dyDescent="0.35">
      <c r="A5" s="23">
        <f>'DCF &amp; Returns'!B13</f>
        <v>241386.37365627167</v>
      </c>
      <c r="C5" s="24">
        <f>'DCF &amp; Returns'!B14</f>
        <v>2.2298519423259462</v>
      </c>
      <c r="E5" s="24">
        <f>Assumptions!$B$60</f>
        <v>0.2</v>
      </c>
      <c r="G5" s="24">
        <f>Assumptions!$B$61</f>
        <v>0.12</v>
      </c>
    </row>
    <row r="6" spans="1:8" x14ac:dyDescent="0.3">
      <c r="A6" s="22" t="s">
        <v>6</v>
      </c>
      <c r="E6" s="22" t="s">
        <v>7</v>
      </c>
      <c r="G6" s="22" t="s">
        <v>8</v>
      </c>
    </row>
    <row r="8" spans="1:8" x14ac:dyDescent="0.3">
      <c r="A8" s="28" t="s">
        <v>9</v>
      </c>
      <c r="B8" s="29"/>
      <c r="C8" s="29"/>
      <c r="D8" s="29"/>
      <c r="E8" s="29"/>
      <c r="F8" s="29"/>
      <c r="G8" s="30"/>
    </row>
    <row r="9" spans="1:8" x14ac:dyDescent="0.3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</row>
    <row r="10" spans="1:8" x14ac:dyDescent="0.3">
      <c r="A10" s="4" t="s">
        <v>17</v>
      </c>
      <c r="B10" s="17">
        <f>SUM('P&amp;L'!C4:H4)</f>
        <v>4014.7646920211591</v>
      </c>
      <c r="C10" s="17">
        <f>SUM('P&amp;L'!I4:T4)</f>
        <v>48731.32024498906</v>
      </c>
      <c r="D10" s="17">
        <f>SUM('P&amp;L'!U4:AF4)</f>
        <v>96476.21028425933</v>
      </c>
      <c r="E10" s="17">
        <f>SUM('P&amp;L'!AG4:AJ4)</f>
        <v>151312.28418073186</v>
      </c>
      <c r="F10" s="17">
        <f>SUM('P&amp;L'!AK4:AN4)</f>
        <v>198198.57886055115</v>
      </c>
      <c r="G10" s="17">
        <f>SUM('P&amp;L'!AO4:AR4)</f>
        <v>228166.0882727509</v>
      </c>
    </row>
    <row r="11" spans="1:8" x14ac:dyDescent="0.3">
      <c r="A11" s="4" t="s">
        <v>18</v>
      </c>
      <c r="B11" s="17">
        <f>SUM('P&amp;L'!C5:H5)</f>
        <v>0</v>
      </c>
      <c r="C11" s="17">
        <f>SUM('P&amp;L'!I5:T5)</f>
        <v>-668.25</v>
      </c>
      <c r="D11" s="17">
        <f>SUM('P&amp;L'!U5:AF5)</f>
        <v>-962.28000000000054</v>
      </c>
      <c r="E11" s="17">
        <f>SUM('P&amp;L'!AG5:AJ5)</f>
        <v>-1039.2624000000003</v>
      </c>
      <c r="F11" s="17">
        <f>SUM('P&amp;L'!AK5:AN5)</f>
        <v>-1122.4033920000004</v>
      </c>
      <c r="G11" s="17">
        <f>SUM('P&amp;L'!AO5:AR5)</f>
        <v>-1212.1956633600005</v>
      </c>
    </row>
    <row r="12" spans="1:8" x14ac:dyDescent="0.3">
      <c r="A12" s="4" t="s">
        <v>19</v>
      </c>
      <c r="B12" s="19">
        <f>SUM('P&amp;L'!C6:H6)</f>
        <v>4014.7646920211591</v>
      </c>
      <c r="C12" s="19">
        <f>SUM('P&amp;L'!I6:T6)</f>
        <v>48063.07024498906</v>
      </c>
      <c r="D12" s="19">
        <f>SUM('P&amp;L'!U6:AF6)</f>
        <v>95513.930284259317</v>
      </c>
      <c r="E12" s="19">
        <f>SUM('P&amp;L'!AG6:AJ6)</f>
        <v>150273.02178073185</v>
      </c>
      <c r="F12" s="19">
        <f>SUM('P&amp;L'!AK6:AN6)</f>
        <v>197076.17546855114</v>
      </c>
      <c r="G12" s="19">
        <f>SUM('P&amp;L'!AO6:AR6)</f>
        <v>226953.8926093909</v>
      </c>
    </row>
    <row r="13" spans="1:8" x14ac:dyDescent="0.3">
      <c r="A13" s="4" t="s">
        <v>20</v>
      </c>
      <c r="B13" s="17">
        <f>SUM('P&amp;L'!C8:H8)</f>
        <v>-11975.331658768824</v>
      </c>
      <c r="C13" s="17">
        <f>SUM('P&amp;L'!I8:T8)</f>
        <v>-26007.655888668207</v>
      </c>
      <c r="D13" s="17">
        <f>SUM('P&amp;L'!U8:AF8)</f>
        <v>-32470.569322076823</v>
      </c>
      <c r="E13" s="17">
        <f>SUM('P&amp;L'!AG8:AJ8)</f>
        <v>-41899.765604942746</v>
      </c>
      <c r="F13" s="17">
        <f>SUM('P&amp;L'!AK8:AN8)</f>
        <v>-54632.906734991193</v>
      </c>
      <c r="G13" s="17">
        <f>SUM('P&amp;L'!AO8:AR8)</f>
        <v>-65957.884236939251</v>
      </c>
    </row>
    <row r="14" spans="1:8" x14ac:dyDescent="0.3">
      <c r="A14" s="4" t="s">
        <v>21</v>
      </c>
      <c r="B14" s="19">
        <f>SUM('P&amp;L'!C9:H9)</f>
        <v>-7960.566966747665</v>
      </c>
      <c r="C14" s="19">
        <f>SUM('P&amp;L'!I9:T9)</f>
        <v>22055.414356320864</v>
      </c>
      <c r="D14" s="19">
        <f>SUM('P&amp;L'!U9:AF9)</f>
        <v>63043.360962182494</v>
      </c>
      <c r="E14" s="19">
        <f>SUM('P&amp;L'!AG9:AJ9)</f>
        <v>108373.25617578914</v>
      </c>
      <c r="F14" s="19">
        <f>SUM('P&amp;L'!AK9:AN9)</f>
        <v>142443.26873355996</v>
      </c>
      <c r="G14" s="19">
        <f>SUM('P&amp;L'!AO9:AR9)</f>
        <v>160996.00837245164</v>
      </c>
    </row>
    <row r="15" spans="1:8" x14ac:dyDescent="0.3">
      <c r="A15" s="4" t="s">
        <v>22</v>
      </c>
      <c r="B15" s="17">
        <f>SUM('P&amp;L'!C12:H12)</f>
        <v>0</v>
      </c>
      <c r="C15" s="17">
        <f>SUM('P&amp;L'!I12:T12)</f>
        <v>-4978.6302184443193</v>
      </c>
      <c r="D15" s="17">
        <f>SUM('P&amp;L'!U12:AF12)</f>
        <v>-12397.4721924365</v>
      </c>
      <c r="E15" s="17">
        <f>SUM('P&amp;L'!AG12:AJ12)</f>
        <v>-21463.451235157823</v>
      </c>
      <c r="F15" s="17">
        <f>SUM('P&amp;L'!AK12:AN12)</f>
        <v>-28277.453746711995</v>
      </c>
      <c r="G15" s="17">
        <f>SUM('P&amp;L'!AO12:AR12)</f>
        <v>-32199.20167449033</v>
      </c>
    </row>
    <row r="16" spans="1:8" x14ac:dyDescent="0.3">
      <c r="A16" s="4" t="s">
        <v>23</v>
      </c>
      <c r="B16" s="19">
        <f>SUM('P&amp;L'!C13:H13)</f>
        <v>-8488.566966747665</v>
      </c>
      <c r="C16" s="19">
        <f>SUM('P&amp;L'!I13:T13)</f>
        <v>16020.784137876548</v>
      </c>
      <c r="D16" s="19">
        <f>SUM('P&amp;L'!U13:AF13)</f>
        <v>49589.888769746001</v>
      </c>
      <c r="E16" s="19">
        <f>SUM('P&amp;L'!AG13:AJ13)</f>
        <v>85853.804940631293</v>
      </c>
      <c r="F16" s="19">
        <f>SUM('P&amp;L'!AK13:AN13)</f>
        <v>113109.81498684797</v>
      </c>
      <c r="G16" s="19">
        <f>SUM('P&amp;L'!AO13:AR13)</f>
        <v>128796.80669796132</v>
      </c>
    </row>
    <row r="17" spans="1:7" x14ac:dyDescent="0.3">
      <c r="A17" s="4" t="s">
        <v>24</v>
      </c>
      <c r="B17" s="19">
        <f>SUM('Cash Flow'!C14:H14)</f>
        <v>-13343.279068184031</v>
      </c>
      <c r="C17" s="19">
        <f>SUM('Cash Flow'!I14:T14)</f>
        <v>15512.109592174374</v>
      </c>
      <c r="D17" s="19">
        <f>SUM('Cash Flow'!U14:AF14)</f>
        <v>49201.634932050583</v>
      </c>
      <c r="E17" s="19">
        <f>SUM('Cash Flow'!AG14:AJ14)</f>
        <v>81985.99779202597</v>
      </c>
      <c r="F17" s="19">
        <f>SUM('Cash Flow'!AK14:AN14)</f>
        <v>112007.26345066464</v>
      </c>
      <c r="G17" s="19">
        <f>SUM('Cash Flow'!AO14:AR14)</f>
        <v>127095.95492876301</v>
      </c>
    </row>
    <row r="18" spans="1:7" x14ac:dyDescent="0.3">
      <c r="A18" s="4" t="s">
        <v>25</v>
      </c>
      <c r="B18" s="19">
        <f>'Cash Flow'!H15</f>
        <v>-13343.279068184031</v>
      </c>
      <c r="C18" s="19">
        <f>'Cash Flow'!T15</f>
        <v>2168.8305239903452</v>
      </c>
      <c r="D18" s="19">
        <f>'Cash Flow'!AF15</f>
        <v>51370.465456040933</v>
      </c>
      <c r="E18" s="19">
        <f>'Cash Flow'!AJ15</f>
        <v>133356.46324806692</v>
      </c>
      <c r="F18" s="19">
        <f>'Cash Flow'!AN15</f>
        <v>245363.72669873154</v>
      </c>
      <c r="G18" s="19">
        <f>'Cash Flow'!AR15</f>
        <v>372459.68162749452</v>
      </c>
    </row>
    <row r="19" spans="1:7" x14ac:dyDescent="0.3">
      <c r="A19" s="4" t="s">
        <v>26</v>
      </c>
      <c r="B19" s="17">
        <f>'Market Sizing'!H12</f>
        <v>224.65867879714401</v>
      </c>
      <c r="C19" s="17">
        <f>'Market Sizing'!T12</f>
        <v>634.69703199785192</v>
      </c>
      <c r="D19" s="17">
        <f>'Market Sizing'!AF12</f>
        <v>1407.3616917973975</v>
      </c>
      <c r="E19" s="17">
        <f>'Market Sizing'!AJ12</f>
        <v>2139.3246975464622</v>
      </c>
      <c r="F19" s="17">
        <f>'Market Sizing'!AN12</f>
        <v>2611.9516053026719</v>
      </c>
      <c r="G19" s="17">
        <f>'Market Sizing'!AR12</f>
        <v>2798.6934219285558</v>
      </c>
    </row>
  </sheetData>
  <mergeCells count="3">
    <mergeCell ref="A8:G8"/>
    <mergeCell ref="A3:D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D74"/>
  <sheetViews>
    <sheetView topLeftCell="A48" workbookViewId="0">
      <selection activeCell="A36" sqref="A36:B36"/>
    </sheetView>
  </sheetViews>
  <sheetFormatPr defaultRowHeight="14.4" x14ac:dyDescent="0.3"/>
  <cols>
    <col min="1" max="1" width="40" customWidth="1"/>
    <col min="2" max="2" width="18" customWidth="1"/>
    <col min="3" max="3" width="15" customWidth="1"/>
    <col min="4" max="4" width="45" customWidth="1"/>
  </cols>
  <sheetData>
    <row r="1" spans="1:4" x14ac:dyDescent="0.3">
      <c r="A1" s="28" t="s">
        <v>27</v>
      </c>
      <c r="B1" s="29"/>
      <c r="C1" s="29"/>
      <c r="D1" s="30"/>
    </row>
    <row r="2" spans="1:4" x14ac:dyDescent="0.3">
      <c r="A2" s="2" t="s">
        <v>28</v>
      </c>
    </row>
    <row r="4" spans="1:4" x14ac:dyDescent="0.3">
      <c r="A4" s="28" t="s">
        <v>29</v>
      </c>
      <c r="B4" s="29"/>
      <c r="C4" s="29"/>
      <c r="D4" s="30"/>
    </row>
    <row r="5" spans="1:4" x14ac:dyDescent="0.3">
      <c r="A5" s="3" t="s">
        <v>30</v>
      </c>
      <c r="B5" s="3" t="s">
        <v>31</v>
      </c>
      <c r="C5" s="3" t="s">
        <v>32</v>
      </c>
      <c r="D5" s="3" t="s">
        <v>33</v>
      </c>
    </row>
    <row r="6" spans="1:4" x14ac:dyDescent="0.3">
      <c r="A6" s="4" t="s">
        <v>34</v>
      </c>
      <c r="B6" s="5">
        <v>40000</v>
      </c>
      <c r="C6" s="6"/>
      <c r="D6" s="7" t="s">
        <v>35</v>
      </c>
    </row>
    <row r="7" spans="1:4" x14ac:dyDescent="0.3">
      <c r="A7" s="4" t="s">
        <v>36</v>
      </c>
      <c r="B7" s="5">
        <v>15000</v>
      </c>
      <c r="C7" s="6"/>
      <c r="D7" s="7" t="s">
        <v>37</v>
      </c>
    </row>
    <row r="8" spans="1:4" x14ac:dyDescent="0.3">
      <c r="A8" s="4" t="s">
        <v>38</v>
      </c>
      <c r="B8" s="8">
        <v>82500</v>
      </c>
      <c r="C8" s="6" t="s">
        <v>39</v>
      </c>
      <c r="D8" s="7" t="s">
        <v>40</v>
      </c>
    </row>
    <row r="9" spans="1:4" x14ac:dyDescent="0.3">
      <c r="A9" s="4" t="s">
        <v>41</v>
      </c>
      <c r="B9" s="9">
        <v>0.08</v>
      </c>
      <c r="C9" s="6" t="s">
        <v>42</v>
      </c>
      <c r="D9" s="7" t="s">
        <v>43</v>
      </c>
    </row>
    <row r="10" spans="1:4" x14ac:dyDescent="0.3">
      <c r="A10" s="4" t="s">
        <v>44</v>
      </c>
      <c r="B10" s="9">
        <v>0.6</v>
      </c>
      <c r="C10" s="6" t="s">
        <v>42</v>
      </c>
      <c r="D10" s="7" t="s">
        <v>45</v>
      </c>
    </row>
    <row r="12" spans="1:4" x14ac:dyDescent="0.3">
      <c r="A12" s="28" t="s">
        <v>46</v>
      </c>
      <c r="B12" s="29"/>
      <c r="C12" s="29"/>
      <c r="D12" s="30"/>
    </row>
    <row r="13" spans="1:4" x14ac:dyDescent="0.3">
      <c r="A13" s="3" t="s">
        <v>30</v>
      </c>
      <c r="B13" s="3" t="s">
        <v>31</v>
      </c>
      <c r="C13" s="3" t="s">
        <v>32</v>
      </c>
      <c r="D13" s="3" t="s">
        <v>33</v>
      </c>
    </row>
    <row r="14" spans="1:4" x14ac:dyDescent="0.3">
      <c r="A14" s="4" t="s">
        <v>47</v>
      </c>
      <c r="B14" s="5">
        <v>3000</v>
      </c>
      <c r="C14" s="6"/>
      <c r="D14" s="7" t="s">
        <v>48</v>
      </c>
    </row>
    <row r="15" spans="1:4" x14ac:dyDescent="0.3">
      <c r="A15" s="4" t="s">
        <v>49</v>
      </c>
      <c r="B15" s="5">
        <v>2028</v>
      </c>
      <c r="C15" s="6" t="s">
        <v>50</v>
      </c>
      <c r="D15" s="7" t="s">
        <v>51</v>
      </c>
    </row>
    <row r="16" spans="1:4" x14ac:dyDescent="0.3">
      <c r="A16" s="4" t="s">
        <v>52</v>
      </c>
      <c r="B16" s="10">
        <v>1.2</v>
      </c>
      <c r="C16" s="6"/>
      <c r="D16" s="7" t="s">
        <v>53</v>
      </c>
    </row>
    <row r="17" spans="1:4" x14ac:dyDescent="0.3">
      <c r="A17" s="4" t="s">
        <v>54</v>
      </c>
      <c r="B17" s="5">
        <v>15</v>
      </c>
      <c r="C17" s="6"/>
      <c r="D17" s="7" t="s">
        <v>55</v>
      </c>
    </row>
    <row r="18" spans="1:4" x14ac:dyDescent="0.3">
      <c r="A18" s="4" t="s">
        <v>56</v>
      </c>
      <c r="B18" s="9">
        <v>0.15</v>
      </c>
      <c r="C18" s="6" t="s">
        <v>42</v>
      </c>
      <c r="D18" s="7" t="s">
        <v>57</v>
      </c>
    </row>
    <row r="20" spans="1:4" x14ac:dyDescent="0.3">
      <c r="A20" s="28" t="s">
        <v>58</v>
      </c>
      <c r="B20" s="29"/>
      <c r="C20" s="29"/>
      <c r="D20" s="30"/>
    </row>
    <row r="21" spans="1:4" x14ac:dyDescent="0.3">
      <c r="A21" s="3" t="s">
        <v>30</v>
      </c>
      <c r="B21" s="3" t="s">
        <v>31</v>
      </c>
      <c r="C21" s="3" t="s">
        <v>32</v>
      </c>
      <c r="D21" s="3" t="s">
        <v>33</v>
      </c>
    </row>
    <row r="22" spans="1:4" x14ac:dyDescent="0.3">
      <c r="A22" s="4" t="s">
        <v>59</v>
      </c>
      <c r="B22" s="5">
        <v>30</v>
      </c>
      <c r="C22" s="6" t="s">
        <v>6</v>
      </c>
      <c r="D22" s="7" t="s">
        <v>60</v>
      </c>
    </row>
    <row r="23" spans="1:4" x14ac:dyDescent="0.3">
      <c r="A23" s="4" t="s">
        <v>61</v>
      </c>
      <c r="B23" s="9">
        <v>0.08</v>
      </c>
      <c r="C23" s="6" t="s">
        <v>42</v>
      </c>
      <c r="D23" s="7" t="s">
        <v>62</v>
      </c>
    </row>
    <row r="24" spans="1:4" x14ac:dyDescent="0.3">
      <c r="A24" s="4" t="s">
        <v>63</v>
      </c>
      <c r="B24" s="9">
        <v>0.02</v>
      </c>
      <c r="C24" s="6" t="s">
        <v>42</v>
      </c>
      <c r="D24" s="7" t="s">
        <v>64</v>
      </c>
    </row>
    <row r="25" spans="1:4" x14ac:dyDescent="0.3">
      <c r="A25" s="4" t="s">
        <v>65</v>
      </c>
      <c r="B25" s="9">
        <v>0.02</v>
      </c>
      <c r="C25" s="6" t="s">
        <v>42</v>
      </c>
      <c r="D25" s="7" t="s">
        <v>66</v>
      </c>
    </row>
    <row r="26" spans="1:4" x14ac:dyDescent="0.3">
      <c r="A26" s="4" t="s">
        <v>67</v>
      </c>
      <c r="B26" s="5">
        <v>50</v>
      </c>
      <c r="C26" s="6" t="s">
        <v>6</v>
      </c>
      <c r="D26" s="7" t="s">
        <v>68</v>
      </c>
    </row>
    <row r="27" spans="1:4" x14ac:dyDescent="0.3">
      <c r="A27" s="4" t="s">
        <v>69</v>
      </c>
      <c r="B27" s="5">
        <v>150</v>
      </c>
      <c r="C27" s="6" t="s">
        <v>70</v>
      </c>
      <c r="D27" s="7" t="s">
        <v>71</v>
      </c>
    </row>
    <row r="28" spans="1:4" x14ac:dyDescent="0.3">
      <c r="A28" s="4" t="s">
        <v>72</v>
      </c>
      <c r="B28" s="5">
        <v>500</v>
      </c>
      <c r="C28" s="6" t="s">
        <v>73</v>
      </c>
      <c r="D28" s="7" t="s">
        <v>74</v>
      </c>
    </row>
    <row r="29" spans="1:4" x14ac:dyDescent="0.3">
      <c r="A29" s="4" t="s">
        <v>75</v>
      </c>
      <c r="B29" s="5">
        <v>15</v>
      </c>
      <c r="C29" s="6" t="s">
        <v>6</v>
      </c>
      <c r="D29" s="7" t="s">
        <v>76</v>
      </c>
    </row>
    <row r="30" spans="1:4" x14ac:dyDescent="0.3">
      <c r="A30" s="4" t="s">
        <v>77</v>
      </c>
      <c r="B30" s="5">
        <v>10</v>
      </c>
      <c r="C30" s="6" t="s">
        <v>6</v>
      </c>
      <c r="D30" s="7" t="s">
        <v>76</v>
      </c>
    </row>
    <row r="31" spans="1:4" x14ac:dyDescent="0.3">
      <c r="A31" s="4" t="s">
        <v>78</v>
      </c>
      <c r="B31" s="9">
        <v>0.3</v>
      </c>
      <c r="C31" s="6" t="s">
        <v>42</v>
      </c>
      <c r="D31" s="7" t="s">
        <v>79</v>
      </c>
    </row>
    <row r="32" spans="1:4" x14ac:dyDescent="0.3">
      <c r="A32" s="4" t="s">
        <v>80</v>
      </c>
      <c r="B32" s="5">
        <v>1</v>
      </c>
      <c r="C32" s="6"/>
      <c r="D32" s="7" t="s">
        <v>81</v>
      </c>
    </row>
    <row r="34" spans="1:4" x14ac:dyDescent="0.3">
      <c r="A34" s="28" t="s">
        <v>82</v>
      </c>
      <c r="B34" s="29"/>
      <c r="C34" s="29"/>
      <c r="D34" s="30"/>
    </row>
    <row r="35" spans="1:4" x14ac:dyDescent="0.3">
      <c r="A35" s="3" t="s">
        <v>30</v>
      </c>
      <c r="B35" s="3" t="s">
        <v>31</v>
      </c>
      <c r="C35" s="3" t="s">
        <v>32</v>
      </c>
      <c r="D35" s="3" t="s">
        <v>33</v>
      </c>
    </row>
    <row r="36" spans="1:4" x14ac:dyDescent="0.3">
      <c r="A36" s="4" t="s">
        <v>83</v>
      </c>
      <c r="B36" s="5">
        <v>5280</v>
      </c>
      <c r="C36" s="6" t="s">
        <v>6</v>
      </c>
      <c r="D36" s="7" t="s">
        <v>84</v>
      </c>
    </row>
    <row r="37" spans="1:4" x14ac:dyDescent="0.3">
      <c r="A37" s="4" t="s">
        <v>85</v>
      </c>
      <c r="B37" s="9">
        <v>0.18</v>
      </c>
      <c r="C37" s="6" t="s">
        <v>42</v>
      </c>
      <c r="D37" s="7" t="s">
        <v>86</v>
      </c>
    </row>
    <row r="38" spans="1:4" x14ac:dyDescent="0.3">
      <c r="A38" s="4" t="s">
        <v>87</v>
      </c>
      <c r="B38" s="5">
        <v>6000</v>
      </c>
      <c r="C38" s="6" t="s">
        <v>6</v>
      </c>
      <c r="D38" s="7" t="s">
        <v>88</v>
      </c>
    </row>
    <row r="39" spans="1:4" x14ac:dyDescent="0.3">
      <c r="A39" s="4" t="s">
        <v>89</v>
      </c>
      <c r="B39" s="5">
        <v>3250</v>
      </c>
      <c r="C39" s="6" t="s">
        <v>6</v>
      </c>
      <c r="D39" s="7" t="s">
        <v>88</v>
      </c>
    </row>
    <row r="40" spans="1:4" x14ac:dyDescent="0.3">
      <c r="A40" s="4" t="s">
        <v>90</v>
      </c>
      <c r="B40" s="5">
        <v>5</v>
      </c>
      <c r="C40" s="6" t="s">
        <v>6</v>
      </c>
      <c r="D40" s="7" t="s">
        <v>91</v>
      </c>
    </row>
    <row r="41" spans="1:4" x14ac:dyDescent="0.3">
      <c r="A41" s="4" t="s">
        <v>92</v>
      </c>
      <c r="B41" s="5">
        <v>400</v>
      </c>
      <c r="C41" s="6" t="s">
        <v>6</v>
      </c>
      <c r="D41" s="7" t="s">
        <v>88</v>
      </c>
    </row>
    <row r="42" spans="1:4" x14ac:dyDescent="0.3">
      <c r="A42" s="4" t="s">
        <v>93</v>
      </c>
      <c r="B42" s="5">
        <v>240</v>
      </c>
      <c r="C42" s="6" t="s">
        <v>6</v>
      </c>
      <c r="D42" s="7" t="s">
        <v>88</v>
      </c>
    </row>
    <row r="43" spans="1:4" x14ac:dyDescent="0.3">
      <c r="A43" s="4" t="s">
        <v>94</v>
      </c>
      <c r="B43" s="5">
        <v>200</v>
      </c>
      <c r="C43" s="6" t="s">
        <v>6</v>
      </c>
      <c r="D43" s="7" t="s">
        <v>95</v>
      </c>
    </row>
    <row r="44" spans="1:4" x14ac:dyDescent="0.3">
      <c r="A44" s="4" t="s">
        <v>96</v>
      </c>
      <c r="B44" s="9">
        <v>2.5000000000000001E-2</v>
      </c>
      <c r="C44" s="6" t="s">
        <v>42</v>
      </c>
      <c r="D44" s="7" t="s">
        <v>97</v>
      </c>
    </row>
    <row r="45" spans="1:4" x14ac:dyDescent="0.3">
      <c r="A45" s="4" t="s">
        <v>98</v>
      </c>
      <c r="B45" s="5">
        <v>4000</v>
      </c>
      <c r="C45" s="6" t="s">
        <v>6</v>
      </c>
      <c r="D45" s="7" t="s">
        <v>88</v>
      </c>
    </row>
    <row r="46" spans="1:4" x14ac:dyDescent="0.3">
      <c r="A46" s="4" t="s">
        <v>99</v>
      </c>
      <c r="B46" s="5">
        <v>250</v>
      </c>
      <c r="C46" s="6" t="s">
        <v>6</v>
      </c>
      <c r="D46" s="7" t="s">
        <v>88</v>
      </c>
    </row>
    <row r="48" spans="1:4" x14ac:dyDescent="0.3">
      <c r="A48" s="28" t="s">
        <v>100</v>
      </c>
      <c r="B48" s="29"/>
      <c r="C48" s="29"/>
      <c r="D48" s="30"/>
    </row>
    <row r="49" spans="1:4" x14ac:dyDescent="0.3">
      <c r="A49" s="3" t="s">
        <v>30</v>
      </c>
      <c r="B49" s="3" t="s">
        <v>31</v>
      </c>
      <c r="C49" s="3" t="s">
        <v>32</v>
      </c>
      <c r="D49" s="3" t="s">
        <v>33</v>
      </c>
    </row>
    <row r="50" spans="1:4" x14ac:dyDescent="0.3">
      <c r="A50" s="4" t="s">
        <v>101</v>
      </c>
      <c r="B50" s="5">
        <v>45</v>
      </c>
      <c r="C50" s="6" t="s">
        <v>6</v>
      </c>
      <c r="D50" s="7" t="s">
        <v>102</v>
      </c>
    </row>
    <row r="51" spans="1:4" x14ac:dyDescent="0.3">
      <c r="A51" s="4" t="s">
        <v>103</v>
      </c>
      <c r="B51" s="5">
        <v>35</v>
      </c>
      <c r="C51" s="6" t="s">
        <v>6</v>
      </c>
      <c r="D51" s="7" t="s">
        <v>104</v>
      </c>
    </row>
    <row r="52" spans="1:4" x14ac:dyDescent="0.3">
      <c r="A52" s="4" t="s">
        <v>105</v>
      </c>
      <c r="B52" s="5">
        <v>20</v>
      </c>
      <c r="C52" s="6" t="s">
        <v>6</v>
      </c>
      <c r="D52" s="7" t="s">
        <v>106</v>
      </c>
    </row>
    <row r="53" spans="1:4" x14ac:dyDescent="0.3">
      <c r="A53" s="4" t="s">
        <v>107</v>
      </c>
      <c r="B53" s="5">
        <v>40</v>
      </c>
      <c r="C53" s="6" t="s">
        <v>6</v>
      </c>
      <c r="D53" s="7" t="s">
        <v>108</v>
      </c>
    </row>
    <row r="54" spans="1:4" x14ac:dyDescent="0.3">
      <c r="A54" s="4" t="s">
        <v>109</v>
      </c>
      <c r="B54" s="9">
        <v>0.1</v>
      </c>
      <c r="C54" s="6" t="s">
        <v>42</v>
      </c>
      <c r="D54" s="7" t="s">
        <v>110</v>
      </c>
    </row>
    <row r="55" spans="1:4" x14ac:dyDescent="0.3">
      <c r="A55" s="4" t="s">
        <v>111</v>
      </c>
      <c r="B55" s="9">
        <v>0.215</v>
      </c>
      <c r="C55" s="6" t="s">
        <v>42</v>
      </c>
      <c r="D55" s="7" t="s">
        <v>112</v>
      </c>
    </row>
    <row r="56" spans="1:4" x14ac:dyDescent="0.3">
      <c r="A56" s="4" t="s">
        <v>113</v>
      </c>
      <c r="B56" s="9">
        <v>0.2</v>
      </c>
      <c r="C56" s="6" t="s">
        <v>42</v>
      </c>
      <c r="D56" s="7" t="s">
        <v>114</v>
      </c>
    </row>
    <row r="58" spans="1:4" x14ac:dyDescent="0.3">
      <c r="A58" s="28" t="s">
        <v>115</v>
      </c>
      <c r="B58" s="29"/>
      <c r="C58" s="29"/>
      <c r="D58" s="30"/>
    </row>
    <row r="59" spans="1:4" x14ac:dyDescent="0.3">
      <c r="A59" s="3" t="s">
        <v>30</v>
      </c>
      <c r="B59" s="3" t="s">
        <v>31</v>
      </c>
      <c r="C59" s="3" t="s">
        <v>32</v>
      </c>
      <c r="D59" s="3" t="s">
        <v>33</v>
      </c>
    </row>
    <row r="60" spans="1:4" x14ac:dyDescent="0.3">
      <c r="A60" s="4" t="s">
        <v>116</v>
      </c>
      <c r="B60" s="9">
        <v>0.2</v>
      </c>
      <c r="C60" s="6" t="s">
        <v>42</v>
      </c>
      <c r="D60" s="7" t="s">
        <v>117</v>
      </c>
    </row>
    <row r="61" spans="1:4" x14ac:dyDescent="0.3">
      <c r="A61" s="4" t="s">
        <v>118</v>
      </c>
      <c r="B61" s="9">
        <v>0.12</v>
      </c>
      <c r="C61" s="6" t="s">
        <v>42</v>
      </c>
      <c r="D61" s="7" t="s">
        <v>119</v>
      </c>
    </row>
    <row r="62" spans="1:4" x14ac:dyDescent="0.3">
      <c r="A62" s="4" t="s">
        <v>120</v>
      </c>
      <c r="B62" s="5">
        <v>5</v>
      </c>
      <c r="C62" s="6" t="s">
        <v>121</v>
      </c>
      <c r="D62" s="7" t="s">
        <v>122</v>
      </c>
    </row>
    <row r="63" spans="1:4" x14ac:dyDescent="0.3">
      <c r="A63" s="4" t="s">
        <v>123</v>
      </c>
      <c r="B63" s="5">
        <v>45</v>
      </c>
      <c r="C63" s="6" t="s">
        <v>124</v>
      </c>
      <c r="D63" s="7" t="s">
        <v>125</v>
      </c>
    </row>
    <row r="64" spans="1:4" x14ac:dyDescent="0.3">
      <c r="A64" s="4" t="s">
        <v>126</v>
      </c>
      <c r="B64" s="5">
        <v>30</v>
      </c>
      <c r="C64" s="6" t="s">
        <v>124</v>
      </c>
      <c r="D64" s="7" t="s">
        <v>127</v>
      </c>
    </row>
    <row r="65" spans="1:4" x14ac:dyDescent="0.3">
      <c r="A65" s="4" t="s">
        <v>128</v>
      </c>
      <c r="B65" s="5">
        <v>300</v>
      </c>
      <c r="C65" s="6"/>
      <c r="D65" s="7" t="s">
        <v>129</v>
      </c>
    </row>
    <row r="67" spans="1:4" x14ac:dyDescent="0.3">
      <c r="A67" s="28" t="s">
        <v>130</v>
      </c>
      <c r="B67" s="29"/>
      <c r="C67" s="29"/>
      <c r="D67" s="30"/>
    </row>
    <row r="68" spans="1:4" x14ac:dyDescent="0.3">
      <c r="A68" s="11" t="s">
        <v>131</v>
      </c>
      <c r="B68" s="12" t="s">
        <v>132</v>
      </c>
    </row>
    <row r="69" spans="1:4" x14ac:dyDescent="0.3">
      <c r="A69" s="3" t="s">
        <v>30</v>
      </c>
      <c r="B69" s="3" t="s">
        <v>133</v>
      </c>
      <c r="C69" s="3" t="s">
        <v>132</v>
      </c>
      <c r="D69" s="3" t="s">
        <v>134</v>
      </c>
    </row>
    <row r="70" spans="1:4" x14ac:dyDescent="0.3">
      <c r="A70" s="4" t="s">
        <v>135</v>
      </c>
      <c r="B70" s="13">
        <v>3000</v>
      </c>
      <c r="C70" s="13">
        <v>1500</v>
      </c>
      <c r="D70" s="13">
        <v>500</v>
      </c>
    </row>
    <row r="71" spans="1:4" x14ac:dyDescent="0.3">
      <c r="A71" s="4" t="s">
        <v>136</v>
      </c>
      <c r="B71" s="14">
        <v>0.05</v>
      </c>
      <c r="C71" s="14">
        <v>0.02</v>
      </c>
      <c r="D71" s="14">
        <v>5.0000000000000001E-3</v>
      </c>
    </row>
    <row r="72" spans="1:4" x14ac:dyDescent="0.3">
      <c r="A72" s="4" t="s">
        <v>137</v>
      </c>
      <c r="B72" s="14">
        <v>0.1</v>
      </c>
      <c r="C72" s="14">
        <v>0.08</v>
      </c>
      <c r="D72" s="14">
        <v>0.05</v>
      </c>
    </row>
    <row r="73" spans="1:4" x14ac:dyDescent="0.3">
      <c r="A73" s="4" t="s">
        <v>138</v>
      </c>
      <c r="B73" s="14">
        <v>0.1</v>
      </c>
      <c r="C73" s="14">
        <v>0.15</v>
      </c>
      <c r="D73" s="14">
        <v>0.25</v>
      </c>
    </row>
    <row r="74" spans="1:4" x14ac:dyDescent="0.3">
      <c r="A74" s="4" t="s">
        <v>139</v>
      </c>
      <c r="B74" s="15">
        <v>1</v>
      </c>
      <c r="C74" s="15">
        <v>1</v>
      </c>
      <c r="D74" s="15">
        <v>1.2</v>
      </c>
    </row>
  </sheetData>
  <mergeCells count="8">
    <mergeCell ref="A1:D1"/>
    <mergeCell ref="A67:D67"/>
    <mergeCell ref="A58:D58"/>
    <mergeCell ref="A34:D34"/>
    <mergeCell ref="A12:D12"/>
    <mergeCell ref="A4:D4"/>
    <mergeCell ref="A48:D48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R14"/>
  <sheetViews>
    <sheetView workbookViewId="0">
      <selection activeCell="D10" sqref="D10"/>
    </sheetView>
  </sheetViews>
  <sheetFormatPr defaultRowHeight="14.4" x14ac:dyDescent="0.3"/>
  <cols>
    <col min="1" max="1" width="35" customWidth="1"/>
    <col min="2" max="44" width="12" customWidth="1"/>
  </cols>
  <sheetData>
    <row r="1" spans="1:44" x14ac:dyDescent="0.3">
      <c r="A1" s="28" t="s">
        <v>140</v>
      </c>
      <c r="B1" s="30"/>
    </row>
    <row r="3" spans="1:44" x14ac:dyDescent="0.3">
      <c r="A3" s="3" t="s">
        <v>10</v>
      </c>
      <c r="B3" s="3" t="s">
        <v>32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160</v>
      </c>
      <c r="W3" s="3" t="s">
        <v>161</v>
      </c>
      <c r="X3" s="3" t="s">
        <v>162</v>
      </c>
      <c r="Y3" s="3" t="s">
        <v>163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170</v>
      </c>
      <c r="AG3" s="3" t="s">
        <v>171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176</v>
      </c>
      <c r="AM3" s="3" t="s">
        <v>177</v>
      </c>
      <c r="AN3" s="3" t="s">
        <v>178</v>
      </c>
      <c r="AO3" s="3" t="s">
        <v>179</v>
      </c>
      <c r="AP3" s="3" t="s">
        <v>180</v>
      </c>
      <c r="AQ3" s="3" t="s">
        <v>181</v>
      </c>
      <c r="AR3" s="3" t="s">
        <v>182</v>
      </c>
    </row>
    <row r="4" spans="1:44" x14ac:dyDescent="0.3">
      <c r="A4" s="28" t="s">
        <v>183</v>
      </c>
      <c r="B4" s="3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4" x14ac:dyDescent="0.3">
      <c r="A5" s="4" t="s">
        <v>184</v>
      </c>
      <c r="B5" s="6" t="s">
        <v>185</v>
      </c>
      <c r="C5" s="17">
        <f>Assumptions!$B$6</f>
        <v>40000</v>
      </c>
      <c r="D5" s="17">
        <f>Assumptions!$B$6</f>
        <v>40000</v>
      </c>
      <c r="E5" s="17">
        <f>Assumptions!$B$6</f>
        <v>40000</v>
      </c>
      <c r="F5" s="17">
        <f>Assumptions!$B$6</f>
        <v>40000</v>
      </c>
      <c r="G5" s="17">
        <f>Assumptions!$B$6</f>
        <v>40000</v>
      </c>
      <c r="H5" s="17">
        <f>Assumptions!$B$6</f>
        <v>40000</v>
      </c>
      <c r="I5" s="17">
        <f>Assumptions!$B$6</f>
        <v>40000</v>
      </c>
      <c r="J5" s="17">
        <f>Assumptions!$B$6</f>
        <v>40000</v>
      </c>
      <c r="K5" s="17">
        <f>Assumptions!$B$6</f>
        <v>40000</v>
      </c>
      <c r="L5" s="17">
        <f>Assumptions!$B$6</f>
        <v>40000</v>
      </c>
      <c r="M5" s="17">
        <f>Assumptions!$B$6</f>
        <v>40000</v>
      </c>
      <c r="N5" s="17">
        <f>Assumptions!$B$6</f>
        <v>40000</v>
      </c>
      <c r="O5" s="17">
        <f>Assumptions!$B$6</f>
        <v>40000</v>
      </c>
      <c r="P5" s="17">
        <f>Assumptions!$B$6</f>
        <v>40000</v>
      </c>
      <c r="Q5" s="17">
        <f>Assumptions!$B$6</f>
        <v>40000</v>
      </c>
      <c r="R5" s="17">
        <f>Assumptions!$B$6</f>
        <v>40000</v>
      </c>
      <c r="S5" s="17">
        <f>Assumptions!$B$6</f>
        <v>40000</v>
      </c>
      <c r="T5" s="17">
        <f>Assumptions!$B$6</f>
        <v>40000</v>
      </c>
      <c r="U5" s="17">
        <f>Assumptions!$B$6</f>
        <v>40000</v>
      </c>
      <c r="V5" s="17">
        <f>Assumptions!$B$6</f>
        <v>40000</v>
      </c>
      <c r="W5" s="17">
        <f>Assumptions!$B$6</f>
        <v>40000</v>
      </c>
      <c r="X5" s="17">
        <f>Assumptions!$B$6</f>
        <v>40000</v>
      </c>
      <c r="Y5" s="17">
        <f>Assumptions!$B$6</f>
        <v>40000</v>
      </c>
      <c r="Z5" s="17">
        <f>Assumptions!$B$6</f>
        <v>40000</v>
      </c>
      <c r="AA5" s="17">
        <f>Assumptions!$B$6</f>
        <v>40000</v>
      </c>
      <c r="AB5" s="17">
        <f>Assumptions!$B$6</f>
        <v>40000</v>
      </c>
      <c r="AC5" s="17">
        <f>Assumptions!$B$6</f>
        <v>40000</v>
      </c>
      <c r="AD5" s="17">
        <f>Assumptions!$B$6</f>
        <v>40000</v>
      </c>
      <c r="AE5" s="17">
        <f>Assumptions!$B$6</f>
        <v>40000</v>
      </c>
      <c r="AF5" s="17">
        <f>Assumptions!$B$6</f>
        <v>40000</v>
      </c>
      <c r="AG5" s="17">
        <f>Assumptions!$B$6</f>
        <v>40000</v>
      </c>
      <c r="AH5" s="17">
        <f>Assumptions!$B$6</f>
        <v>40000</v>
      </c>
      <c r="AI5" s="17">
        <f>Assumptions!$B$6</f>
        <v>40000</v>
      </c>
      <c r="AJ5" s="17">
        <f>Assumptions!$B$6</f>
        <v>40000</v>
      </c>
      <c r="AK5" s="17">
        <f>Assumptions!$B$6</f>
        <v>40000</v>
      </c>
      <c r="AL5" s="17">
        <f>Assumptions!$B$6</f>
        <v>40000</v>
      </c>
      <c r="AM5" s="17">
        <f>Assumptions!$B$6</f>
        <v>40000</v>
      </c>
      <c r="AN5" s="17">
        <f>Assumptions!$B$6</f>
        <v>40000</v>
      </c>
      <c r="AO5" s="17">
        <f>Assumptions!$B$6</f>
        <v>40000</v>
      </c>
      <c r="AP5" s="17">
        <f>Assumptions!$B$6</f>
        <v>40000</v>
      </c>
      <c r="AQ5" s="17">
        <f>Assumptions!$B$6</f>
        <v>40000</v>
      </c>
      <c r="AR5" s="17">
        <f>Assumptions!$B$6</f>
        <v>40000</v>
      </c>
    </row>
    <row r="6" spans="1:44" x14ac:dyDescent="0.3">
      <c r="A6" s="4" t="s">
        <v>186</v>
      </c>
      <c r="B6" s="6" t="s">
        <v>185</v>
      </c>
      <c r="C6" s="17">
        <f>Assumptions!$B$7</f>
        <v>15000</v>
      </c>
      <c r="D6" s="17">
        <f>Assumptions!$B$7</f>
        <v>15000</v>
      </c>
      <c r="E6" s="17">
        <f>Assumptions!$B$7</f>
        <v>15000</v>
      </c>
      <c r="F6" s="17">
        <f>Assumptions!$B$7</f>
        <v>15000</v>
      </c>
      <c r="G6" s="17">
        <f>Assumptions!$B$7</f>
        <v>15000</v>
      </c>
      <c r="H6" s="17">
        <f>Assumptions!$B$7</f>
        <v>15000</v>
      </c>
      <c r="I6" s="17">
        <f>Assumptions!$B$7</f>
        <v>15000</v>
      </c>
      <c r="J6" s="17">
        <f>Assumptions!$B$7</f>
        <v>15000</v>
      </c>
      <c r="K6" s="17">
        <f>Assumptions!$B$7</f>
        <v>15000</v>
      </c>
      <c r="L6" s="17">
        <f>Assumptions!$B$7</f>
        <v>15000</v>
      </c>
      <c r="M6" s="17">
        <f>Assumptions!$B$7</f>
        <v>15000</v>
      </c>
      <c r="N6" s="17">
        <f>Assumptions!$B$7</f>
        <v>15000</v>
      </c>
      <c r="O6" s="17">
        <f>Assumptions!$B$7</f>
        <v>15000</v>
      </c>
      <c r="P6" s="17">
        <f>Assumptions!$B$7</f>
        <v>15000</v>
      </c>
      <c r="Q6" s="17">
        <f>Assumptions!$B$7</f>
        <v>15000</v>
      </c>
      <c r="R6" s="17">
        <f>Assumptions!$B$7</f>
        <v>15000</v>
      </c>
      <c r="S6" s="17">
        <f>Assumptions!$B$7</f>
        <v>15000</v>
      </c>
      <c r="T6" s="17">
        <f>Assumptions!$B$7</f>
        <v>15000</v>
      </c>
      <c r="U6" s="17">
        <f>Assumptions!$B$7</f>
        <v>15000</v>
      </c>
      <c r="V6" s="17">
        <f>Assumptions!$B$7</f>
        <v>15000</v>
      </c>
      <c r="W6" s="17">
        <f>Assumptions!$B$7</f>
        <v>15000</v>
      </c>
      <c r="X6" s="17">
        <f>Assumptions!$B$7</f>
        <v>15000</v>
      </c>
      <c r="Y6" s="17">
        <f>Assumptions!$B$7</f>
        <v>15000</v>
      </c>
      <c r="Z6" s="17">
        <f>Assumptions!$B$7</f>
        <v>15000</v>
      </c>
      <c r="AA6" s="17">
        <f>Assumptions!$B$7</f>
        <v>15000</v>
      </c>
      <c r="AB6" s="17">
        <f>Assumptions!$B$7</f>
        <v>15000</v>
      </c>
      <c r="AC6" s="17">
        <f>Assumptions!$B$7</f>
        <v>15000</v>
      </c>
      <c r="AD6" s="17">
        <f>Assumptions!$B$7</f>
        <v>15000</v>
      </c>
      <c r="AE6" s="17">
        <f>Assumptions!$B$7</f>
        <v>15000</v>
      </c>
      <c r="AF6" s="17">
        <f>Assumptions!$B$7</f>
        <v>15000</v>
      </c>
      <c r="AG6" s="17">
        <f>Assumptions!$B$7</f>
        <v>15000</v>
      </c>
      <c r="AH6" s="17">
        <f>Assumptions!$B$7</f>
        <v>15000</v>
      </c>
      <c r="AI6" s="17">
        <f>Assumptions!$B$7</f>
        <v>15000</v>
      </c>
      <c r="AJ6" s="17">
        <f>Assumptions!$B$7</f>
        <v>15000</v>
      </c>
      <c r="AK6" s="17">
        <f>Assumptions!$B$7</f>
        <v>15000</v>
      </c>
      <c r="AL6" s="17">
        <f>Assumptions!$B$7</f>
        <v>15000</v>
      </c>
      <c r="AM6" s="17">
        <f>Assumptions!$B$7</f>
        <v>15000</v>
      </c>
      <c r="AN6" s="17">
        <f>Assumptions!$B$7</f>
        <v>15000</v>
      </c>
      <c r="AO6" s="17">
        <f>Assumptions!$B$7</f>
        <v>15000</v>
      </c>
      <c r="AP6" s="17">
        <f>Assumptions!$B$7</f>
        <v>15000</v>
      </c>
      <c r="AQ6" s="17">
        <f>Assumptions!$B$7</f>
        <v>15000</v>
      </c>
      <c r="AR6" s="17">
        <f>Assumptions!$B$7</f>
        <v>15000</v>
      </c>
    </row>
    <row r="7" spans="1:44" x14ac:dyDescent="0.3">
      <c r="A7" s="4" t="s">
        <v>187</v>
      </c>
      <c r="B7" s="6" t="s">
        <v>39</v>
      </c>
      <c r="C7" s="18">
        <f>Assumptions!$B$8*(1+Assumptions!$B$9)^0/12</f>
        <v>6875</v>
      </c>
      <c r="D7" s="18">
        <f>Assumptions!$B$8*(1+Assumptions!$B$9)^0/12</f>
        <v>6875</v>
      </c>
      <c r="E7" s="18">
        <f>Assumptions!$B$8*(1+Assumptions!$B$9)^0/12</f>
        <v>6875</v>
      </c>
      <c r="F7" s="18">
        <f>Assumptions!$B$8*(1+Assumptions!$B$9)^0/12</f>
        <v>6875</v>
      </c>
      <c r="G7" s="18">
        <f>Assumptions!$B$8*(1+Assumptions!$B$9)^0/12</f>
        <v>6875</v>
      </c>
      <c r="H7" s="18">
        <f>Assumptions!$B$8*(1+Assumptions!$B$9)^0/12</f>
        <v>6875</v>
      </c>
      <c r="I7" s="18">
        <f>Assumptions!$B$8*(1+Assumptions!$B$9)^1/12</f>
        <v>7425</v>
      </c>
      <c r="J7" s="18">
        <f>Assumptions!$B$8*(1+Assumptions!$B$9)^1/12</f>
        <v>7425</v>
      </c>
      <c r="K7" s="18">
        <f>Assumptions!$B$8*(1+Assumptions!$B$9)^1/12</f>
        <v>7425</v>
      </c>
      <c r="L7" s="18">
        <f>Assumptions!$B$8*(1+Assumptions!$B$9)^1/12</f>
        <v>7425</v>
      </c>
      <c r="M7" s="18">
        <f>Assumptions!$B$8*(1+Assumptions!$B$9)^1/12</f>
        <v>7425</v>
      </c>
      <c r="N7" s="18">
        <f>Assumptions!$B$8*(1+Assumptions!$B$9)^1/12</f>
        <v>7425</v>
      </c>
      <c r="O7" s="18">
        <f>Assumptions!$B$8*(1+Assumptions!$B$9)^1/12</f>
        <v>7425</v>
      </c>
      <c r="P7" s="18">
        <f>Assumptions!$B$8*(1+Assumptions!$B$9)^1/12</f>
        <v>7425</v>
      </c>
      <c r="Q7" s="18">
        <f>Assumptions!$B$8*(1+Assumptions!$B$9)^1/12</f>
        <v>7425</v>
      </c>
      <c r="R7" s="18">
        <f>Assumptions!$B$8*(1+Assumptions!$B$9)^1/12</f>
        <v>7425</v>
      </c>
      <c r="S7" s="18">
        <f>Assumptions!$B$8*(1+Assumptions!$B$9)^1/12</f>
        <v>7425</v>
      </c>
      <c r="T7" s="18">
        <f>Assumptions!$B$8*(1+Assumptions!$B$9)^1/12</f>
        <v>7425</v>
      </c>
      <c r="U7" s="18">
        <f>Assumptions!$B$8*(1+Assumptions!$B$9)^2/12</f>
        <v>8019.0000000000009</v>
      </c>
      <c r="V7" s="18">
        <f>Assumptions!$B$8*(1+Assumptions!$B$9)^2/12</f>
        <v>8019.0000000000009</v>
      </c>
      <c r="W7" s="18">
        <f>Assumptions!$B$8*(1+Assumptions!$B$9)^2/12</f>
        <v>8019.0000000000009</v>
      </c>
      <c r="X7" s="18">
        <f>Assumptions!$B$8*(1+Assumptions!$B$9)^2/12</f>
        <v>8019.0000000000009</v>
      </c>
      <c r="Y7" s="18">
        <f>Assumptions!$B$8*(1+Assumptions!$B$9)^2/12</f>
        <v>8019.0000000000009</v>
      </c>
      <c r="Z7" s="18">
        <f>Assumptions!$B$8*(1+Assumptions!$B$9)^2/12</f>
        <v>8019.0000000000009</v>
      </c>
      <c r="AA7" s="18">
        <f>Assumptions!$B$8*(1+Assumptions!$B$9)^2/12</f>
        <v>8019.0000000000009</v>
      </c>
      <c r="AB7" s="18">
        <f>Assumptions!$B$8*(1+Assumptions!$B$9)^2/12</f>
        <v>8019.0000000000009</v>
      </c>
      <c r="AC7" s="18">
        <f>Assumptions!$B$8*(1+Assumptions!$B$9)^2/12</f>
        <v>8019.0000000000009</v>
      </c>
      <c r="AD7" s="18">
        <f>Assumptions!$B$8*(1+Assumptions!$B$9)^2/12</f>
        <v>8019.0000000000009</v>
      </c>
      <c r="AE7" s="18">
        <f>Assumptions!$B$8*(1+Assumptions!$B$9)^2/12</f>
        <v>8019.0000000000009</v>
      </c>
      <c r="AF7" s="18">
        <f>Assumptions!$B$8*(1+Assumptions!$B$9)^2/12</f>
        <v>8019.0000000000009</v>
      </c>
      <c r="AG7" s="18">
        <f>Assumptions!$B$8*(1+Assumptions!$B$9)^3/4</f>
        <v>25981.560000000005</v>
      </c>
      <c r="AH7" s="18">
        <f>Assumptions!$B$8*(1+Assumptions!$B$9)^3/4</f>
        <v>25981.560000000005</v>
      </c>
      <c r="AI7" s="18">
        <f>Assumptions!$B$8*(1+Assumptions!$B$9)^3/4</f>
        <v>25981.560000000005</v>
      </c>
      <c r="AJ7" s="18">
        <f>Assumptions!$B$8*(1+Assumptions!$B$9)^3/4</f>
        <v>25981.560000000005</v>
      </c>
      <c r="AK7" s="18">
        <f>Assumptions!$B$8*(1+Assumptions!$B$9)^4/4</f>
        <v>28060.084800000008</v>
      </c>
      <c r="AL7" s="18">
        <f>Assumptions!$B$8*(1+Assumptions!$B$9)^4/4</f>
        <v>28060.084800000008</v>
      </c>
      <c r="AM7" s="18">
        <f>Assumptions!$B$8*(1+Assumptions!$B$9)^4/4</f>
        <v>28060.084800000008</v>
      </c>
      <c r="AN7" s="18">
        <f>Assumptions!$B$8*(1+Assumptions!$B$9)^4/4</f>
        <v>28060.084800000008</v>
      </c>
      <c r="AO7" s="18">
        <f>Assumptions!$B$8*(1+Assumptions!$B$9)^5/4</f>
        <v>30304.891584000008</v>
      </c>
      <c r="AP7" s="18">
        <f>Assumptions!$B$8*(1+Assumptions!$B$9)^5/4</f>
        <v>30304.891584000008</v>
      </c>
      <c r="AQ7" s="18">
        <f>Assumptions!$B$8*(1+Assumptions!$B$9)^5/4</f>
        <v>30304.891584000008</v>
      </c>
      <c r="AR7" s="18">
        <f>Assumptions!$B$8*(1+Assumptions!$B$9)^5/4</f>
        <v>30304.891584000008</v>
      </c>
    </row>
    <row r="9" spans="1:44" x14ac:dyDescent="0.3">
      <c r="A9" s="28" t="s">
        <v>188</v>
      </c>
      <c r="B9" s="30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</row>
    <row r="10" spans="1:44" x14ac:dyDescent="0.3">
      <c r="A10" s="4" t="s">
        <v>189</v>
      </c>
      <c r="B10" s="6" t="s">
        <v>185</v>
      </c>
      <c r="C10" s="17">
        <f>MAX(Assumptions!$B$17,Assumptions!$B$14/(1+EXP(-Assumptions!$B$16*(2025.5-Assumptions!$B$15))))</f>
        <v>142.27761953270033</v>
      </c>
      <c r="D10" s="17">
        <f>MAX(Assumptions!$B$17,Assumptions!$B$14/(1+EXP(-Assumptions!$B$16*(2025.583-Assumptions!$B$15))))</f>
        <v>156.4013795779824</v>
      </c>
      <c r="E10" s="17">
        <f>MAX(Assumptions!$B$17,Assumptions!$B$14/(1+EXP(-Assumptions!$B$16*(2025.667-Assumptions!$B$15))))</f>
        <v>172.03738491772242</v>
      </c>
      <c r="F10" s="17">
        <f>MAX(Assumptions!$B$17,Assumptions!$B$14/(1+EXP(-Assumptions!$B$16*(2025.75-Assumptions!$B$15))))</f>
        <v>188.92006817098951</v>
      </c>
      <c r="G10" s="17">
        <f>MAX(Assumptions!$B$17,Assumptions!$B$14/(1+EXP(-Assumptions!$B$16*(2025.833-Assumptions!$B$15))))</f>
        <v>207.33804437995357</v>
      </c>
      <c r="H10" s="17">
        <f>MAX(Assumptions!$B$17,Assumptions!$B$14/(1+EXP(-Assumptions!$B$16*(2025.917-Assumptions!$B$15))))</f>
        <v>227.65867879714401</v>
      </c>
      <c r="I10" s="17">
        <f>MAX(Assumptions!$B$17,Assumptions!$B$14/(1+EXP(-Assumptions!$B$16*(2026-Assumptions!$B$15))))</f>
        <v>249.51808948176713</v>
      </c>
      <c r="J10" s="17">
        <f>MAX(Assumptions!$B$17,Assumptions!$B$14/(1+EXP(-Assumptions!$B$16*(2026.083-Assumptions!$B$15))))</f>
        <v>273.26951581712046</v>
      </c>
      <c r="K10" s="17">
        <f>MAX(Assumptions!$B$17,Assumptions!$B$14/(1+EXP(-Assumptions!$B$16*(2026.167-Assumptions!$B$15))))</f>
        <v>299.35924500761996</v>
      </c>
      <c r="L10" s="17">
        <f>MAX(Assumptions!$B$17,Assumptions!$B$14/(1+EXP(-Assumptions!$B$16*(2026.25-Assumptions!$B$15))))</f>
        <v>327.29046358683877</v>
      </c>
      <c r="M10" s="17">
        <f>MAX(Assumptions!$B$17,Assumptions!$B$14/(1+EXP(-Assumptions!$B$16*(2026.333-Assumptions!$B$15))))</f>
        <v>357.48279295365705</v>
      </c>
      <c r="N10" s="17">
        <f>MAX(Assumptions!$B$17,Assumptions!$B$14/(1+EXP(-Assumptions!$B$16*(2026.417-Assumptions!$B$15))))</f>
        <v>390.46125949615697</v>
      </c>
      <c r="O10" s="17">
        <f>MAX(Assumptions!$B$17,Assumptions!$B$14/(1+EXP(-Assumptions!$B$16*(2026.5-Assumptions!$B$15))))</f>
        <v>425.55319470146344</v>
      </c>
      <c r="P10" s="17">
        <f>MAX(Assumptions!$B$17,Assumptions!$B$14/(1+EXP(-Assumptions!$B$16*(2026.583-Assumptions!$B$15))))</f>
        <v>463.23909001521423</v>
      </c>
      <c r="Q10" s="17">
        <f>MAX(Assumptions!$B$17,Assumptions!$B$14/(1+EXP(-Assumptions!$B$16*(2026.667-Assumptions!$B$15))))</f>
        <v>504.11258342321719</v>
      </c>
      <c r="R10" s="17">
        <f>MAX(Assumptions!$B$17,Assumptions!$B$14/(1+EXP(-Assumptions!$B$16*(2026.75-Assumptions!$B$15))))</f>
        <v>547.276571419069</v>
      </c>
      <c r="S10" s="17">
        <f>MAX(Assumptions!$B$17,Assumptions!$B$14/(1+EXP(-Assumptions!$B$16*(2026.833-Assumptions!$B$15))))</f>
        <v>593.25793546403372</v>
      </c>
      <c r="T10" s="17">
        <f>MAX(Assumptions!$B$17,Assumptions!$B$14/(1+EXP(-Assumptions!$B$16*(2026.917-Assumptions!$B$15))))</f>
        <v>642.69703199785192</v>
      </c>
      <c r="U10" s="17">
        <f>MAX(Assumptions!$B$17,Assumptions!$B$14/(1+EXP(-Assumptions!$B$16*(2027-Assumptions!$B$15))))</f>
        <v>694.42564950294707</v>
      </c>
      <c r="V10" s="17">
        <f>MAX(Assumptions!$B$17,Assumptions!$B$14/(1+EXP(-Assumptions!$B$16*(2027.083-Assumptions!$B$15))))</f>
        <v>748.99486186776983</v>
      </c>
      <c r="W10" s="17">
        <f>MAX(Assumptions!$B$17,Assumptions!$B$14/(1+EXP(-Assumptions!$B$16*(2027.167-Assumptions!$B$15))))</f>
        <v>807.06022023454454</v>
      </c>
      <c r="X10" s="17">
        <f>MAX(Assumptions!$B$17,Assumptions!$B$14/(1+EXP(-Assumptions!$B$16*(2027.25-Assumptions!$B$15))))</f>
        <v>867.15149212498818</v>
      </c>
      <c r="Y10" s="17">
        <f>MAX(Assumptions!$B$17,Assumptions!$B$14/(1+EXP(-Assumptions!$B$16*(2027.333-Assumptions!$B$15))))</f>
        <v>929.81988448928678</v>
      </c>
      <c r="Z10" s="17">
        <f>MAX(Assumptions!$B$17,Assumptions!$B$14/(1+EXP(-Assumptions!$B$16*(2027.417-Assumptions!$B$15))))</f>
        <v>995.70275683995226</v>
      </c>
      <c r="AA10" s="17">
        <f>MAX(Assumptions!$B$17,Assumptions!$B$14/(1+EXP(-Assumptions!$B$16*(2027.5-Assumptions!$B$15))))</f>
        <v>1063.0310813226135</v>
      </c>
      <c r="AB10" s="17">
        <f>MAX(Assumptions!$B$17,Assumptions!$B$14/(1+EXP(-Assumptions!$B$16*(2027.583-Assumptions!$B$15))))</f>
        <v>1132.3400157565791</v>
      </c>
      <c r="AC10" s="17">
        <f>MAX(Assumptions!$B$17,Assumptions!$B$14/(1+EXP(-Assumptions!$B$16*(2027.667-Assumptions!$B$15))))</f>
        <v>1204.2253439352364</v>
      </c>
      <c r="AD10" s="17">
        <f>MAX(Assumptions!$B$17,Assumptions!$B$14/(1+EXP(-Assumptions!$B$16*(2027.75-Assumptions!$B$15))))</f>
        <v>1276.672449565023</v>
      </c>
      <c r="AE10" s="17">
        <f>MAX(Assumptions!$B$17,Assumptions!$B$14/(1+EXP(-Assumptions!$B$16*(2027.833-Assumptions!$B$15))))</f>
        <v>1350.2009940999042</v>
      </c>
      <c r="AF10" s="17">
        <f>MAX(Assumptions!$B$17,Assumptions!$B$14/(1+EXP(-Assumptions!$B$16*(2027.917-Assumptions!$B$15))))</f>
        <v>1425.3616917973975</v>
      </c>
      <c r="AG10" s="17">
        <f>MAX(Assumptions!$B$17,Assumptions!$B$14/(1+EXP(-Assumptions!$B$16*(2028.125-Assumptions!$B$15))))</f>
        <v>1612.2895360312486</v>
      </c>
      <c r="AH10" s="17">
        <f>MAX(Assumptions!$B$17,Assumptions!$B$14/(1+EXP(-Assumptions!$B$16*(2028.375-Assumptions!$B$15))))</f>
        <v>1831.917701847666</v>
      </c>
      <c r="AI10" s="17">
        <f>MAX(Assumptions!$B$17,Assumptions!$B$14/(1+EXP(-Assumptions!$B$16*(2028.625-Assumptions!$B$15))))</f>
        <v>2037.5360975261788</v>
      </c>
      <c r="AJ10" s="17">
        <f>MAX(Assumptions!$B$17,Assumptions!$B$14/(1+EXP(-Assumptions!$B$16*(2028.875-Assumptions!$B$15))))</f>
        <v>2222.3246975464622</v>
      </c>
      <c r="AK10" s="17">
        <f>MAX(Assumptions!$B$17,Assumptions!$B$14/(1+EXP(-Assumptions!$B$16*(2029.125-Assumptions!$B$15))))</f>
        <v>2382.3888845971578</v>
      </c>
      <c r="AL10" s="17">
        <f>MAX(Assumptions!$B$17,Assumptions!$B$14/(1+EXP(-Assumptions!$B$16*(2029.375-Assumptions!$B$15))))</f>
        <v>2516.6731512702445</v>
      </c>
      <c r="AM10" s="17">
        <f>MAX(Assumptions!$B$17,Assumptions!$B$14/(1+EXP(-Assumptions!$B$16*(2029.625-Assumptions!$B$15))))</f>
        <v>2626.3399254377505</v>
      </c>
      <c r="AN10" s="17">
        <f>MAX(Assumptions!$B$17,Assumptions!$B$14/(1+EXP(-Assumptions!$B$16*(2029.875-Assumptions!$B$15))))</f>
        <v>2713.9516053026719</v>
      </c>
      <c r="AO10" s="17">
        <f>MAX(Assumptions!$B$17,Assumptions!$B$14/(1+EXP(-Assumptions!$B$16*(2030.125-Assumptions!$B$15))))</f>
        <v>2782.7205439154468</v>
      </c>
      <c r="AP10" s="17">
        <f>MAX(Assumptions!$B$17,Assumptions!$B$14/(1+EXP(-Assumptions!$B$16*(2030.375-Assumptions!$B$15))))</f>
        <v>2835.9560483521777</v>
      </c>
      <c r="AQ10" s="17">
        <f>MAX(Assumptions!$B$17,Assumptions!$B$14/(1+EXP(-Assumptions!$B$16*(2030.625-Assumptions!$B$15))))</f>
        <v>2876.7261653986052</v>
      </c>
      <c r="AR10" s="17">
        <f>MAX(Assumptions!$B$17,Assumptions!$B$14/(1+EXP(-Assumptions!$B$16*(2030.875-Assumptions!$B$15))))</f>
        <v>2907.6934219285558</v>
      </c>
    </row>
    <row r="11" spans="1:44" x14ac:dyDescent="0.3">
      <c r="A11" s="4" t="s">
        <v>190</v>
      </c>
      <c r="B11" s="6" t="s">
        <v>185</v>
      </c>
      <c r="C11" s="17">
        <f>0</f>
        <v>0</v>
      </c>
      <c r="D11" s="17">
        <f>ROUND(D10*Assumptions!$B$18/12, 0)</f>
        <v>2</v>
      </c>
      <c r="E11" s="17">
        <f>ROUND(E10*Assumptions!$B$18/12, 0)</f>
        <v>2</v>
      </c>
      <c r="F11" s="17">
        <f>ROUND(F10*Assumptions!$B$18/12, 0)</f>
        <v>2</v>
      </c>
      <c r="G11" s="17">
        <f>ROUND(G10*Assumptions!$B$18/12, 0)</f>
        <v>3</v>
      </c>
      <c r="H11" s="17">
        <f>ROUND(H10*Assumptions!$B$18/12, 0)</f>
        <v>3</v>
      </c>
      <c r="I11" s="17">
        <f>ROUND(I10*Assumptions!$B$18/12, 0)</f>
        <v>3</v>
      </c>
      <c r="J11" s="17">
        <f>ROUND(J10*Assumptions!$B$18/12, 0)</f>
        <v>3</v>
      </c>
      <c r="K11" s="17">
        <f>ROUND(K10*Assumptions!$B$18/12, 0)</f>
        <v>4</v>
      </c>
      <c r="L11" s="17">
        <f>ROUND(L10*Assumptions!$B$18/12, 0)</f>
        <v>4</v>
      </c>
      <c r="M11" s="17">
        <f>ROUND(M10*Assumptions!$B$18/12, 0)</f>
        <v>4</v>
      </c>
      <c r="N11" s="17">
        <f>ROUND(N10*Assumptions!$B$18/12, 0)</f>
        <v>5</v>
      </c>
      <c r="O11" s="17">
        <f>ROUND(O10*Assumptions!$B$18/12, 0)</f>
        <v>5</v>
      </c>
      <c r="P11" s="17">
        <f>ROUND(P10*Assumptions!$B$18/12, 0)</f>
        <v>6</v>
      </c>
      <c r="Q11" s="17">
        <f>ROUND(Q10*Assumptions!$B$18/12, 0)</f>
        <v>6</v>
      </c>
      <c r="R11" s="17">
        <f>ROUND(R10*Assumptions!$B$18/12, 0)</f>
        <v>7</v>
      </c>
      <c r="S11" s="17">
        <f>ROUND(S10*Assumptions!$B$18/12, 0)</f>
        <v>7</v>
      </c>
      <c r="T11" s="17">
        <f>ROUND(T10*Assumptions!$B$18/12, 0)</f>
        <v>8</v>
      </c>
      <c r="U11" s="17">
        <f>ROUND(U10*Assumptions!$B$18/12, 0)</f>
        <v>9</v>
      </c>
      <c r="V11" s="17">
        <f>ROUND(V10*Assumptions!$B$18/12, 0)</f>
        <v>9</v>
      </c>
      <c r="W11" s="17">
        <f>ROUND(W10*Assumptions!$B$18/12, 0)</f>
        <v>10</v>
      </c>
      <c r="X11" s="17">
        <f>ROUND(X10*Assumptions!$B$18/12, 0)</f>
        <v>11</v>
      </c>
      <c r="Y11" s="17">
        <f>ROUND(Y10*Assumptions!$B$18/12, 0)</f>
        <v>12</v>
      </c>
      <c r="Z11" s="17">
        <f>ROUND(Z10*Assumptions!$B$18/12, 0)</f>
        <v>12</v>
      </c>
      <c r="AA11" s="17">
        <f>ROUND(AA10*Assumptions!$B$18/12, 0)</f>
        <v>13</v>
      </c>
      <c r="AB11" s="17">
        <f>ROUND(AB10*Assumptions!$B$18/12, 0)</f>
        <v>14</v>
      </c>
      <c r="AC11" s="17">
        <f>ROUND(AC10*Assumptions!$B$18/12, 0)</f>
        <v>15</v>
      </c>
      <c r="AD11" s="17">
        <f>ROUND(AD10*Assumptions!$B$18/12, 0)</f>
        <v>16</v>
      </c>
      <c r="AE11" s="17">
        <f>ROUND(AE10*Assumptions!$B$18/12, 0)</f>
        <v>17</v>
      </c>
      <c r="AF11" s="17">
        <f>ROUND(AF10*Assumptions!$B$18/12, 0)</f>
        <v>18</v>
      </c>
      <c r="AG11" s="17">
        <f>ROUND(AG10*Assumptions!$B$18/4, 0)</f>
        <v>60</v>
      </c>
      <c r="AH11" s="17">
        <f>ROUND(AH10*Assumptions!$B$18/4, 0)</f>
        <v>69</v>
      </c>
      <c r="AI11" s="17">
        <f>ROUND(AI10*Assumptions!$B$18/4, 0)</f>
        <v>76</v>
      </c>
      <c r="AJ11" s="17">
        <f>ROUND(AJ10*Assumptions!$B$18/4, 0)</f>
        <v>83</v>
      </c>
      <c r="AK11" s="17">
        <f>ROUND(AK10*Assumptions!$B$18/4, 0)</f>
        <v>89</v>
      </c>
      <c r="AL11" s="17">
        <f>ROUND(AL10*Assumptions!$B$18/4, 0)</f>
        <v>94</v>
      </c>
      <c r="AM11" s="17">
        <f>ROUND(AM10*Assumptions!$B$18/4, 0)</f>
        <v>98</v>
      </c>
      <c r="AN11" s="17">
        <f>ROUND(AN10*Assumptions!$B$18/4, 0)</f>
        <v>102</v>
      </c>
      <c r="AO11" s="17">
        <f>ROUND(AO10*Assumptions!$B$18/4, 0)</f>
        <v>104</v>
      </c>
      <c r="AP11" s="17">
        <f>ROUND(AP10*Assumptions!$B$18/4, 0)</f>
        <v>106</v>
      </c>
      <c r="AQ11" s="17">
        <f>ROUND(AQ10*Assumptions!$B$18/4, 0)</f>
        <v>108</v>
      </c>
      <c r="AR11" s="17">
        <f>ROUND(AR10*Assumptions!$B$18/4, 0)</f>
        <v>109</v>
      </c>
    </row>
    <row r="12" spans="1:44" x14ac:dyDescent="0.3">
      <c r="A12" s="4" t="s">
        <v>191</v>
      </c>
      <c r="B12" s="6" t="s">
        <v>185</v>
      </c>
      <c r="C12" s="19">
        <f t="shared" ref="C12:AR12" si="0">C10-C11</f>
        <v>142.27761953270033</v>
      </c>
      <c r="D12" s="19">
        <f t="shared" si="0"/>
        <v>154.4013795779824</v>
      </c>
      <c r="E12" s="19">
        <f t="shared" si="0"/>
        <v>170.03738491772242</v>
      </c>
      <c r="F12" s="19">
        <f t="shared" si="0"/>
        <v>186.92006817098951</v>
      </c>
      <c r="G12" s="19">
        <f t="shared" si="0"/>
        <v>204.33804437995357</v>
      </c>
      <c r="H12" s="19">
        <f t="shared" si="0"/>
        <v>224.65867879714401</v>
      </c>
      <c r="I12" s="19">
        <f t="shared" si="0"/>
        <v>246.51808948176713</v>
      </c>
      <c r="J12" s="19">
        <f t="shared" si="0"/>
        <v>270.26951581712046</v>
      </c>
      <c r="K12" s="19">
        <f t="shared" si="0"/>
        <v>295.35924500761996</v>
      </c>
      <c r="L12" s="19">
        <f t="shared" si="0"/>
        <v>323.29046358683877</v>
      </c>
      <c r="M12" s="19">
        <f t="shared" si="0"/>
        <v>353.48279295365705</v>
      </c>
      <c r="N12" s="19">
        <f t="shared" si="0"/>
        <v>385.46125949615697</v>
      </c>
      <c r="O12" s="19">
        <f t="shared" si="0"/>
        <v>420.55319470146344</v>
      </c>
      <c r="P12" s="19">
        <f t="shared" si="0"/>
        <v>457.23909001521423</v>
      </c>
      <c r="Q12" s="19">
        <f t="shared" si="0"/>
        <v>498.11258342321719</v>
      </c>
      <c r="R12" s="19">
        <f t="shared" si="0"/>
        <v>540.276571419069</v>
      </c>
      <c r="S12" s="19">
        <f t="shared" si="0"/>
        <v>586.25793546403372</v>
      </c>
      <c r="T12" s="19">
        <f t="shared" si="0"/>
        <v>634.69703199785192</v>
      </c>
      <c r="U12" s="19">
        <f t="shared" si="0"/>
        <v>685.42564950294707</v>
      </c>
      <c r="V12" s="19">
        <f t="shared" si="0"/>
        <v>739.99486186776983</v>
      </c>
      <c r="W12" s="19">
        <f t="shared" si="0"/>
        <v>797.06022023454454</v>
      </c>
      <c r="X12" s="19">
        <f t="shared" si="0"/>
        <v>856.15149212498818</v>
      </c>
      <c r="Y12" s="19">
        <f t="shared" si="0"/>
        <v>917.81988448928678</v>
      </c>
      <c r="Z12" s="19">
        <f t="shared" si="0"/>
        <v>983.70275683995226</v>
      </c>
      <c r="AA12" s="19">
        <f t="shared" si="0"/>
        <v>1050.0310813226135</v>
      </c>
      <c r="AB12" s="19">
        <f t="shared" si="0"/>
        <v>1118.3400157565791</v>
      </c>
      <c r="AC12" s="19">
        <f t="shared" si="0"/>
        <v>1189.2253439352364</v>
      </c>
      <c r="AD12" s="19">
        <f t="shared" si="0"/>
        <v>1260.672449565023</v>
      </c>
      <c r="AE12" s="19">
        <f t="shared" si="0"/>
        <v>1333.2009940999042</v>
      </c>
      <c r="AF12" s="19">
        <f t="shared" si="0"/>
        <v>1407.3616917973975</v>
      </c>
      <c r="AG12" s="19">
        <f t="shared" si="0"/>
        <v>1552.2895360312486</v>
      </c>
      <c r="AH12" s="19">
        <f t="shared" si="0"/>
        <v>1762.917701847666</v>
      </c>
      <c r="AI12" s="19">
        <f t="shared" si="0"/>
        <v>1961.5360975261788</v>
      </c>
      <c r="AJ12" s="19">
        <f t="shared" si="0"/>
        <v>2139.3246975464622</v>
      </c>
      <c r="AK12" s="19">
        <f t="shared" si="0"/>
        <v>2293.3888845971578</v>
      </c>
      <c r="AL12" s="19">
        <f t="shared" si="0"/>
        <v>2422.6731512702445</v>
      </c>
      <c r="AM12" s="19">
        <f t="shared" si="0"/>
        <v>2528.3399254377505</v>
      </c>
      <c r="AN12" s="19">
        <f t="shared" si="0"/>
        <v>2611.9516053026719</v>
      </c>
      <c r="AO12" s="19">
        <f t="shared" si="0"/>
        <v>2678.7205439154468</v>
      </c>
      <c r="AP12" s="19">
        <f t="shared" si="0"/>
        <v>2729.9560483521777</v>
      </c>
      <c r="AQ12" s="19">
        <f t="shared" si="0"/>
        <v>2768.7261653986052</v>
      </c>
      <c r="AR12" s="19">
        <f t="shared" si="0"/>
        <v>2798.6934219285558</v>
      </c>
    </row>
    <row r="13" spans="1:44" x14ac:dyDescent="0.3">
      <c r="A13" s="4" t="s">
        <v>192</v>
      </c>
      <c r="B13" s="6" t="s">
        <v>185</v>
      </c>
      <c r="C13" s="17">
        <f>C12</f>
        <v>142.27761953270033</v>
      </c>
      <c r="D13" s="17">
        <f t="shared" ref="D13:AR13" si="1">MAX(0,D12-C12)</f>
        <v>12.123760045282069</v>
      </c>
      <c r="E13" s="17">
        <f t="shared" si="1"/>
        <v>15.636005339740024</v>
      </c>
      <c r="F13" s="17">
        <f t="shared" si="1"/>
        <v>16.882683253267089</v>
      </c>
      <c r="G13" s="17">
        <f t="shared" si="1"/>
        <v>17.417976208964063</v>
      </c>
      <c r="H13" s="17">
        <f t="shared" si="1"/>
        <v>20.320634417190433</v>
      </c>
      <c r="I13" s="17">
        <f t="shared" si="1"/>
        <v>21.859410684623128</v>
      </c>
      <c r="J13" s="17">
        <f t="shared" si="1"/>
        <v>23.751426335353329</v>
      </c>
      <c r="K13" s="17">
        <f t="shared" si="1"/>
        <v>25.089729190499497</v>
      </c>
      <c r="L13" s="17">
        <f t="shared" si="1"/>
        <v>27.931218579218807</v>
      </c>
      <c r="M13" s="17">
        <f t="shared" si="1"/>
        <v>30.192329366818285</v>
      </c>
      <c r="N13" s="17">
        <f t="shared" si="1"/>
        <v>31.978466542499916</v>
      </c>
      <c r="O13" s="17">
        <f t="shared" si="1"/>
        <v>35.09193520530647</v>
      </c>
      <c r="P13" s="17">
        <f t="shared" si="1"/>
        <v>36.685895313750791</v>
      </c>
      <c r="Q13" s="17">
        <f t="shared" si="1"/>
        <v>40.873493408002957</v>
      </c>
      <c r="R13" s="17">
        <f t="shared" si="1"/>
        <v>42.163987995851812</v>
      </c>
      <c r="S13" s="17">
        <f t="shared" si="1"/>
        <v>45.981364044964721</v>
      </c>
      <c r="T13" s="17">
        <f t="shared" si="1"/>
        <v>48.439096533818201</v>
      </c>
      <c r="U13" s="17">
        <f t="shared" si="1"/>
        <v>50.728617505095144</v>
      </c>
      <c r="V13" s="17">
        <f t="shared" si="1"/>
        <v>54.569212364822761</v>
      </c>
      <c r="W13" s="17">
        <f t="shared" si="1"/>
        <v>57.065358366774717</v>
      </c>
      <c r="X13" s="17">
        <f t="shared" si="1"/>
        <v>59.091271890443636</v>
      </c>
      <c r="Y13" s="17">
        <f t="shared" si="1"/>
        <v>61.668392364298597</v>
      </c>
      <c r="Z13" s="17">
        <f t="shared" si="1"/>
        <v>65.88287235066548</v>
      </c>
      <c r="AA13" s="17">
        <f t="shared" si="1"/>
        <v>66.328324482661287</v>
      </c>
      <c r="AB13" s="17">
        <f t="shared" si="1"/>
        <v>68.308934433965533</v>
      </c>
      <c r="AC13" s="17">
        <f t="shared" si="1"/>
        <v>70.885328178657346</v>
      </c>
      <c r="AD13" s="17">
        <f t="shared" si="1"/>
        <v>71.44710562978662</v>
      </c>
      <c r="AE13" s="17">
        <f t="shared" si="1"/>
        <v>72.528544534881121</v>
      </c>
      <c r="AF13" s="17">
        <f t="shared" si="1"/>
        <v>74.160697697493333</v>
      </c>
      <c r="AG13" s="17">
        <f t="shared" si="1"/>
        <v>144.92784423385115</v>
      </c>
      <c r="AH13" s="17">
        <f t="shared" si="1"/>
        <v>210.62816581641732</v>
      </c>
      <c r="AI13" s="17">
        <f t="shared" si="1"/>
        <v>198.6183956785128</v>
      </c>
      <c r="AJ13" s="17">
        <f t="shared" si="1"/>
        <v>177.78860002028341</v>
      </c>
      <c r="AK13" s="17">
        <f t="shared" si="1"/>
        <v>154.06418705069564</v>
      </c>
      <c r="AL13" s="17">
        <f t="shared" si="1"/>
        <v>129.28426667308668</v>
      </c>
      <c r="AM13" s="17">
        <f t="shared" si="1"/>
        <v>105.66677416750599</v>
      </c>
      <c r="AN13" s="17">
        <f t="shared" si="1"/>
        <v>83.611679864921371</v>
      </c>
      <c r="AO13" s="17">
        <f t="shared" si="1"/>
        <v>66.768938612774946</v>
      </c>
      <c r="AP13" s="17">
        <f t="shared" si="1"/>
        <v>51.235504436730935</v>
      </c>
      <c r="AQ13" s="17">
        <f t="shared" si="1"/>
        <v>38.770117046427458</v>
      </c>
      <c r="AR13" s="17">
        <f t="shared" si="1"/>
        <v>29.967256529950646</v>
      </c>
    </row>
    <row r="14" spans="1:44" x14ac:dyDescent="0.3">
      <c r="A14" s="4" t="s">
        <v>193</v>
      </c>
      <c r="B14" s="6" t="s">
        <v>194</v>
      </c>
      <c r="C14" s="20">
        <f t="shared" ref="C14:AF14" si="2">C12*10/1000</f>
        <v>1.4227761953270033</v>
      </c>
      <c r="D14" s="20">
        <f t="shared" si="2"/>
        <v>1.5440137957798241</v>
      </c>
      <c r="E14" s="20">
        <f t="shared" si="2"/>
        <v>1.7003738491772242</v>
      </c>
      <c r="F14" s="20">
        <f t="shared" si="2"/>
        <v>1.869200681709895</v>
      </c>
      <c r="G14" s="20">
        <f t="shared" si="2"/>
        <v>2.0433804437995358</v>
      </c>
      <c r="H14" s="20">
        <f t="shared" si="2"/>
        <v>2.2465867879714403</v>
      </c>
      <c r="I14" s="20">
        <f t="shared" si="2"/>
        <v>2.4651808948176712</v>
      </c>
      <c r="J14" s="20">
        <f t="shared" si="2"/>
        <v>2.7026951581712044</v>
      </c>
      <c r="K14" s="20">
        <f t="shared" si="2"/>
        <v>2.9535924500761994</v>
      </c>
      <c r="L14" s="20">
        <f t="shared" si="2"/>
        <v>3.2329046358683877</v>
      </c>
      <c r="M14" s="20">
        <f t="shared" si="2"/>
        <v>3.5348279295365703</v>
      </c>
      <c r="N14" s="20">
        <f t="shared" si="2"/>
        <v>3.8546125949615697</v>
      </c>
      <c r="O14" s="20">
        <f t="shared" si="2"/>
        <v>4.2055319470146344</v>
      </c>
      <c r="P14" s="20">
        <f t="shared" si="2"/>
        <v>4.5723909001521426</v>
      </c>
      <c r="Q14" s="20">
        <f t="shared" si="2"/>
        <v>4.9811258342321718</v>
      </c>
      <c r="R14" s="20">
        <f t="shared" si="2"/>
        <v>5.4027657141906902</v>
      </c>
      <c r="S14" s="20">
        <f t="shared" si="2"/>
        <v>5.8625793546403377</v>
      </c>
      <c r="T14" s="20">
        <f t="shared" si="2"/>
        <v>6.346970319978519</v>
      </c>
      <c r="U14" s="20">
        <f t="shared" si="2"/>
        <v>6.8542564950294711</v>
      </c>
      <c r="V14" s="20">
        <f t="shared" si="2"/>
        <v>7.3999486186776986</v>
      </c>
      <c r="W14" s="20">
        <f t="shared" si="2"/>
        <v>7.9706022023454448</v>
      </c>
      <c r="X14" s="20">
        <f t="shared" si="2"/>
        <v>8.5615149212498824</v>
      </c>
      <c r="Y14" s="20">
        <f t="shared" si="2"/>
        <v>9.1781988448928686</v>
      </c>
      <c r="Z14" s="20">
        <f t="shared" si="2"/>
        <v>9.8370275683995221</v>
      </c>
      <c r="AA14" s="20">
        <f t="shared" si="2"/>
        <v>10.500310813226134</v>
      </c>
      <c r="AB14" s="20">
        <f t="shared" si="2"/>
        <v>11.18340015756579</v>
      </c>
      <c r="AC14" s="20">
        <f t="shared" si="2"/>
        <v>11.892253439352364</v>
      </c>
      <c r="AD14" s="20">
        <f t="shared" si="2"/>
        <v>12.60672449565023</v>
      </c>
      <c r="AE14" s="20">
        <f t="shared" si="2"/>
        <v>13.332009940999042</v>
      </c>
      <c r="AF14" s="20">
        <f t="shared" si="2"/>
        <v>14.073616917973975</v>
      </c>
      <c r="AG14" s="20">
        <f t="shared" ref="AG14:AR14" si="3">AG12*10*3/1000</f>
        <v>46.568686080937461</v>
      </c>
      <c r="AH14" s="20">
        <f t="shared" si="3"/>
        <v>52.887531055429982</v>
      </c>
      <c r="AI14" s="20">
        <f t="shared" si="3"/>
        <v>58.84608292578536</v>
      </c>
      <c r="AJ14" s="20">
        <f t="shared" si="3"/>
        <v>64.179740926393862</v>
      </c>
      <c r="AK14" s="20">
        <f t="shared" si="3"/>
        <v>68.801666537914727</v>
      </c>
      <c r="AL14" s="20">
        <f t="shared" si="3"/>
        <v>72.68019453810733</v>
      </c>
      <c r="AM14" s="20">
        <f t="shared" si="3"/>
        <v>75.850197763132513</v>
      </c>
      <c r="AN14" s="20">
        <f t="shared" si="3"/>
        <v>78.358548159080144</v>
      </c>
      <c r="AO14" s="20">
        <f t="shared" si="3"/>
        <v>80.361616317463401</v>
      </c>
      <c r="AP14" s="20">
        <f t="shared" si="3"/>
        <v>81.898681450565334</v>
      </c>
      <c r="AQ14" s="20">
        <f t="shared" si="3"/>
        <v>83.061784961958153</v>
      </c>
      <c r="AR14" s="20">
        <f t="shared" si="3"/>
        <v>83.960802657856675</v>
      </c>
    </row>
  </sheetData>
  <mergeCells count="3">
    <mergeCell ref="A4:B4"/>
    <mergeCell ref="A9:B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T22"/>
  <sheetViews>
    <sheetView workbookViewId="0">
      <selection activeCell="D19" sqref="D19"/>
    </sheetView>
  </sheetViews>
  <sheetFormatPr defaultRowHeight="14.4" x14ac:dyDescent="0.3"/>
  <cols>
    <col min="1" max="1" width="38" customWidth="1"/>
    <col min="2" max="2" width="10" customWidth="1"/>
    <col min="3" max="44" width="12" customWidth="1"/>
    <col min="46" max="46" width="14" customWidth="1"/>
  </cols>
  <sheetData>
    <row r="1" spans="1:46" x14ac:dyDescent="0.3">
      <c r="A1" s="28" t="s">
        <v>195</v>
      </c>
      <c r="B1" s="30"/>
    </row>
    <row r="3" spans="1:46" x14ac:dyDescent="0.3">
      <c r="A3" s="3" t="s">
        <v>196</v>
      </c>
      <c r="B3" s="3" t="s">
        <v>32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160</v>
      </c>
      <c r="W3" s="3" t="s">
        <v>161</v>
      </c>
      <c r="X3" s="3" t="s">
        <v>162</v>
      </c>
      <c r="Y3" s="3" t="s">
        <v>163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170</v>
      </c>
      <c r="AG3" s="3" t="s">
        <v>171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176</v>
      </c>
      <c r="AM3" s="3" t="s">
        <v>177</v>
      </c>
      <c r="AN3" s="3" t="s">
        <v>178</v>
      </c>
      <c r="AO3" s="3" t="s">
        <v>179</v>
      </c>
      <c r="AP3" s="3" t="s">
        <v>180</v>
      </c>
      <c r="AQ3" s="3" t="s">
        <v>181</v>
      </c>
      <c r="AR3" s="3" t="s">
        <v>182</v>
      </c>
      <c r="AT3" s="3" t="s">
        <v>197</v>
      </c>
    </row>
    <row r="4" spans="1:46" x14ac:dyDescent="0.3">
      <c r="A4" s="1" t="s">
        <v>198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6" x14ac:dyDescent="0.3">
      <c r="A5" s="4" t="s">
        <v>199</v>
      </c>
      <c r="B5" s="6" t="s">
        <v>6</v>
      </c>
      <c r="C5" s="17">
        <f>'Market Sizing'!C12*Assumptions!$B$22*(1+Assumptions!$B$23)^0/12</f>
        <v>355.69404883175076</v>
      </c>
      <c r="D5" s="17">
        <f>'Market Sizing'!D12*Assumptions!$B$22*(1+Assumptions!$B$23)^0/12</f>
        <v>386.00344894495601</v>
      </c>
      <c r="E5" s="17">
        <f>'Market Sizing'!E12*Assumptions!$B$22*(1+Assumptions!$B$23)^0/12</f>
        <v>425.09346229430611</v>
      </c>
      <c r="F5" s="17">
        <f>'Market Sizing'!F12*Assumptions!$B$22*(1+Assumptions!$B$23)^0/12</f>
        <v>467.3001704274738</v>
      </c>
      <c r="G5" s="17">
        <f>'Market Sizing'!G12*Assumptions!$B$22*(1+Assumptions!$B$23)^0/12</f>
        <v>510.84511094988392</v>
      </c>
      <c r="H5" s="17">
        <f>'Market Sizing'!H12*Assumptions!$B$22*(1+Assumptions!$B$23)^0/12</f>
        <v>561.64669699286003</v>
      </c>
      <c r="I5" s="17">
        <f>'Market Sizing'!I12*Assumptions!$B$22*(1+Assumptions!$B$23)^1/12</f>
        <v>665.59884160077127</v>
      </c>
      <c r="J5" s="17">
        <f>'Market Sizing'!J12*Assumptions!$B$22*(1+Assumptions!$B$23)^1/12</f>
        <v>729.7276927062253</v>
      </c>
      <c r="K5" s="17">
        <f>'Market Sizing'!K12*Assumptions!$B$22*(1+Assumptions!$B$23)^1/12</f>
        <v>797.46996152057397</v>
      </c>
      <c r="L5" s="17">
        <f>'Market Sizing'!L12*Assumptions!$B$22*(1+Assumptions!$B$23)^1/12</f>
        <v>872.88425168446474</v>
      </c>
      <c r="M5" s="17">
        <f>'Market Sizing'!M12*Assumptions!$B$22*(1+Assumptions!$B$23)^1/12</f>
        <v>954.40354097487409</v>
      </c>
      <c r="N5" s="17">
        <f>'Market Sizing'!N12*Assumptions!$B$22*(1+Assumptions!$B$23)^1/12</f>
        <v>1040.7454006396238</v>
      </c>
      <c r="O5" s="17">
        <f>'Market Sizing'!O12*Assumptions!$B$22*(1+Assumptions!$B$23)^1/12</f>
        <v>1135.4936256939513</v>
      </c>
      <c r="P5" s="17">
        <f>'Market Sizing'!P12*Assumptions!$B$22*(1+Assumptions!$B$23)^1/12</f>
        <v>1234.5455430410786</v>
      </c>
      <c r="Q5" s="17">
        <f>'Market Sizing'!Q12*Assumptions!$B$22*(1+Assumptions!$B$23)^1/12</f>
        <v>1344.9039752426866</v>
      </c>
      <c r="R5" s="17">
        <f>'Market Sizing'!R12*Assumptions!$B$22*(1+Assumptions!$B$23)^1/12</f>
        <v>1458.7467428314865</v>
      </c>
      <c r="S5" s="17">
        <f>'Market Sizing'!S12*Assumptions!$B$22*(1+Assumptions!$B$23)^1/12</f>
        <v>1582.8964257528914</v>
      </c>
      <c r="T5" s="17">
        <f>'Market Sizing'!T12*Assumptions!$B$22*(1+Assumptions!$B$23)^1/12</f>
        <v>1713.6819863942003</v>
      </c>
      <c r="U5" s="17">
        <f>'Market Sizing'!U12*Assumptions!$B$22*(1+Assumptions!$B$23)^2/12</f>
        <v>1998.7011939505937</v>
      </c>
      <c r="V5" s="17">
        <f>'Market Sizing'!V12*Assumptions!$B$22*(1+Assumptions!$B$23)^2/12</f>
        <v>2157.8250172064168</v>
      </c>
      <c r="W5" s="17">
        <f>'Market Sizing'!W12*Assumptions!$B$22*(1+Assumptions!$B$23)^2/12</f>
        <v>2324.2276022039318</v>
      </c>
      <c r="X5" s="17">
        <f>'Market Sizing'!X12*Assumptions!$B$22*(1+Assumptions!$B$23)^2/12</f>
        <v>2496.537751036466</v>
      </c>
      <c r="Y5" s="17">
        <f>'Market Sizing'!Y12*Assumptions!$B$22*(1+Assumptions!$B$23)^2/12</f>
        <v>2676.3627831707604</v>
      </c>
      <c r="Z5" s="17">
        <f>'Market Sizing'!Z12*Assumptions!$B$22*(1+Assumptions!$B$23)^2/12</f>
        <v>2868.477238945301</v>
      </c>
      <c r="AA5" s="17">
        <f>'Market Sizing'!AA12*Assumptions!$B$22*(1+Assumptions!$B$23)^2/12</f>
        <v>3061.8906331367416</v>
      </c>
      <c r="AB5" s="17">
        <f>'Market Sizing'!AB12*Assumptions!$B$22*(1+Assumptions!$B$23)^2/12</f>
        <v>3261.0794859461853</v>
      </c>
      <c r="AC5" s="17">
        <f>'Market Sizing'!AC12*Assumptions!$B$22*(1+Assumptions!$B$23)^2/12</f>
        <v>3467.7811029151503</v>
      </c>
      <c r="AD5" s="17">
        <f>'Market Sizing'!AD12*Assumptions!$B$22*(1+Assumptions!$B$23)^2/12</f>
        <v>3676.1208629316075</v>
      </c>
      <c r="AE5" s="17">
        <f>'Market Sizing'!AE12*Assumptions!$B$22*(1+Assumptions!$B$23)^2/12</f>
        <v>3887.6140987953208</v>
      </c>
      <c r="AF5" s="17">
        <f>'Market Sizing'!AF12*Assumptions!$B$22*(1+Assumptions!$B$23)^2/12</f>
        <v>4103.8666932812121</v>
      </c>
      <c r="AG5" s="17">
        <f>'Market Sizing'!AG12*Assumptions!$B$22*(1+Assumptions!$B$23)^3/4</f>
        <v>14665.783170097475</v>
      </c>
      <c r="AH5" s="17">
        <f>'Market Sizing'!AH12*Assumptions!$B$22*(1+Assumptions!$B$23)^3/4</f>
        <v>16655.764380224457</v>
      </c>
      <c r="AI5" s="17">
        <f>'Market Sizing'!AI12*Assumptions!$B$22*(1+Assumptions!$B$23)^3/4</f>
        <v>18532.279203651735</v>
      </c>
      <c r="AJ5" s="17">
        <f>'Market Sizing'!AJ12*Assumptions!$B$22*(1+Assumptions!$B$23)^3/4</f>
        <v>20211.99745046737</v>
      </c>
      <c r="AK5" s="17">
        <f>'Market Sizing'!AK12*Assumptions!$B$22*(1+Assumptions!$B$23)^4/4</f>
        <v>23400.976938608608</v>
      </c>
      <c r="AL5" s="17">
        <f>'Market Sizing'!AL12*Assumptions!$B$22*(1+Assumptions!$B$23)^4/4</f>
        <v>24720.150569936835</v>
      </c>
      <c r="AM5" s="17">
        <f>'Market Sizing'!AM12*Assumptions!$B$22*(1+Assumptions!$B$23)^4/4</f>
        <v>25798.339167639624</v>
      </c>
      <c r="AN5" s="17">
        <f>'Market Sizing'!AN12*Assumptions!$B$22*(1+Assumptions!$B$23)^4/4</f>
        <v>26651.484923014224</v>
      </c>
      <c r="AO5" s="17">
        <f>'Market Sizing'!AO12*Assumptions!$B$22*(1+Assumptions!$B$23)^5/4</f>
        <v>29519.394788069505</v>
      </c>
      <c r="AP5" s="17">
        <f>'Market Sizing'!AP12*Assumptions!$B$22*(1+Assumptions!$B$23)^5/4</f>
        <v>30084.008027053755</v>
      </c>
      <c r="AQ5" s="17">
        <f>'Market Sizing'!AQ12*Assumptions!$B$22*(1+Assumptions!$B$23)^5/4</f>
        <v>30511.253188432289</v>
      </c>
      <c r="AR5" s="17">
        <f>'Market Sizing'!AR12*Assumptions!$B$22*(1+Assumptions!$B$23)^5/4</f>
        <v>30841.491173963226</v>
      </c>
    </row>
    <row r="6" spans="1:46" x14ac:dyDescent="0.3">
      <c r="A6" s="4" t="s">
        <v>200</v>
      </c>
      <c r="B6" s="6" t="s">
        <v>6</v>
      </c>
      <c r="C6" s="17">
        <f>'Market Sizing'!C12*Assumptions!$B$31*Assumptions!$B$29/12</f>
        <v>53.354107324762623</v>
      </c>
      <c r="D6" s="17">
        <f>'Market Sizing'!D12*Assumptions!$B$31*Assumptions!$B$29/12</f>
        <v>57.900517341743402</v>
      </c>
      <c r="E6" s="17">
        <f>'Market Sizing'!E12*Assumptions!$B$31*Assumptions!$B$29/12</f>
        <v>63.764019344145908</v>
      </c>
      <c r="F6" s="17">
        <f>'Market Sizing'!F12*Assumptions!$B$31*Assumptions!$B$29/12</f>
        <v>70.095025564121059</v>
      </c>
      <c r="G6" s="17">
        <f>'Market Sizing'!G12*Assumptions!$B$31*Assumptions!$B$29/12</f>
        <v>76.626766642482593</v>
      </c>
      <c r="H6" s="17">
        <f>'Market Sizing'!H12*Assumptions!$B$31*Assumptions!$B$29/12</f>
        <v>84.247004548928999</v>
      </c>
      <c r="I6" s="17">
        <f>'Market Sizing'!I12*Assumptions!$B$31*Assumptions!$B$29/12</f>
        <v>92.444283555662665</v>
      </c>
      <c r="J6" s="17">
        <f>'Market Sizing'!J12*Assumptions!$B$31*Assumptions!$B$29/12</f>
        <v>101.35106843142017</v>
      </c>
      <c r="K6" s="17">
        <f>'Market Sizing'!K12*Assumptions!$B$31*Assumptions!$B$29/12</f>
        <v>110.75971687785749</v>
      </c>
      <c r="L6" s="17">
        <f>'Market Sizing'!L12*Assumptions!$B$31*Assumptions!$B$29/12</f>
        <v>121.23392384506455</v>
      </c>
      <c r="M6" s="17">
        <f>'Market Sizing'!M12*Assumptions!$B$31*Assumptions!$B$29/12</f>
        <v>132.5560473576214</v>
      </c>
      <c r="N6" s="17">
        <f>'Market Sizing'!N12*Assumptions!$B$31*Assumptions!$B$29/12</f>
        <v>144.54797231105886</v>
      </c>
      <c r="O6" s="17">
        <f>'Market Sizing'!O12*Assumptions!$B$31*Assumptions!$B$29/12</f>
        <v>157.70744801304878</v>
      </c>
      <c r="P6" s="17">
        <f>'Market Sizing'!P12*Assumptions!$B$31*Assumptions!$B$29/12</f>
        <v>171.46465875570536</v>
      </c>
      <c r="Q6" s="17">
        <f>'Market Sizing'!Q12*Assumptions!$B$31*Assumptions!$B$29/12</f>
        <v>186.79221878370643</v>
      </c>
      <c r="R6" s="17">
        <f>'Market Sizing'!R12*Assumptions!$B$31*Assumptions!$B$29/12</f>
        <v>202.60371428215089</v>
      </c>
      <c r="S6" s="17">
        <f>'Market Sizing'!S12*Assumptions!$B$31*Assumptions!$B$29/12</f>
        <v>219.84672579901266</v>
      </c>
      <c r="T6" s="17">
        <f>'Market Sizing'!T12*Assumptions!$B$31*Assumptions!$B$29/12</f>
        <v>238.01138699919446</v>
      </c>
      <c r="U6" s="17">
        <f>'Market Sizing'!U12*Assumptions!$B$31*Assumptions!$B$29/12</f>
        <v>257.03461856360519</v>
      </c>
      <c r="V6" s="17">
        <f>'Market Sizing'!V12*Assumptions!$B$31*Assumptions!$B$29/12</f>
        <v>277.49807320041367</v>
      </c>
      <c r="W6" s="17">
        <f>'Market Sizing'!W12*Assumptions!$B$31*Assumptions!$B$29/12</f>
        <v>298.89758258795416</v>
      </c>
      <c r="X6" s="17">
        <f>'Market Sizing'!X12*Assumptions!$B$31*Assumptions!$B$29/12</f>
        <v>321.05680954687051</v>
      </c>
      <c r="Y6" s="17">
        <f>'Market Sizing'!Y12*Assumptions!$B$31*Assumptions!$B$29/12</f>
        <v>344.18245668348254</v>
      </c>
      <c r="Z6" s="17">
        <f>'Market Sizing'!Z12*Assumptions!$B$31*Assumptions!$B$29/12</f>
        <v>368.88853381498211</v>
      </c>
      <c r="AA6" s="17">
        <f>'Market Sizing'!AA12*Assumptions!$B$31*Assumptions!$B$29/12</f>
        <v>393.76165549598005</v>
      </c>
      <c r="AB6" s="17">
        <f>'Market Sizing'!AB12*Assumptions!$B$31*Assumptions!$B$29/12</f>
        <v>419.37750590871718</v>
      </c>
      <c r="AC6" s="17">
        <f>'Market Sizing'!AC12*Assumptions!$B$31*Assumptions!$B$29/12</f>
        <v>445.95950397571363</v>
      </c>
      <c r="AD6" s="17">
        <f>'Market Sizing'!AD12*Assumptions!$B$31*Assumptions!$B$29/12</f>
        <v>472.75216858688356</v>
      </c>
      <c r="AE6" s="17">
        <f>'Market Sizing'!AE12*Assumptions!$B$31*Assumptions!$B$29/12</f>
        <v>499.950372787464</v>
      </c>
      <c r="AF6" s="17">
        <f>'Market Sizing'!AF12*Assumptions!$B$31*Assumptions!$B$29/12</f>
        <v>527.76063442402403</v>
      </c>
      <c r="AG6" s="17">
        <f>'Market Sizing'!AG12*Assumptions!$B$31*Assumptions!$B$29/4</f>
        <v>1746.3257280351547</v>
      </c>
      <c r="AH6" s="17">
        <f>'Market Sizing'!AH12*Assumptions!$B$31*Assumptions!$B$29/4</f>
        <v>1983.282414578624</v>
      </c>
      <c r="AI6" s="17">
        <f>'Market Sizing'!AI12*Assumptions!$B$31*Assumptions!$B$29/4</f>
        <v>2206.7281097169507</v>
      </c>
      <c r="AJ6" s="17">
        <f>'Market Sizing'!AJ12*Assumptions!$B$31*Assumptions!$B$29/4</f>
        <v>2406.7402847397702</v>
      </c>
      <c r="AK6" s="17">
        <f>'Market Sizing'!AK12*Assumptions!$B$31*Assumptions!$B$29/4</f>
        <v>2580.0624951718023</v>
      </c>
      <c r="AL6" s="17">
        <f>'Market Sizing'!AL12*Assumptions!$B$31*Assumptions!$B$29/4</f>
        <v>2725.5072951790248</v>
      </c>
      <c r="AM6" s="17">
        <f>'Market Sizing'!AM12*Assumptions!$B$31*Assumptions!$B$29/4</f>
        <v>2844.3824161174689</v>
      </c>
      <c r="AN6" s="17">
        <f>'Market Sizing'!AN12*Assumptions!$B$31*Assumptions!$B$29/4</f>
        <v>2938.4455559655057</v>
      </c>
      <c r="AO6" s="17">
        <f>'Market Sizing'!AO12*Assumptions!$B$31*Assumptions!$B$29/4</f>
        <v>3013.5606119048775</v>
      </c>
      <c r="AP6" s="17">
        <f>'Market Sizing'!AP12*Assumptions!$B$31*Assumptions!$B$29/4</f>
        <v>3071.2005543962</v>
      </c>
      <c r="AQ6" s="17">
        <f>'Market Sizing'!AQ12*Assumptions!$B$31*Assumptions!$B$29/4</f>
        <v>3114.816936073431</v>
      </c>
      <c r="AR6" s="17">
        <f>'Market Sizing'!AR12*Assumptions!$B$31*Assumptions!$B$29/4</f>
        <v>3148.5300996696251</v>
      </c>
    </row>
    <row r="7" spans="1:46" x14ac:dyDescent="0.3">
      <c r="A7" s="4" t="s">
        <v>201</v>
      </c>
      <c r="B7" s="6" t="s">
        <v>6</v>
      </c>
      <c r="C7" s="17">
        <f>'Market Sizing'!C12*Assumptions!$B$30*Assumptions!$B$32/12</f>
        <v>118.56468294391694</v>
      </c>
      <c r="D7" s="17">
        <f>'Market Sizing'!D12*Assumptions!$B$30*Assumptions!$B$32/12</f>
        <v>128.66781631498534</v>
      </c>
      <c r="E7" s="17">
        <f>'Market Sizing'!E12*Assumptions!$B$30*Assumptions!$B$32/12</f>
        <v>141.69782076476869</v>
      </c>
      <c r="F7" s="17">
        <f>'Market Sizing'!F12*Assumptions!$B$30*Assumptions!$B$32/12</f>
        <v>155.76672347582459</v>
      </c>
      <c r="G7" s="17">
        <f>'Market Sizing'!G12*Assumptions!$B$30*Assumptions!$B$32/12</f>
        <v>170.28170364996132</v>
      </c>
      <c r="H7" s="17">
        <f>'Market Sizing'!H12*Assumptions!$B$30*Assumptions!$B$32/12</f>
        <v>187.21556566428669</v>
      </c>
      <c r="I7" s="17">
        <f>'Market Sizing'!I12*Assumptions!$B$30*Assumptions!$B$32/12</f>
        <v>205.43174123480594</v>
      </c>
      <c r="J7" s="17">
        <f>'Market Sizing'!J12*Assumptions!$B$30*Assumptions!$B$32/12</f>
        <v>225.22459651426706</v>
      </c>
      <c r="K7" s="17">
        <f>'Market Sizing'!K12*Assumptions!$B$30*Assumptions!$B$32/12</f>
        <v>246.13270417301661</v>
      </c>
      <c r="L7" s="17">
        <f>'Market Sizing'!L12*Assumptions!$B$30*Assumptions!$B$32/12</f>
        <v>269.40871965569897</v>
      </c>
      <c r="M7" s="17">
        <f>'Market Sizing'!M12*Assumptions!$B$30*Assumptions!$B$32/12</f>
        <v>294.56899412804756</v>
      </c>
      <c r="N7" s="17">
        <f>'Market Sizing'!N12*Assumptions!$B$30*Assumptions!$B$32/12</f>
        <v>321.21771624679747</v>
      </c>
      <c r="O7" s="17">
        <f>'Market Sizing'!O12*Assumptions!$B$30*Assumptions!$B$32/12</f>
        <v>350.46099558455285</v>
      </c>
      <c r="P7" s="17">
        <f>'Market Sizing'!P12*Assumptions!$B$30*Assumptions!$B$32/12</f>
        <v>381.03257501267854</v>
      </c>
      <c r="Q7" s="17">
        <f>'Market Sizing'!Q12*Assumptions!$B$30*Assumptions!$B$32/12</f>
        <v>415.09381951934762</v>
      </c>
      <c r="R7" s="17">
        <f>'Market Sizing'!R12*Assumptions!$B$30*Assumptions!$B$32/12</f>
        <v>450.23047618255754</v>
      </c>
      <c r="S7" s="17">
        <f>'Market Sizing'!S12*Assumptions!$B$30*Assumptions!$B$32/12</f>
        <v>488.54827955336145</v>
      </c>
      <c r="T7" s="17">
        <f>'Market Sizing'!T12*Assumptions!$B$30*Assumptions!$B$32/12</f>
        <v>528.91419333154329</v>
      </c>
      <c r="U7" s="17">
        <f>'Market Sizing'!U12*Assumptions!$B$30*Assumptions!$B$32/12</f>
        <v>571.18804125245595</v>
      </c>
      <c r="V7" s="17">
        <f>'Market Sizing'!V12*Assumptions!$B$30*Assumptions!$B$32/12</f>
        <v>616.66238488980821</v>
      </c>
      <c r="W7" s="17">
        <f>'Market Sizing'!W12*Assumptions!$B$30*Assumptions!$B$32/12</f>
        <v>664.21685019545373</v>
      </c>
      <c r="X7" s="17">
        <f>'Market Sizing'!X12*Assumptions!$B$30*Assumptions!$B$32/12</f>
        <v>713.45957677082345</v>
      </c>
      <c r="Y7" s="17">
        <f>'Market Sizing'!Y12*Assumptions!$B$30*Assumptions!$B$32/12</f>
        <v>764.84990374107235</v>
      </c>
      <c r="Z7" s="17">
        <f>'Market Sizing'!Z12*Assumptions!$B$30*Assumptions!$B$32/12</f>
        <v>819.75229736662686</v>
      </c>
      <c r="AA7" s="17">
        <f>'Market Sizing'!AA12*Assumptions!$B$30*Assumptions!$B$32/12</f>
        <v>875.02590110217795</v>
      </c>
      <c r="AB7" s="17">
        <f>'Market Sizing'!AB12*Assumptions!$B$30*Assumptions!$B$32/12</f>
        <v>931.9500131304826</v>
      </c>
      <c r="AC7" s="17">
        <f>'Market Sizing'!AC12*Assumptions!$B$30*Assumptions!$B$32/12</f>
        <v>991.02111994603035</v>
      </c>
      <c r="AD7" s="17">
        <f>'Market Sizing'!AD12*Assumptions!$B$30*Assumptions!$B$32/12</f>
        <v>1050.5603746375193</v>
      </c>
      <c r="AE7" s="17">
        <f>'Market Sizing'!AE12*Assumptions!$B$30*Assumptions!$B$32/12</f>
        <v>1111.0008284165867</v>
      </c>
      <c r="AF7" s="17">
        <f>'Market Sizing'!AF12*Assumptions!$B$30*Assumptions!$B$32/12</f>
        <v>1172.8014098311646</v>
      </c>
      <c r="AG7" s="17">
        <f>'Market Sizing'!AG12*Assumptions!$B$30*Assumptions!$B$32/4</f>
        <v>3880.7238400781216</v>
      </c>
      <c r="AH7" s="17">
        <f>'Market Sizing'!AH12*Assumptions!$B$30*Assumptions!$B$32/4</f>
        <v>4407.2942546191653</v>
      </c>
      <c r="AI7" s="17">
        <f>'Market Sizing'!AI12*Assumptions!$B$30*Assumptions!$B$32/4</f>
        <v>4903.8402438154471</v>
      </c>
      <c r="AJ7" s="17">
        <f>'Market Sizing'!AJ12*Assumptions!$B$30*Assumptions!$B$32/4</f>
        <v>5348.3117438661557</v>
      </c>
      <c r="AK7" s="17">
        <f>'Market Sizing'!AK12*Assumptions!$B$30*Assumptions!$B$32/4</f>
        <v>5733.4722114928945</v>
      </c>
      <c r="AL7" s="17">
        <f>'Market Sizing'!AL12*Assumptions!$B$30*Assumptions!$B$32/4</f>
        <v>6056.6828781756112</v>
      </c>
      <c r="AM7" s="17">
        <f>'Market Sizing'!AM12*Assumptions!$B$30*Assumptions!$B$32/4</f>
        <v>6320.8498135943764</v>
      </c>
      <c r="AN7" s="17">
        <f>'Market Sizing'!AN12*Assumptions!$B$30*Assumptions!$B$32/4</f>
        <v>6529.8790132566792</v>
      </c>
      <c r="AO7" s="17">
        <f>'Market Sizing'!AO12*Assumptions!$B$30*Assumptions!$B$32/4</f>
        <v>6696.8013597886165</v>
      </c>
      <c r="AP7" s="17">
        <f>'Market Sizing'!AP12*Assumptions!$B$30*Assumptions!$B$32/4</f>
        <v>6824.8901208804446</v>
      </c>
      <c r="AQ7" s="17">
        <f>'Market Sizing'!AQ12*Assumptions!$B$30*Assumptions!$B$32/4</f>
        <v>6921.8154134965134</v>
      </c>
      <c r="AR7" s="17">
        <f>'Market Sizing'!AR12*Assumptions!$B$30*Assumptions!$B$32/4</f>
        <v>6996.7335548213896</v>
      </c>
    </row>
    <row r="8" spans="1:46" x14ac:dyDescent="0.3">
      <c r="A8" s="4" t="s">
        <v>202</v>
      </c>
      <c r="B8" s="6" t="s">
        <v>6</v>
      </c>
      <c r="C8" s="19">
        <f t="shared" ref="C8:AR8" si="0">SUM(C5:C7)</f>
        <v>527.61283910043039</v>
      </c>
      <c r="D8" s="19">
        <f t="shared" si="0"/>
        <v>572.57178260168473</v>
      </c>
      <c r="E8" s="19">
        <f t="shared" si="0"/>
        <v>630.55530240322071</v>
      </c>
      <c r="F8" s="19">
        <f t="shared" si="0"/>
        <v>693.16191946741947</v>
      </c>
      <c r="G8" s="19">
        <f t="shared" si="0"/>
        <v>757.75358124232775</v>
      </c>
      <c r="H8" s="19">
        <f t="shared" si="0"/>
        <v>833.10926720607574</v>
      </c>
      <c r="I8" s="19">
        <f t="shared" si="0"/>
        <v>963.47486639123986</v>
      </c>
      <c r="J8" s="19">
        <f t="shared" si="0"/>
        <v>1056.3033576519124</v>
      </c>
      <c r="K8" s="19">
        <f t="shared" si="0"/>
        <v>1154.3623825714481</v>
      </c>
      <c r="L8" s="19">
        <f t="shared" si="0"/>
        <v>1263.5268951852281</v>
      </c>
      <c r="M8" s="19">
        <f t="shared" si="0"/>
        <v>1381.528582460543</v>
      </c>
      <c r="N8" s="19">
        <f t="shared" si="0"/>
        <v>1506.51108919748</v>
      </c>
      <c r="O8" s="19">
        <f t="shared" si="0"/>
        <v>1643.6620692915531</v>
      </c>
      <c r="P8" s="19">
        <f t="shared" si="0"/>
        <v>1787.0427768094626</v>
      </c>
      <c r="Q8" s="19">
        <f t="shared" si="0"/>
        <v>1946.7900135457405</v>
      </c>
      <c r="R8" s="19">
        <f t="shared" si="0"/>
        <v>2111.5809332961949</v>
      </c>
      <c r="S8" s="19">
        <f t="shared" si="0"/>
        <v>2291.2914311052655</v>
      </c>
      <c r="T8" s="19">
        <f t="shared" si="0"/>
        <v>2480.6075667249379</v>
      </c>
      <c r="U8" s="19">
        <f t="shared" si="0"/>
        <v>2826.9238537666552</v>
      </c>
      <c r="V8" s="19">
        <f t="shared" si="0"/>
        <v>3051.9854752966385</v>
      </c>
      <c r="W8" s="19">
        <f t="shared" si="0"/>
        <v>3287.34203498734</v>
      </c>
      <c r="X8" s="19">
        <f t="shared" si="0"/>
        <v>3531.05413735416</v>
      </c>
      <c r="Y8" s="19">
        <f t="shared" si="0"/>
        <v>3785.3951435953154</v>
      </c>
      <c r="Z8" s="19">
        <f t="shared" si="0"/>
        <v>4057.11807012691</v>
      </c>
      <c r="AA8" s="19">
        <f t="shared" si="0"/>
        <v>4330.6781897348992</v>
      </c>
      <c r="AB8" s="19">
        <f t="shared" si="0"/>
        <v>4612.4070049853854</v>
      </c>
      <c r="AC8" s="19">
        <f t="shared" si="0"/>
        <v>4904.761726836894</v>
      </c>
      <c r="AD8" s="19">
        <f t="shared" si="0"/>
        <v>5199.4334061560103</v>
      </c>
      <c r="AE8" s="19">
        <f t="shared" si="0"/>
        <v>5498.5652999993717</v>
      </c>
      <c r="AF8" s="19">
        <f t="shared" si="0"/>
        <v>5804.4287375364001</v>
      </c>
      <c r="AG8" s="19">
        <f t="shared" si="0"/>
        <v>20292.832738210749</v>
      </c>
      <c r="AH8" s="19">
        <f t="shared" si="0"/>
        <v>23046.341049422248</v>
      </c>
      <c r="AI8" s="19">
        <f t="shared" si="0"/>
        <v>25642.847557184134</v>
      </c>
      <c r="AJ8" s="19">
        <f t="shared" si="0"/>
        <v>27967.049479073299</v>
      </c>
      <c r="AK8" s="19">
        <f t="shared" si="0"/>
        <v>31714.511645273305</v>
      </c>
      <c r="AL8" s="19">
        <f t="shared" si="0"/>
        <v>33502.340743291468</v>
      </c>
      <c r="AM8" s="19">
        <f t="shared" si="0"/>
        <v>34963.571397351465</v>
      </c>
      <c r="AN8" s="19">
        <f t="shared" si="0"/>
        <v>36119.809492236411</v>
      </c>
      <c r="AO8" s="19">
        <f t="shared" si="0"/>
        <v>39229.756759762997</v>
      </c>
      <c r="AP8" s="19">
        <f t="shared" si="0"/>
        <v>39980.098702330397</v>
      </c>
      <c r="AQ8" s="19">
        <f t="shared" si="0"/>
        <v>40547.885538002236</v>
      </c>
      <c r="AR8" s="19">
        <f t="shared" si="0"/>
        <v>40986.754828454243</v>
      </c>
    </row>
    <row r="10" spans="1:46" x14ac:dyDescent="0.3">
      <c r="A10" s="1" t="s">
        <v>203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6" x14ac:dyDescent="0.3">
      <c r="A11" s="4" t="s">
        <v>204</v>
      </c>
      <c r="B11" s="6" t="s">
        <v>6</v>
      </c>
      <c r="C11" s="17">
        <f>IF('Market Sizing'!C12&gt;=Assumptions!$B$65,'Market Sizing'!C7*Assumptions!$B$25*Assumptions!$B$24*1000,0)</f>
        <v>0</v>
      </c>
      <c r="D11" s="17">
        <f>IF('Market Sizing'!D12&gt;=Assumptions!$B$65,'Market Sizing'!D7*Assumptions!$B$25*Assumptions!$B$24*1000,0)</f>
        <v>0</v>
      </c>
      <c r="E11" s="17">
        <f>IF('Market Sizing'!E12&gt;=Assumptions!$B$65,'Market Sizing'!E7*Assumptions!$B$25*Assumptions!$B$24*1000,0)</f>
        <v>0</v>
      </c>
      <c r="F11" s="17">
        <f>IF('Market Sizing'!F12&gt;=Assumptions!$B$65,'Market Sizing'!F7*Assumptions!$B$25*Assumptions!$B$24*1000,0)</f>
        <v>0</v>
      </c>
      <c r="G11" s="17">
        <f>IF('Market Sizing'!G12&gt;=Assumptions!$B$65,'Market Sizing'!G7*Assumptions!$B$25*Assumptions!$B$24*1000,0)</f>
        <v>0</v>
      </c>
      <c r="H11" s="17">
        <f>IF('Market Sizing'!H12&gt;=Assumptions!$B$65,'Market Sizing'!H7*Assumptions!$B$25*Assumptions!$B$24*1000,0)</f>
        <v>0</v>
      </c>
      <c r="I11" s="17">
        <f>IF('Market Sizing'!I12&gt;=Assumptions!$B$65,'Market Sizing'!I7*Assumptions!$B$25*Assumptions!$B$24*1000,0)</f>
        <v>0</v>
      </c>
      <c r="J11" s="17">
        <f>IF('Market Sizing'!J12&gt;=Assumptions!$B$65,'Market Sizing'!J7*Assumptions!$B$25*Assumptions!$B$24*1000,0)</f>
        <v>0</v>
      </c>
      <c r="K11" s="17">
        <f>IF('Market Sizing'!K12&gt;=Assumptions!$B$65,'Market Sizing'!K7*Assumptions!$B$25*Assumptions!$B$24*1000,0)</f>
        <v>0</v>
      </c>
      <c r="L11" s="17">
        <f>IF('Market Sizing'!L12&gt;=Assumptions!$B$65,'Market Sizing'!L7*Assumptions!$B$25*Assumptions!$B$24*1000,0)</f>
        <v>2970</v>
      </c>
      <c r="M11" s="17">
        <f>IF('Market Sizing'!M12&gt;=Assumptions!$B$65,'Market Sizing'!M7*Assumptions!$B$25*Assumptions!$B$24*1000,0)</f>
        <v>2970</v>
      </c>
      <c r="N11" s="17">
        <f>IF('Market Sizing'!N12&gt;=Assumptions!$B$65,'Market Sizing'!N7*Assumptions!$B$25*Assumptions!$B$24*1000,0)</f>
        <v>2970</v>
      </c>
      <c r="O11" s="17">
        <f>IF('Market Sizing'!O12&gt;=Assumptions!$B$65,'Market Sizing'!O7*Assumptions!$B$25*Assumptions!$B$24*1000,0)</f>
        <v>2970</v>
      </c>
      <c r="P11" s="17">
        <f>IF('Market Sizing'!P12&gt;=Assumptions!$B$65,'Market Sizing'!P7*Assumptions!$B$25*Assumptions!$B$24*1000,0)</f>
        <v>2970</v>
      </c>
      <c r="Q11" s="17">
        <f>IF('Market Sizing'!Q12&gt;=Assumptions!$B$65,'Market Sizing'!Q7*Assumptions!$B$25*Assumptions!$B$24*1000,0)</f>
        <v>2970</v>
      </c>
      <c r="R11" s="17">
        <f>IF('Market Sizing'!R12&gt;=Assumptions!$B$65,'Market Sizing'!R7*Assumptions!$B$25*Assumptions!$B$24*1000,0)</f>
        <v>2970</v>
      </c>
      <c r="S11" s="17">
        <f>IF('Market Sizing'!S12&gt;=Assumptions!$B$65,'Market Sizing'!S7*Assumptions!$B$25*Assumptions!$B$24*1000,0)</f>
        <v>2970</v>
      </c>
      <c r="T11" s="17">
        <f>IF('Market Sizing'!T12&gt;=Assumptions!$B$65,'Market Sizing'!T7*Assumptions!$B$25*Assumptions!$B$24*1000,0)</f>
        <v>2970</v>
      </c>
      <c r="U11" s="17">
        <f>IF('Market Sizing'!U12&gt;=Assumptions!$B$65,'Market Sizing'!U7*Assumptions!$B$25*Assumptions!$B$24*1000,0)</f>
        <v>3207.6000000000008</v>
      </c>
      <c r="V11" s="17">
        <f>IF('Market Sizing'!V12&gt;=Assumptions!$B$65,'Market Sizing'!V7*Assumptions!$B$25*Assumptions!$B$24*1000,0)</f>
        <v>3207.6000000000008</v>
      </c>
      <c r="W11" s="17">
        <f>IF('Market Sizing'!W12&gt;=Assumptions!$B$65,'Market Sizing'!W7*Assumptions!$B$25*Assumptions!$B$24*1000,0)</f>
        <v>3207.6000000000008</v>
      </c>
      <c r="X11" s="17">
        <f>IF('Market Sizing'!X12&gt;=Assumptions!$B$65,'Market Sizing'!X7*Assumptions!$B$25*Assumptions!$B$24*1000,0)</f>
        <v>3207.6000000000008</v>
      </c>
      <c r="Y11" s="17">
        <f>IF('Market Sizing'!Y12&gt;=Assumptions!$B$65,'Market Sizing'!Y7*Assumptions!$B$25*Assumptions!$B$24*1000,0)</f>
        <v>3207.6000000000008</v>
      </c>
      <c r="Z11" s="17">
        <f>IF('Market Sizing'!Z12&gt;=Assumptions!$B$65,'Market Sizing'!Z7*Assumptions!$B$25*Assumptions!$B$24*1000,0)</f>
        <v>3207.6000000000008</v>
      </c>
      <c r="AA11" s="17">
        <f>IF('Market Sizing'!AA12&gt;=Assumptions!$B$65,'Market Sizing'!AA7*Assumptions!$B$25*Assumptions!$B$24*1000,0)</f>
        <v>3207.6000000000008</v>
      </c>
      <c r="AB11" s="17">
        <f>IF('Market Sizing'!AB12&gt;=Assumptions!$B$65,'Market Sizing'!AB7*Assumptions!$B$25*Assumptions!$B$24*1000,0)</f>
        <v>3207.6000000000008</v>
      </c>
      <c r="AC11" s="17">
        <f>IF('Market Sizing'!AC12&gt;=Assumptions!$B$65,'Market Sizing'!AC7*Assumptions!$B$25*Assumptions!$B$24*1000,0)</f>
        <v>3207.6000000000008</v>
      </c>
      <c r="AD11" s="17">
        <f>IF('Market Sizing'!AD12&gt;=Assumptions!$B$65,'Market Sizing'!AD7*Assumptions!$B$25*Assumptions!$B$24*1000,0)</f>
        <v>3207.6000000000008</v>
      </c>
      <c r="AE11" s="17">
        <f>IF('Market Sizing'!AE12&gt;=Assumptions!$B$65,'Market Sizing'!AE7*Assumptions!$B$25*Assumptions!$B$24*1000,0)</f>
        <v>3207.6000000000008</v>
      </c>
      <c r="AF11" s="17">
        <f>IF('Market Sizing'!AF12&gt;=Assumptions!$B$65,'Market Sizing'!AF7*Assumptions!$B$25*Assumptions!$B$24*1000,0)</f>
        <v>3207.6000000000008</v>
      </c>
      <c r="AG11" s="17">
        <f>IF('Market Sizing'!AG12&gt;=Assumptions!$B$65,'Market Sizing'!AG7*Assumptions!$B$25*Assumptions!$B$24*1000,0)</f>
        <v>10392.624000000003</v>
      </c>
      <c r="AH11" s="17">
        <f>IF('Market Sizing'!AH12&gt;=Assumptions!$B$65,'Market Sizing'!AH7*Assumptions!$B$25*Assumptions!$B$24*1000,0)</f>
        <v>10392.624000000003</v>
      </c>
      <c r="AI11" s="17">
        <f>IF('Market Sizing'!AI12&gt;=Assumptions!$B$65,'Market Sizing'!AI7*Assumptions!$B$25*Assumptions!$B$24*1000,0)</f>
        <v>10392.624000000003</v>
      </c>
      <c r="AJ11" s="17">
        <f>IF('Market Sizing'!AJ12&gt;=Assumptions!$B$65,'Market Sizing'!AJ7*Assumptions!$B$25*Assumptions!$B$24*1000,0)</f>
        <v>10392.624000000003</v>
      </c>
      <c r="AK11" s="17">
        <f>IF('Market Sizing'!AK12&gt;=Assumptions!$B$65,'Market Sizing'!AK7*Assumptions!$B$25*Assumptions!$B$24*1000,0)</f>
        <v>11224.033920000003</v>
      </c>
      <c r="AL11" s="17">
        <f>IF('Market Sizing'!AL12&gt;=Assumptions!$B$65,'Market Sizing'!AL7*Assumptions!$B$25*Assumptions!$B$24*1000,0)</f>
        <v>11224.033920000003</v>
      </c>
      <c r="AM11" s="17">
        <f>IF('Market Sizing'!AM12&gt;=Assumptions!$B$65,'Market Sizing'!AM7*Assumptions!$B$25*Assumptions!$B$24*1000,0)</f>
        <v>11224.033920000003</v>
      </c>
      <c r="AN11" s="17">
        <f>IF('Market Sizing'!AN12&gt;=Assumptions!$B$65,'Market Sizing'!AN7*Assumptions!$B$25*Assumptions!$B$24*1000,0)</f>
        <v>11224.033920000003</v>
      </c>
      <c r="AO11" s="17">
        <f>IF('Market Sizing'!AO12&gt;=Assumptions!$B$65,'Market Sizing'!AO7*Assumptions!$B$25*Assumptions!$B$24*1000,0)</f>
        <v>12121.956633600004</v>
      </c>
      <c r="AP11" s="17">
        <f>IF('Market Sizing'!AP12&gt;=Assumptions!$B$65,'Market Sizing'!AP7*Assumptions!$B$25*Assumptions!$B$24*1000,0)</f>
        <v>12121.956633600004</v>
      </c>
      <c r="AQ11" s="17">
        <f>IF('Market Sizing'!AQ12&gt;=Assumptions!$B$65,'Market Sizing'!AQ7*Assumptions!$B$25*Assumptions!$B$24*1000,0)</f>
        <v>12121.956633600004</v>
      </c>
      <c r="AR11" s="17">
        <f>IF('Market Sizing'!AR12&gt;=Assumptions!$B$65,'Market Sizing'!AR7*Assumptions!$B$25*Assumptions!$B$24*1000,0)</f>
        <v>12121.956633600004</v>
      </c>
    </row>
    <row r="12" spans="1:46" x14ac:dyDescent="0.3">
      <c r="A12" s="4" t="s">
        <v>205</v>
      </c>
      <c r="B12" s="6" t="s">
        <v>6</v>
      </c>
      <c r="C12" s="17">
        <f>IF('Market Sizing'!C12&gt;=Assumptions!$B$65,'Market Sizing'!C14*Assumptions!$B$26,0)</f>
        <v>0</v>
      </c>
      <c r="D12" s="17">
        <f>IF('Market Sizing'!D12&gt;=Assumptions!$B$65,'Market Sizing'!D14*Assumptions!$B$26,0)</f>
        <v>0</v>
      </c>
      <c r="E12" s="17">
        <f>IF('Market Sizing'!E12&gt;=Assumptions!$B$65,'Market Sizing'!E14*Assumptions!$B$26,0)</f>
        <v>0</v>
      </c>
      <c r="F12" s="17">
        <f>IF('Market Sizing'!F12&gt;=Assumptions!$B$65,'Market Sizing'!F14*Assumptions!$B$26,0)</f>
        <v>0</v>
      </c>
      <c r="G12" s="17">
        <f>IF('Market Sizing'!G12&gt;=Assumptions!$B$65,'Market Sizing'!G14*Assumptions!$B$26,0)</f>
        <v>0</v>
      </c>
      <c r="H12" s="17">
        <f>IF('Market Sizing'!H12&gt;=Assumptions!$B$65,'Market Sizing'!H14*Assumptions!$B$26,0)</f>
        <v>0</v>
      </c>
      <c r="I12" s="17">
        <f>IF('Market Sizing'!I12&gt;=Assumptions!$B$65,'Market Sizing'!I14*Assumptions!$B$26,0)</f>
        <v>0</v>
      </c>
      <c r="J12" s="17">
        <f>IF('Market Sizing'!J12&gt;=Assumptions!$B$65,'Market Sizing'!J14*Assumptions!$B$26,0)</f>
        <v>0</v>
      </c>
      <c r="K12" s="17">
        <f>IF('Market Sizing'!K12&gt;=Assumptions!$B$65,'Market Sizing'!K14*Assumptions!$B$26,0)</f>
        <v>0</v>
      </c>
      <c r="L12" s="17">
        <f>IF('Market Sizing'!L12&gt;=Assumptions!$B$65,'Market Sizing'!L14*Assumptions!$B$26,0)</f>
        <v>161.64523179341938</v>
      </c>
      <c r="M12" s="17">
        <f>IF('Market Sizing'!M12&gt;=Assumptions!$B$65,'Market Sizing'!M14*Assumptions!$B$26,0)</f>
        <v>176.74139647682853</v>
      </c>
      <c r="N12" s="17">
        <f>IF('Market Sizing'!N12&gt;=Assumptions!$B$65,'Market Sizing'!N14*Assumptions!$B$26,0)</f>
        <v>192.73062974807848</v>
      </c>
      <c r="O12" s="17">
        <f>IF('Market Sizing'!O12&gt;=Assumptions!$B$65,'Market Sizing'!O14*Assumptions!$B$26,0)</f>
        <v>210.27659735073172</v>
      </c>
      <c r="P12" s="17">
        <f>IF('Market Sizing'!P12&gt;=Assumptions!$B$65,'Market Sizing'!P14*Assumptions!$B$26,0)</f>
        <v>228.61954500760712</v>
      </c>
      <c r="Q12" s="17">
        <f>IF('Market Sizing'!Q12&gt;=Assumptions!$B$65,'Market Sizing'!Q14*Assumptions!$B$26,0)</f>
        <v>249.05629171160859</v>
      </c>
      <c r="R12" s="17">
        <f>IF('Market Sizing'!R12&gt;=Assumptions!$B$65,'Market Sizing'!R14*Assumptions!$B$26,0)</f>
        <v>270.1382857095345</v>
      </c>
      <c r="S12" s="17">
        <f>IF('Market Sizing'!S12&gt;=Assumptions!$B$65,'Market Sizing'!S14*Assumptions!$B$26,0)</f>
        <v>293.12896773201686</v>
      </c>
      <c r="T12" s="17">
        <f>IF('Market Sizing'!T12&gt;=Assumptions!$B$65,'Market Sizing'!T14*Assumptions!$B$26,0)</f>
        <v>317.34851599892596</v>
      </c>
      <c r="U12" s="17">
        <f>IF('Market Sizing'!U12&gt;=Assumptions!$B$65,'Market Sizing'!U14*Assumptions!$B$26,0)</f>
        <v>342.71282475147353</v>
      </c>
      <c r="V12" s="17">
        <f>IF('Market Sizing'!V12&gt;=Assumptions!$B$65,'Market Sizing'!V14*Assumptions!$B$26,0)</f>
        <v>369.99743093388491</v>
      </c>
      <c r="W12" s="17">
        <f>IF('Market Sizing'!W12&gt;=Assumptions!$B$65,'Market Sizing'!W14*Assumptions!$B$26,0)</f>
        <v>398.53011011727222</v>
      </c>
      <c r="X12" s="17">
        <f>IF('Market Sizing'!X12&gt;=Assumptions!$B$65,'Market Sizing'!X14*Assumptions!$B$26,0)</f>
        <v>428.07574606249415</v>
      </c>
      <c r="Y12" s="17">
        <f>IF('Market Sizing'!Y12&gt;=Assumptions!$B$65,'Market Sizing'!Y14*Assumptions!$B$26,0)</f>
        <v>458.90994224464345</v>
      </c>
      <c r="Z12" s="17">
        <f>IF('Market Sizing'!Z12&gt;=Assumptions!$B$65,'Market Sizing'!Z14*Assumptions!$B$26,0)</f>
        <v>491.85137841997613</v>
      </c>
      <c r="AA12" s="17">
        <f>IF('Market Sizing'!AA12&gt;=Assumptions!$B$65,'Market Sizing'!AA14*Assumptions!$B$26,0)</f>
        <v>525.01554066130666</v>
      </c>
      <c r="AB12" s="17">
        <f>IF('Market Sizing'!AB12&gt;=Assumptions!$B$65,'Market Sizing'!AB14*Assumptions!$B$26,0)</f>
        <v>559.17000787828954</v>
      </c>
      <c r="AC12" s="17">
        <f>IF('Market Sizing'!AC12&gt;=Assumptions!$B$65,'Market Sizing'!AC14*Assumptions!$B$26,0)</f>
        <v>594.61267196761821</v>
      </c>
      <c r="AD12" s="17">
        <f>IF('Market Sizing'!AD12&gt;=Assumptions!$B$65,'Market Sizing'!AD14*Assumptions!$B$26,0)</f>
        <v>630.33622478251152</v>
      </c>
      <c r="AE12" s="17">
        <f>IF('Market Sizing'!AE12&gt;=Assumptions!$B$65,'Market Sizing'!AE14*Assumptions!$B$26,0)</f>
        <v>666.60049704995208</v>
      </c>
      <c r="AF12" s="17">
        <f>IF('Market Sizing'!AF12&gt;=Assumptions!$B$65,'Market Sizing'!AF14*Assumptions!$B$26,0)</f>
        <v>703.68084589869875</v>
      </c>
      <c r="AG12" s="17">
        <f>IF('Market Sizing'!AG12&gt;=Assumptions!$B$65,'Market Sizing'!AG14*Assumptions!$B$26,0)</f>
        <v>2328.434304046873</v>
      </c>
      <c r="AH12" s="17">
        <f>IF('Market Sizing'!AH12&gt;=Assumptions!$B$65,'Market Sizing'!AH14*Assumptions!$B$26,0)</f>
        <v>2644.3765527714991</v>
      </c>
      <c r="AI12" s="17">
        <f>IF('Market Sizing'!AI12&gt;=Assumptions!$B$65,'Market Sizing'!AI14*Assumptions!$B$26,0)</f>
        <v>2942.3041462892679</v>
      </c>
      <c r="AJ12" s="17">
        <f>IF('Market Sizing'!AJ12&gt;=Assumptions!$B$65,'Market Sizing'!AJ14*Assumptions!$B$26,0)</f>
        <v>3208.987046319693</v>
      </c>
      <c r="AK12" s="17">
        <f>IF('Market Sizing'!AK12&gt;=Assumptions!$B$65,'Market Sizing'!AK14*Assumptions!$B$26,0)</f>
        <v>3440.0833268957363</v>
      </c>
      <c r="AL12" s="17">
        <f>IF('Market Sizing'!AL12&gt;=Assumptions!$B$65,'Market Sizing'!AL14*Assumptions!$B$26,0)</f>
        <v>3634.0097269053663</v>
      </c>
      <c r="AM12" s="17">
        <f>IF('Market Sizing'!AM12&gt;=Assumptions!$B$65,'Market Sizing'!AM14*Assumptions!$B$26,0)</f>
        <v>3792.5098881566255</v>
      </c>
      <c r="AN12" s="17">
        <f>IF('Market Sizing'!AN12&gt;=Assumptions!$B$65,'Market Sizing'!AN14*Assumptions!$B$26,0)</f>
        <v>3917.9274079540073</v>
      </c>
      <c r="AO12" s="17">
        <f>IF('Market Sizing'!AO12&gt;=Assumptions!$B$65,'Market Sizing'!AO14*Assumptions!$B$26,0)</f>
        <v>4018.0808158731702</v>
      </c>
      <c r="AP12" s="17">
        <f>IF('Market Sizing'!AP12&gt;=Assumptions!$B$65,'Market Sizing'!AP14*Assumptions!$B$26,0)</f>
        <v>4094.9340725282668</v>
      </c>
      <c r="AQ12" s="17">
        <f>IF('Market Sizing'!AQ12&gt;=Assumptions!$B$65,'Market Sizing'!AQ14*Assumptions!$B$26,0)</f>
        <v>4153.0892480979073</v>
      </c>
      <c r="AR12" s="17">
        <f>IF('Market Sizing'!AR12&gt;=Assumptions!$B$65,'Market Sizing'!AR14*Assumptions!$B$26,0)</f>
        <v>4198.0401328928338</v>
      </c>
    </row>
    <row r="13" spans="1:46" x14ac:dyDescent="0.3">
      <c r="A13" s="4" t="s">
        <v>206</v>
      </c>
      <c r="B13" s="6" t="s">
        <v>6</v>
      </c>
      <c r="C13" s="17">
        <f>IF('Market Sizing'!C12&gt;=Assumptions!$B$65,Assumptions!$B$28*1*'Market Sizing'!C12/1000*Assumptions!$B$27/1000,0)</f>
        <v>0</v>
      </c>
      <c r="D13" s="17">
        <f>IF('Market Sizing'!D12&gt;=Assumptions!$B$65,Assumptions!$B$28*1*'Market Sizing'!D12/1000*Assumptions!$B$27/1000,0)</f>
        <v>0</v>
      </c>
      <c r="E13" s="17">
        <f>IF('Market Sizing'!E12&gt;=Assumptions!$B$65,Assumptions!$B$28*1*'Market Sizing'!E12/1000*Assumptions!$B$27/1000,0)</f>
        <v>0</v>
      </c>
      <c r="F13" s="17">
        <f>IF('Market Sizing'!F12&gt;=Assumptions!$B$65,Assumptions!$B$28*1*'Market Sizing'!F12/1000*Assumptions!$B$27/1000,0)</f>
        <v>0</v>
      </c>
      <c r="G13" s="17">
        <f>IF('Market Sizing'!G12&gt;=Assumptions!$B$65,Assumptions!$B$28*1*'Market Sizing'!G12/1000*Assumptions!$B$27/1000,0)</f>
        <v>0</v>
      </c>
      <c r="H13" s="17">
        <f>IF('Market Sizing'!H12&gt;=Assumptions!$B$65,Assumptions!$B$28*1*'Market Sizing'!H12/1000*Assumptions!$B$27/1000,0)</f>
        <v>0</v>
      </c>
      <c r="I13" s="17">
        <f>IF('Market Sizing'!I12&gt;=Assumptions!$B$65,Assumptions!$B$28*1*'Market Sizing'!I12/1000*Assumptions!$B$27/1000,0)</f>
        <v>0</v>
      </c>
      <c r="J13" s="17">
        <f>IF('Market Sizing'!J12&gt;=Assumptions!$B$65,Assumptions!$B$28*1*'Market Sizing'!J12/1000*Assumptions!$B$27/1000,0)</f>
        <v>0</v>
      </c>
      <c r="K13" s="17">
        <f>IF('Market Sizing'!K12&gt;=Assumptions!$B$65,Assumptions!$B$28*1*'Market Sizing'!K12/1000*Assumptions!$B$27/1000,0)</f>
        <v>0</v>
      </c>
      <c r="L13" s="17">
        <f>IF('Market Sizing'!L12&gt;=Assumptions!$B$65,Assumptions!$B$28*1*'Market Sizing'!L12/1000*Assumptions!$B$27/1000,0)</f>
        <v>24.246784769012908</v>
      </c>
      <c r="M13" s="17">
        <f>IF('Market Sizing'!M12&gt;=Assumptions!$B$65,Assumptions!$B$28*1*'Market Sizing'!M12/1000*Assumptions!$B$27/1000,0)</f>
        <v>26.511209471524278</v>
      </c>
      <c r="N13" s="17">
        <f>IF('Market Sizing'!N12&gt;=Assumptions!$B$65,Assumptions!$B$28*1*'Market Sizing'!N12/1000*Assumptions!$B$27/1000,0)</f>
        <v>28.909594462211768</v>
      </c>
      <c r="O13" s="17">
        <f>IF('Market Sizing'!O12&gt;=Assumptions!$B$65,Assumptions!$B$28*1*'Market Sizing'!O12/1000*Assumptions!$B$27/1000,0)</f>
        <v>31.541489602609758</v>
      </c>
      <c r="P13" s="17">
        <f>IF('Market Sizing'!P12&gt;=Assumptions!$B$65,Assumptions!$B$28*1*'Market Sizing'!P12/1000*Assumptions!$B$27/1000,0)</f>
        <v>34.292931751141069</v>
      </c>
      <c r="Q13" s="17">
        <f>IF('Market Sizing'!Q12&gt;=Assumptions!$B$65,Assumptions!$B$28*1*'Market Sizing'!Q12/1000*Assumptions!$B$27/1000,0)</f>
        <v>37.358443756741288</v>
      </c>
      <c r="R13" s="17">
        <f>IF('Market Sizing'!R12&gt;=Assumptions!$B$65,Assumptions!$B$28*1*'Market Sizing'!R12/1000*Assumptions!$B$27/1000,0)</f>
        <v>40.520742856430175</v>
      </c>
      <c r="S13" s="17">
        <f>IF('Market Sizing'!S12&gt;=Assumptions!$B$65,Assumptions!$B$28*1*'Market Sizing'!S12/1000*Assumptions!$B$27/1000,0)</f>
        <v>43.969345159802529</v>
      </c>
      <c r="T13" s="17">
        <f>IF('Market Sizing'!T12&gt;=Assumptions!$B$65,Assumptions!$B$28*1*'Market Sizing'!T12/1000*Assumptions!$B$27/1000,0)</f>
        <v>47.602277399838897</v>
      </c>
      <c r="U13" s="17">
        <f>IF('Market Sizing'!U12&gt;=Assumptions!$B$65,Assumptions!$B$28*1*'Market Sizing'!U12/1000*Assumptions!$B$27/1000,0)</f>
        <v>51.406923712721031</v>
      </c>
      <c r="V13" s="17">
        <f>IF('Market Sizing'!V12&gt;=Assumptions!$B$65,Assumptions!$B$28*1*'Market Sizing'!V12/1000*Assumptions!$B$27/1000,0)</f>
        <v>55.499614640082733</v>
      </c>
      <c r="W13" s="17">
        <f>IF('Market Sizing'!W12&gt;=Assumptions!$B$65,Assumptions!$B$28*1*'Market Sizing'!W12/1000*Assumptions!$B$27/1000,0)</f>
        <v>59.779516517590842</v>
      </c>
      <c r="X13" s="17">
        <f>IF('Market Sizing'!X12&gt;=Assumptions!$B$65,Assumptions!$B$28*1*'Market Sizing'!X12/1000*Assumptions!$B$27/1000,0)</f>
        <v>64.211361909374119</v>
      </c>
      <c r="Y13" s="17">
        <f>IF('Market Sizing'!Y12&gt;=Assumptions!$B$65,Assumptions!$B$28*1*'Market Sizing'!Y12/1000*Assumptions!$B$27/1000,0)</f>
        <v>68.836491336696511</v>
      </c>
      <c r="Z13" s="17">
        <f>IF('Market Sizing'!Z12&gt;=Assumptions!$B$65,Assumptions!$B$28*1*'Market Sizing'!Z12/1000*Assumptions!$B$27/1000,0)</f>
        <v>73.777706762996431</v>
      </c>
      <c r="AA13" s="17">
        <f>IF('Market Sizing'!AA12&gt;=Assumptions!$B$65,Assumptions!$B$28*1*'Market Sizing'!AA12/1000*Assumptions!$B$27/1000,0)</f>
        <v>78.752331099196013</v>
      </c>
      <c r="AB13" s="17">
        <f>IF('Market Sizing'!AB12&gt;=Assumptions!$B$65,Assumptions!$B$28*1*'Market Sizing'!AB12/1000*Assumptions!$B$27/1000,0)</f>
        <v>83.875501181743431</v>
      </c>
      <c r="AC13" s="17">
        <f>IF('Market Sizing'!AC12&gt;=Assumptions!$B$65,Assumptions!$B$28*1*'Market Sizing'!AC12/1000*Assumptions!$B$27/1000,0)</f>
        <v>89.191900795142729</v>
      </c>
      <c r="AD13" s="17">
        <f>IF('Market Sizing'!AD12&gt;=Assumptions!$B$65,Assumptions!$B$28*1*'Market Sizing'!AD12/1000*Assumptions!$B$27/1000,0)</f>
        <v>94.550433717376734</v>
      </c>
      <c r="AE13" s="17">
        <f>IF('Market Sizing'!AE12&gt;=Assumptions!$B$65,Assumptions!$B$28*1*'Market Sizing'!AE12/1000*Assumptions!$B$27/1000,0)</f>
        <v>99.990074557492818</v>
      </c>
      <c r="AF13" s="17">
        <f>IF('Market Sizing'!AF12&gt;=Assumptions!$B$65,Assumptions!$B$28*1*'Market Sizing'!AF12/1000*Assumptions!$B$27/1000,0)</f>
        <v>105.55212688480481</v>
      </c>
      <c r="AG13" s="17">
        <f>IF('Market Sizing'!AG12&gt;=Assumptions!$B$65,Assumptions!$B$28*3*'Market Sizing'!AG12/1000*Assumptions!$B$27/1000,0)</f>
        <v>349.26514560703095</v>
      </c>
      <c r="AH13" s="17">
        <f>IF('Market Sizing'!AH12&gt;=Assumptions!$B$65,Assumptions!$B$28*3*'Market Sizing'!AH12/1000*Assumptions!$B$27/1000,0)</f>
        <v>396.65648291572484</v>
      </c>
      <c r="AI13" s="17">
        <f>IF('Market Sizing'!AI12&gt;=Assumptions!$B$65,Assumptions!$B$28*3*'Market Sizing'!AI12/1000*Assumptions!$B$27/1000,0)</f>
        <v>441.3456219433902</v>
      </c>
      <c r="AJ13" s="17">
        <f>IF('Market Sizing'!AJ12&gt;=Assumptions!$B$65,Assumptions!$B$28*3*'Market Sizing'!AJ12/1000*Assumptions!$B$27/1000,0)</f>
        <v>481.34805694795398</v>
      </c>
      <c r="AK13" s="17">
        <f>IF('Market Sizing'!AK12&gt;=Assumptions!$B$65,Assumptions!$B$28*3*'Market Sizing'!AK12/1000*Assumptions!$B$27/1000,0)</f>
        <v>516.01249903436053</v>
      </c>
      <c r="AL13" s="17">
        <f>IF('Market Sizing'!AL12&gt;=Assumptions!$B$65,Assumptions!$B$28*3*'Market Sizing'!AL12/1000*Assumptions!$B$27/1000,0)</f>
        <v>545.10145903580496</v>
      </c>
      <c r="AM13" s="17">
        <f>IF('Market Sizing'!AM12&gt;=Assumptions!$B$65,Assumptions!$B$28*3*'Market Sizing'!AM12/1000*Assumptions!$B$27/1000,0)</f>
        <v>568.87648322349389</v>
      </c>
      <c r="AN13" s="17">
        <f>IF('Market Sizing'!AN12&gt;=Assumptions!$B$65,Assumptions!$B$28*3*'Market Sizing'!AN12/1000*Assumptions!$B$27/1000,0)</f>
        <v>587.6891111931011</v>
      </c>
      <c r="AO13" s="17">
        <f>IF('Market Sizing'!AO12&gt;=Assumptions!$B$65,Assumptions!$B$28*3*'Market Sizing'!AO12/1000*Assumptions!$B$27/1000,0)</f>
        <v>602.71212238097553</v>
      </c>
      <c r="AP13" s="17">
        <f>IF('Market Sizing'!AP12&gt;=Assumptions!$B$65,Assumptions!$B$28*3*'Market Sizing'!AP12/1000*Assumptions!$B$27/1000,0)</f>
        <v>614.24011087923998</v>
      </c>
      <c r="AQ13" s="17">
        <f>IF('Market Sizing'!AQ12&gt;=Assumptions!$B$65,Assumptions!$B$28*3*'Market Sizing'!AQ12/1000*Assumptions!$B$27/1000,0)</f>
        <v>622.96338721468612</v>
      </c>
      <c r="AR13" s="17">
        <f>IF('Market Sizing'!AR12&gt;=Assumptions!$B$65,Assumptions!$B$28*3*'Market Sizing'!AR12/1000*Assumptions!$B$27/1000,0)</f>
        <v>629.70601993392506</v>
      </c>
    </row>
    <row r="14" spans="1:46" x14ac:dyDescent="0.3">
      <c r="A14" s="4" t="s">
        <v>207</v>
      </c>
      <c r="B14" s="6" t="s">
        <v>6</v>
      </c>
      <c r="C14" s="19">
        <f t="shared" ref="C14:AR14" si="1">SUM(C11:C13)</f>
        <v>0</v>
      </c>
      <c r="D14" s="19">
        <f t="shared" si="1"/>
        <v>0</v>
      </c>
      <c r="E14" s="19">
        <f t="shared" si="1"/>
        <v>0</v>
      </c>
      <c r="F14" s="19">
        <f t="shared" si="1"/>
        <v>0</v>
      </c>
      <c r="G14" s="19">
        <f t="shared" si="1"/>
        <v>0</v>
      </c>
      <c r="H14" s="19">
        <f t="shared" si="1"/>
        <v>0</v>
      </c>
      <c r="I14" s="19">
        <f t="shared" si="1"/>
        <v>0</v>
      </c>
      <c r="J14" s="19">
        <f t="shared" si="1"/>
        <v>0</v>
      </c>
      <c r="K14" s="19">
        <f t="shared" si="1"/>
        <v>0</v>
      </c>
      <c r="L14" s="19">
        <f t="shared" si="1"/>
        <v>3155.8920165624322</v>
      </c>
      <c r="M14" s="19">
        <f t="shared" si="1"/>
        <v>3173.2526059483525</v>
      </c>
      <c r="N14" s="19">
        <f t="shared" si="1"/>
        <v>3191.6402242102904</v>
      </c>
      <c r="O14" s="19">
        <f t="shared" si="1"/>
        <v>3211.8180869533412</v>
      </c>
      <c r="P14" s="19">
        <f t="shared" si="1"/>
        <v>3232.9124767587482</v>
      </c>
      <c r="Q14" s="19">
        <f t="shared" si="1"/>
        <v>3256.41473546835</v>
      </c>
      <c r="R14" s="19">
        <f t="shared" si="1"/>
        <v>3280.6590285659649</v>
      </c>
      <c r="S14" s="19">
        <f t="shared" si="1"/>
        <v>3307.0983128918197</v>
      </c>
      <c r="T14" s="19">
        <f t="shared" si="1"/>
        <v>3334.9507933987647</v>
      </c>
      <c r="U14" s="19">
        <f t="shared" si="1"/>
        <v>3601.7197484641952</v>
      </c>
      <c r="V14" s="19">
        <f t="shared" si="1"/>
        <v>3633.0970455739684</v>
      </c>
      <c r="W14" s="19">
        <f t="shared" si="1"/>
        <v>3665.9096266348638</v>
      </c>
      <c r="X14" s="19">
        <f t="shared" si="1"/>
        <v>3699.8871079718692</v>
      </c>
      <c r="Y14" s="19">
        <f t="shared" si="1"/>
        <v>3735.3464335813405</v>
      </c>
      <c r="Z14" s="19">
        <f t="shared" si="1"/>
        <v>3773.2290851829734</v>
      </c>
      <c r="AA14" s="19">
        <f t="shared" si="1"/>
        <v>3811.3678717605035</v>
      </c>
      <c r="AB14" s="19">
        <f t="shared" si="1"/>
        <v>3850.6455090600339</v>
      </c>
      <c r="AC14" s="19">
        <f t="shared" si="1"/>
        <v>3891.4045727627617</v>
      </c>
      <c r="AD14" s="19">
        <f t="shared" si="1"/>
        <v>3932.486658499889</v>
      </c>
      <c r="AE14" s="19">
        <f t="shared" si="1"/>
        <v>3974.1905716074457</v>
      </c>
      <c r="AF14" s="19">
        <f t="shared" si="1"/>
        <v>4016.8329727835044</v>
      </c>
      <c r="AG14" s="19">
        <f t="shared" si="1"/>
        <v>13070.323449653908</v>
      </c>
      <c r="AH14" s="19">
        <f t="shared" si="1"/>
        <v>13433.657035687227</v>
      </c>
      <c r="AI14" s="19">
        <f t="shared" si="1"/>
        <v>13776.273768232662</v>
      </c>
      <c r="AJ14" s="19">
        <f t="shared" si="1"/>
        <v>14082.959103267651</v>
      </c>
      <c r="AK14" s="19">
        <f t="shared" si="1"/>
        <v>15180.1297459301</v>
      </c>
      <c r="AL14" s="19">
        <f t="shared" si="1"/>
        <v>15403.145105941174</v>
      </c>
      <c r="AM14" s="19">
        <f t="shared" si="1"/>
        <v>15585.420291380122</v>
      </c>
      <c r="AN14" s="19">
        <f t="shared" si="1"/>
        <v>15729.650439147112</v>
      </c>
      <c r="AO14" s="19">
        <f t="shared" si="1"/>
        <v>16742.74957185415</v>
      </c>
      <c r="AP14" s="19">
        <f t="shared" si="1"/>
        <v>16831.13081700751</v>
      </c>
      <c r="AQ14" s="19">
        <f t="shared" si="1"/>
        <v>16898.0092689126</v>
      </c>
      <c r="AR14" s="19">
        <f t="shared" si="1"/>
        <v>16949.702786426762</v>
      </c>
    </row>
    <row r="16" spans="1:46" x14ac:dyDescent="0.3">
      <c r="A16" s="4" t="s">
        <v>208</v>
      </c>
      <c r="B16" s="11" t="s">
        <v>6</v>
      </c>
      <c r="C16" s="19">
        <f t="shared" ref="C16:AR16" si="2">C8+C14</f>
        <v>527.61283910043039</v>
      </c>
      <c r="D16" s="19">
        <f t="shared" si="2"/>
        <v>572.57178260168473</v>
      </c>
      <c r="E16" s="19">
        <f t="shared" si="2"/>
        <v>630.55530240322071</v>
      </c>
      <c r="F16" s="19">
        <f t="shared" si="2"/>
        <v>693.16191946741947</v>
      </c>
      <c r="G16" s="19">
        <f t="shared" si="2"/>
        <v>757.75358124232775</v>
      </c>
      <c r="H16" s="19">
        <f t="shared" si="2"/>
        <v>833.10926720607574</v>
      </c>
      <c r="I16" s="19">
        <f t="shared" si="2"/>
        <v>963.47486639123986</v>
      </c>
      <c r="J16" s="19">
        <f t="shared" si="2"/>
        <v>1056.3033576519124</v>
      </c>
      <c r="K16" s="19">
        <f t="shared" si="2"/>
        <v>1154.3623825714481</v>
      </c>
      <c r="L16" s="19">
        <f t="shared" si="2"/>
        <v>4419.4189117476599</v>
      </c>
      <c r="M16" s="19">
        <f t="shared" si="2"/>
        <v>4554.7811884088951</v>
      </c>
      <c r="N16" s="19">
        <f t="shared" si="2"/>
        <v>4698.1513134077704</v>
      </c>
      <c r="O16" s="19">
        <f t="shared" si="2"/>
        <v>4855.4801562448938</v>
      </c>
      <c r="P16" s="19">
        <f t="shared" si="2"/>
        <v>5019.9552535682105</v>
      </c>
      <c r="Q16" s="19">
        <f t="shared" si="2"/>
        <v>5203.2047490140903</v>
      </c>
      <c r="R16" s="19">
        <f t="shared" si="2"/>
        <v>5392.2399618621603</v>
      </c>
      <c r="S16" s="19">
        <f t="shared" si="2"/>
        <v>5598.3897439970851</v>
      </c>
      <c r="T16" s="19">
        <f t="shared" si="2"/>
        <v>5815.5583601237031</v>
      </c>
      <c r="U16" s="19">
        <f t="shared" si="2"/>
        <v>6428.6436022308499</v>
      </c>
      <c r="V16" s="19">
        <f t="shared" si="2"/>
        <v>6685.0825208706065</v>
      </c>
      <c r="W16" s="19">
        <f t="shared" si="2"/>
        <v>6953.2516616222038</v>
      </c>
      <c r="X16" s="19">
        <f t="shared" si="2"/>
        <v>7230.9412453260293</v>
      </c>
      <c r="Y16" s="19">
        <f t="shared" si="2"/>
        <v>7520.7415771766555</v>
      </c>
      <c r="Z16" s="19">
        <f t="shared" si="2"/>
        <v>7830.3471553098834</v>
      </c>
      <c r="AA16" s="19">
        <f t="shared" si="2"/>
        <v>8142.0460614954027</v>
      </c>
      <c r="AB16" s="19">
        <f t="shared" si="2"/>
        <v>8463.0525140454192</v>
      </c>
      <c r="AC16" s="19">
        <f t="shared" si="2"/>
        <v>8796.1662995996558</v>
      </c>
      <c r="AD16" s="19">
        <f t="shared" si="2"/>
        <v>9131.9200646559002</v>
      </c>
      <c r="AE16" s="19">
        <f t="shared" si="2"/>
        <v>9472.7558716068179</v>
      </c>
      <c r="AF16" s="19">
        <f t="shared" si="2"/>
        <v>9821.2617103199045</v>
      </c>
      <c r="AG16" s="19">
        <f t="shared" si="2"/>
        <v>33363.156187864661</v>
      </c>
      <c r="AH16" s="19">
        <f t="shared" si="2"/>
        <v>36479.998085109473</v>
      </c>
      <c r="AI16" s="19">
        <f t="shared" si="2"/>
        <v>39419.121325416796</v>
      </c>
      <c r="AJ16" s="19">
        <f t="shared" si="2"/>
        <v>42050.008582340946</v>
      </c>
      <c r="AK16" s="19">
        <f t="shared" si="2"/>
        <v>46894.641391203404</v>
      </c>
      <c r="AL16" s="19">
        <f t="shared" si="2"/>
        <v>48905.485849232646</v>
      </c>
      <c r="AM16" s="19">
        <f t="shared" si="2"/>
        <v>50548.991688731585</v>
      </c>
      <c r="AN16" s="19">
        <f t="shared" si="2"/>
        <v>51849.459931383521</v>
      </c>
      <c r="AO16" s="19">
        <f t="shared" si="2"/>
        <v>55972.506331617144</v>
      </c>
      <c r="AP16" s="19">
        <f t="shared" si="2"/>
        <v>56811.22951933791</v>
      </c>
      <c r="AQ16" s="19">
        <f t="shared" si="2"/>
        <v>57445.894806914832</v>
      </c>
      <c r="AR16" s="19">
        <f t="shared" si="2"/>
        <v>57936.457614881001</v>
      </c>
    </row>
    <row r="18" spans="1:44" x14ac:dyDescent="0.3">
      <c r="A18" s="1" t="s">
        <v>209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x14ac:dyDescent="0.3">
      <c r="A19" s="4" t="s">
        <v>210</v>
      </c>
      <c r="B19" s="6" t="s">
        <v>6</v>
      </c>
      <c r="C19" s="17">
        <f>C11*Assumptions!$B$44</f>
        <v>0</v>
      </c>
      <c r="D19" s="17">
        <f>D11*Assumptions!$B$44</f>
        <v>0</v>
      </c>
      <c r="E19" s="17">
        <f>E11*Assumptions!$B$44</f>
        <v>0</v>
      </c>
      <c r="F19" s="17">
        <f>F11*Assumptions!$B$44</f>
        <v>0</v>
      </c>
      <c r="G19" s="17">
        <f>G11*Assumptions!$B$44</f>
        <v>0</v>
      </c>
      <c r="H19" s="17">
        <f>H11*Assumptions!$B$44</f>
        <v>0</v>
      </c>
      <c r="I19" s="17">
        <f>I11*Assumptions!$B$44</f>
        <v>0</v>
      </c>
      <c r="J19" s="17">
        <f>J11*Assumptions!$B$44</f>
        <v>0</v>
      </c>
      <c r="K19" s="17">
        <f>K11*Assumptions!$B$44</f>
        <v>0</v>
      </c>
      <c r="L19" s="17">
        <f>L11*Assumptions!$B$44</f>
        <v>74.25</v>
      </c>
      <c r="M19" s="17">
        <f>M11*Assumptions!$B$44</f>
        <v>74.25</v>
      </c>
      <c r="N19" s="17">
        <f>N11*Assumptions!$B$44</f>
        <v>74.25</v>
      </c>
      <c r="O19" s="17">
        <f>O11*Assumptions!$B$44</f>
        <v>74.25</v>
      </c>
      <c r="P19" s="17">
        <f>P11*Assumptions!$B$44</f>
        <v>74.25</v>
      </c>
      <c r="Q19" s="17">
        <f>Q11*Assumptions!$B$44</f>
        <v>74.25</v>
      </c>
      <c r="R19" s="17">
        <f>R11*Assumptions!$B$44</f>
        <v>74.25</v>
      </c>
      <c r="S19" s="17">
        <f>S11*Assumptions!$B$44</f>
        <v>74.25</v>
      </c>
      <c r="T19" s="17">
        <f>T11*Assumptions!$B$44</f>
        <v>74.25</v>
      </c>
      <c r="U19" s="17">
        <f>U11*Assumptions!$B$44</f>
        <v>80.190000000000026</v>
      </c>
      <c r="V19" s="17">
        <f>V11*Assumptions!$B$44</f>
        <v>80.190000000000026</v>
      </c>
      <c r="W19" s="17">
        <f>W11*Assumptions!$B$44</f>
        <v>80.190000000000026</v>
      </c>
      <c r="X19" s="17">
        <f>X11*Assumptions!$B$44</f>
        <v>80.190000000000026</v>
      </c>
      <c r="Y19" s="17">
        <f>Y11*Assumptions!$B$44</f>
        <v>80.190000000000026</v>
      </c>
      <c r="Z19" s="17">
        <f>Z11*Assumptions!$B$44</f>
        <v>80.190000000000026</v>
      </c>
      <c r="AA19" s="17">
        <f>AA11*Assumptions!$B$44</f>
        <v>80.190000000000026</v>
      </c>
      <c r="AB19" s="17">
        <f>AB11*Assumptions!$B$44</f>
        <v>80.190000000000026</v>
      </c>
      <c r="AC19" s="17">
        <f>AC11*Assumptions!$B$44</f>
        <v>80.190000000000026</v>
      </c>
      <c r="AD19" s="17">
        <f>AD11*Assumptions!$B$44</f>
        <v>80.190000000000026</v>
      </c>
      <c r="AE19" s="17">
        <f>AE11*Assumptions!$B$44</f>
        <v>80.190000000000026</v>
      </c>
      <c r="AF19" s="17">
        <f>AF11*Assumptions!$B$44</f>
        <v>80.190000000000026</v>
      </c>
      <c r="AG19" s="17">
        <f>AG11*Assumptions!$B$44</f>
        <v>259.81560000000007</v>
      </c>
      <c r="AH19" s="17">
        <f>AH11*Assumptions!$B$44</f>
        <v>259.81560000000007</v>
      </c>
      <c r="AI19" s="17">
        <f>AI11*Assumptions!$B$44</f>
        <v>259.81560000000007</v>
      </c>
      <c r="AJ19" s="17">
        <f>AJ11*Assumptions!$B$44</f>
        <v>259.81560000000007</v>
      </c>
      <c r="AK19" s="17">
        <f>AK11*Assumptions!$B$44</f>
        <v>280.6008480000001</v>
      </c>
      <c r="AL19" s="17">
        <f>AL11*Assumptions!$B$44</f>
        <v>280.6008480000001</v>
      </c>
      <c r="AM19" s="17">
        <f>AM11*Assumptions!$B$44</f>
        <v>280.6008480000001</v>
      </c>
      <c r="AN19" s="17">
        <f>AN11*Assumptions!$B$44</f>
        <v>280.6008480000001</v>
      </c>
      <c r="AO19" s="17">
        <f>AO11*Assumptions!$B$44</f>
        <v>303.04891584000012</v>
      </c>
      <c r="AP19" s="17">
        <f>AP11*Assumptions!$B$44</f>
        <v>303.04891584000012</v>
      </c>
      <c r="AQ19" s="17">
        <f>AQ11*Assumptions!$B$44</f>
        <v>303.04891584000012</v>
      </c>
      <c r="AR19" s="17">
        <f>AR11*Assumptions!$B$44</f>
        <v>303.04891584000012</v>
      </c>
    </row>
    <row r="20" spans="1:44" x14ac:dyDescent="0.3">
      <c r="A20" s="4" t="s">
        <v>211</v>
      </c>
      <c r="B20" s="11" t="s">
        <v>6</v>
      </c>
      <c r="C20" s="19">
        <f t="shared" ref="C20:AR20" si="3">C19</f>
        <v>0</v>
      </c>
      <c r="D20" s="19">
        <f t="shared" si="3"/>
        <v>0</v>
      </c>
      <c r="E20" s="19">
        <f t="shared" si="3"/>
        <v>0</v>
      </c>
      <c r="F20" s="19">
        <f t="shared" si="3"/>
        <v>0</v>
      </c>
      <c r="G20" s="19">
        <f t="shared" si="3"/>
        <v>0</v>
      </c>
      <c r="H20" s="19">
        <f t="shared" si="3"/>
        <v>0</v>
      </c>
      <c r="I20" s="19">
        <f t="shared" si="3"/>
        <v>0</v>
      </c>
      <c r="J20" s="19">
        <f t="shared" si="3"/>
        <v>0</v>
      </c>
      <c r="K20" s="19">
        <f t="shared" si="3"/>
        <v>0</v>
      </c>
      <c r="L20" s="19">
        <f t="shared" si="3"/>
        <v>74.25</v>
      </c>
      <c r="M20" s="19">
        <f t="shared" si="3"/>
        <v>74.25</v>
      </c>
      <c r="N20" s="19">
        <f t="shared" si="3"/>
        <v>74.25</v>
      </c>
      <c r="O20" s="19">
        <f t="shared" si="3"/>
        <v>74.25</v>
      </c>
      <c r="P20" s="19">
        <f t="shared" si="3"/>
        <v>74.25</v>
      </c>
      <c r="Q20" s="19">
        <f t="shared" si="3"/>
        <v>74.25</v>
      </c>
      <c r="R20" s="19">
        <f t="shared" si="3"/>
        <v>74.25</v>
      </c>
      <c r="S20" s="19">
        <f t="shared" si="3"/>
        <v>74.25</v>
      </c>
      <c r="T20" s="19">
        <f t="shared" si="3"/>
        <v>74.25</v>
      </c>
      <c r="U20" s="19">
        <f t="shared" si="3"/>
        <v>80.190000000000026</v>
      </c>
      <c r="V20" s="19">
        <f t="shared" si="3"/>
        <v>80.190000000000026</v>
      </c>
      <c r="W20" s="19">
        <f t="shared" si="3"/>
        <v>80.190000000000026</v>
      </c>
      <c r="X20" s="19">
        <f t="shared" si="3"/>
        <v>80.190000000000026</v>
      </c>
      <c r="Y20" s="19">
        <f t="shared" si="3"/>
        <v>80.190000000000026</v>
      </c>
      <c r="Z20" s="19">
        <f t="shared" si="3"/>
        <v>80.190000000000026</v>
      </c>
      <c r="AA20" s="19">
        <f t="shared" si="3"/>
        <v>80.190000000000026</v>
      </c>
      <c r="AB20" s="19">
        <f t="shared" si="3"/>
        <v>80.190000000000026</v>
      </c>
      <c r="AC20" s="19">
        <f t="shared" si="3"/>
        <v>80.190000000000026</v>
      </c>
      <c r="AD20" s="19">
        <f t="shared" si="3"/>
        <v>80.190000000000026</v>
      </c>
      <c r="AE20" s="19">
        <f t="shared" si="3"/>
        <v>80.190000000000026</v>
      </c>
      <c r="AF20" s="19">
        <f t="shared" si="3"/>
        <v>80.190000000000026</v>
      </c>
      <c r="AG20" s="19">
        <f t="shared" si="3"/>
        <v>259.81560000000007</v>
      </c>
      <c r="AH20" s="19">
        <f t="shared" si="3"/>
        <v>259.81560000000007</v>
      </c>
      <c r="AI20" s="19">
        <f t="shared" si="3"/>
        <v>259.81560000000007</v>
      </c>
      <c r="AJ20" s="19">
        <f t="shared" si="3"/>
        <v>259.81560000000007</v>
      </c>
      <c r="AK20" s="19">
        <f t="shared" si="3"/>
        <v>280.6008480000001</v>
      </c>
      <c r="AL20" s="19">
        <f t="shared" si="3"/>
        <v>280.6008480000001</v>
      </c>
      <c r="AM20" s="19">
        <f t="shared" si="3"/>
        <v>280.6008480000001</v>
      </c>
      <c r="AN20" s="19">
        <f t="shared" si="3"/>
        <v>280.6008480000001</v>
      </c>
      <c r="AO20" s="19">
        <f t="shared" si="3"/>
        <v>303.04891584000012</v>
      </c>
      <c r="AP20" s="19">
        <f t="shared" si="3"/>
        <v>303.04891584000012</v>
      </c>
      <c r="AQ20" s="19">
        <f t="shared" si="3"/>
        <v>303.04891584000012</v>
      </c>
      <c r="AR20" s="19">
        <f t="shared" si="3"/>
        <v>303.04891584000012</v>
      </c>
    </row>
    <row r="22" spans="1:44" x14ac:dyDescent="0.3">
      <c r="A22" s="4" t="s">
        <v>212</v>
      </c>
      <c r="B22" s="11" t="s">
        <v>6</v>
      </c>
      <c r="C22" s="19">
        <f t="shared" ref="C22:AR22" si="4">C16-C20</f>
        <v>527.61283910043039</v>
      </c>
      <c r="D22" s="19">
        <f t="shared" si="4"/>
        <v>572.57178260168473</v>
      </c>
      <c r="E22" s="19">
        <f t="shared" si="4"/>
        <v>630.55530240322071</v>
      </c>
      <c r="F22" s="19">
        <f t="shared" si="4"/>
        <v>693.16191946741947</v>
      </c>
      <c r="G22" s="19">
        <f t="shared" si="4"/>
        <v>757.75358124232775</v>
      </c>
      <c r="H22" s="19">
        <f t="shared" si="4"/>
        <v>833.10926720607574</v>
      </c>
      <c r="I22" s="19">
        <f t="shared" si="4"/>
        <v>963.47486639123986</v>
      </c>
      <c r="J22" s="19">
        <f t="shared" si="4"/>
        <v>1056.3033576519124</v>
      </c>
      <c r="K22" s="19">
        <f t="shared" si="4"/>
        <v>1154.3623825714481</v>
      </c>
      <c r="L22" s="19">
        <f t="shared" si="4"/>
        <v>4345.1689117476599</v>
      </c>
      <c r="M22" s="19">
        <f t="shared" si="4"/>
        <v>4480.5311884088951</v>
      </c>
      <c r="N22" s="19">
        <f t="shared" si="4"/>
        <v>4623.9013134077704</v>
      </c>
      <c r="O22" s="19">
        <f t="shared" si="4"/>
        <v>4781.2301562448938</v>
      </c>
      <c r="P22" s="19">
        <f t="shared" si="4"/>
        <v>4945.7052535682105</v>
      </c>
      <c r="Q22" s="19">
        <f t="shared" si="4"/>
        <v>5128.9547490140903</v>
      </c>
      <c r="R22" s="19">
        <f t="shared" si="4"/>
        <v>5317.9899618621603</v>
      </c>
      <c r="S22" s="19">
        <f t="shared" si="4"/>
        <v>5524.1397439970851</v>
      </c>
      <c r="T22" s="19">
        <f t="shared" si="4"/>
        <v>5741.3083601237031</v>
      </c>
      <c r="U22" s="19">
        <f t="shared" si="4"/>
        <v>6348.4536022308503</v>
      </c>
      <c r="V22" s="19">
        <f t="shared" si="4"/>
        <v>6604.8925208706069</v>
      </c>
      <c r="W22" s="19">
        <f t="shared" si="4"/>
        <v>6873.0616616222042</v>
      </c>
      <c r="X22" s="19">
        <f t="shared" si="4"/>
        <v>7150.7512453260297</v>
      </c>
      <c r="Y22" s="19">
        <f t="shared" si="4"/>
        <v>7440.5515771766559</v>
      </c>
      <c r="Z22" s="19">
        <f t="shared" si="4"/>
        <v>7750.1571553098838</v>
      </c>
      <c r="AA22" s="19">
        <f t="shared" si="4"/>
        <v>8061.8560614954031</v>
      </c>
      <c r="AB22" s="19">
        <f t="shared" si="4"/>
        <v>8382.8625140454187</v>
      </c>
      <c r="AC22" s="19">
        <f t="shared" si="4"/>
        <v>8715.9762995996552</v>
      </c>
      <c r="AD22" s="19">
        <f t="shared" si="4"/>
        <v>9051.7300646558997</v>
      </c>
      <c r="AE22" s="19">
        <f t="shared" si="4"/>
        <v>9392.5658716068174</v>
      </c>
      <c r="AF22" s="19">
        <f t="shared" si="4"/>
        <v>9741.071710319904</v>
      </c>
      <c r="AG22" s="19">
        <f t="shared" si="4"/>
        <v>33103.340587864659</v>
      </c>
      <c r="AH22" s="19">
        <f t="shared" si="4"/>
        <v>36220.182485109472</v>
      </c>
      <c r="AI22" s="19">
        <f t="shared" si="4"/>
        <v>39159.305725416794</v>
      </c>
      <c r="AJ22" s="19">
        <f t="shared" si="4"/>
        <v>41790.192982340945</v>
      </c>
      <c r="AK22" s="19">
        <f t="shared" si="4"/>
        <v>46614.040543203402</v>
      </c>
      <c r="AL22" s="19">
        <f t="shared" si="4"/>
        <v>48624.885001232644</v>
      </c>
      <c r="AM22" s="19">
        <f t="shared" si="4"/>
        <v>50268.390840731583</v>
      </c>
      <c r="AN22" s="19">
        <f t="shared" si="4"/>
        <v>51568.859083383519</v>
      </c>
      <c r="AO22" s="19">
        <f t="shared" si="4"/>
        <v>55669.457415777142</v>
      </c>
      <c r="AP22" s="19">
        <f t="shared" si="4"/>
        <v>56508.180603497909</v>
      </c>
      <c r="AQ22" s="19">
        <f t="shared" si="4"/>
        <v>57142.84589107483</v>
      </c>
      <c r="AR22" s="19">
        <f t="shared" si="4"/>
        <v>57633.408699041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A1:AT21"/>
  <sheetViews>
    <sheetView workbookViewId="0">
      <selection sqref="A1:B1"/>
    </sheetView>
  </sheetViews>
  <sheetFormatPr defaultRowHeight="14.4" x14ac:dyDescent="0.3"/>
  <cols>
    <col min="1" max="1" width="38" customWidth="1"/>
    <col min="2" max="2" width="10" customWidth="1"/>
    <col min="3" max="44" width="12" customWidth="1"/>
    <col min="46" max="46" width="14" customWidth="1"/>
  </cols>
  <sheetData>
    <row r="1" spans="1:46" x14ac:dyDescent="0.3">
      <c r="A1" s="28" t="s">
        <v>213</v>
      </c>
      <c r="B1" s="30"/>
    </row>
    <row r="3" spans="1:46" x14ac:dyDescent="0.3">
      <c r="A3" s="3" t="s">
        <v>196</v>
      </c>
      <c r="B3" s="3" t="s">
        <v>32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160</v>
      </c>
      <c r="W3" s="3" t="s">
        <v>161</v>
      </c>
      <c r="X3" s="3" t="s">
        <v>162</v>
      </c>
      <c r="Y3" s="3" t="s">
        <v>163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170</v>
      </c>
      <c r="AG3" s="3" t="s">
        <v>171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176</v>
      </c>
      <c r="AM3" s="3" t="s">
        <v>177</v>
      </c>
      <c r="AN3" s="3" t="s">
        <v>178</v>
      </c>
      <c r="AO3" s="3" t="s">
        <v>179</v>
      </c>
      <c r="AP3" s="3" t="s">
        <v>180</v>
      </c>
      <c r="AQ3" s="3" t="s">
        <v>181</v>
      </c>
      <c r="AR3" s="3" t="s">
        <v>182</v>
      </c>
      <c r="AT3" s="3" t="s">
        <v>197</v>
      </c>
    </row>
    <row r="4" spans="1:46" x14ac:dyDescent="0.3">
      <c r="A4" s="1" t="s">
        <v>214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6" x14ac:dyDescent="0.3">
      <c r="A5" s="4" t="s">
        <v>215</v>
      </c>
      <c r="B5" s="6" t="s">
        <v>6</v>
      </c>
      <c r="C5" s="17">
        <f>Assumptions!$B$36/6</f>
        <v>880</v>
      </c>
      <c r="D5" s="17">
        <f>Assumptions!$B$36/6</f>
        <v>880</v>
      </c>
      <c r="E5" s="17">
        <f>Assumptions!$B$36/6</f>
        <v>880</v>
      </c>
      <c r="F5" s="17">
        <f>Assumptions!$B$36/6</f>
        <v>880</v>
      </c>
      <c r="G5" s="17">
        <f>Assumptions!$B$36/6</f>
        <v>880</v>
      </c>
      <c r="H5" s="17">
        <f>Assumptions!$B$36/6</f>
        <v>880</v>
      </c>
      <c r="I5" s="17">
        <f>0</f>
        <v>0</v>
      </c>
      <c r="J5" s="17">
        <f>0</f>
        <v>0</v>
      </c>
      <c r="K5" s="17">
        <f>0</f>
        <v>0</v>
      </c>
      <c r="L5" s="17">
        <f>0</f>
        <v>0</v>
      </c>
      <c r="M5" s="17">
        <f>0</f>
        <v>0</v>
      </c>
      <c r="N5" s="17">
        <f>0</f>
        <v>0</v>
      </c>
      <c r="O5" s="17">
        <f>0</f>
        <v>0</v>
      </c>
      <c r="P5" s="17">
        <f>0</f>
        <v>0</v>
      </c>
      <c r="Q5" s="17">
        <f>0</f>
        <v>0</v>
      </c>
      <c r="R5" s="17">
        <f>0</f>
        <v>0</v>
      </c>
      <c r="S5" s="17">
        <f>0</f>
        <v>0</v>
      </c>
      <c r="T5" s="17">
        <f>0</f>
        <v>0</v>
      </c>
      <c r="U5" s="17">
        <f>0</f>
        <v>0</v>
      </c>
      <c r="V5" s="17">
        <f>0</f>
        <v>0</v>
      </c>
      <c r="W5" s="17">
        <f>0</f>
        <v>0</v>
      </c>
      <c r="X5" s="17">
        <f>0</f>
        <v>0</v>
      </c>
      <c r="Y5" s="17">
        <f>0</f>
        <v>0</v>
      </c>
      <c r="Z5" s="17">
        <f>0</f>
        <v>0</v>
      </c>
      <c r="AA5" s="17">
        <f>0</f>
        <v>0</v>
      </c>
      <c r="AB5" s="17">
        <f>0</f>
        <v>0</v>
      </c>
      <c r="AC5" s="17">
        <f>0</f>
        <v>0</v>
      </c>
      <c r="AD5" s="17">
        <f>0</f>
        <v>0</v>
      </c>
      <c r="AE5" s="17">
        <f>0</f>
        <v>0</v>
      </c>
      <c r="AF5" s="17">
        <f>0</f>
        <v>0</v>
      </c>
      <c r="AG5" s="17">
        <f>0</f>
        <v>0</v>
      </c>
      <c r="AH5" s="17">
        <f>0</f>
        <v>0</v>
      </c>
      <c r="AI5" s="17">
        <f>0</f>
        <v>0</v>
      </c>
      <c r="AJ5" s="17">
        <f>0</f>
        <v>0</v>
      </c>
      <c r="AK5" s="17">
        <f>0</f>
        <v>0</v>
      </c>
      <c r="AL5" s="17">
        <f>0</f>
        <v>0</v>
      </c>
      <c r="AM5" s="17">
        <f>0</f>
        <v>0</v>
      </c>
      <c r="AN5" s="17">
        <f>0</f>
        <v>0</v>
      </c>
      <c r="AO5" s="17">
        <f>0</f>
        <v>0</v>
      </c>
      <c r="AP5" s="17">
        <f>0</f>
        <v>0</v>
      </c>
      <c r="AQ5" s="17">
        <f>0</f>
        <v>0</v>
      </c>
      <c r="AR5" s="17">
        <f>0</f>
        <v>0</v>
      </c>
    </row>
    <row r="6" spans="1:46" x14ac:dyDescent="0.3">
      <c r="A6" s="4" t="s">
        <v>216</v>
      </c>
      <c r="B6" s="6" t="s">
        <v>6</v>
      </c>
      <c r="C6" s="17">
        <f>0</f>
        <v>0</v>
      </c>
      <c r="D6" s="17">
        <f>0</f>
        <v>0</v>
      </c>
      <c r="E6" s="17">
        <f>0</f>
        <v>0</v>
      </c>
      <c r="F6" s="17">
        <f>0</f>
        <v>0</v>
      </c>
      <c r="G6" s="17">
        <f>0</f>
        <v>0</v>
      </c>
      <c r="H6" s="17">
        <f>0</f>
        <v>0</v>
      </c>
      <c r="I6" s="17">
        <f>Assumptions!$B$36*Assumptions!$B$37/12</f>
        <v>79.2</v>
      </c>
      <c r="J6" s="17">
        <f>Assumptions!$B$36*Assumptions!$B$37/12</f>
        <v>79.2</v>
      </c>
      <c r="K6" s="17">
        <f>Assumptions!$B$36*Assumptions!$B$37/12</f>
        <v>79.2</v>
      </c>
      <c r="L6" s="17">
        <f>Assumptions!$B$36*Assumptions!$B$37/12</f>
        <v>79.2</v>
      </c>
      <c r="M6" s="17">
        <f>Assumptions!$B$36*Assumptions!$B$37/12</f>
        <v>79.2</v>
      </c>
      <c r="N6" s="17">
        <f>Assumptions!$B$36*Assumptions!$B$37/12</f>
        <v>79.2</v>
      </c>
      <c r="O6" s="17">
        <f>Assumptions!$B$36*Assumptions!$B$37/12</f>
        <v>79.2</v>
      </c>
      <c r="P6" s="17">
        <f>Assumptions!$B$36*Assumptions!$B$37/12</f>
        <v>79.2</v>
      </c>
      <c r="Q6" s="17">
        <f>Assumptions!$B$36*Assumptions!$B$37/12</f>
        <v>79.2</v>
      </c>
      <c r="R6" s="17">
        <f>Assumptions!$B$36*Assumptions!$B$37/12</f>
        <v>79.2</v>
      </c>
      <c r="S6" s="17">
        <f>Assumptions!$B$36*Assumptions!$B$37/12</f>
        <v>79.2</v>
      </c>
      <c r="T6" s="17">
        <f>Assumptions!$B$36*Assumptions!$B$37/12</f>
        <v>79.2</v>
      </c>
      <c r="U6" s="17">
        <f>Assumptions!$B$36*Assumptions!$B$37/12</f>
        <v>79.2</v>
      </c>
      <c r="V6" s="17">
        <f>Assumptions!$B$36*Assumptions!$B$37/12</f>
        <v>79.2</v>
      </c>
      <c r="W6" s="17">
        <f>Assumptions!$B$36*Assumptions!$B$37/12</f>
        <v>79.2</v>
      </c>
      <c r="X6" s="17">
        <f>Assumptions!$B$36*Assumptions!$B$37/12</f>
        <v>79.2</v>
      </c>
      <c r="Y6" s="17">
        <f>Assumptions!$B$36*Assumptions!$B$37/12</f>
        <v>79.2</v>
      </c>
      <c r="Z6" s="17">
        <f>Assumptions!$B$36*Assumptions!$B$37/12</f>
        <v>79.2</v>
      </c>
      <c r="AA6" s="17">
        <f>Assumptions!$B$36*Assumptions!$B$37/12</f>
        <v>79.2</v>
      </c>
      <c r="AB6" s="17">
        <f>Assumptions!$B$36*Assumptions!$B$37/12</f>
        <v>79.2</v>
      </c>
      <c r="AC6" s="17">
        <f>Assumptions!$B$36*Assumptions!$B$37/12</f>
        <v>79.2</v>
      </c>
      <c r="AD6" s="17">
        <f>Assumptions!$B$36*Assumptions!$B$37/12</f>
        <v>79.2</v>
      </c>
      <c r="AE6" s="17">
        <f>Assumptions!$B$36*Assumptions!$B$37/12</f>
        <v>79.2</v>
      </c>
      <c r="AF6" s="17">
        <f>Assumptions!$B$36*Assumptions!$B$37/12</f>
        <v>79.2</v>
      </c>
      <c r="AG6" s="17">
        <f>Assumptions!$B$36*Assumptions!$B$37/4</f>
        <v>237.6</v>
      </c>
      <c r="AH6" s="17">
        <f>Assumptions!$B$36*Assumptions!$B$37/4</f>
        <v>237.6</v>
      </c>
      <c r="AI6" s="17">
        <f>Assumptions!$B$36*Assumptions!$B$37/4</f>
        <v>237.6</v>
      </c>
      <c r="AJ6" s="17">
        <f>Assumptions!$B$36*Assumptions!$B$37/4</f>
        <v>237.6</v>
      </c>
      <c r="AK6" s="17">
        <f>Assumptions!$B$36*Assumptions!$B$37/4</f>
        <v>237.6</v>
      </c>
      <c r="AL6" s="17">
        <f>Assumptions!$B$36*Assumptions!$B$37/4</f>
        <v>237.6</v>
      </c>
      <c r="AM6" s="17">
        <f>Assumptions!$B$36*Assumptions!$B$37/4</f>
        <v>237.6</v>
      </c>
      <c r="AN6" s="17">
        <f>Assumptions!$B$36*Assumptions!$B$37/4</f>
        <v>237.6</v>
      </c>
      <c r="AO6" s="17">
        <f>Assumptions!$B$36*Assumptions!$B$37/4</f>
        <v>237.6</v>
      </c>
      <c r="AP6" s="17">
        <f>Assumptions!$B$36*Assumptions!$B$37/4</f>
        <v>237.6</v>
      </c>
      <c r="AQ6" s="17">
        <f>Assumptions!$B$36*Assumptions!$B$37/4</f>
        <v>237.6</v>
      </c>
      <c r="AR6" s="17">
        <f>Assumptions!$B$36*Assumptions!$B$37/4</f>
        <v>237.6</v>
      </c>
    </row>
    <row r="7" spans="1:46" x14ac:dyDescent="0.3">
      <c r="A7" s="4" t="s">
        <v>217</v>
      </c>
      <c r="B7" s="11" t="s">
        <v>6</v>
      </c>
      <c r="C7" s="19">
        <f t="shared" ref="C7:AR7" si="0">C5+C6</f>
        <v>880</v>
      </c>
      <c r="D7" s="19">
        <f t="shared" si="0"/>
        <v>880</v>
      </c>
      <c r="E7" s="19">
        <f t="shared" si="0"/>
        <v>880</v>
      </c>
      <c r="F7" s="19">
        <f t="shared" si="0"/>
        <v>880</v>
      </c>
      <c r="G7" s="19">
        <f t="shared" si="0"/>
        <v>880</v>
      </c>
      <c r="H7" s="19">
        <f t="shared" si="0"/>
        <v>880</v>
      </c>
      <c r="I7" s="19">
        <f t="shared" si="0"/>
        <v>79.2</v>
      </c>
      <c r="J7" s="19">
        <f t="shared" si="0"/>
        <v>79.2</v>
      </c>
      <c r="K7" s="19">
        <f t="shared" si="0"/>
        <v>79.2</v>
      </c>
      <c r="L7" s="19">
        <f t="shared" si="0"/>
        <v>79.2</v>
      </c>
      <c r="M7" s="19">
        <f t="shared" si="0"/>
        <v>79.2</v>
      </c>
      <c r="N7" s="19">
        <f t="shared" si="0"/>
        <v>79.2</v>
      </c>
      <c r="O7" s="19">
        <f t="shared" si="0"/>
        <v>79.2</v>
      </c>
      <c r="P7" s="19">
        <f t="shared" si="0"/>
        <v>79.2</v>
      </c>
      <c r="Q7" s="19">
        <f t="shared" si="0"/>
        <v>79.2</v>
      </c>
      <c r="R7" s="19">
        <f t="shared" si="0"/>
        <v>79.2</v>
      </c>
      <c r="S7" s="19">
        <f t="shared" si="0"/>
        <v>79.2</v>
      </c>
      <c r="T7" s="19">
        <f t="shared" si="0"/>
        <v>79.2</v>
      </c>
      <c r="U7" s="19">
        <f t="shared" si="0"/>
        <v>79.2</v>
      </c>
      <c r="V7" s="19">
        <f t="shared" si="0"/>
        <v>79.2</v>
      </c>
      <c r="W7" s="19">
        <f t="shared" si="0"/>
        <v>79.2</v>
      </c>
      <c r="X7" s="19">
        <f t="shared" si="0"/>
        <v>79.2</v>
      </c>
      <c r="Y7" s="19">
        <f t="shared" si="0"/>
        <v>79.2</v>
      </c>
      <c r="Z7" s="19">
        <f t="shared" si="0"/>
        <v>79.2</v>
      </c>
      <c r="AA7" s="19">
        <f t="shared" si="0"/>
        <v>79.2</v>
      </c>
      <c r="AB7" s="19">
        <f t="shared" si="0"/>
        <v>79.2</v>
      </c>
      <c r="AC7" s="19">
        <f t="shared" si="0"/>
        <v>79.2</v>
      </c>
      <c r="AD7" s="19">
        <f t="shared" si="0"/>
        <v>79.2</v>
      </c>
      <c r="AE7" s="19">
        <f t="shared" si="0"/>
        <v>79.2</v>
      </c>
      <c r="AF7" s="19">
        <f t="shared" si="0"/>
        <v>79.2</v>
      </c>
      <c r="AG7" s="19">
        <f t="shared" si="0"/>
        <v>237.6</v>
      </c>
      <c r="AH7" s="19">
        <f t="shared" si="0"/>
        <v>237.6</v>
      </c>
      <c r="AI7" s="19">
        <f t="shared" si="0"/>
        <v>237.6</v>
      </c>
      <c r="AJ7" s="19">
        <f t="shared" si="0"/>
        <v>237.6</v>
      </c>
      <c r="AK7" s="19">
        <f t="shared" si="0"/>
        <v>237.6</v>
      </c>
      <c r="AL7" s="19">
        <f t="shared" si="0"/>
        <v>237.6</v>
      </c>
      <c r="AM7" s="19">
        <f t="shared" si="0"/>
        <v>237.6</v>
      </c>
      <c r="AN7" s="19">
        <f t="shared" si="0"/>
        <v>237.6</v>
      </c>
      <c r="AO7" s="19">
        <f t="shared" si="0"/>
        <v>237.6</v>
      </c>
      <c r="AP7" s="19">
        <f t="shared" si="0"/>
        <v>237.6</v>
      </c>
      <c r="AQ7" s="19">
        <f t="shared" si="0"/>
        <v>237.6</v>
      </c>
      <c r="AR7" s="19">
        <f t="shared" si="0"/>
        <v>237.6</v>
      </c>
    </row>
    <row r="9" spans="1:46" x14ac:dyDescent="0.3">
      <c r="A9" s="1" t="s">
        <v>218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</row>
    <row r="10" spans="1:46" x14ac:dyDescent="0.3">
      <c r="A10" s="4" t="s">
        <v>219</v>
      </c>
      <c r="B10" s="6" t="s">
        <v>6</v>
      </c>
      <c r="C10" s="17">
        <f>16*30*(1+Assumptions!$B$54)^0*(1+Assumptions!$B$55)</f>
        <v>583.20000000000005</v>
      </c>
      <c r="D10" s="17">
        <f>16*30*(1+Assumptions!$B$54)^0*(1+Assumptions!$B$55)</f>
        <v>583.20000000000005</v>
      </c>
      <c r="E10" s="17">
        <f>16*30*(1+Assumptions!$B$54)^0*(1+Assumptions!$B$55)</f>
        <v>583.20000000000005</v>
      </c>
      <c r="F10" s="17">
        <f>16*30*(1+Assumptions!$B$54)^0*(1+Assumptions!$B$55)</f>
        <v>583.20000000000005</v>
      </c>
      <c r="G10" s="17">
        <f>16*30*(1+Assumptions!$B$54)^0*(1+Assumptions!$B$55)</f>
        <v>583.20000000000005</v>
      </c>
      <c r="H10" s="17">
        <f>16*30*(1+Assumptions!$B$54)^0*(1+Assumptions!$B$55)</f>
        <v>583.20000000000005</v>
      </c>
      <c r="I10" s="17">
        <f>22*30*(1+Assumptions!$B$54)^1*(1+Assumptions!$B$55)</f>
        <v>882.09000000000015</v>
      </c>
      <c r="J10" s="17">
        <f>22*30*(1+Assumptions!$B$54)^1*(1+Assumptions!$B$55)</f>
        <v>882.09000000000015</v>
      </c>
      <c r="K10" s="17">
        <f>22*30*(1+Assumptions!$B$54)^1*(1+Assumptions!$B$55)</f>
        <v>882.09000000000015</v>
      </c>
      <c r="L10" s="17">
        <f>22*30*(1+Assumptions!$B$54)^1*(1+Assumptions!$B$55)</f>
        <v>882.09000000000015</v>
      </c>
      <c r="M10" s="17">
        <f>22*30*(1+Assumptions!$B$54)^1*(1+Assumptions!$B$55)</f>
        <v>882.09000000000015</v>
      </c>
      <c r="N10" s="17">
        <f>22*30*(1+Assumptions!$B$54)^1*(1+Assumptions!$B$55)</f>
        <v>882.09000000000015</v>
      </c>
      <c r="O10" s="17">
        <f>22*30*(1+Assumptions!$B$54)^1*(1+Assumptions!$B$55)</f>
        <v>882.09000000000015</v>
      </c>
      <c r="P10" s="17">
        <f>22*30*(1+Assumptions!$B$54)^1*(1+Assumptions!$B$55)</f>
        <v>882.09000000000015</v>
      </c>
      <c r="Q10" s="17">
        <f>22*30*(1+Assumptions!$B$54)^1*(1+Assumptions!$B$55)</f>
        <v>882.09000000000015</v>
      </c>
      <c r="R10" s="17">
        <f>22*30*(1+Assumptions!$B$54)^1*(1+Assumptions!$B$55)</f>
        <v>882.09000000000015</v>
      </c>
      <c r="S10" s="17">
        <f>22*30*(1+Assumptions!$B$54)^1*(1+Assumptions!$B$55)</f>
        <v>882.09000000000015</v>
      </c>
      <c r="T10" s="17">
        <f>22*30*(1+Assumptions!$B$54)^1*(1+Assumptions!$B$55)</f>
        <v>882.09000000000015</v>
      </c>
      <c r="U10" s="17">
        <f>30*30*(1+Assumptions!$B$54)^2*(1+Assumptions!$B$55)</f>
        <v>1323.1350000000004</v>
      </c>
      <c r="V10" s="17">
        <f>30*30*(1+Assumptions!$B$54)^2*(1+Assumptions!$B$55)</f>
        <v>1323.1350000000004</v>
      </c>
      <c r="W10" s="17">
        <f>30*30*(1+Assumptions!$B$54)^2*(1+Assumptions!$B$55)</f>
        <v>1323.1350000000004</v>
      </c>
      <c r="X10" s="17">
        <f>30*30*(1+Assumptions!$B$54)^2*(1+Assumptions!$B$55)</f>
        <v>1323.1350000000004</v>
      </c>
      <c r="Y10" s="17">
        <f>30*30*(1+Assumptions!$B$54)^2*(1+Assumptions!$B$55)</f>
        <v>1323.1350000000004</v>
      </c>
      <c r="Z10" s="17">
        <f>30*30*(1+Assumptions!$B$54)^2*(1+Assumptions!$B$55)</f>
        <v>1323.1350000000004</v>
      </c>
      <c r="AA10" s="17">
        <f>30*30*(1+Assumptions!$B$54)^2*(1+Assumptions!$B$55)</f>
        <v>1323.1350000000004</v>
      </c>
      <c r="AB10" s="17">
        <f>30*30*(1+Assumptions!$B$54)^2*(1+Assumptions!$B$55)</f>
        <v>1323.1350000000004</v>
      </c>
      <c r="AC10" s="17">
        <f>30*30*(1+Assumptions!$B$54)^2*(1+Assumptions!$B$55)</f>
        <v>1323.1350000000004</v>
      </c>
      <c r="AD10" s="17">
        <f>30*30*(1+Assumptions!$B$54)^2*(1+Assumptions!$B$55)</f>
        <v>1323.1350000000004</v>
      </c>
      <c r="AE10" s="17">
        <f>30*30*(1+Assumptions!$B$54)^2*(1+Assumptions!$B$55)</f>
        <v>1323.1350000000004</v>
      </c>
      <c r="AF10" s="17">
        <f>30*30*(1+Assumptions!$B$54)^2*(1+Assumptions!$B$55)</f>
        <v>1323.1350000000004</v>
      </c>
      <c r="AG10" s="17">
        <f>41*30*3*(1+Assumptions!$B$54)^3*(1+Assumptions!$B$55)</f>
        <v>5967.3388500000019</v>
      </c>
      <c r="AH10" s="17">
        <f>41*30*3*(1+Assumptions!$B$54)^3*(1+Assumptions!$B$55)</f>
        <v>5967.3388500000019</v>
      </c>
      <c r="AI10" s="17">
        <f>41*30*3*(1+Assumptions!$B$54)^3*(1+Assumptions!$B$55)</f>
        <v>5967.3388500000019</v>
      </c>
      <c r="AJ10" s="17">
        <f>41*30*3*(1+Assumptions!$B$54)^3*(1+Assumptions!$B$55)</f>
        <v>5967.3388500000019</v>
      </c>
      <c r="AK10" s="17">
        <f>55*30*3*(1+Assumptions!$B$54)^4*(1+Assumptions!$B$55)</f>
        <v>8805.4634250000036</v>
      </c>
      <c r="AL10" s="17">
        <f>55*30*3*(1+Assumptions!$B$54)^4*(1+Assumptions!$B$55)</f>
        <v>8805.4634250000036</v>
      </c>
      <c r="AM10" s="17">
        <f>55*30*3*(1+Assumptions!$B$54)^4*(1+Assumptions!$B$55)</f>
        <v>8805.4634250000036</v>
      </c>
      <c r="AN10" s="17">
        <f>55*30*3*(1+Assumptions!$B$54)^4*(1+Assumptions!$B$55)</f>
        <v>8805.4634250000036</v>
      </c>
      <c r="AO10" s="17">
        <f>65*30*3*(1+Assumptions!$B$54)^5*(1+Assumptions!$B$55)</f>
        <v>11447.102452500005</v>
      </c>
      <c r="AP10" s="17">
        <f>65*30*3*(1+Assumptions!$B$54)^5*(1+Assumptions!$B$55)</f>
        <v>11447.102452500005</v>
      </c>
      <c r="AQ10" s="17">
        <f>65*30*3*(1+Assumptions!$B$54)^5*(1+Assumptions!$B$55)</f>
        <v>11447.102452500005</v>
      </c>
      <c r="AR10" s="17">
        <f>65*30*3*(1+Assumptions!$B$54)^5*(1+Assumptions!$B$55)</f>
        <v>11447.102452500005</v>
      </c>
    </row>
    <row r="11" spans="1:46" x14ac:dyDescent="0.3">
      <c r="A11" s="4" t="s">
        <v>220</v>
      </c>
      <c r="B11" s="6" t="s">
        <v>6</v>
      </c>
      <c r="C11" s="17">
        <f>16*30*12*Assumptions!$B$56</f>
        <v>1152</v>
      </c>
      <c r="D11" s="17">
        <f>0</f>
        <v>0</v>
      </c>
      <c r="E11" s="17">
        <f>0</f>
        <v>0</v>
      </c>
      <c r="F11" s="17">
        <f>0</f>
        <v>0</v>
      </c>
      <c r="G11" s="17">
        <f>0</f>
        <v>0</v>
      </c>
      <c r="H11" s="17">
        <f>0</f>
        <v>0</v>
      </c>
      <c r="I11" s="17">
        <f>6*30*12*Assumptions!$B$56</f>
        <v>432</v>
      </c>
      <c r="J11" s="17">
        <f>0</f>
        <v>0</v>
      </c>
      <c r="K11" s="17">
        <f>0</f>
        <v>0</v>
      </c>
      <c r="L11" s="17">
        <f>0</f>
        <v>0</v>
      </c>
      <c r="M11" s="17">
        <f>0</f>
        <v>0</v>
      </c>
      <c r="N11" s="17">
        <f>0</f>
        <v>0</v>
      </c>
      <c r="O11" s="17">
        <f>0</f>
        <v>0</v>
      </c>
      <c r="P11" s="17">
        <f>0</f>
        <v>0</v>
      </c>
      <c r="Q11" s="17">
        <f>0</f>
        <v>0</v>
      </c>
      <c r="R11" s="17">
        <f>0</f>
        <v>0</v>
      </c>
      <c r="S11" s="17">
        <f>0</f>
        <v>0</v>
      </c>
      <c r="T11" s="17">
        <f>0</f>
        <v>0</v>
      </c>
      <c r="U11" s="17">
        <f>0</f>
        <v>0</v>
      </c>
      <c r="V11" s="17">
        <f>0</f>
        <v>0</v>
      </c>
      <c r="W11" s="17">
        <f>0</f>
        <v>0</v>
      </c>
      <c r="X11" s="17">
        <f>8*30*12*Assumptions!$B$56</f>
        <v>576</v>
      </c>
      <c r="Y11" s="17">
        <f>0</f>
        <v>0</v>
      </c>
      <c r="Z11" s="17">
        <f>0</f>
        <v>0</v>
      </c>
      <c r="AA11" s="17">
        <f>0</f>
        <v>0</v>
      </c>
      <c r="AB11" s="17">
        <f>0</f>
        <v>0</v>
      </c>
      <c r="AC11" s="17">
        <f>0</f>
        <v>0</v>
      </c>
      <c r="AD11" s="17">
        <f>0</f>
        <v>0</v>
      </c>
      <c r="AE11" s="17">
        <f>0</f>
        <v>0</v>
      </c>
      <c r="AF11" s="17">
        <f>0</f>
        <v>0</v>
      </c>
      <c r="AG11" s="17">
        <f>11*30*12*Assumptions!$B$56</f>
        <v>792</v>
      </c>
      <c r="AH11" s="17">
        <f>0</f>
        <v>0</v>
      </c>
      <c r="AI11" s="17">
        <f>0</f>
        <v>0</v>
      </c>
      <c r="AJ11" s="17">
        <f>0</f>
        <v>0</v>
      </c>
      <c r="AK11" s="17">
        <f>14*30*12*Assumptions!$B$56</f>
        <v>1008</v>
      </c>
      <c r="AL11" s="17">
        <f>0</f>
        <v>0</v>
      </c>
      <c r="AM11" s="17">
        <f>0</f>
        <v>0</v>
      </c>
      <c r="AN11" s="17">
        <f>0</f>
        <v>0</v>
      </c>
      <c r="AO11" s="17">
        <f>10*30*12*Assumptions!$B$56</f>
        <v>720</v>
      </c>
      <c r="AP11" s="17">
        <f>0</f>
        <v>0</v>
      </c>
      <c r="AQ11" s="17">
        <f>0</f>
        <v>0</v>
      </c>
      <c r="AR11" s="17">
        <f>0</f>
        <v>0</v>
      </c>
    </row>
    <row r="12" spans="1:46" x14ac:dyDescent="0.3">
      <c r="A12" s="4" t="s">
        <v>221</v>
      </c>
      <c r="B12" s="6" t="s">
        <v>6</v>
      </c>
      <c r="C12" s="17">
        <f>Assumptions!$B$38*(1+0.1)^0/12</f>
        <v>500</v>
      </c>
      <c r="D12" s="17">
        <f>Assumptions!$B$38*(1+0.1)^0/12</f>
        <v>500</v>
      </c>
      <c r="E12" s="17">
        <f>Assumptions!$B$38*(1+0.1)^0/12</f>
        <v>500</v>
      </c>
      <c r="F12" s="17">
        <f>Assumptions!$B$38*(1+0.1)^0/12</f>
        <v>500</v>
      </c>
      <c r="G12" s="17">
        <f>Assumptions!$B$38*(1+0.1)^0/12</f>
        <v>500</v>
      </c>
      <c r="H12" s="17">
        <f>Assumptions!$B$38*(1+0.1)^0/12</f>
        <v>500</v>
      </c>
      <c r="I12" s="17">
        <f>Assumptions!$B$38*(1+0.1)^1/12</f>
        <v>550.00000000000011</v>
      </c>
      <c r="J12" s="17">
        <f>Assumptions!$B$38*(1+0.1)^1/12</f>
        <v>550.00000000000011</v>
      </c>
      <c r="K12" s="17">
        <f>Assumptions!$B$38*(1+0.1)^1/12</f>
        <v>550.00000000000011</v>
      </c>
      <c r="L12" s="17">
        <f>Assumptions!$B$38*(1+0.1)^1/12</f>
        <v>550.00000000000011</v>
      </c>
      <c r="M12" s="17">
        <f>Assumptions!$B$38*(1+0.1)^1/12</f>
        <v>550.00000000000011</v>
      </c>
      <c r="N12" s="17">
        <f>Assumptions!$B$38*(1+0.1)^1/12</f>
        <v>550.00000000000011</v>
      </c>
      <c r="O12" s="17">
        <f>Assumptions!$B$38*(1+0.1)^1/12</f>
        <v>550.00000000000011</v>
      </c>
      <c r="P12" s="17">
        <f>Assumptions!$B$38*(1+0.1)^1/12</f>
        <v>550.00000000000011</v>
      </c>
      <c r="Q12" s="17">
        <f>Assumptions!$B$38*(1+0.1)^1/12</f>
        <v>550.00000000000011</v>
      </c>
      <c r="R12" s="17">
        <f>Assumptions!$B$38*(1+0.1)^1/12</f>
        <v>550.00000000000011</v>
      </c>
      <c r="S12" s="17">
        <f>Assumptions!$B$38*(1+0.1)^1/12</f>
        <v>550.00000000000011</v>
      </c>
      <c r="T12" s="17">
        <f>Assumptions!$B$38*(1+0.1)^1/12</f>
        <v>550.00000000000011</v>
      </c>
      <c r="U12" s="17">
        <f>Assumptions!$B$38*(1+0.1)^2/12</f>
        <v>605.00000000000011</v>
      </c>
      <c r="V12" s="17">
        <f>Assumptions!$B$38*(1+0.1)^2/12</f>
        <v>605.00000000000011</v>
      </c>
      <c r="W12" s="17">
        <f>Assumptions!$B$38*(1+0.1)^2/12</f>
        <v>605.00000000000011</v>
      </c>
      <c r="X12" s="17">
        <f>Assumptions!$B$38*(1+0.1)^2/12</f>
        <v>605.00000000000011</v>
      </c>
      <c r="Y12" s="17">
        <f>Assumptions!$B$38*(1+0.1)^2/12</f>
        <v>605.00000000000011</v>
      </c>
      <c r="Z12" s="17">
        <f>Assumptions!$B$38*(1+0.1)^2/12</f>
        <v>605.00000000000011</v>
      </c>
      <c r="AA12" s="17">
        <f>Assumptions!$B$38*(1+0.1)^2/12</f>
        <v>605.00000000000011</v>
      </c>
      <c r="AB12" s="17">
        <f>Assumptions!$B$38*(1+0.1)^2/12</f>
        <v>605.00000000000011</v>
      </c>
      <c r="AC12" s="17">
        <f>Assumptions!$B$38*(1+0.1)^2/12</f>
        <v>605.00000000000011</v>
      </c>
      <c r="AD12" s="17">
        <f>Assumptions!$B$38*(1+0.1)^2/12</f>
        <v>605.00000000000011</v>
      </c>
      <c r="AE12" s="17">
        <f>Assumptions!$B$38*(1+0.1)^2/12</f>
        <v>605.00000000000011</v>
      </c>
      <c r="AF12" s="17">
        <f>Assumptions!$B$38*(1+0.1)^2/12</f>
        <v>605.00000000000011</v>
      </c>
      <c r="AG12" s="17">
        <f>Assumptions!$B$38*(1+0.1)^3/4</f>
        <v>1996.5000000000007</v>
      </c>
      <c r="AH12" s="17">
        <f>Assumptions!$B$38*(1+0.1)^3/4</f>
        <v>1996.5000000000007</v>
      </c>
      <c r="AI12" s="17">
        <f>Assumptions!$B$38*(1+0.1)^3/4</f>
        <v>1996.5000000000007</v>
      </c>
      <c r="AJ12" s="17">
        <f>Assumptions!$B$38*(1+0.1)^3/4</f>
        <v>1996.5000000000007</v>
      </c>
      <c r="AK12" s="17">
        <f>Assumptions!$B$38*(1+0.1)^4/4</f>
        <v>2196.1500000000005</v>
      </c>
      <c r="AL12" s="17">
        <f>Assumptions!$B$38*(1+0.1)^4/4</f>
        <v>2196.1500000000005</v>
      </c>
      <c r="AM12" s="17">
        <f>Assumptions!$B$38*(1+0.1)^4/4</f>
        <v>2196.1500000000005</v>
      </c>
      <c r="AN12" s="17">
        <f>Assumptions!$B$38*(1+0.1)^4/4</f>
        <v>2196.1500000000005</v>
      </c>
      <c r="AO12" s="17">
        <f>Assumptions!$B$38*(1+0.1)^5/4</f>
        <v>2415.7650000000008</v>
      </c>
      <c r="AP12" s="17">
        <f>Assumptions!$B$38*(1+0.1)^5/4</f>
        <v>2415.7650000000008</v>
      </c>
      <c r="AQ12" s="17">
        <f>Assumptions!$B$38*(1+0.1)^5/4</f>
        <v>2415.7650000000008</v>
      </c>
      <c r="AR12" s="17">
        <f>Assumptions!$B$38*(1+0.1)^5/4</f>
        <v>2415.7650000000008</v>
      </c>
    </row>
    <row r="13" spans="1:46" x14ac:dyDescent="0.3">
      <c r="A13" s="4" t="s">
        <v>222</v>
      </c>
      <c r="B13" s="6" t="s">
        <v>6</v>
      </c>
      <c r="C13" s="17">
        <f>Assumptions!$B$45/12</f>
        <v>333.33333333333331</v>
      </c>
      <c r="D13" s="17">
        <f>Assumptions!$B$45/12</f>
        <v>333.33333333333331</v>
      </c>
      <c r="E13" s="17">
        <f>Assumptions!$B$45/12</f>
        <v>333.33333333333331</v>
      </c>
      <c r="F13" s="17">
        <f>Assumptions!$B$45/12</f>
        <v>333.33333333333331</v>
      </c>
      <c r="G13" s="17">
        <f>Assumptions!$B$45/12</f>
        <v>333.33333333333331</v>
      </c>
      <c r="H13" s="17">
        <f>Assumptions!$B$45/12</f>
        <v>333.33333333333331</v>
      </c>
      <c r="I13" s="17">
        <f>Assumptions!$B$45/12</f>
        <v>333.33333333333331</v>
      </c>
      <c r="J13" s="17">
        <f>Assumptions!$B$45/12</f>
        <v>333.33333333333331</v>
      </c>
      <c r="K13" s="17">
        <f>Assumptions!$B$45/12</f>
        <v>333.33333333333331</v>
      </c>
      <c r="L13" s="17">
        <f>Assumptions!$B$45/12</f>
        <v>333.33333333333331</v>
      </c>
      <c r="M13" s="17">
        <f>Assumptions!$B$45/12</f>
        <v>333.33333333333331</v>
      </c>
      <c r="N13" s="17">
        <f>Assumptions!$B$45/12</f>
        <v>333.33333333333331</v>
      </c>
      <c r="O13" s="17">
        <f>Assumptions!$B$45/12</f>
        <v>333.33333333333331</v>
      </c>
      <c r="P13" s="17">
        <f>Assumptions!$B$45/12</f>
        <v>333.33333333333331</v>
      </c>
      <c r="Q13" s="17">
        <f>Assumptions!$B$45/12</f>
        <v>333.33333333333331</v>
      </c>
      <c r="R13" s="17">
        <f>Assumptions!$B$45/12</f>
        <v>333.33333333333331</v>
      </c>
      <c r="S13" s="17">
        <f>Assumptions!$B$45/12</f>
        <v>333.33333333333331</v>
      </c>
      <c r="T13" s="17">
        <f>Assumptions!$B$45/12</f>
        <v>333.33333333333331</v>
      </c>
      <c r="U13" s="17">
        <f>Assumptions!$B$45/12</f>
        <v>333.33333333333331</v>
      </c>
      <c r="V13" s="17">
        <f>Assumptions!$B$45/12</f>
        <v>333.33333333333331</v>
      </c>
      <c r="W13" s="17">
        <f>Assumptions!$B$45/12</f>
        <v>333.33333333333331</v>
      </c>
      <c r="X13" s="17">
        <f>Assumptions!$B$45/12</f>
        <v>333.33333333333331</v>
      </c>
      <c r="Y13" s="17">
        <f>Assumptions!$B$45/12</f>
        <v>333.33333333333331</v>
      </c>
      <c r="Z13" s="17">
        <f>Assumptions!$B$45/12</f>
        <v>333.33333333333331</v>
      </c>
      <c r="AA13" s="17">
        <f>Assumptions!$B$45/12</f>
        <v>333.33333333333331</v>
      </c>
      <c r="AB13" s="17">
        <f>Assumptions!$B$45/12</f>
        <v>333.33333333333331</v>
      </c>
      <c r="AC13" s="17">
        <f>Assumptions!$B$45/12</f>
        <v>333.33333333333331</v>
      </c>
      <c r="AD13" s="17">
        <f>Assumptions!$B$45/12</f>
        <v>333.33333333333331</v>
      </c>
      <c r="AE13" s="17">
        <f>Assumptions!$B$45/12</f>
        <v>333.33333333333331</v>
      </c>
      <c r="AF13" s="17">
        <f>Assumptions!$B$45/12</f>
        <v>333.33333333333331</v>
      </c>
      <c r="AG13" s="17">
        <f>Assumptions!$B$45/4</f>
        <v>1000</v>
      </c>
      <c r="AH13" s="17">
        <f>Assumptions!$B$45/4</f>
        <v>1000</v>
      </c>
      <c r="AI13" s="17">
        <f>Assumptions!$B$45/4</f>
        <v>1000</v>
      </c>
      <c r="AJ13" s="17">
        <f>Assumptions!$B$45/4</f>
        <v>1000</v>
      </c>
      <c r="AK13" s="17">
        <f>Assumptions!$B$45/4</f>
        <v>1000</v>
      </c>
      <c r="AL13" s="17">
        <f>Assumptions!$B$45/4</f>
        <v>1000</v>
      </c>
      <c r="AM13" s="17">
        <f>Assumptions!$B$45/4</f>
        <v>1000</v>
      </c>
      <c r="AN13" s="17">
        <f>Assumptions!$B$45/4</f>
        <v>1000</v>
      </c>
      <c r="AO13" s="17">
        <f>Assumptions!$B$45/4</f>
        <v>1000</v>
      </c>
      <c r="AP13" s="17">
        <f>Assumptions!$B$45/4</f>
        <v>1000</v>
      </c>
      <c r="AQ13" s="17">
        <f>Assumptions!$B$45/4</f>
        <v>1000</v>
      </c>
      <c r="AR13" s="17">
        <f>Assumptions!$B$45/4</f>
        <v>1000</v>
      </c>
    </row>
    <row r="14" spans="1:46" x14ac:dyDescent="0.3">
      <c r="A14" s="4" t="s">
        <v>223</v>
      </c>
      <c r="B14" s="6" t="s">
        <v>6</v>
      </c>
      <c r="C14" s="17">
        <f>Assumptions!$B$39/12+'Market Sizing'!C14*Assumptions!$B$40</f>
        <v>277.94721430996833</v>
      </c>
      <c r="D14" s="17">
        <f>Assumptions!$B$39/12+'Market Sizing'!D14*Assumptions!$B$40</f>
        <v>278.55340231223244</v>
      </c>
      <c r="E14" s="17">
        <f>Assumptions!$B$39/12+'Market Sizing'!E14*Assumptions!$B$40</f>
        <v>279.33520257921941</v>
      </c>
      <c r="F14" s="17">
        <f>Assumptions!$B$39/12+'Market Sizing'!F14*Assumptions!$B$40</f>
        <v>280.17933674188276</v>
      </c>
      <c r="G14" s="17">
        <f>Assumptions!$B$39/12+'Market Sizing'!G14*Assumptions!$B$40</f>
        <v>281.050235552331</v>
      </c>
      <c r="H14" s="17">
        <f>Assumptions!$B$39/12+'Market Sizing'!H14*Assumptions!$B$40</f>
        <v>282.06626727319053</v>
      </c>
      <c r="I14" s="17">
        <f>Assumptions!$B$39/12+'Market Sizing'!I14*Assumptions!$B$40</f>
        <v>283.15923780742168</v>
      </c>
      <c r="J14" s="17">
        <f>Assumptions!$B$39/12+'Market Sizing'!J14*Assumptions!$B$40</f>
        <v>284.34680912418935</v>
      </c>
      <c r="K14" s="17">
        <f>Assumptions!$B$39/12+'Market Sizing'!K14*Assumptions!$B$40</f>
        <v>285.60129558371432</v>
      </c>
      <c r="L14" s="17">
        <f>Assumptions!$B$39/12+'Market Sizing'!L14*Assumptions!$B$40</f>
        <v>286.99785651267524</v>
      </c>
      <c r="M14" s="17">
        <f>Assumptions!$B$39/12+'Market Sizing'!M14*Assumptions!$B$40</f>
        <v>288.50747298101618</v>
      </c>
      <c r="N14" s="17">
        <f>Assumptions!$B$39/12+'Market Sizing'!N14*Assumptions!$B$40</f>
        <v>290.10639630814114</v>
      </c>
      <c r="O14" s="17">
        <f>Assumptions!$B$39/12+'Market Sizing'!O14*Assumptions!$B$40</f>
        <v>291.86099306840651</v>
      </c>
      <c r="P14" s="17">
        <f>Assumptions!$B$39/12+'Market Sizing'!P14*Assumptions!$B$40</f>
        <v>293.69528783409402</v>
      </c>
      <c r="Q14" s="17">
        <f>Assumptions!$B$39/12+'Market Sizing'!Q14*Assumptions!$B$40</f>
        <v>295.73896250449417</v>
      </c>
      <c r="R14" s="17">
        <f>Assumptions!$B$39/12+'Market Sizing'!R14*Assumptions!$B$40</f>
        <v>297.84716190428674</v>
      </c>
      <c r="S14" s="17">
        <f>Assumptions!$B$39/12+'Market Sizing'!S14*Assumptions!$B$40</f>
        <v>300.14623010653503</v>
      </c>
      <c r="T14" s="17">
        <f>Assumptions!$B$39/12+'Market Sizing'!T14*Assumptions!$B$40</f>
        <v>302.56818493322589</v>
      </c>
      <c r="U14" s="17">
        <f>Assumptions!$B$39/12+'Market Sizing'!U14*Assumptions!$B$40</f>
        <v>305.10461580848067</v>
      </c>
      <c r="V14" s="17">
        <f>Assumptions!$B$39/12+'Market Sizing'!V14*Assumptions!$B$40</f>
        <v>307.83307642672179</v>
      </c>
      <c r="W14" s="17">
        <f>Assumptions!$B$39/12+'Market Sizing'!W14*Assumptions!$B$40</f>
        <v>310.68634434506055</v>
      </c>
      <c r="X14" s="17">
        <f>Assumptions!$B$39/12+'Market Sizing'!X14*Assumptions!$B$40</f>
        <v>313.64090793958275</v>
      </c>
      <c r="Y14" s="17">
        <f>Assumptions!$B$39/12+'Market Sizing'!Y14*Assumptions!$B$40</f>
        <v>316.72432755779766</v>
      </c>
      <c r="Z14" s="17">
        <f>Assumptions!$B$39/12+'Market Sizing'!Z14*Assumptions!$B$40</f>
        <v>320.01847117533094</v>
      </c>
      <c r="AA14" s="17">
        <f>Assumptions!$B$39/12+'Market Sizing'!AA14*Assumptions!$B$40</f>
        <v>323.33488739946398</v>
      </c>
      <c r="AB14" s="17">
        <f>Assumptions!$B$39/12+'Market Sizing'!AB14*Assumptions!$B$40</f>
        <v>326.75033412116227</v>
      </c>
      <c r="AC14" s="17">
        <f>Assumptions!$B$39/12+'Market Sizing'!AC14*Assumptions!$B$40</f>
        <v>330.29460053009512</v>
      </c>
      <c r="AD14" s="17">
        <f>Assumptions!$B$39/12+'Market Sizing'!AD14*Assumptions!$B$40</f>
        <v>333.86695581158449</v>
      </c>
      <c r="AE14" s="17">
        <f>Assumptions!$B$39/12+'Market Sizing'!AE14*Assumptions!$B$40</f>
        <v>337.49338303832849</v>
      </c>
      <c r="AF14" s="17">
        <f>Assumptions!$B$39/12+'Market Sizing'!AF14*Assumptions!$B$40</f>
        <v>341.20141792320317</v>
      </c>
      <c r="AG14" s="17">
        <f>Assumptions!$B$39/4+'Market Sizing'!AG14*Assumptions!$B$40</f>
        <v>1045.3434304046873</v>
      </c>
      <c r="AH14" s="17">
        <f>Assumptions!$B$39/4+'Market Sizing'!AH14*Assumptions!$B$40</f>
        <v>1076.93765527715</v>
      </c>
      <c r="AI14" s="17">
        <f>Assumptions!$B$39/4+'Market Sizing'!AI14*Assumptions!$B$40</f>
        <v>1106.7304146289268</v>
      </c>
      <c r="AJ14" s="17">
        <f>Assumptions!$B$39/4+'Market Sizing'!AJ14*Assumptions!$B$40</f>
        <v>1133.3987046319694</v>
      </c>
      <c r="AK14" s="17">
        <f>Assumptions!$B$39/4+'Market Sizing'!AK14*Assumptions!$B$40</f>
        <v>1156.5083326895738</v>
      </c>
      <c r="AL14" s="17">
        <f>Assumptions!$B$39/4+'Market Sizing'!AL14*Assumptions!$B$40</f>
        <v>1175.9009726905367</v>
      </c>
      <c r="AM14" s="17">
        <f>Assumptions!$B$39/4+'Market Sizing'!AM14*Assumptions!$B$40</f>
        <v>1191.7509888156626</v>
      </c>
      <c r="AN14" s="17">
        <f>Assumptions!$B$39/4+'Market Sizing'!AN14*Assumptions!$B$40</f>
        <v>1204.2927407954007</v>
      </c>
      <c r="AO14" s="17">
        <f>Assumptions!$B$39/4+'Market Sizing'!AO14*Assumptions!$B$40</f>
        <v>1214.308081587317</v>
      </c>
      <c r="AP14" s="17">
        <f>Assumptions!$B$39/4+'Market Sizing'!AP14*Assumptions!$B$40</f>
        <v>1221.9934072528267</v>
      </c>
      <c r="AQ14" s="17">
        <f>Assumptions!$B$39/4+'Market Sizing'!AQ14*Assumptions!$B$40</f>
        <v>1227.8089248097908</v>
      </c>
      <c r="AR14" s="17">
        <f>Assumptions!$B$39/4+'Market Sizing'!AR14*Assumptions!$B$40</f>
        <v>1232.3040132892834</v>
      </c>
    </row>
    <row r="15" spans="1:46" x14ac:dyDescent="0.3">
      <c r="A15" s="4" t="s">
        <v>224</v>
      </c>
      <c r="B15" s="6" t="s">
        <v>6</v>
      </c>
      <c r="C15" s="17">
        <f>Assumptions!$B$46/12</f>
        <v>20.833333333333332</v>
      </c>
      <c r="D15" s="17">
        <f>Assumptions!$B$46/12</f>
        <v>20.833333333333332</v>
      </c>
      <c r="E15" s="17">
        <f>Assumptions!$B$46/12</f>
        <v>20.833333333333332</v>
      </c>
      <c r="F15" s="17">
        <f>Assumptions!$B$46/12</f>
        <v>20.833333333333332</v>
      </c>
      <c r="G15" s="17">
        <f>Assumptions!$B$46/12</f>
        <v>20.833333333333332</v>
      </c>
      <c r="H15" s="17">
        <f>Assumptions!$B$46/12</f>
        <v>20.833333333333332</v>
      </c>
      <c r="I15" s="17">
        <f>Assumptions!$B$46/12</f>
        <v>20.833333333333332</v>
      </c>
      <c r="J15" s="17">
        <f>Assumptions!$B$46/12</f>
        <v>20.833333333333332</v>
      </c>
      <c r="K15" s="17">
        <f>Assumptions!$B$46/12</f>
        <v>20.833333333333332</v>
      </c>
      <c r="L15" s="17">
        <f>Assumptions!$B$46/12</f>
        <v>20.833333333333332</v>
      </c>
      <c r="M15" s="17">
        <f>Assumptions!$B$46/12</f>
        <v>20.833333333333332</v>
      </c>
      <c r="N15" s="17">
        <f>Assumptions!$B$46/12</f>
        <v>20.833333333333332</v>
      </c>
      <c r="O15" s="17">
        <f>Assumptions!$B$46/12</f>
        <v>20.833333333333332</v>
      </c>
      <c r="P15" s="17">
        <f>Assumptions!$B$46/12</f>
        <v>20.833333333333332</v>
      </c>
      <c r="Q15" s="17">
        <f>Assumptions!$B$46/12</f>
        <v>20.833333333333332</v>
      </c>
      <c r="R15" s="17">
        <f>Assumptions!$B$46/12</f>
        <v>20.833333333333332</v>
      </c>
      <c r="S15" s="17">
        <f>Assumptions!$B$46/12</f>
        <v>20.833333333333332</v>
      </c>
      <c r="T15" s="17">
        <f>Assumptions!$B$46/12</f>
        <v>20.833333333333332</v>
      </c>
      <c r="U15" s="17">
        <f>Assumptions!$B$46/12</f>
        <v>20.833333333333332</v>
      </c>
      <c r="V15" s="17">
        <f>Assumptions!$B$46/12</f>
        <v>20.833333333333332</v>
      </c>
      <c r="W15" s="17">
        <f>Assumptions!$B$46/12</f>
        <v>20.833333333333332</v>
      </c>
      <c r="X15" s="17">
        <f>Assumptions!$B$46/12</f>
        <v>20.833333333333332</v>
      </c>
      <c r="Y15" s="17">
        <f>Assumptions!$B$46/12</f>
        <v>20.833333333333332</v>
      </c>
      <c r="Z15" s="17">
        <f>Assumptions!$B$46/12</f>
        <v>20.833333333333332</v>
      </c>
      <c r="AA15" s="17">
        <f>Assumptions!$B$46/12</f>
        <v>20.833333333333332</v>
      </c>
      <c r="AB15" s="17">
        <f>Assumptions!$B$46/12</f>
        <v>20.833333333333332</v>
      </c>
      <c r="AC15" s="17">
        <f>Assumptions!$B$46/12</f>
        <v>20.833333333333332</v>
      </c>
      <c r="AD15" s="17">
        <f>Assumptions!$B$46/12</f>
        <v>20.833333333333332</v>
      </c>
      <c r="AE15" s="17">
        <f>Assumptions!$B$46/12</f>
        <v>20.833333333333332</v>
      </c>
      <c r="AF15" s="17">
        <f>Assumptions!$B$46/12</f>
        <v>20.833333333333332</v>
      </c>
      <c r="AG15" s="17">
        <f>Assumptions!$B$46/4</f>
        <v>62.5</v>
      </c>
      <c r="AH15" s="17">
        <f>Assumptions!$B$46/4</f>
        <v>62.5</v>
      </c>
      <c r="AI15" s="17">
        <f>Assumptions!$B$46/4</f>
        <v>62.5</v>
      </c>
      <c r="AJ15" s="17">
        <f>Assumptions!$B$46/4</f>
        <v>62.5</v>
      </c>
      <c r="AK15" s="17">
        <f>Assumptions!$B$46/4</f>
        <v>62.5</v>
      </c>
      <c r="AL15" s="17">
        <f>Assumptions!$B$46/4</f>
        <v>62.5</v>
      </c>
      <c r="AM15" s="17">
        <f>Assumptions!$B$46/4</f>
        <v>62.5</v>
      </c>
      <c r="AN15" s="17">
        <f>Assumptions!$B$46/4</f>
        <v>62.5</v>
      </c>
      <c r="AO15" s="17">
        <f>Assumptions!$B$46/4</f>
        <v>62.5</v>
      </c>
      <c r="AP15" s="17">
        <f>Assumptions!$B$46/4</f>
        <v>62.5</v>
      </c>
      <c r="AQ15" s="17">
        <f>Assumptions!$B$46/4</f>
        <v>62.5</v>
      </c>
      <c r="AR15" s="17">
        <f>Assumptions!$B$46/4</f>
        <v>62.5</v>
      </c>
    </row>
    <row r="16" spans="1:46" x14ac:dyDescent="0.3">
      <c r="A16" s="4" t="s">
        <v>225</v>
      </c>
      <c r="B16" s="6" t="s">
        <v>6</v>
      </c>
      <c r="C16" s="17">
        <f>Assumptions!$B$41/12</f>
        <v>33.333333333333336</v>
      </c>
      <c r="D16" s="17">
        <f>Assumptions!$B$41/12</f>
        <v>33.333333333333336</v>
      </c>
      <c r="E16" s="17">
        <f>Assumptions!$B$41/12</f>
        <v>33.333333333333336</v>
      </c>
      <c r="F16" s="17">
        <f>Assumptions!$B$41/12</f>
        <v>33.333333333333336</v>
      </c>
      <c r="G16" s="17">
        <f>Assumptions!$B$41/12</f>
        <v>33.333333333333336</v>
      </c>
      <c r="H16" s="17">
        <f>Assumptions!$B$41/12</f>
        <v>33.333333333333336</v>
      </c>
      <c r="I16" s="17">
        <f>Assumptions!$B$41/12</f>
        <v>33.333333333333336</v>
      </c>
      <c r="J16" s="17">
        <f>Assumptions!$B$41/12</f>
        <v>33.333333333333336</v>
      </c>
      <c r="K16" s="17">
        <f>Assumptions!$B$41/12</f>
        <v>33.333333333333336</v>
      </c>
      <c r="L16" s="17">
        <f>Assumptions!$B$41/12</f>
        <v>33.333333333333336</v>
      </c>
      <c r="M16" s="17">
        <f>Assumptions!$B$41/12</f>
        <v>33.333333333333336</v>
      </c>
      <c r="N16" s="17">
        <f>Assumptions!$B$41/12</f>
        <v>33.333333333333336</v>
      </c>
      <c r="O16" s="17">
        <f>Assumptions!$B$41/12</f>
        <v>33.333333333333336</v>
      </c>
      <c r="P16" s="17">
        <f>Assumptions!$B$41/12</f>
        <v>33.333333333333336</v>
      </c>
      <c r="Q16" s="17">
        <f>Assumptions!$B$41/12</f>
        <v>33.333333333333336</v>
      </c>
      <c r="R16" s="17">
        <f>Assumptions!$B$41/12</f>
        <v>33.333333333333336</v>
      </c>
      <c r="S16" s="17">
        <f>Assumptions!$B$41/12</f>
        <v>33.333333333333336</v>
      </c>
      <c r="T16" s="17">
        <f>Assumptions!$B$41/12</f>
        <v>33.333333333333336</v>
      </c>
      <c r="U16" s="17">
        <f>Assumptions!$B$41/12</f>
        <v>33.333333333333336</v>
      </c>
      <c r="V16" s="17">
        <f>Assumptions!$B$41/12</f>
        <v>33.333333333333336</v>
      </c>
      <c r="W16" s="17">
        <f>Assumptions!$B$41/12</f>
        <v>33.333333333333336</v>
      </c>
      <c r="X16" s="17">
        <f>Assumptions!$B$41/12</f>
        <v>33.333333333333336</v>
      </c>
      <c r="Y16" s="17">
        <f>Assumptions!$B$41/12</f>
        <v>33.333333333333336</v>
      </c>
      <c r="Z16" s="17">
        <f>Assumptions!$B$41/12</f>
        <v>33.333333333333336</v>
      </c>
      <c r="AA16" s="17">
        <f>Assumptions!$B$41/12</f>
        <v>33.333333333333336</v>
      </c>
      <c r="AB16" s="17">
        <f>Assumptions!$B$41/12</f>
        <v>33.333333333333336</v>
      </c>
      <c r="AC16" s="17">
        <f>Assumptions!$B$41/12</f>
        <v>33.333333333333336</v>
      </c>
      <c r="AD16" s="17">
        <f>Assumptions!$B$41/12</f>
        <v>33.333333333333336</v>
      </c>
      <c r="AE16" s="17">
        <f>Assumptions!$B$41/12</f>
        <v>33.333333333333336</v>
      </c>
      <c r="AF16" s="17">
        <f>Assumptions!$B$41/12</f>
        <v>33.333333333333336</v>
      </c>
      <c r="AG16" s="17">
        <f>Assumptions!$B$41/4</f>
        <v>100</v>
      </c>
      <c r="AH16" s="17">
        <f>Assumptions!$B$41/4</f>
        <v>100</v>
      </c>
      <c r="AI16" s="17">
        <f>Assumptions!$B$41/4</f>
        <v>100</v>
      </c>
      <c r="AJ16" s="17">
        <f>Assumptions!$B$41/4</f>
        <v>100</v>
      </c>
      <c r="AK16" s="17">
        <f>Assumptions!$B$41/4</f>
        <v>100</v>
      </c>
      <c r="AL16" s="17">
        <f>Assumptions!$B$41/4</f>
        <v>100</v>
      </c>
      <c r="AM16" s="17">
        <f>Assumptions!$B$41/4</f>
        <v>100</v>
      </c>
      <c r="AN16" s="17">
        <f>Assumptions!$B$41/4</f>
        <v>100</v>
      </c>
      <c r="AO16" s="17">
        <f>Assumptions!$B$41/4</f>
        <v>100</v>
      </c>
      <c r="AP16" s="17">
        <f>Assumptions!$B$41/4</f>
        <v>100</v>
      </c>
      <c r="AQ16" s="17">
        <f>Assumptions!$B$41/4</f>
        <v>100</v>
      </c>
      <c r="AR16" s="17">
        <f>Assumptions!$B$41/4</f>
        <v>100</v>
      </c>
    </row>
    <row r="17" spans="1:44" x14ac:dyDescent="0.3">
      <c r="A17" s="4" t="s">
        <v>226</v>
      </c>
      <c r="B17" s="6" t="s">
        <v>6</v>
      </c>
      <c r="C17" s="17">
        <f>Assumptions!$B$42/12</f>
        <v>20</v>
      </c>
      <c r="D17" s="17">
        <f>Assumptions!$B$42/12</f>
        <v>20</v>
      </c>
      <c r="E17" s="17">
        <f>Assumptions!$B$42/12</f>
        <v>20</v>
      </c>
      <c r="F17" s="17">
        <f>Assumptions!$B$42/12</f>
        <v>20</v>
      </c>
      <c r="G17" s="17">
        <f>Assumptions!$B$42/12</f>
        <v>20</v>
      </c>
      <c r="H17" s="17">
        <f>Assumptions!$B$42/12</f>
        <v>20</v>
      </c>
      <c r="I17" s="17">
        <f>Assumptions!$B$42/12</f>
        <v>20</v>
      </c>
      <c r="J17" s="17">
        <f>Assumptions!$B$42/12</f>
        <v>20</v>
      </c>
      <c r="K17" s="17">
        <f>Assumptions!$B$42/12</f>
        <v>20</v>
      </c>
      <c r="L17" s="17">
        <f>Assumptions!$B$42/12</f>
        <v>20</v>
      </c>
      <c r="M17" s="17">
        <f>Assumptions!$B$42/12</f>
        <v>20</v>
      </c>
      <c r="N17" s="17">
        <f>Assumptions!$B$42/12</f>
        <v>20</v>
      </c>
      <c r="O17" s="17">
        <f>Assumptions!$B$42/12</f>
        <v>20</v>
      </c>
      <c r="P17" s="17">
        <f>Assumptions!$B$42/12</f>
        <v>20</v>
      </c>
      <c r="Q17" s="17">
        <f>Assumptions!$B$42/12</f>
        <v>20</v>
      </c>
      <c r="R17" s="17">
        <f>Assumptions!$B$42/12</f>
        <v>20</v>
      </c>
      <c r="S17" s="17">
        <f>Assumptions!$B$42/12</f>
        <v>20</v>
      </c>
      <c r="T17" s="17">
        <f>Assumptions!$B$42/12</f>
        <v>20</v>
      </c>
      <c r="U17" s="17">
        <f>Assumptions!$B$42/12</f>
        <v>20</v>
      </c>
      <c r="V17" s="17">
        <f>Assumptions!$B$42/12</f>
        <v>20</v>
      </c>
      <c r="W17" s="17">
        <f>Assumptions!$B$42/12</f>
        <v>20</v>
      </c>
      <c r="X17" s="17">
        <f>Assumptions!$B$42/12</f>
        <v>20</v>
      </c>
      <c r="Y17" s="17">
        <f>Assumptions!$B$42/12</f>
        <v>20</v>
      </c>
      <c r="Z17" s="17">
        <f>Assumptions!$B$42/12</f>
        <v>20</v>
      </c>
      <c r="AA17" s="17">
        <f>Assumptions!$B$42/12</f>
        <v>20</v>
      </c>
      <c r="AB17" s="17">
        <f>Assumptions!$B$42/12</f>
        <v>20</v>
      </c>
      <c r="AC17" s="17">
        <f>Assumptions!$B$42/12</f>
        <v>20</v>
      </c>
      <c r="AD17" s="17">
        <f>Assumptions!$B$42/12</f>
        <v>20</v>
      </c>
      <c r="AE17" s="17">
        <f>Assumptions!$B$42/12</f>
        <v>20</v>
      </c>
      <c r="AF17" s="17">
        <f>Assumptions!$B$42/12</f>
        <v>20</v>
      </c>
      <c r="AG17" s="17">
        <f>Assumptions!$B$42/4</f>
        <v>60</v>
      </c>
      <c r="AH17" s="17">
        <f>Assumptions!$B$42/4</f>
        <v>60</v>
      </c>
      <c r="AI17" s="17">
        <f>Assumptions!$B$42/4</f>
        <v>60</v>
      </c>
      <c r="AJ17" s="17">
        <f>Assumptions!$B$42/4</f>
        <v>60</v>
      </c>
      <c r="AK17" s="17">
        <f>Assumptions!$B$42/4</f>
        <v>60</v>
      </c>
      <c r="AL17" s="17">
        <f>Assumptions!$B$42/4</f>
        <v>60</v>
      </c>
      <c r="AM17" s="17">
        <f>Assumptions!$B$42/4</f>
        <v>60</v>
      </c>
      <c r="AN17" s="17">
        <f>Assumptions!$B$42/4</f>
        <v>60</v>
      </c>
      <c r="AO17" s="17">
        <f>Assumptions!$B$42/4</f>
        <v>60</v>
      </c>
      <c r="AP17" s="17">
        <f>Assumptions!$B$42/4</f>
        <v>60</v>
      </c>
      <c r="AQ17" s="17">
        <f>Assumptions!$B$42/4</f>
        <v>60</v>
      </c>
      <c r="AR17" s="17">
        <f>Assumptions!$B$42/4</f>
        <v>60</v>
      </c>
    </row>
    <row r="18" spans="1:44" x14ac:dyDescent="0.3">
      <c r="A18" s="4" t="s">
        <v>227</v>
      </c>
      <c r="B18" s="6" t="s">
        <v>6</v>
      </c>
      <c r="C18" s="17">
        <f>Assumptions!$B$43/6</f>
        <v>33.333333333333336</v>
      </c>
      <c r="D18" s="17">
        <f>Assumptions!$B$43/6</f>
        <v>33.333333333333336</v>
      </c>
      <c r="E18" s="17">
        <f>Assumptions!$B$43/6</f>
        <v>33.333333333333336</v>
      </c>
      <c r="F18" s="17">
        <f>Assumptions!$B$43/6</f>
        <v>33.333333333333336</v>
      </c>
      <c r="G18" s="17">
        <f>Assumptions!$B$43/6</f>
        <v>33.333333333333336</v>
      </c>
      <c r="H18" s="17">
        <f>Assumptions!$B$43/6</f>
        <v>33.333333333333336</v>
      </c>
      <c r="I18" s="17">
        <f>0</f>
        <v>0</v>
      </c>
      <c r="J18" s="17">
        <f>0</f>
        <v>0</v>
      </c>
      <c r="K18" s="17">
        <f>0</f>
        <v>0</v>
      </c>
      <c r="L18" s="17">
        <f>0</f>
        <v>0</v>
      </c>
      <c r="M18" s="17">
        <f>0</f>
        <v>0</v>
      </c>
      <c r="N18" s="17">
        <f>0</f>
        <v>0</v>
      </c>
      <c r="O18" s="17">
        <f>0</f>
        <v>0</v>
      </c>
      <c r="P18" s="17">
        <f>0</f>
        <v>0</v>
      </c>
      <c r="Q18" s="17">
        <f>0</f>
        <v>0</v>
      </c>
      <c r="R18" s="17">
        <f>0</f>
        <v>0</v>
      </c>
      <c r="S18" s="17">
        <f>0</f>
        <v>0</v>
      </c>
      <c r="T18" s="17">
        <f>0</f>
        <v>0</v>
      </c>
      <c r="U18" s="17">
        <f>0</f>
        <v>0</v>
      </c>
      <c r="V18" s="17">
        <f>0</f>
        <v>0</v>
      </c>
      <c r="W18" s="17">
        <f>0</f>
        <v>0</v>
      </c>
      <c r="X18" s="17">
        <f>0</f>
        <v>0</v>
      </c>
      <c r="Y18" s="17">
        <f>0</f>
        <v>0</v>
      </c>
      <c r="Z18" s="17">
        <f>0</f>
        <v>0</v>
      </c>
      <c r="AA18" s="17">
        <f>0</f>
        <v>0</v>
      </c>
      <c r="AB18" s="17">
        <f>0</f>
        <v>0</v>
      </c>
      <c r="AC18" s="17">
        <f>0</f>
        <v>0</v>
      </c>
      <c r="AD18" s="17">
        <f>0</f>
        <v>0</v>
      </c>
      <c r="AE18" s="17">
        <f>0</f>
        <v>0</v>
      </c>
      <c r="AF18" s="17">
        <f>0</f>
        <v>0</v>
      </c>
      <c r="AG18" s="17">
        <f>0</f>
        <v>0</v>
      </c>
      <c r="AH18" s="17">
        <f>0</f>
        <v>0</v>
      </c>
      <c r="AI18" s="17">
        <f>0</f>
        <v>0</v>
      </c>
      <c r="AJ18" s="17">
        <f>0</f>
        <v>0</v>
      </c>
      <c r="AK18" s="17">
        <f>0</f>
        <v>0</v>
      </c>
      <c r="AL18" s="17">
        <f>0</f>
        <v>0</v>
      </c>
      <c r="AM18" s="17">
        <f>0</f>
        <v>0</v>
      </c>
      <c r="AN18" s="17">
        <f>0</f>
        <v>0</v>
      </c>
      <c r="AO18" s="17">
        <f>0</f>
        <v>0</v>
      </c>
      <c r="AP18" s="17">
        <f>0</f>
        <v>0</v>
      </c>
      <c r="AQ18" s="17">
        <f>0</f>
        <v>0</v>
      </c>
      <c r="AR18" s="17">
        <f>0</f>
        <v>0</v>
      </c>
    </row>
    <row r="19" spans="1:44" x14ac:dyDescent="0.3">
      <c r="A19" s="4" t="s">
        <v>228</v>
      </c>
      <c r="B19" s="11" t="s">
        <v>6</v>
      </c>
      <c r="C19" s="19">
        <f t="shared" ref="C19:AR19" si="1">SUM(C10:C18)</f>
        <v>2953.9805476433021</v>
      </c>
      <c r="D19" s="19">
        <f t="shared" si="1"/>
        <v>1802.5867356455656</v>
      </c>
      <c r="E19" s="19">
        <f t="shared" si="1"/>
        <v>1803.3685359125525</v>
      </c>
      <c r="F19" s="19">
        <f t="shared" si="1"/>
        <v>1804.2126700752158</v>
      </c>
      <c r="G19" s="19">
        <f t="shared" si="1"/>
        <v>1805.0835688856641</v>
      </c>
      <c r="H19" s="19">
        <f t="shared" si="1"/>
        <v>1806.0996006065236</v>
      </c>
      <c r="I19" s="19">
        <f t="shared" si="1"/>
        <v>2554.7492378074221</v>
      </c>
      <c r="J19" s="19">
        <f t="shared" si="1"/>
        <v>2123.9368091241895</v>
      </c>
      <c r="K19" s="19">
        <f t="shared" si="1"/>
        <v>2125.1912955837147</v>
      </c>
      <c r="L19" s="19">
        <f t="shared" si="1"/>
        <v>2126.5878565126754</v>
      </c>
      <c r="M19" s="19">
        <f t="shared" si="1"/>
        <v>2128.0974729810164</v>
      </c>
      <c r="N19" s="19">
        <f t="shared" si="1"/>
        <v>2129.6963963081416</v>
      </c>
      <c r="O19" s="19">
        <f t="shared" si="1"/>
        <v>2131.4509930684071</v>
      </c>
      <c r="P19" s="19">
        <f t="shared" si="1"/>
        <v>2133.2852878340946</v>
      </c>
      <c r="Q19" s="19">
        <f t="shared" si="1"/>
        <v>2135.3289625044945</v>
      </c>
      <c r="R19" s="19">
        <f t="shared" si="1"/>
        <v>2137.4371619042872</v>
      </c>
      <c r="S19" s="19">
        <f t="shared" si="1"/>
        <v>2139.7362301065355</v>
      </c>
      <c r="T19" s="19">
        <f t="shared" si="1"/>
        <v>2142.158184933226</v>
      </c>
      <c r="U19" s="19">
        <f t="shared" si="1"/>
        <v>2640.7396158084816</v>
      </c>
      <c r="V19" s="19">
        <f t="shared" si="1"/>
        <v>2643.4680764267227</v>
      </c>
      <c r="W19" s="19">
        <f t="shared" si="1"/>
        <v>2646.3213443450618</v>
      </c>
      <c r="X19" s="19">
        <f t="shared" si="1"/>
        <v>3225.2759079395837</v>
      </c>
      <c r="Y19" s="19">
        <f t="shared" si="1"/>
        <v>2652.3593275577987</v>
      </c>
      <c r="Z19" s="19">
        <f t="shared" si="1"/>
        <v>2655.653471175332</v>
      </c>
      <c r="AA19" s="19">
        <f t="shared" si="1"/>
        <v>2658.9698873994653</v>
      </c>
      <c r="AB19" s="19">
        <f t="shared" si="1"/>
        <v>2662.3853341211634</v>
      </c>
      <c r="AC19" s="19">
        <f t="shared" si="1"/>
        <v>2665.9296005300962</v>
      </c>
      <c r="AD19" s="19">
        <f t="shared" si="1"/>
        <v>2669.5019558115855</v>
      </c>
      <c r="AE19" s="19">
        <f t="shared" si="1"/>
        <v>2673.1283830383295</v>
      </c>
      <c r="AF19" s="19">
        <f t="shared" si="1"/>
        <v>2676.8364179232044</v>
      </c>
      <c r="AG19" s="19">
        <f t="shared" si="1"/>
        <v>11023.68228040469</v>
      </c>
      <c r="AH19" s="19">
        <f t="shared" si="1"/>
        <v>10263.276505277154</v>
      </c>
      <c r="AI19" s="19">
        <f t="shared" si="1"/>
        <v>10293.06926462893</v>
      </c>
      <c r="AJ19" s="19">
        <f t="shared" si="1"/>
        <v>10319.737554631973</v>
      </c>
      <c r="AK19" s="19">
        <f t="shared" si="1"/>
        <v>14388.621757689576</v>
      </c>
      <c r="AL19" s="19">
        <f t="shared" si="1"/>
        <v>13400.01439769054</v>
      </c>
      <c r="AM19" s="19">
        <f t="shared" si="1"/>
        <v>13415.864413815665</v>
      </c>
      <c r="AN19" s="19">
        <f t="shared" si="1"/>
        <v>13428.406165795404</v>
      </c>
      <c r="AO19" s="19">
        <f t="shared" si="1"/>
        <v>17019.675534087324</v>
      </c>
      <c r="AP19" s="19">
        <f t="shared" si="1"/>
        <v>16307.360859752833</v>
      </c>
      <c r="AQ19" s="19">
        <f t="shared" si="1"/>
        <v>16313.176377309797</v>
      </c>
      <c r="AR19" s="19">
        <f t="shared" si="1"/>
        <v>16317.67146578929</v>
      </c>
    </row>
    <row r="21" spans="1:44" x14ac:dyDescent="0.3">
      <c r="A21" s="4" t="s">
        <v>229</v>
      </c>
      <c r="B21" s="11" t="s">
        <v>6</v>
      </c>
      <c r="C21" s="19">
        <f t="shared" ref="C21:AR21" si="2">C7+C19</f>
        <v>3833.9805476433021</v>
      </c>
      <c r="D21" s="19">
        <f t="shared" si="2"/>
        <v>2682.5867356455656</v>
      </c>
      <c r="E21" s="19">
        <f t="shared" si="2"/>
        <v>2683.3685359125525</v>
      </c>
      <c r="F21" s="19">
        <f t="shared" si="2"/>
        <v>2684.212670075216</v>
      </c>
      <c r="G21" s="19">
        <f t="shared" si="2"/>
        <v>2685.0835688856641</v>
      </c>
      <c r="H21" s="19">
        <f t="shared" si="2"/>
        <v>2686.0996006065234</v>
      </c>
      <c r="I21" s="19">
        <f t="shared" si="2"/>
        <v>2633.9492378074219</v>
      </c>
      <c r="J21" s="19">
        <f t="shared" si="2"/>
        <v>2203.1368091241893</v>
      </c>
      <c r="K21" s="19">
        <f t="shared" si="2"/>
        <v>2204.3912955837145</v>
      </c>
      <c r="L21" s="19">
        <f t="shared" si="2"/>
        <v>2205.7878565126753</v>
      </c>
      <c r="M21" s="19">
        <f t="shared" si="2"/>
        <v>2207.2974729810162</v>
      </c>
      <c r="N21" s="19">
        <f t="shared" si="2"/>
        <v>2208.8963963081414</v>
      </c>
      <c r="O21" s="19">
        <f t="shared" si="2"/>
        <v>2210.6509930684069</v>
      </c>
      <c r="P21" s="19">
        <f t="shared" si="2"/>
        <v>2212.4852878340944</v>
      </c>
      <c r="Q21" s="19">
        <f t="shared" si="2"/>
        <v>2214.5289625044943</v>
      </c>
      <c r="R21" s="19">
        <f t="shared" si="2"/>
        <v>2216.637161904287</v>
      </c>
      <c r="S21" s="19">
        <f t="shared" si="2"/>
        <v>2218.9362301065353</v>
      </c>
      <c r="T21" s="19">
        <f t="shared" si="2"/>
        <v>2221.3581849332259</v>
      </c>
      <c r="U21" s="19">
        <f t="shared" si="2"/>
        <v>2719.9396158084814</v>
      </c>
      <c r="V21" s="19">
        <f t="shared" si="2"/>
        <v>2722.6680764267226</v>
      </c>
      <c r="W21" s="19">
        <f t="shared" si="2"/>
        <v>2725.5213443450616</v>
      </c>
      <c r="X21" s="19">
        <f t="shared" si="2"/>
        <v>3304.4759079395835</v>
      </c>
      <c r="Y21" s="19">
        <f t="shared" si="2"/>
        <v>2731.5593275577985</v>
      </c>
      <c r="Z21" s="19">
        <f t="shared" si="2"/>
        <v>2734.8534711753318</v>
      </c>
      <c r="AA21" s="19">
        <f t="shared" si="2"/>
        <v>2738.1698873994651</v>
      </c>
      <c r="AB21" s="19">
        <f t="shared" si="2"/>
        <v>2741.5853341211632</v>
      </c>
      <c r="AC21" s="19">
        <f t="shared" si="2"/>
        <v>2745.129600530096</v>
      </c>
      <c r="AD21" s="19">
        <f t="shared" si="2"/>
        <v>2748.7019558115853</v>
      </c>
      <c r="AE21" s="19">
        <f t="shared" si="2"/>
        <v>2752.3283830383293</v>
      </c>
      <c r="AF21" s="19">
        <f t="shared" si="2"/>
        <v>2756.0364179232042</v>
      </c>
      <c r="AG21" s="19">
        <f t="shared" si="2"/>
        <v>11261.28228040469</v>
      </c>
      <c r="AH21" s="19">
        <f t="shared" si="2"/>
        <v>10500.876505277154</v>
      </c>
      <c r="AI21" s="19">
        <f t="shared" si="2"/>
        <v>10530.66926462893</v>
      </c>
      <c r="AJ21" s="19">
        <f t="shared" si="2"/>
        <v>10557.337554631973</v>
      </c>
      <c r="AK21" s="19">
        <f t="shared" si="2"/>
        <v>14626.221757689576</v>
      </c>
      <c r="AL21" s="19">
        <f t="shared" si="2"/>
        <v>13637.61439769054</v>
      </c>
      <c r="AM21" s="19">
        <f t="shared" si="2"/>
        <v>13653.464413815665</v>
      </c>
      <c r="AN21" s="19">
        <f t="shared" si="2"/>
        <v>13666.006165795405</v>
      </c>
      <c r="AO21" s="19">
        <f t="shared" si="2"/>
        <v>17257.275534087323</v>
      </c>
      <c r="AP21" s="19">
        <f t="shared" si="2"/>
        <v>16544.960859752831</v>
      </c>
      <c r="AQ21" s="19">
        <f t="shared" si="2"/>
        <v>16550.776377309798</v>
      </c>
      <c r="AR21" s="19">
        <f t="shared" si="2"/>
        <v>16555.27146578929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T18"/>
  <sheetViews>
    <sheetView workbookViewId="0">
      <selection activeCell="C4" sqref="C4"/>
    </sheetView>
  </sheetViews>
  <sheetFormatPr defaultRowHeight="14.4" x14ac:dyDescent="0.3"/>
  <cols>
    <col min="1" max="1" width="38" customWidth="1"/>
    <col min="2" max="2" width="10" customWidth="1"/>
    <col min="3" max="44" width="12" customWidth="1"/>
    <col min="46" max="46" width="14" customWidth="1"/>
  </cols>
  <sheetData>
    <row r="1" spans="1:46" x14ac:dyDescent="0.3">
      <c r="A1" s="28" t="s">
        <v>230</v>
      </c>
      <c r="B1" s="30"/>
    </row>
    <row r="3" spans="1:46" x14ac:dyDescent="0.3">
      <c r="A3" s="3" t="s">
        <v>196</v>
      </c>
      <c r="B3" s="3" t="s">
        <v>32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160</v>
      </c>
      <c r="W3" s="3" t="s">
        <v>161</v>
      </c>
      <c r="X3" s="3" t="s">
        <v>162</v>
      </c>
      <c r="Y3" s="3" t="s">
        <v>163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170</v>
      </c>
      <c r="AG3" s="3" t="s">
        <v>171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176</v>
      </c>
      <c r="AM3" s="3" t="s">
        <v>177</v>
      </c>
      <c r="AN3" s="3" t="s">
        <v>178</v>
      </c>
      <c r="AO3" s="3" t="s">
        <v>179</v>
      </c>
      <c r="AP3" s="3" t="s">
        <v>180</v>
      </c>
      <c r="AQ3" s="3" t="s">
        <v>181</v>
      </c>
      <c r="AR3" s="3" t="s">
        <v>182</v>
      </c>
      <c r="AT3" s="3" t="s">
        <v>197</v>
      </c>
    </row>
    <row r="4" spans="1:46" x14ac:dyDescent="0.3">
      <c r="A4" s="4" t="s">
        <v>17</v>
      </c>
      <c r="B4" s="6" t="s">
        <v>6</v>
      </c>
      <c r="C4" s="17">
        <f>'Revenue Schedule'!C16</f>
        <v>527.61283910043039</v>
      </c>
      <c r="D4" s="17">
        <f>'Revenue Schedule'!D16</f>
        <v>572.57178260168473</v>
      </c>
      <c r="E4" s="17">
        <f>'Revenue Schedule'!E16</f>
        <v>630.55530240322071</v>
      </c>
      <c r="F4" s="17">
        <f>'Revenue Schedule'!F16</f>
        <v>693.16191946741947</v>
      </c>
      <c r="G4" s="17">
        <f>'Revenue Schedule'!G16</f>
        <v>757.75358124232775</v>
      </c>
      <c r="H4" s="17">
        <f>'Revenue Schedule'!H16</f>
        <v>833.10926720607574</v>
      </c>
      <c r="I4" s="17">
        <f>'Revenue Schedule'!I16</f>
        <v>963.47486639123986</v>
      </c>
      <c r="J4" s="17">
        <f>'Revenue Schedule'!J16</f>
        <v>1056.3033576519124</v>
      </c>
      <c r="K4" s="17">
        <f>'Revenue Schedule'!K16</f>
        <v>1154.3623825714481</v>
      </c>
      <c r="L4" s="17">
        <f>'Revenue Schedule'!L16</f>
        <v>4419.4189117476599</v>
      </c>
      <c r="M4" s="17">
        <f>'Revenue Schedule'!M16</f>
        <v>4554.7811884088951</v>
      </c>
      <c r="N4" s="17">
        <f>'Revenue Schedule'!N16</f>
        <v>4698.1513134077704</v>
      </c>
      <c r="O4" s="17">
        <f>'Revenue Schedule'!O16</f>
        <v>4855.4801562448938</v>
      </c>
      <c r="P4" s="17">
        <f>'Revenue Schedule'!P16</f>
        <v>5019.9552535682105</v>
      </c>
      <c r="Q4" s="17">
        <f>'Revenue Schedule'!Q16</f>
        <v>5203.2047490140903</v>
      </c>
      <c r="R4" s="17">
        <f>'Revenue Schedule'!R16</f>
        <v>5392.2399618621603</v>
      </c>
      <c r="S4" s="17">
        <f>'Revenue Schedule'!S16</f>
        <v>5598.3897439970851</v>
      </c>
      <c r="T4" s="17">
        <f>'Revenue Schedule'!T16</f>
        <v>5815.5583601237031</v>
      </c>
      <c r="U4" s="17">
        <f>'Revenue Schedule'!U16</f>
        <v>6428.6436022308499</v>
      </c>
      <c r="V4" s="17">
        <f>'Revenue Schedule'!V16</f>
        <v>6685.0825208706065</v>
      </c>
      <c r="W4" s="17">
        <f>'Revenue Schedule'!W16</f>
        <v>6953.2516616222038</v>
      </c>
      <c r="X4" s="17">
        <f>'Revenue Schedule'!X16</f>
        <v>7230.9412453260293</v>
      </c>
      <c r="Y4" s="17">
        <f>'Revenue Schedule'!Y16</f>
        <v>7520.7415771766555</v>
      </c>
      <c r="Z4" s="17">
        <f>'Revenue Schedule'!Z16</f>
        <v>7830.3471553098834</v>
      </c>
      <c r="AA4" s="17">
        <f>'Revenue Schedule'!AA16</f>
        <v>8142.0460614954027</v>
      </c>
      <c r="AB4" s="17">
        <f>'Revenue Schedule'!AB16</f>
        <v>8463.0525140454192</v>
      </c>
      <c r="AC4" s="17">
        <f>'Revenue Schedule'!AC16</f>
        <v>8796.1662995996558</v>
      </c>
      <c r="AD4" s="17">
        <f>'Revenue Schedule'!AD16</f>
        <v>9131.9200646559002</v>
      </c>
      <c r="AE4" s="17">
        <f>'Revenue Schedule'!AE16</f>
        <v>9472.7558716068179</v>
      </c>
      <c r="AF4" s="17">
        <f>'Revenue Schedule'!AF16</f>
        <v>9821.2617103199045</v>
      </c>
      <c r="AG4" s="17">
        <f>'Revenue Schedule'!AG16</f>
        <v>33363.156187864661</v>
      </c>
      <c r="AH4" s="17">
        <f>'Revenue Schedule'!AH16</f>
        <v>36479.998085109473</v>
      </c>
      <c r="AI4" s="17">
        <f>'Revenue Schedule'!AI16</f>
        <v>39419.121325416796</v>
      </c>
      <c r="AJ4" s="17">
        <f>'Revenue Schedule'!AJ16</f>
        <v>42050.008582340946</v>
      </c>
      <c r="AK4" s="17">
        <f>'Revenue Schedule'!AK16</f>
        <v>46894.641391203404</v>
      </c>
      <c r="AL4" s="17">
        <f>'Revenue Schedule'!AL16</f>
        <v>48905.485849232646</v>
      </c>
      <c r="AM4" s="17">
        <f>'Revenue Schedule'!AM16</f>
        <v>50548.991688731585</v>
      </c>
      <c r="AN4" s="17">
        <f>'Revenue Schedule'!AN16</f>
        <v>51849.459931383521</v>
      </c>
      <c r="AO4" s="17">
        <f>'Revenue Schedule'!AO16</f>
        <v>55972.506331617144</v>
      </c>
      <c r="AP4" s="17">
        <f>'Revenue Schedule'!AP16</f>
        <v>56811.22951933791</v>
      </c>
      <c r="AQ4" s="17">
        <f>'Revenue Schedule'!AQ16</f>
        <v>57445.894806914832</v>
      </c>
      <c r="AR4" s="17">
        <f>'Revenue Schedule'!AR16</f>
        <v>57936.457614881001</v>
      </c>
    </row>
    <row r="5" spans="1:46" x14ac:dyDescent="0.3">
      <c r="A5" s="4" t="s">
        <v>231</v>
      </c>
      <c r="B5" s="6" t="s">
        <v>6</v>
      </c>
      <c r="C5" s="17">
        <f>-'Revenue Schedule'!C20</f>
        <v>0</v>
      </c>
      <c r="D5" s="17">
        <f>-'Revenue Schedule'!D20</f>
        <v>0</v>
      </c>
      <c r="E5" s="17">
        <f>-'Revenue Schedule'!E20</f>
        <v>0</v>
      </c>
      <c r="F5" s="17">
        <f>-'Revenue Schedule'!F20</f>
        <v>0</v>
      </c>
      <c r="G5" s="17">
        <f>-'Revenue Schedule'!G20</f>
        <v>0</v>
      </c>
      <c r="H5" s="17">
        <f>-'Revenue Schedule'!H20</f>
        <v>0</v>
      </c>
      <c r="I5" s="17">
        <f>-'Revenue Schedule'!I20</f>
        <v>0</v>
      </c>
      <c r="J5" s="17">
        <f>-'Revenue Schedule'!J20</f>
        <v>0</v>
      </c>
      <c r="K5" s="17">
        <f>-'Revenue Schedule'!K20</f>
        <v>0</v>
      </c>
      <c r="L5" s="17">
        <f>-'Revenue Schedule'!L20</f>
        <v>-74.25</v>
      </c>
      <c r="M5" s="17">
        <f>-'Revenue Schedule'!M20</f>
        <v>-74.25</v>
      </c>
      <c r="N5" s="17">
        <f>-'Revenue Schedule'!N20</f>
        <v>-74.25</v>
      </c>
      <c r="O5" s="17">
        <f>-'Revenue Schedule'!O20</f>
        <v>-74.25</v>
      </c>
      <c r="P5" s="17">
        <f>-'Revenue Schedule'!P20</f>
        <v>-74.25</v>
      </c>
      <c r="Q5" s="17">
        <f>-'Revenue Schedule'!Q20</f>
        <v>-74.25</v>
      </c>
      <c r="R5" s="17">
        <f>-'Revenue Schedule'!R20</f>
        <v>-74.25</v>
      </c>
      <c r="S5" s="17">
        <f>-'Revenue Schedule'!S20</f>
        <v>-74.25</v>
      </c>
      <c r="T5" s="17">
        <f>-'Revenue Schedule'!T20</f>
        <v>-74.25</v>
      </c>
      <c r="U5" s="17">
        <f>-'Revenue Schedule'!U20</f>
        <v>-80.190000000000026</v>
      </c>
      <c r="V5" s="17">
        <f>-'Revenue Schedule'!V20</f>
        <v>-80.190000000000026</v>
      </c>
      <c r="W5" s="17">
        <f>-'Revenue Schedule'!W20</f>
        <v>-80.190000000000026</v>
      </c>
      <c r="X5" s="17">
        <f>-'Revenue Schedule'!X20</f>
        <v>-80.190000000000026</v>
      </c>
      <c r="Y5" s="17">
        <f>-'Revenue Schedule'!Y20</f>
        <v>-80.190000000000026</v>
      </c>
      <c r="Z5" s="17">
        <f>-'Revenue Schedule'!Z20</f>
        <v>-80.190000000000026</v>
      </c>
      <c r="AA5" s="17">
        <f>-'Revenue Schedule'!AA20</f>
        <v>-80.190000000000026</v>
      </c>
      <c r="AB5" s="17">
        <f>-'Revenue Schedule'!AB20</f>
        <v>-80.190000000000026</v>
      </c>
      <c r="AC5" s="17">
        <f>-'Revenue Schedule'!AC20</f>
        <v>-80.190000000000026</v>
      </c>
      <c r="AD5" s="17">
        <f>-'Revenue Schedule'!AD20</f>
        <v>-80.190000000000026</v>
      </c>
      <c r="AE5" s="17">
        <f>-'Revenue Schedule'!AE20</f>
        <v>-80.190000000000026</v>
      </c>
      <c r="AF5" s="17">
        <f>-'Revenue Schedule'!AF20</f>
        <v>-80.190000000000026</v>
      </c>
      <c r="AG5" s="17">
        <f>-'Revenue Schedule'!AG20</f>
        <v>-259.81560000000007</v>
      </c>
      <c r="AH5" s="17">
        <f>-'Revenue Schedule'!AH20</f>
        <v>-259.81560000000007</v>
      </c>
      <c r="AI5" s="17">
        <f>-'Revenue Schedule'!AI20</f>
        <v>-259.81560000000007</v>
      </c>
      <c r="AJ5" s="17">
        <f>-'Revenue Schedule'!AJ20</f>
        <v>-259.81560000000007</v>
      </c>
      <c r="AK5" s="17">
        <f>-'Revenue Schedule'!AK20</f>
        <v>-280.6008480000001</v>
      </c>
      <c r="AL5" s="17">
        <f>-'Revenue Schedule'!AL20</f>
        <v>-280.6008480000001</v>
      </c>
      <c r="AM5" s="17">
        <f>-'Revenue Schedule'!AM20</f>
        <v>-280.6008480000001</v>
      </c>
      <c r="AN5" s="17">
        <f>-'Revenue Schedule'!AN20</f>
        <v>-280.6008480000001</v>
      </c>
      <c r="AO5" s="17">
        <f>-'Revenue Schedule'!AO20</f>
        <v>-303.04891584000012</v>
      </c>
      <c r="AP5" s="17">
        <f>-'Revenue Schedule'!AP20</f>
        <v>-303.04891584000012</v>
      </c>
      <c r="AQ5" s="17">
        <f>-'Revenue Schedule'!AQ20</f>
        <v>-303.04891584000012</v>
      </c>
      <c r="AR5" s="17">
        <f>-'Revenue Schedule'!AR20</f>
        <v>-303.04891584000012</v>
      </c>
    </row>
    <row r="6" spans="1:46" x14ac:dyDescent="0.3">
      <c r="A6" s="4" t="s">
        <v>212</v>
      </c>
      <c r="B6" s="11" t="s">
        <v>6</v>
      </c>
      <c r="C6" s="19">
        <f t="shared" ref="C6:AR6" si="0">C4+C5</f>
        <v>527.61283910043039</v>
      </c>
      <c r="D6" s="19">
        <f t="shared" si="0"/>
        <v>572.57178260168473</v>
      </c>
      <c r="E6" s="19">
        <f t="shared" si="0"/>
        <v>630.55530240322071</v>
      </c>
      <c r="F6" s="19">
        <f t="shared" si="0"/>
        <v>693.16191946741947</v>
      </c>
      <c r="G6" s="19">
        <f t="shared" si="0"/>
        <v>757.75358124232775</v>
      </c>
      <c r="H6" s="19">
        <f t="shared" si="0"/>
        <v>833.10926720607574</v>
      </c>
      <c r="I6" s="19">
        <f t="shared" si="0"/>
        <v>963.47486639123986</v>
      </c>
      <c r="J6" s="19">
        <f t="shared" si="0"/>
        <v>1056.3033576519124</v>
      </c>
      <c r="K6" s="19">
        <f t="shared" si="0"/>
        <v>1154.3623825714481</v>
      </c>
      <c r="L6" s="19">
        <f t="shared" si="0"/>
        <v>4345.1689117476599</v>
      </c>
      <c r="M6" s="19">
        <f t="shared" si="0"/>
        <v>4480.5311884088951</v>
      </c>
      <c r="N6" s="19">
        <f t="shared" si="0"/>
        <v>4623.9013134077704</v>
      </c>
      <c r="O6" s="19">
        <f t="shared" si="0"/>
        <v>4781.2301562448938</v>
      </c>
      <c r="P6" s="19">
        <f t="shared" si="0"/>
        <v>4945.7052535682105</v>
      </c>
      <c r="Q6" s="19">
        <f t="shared" si="0"/>
        <v>5128.9547490140903</v>
      </c>
      <c r="R6" s="19">
        <f t="shared" si="0"/>
        <v>5317.9899618621603</v>
      </c>
      <c r="S6" s="19">
        <f t="shared" si="0"/>
        <v>5524.1397439970851</v>
      </c>
      <c r="T6" s="19">
        <f t="shared" si="0"/>
        <v>5741.3083601237031</v>
      </c>
      <c r="U6" s="19">
        <f t="shared" si="0"/>
        <v>6348.4536022308503</v>
      </c>
      <c r="V6" s="19">
        <f t="shared" si="0"/>
        <v>6604.8925208706069</v>
      </c>
      <c r="W6" s="19">
        <f t="shared" si="0"/>
        <v>6873.0616616222042</v>
      </c>
      <c r="X6" s="19">
        <f t="shared" si="0"/>
        <v>7150.7512453260297</v>
      </c>
      <c r="Y6" s="19">
        <f t="shared" si="0"/>
        <v>7440.5515771766559</v>
      </c>
      <c r="Z6" s="19">
        <f t="shared" si="0"/>
        <v>7750.1571553098838</v>
      </c>
      <c r="AA6" s="19">
        <f t="shared" si="0"/>
        <v>8061.8560614954031</v>
      </c>
      <c r="AB6" s="19">
        <f t="shared" si="0"/>
        <v>8382.8625140454187</v>
      </c>
      <c r="AC6" s="19">
        <f t="shared" si="0"/>
        <v>8715.9762995996552</v>
      </c>
      <c r="AD6" s="19">
        <f t="shared" si="0"/>
        <v>9051.7300646558997</v>
      </c>
      <c r="AE6" s="19">
        <f t="shared" si="0"/>
        <v>9392.5658716068174</v>
      </c>
      <c r="AF6" s="19">
        <f t="shared" si="0"/>
        <v>9741.071710319904</v>
      </c>
      <c r="AG6" s="19">
        <f t="shared" si="0"/>
        <v>33103.340587864659</v>
      </c>
      <c r="AH6" s="19">
        <f t="shared" si="0"/>
        <v>36220.182485109472</v>
      </c>
      <c r="AI6" s="19">
        <f t="shared" si="0"/>
        <v>39159.305725416794</v>
      </c>
      <c r="AJ6" s="19">
        <f t="shared" si="0"/>
        <v>41790.192982340945</v>
      </c>
      <c r="AK6" s="19">
        <f t="shared" si="0"/>
        <v>46614.040543203402</v>
      </c>
      <c r="AL6" s="19">
        <f t="shared" si="0"/>
        <v>48624.885001232644</v>
      </c>
      <c r="AM6" s="19">
        <f t="shared" si="0"/>
        <v>50268.390840731583</v>
      </c>
      <c r="AN6" s="19">
        <f t="shared" si="0"/>
        <v>51568.859083383519</v>
      </c>
      <c r="AO6" s="19">
        <f t="shared" si="0"/>
        <v>55669.457415777142</v>
      </c>
      <c r="AP6" s="19">
        <f t="shared" si="0"/>
        <v>56508.180603497909</v>
      </c>
      <c r="AQ6" s="19">
        <f t="shared" si="0"/>
        <v>57142.84589107483</v>
      </c>
      <c r="AR6" s="19">
        <f t="shared" si="0"/>
        <v>57633.408699041</v>
      </c>
    </row>
    <row r="8" spans="1:46" x14ac:dyDescent="0.3">
      <c r="A8" s="4" t="s">
        <v>232</v>
      </c>
      <c r="B8" s="6" t="s">
        <v>6</v>
      </c>
      <c r="C8" s="17">
        <f>-'Cost Schedule'!C19</f>
        <v>-2953.9805476433021</v>
      </c>
      <c r="D8" s="17">
        <f>-'Cost Schedule'!D19</f>
        <v>-1802.5867356455656</v>
      </c>
      <c r="E8" s="17">
        <f>-'Cost Schedule'!E19</f>
        <v>-1803.3685359125525</v>
      </c>
      <c r="F8" s="17">
        <f>-'Cost Schedule'!F19</f>
        <v>-1804.2126700752158</v>
      </c>
      <c r="G8" s="17">
        <f>-'Cost Schedule'!G19</f>
        <v>-1805.0835688856641</v>
      </c>
      <c r="H8" s="17">
        <f>-'Cost Schedule'!H19</f>
        <v>-1806.0996006065236</v>
      </c>
      <c r="I8" s="17">
        <f>-'Cost Schedule'!I19</f>
        <v>-2554.7492378074221</v>
      </c>
      <c r="J8" s="17">
        <f>-'Cost Schedule'!J19</f>
        <v>-2123.9368091241895</v>
      </c>
      <c r="K8" s="17">
        <f>-'Cost Schedule'!K19</f>
        <v>-2125.1912955837147</v>
      </c>
      <c r="L8" s="17">
        <f>-'Cost Schedule'!L19</f>
        <v>-2126.5878565126754</v>
      </c>
      <c r="M8" s="17">
        <f>-'Cost Schedule'!M19</f>
        <v>-2128.0974729810164</v>
      </c>
      <c r="N8" s="17">
        <f>-'Cost Schedule'!N19</f>
        <v>-2129.6963963081416</v>
      </c>
      <c r="O8" s="17">
        <f>-'Cost Schedule'!O19</f>
        <v>-2131.4509930684071</v>
      </c>
      <c r="P8" s="17">
        <f>-'Cost Schedule'!P19</f>
        <v>-2133.2852878340946</v>
      </c>
      <c r="Q8" s="17">
        <f>-'Cost Schedule'!Q19</f>
        <v>-2135.3289625044945</v>
      </c>
      <c r="R8" s="17">
        <f>-'Cost Schedule'!R19</f>
        <v>-2137.4371619042872</v>
      </c>
      <c r="S8" s="17">
        <f>-'Cost Schedule'!S19</f>
        <v>-2139.7362301065355</v>
      </c>
      <c r="T8" s="17">
        <f>-'Cost Schedule'!T19</f>
        <v>-2142.158184933226</v>
      </c>
      <c r="U8" s="17">
        <f>-'Cost Schedule'!U19</f>
        <v>-2640.7396158084816</v>
      </c>
      <c r="V8" s="17">
        <f>-'Cost Schedule'!V19</f>
        <v>-2643.4680764267227</v>
      </c>
      <c r="W8" s="17">
        <f>-'Cost Schedule'!W19</f>
        <v>-2646.3213443450618</v>
      </c>
      <c r="X8" s="17">
        <f>-'Cost Schedule'!X19</f>
        <v>-3225.2759079395837</v>
      </c>
      <c r="Y8" s="17">
        <f>-'Cost Schedule'!Y19</f>
        <v>-2652.3593275577987</v>
      </c>
      <c r="Z8" s="17">
        <f>-'Cost Schedule'!Z19</f>
        <v>-2655.653471175332</v>
      </c>
      <c r="AA8" s="17">
        <f>-'Cost Schedule'!AA19</f>
        <v>-2658.9698873994653</v>
      </c>
      <c r="AB8" s="17">
        <f>-'Cost Schedule'!AB19</f>
        <v>-2662.3853341211634</v>
      </c>
      <c r="AC8" s="17">
        <f>-'Cost Schedule'!AC19</f>
        <v>-2665.9296005300962</v>
      </c>
      <c r="AD8" s="17">
        <f>-'Cost Schedule'!AD19</f>
        <v>-2669.5019558115855</v>
      </c>
      <c r="AE8" s="17">
        <f>-'Cost Schedule'!AE19</f>
        <v>-2673.1283830383295</v>
      </c>
      <c r="AF8" s="17">
        <f>-'Cost Schedule'!AF19</f>
        <v>-2676.8364179232044</v>
      </c>
      <c r="AG8" s="17">
        <f>-'Cost Schedule'!AG19</f>
        <v>-11023.68228040469</v>
      </c>
      <c r="AH8" s="17">
        <f>-'Cost Schedule'!AH19</f>
        <v>-10263.276505277154</v>
      </c>
      <c r="AI8" s="17">
        <f>-'Cost Schedule'!AI19</f>
        <v>-10293.06926462893</v>
      </c>
      <c r="AJ8" s="17">
        <f>-'Cost Schedule'!AJ19</f>
        <v>-10319.737554631973</v>
      </c>
      <c r="AK8" s="17">
        <f>-'Cost Schedule'!AK19</f>
        <v>-14388.621757689576</v>
      </c>
      <c r="AL8" s="17">
        <f>-'Cost Schedule'!AL19</f>
        <v>-13400.01439769054</v>
      </c>
      <c r="AM8" s="17">
        <f>-'Cost Schedule'!AM19</f>
        <v>-13415.864413815665</v>
      </c>
      <c r="AN8" s="17">
        <f>-'Cost Schedule'!AN19</f>
        <v>-13428.406165795404</v>
      </c>
      <c r="AO8" s="17">
        <f>-'Cost Schedule'!AO19</f>
        <v>-17019.675534087324</v>
      </c>
      <c r="AP8" s="17">
        <f>-'Cost Schedule'!AP19</f>
        <v>-16307.360859752833</v>
      </c>
      <c r="AQ8" s="17">
        <f>-'Cost Schedule'!AQ19</f>
        <v>-16313.176377309797</v>
      </c>
      <c r="AR8" s="17">
        <f>-'Cost Schedule'!AR19</f>
        <v>-16317.67146578929</v>
      </c>
    </row>
    <row r="9" spans="1:46" x14ac:dyDescent="0.3">
      <c r="A9" s="4" t="s">
        <v>21</v>
      </c>
      <c r="B9" s="11" t="s">
        <v>6</v>
      </c>
      <c r="C9" s="19">
        <f t="shared" ref="C9:AR9" si="1">C6+C8</f>
        <v>-2426.3677085428717</v>
      </c>
      <c r="D9" s="19">
        <f t="shared" si="1"/>
        <v>-1230.0149530438807</v>
      </c>
      <c r="E9" s="19">
        <f t="shared" si="1"/>
        <v>-1172.8132335093319</v>
      </c>
      <c r="F9" s="19">
        <f t="shared" si="1"/>
        <v>-1111.0507506077963</v>
      </c>
      <c r="G9" s="19">
        <f t="shared" si="1"/>
        <v>-1047.3299876433364</v>
      </c>
      <c r="H9" s="19">
        <f t="shared" si="1"/>
        <v>-972.99033340044787</v>
      </c>
      <c r="I9" s="19">
        <f t="shared" si="1"/>
        <v>-1591.2743714161822</v>
      </c>
      <c r="J9" s="19">
        <f t="shared" si="1"/>
        <v>-1067.6334514722771</v>
      </c>
      <c r="K9" s="19">
        <f t="shared" si="1"/>
        <v>-970.82891301226664</v>
      </c>
      <c r="L9" s="19">
        <f t="shared" si="1"/>
        <v>2218.5810552349844</v>
      </c>
      <c r="M9" s="19">
        <f t="shared" si="1"/>
        <v>2352.4337154278787</v>
      </c>
      <c r="N9" s="19">
        <f t="shared" si="1"/>
        <v>2494.2049170996288</v>
      </c>
      <c r="O9" s="19">
        <f t="shared" si="1"/>
        <v>2649.7791631764867</v>
      </c>
      <c r="P9" s="19">
        <f t="shared" si="1"/>
        <v>2812.419965734116</v>
      </c>
      <c r="Q9" s="19">
        <f t="shared" si="1"/>
        <v>2993.6257865095959</v>
      </c>
      <c r="R9" s="19">
        <f t="shared" si="1"/>
        <v>3180.552799957873</v>
      </c>
      <c r="S9" s="19">
        <f t="shared" si="1"/>
        <v>3384.4035138905497</v>
      </c>
      <c r="T9" s="19">
        <f t="shared" si="1"/>
        <v>3599.1501751904771</v>
      </c>
      <c r="U9" s="19">
        <f t="shared" si="1"/>
        <v>3707.7139864223686</v>
      </c>
      <c r="V9" s="19">
        <f t="shared" si="1"/>
        <v>3961.4244444438841</v>
      </c>
      <c r="W9" s="19">
        <f t="shared" si="1"/>
        <v>4226.7403172771428</v>
      </c>
      <c r="X9" s="19">
        <f t="shared" si="1"/>
        <v>3925.475337386446</v>
      </c>
      <c r="Y9" s="19">
        <f t="shared" si="1"/>
        <v>4788.1922496188572</v>
      </c>
      <c r="Z9" s="19">
        <f t="shared" si="1"/>
        <v>5094.5036841345518</v>
      </c>
      <c r="AA9" s="19">
        <f t="shared" si="1"/>
        <v>5402.8861740959383</v>
      </c>
      <c r="AB9" s="19">
        <f t="shared" si="1"/>
        <v>5720.4771799242553</v>
      </c>
      <c r="AC9" s="19">
        <f t="shared" si="1"/>
        <v>6050.0466990695586</v>
      </c>
      <c r="AD9" s="19">
        <f t="shared" si="1"/>
        <v>6382.2281088443142</v>
      </c>
      <c r="AE9" s="19">
        <f t="shared" si="1"/>
        <v>6719.4374885684883</v>
      </c>
      <c r="AF9" s="19">
        <f t="shared" si="1"/>
        <v>7064.2352923966992</v>
      </c>
      <c r="AG9" s="19">
        <f t="shared" si="1"/>
        <v>22079.658307459969</v>
      </c>
      <c r="AH9" s="19">
        <f t="shared" si="1"/>
        <v>25956.905979832318</v>
      </c>
      <c r="AI9" s="19">
        <f t="shared" si="1"/>
        <v>28866.236460787863</v>
      </c>
      <c r="AJ9" s="19">
        <f t="shared" si="1"/>
        <v>31470.45542770897</v>
      </c>
      <c r="AK9" s="19">
        <f t="shared" si="1"/>
        <v>32225.418785513826</v>
      </c>
      <c r="AL9" s="19">
        <f t="shared" si="1"/>
        <v>35224.870603542106</v>
      </c>
      <c r="AM9" s="19">
        <f t="shared" si="1"/>
        <v>36852.526426915916</v>
      </c>
      <c r="AN9" s="19">
        <f t="shared" si="1"/>
        <v>38140.452917588118</v>
      </c>
      <c r="AO9" s="19">
        <f t="shared" si="1"/>
        <v>38649.781881689822</v>
      </c>
      <c r="AP9" s="19">
        <f t="shared" si="1"/>
        <v>40200.819743745073</v>
      </c>
      <c r="AQ9" s="19">
        <f t="shared" si="1"/>
        <v>40829.669513765031</v>
      </c>
      <c r="AR9" s="19">
        <f t="shared" si="1"/>
        <v>41315.737233251712</v>
      </c>
    </row>
    <row r="10" spans="1:46" x14ac:dyDescent="0.3">
      <c r="A10" s="4" t="s">
        <v>233</v>
      </c>
      <c r="B10" s="6" t="s">
        <v>6</v>
      </c>
      <c r="C10" s="17">
        <f>-Assumptions!$B$36/Assumptions!$B$62/12</f>
        <v>-88</v>
      </c>
      <c r="D10" s="17">
        <f>-Assumptions!$B$36/Assumptions!$B$62/12</f>
        <v>-88</v>
      </c>
      <c r="E10" s="17">
        <f>-Assumptions!$B$36/Assumptions!$B$62/12</f>
        <v>-88</v>
      </c>
      <c r="F10" s="17">
        <f>-Assumptions!$B$36/Assumptions!$B$62/12</f>
        <v>-88</v>
      </c>
      <c r="G10" s="17">
        <f>-Assumptions!$B$36/Assumptions!$B$62/12</f>
        <v>-88</v>
      </c>
      <c r="H10" s="17">
        <f>-Assumptions!$B$36/Assumptions!$B$62/12</f>
        <v>-88</v>
      </c>
      <c r="I10" s="17">
        <f>-Assumptions!$B$36/Assumptions!$B$62/12</f>
        <v>-88</v>
      </c>
      <c r="J10" s="17">
        <f>-Assumptions!$B$36/Assumptions!$B$62/12</f>
        <v>-88</v>
      </c>
      <c r="K10" s="17">
        <f>-Assumptions!$B$36/Assumptions!$B$62/12</f>
        <v>-88</v>
      </c>
      <c r="L10" s="17">
        <f>-Assumptions!$B$36/Assumptions!$B$62/12</f>
        <v>-88</v>
      </c>
      <c r="M10" s="17">
        <f>-Assumptions!$B$36/Assumptions!$B$62/12</f>
        <v>-88</v>
      </c>
      <c r="N10" s="17">
        <f>-Assumptions!$B$36/Assumptions!$B$62/12</f>
        <v>-88</v>
      </c>
      <c r="O10" s="17">
        <f>-Assumptions!$B$36/Assumptions!$B$62/12</f>
        <v>-88</v>
      </c>
      <c r="P10" s="17">
        <f>-Assumptions!$B$36/Assumptions!$B$62/12</f>
        <v>-88</v>
      </c>
      <c r="Q10" s="17">
        <f>-Assumptions!$B$36/Assumptions!$B$62/12</f>
        <v>-88</v>
      </c>
      <c r="R10" s="17">
        <f>-Assumptions!$B$36/Assumptions!$B$62/12</f>
        <v>-88</v>
      </c>
      <c r="S10" s="17">
        <f>-Assumptions!$B$36/Assumptions!$B$62/12</f>
        <v>-88</v>
      </c>
      <c r="T10" s="17">
        <f>-Assumptions!$B$36/Assumptions!$B$62/12</f>
        <v>-88</v>
      </c>
      <c r="U10" s="17">
        <f>-Assumptions!$B$36/Assumptions!$B$62/12</f>
        <v>-88</v>
      </c>
      <c r="V10" s="17">
        <f>-Assumptions!$B$36/Assumptions!$B$62/12</f>
        <v>-88</v>
      </c>
      <c r="W10" s="17">
        <f>-Assumptions!$B$36/Assumptions!$B$62/12</f>
        <v>-88</v>
      </c>
      <c r="X10" s="17">
        <f>-Assumptions!$B$36/Assumptions!$B$62/12</f>
        <v>-88</v>
      </c>
      <c r="Y10" s="17">
        <f>-Assumptions!$B$36/Assumptions!$B$62/12</f>
        <v>-88</v>
      </c>
      <c r="Z10" s="17">
        <f>-Assumptions!$B$36/Assumptions!$B$62/12</f>
        <v>-88</v>
      </c>
      <c r="AA10" s="17">
        <f>-Assumptions!$B$36/Assumptions!$B$62/12</f>
        <v>-88</v>
      </c>
      <c r="AB10" s="17">
        <f>-Assumptions!$B$36/Assumptions!$B$62/12</f>
        <v>-88</v>
      </c>
      <c r="AC10" s="17">
        <f>-Assumptions!$B$36/Assumptions!$B$62/12</f>
        <v>-88</v>
      </c>
      <c r="AD10" s="17">
        <f>-Assumptions!$B$36/Assumptions!$B$62/12</f>
        <v>-88</v>
      </c>
      <c r="AE10" s="17">
        <f>-Assumptions!$B$36/Assumptions!$B$62/12</f>
        <v>-88</v>
      </c>
      <c r="AF10" s="17">
        <f>-Assumptions!$B$36/Assumptions!$B$62/12</f>
        <v>-88</v>
      </c>
      <c r="AG10" s="17">
        <f>-Assumptions!$B$36/Assumptions!$B$62/4</f>
        <v>-264</v>
      </c>
      <c r="AH10" s="17">
        <f>-Assumptions!$B$36/Assumptions!$B$62/4</f>
        <v>-264</v>
      </c>
      <c r="AI10" s="17">
        <f>-Assumptions!$B$36/Assumptions!$B$62/4</f>
        <v>-264</v>
      </c>
      <c r="AJ10" s="17">
        <f>-Assumptions!$B$36/Assumptions!$B$62/4</f>
        <v>-264</v>
      </c>
      <c r="AK10" s="17">
        <f>-Assumptions!$B$36/Assumptions!$B$62/4</f>
        <v>-264</v>
      </c>
      <c r="AL10" s="17">
        <f>-Assumptions!$B$36/Assumptions!$B$62/4</f>
        <v>-264</v>
      </c>
      <c r="AM10" s="17">
        <f>-Assumptions!$B$36/Assumptions!$B$62/4</f>
        <v>-264</v>
      </c>
      <c r="AN10" s="17">
        <f>-Assumptions!$B$36/Assumptions!$B$62/4</f>
        <v>-264</v>
      </c>
      <c r="AO10" s="17">
        <f>0</f>
        <v>0</v>
      </c>
      <c r="AP10" s="17">
        <f>0</f>
        <v>0</v>
      </c>
      <c r="AQ10" s="17">
        <f>0</f>
        <v>0</v>
      </c>
      <c r="AR10" s="17">
        <f>0</f>
        <v>0</v>
      </c>
    </row>
    <row r="11" spans="1:46" x14ac:dyDescent="0.3">
      <c r="A11" s="4" t="s">
        <v>234</v>
      </c>
      <c r="B11" s="11" t="s">
        <v>6</v>
      </c>
      <c r="C11" s="19">
        <f t="shared" ref="C11:AR11" si="2">C9+C10</f>
        <v>-2514.3677085428717</v>
      </c>
      <c r="D11" s="19">
        <f t="shared" si="2"/>
        <v>-1318.0149530438807</v>
      </c>
      <c r="E11" s="19">
        <f t="shared" si="2"/>
        <v>-1260.8132335093319</v>
      </c>
      <c r="F11" s="19">
        <f t="shared" si="2"/>
        <v>-1199.0507506077963</v>
      </c>
      <c r="G11" s="19">
        <f t="shared" si="2"/>
        <v>-1135.3299876433364</v>
      </c>
      <c r="H11" s="19">
        <f t="shared" si="2"/>
        <v>-1060.990333400448</v>
      </c>
      <c r="I11" s="19">
        <f t="shared" si="2"/>
        <v>-1679.2743714161822</v>
      </c>
      <c r="J11" s="19">
        <f t="shared" si="2"/>
        <v>-1155.6334514722771</v>
      </c>
      <c r="K11" s="19">
        <f t="shared" si="2"/>
        <v>-1058.8289130122666</v>
      </c>
      <c r="L11" s="19">
        <f t="shared" si="2"/>
        <v>2130.5810552349844</v>
      </c>
      <c r="M11" s="19">
        <f t="shared" si="2"/>
        <v>2264.4337154278787</v>
      </c>
      <c r="N11" s="19">
        <f t="shared" si="2"/>
        <v>2406.2049170996288</v>
      </c>
      <c r="O11" s="19">
        <f t="shared" si="2"/>
        <v>2561.7791631764867</v>
      </c>
      <c r="P11" s="19">
        <f t="shared" si="2"/>
        <v>2724.419965734116</v>
      </c>
      <c r="Q11" s="19">
        <f t="shared" si="2"/>
        <v>2905.6257865095959</v>
      </c>
      <c r="R11" s="19">
        <f t="shared" si="2"/>
        <v>3092.552799957873</v>
      </c>
      <c r="S11" s="19">
        <f t="shared" si="2"/>
        <v>3296.4035138905497</v>
      </c>
      <c r="T11" s="19">
        <f t="shared" si="2"/>
        <v>3511.1501751904771</v>
      </c>
      <c r="U11" s="19">
        <f t="shared" si="2"/>
        <v>3619.7139864223686</v>
      </c>
      <c r="V11" s="19">
        <f t="shared" si="2"/>
        <v>3873.4244444438841</v>
      </c>
      <c r="W11" s="19">
        <f t="shared" si="2"/>
        <v>4138.7403172771428</v>
      </c>
      <c r="X11" s="19">
        <f t="shared" si="2"/>
        <v>3837.475337386446</v>
      </c>
      <c r="Y11" s="19">
        <f t="shared" si="2"/>
        <v>4700.1922496188572</v>
      </c>
      <c r="Z11" s="19">
        <f t="shared" si="2"/>
        <v>5006.5036841345518</v>
      </c>
      <c r="AA11" s="19">
        <f t="shared" si="2"/>
        <v>5314.8861740959383</v>
      </c>
      <c r="AB11" s="19">
        <f t="shared" si="2"/>
        <v>5632.4771799242553</v>
      </c>
      <c r="AC11" s="19">
        <f t="shared" si="2"/>
        <v>5962.0466990695586</v>
      </c>
      <c r="AD11" s="19">
        <f t="shared" si="2"/>
        <v>6294.2281088443142</v>
      </c>
      <c r="AE11" s="19">
        <f t="shared" si="2"/>
        <v>6631.4374885684883</v>
      </c>
      <c r="AF11" s="19">
        <f t="shared" si="2"/>
        <v>6976.2352923966992</v>
      </c>
      <c r="AG11" s="19">
        <f t="shared" si="2"/>
        <v>21815.658307459969</v>
      </c>
      <c r="AH11" s="19">
        <f t="shared" si="2"/>
        <v>25692.905979832318</v>
      </c>
      <c r="AI11" s="19">
        <f t="shared" si="2"/>
        <v>28602.236460787863</v>
      </c>
      <c r="AJ11" s="19">
        <f t="shared" si="2"/>
        <v>31206.45542770897</v>
      </c>
      <c r="AK11" s="19">
        <f t="shared" si="2"/>
        <v>31961.418785513826</v>
      </c>
      <c r="AL11" s="19">
        <f t="shared" si="2"/>
        <v>34960.870603542106</v>
      </c>
      <c r="AM11" s="19">
        <f t="shared" si="2"/>
        <v>36588.526426915916</v>
      </c>
      <c r="AN11" s="19">
        <f t="shared" si="2"/>
        <v>37876.452917588118</v>
      </c>
      <c r="AO11" s="19">
        <f t="shared" si="2"/>
        <v>38649.781881689822</v>
      </c>
      <c r="AP11" s="19">
        <f t="shared" si="2"/>
        <v>40200.819743745073</v>
      </c>
      <c r="AQ11" s="19">
        <f t="shared" si="2"/>
        <v>40829.669513765031</v>
      </c>
      <c r="AR11" s="19">
        <f t="shared" si="2"/>
        <v>41315.737233251712</v>
      </c>
    </row>
    <row r="12" spans="1:46" x14ac:dyDescent="0.3">
      <c r="A12" s="4" t="s">
        <v>235</v>
      </c>
      <c r="B12" s="6" t="s">
        <v>6</v>
      </c>
      <c r="C12" s="17">
        <f>IF(C11&gt;0,-C11*Assumptions!$B$60,0)</f>
        <v>0</v>
      </c>
      <c r="D12" s="17">
        <f>IF(D11&gt;0,-D11*Assumptions!$B$60,0)</f>
        <v>0</v>
      </c>
      <c r="E12" s="17">
        <f>IF(E11&gt;0,-E11*Assumptions!$B$60,0)</f>
        <v>0</v>
      </c>
      <c r="F12" s="17">
        <f>IF(F11&gt;0,-F11*Assumptions!$B$60,0)</f>
        <v>0</v>
      </c>
      <c r="G12" s="17">
        <f>IF(G11&gt;0,-G11*Assumptions!$B$60,0)</f>
        <v>0</v>
      </c>
      <c r="H12" s="17">
        <f>IF(H11&gt;0,-H11*Assumptions!$B$60,0)</f>
        <v>0</v>
      </c>
      <c r="I12" s="17">
        <f>IF(I11&gt;0,-I11*Assumptions!$B$60,0)</f>
        <v>0</v>
      </c>
      <c r="J12" s="17">
        <f>IF(J11&gt;0,-J11*Assumptions!$B$60,0)</f>
        <v>0</v>
      </c>
      <c r="K12" s="17">
        <f>IF(K11&gt;0,-K11*Assumptions!$B$60,0)</f>
        <v>0</v>
      </c>
      <c r="L12" s="17">
        <f>IF(L11&gt;0,-L11*Assumptions!$B$60,0)</f>
        <v>-426.11621104699691</v>
      </c>
      <c r="M12" s="17">
        <f>IF(M11&gt;0,-M11*Assumptions!$B$60,0)</f>
        <v>-452.88674308557574</v>
      </c>
      <c r="N12" s="17">
        <f>IF(N11&gt;0,-N11*Assumptions!$B$60,0)</f>
        <v>-481.24098341992578</v>
      </c>
      <c r="O12" s="17">
        <f>IF(O11&gt;0,-O11*Assumptions!$B$60,0)</f>
        <v>-512.35583263529736</v>
      </c>
      <c r="P12" s="17">
        <f>IF(P11&gt;0,-P11*Assumptions!$B$60,0)</f>
        <v>-544.88399314682317</v>
      </c>
      <c r="Q12" s="17">
        <f>IF(Q11&gt;0,-Q11*Assumptions!$B$60,0)</f>
        <v>-581.12515730191922</v>
      </c>
      <c r="R12" s="17">
        <f>IF(R11&gt;0,-R11*Assumptions!$B$60,0)</f>
        <v>-618.51055999157461</v>
      </c>
      <c r="S12" s="17">
        <f>IF(S11&gt;0,-S11*Assumptions!$B$60,0)</f>
        <v>-659.28070277811003</v>
      </c>
      <c r="T12" s="17">
        <f>IF(T11&gt;0,-T11*Assumptions!$B$60,0)</f>
        <v>-702.23003503809548</v>
      </c>
      <c r="U12" s="17">
        <f>IF(U11&gt;0,-U11*Assumptions!$B$60,0)</f>
        <v>-723.94279728447373</v>
      </c>
      <c r="V12" s="17">
        <f>IF(V11&gt;0,-V11*Assumptions!$B$60,0)</f>
        <v>-774.68488888877687</v>
      </c>
      <c r="W12" s="17">
        <f>IF(W11&gt;0,-W11*Assumptions!$B$60,0)</f>
        <v>-827.74806345542856</v>
      </c>
      <c r="X12" s="17">
        <f>IF(X11&gt;0,-X11*Assumptions!$B$60,0)</f>
        <v>-767.49506747728924</v>
      </c>
      <c r="Y12" s="17">
        <f>IF(Y11&gt;0,-Y11*Assumptions!$B$60,0)</f>
        <v>-940.03844992377151</v>
      </c>
      <c r="Z12" s="17">
        <f>IF(Z11&gt;0,-Z11*Assumptions!$B$60,0)</f>
        <v>-1001.3007368269105</v>
      </c>
      <c r="AA12" s="17">
        <f>IF(AA11&gt;0,-AA11*Assumptions!$B$60,0)</f>
        <v>-1062.9772348191877</v>
      </c>
      <c r="AB12" s="17">
        <f>IF(AB11&gt;0,-AB11*Assumptions!$B$60,0)</f>
        <v>-1126.4954359848512</v>
      </c>
      <c r="AC12" s="17">
        <f>IF(AC11&gt;0,-AC11*Assumptions!$B$60,0)</f>
        <v>-1192.4093398139119</v>
      </c>
      <c r="AD12" s="17">
        <f>IF(AD11&gt;0,-AD11*Assumptions!$B$60,0)</f>
        <v>-1258.8456217688629</v>
      </c>
      <c r="AE12" s="17">
        <f>IF(AE11&gt;0,-AE11*Assumptions!$B$60,0)</f>
        <v>-1326.2874977136978</v>
      </c>
      <c r="AF12" s="17">
        <f>IF(AF11&gt;0,-AF11*Assumptions!$B$60,0)</f>
        <v>-1395.24705847934</v>
      </c>
      <c r="AG12" s="17">
        <f>IF(AG11&gt;0,-AG11*Assumptions!$B$60,0)</f>
        <v>-4363.1316614919942</v>
      </c>
      <c r="AH12" s="17">
        <f>IF(AH11&gt;0,-AH11*Assumptions!$B$60,0)</f>
        <v>-5138.5811959664643</v>
      </c>
      <c r="AI12" s="17">
        <f>IF(AI11&gt;0,-AI11*Assumptions!$B$60,0)</f>
        <v>-5720.4472921575725</v>
      </c>
      <c r="AJ12" s="17">
        <f>IF(AJ11&gt;0,-AJ11*Assumptions!$B$60,0)</f>
        <v>-6241.291085541794</v>
      </c>
      <c r="AK12" s="17">
        <f>IF(AK11&gt;0,-AK11*Assumptions!$B$60,0)</f>
        <v>-6392.2837571027658</v>
      </c>
      <c r="AL12" s="17">
        <f>IF(AL11&gt;0,-AL11*Assumptions!$B$60,0)</f>
        <v>-6992.1741207084215</v>
      </c>
      <c r="AM12" s="17">
        <f>IF(AM11&gt;0,-AM11*Assumptions!$B$60,0)</f>
        <v>-7317.7052853831838</v>
      </c>
      <c r="AN12" s="17">
        <f>IF(AN11&gt;0,-AN11*Assumptions!$B$60,0)</f>
        <v>-7575.2905835176243</v>
      </c>
      <c r="AO12" s="17">
        <f>IF(AO11&gt;0,-AO11*Assumptions!$B$60,0)</f>
        <v>-7729.9563763379647</v>
      </c>
      <c r="AP12" s="17">
        <f>IF(AP11&gt;0,-AP11*Assumptions!$B$60,0)</f>
        <v>-8040.1639487490147</v>
      </c>
      <c r="AQ12" s="17">
        <f>IF(AQ11&gt;0,-AQ11*Assumptions!$B$60,0)</f>
        <v>-8165.9339027530068</v>
      </c>
      <c r="AR12" s="17">
        <f>IF(AR11&gt;0,-AR11*Assumptions!$B$60,0)</f>
        <v>-8263.1474466503423</v>
      </c>
    </row>
    <row r="13" spans="1:46" x14ac:dyDescent="0.3">
      <c r="A13" s="4" t="s">
        <v>236</v>
      </c>
      <c r="B13" s="11" t="s">
        <v>6</v>
      </c>
      <c r="C13" s="19">
        <f t="shared" ref="C13:AR13" si="3">C11+C12</f>
        <v>-2514.3677085428717</v>
      </c>
      <c r="D13" s="19">
        <f t="shared" si="3"/>
        <v>-1318.0149530438807</v>
      </c>
      <c r="E13" s="19">
        <f t="shared" si="3"/>
        <v>-1260.8132335093319</v>
      </c>
      <c r="F13" s="19">
        <f t="shared" si="3"/>
        <v>-1199.0507506077963</v>
      </c>
      <c r="G13" s="19">
        <f t="shared" si="3"/>
        <v>-1135.3299876433364</v>
      </c>
      <c r="H13" s="19">
        <f t="shared" si="3"/>
        <v>-1060.990333400448</v>
      </c>
      <c r="I13" s="19">
        <f t="shared" si="3"/>
        <v>-1679.2743714161822</v>
      </c>
      <c r="J13" s="19">
        <f t="shared" si="3"/>
        <v>-1155.6334514722771</v>
      </c>
      <c r="K13" s="19">
        <f t="shared" si="3"/>
        <v>-1058.8289130122666</v>
      </c>
      <c r="L13" s="19">
        <f t="shared" si="3"/>
        <v>1704.4648441879876</v>
      </c>
      <c r="M13" s="19">
        <f t="shared" si="3"/>
        <v>1811.546972342303</v>
      </c>
      <c r="N13" s="19">
        <f t="shared" si="3"/>
        <v>1924.9639336797031</v>
      </c>
      <c r="O13" s="19">
        <f t="shared" si="3"/>
        <v>2049.4233305411894</v>
      </c>
      <c r="P13" s="19">
        <f t="shared" si="3"/>
        <v>2179.5359725872927</v>
      </c>
      <c r="Q13" s="19">
        <f t="shared" si="3"/>
        <v>2324.5006292076769</v>
      </c>
      <c r="R13" s="19">
        <f t="shared" si="3"/>
        <v>2474.0422399662984</v>
      </c>
      <c r="S13" s="19">
        <f t="shared" si="3"/>
        <v>2637.1228111124396</v>
      </c>
      <c r="T13" s="19">
        <f t="shared" si="3"/>
        <v>2808.9201401523815</v>
      </c>
      <c r="U13" s="19">
        <f t="shared" si="3"/>
        <v>2895.7711891378949</v>
      </c>
      <c r="V13" s="19">
        <f t="shared" si="3"/>
        <v>3098.7395555551075</v>
      </c>
      <c r="W13" s="19">
        <f t="shared" si="3"/>
        <v>3310.9922538217143</v>
      </c>
      <c r="X13" s="19">
        <f t="shared" si="3"/>
        <v>3069.980269909157</v>
      </c>
      <c r="Y13" s="19">
        <f t="shared" si="3"/>
        <v>3760.1537996950856</v>
      </c>
      <c r="Z13" s="19">
        <f t="shared" si="3"/>
        <v>4005.2029473076414</v>
      </c>
      <c r="AA13" s="19">
        <f t="shared" si="3"/>
        <v>4251.908939276751</v>
      </c>
      <c r="AB13" s="19">
        <f t="shared" si="3"/>
        <v>4505.9817439394046</v>
      </c>
      <c r="AC13" s="19">
        <f t="shared" si="3"/>
        <v>4769.6373592556465</v>
      </c>
      <c r="AD13" s="19">
        <f t="shared" si="3"/>
        <v>5035.3824870754515</v>
      </c>
      <c r="AE13" s="19">
        <f t="shared" si="3"/>
        <v>5305.1499908547903</v>
      </c>
      <c r="AF13" s="19">
        <f t="shared" si="3"/>
        <v>5580.9882339173591</v>
      </c>
      <c r="AG13" s="19">
        <f t="shared" si="3"/>
        <v>17452.526645967977</v>
      </c>
      <c r="AH13" s="19">
        <f t="shared" si="3"/>
        <v>20554.324783865854</v>
      </c>
      <c r="AI13" s="19">
        <f t="shared" si="3"/>
        <v>22881.78916863029</v>
      </c>
      <c r="AJ13" s="19">
        <f t="shared" si="3"/>
        <v>24965.164342167176</v>
      </c>
      <c r="AK13" s="19">
        <f t="shared" si="3"/>
        <v>25569.135028411059</v>
      </c>
      <c r="AL13" s="19">
        <f t="shared" si="3"/>
        <v>27968.696482833686</v>
      </c>
      <c r="AM13" s="19">
        <f t="shared" si="3"/>
        <v>29270.821141532731</v>
      </c>
      <c r="AN13" s="19">
        <f t="shared" si="3"/>
        <v>30301.162334070494</v>
      </c>
      <c r="AO13" s="19">
        <f t="shared" si="3"/>
        <v>30919.825505351859</v>
      </c>
      <c r="AP13" s="19">
        <f t="shared" si="3"/>
        <v>32160.655794996059</v>
      </c>
      <c r="AQ13" s="19">
        <f t="shared" si="3"/>
        <v>32663.735611012024</v>
      </c>
      <c r="AR13" s="19">
        <f t="shared" si="3"/>
        <v>33052.589786601369</v>
      </c>
    </row>
    <row r="15" spans="1:46" x14ac:dyDescent="0.3">
      <c r="A15" s="1" t="s">
        <v>237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</row>
    <row r="16" spans="1:46" x14ac:dyDescent="0.3">
      <c r="A16" s="4" t="s">
        <v>238</v>
      </c>
      <c r="C16" s="21">
        <f t="shared" ref="C16:AR16" si="4">IF(C4=0,0,C6/C4)</f>
        <v>1</v>
      </c>
      <c r="D16" s="21">
        <f t="shared" si="4"/>
        <v>1</v>
      </c>
      <c r="E16" s="21">
        <f t="shared" si="4"/>
        <v>1</v>
      </c>
      <c r="F16" s="21">
        <f t="shared" si="4"/>
        <v>1</v>
      </c>
      <c r="G16" s="21">
        <f t="shared" si="4"/>
        <v>1</v>
      </c>
      <c r="H16" s="21">
        <f t="shared" si="4"/>
        <v>1</v>
      </c>
      <c r="I16" s="21">
        <f t="shared" si="4"/>
        <v>1</v>
      </c>
      <c r="J16" s="21">
        <f t="shared" si="4"/>
        <v>1</v>
      </c>
      <c r="K16" s="21">
        <f t="shared" si="4"/>
        <v>1</v>
      </c>
      <c r="L16" s="21">
        <f t="shared" si="4"/>
        <v>0.98319914869291314</v>
      </c>
      <c r="M16" s="21">
        <f t="shared" si="4"/>
        <v>0.98369844852504595</v>
      </c>
      <c r="N16" s="21">
        <f t="shared" si="4"/>
        <v>0.98419591131769157</v>
      </c>
      <c r="O16" s="21">
        <f t="shared" si="4"/>
        <v>0.98470800052503493</v>
      </c>
      <c r="P16" s="21">
        <f t="shared" si="4"/>
        <v>0.98520903150536598</v>
      </c>
      <c r="Q16" s="21">
        <f t="shared" si="4"/>
        <v>0.98572994844877693</v>
      </c>
      <c r="R16" s="21">
        <f t="shared" si="4"/>
        <v>0.98623021220770035</v>
      </c>
      <c r="S16" s="21">
        <f t="shared" si="4"/>
        <v>0.98673725778388055</v>
      </c>
      <c r="T16" s="21">
        <f t="shared" si="4"/>
        <v>0.98723252430770536</v>
      </c>
      <c r="U16" s="21">
        <f t="shared" si="4"/>
        <v>0.98752614004419648</v>
      </c>
      <c r="V16" s="21">
        <f t="shared" si="4"/>
        <v>0.98800463573192265</v>
      </c>
      <c r="W16" s="21">
        <f t="shared" si="4"/>
        <v>0.98846726626585368</v>
      </c>
      <c r="X16" s="21">
        <f t="shared" si="4"/>
        <v>0.98891015743602773</v>
      </c>
      <c r="Y16" s="21">
        <f t="shared" si="4"/>
        <v>0.98933748764305984</v>
      </c>
      <c r="Z16" s="21">
        <f t="shared" si="4"/>
        <v>0.98975907473711155</v>
      </c>
      <c r="AA16" s="21">
        <f t="shared" si="4"/>
        <v>0.99015112425128293</v>
      </c>
      <c r="AB16" s="21">
        <f t="shared" si="4"/>
        <v>0.99052469544919919</v>
      </c>
      <c r="AC16" s="21">
        <f t="shared" si="4"/>
        <v>0.9908835284294647</v>
      </c>
      <c r="AD16" s="21">
        <f t="shared" si="4"/>
        <v>0.99121871419895946</v>
      </c>
      <c r="AE16" s="21">
        <f t="shared" si="4"/>
        <v>0.99153467047109722</v>
      </c>
      <c r="AF16" s="21">
        <f t="shared" si="4"/>
        <v>0.99183506128181687</v>
      </c>
      <c r="AG16" s="21">
        <f t="shared" si="4"/>
        <v>0.99221249936495803</v>
      </c>
      <c r="AH16" s="21">
        <f t="shared" si="4"/>
        <v>0.99287786146825341</v>
      </c>
      <c r="AI16" s="21">
        <f t="shared" si="4"/>
        <v>0.99340889417967626</v>
      </c>
      <c r="AJ16" s="21">
        <f t="shared" si="4"/>
        <v>0.99382127117783481</v>
      </c>
      <c r="AK16" s="21">
        <f t="shared" si="4"/>
        <v>0.99401635582071779</v>
      </c>
      <c r="AL16" s="21">
        <f t="shared" si="4"/>
        <v>0.99426238502434994</v>
      </c>
      <c r="AM16" s="21">
        <f t="shared" si="4"/>
        <v>0.99444893283474622</v>
      </c>
      <c r="AN16" s="21">
        <f t="shared" si="4"/>
        <v>0.99458816256965177</v>
      </c>
      <c r="AO16" s="21">
        <f t="shared" si="4"/>
        <v>0.99458575404780791</v>
      </c>
      <c r="AP16" s="21">
        <f t="shared" si="4"/>
        <v>0.99466568637214858</v>
      </c>
      <c r="AQ16" s="21">
        <f t="shared" si="4"/>
        <v>0.99472462015156005</v>
      </c>
      <c r="AR16" s="21">
        <f t="shared" si="4"/>
        <v>0.99476928814228771</v>
      </c>
    </row>
    <row r="17" spans="1:44" x14ac:dyDescent="0.3">
      <c r="A17" s="4" t="s">
        <v>239</v>
      </c>
      <c r="C17" s="21">
        <f t="shared" ref="C17:AR17" si="5">IF(C4=0,0,C9/C4)</f>
        <v>-4.598765474850425</v>
      </c>
      <c r="D17" s="21">
        <f t="shared" si="5"/>
        <v>-2.1482283801253144</v>
      </c>
      <c r="E17" s="21">
        <f t="shared" si="5"/>
        <v>-1.859968870358264</v>
      </c>
      <c r="F17" s="21">
        <f t="shared" si="5"/>
        <v>-1.602873324982214</v>
      </c>
      <c r="G17" s="21">
        <f t="shared" si="5"/>
        <v>-1.3821511551634658</v>
      </c>
      <c r="H17" s="21">
        <f t="shared" si="5"/>
        <v>-1.1679024249285797</v>
      </c>
      <c r="I17" s="21">
        <f t="shared" si="5"/>
        <v>-1.6515992548683784</v>
      </c>
      <c r="J17" s="21">
        <f t="shared" si="5"/>
        <v>-1.0107261741982443</v>
      </c>
      <c r="K17" s="21">
        <f t="shared" si="5"/>
        <v>-0.84100879210015167</v>
      </c>
      <c r="L17" s="21">
        <f t="shared" si="5"/>
        <v>0.50200741308717578</v>
      </c>
      <c r="M17" s="21">
        <f t="shared" si="5"/>
        <v>0.51647568085474715</v>
      </c>
      <c r="N17" s="21">
        <f t="shared" si="5"/>
        <v>0.53089071652110653</v>
      </c>
      <c r="O17" s="21">
        <f t="shared" si="5"/>
        <v>0.54572958346219647</v>
      </c>
      <c r="P17" s="21">
        <f t="shared" si="5"/>
        <v>0.56024801490711162</v>
      </c>
      <c r="Q17" s="21">
        <f t="shared" si="5"/>
        <v>0.57534268415572765</v>
      </c>
      <c r="R17" s="21">
        <f t="shared" si="5"/>
        <v>0.5898388837390498</v>
      </c>
      <c r="S17" s="21">
        <f t="shared" si="5"/>
        <v>0.60453160080887569</v>
      </c>
      <c r="T17" s="21">
        <f t="shared" si="5"/>
        <v>0.61888299494494614</v>
      </c>
      <c r="U17" s="21">
        <f t="shared" si="5"/>
        <v>0.57674903382973797</v>
      </c>
      <c r="V17" s="21">
        <f t="shared" si="5"/>
        <v>0.59257674562377471</v>
      </c>
      <c r="W17" s="21">
        <f t="shared" si="5"/>
        <v>0.60787966881829192</v>
      </c>
      <c r="X17" s="21">
        <f t="shared" si="5"/>
        <v>0.54287197256979702</v>
      </c>
      <c r="Y17" s="21">
        <f t="shared" si="5"/>
        <v>0.63666490870390757</v>
      </c>
      <c r="Z17" s="21">
        <f t="shared" si="5"/>
        <v>0.65061019429769307</v>
      </c>
      <c r="AA17" s="21">
        <f t="shared" si="5"/>
        <v>0.6635784338836842</v>
      </c>
      <c r="AB17" s="21">
        <f t="shared" si="5"/>
        <v>0.67593544651063653</v>
      </c>
      <c r="AC17" s="21">
        <f t="shared" si="5"/>
        <v>0.68780494740588494</v>
      </c>
      <c r="AD17" s="21">
        <f t="shared" si="5"/>
        <v>0.69889224430971875</v>
      </c>
      <c r="AE17" s="21">
        <f t="shared" si="5"/>
        <v>0.70934346663667402</v>
      </c>
      <c r="AF17" s="21">
        <f t="shared" si="5"/>
        <v>0.71927981360824544</v>
      </c>
      <c r="AG17" s="21">
        <f t="shared" si="5"/>
        <v>0.6617976483739002</v>
      </c>
      <c r="AH17" s="21">
        <f t="shared" si="5"/>
        <v>0.71153803021792084</v>
      </c>
      <c r="AI17" s="21">
        <f t="shared" si="5"/>
        <v>0.73229020562098102</v>
      </c>
      <c r="AJ17" s="21">
        <f t="shared" si="5"/>
        <v>0.74840544600804437</v>
      </c>
      <c r="AK17" s="21">
        <f t="shared" si="5"/>
        <v>0.68718765789642522</v>
      </c>
      <c r="AL17" s="21">
        <f t="shared" si="5"/>
        <v>0.7202641992379839</v>
      </c>
      <c r="AM17" s="21">
        <f t="shared" si="5"/>
        <v>0.72904572763478304</v>
      </c>
      <c r="AN17" s="21">
        <f t="shared" si="5"/>
        <v>0.7355998108381917</v>
      </c>
      <c r="AO17" s="21">
        <f t="shared" si="5"/>
        <v>0.69051368993026052</v>
      </c>
      <c r="AP17" s="21">
        <f t="shared" si="5"/>
        <v>0.70762101232224095</v>
      </c>
      <c r="AQ17" s="21">
        <f t="shared" si="5"/>
        <v>0.71074999616596302</v>
      </c>
      <c r="AR17" s="21">
        <f t="shared" si="5"/>
        <v>0.71312156341846744</v>
      </c>
    </row>
    <row r="18" spans="1:44" x14ac:dyDescent="0.3">
      <c r="A18" s="4" t="s">
        <v>240</v>
      </c>
      <c r="C18" s="21">
        <f t="shared" ref="C18:AR18" si="6">IF(C4=0,0,C13/C4)</f>
        <v>-4.7655544410742916</v>
      </c>
      <c r="D18" s="21">
        <f t="shared" si="6"/>
        <v>-2.3019208998651806</v>
      </c>
      <c r="E18" s="21">
        <f t="shared" si="6"/>
        <v>-1.9995283977535734</v>
      </c>
      <c r="F18" s="21">
        <f t="shared" si="6"/>
        <v>-1.7298277890526199</v>
      </c>
      <c r="G18" s="21">
        <f t="shared" si="6"/>
        <v>-1.4982838956458335</v>
      </c>
      <c r="H18" s="21">
        <f t="shared" si="6"/>
        <v>-1.273530826224748</v>
      </c>
      <c r="I18" s="21">
        <f t="shared" si="6"/>
        <v>-1.7429353167312167</v>
      </c>
      <c r="J18" s="21">
        <f t="shared" si="6"/>
        <v>-1.0940355751979891</v>
      </c>
      <c r="K18" s="21">
        <f t="shared" si="6"/>
        <v>-0.91724135245435501</v>
      </c>
      <c r="L18" s="21">
        <f t="shared" si="6"/>
        <v>0.38567623441561388</v>
      </c>
      <c r="M18" s="21">
        <f t="shared" si="6"/>
        <v>0.39772425884087836</v>
      </c>
      <c r="N18" s="21">
        <f t="shared" si="6"/>
        <v>0.40972795579958543</v>
      </c>
      <c r="O18" s="21">
        <f t="shared" si="6"/>
        <v>0.42208458578608671</v>
      </c>
      <c r="P18" s="21">
        <f t="shared" si="6"/>
        <v>0.43417438253818441</v>
      </c>
      <c r="Q18" s="21">
        <f t="shared" si="6"/>
        <v>0.44674402437231131</v>
      </c>
      <c r="R18" s="21">
        <f t="shared" si="6"/>
        <v>0.45881530819557792</v>
      </c>
      <c r="S18" s="21">
        <f t="shared" si="6"/>
        <v>0.47105023617552066</v>
      </c>
      <c r="T18" s="21">
        <f t="shared" si="6"/>
        <v>0.48300093752178125</v>
      </c>
      <c r="U18" s="21">
        <f t="shared" si="6"/>
        <v>0.45044823889957325</v>
      </c>
      <c r="V18" s="21">
        <f t="shared" si="6"/>
        <v>0.46353048685351977</v>
      </c>
      <c r="W18" s="21">
        <f t="shared" si="6"/>
        <v>0.47617897567211814</v>
      </c>
      <c r="X18" s="21">
        <f t="shared" si="6"/>
        <v>0.42456163945372194</v>
      </c>
      <c r="Y18" s="21">
        <f t="shared" si="6"/>
        <v>0.4999711479392005</v>
      </c>
      <c r="Z18" s="21">
        <f t="shared" si="6"/>
        <v>0.51149749402766254</v>
      </c>
      <c r="AA18" s="21">
        <f t="shared" si="6"/>
        <v>0.52221627182686647</v>
      </c>
      <c r="AB18" s="21">
        <f t="shared" si="6"/>
        <v>0.53242984566871165</v>
      </c>
      <c r="AC18" s="21">
        <f t="shared" si="6"/>
        <v>0.54224047122355212</v>
      </c>
      <c r="AD18" s="21">
        <f t="shared" si="6"/>
        <v>0.55140457334535264</v>
      </c>
      <c r="AE18" s="21">
        <f t="shared" si="6"/>
        <v>0.56004293394240123</v>
      </c>
      <c r="AF18" s="21">
        <f t="shared" si="6"/>
        <v>0.56825572910382938</v>
      </c>
      <c r="AG18" s="21">
        <f t="shared" si="6"/>
        <v>0.52310778236011335</v>
      </c>
      <c r="AH18" s="21">
        <f t="shared" si="6"/>
        <v>0.56344095018622786</v>
      </c>
      <c r="AI18" s="21">
        <f t="shared" si="6"/>
        <v>0.58047435861733665</v>
      </c>
      <c r="AJ18" s="21">
        <f t="shared" si="6"/>
        <v>0.59370176567933897</v>
      </c>
      <c r="AK18" s="21">
        <f t="shared" si="6"/>
        <v>0.5452464134464492</v>
      </c>
      <c r="AL18" s="21">
        <f t="shared" si="6"/>
        <v>0.57189282546044939</v>
      </c>
      <c r="AM18" s="21">
        <f t="shared" si="6"/>
        <v>0.57905845722453453</v>
      </c>
      <c r="AN18" s="21">
        <f t="shared" si="6"/>
        <v>0.58440651791109133</v>
      </c>
      <c r="AO18" s="21">
        <f t="shared" si="6"/>
        <v>0.55241095194420842</v>
      </c>
      <c r="AP18" s="21">
        <f t="shared" si="6"/>
        <v>0.56609680985779276</v>
      </c>
      <c r="AQ18" s="21">
        <f t="shared" si="6"/>
        <v>0.56859999693277041</v>
      </c>
      <c r="AR18" s="21">
        <f t="shared" si="6"/>
        <v>0.57049725073477398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T15"/>
  <sheetViews>
    <sheetView workbookViewId="0">
      <selection sqref="A1:B1"/>
    </sheetView>
  </sheetViews>
  <sheetFormatPr defaultRowHeight="14.4" x14ac:dyDescent="0.3"/>
  <cols>
    <col min="1" max="1" width="38" customWidth="1"/>
    <col min="2" max="2" width="10" customWidth="1"/>
    <col min="3" max="44" width="12" customWidth="1"/>
    <col min="46" max="46" width="14" customWidth="1"/>
  </cols>
  <sheetData>
    <row r="1" spans="1:46" x14ac:dyDescent="0.3">
      <c r="A1" s="28" t="s">
        <v>241</v>
      </c>
      <c r="B1" s="30"/>
    </row>
    <row r="3" spans="1:46" x14ac:dyDescent="0.3">
      <c r="A3" s="3" t="s">
        <v>196</v>
      </c>
      <c r="B3" s="3" t="s">
        <v>32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160</v>
      </c>
      <c r="W3" s="3" t="s">
        <v>161</v>
      </c>
      <c r="X3" s="3" t="s">
        <v>162</v>
      </c>
      <c r="Y3" s="3" t="s">
        <v>163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170</v>
      </c>
      <c r="AG3" s="3" t="s">
        <v>171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176</v>
      </c>
      <c r="AM3" s="3" t="s">
        <v>177</v>
      </c>
      <c r="AN3" s="3" t="s">
        <v>178</v>
      </c>
      <c r="AO3" s="3" t="s">
        <v>179</v>
      </c>
      <c r="AP3" s="3" t="s">
        <v>180</v>
      </c>
      <c r="AQ3" s="3" t="s">
        <v>181</v>
      </c>
      <c r="AR3" s="3" t="s">
        <v>182</v>
      </c>
      <c r="AT3" s="3" t="s">
        <v>197</v>
      </c>
    </row>
    <row r="4" spans="1:46" x14ac:dyDescent="0.3">
      <c r="A4" s="1" t="s">
        <v>242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6" x14ac:dyDescent="0.3">
      <c r="A5" s="4" t="s">
        <v>243</v>
      </c>
      <c r="C5" s="17">
        <f>'P&amp;L'!C13</f>
        <v>-2514.3677085428717</v>
      </c>
      <c r="D5" s="17">
        <f>'P&amp;L'!D13</f>
        <v>-1318.0149530438807</v>
      </c>
      <c r="E5" s="17">
        <f>'P&amp;L'!E13</f>
        <v>-1260.8132335093319</v>
      </c>
      <c r="F5" s="17">
        <f>'P&amp;L'!F13</f>
        <v>-1199.0507506077963</v>
      </c>
      <c r="G5" s="17">
        <f>'P&amp;L'!G13</f>
        <v>-1135.3299876433364</v>
      </c>
      <c r="H5" s="17">
        <f>'P&amp;L'!H13</f>
        <v>-1060.990333400448</v>
      </c>
      <c r="I5" s="17">
        <f>'P&amp;L'!I13</f>
        <v>-1679.2743714161822</v>
      </c>
      <c r="J5" s="17">
        <f>'P&amp;L'!J13</f>
        <v>-1155.6334514722771</v>
      </c>
      <c r="K5" s="17">
        <f>'P&amp;L'!K13</f>
        <v>-1058.8289130122666</v>
      </c>
      <c r="L5" s="17">
        <f>'P&amp;L'!L13</f>
        <v>1704.4648441879876</v>
      </c>
      <c r="M5" s="17">
        <f>'P&amp;L'!M13</f>
        <v>1811.546972342303</v>
      </c>
      <c r="N5" s="17">
        <f>'P&amp;L'!N13</f>
        <v>1924.9639336797031</v>
      </c>
      <c r="O5" s="17">
        <f>'P&amp;L'!O13</f>
        <v>2049.4233305411894</v>
      </c>
      <c r="P5" s="17">
        <f>'P&amp;L'!P13</f>
        <v>2179.5359725872927</v>
      </c>
      <c r="Q5" s="17">
        <f>'P&amp;L'!Q13</f>
        <v>2324.5006292076769</v>
      </c>
      <c r="R5" s="17">
        <f>'P&amp;L'!R13</f>
        <v>2474.0422399662984</v>
      </c>
      <c r="S5" s="17">
        <f>'P&amp;L'!S13</f>
        <v>2637.1228111124396</v>
      </c>
      <c r="T5" s="17">
        <f>'P&amp;L'!T13</f>
        <v>2808.9201401523815</v>
      </c>
      <c r="U5" s="17">
        <f>'P&amp;L'!U13</f>
        <v>2895.7711891378949</v>
      </c>
      <c r="V5" s="17">
        <f>'P&amp;L'!V13</f>
        <v>3098.7395555551075</v>
      </c>
      <c r="W5" s="17">
        <f>'P&amp;L'!W13</f>
        <v>3310.9922538217143</v>
      </c>
      <c r="X5" s="17">
        <f>'P&amp;L'!X13</f>
        <v>3069.980269909157</v>
      </c>
      <c r="Y5" s="17">
        <f>'P&amp;L'!Y13</f>
        <v>3760.1537996950856</v>
      </c>
      <c r="Z5" s="17">
        <f>'P&amp;L'!Z13</f>
        <v>4005.2029473076414</v>
      </c>
      <c r="AA5" s="17">
        <f>'P&amp;L'!AA13</f>
        <v>4251.908939276751</v>
      </c>
      <c r="AB5" s="17">
        <f>'P&amp;L'!AB13</f>
        <v>4505.9817439394046</v>
      </c>
      <c r="AC5" s="17">
        <f>'P&amp;L'!AC13</f>
        <v>4769.6373592556465</v>
      </c>
      <c r="AD5" s="17">
        <f>'P&amp;L'!AD13</f>
        <v>5035.3824870754515</v>
      </c>
      <c r="AE5" s="17">
        <f>'P&amp;L'!AE13</f>
        <v>5305.1499908547903</v>
      </c>
      <c r="AF5" s="17">
        <f>'P&amp;L'!AF13</f>
        <v>5580.9882339173591</v>
      </c>
      <c r="AG5" s="17">
        <f>'P&amp;L'!AG13</f>
        <v>17452.526645967977</v>
      </c>
      <c r="AH5" s="17">
        <f>'P&amp;L'!AH13</f>
        <v>20554.324783865854</v>
      </c>
      <c r="AI5" s="17">
        <f>'P&amp;L'!AI13</f>
        <v>22881.78916863029</v>
      </c>
      <c r="AJ5" s="17">
        <f>'P&amp;L'!AJ13</f>
        <v>24965.164342167176</v>
      </c>
      <c r="AK5" s="17">
        <f>'P&amp;L'!AK13</f>
        <v>25569.135028411059</v>
      </c>
      <c r="AL5" s="17">
        <f>'P&amp;L'!AL13</f>
        <v>27968.696482833686</v>
      </c>
      <c r="AM5" s="17">
        <f>'P&amp;L'!AM13</f>
        <v>29270.821141532731</v>
      </c>
      <c r="AN5" s="17">
        <f>'P&amp;L'!AN13</f>
        <v>30301.162334070494</v>
      </c>
      <c r="AO5" s="17">
        <f>'P&amp;L'!AO13</f>
        <v>30919.825505351859</v>
      </c>
      <c r="AP5" s="17">
        <f>'P&amp;L'!AP13</f>
        <v>32160.655794996059</v>
      </c>
      <c r="AQ5" s="17">
        <f>'P&amp;L'!AQ13</f>
        <v>32663.735611012024</v>
      </c>
      <c r="AR5" s="17">
        <f>'P&amp;L'!AR13</f>
        <v>33052.589786601369</v>
      </c>
    </row>
    <row r="6" spans="1:46" x14ac:dyDescent="0.3">
      <c r="A6" s="4" t="s">
        <v>244</v>
      </c>
      <c r="C6" s="17">
        <f>-'P&amp;L'!C10</f>
        <v>88</v>
      </c>
      <c r="D6" s="17">
        <f>-'P&amp;L'!D10</f>
        <v>88</v>
      </c>
      <c r="E6" s="17">
        <f>-'P&amp;L'!E10</f>
        <v>88</v>
      </c>
      <c r="F6" s="17">
        <f>-'P&amp;L'!F10</f>
        <v>88</v>
      </c>
      <c r="G6" s="17">
        <f>-'P&amp;L'!G10</f>
        <v>88</v>
      </c>
      <c r="H6" s="17">
        <f>-'P&amp;L'!H10</f>
        <v>88</v>
      </c>
      <c r="I6" s="17">
        <f>-'P&amp;L'!I10</f>
        <v>88</v>
      </c>
      <c r="J6" s="17">
        <f>-'P&amp;L'!J10</f>
        <v>88</v>
      </c>
      <c r="K6" s="17">
        <f>-'P&amp;L'!K10</f>
        <v>88</v>
      </c>
      <c r="L6" s="17">
        <f>-'P&amp;L'!L10</f>
        <v>88</v>
      </c>
      <c r="M6" s="17">
        <f>-'P&amp;L'!M10</f>
        <v>88</v>
      </c>
      <c r="N6" s="17">
        <f>-'P&amp;L'!N10</f>
        <v>88</v>
      </c>
      <c r="O6" s="17">
        <f>-'P&amp;L'!O10</f>
        <v>88</v>
      </c>
      <c r="P6" s="17">
        <f>-'P&amp;L'!P10</f>
        <v>88</v>
      </c>
      <c r="Q6" s="17">
        <f>-'P&amp;L'!Q10</f>
        <v>88</v>
      </c>
      <c r="R6" s="17">
        <f>-'P&amp;L'!R10</f>
        <v>88</v>
      </c>
      <c r="S6" s="17">
        <f>-'P&amp;L'!S10</f>
        <v>88</v>
      </c>
      <c r="T6" s="17">
        <f>-'P&amp;L'!T10</f>
        <v>88</v>
      </c>
      <c r="U6" s="17">
        <f>-'P&amp;L'!U10</f>
        <v>88</v>
      </c>
      <c r="V6" s="17">
        <f>-'P&amp;L'!V10</f>
        <v>88</v>
      </c>
      <c r="W6" s="17">
        <f>-'P&amp;L'!W10</f>
        <v>88</v>
      </c>
      <c r="X6" s="17">
        <f>-'P&amp;L'!X10</f>
        <v>88</v>
      </c>
      <c r="Y6" s="17">
        <f>-'P&amp;L'!Y10</f>
        <v>88</v>
      </c>
      <c r="Z6" s="17">
        <f>-'P&amp;L'!Z10</f>
        <v>88</v>
      </c>
      <c r="AA6" s="17">
        <f>-'P&amp;L'!AA10</f>
        <v>88</v>
      </c>
      <c r="AB6" s="17">
        <f>-'P&amp;L'!AB10</f>
        <v>88</v>
      </c>
      <c r="AC6" s="17">
        <f>-'P&amp;L'!AC10</f>
        <v>88</v>
      </c>
      <c r="AD6" s="17">
        <f>-'P&amp;L'!AD10</f>
        <v>88</v>
      </c>
      <c r="AE6" s="17">
        <f>-'P&amp;L'!AE10</f>
        <v>88</v>
      </c>
      <c r="AF6" s="17">
        <f>-'P&amp;L'!AF10</f>
        <v>88</v>
      </c>
      <c r="AG6" s="17">
        <f>-'P&amp;L'!AG10</f>
        <v>264</v>
      </c>
      <c r="AH6" s="17">
        <f>-'P&amp;L'!AH10</f>
        <v>264</v>
      </c>
      <c r="AI6" s="17">
        <f>-'P&amp;L'!AI10</f>
        <v>264</v>
      </c>
      <c r="AJ6" s="17">
        <f>-'P&amp;L'!AJ10</f>
        <v>264</v>
      </c>
      <c r="AK6" s="17">
        <f>-'P&amp;L'!AK10</f>
        <v>264</v>
      </c>
      <c r="AL6" s="17">
        <f>-'P&amp;L'!AL10</f>
        <v>264</v>
      </c>
      <c r="AM6" s="17">
        <f>-'P&amp;L'!AM10</f>
        <v>264</v>
      </c>
      <c r="AN6" s="17">
        <f>-'P&amp;L'!AN10</f>
        <v>264</v>
      </c>
      <c r="AO6" s="17">
        <f>-'P&amp;L'!AO10</f>
        <v>0</v>
      </c>
      <c r="AP6" s="17">
        <f>-'P&amp;L'!AP10</f>
        <v>0</v>
      </c>
      <c r="AQ6" s="17">
        <f>-'P&amp;L'!AQ10</f>
        <v>0</v>
      </c>
      <c r="AR6" s="17">
        <f>-'P&amp;L'!AR10</f>
        <v>0</v>
      </c>
    </row>
    <row r="7" spans="1:46" x14ac:dyDescent="0.3">
      <c r="A7" s="4" t="s">
        <v>245</v>
      </c>
      <c r="C7" s="17">
        <f>-'P&amp;L'!C4*Assumptions!$B$63/365</f>
        <v>-65.048158245258549</v>
      </c>
      <c r="D7" s="17">
        <f>-('P&amp;L'!D4-'P&amp;L'!C4)*Assumptions!$B$63/365</f>
        <v>-5.5428834453601246</v>
      </c>
      <c r="E7" s="17">
        <f>-('P&amp;L'!E4-'P&amp;L'!D4)*Assumptions!$B$63/365</f>
        <v>-7.1486531262167645</v>
      </c>
      <c r="F7" s="17">
        <f>-('P&amp;L'!F4-'P&amp;L'!E4)*Assumptions!$B$63/365</f>
        <v>-7.7186240216135458</v>
      </c>
      <c r="G7" s="17">
        <f>-('P&amp;L'!G4-'P&amp;L'!F4)*Assumptions!$B$63/365</f>
        <v>-7.9633555612900624</v>
      </c>
      <c r="H7" s="17">
        <f>-('P&amp;L'!H4-'P&amp;L'!G4)*Assumptions!$B$63/365</f>
        <v>-9.2904270366264647</v>
      </c>
      <c r="I7" s="17">
        <f>-('P&amp;L'!I4-'P&amp;L'!H4)*Assumptions!$B$63/365</f>
        <v>-16.072471132417494</v>
      </c>
      <c r="J7" s="17">
        <f>-('P&amp;L'!J4-'P&amp;L'!I4)*Assumptions!$B$63/365</f>
        <v>-11.444608511589765</v>
      </c>
      <c r="K7" s="17">
        <f>-('P&amp;L'!K4-'P&amp;L'!J4)*Assumptions!$B$63/365</f>
        <v>-12.089468825696176</v>
      </c>
      <c r="L7" s="17">
        <f>-('P&amp;L'!L4-'P&amp;L'!K4)*Assumptions!$B$63/365</f>
        <v>-402.54121592583436</v>
      </c>
      <c r="M7" s="17">
        <f>-('P&amp;L'!M4-'P&amp;L'!L4)*Assumptions!$B$63/365</f>
        <v>-16.68849986234407</v>
      </c>
      <c r="N7" s="17">
        <f>-('P&amp;L'!N4-'P&amp;L'!M4)*Assumptions!$B$63/365</f>
        <v>-17.675768835477779</v>
      </c>
      <c r="O7" s="17">
        <f>-('P&amp;L'!O4-'P&amp;L'!N4)*Assumptions!$B$63/365</f>
        <v>-19.396706651152197</v>
      </c>
      <c r="P7" s="17">
        <f>-('P&amp;L'!P4-'P&amp;L'!O4)*Assumptions!$B$63/365</f>
        <v>-20.277751724792473</v>
      </c>
      <c r="Q7" s="17">
        <f>-('P&amp;L'!Q4-'P&amp;L'!P4)*Assumptions!$B$63/365</f>
        <v>-22.592403548122167</v>
      </c>
      <c r="R7" s="17">
        <f>-('P&amp;L'!R4-'P&amp;L'!Q4)*Assumptions!$B$63/365</f>
        <v>-23.305711173049719</v>
      </c>
      <c r="S7" s="17">
        <f>-('P&amp;L'!S4-'P&amp;L'!R4)*Assumptions!$B$63/365</f>
        <v>-25.415726564579781</v>
      </c>
      <c r="T7" s="17">
        <f>-('P&amp;L'!T4-'P&amp;L'!S4)*Assumptions!$B$63/365</f>
        <v>-26.774212947117285</v>
      </c>
      <c r="U7" s="17">
        <f>-('P&amp;L'!U4-'P&amp;L'!T4)*Assumptions!$B$63/365</f>
        <v>-75.585851766634534</v>
      </c>
      <c r="V7" s="17">
        <f>-('P&amp;L'!V4-'P&amp;L'!U4)*Assumptions!$B$63/365</f>
        <v>-31.615757092572732</v>
      </c>
      <c r="W7" s="17">
        <f>-('P&amp;L'!W4-'P&amp;L'!V4)*Assumptions!$B$63/365</f>
        <v>-33.061948859785971</v>
      </c>
      <c r="X7" s="17">
        <f>-('P&amp;L'!X4-'P&amp;L'!W4)*Assumptions!$B$63/365</f>
        <v>-34.235702100471634</v>
      </c>
      <c r="Y7" s="17">
        <f>-('P&amp;L'!Y4-'P&amp;L'!X4)*Assumptions!$B$63/365</f>
        <v>-35.728808036378574</v>
      </c>
      <c r="Z7" s="17">
        <f>-('P&amp;L'!Z4-'P&amp;L'!Y4)*Assumptions!$B$63/365</f>
        <v>-38.170550728754129</v>
      </c>
      <c r="AA7" s="17">
        <f>-('P&amp;L'!AA4-'P&amp;L'!Z4)*Assumptions!$B$63/365</f>
        <v>-38.428632269447583</v>
      </c>
      <c r="AB7" s="17">
        <f>-('P&amp;L'!AB4-'P&amp;L'!AA4)*Assumptions!$B$63/365</f>
        <v>-39.57613798561848</v>
      </c>
      <c r="AC7" s="17">
        <f>-('P&amp;L'!AC4-'P&amp;L'!AB4)*Assumptions!$B$63/365</f>
        <v>-41.06882287654971</v>
      </c>
      <c r="AD7" s="17">
        <f>-('P&amp;L'!AD4-'P&amp;L'!AC4)*Assumptions!$B$63/365</f>
        <v>-41.394299801454792</v>
      </c>
      <c r="AE7" s="17">
        <f>-('P&amp;L'!AE4-'P&amp;L'!AD4)*Assumptions!$B$63/365</f>
        <v>-42.020852911756975</v>
      </c>
      <c r="AF7" s="17">
        <f>-('P&amp;L'!AF4-'P&amp;L'!AE4)*Assumptions!$B$63/365</f>
        <v>-42.966473265996981</v>
      </c>
      <c r="AG7" s="17">
        <f>-('P&amp;L'!AG4-'P&amp;L'!AF4)*Assumptions!$B$63/365</f>
        <v>-2902.4253465466136</v>
      </c>
      <c r="AH7" s="17">
        <f>-('P&amp;L'!AH4-'P&amp;L'!AG4)*Assumptions!$B$63/365</f>
        <v>-384.26817911237413</v>
      </c>
      <c r="AI7" s="17">
        <f>-('P&amp;L'!AI4-'P&amp;L'!AH4)*Assumptions!$B$63/365</f>
        <v>-362.3576597639165</v>
      </c>
      <c r="AJ7" s="17">
        <f>-('P&amp;L'!AJ4-'P&amp;L'!AI4)*Assumptions!$B$63/365</f>
        <v>-324.35596318242949</v>
      </c>
      <c r="AK7" s="17">
        <f>-('P&amp;L'!AK4-'P&amp;L'!AJ4)*Assumptions!$B$63/365</f>
        <v>-597.28349698304271</v>
      </c>
      <c r="AL7" s="17">
        <f>-('P&amp;L'!AL4-'P&amp;L'!AK4)*Assumptions!$B$63/365</f>
        <v>-247.9123304419613</v>
      </c>
      <c r="AM7" s="17">
        <f>-('P&amp;L'!AM4-'P&amp;L'!AL4)*Assumptions!$B$63/365</f>
        <v>-202.62400760945826</v>
      </c>
      <c r="AN7" s="17">
        <f>-('P&amp;L'!AN4-'P&amp;L'!AM4)*Assumptions!$B$63/365</f>
        <v>-160.33170114886877</v>
      </c>
      <c r="AO7" s="17">
        <f>-('P&amp;L'!AO4-'P&amp;L'!AN4)*Assumptions!$B$63/365</f>
        <v>-508.32078906989875</v>
      </c>
      <c r="AP7" s="17">
        <f>-('P&amp;L'!AP4-'P&amp;L'!AO4)*Assumptions!$B$63/365</f>
        <v>-103.40422862310824</v>
      </c>
      <c r="AQ7" s="17">
        <f>-('P&amp;L'!AQ4-'P&amp;L'!AP4)*Assumptions!$B$63/365</f>
        <v>-78.246405317702639</v>
      </c>
      <c r="AR7" s="17">
        <f>-('P&amp;L'!AR4-'P&amp;L'!AQ4)*Assumptions!$B$63/365</f>
        <v>-60.480346187609904</v>
      </c>
    </row>
    <row r="8" spans="1:46" x14ac:dyDescent="0.3">
      <c r="A8" s="4" t="s">
        <v>246</v>
      </c>
      <c r="C8" s="19">
        <f t="shared" ref="C8:AR8" si="0">C5+C6+C7</f>
        <v>-2491.4158667881302</v>
      </c>
      <c r="D8" s="19">
        <f t="shared" si="0"/>
        <v>-1235.5578364892408</v>
      </c>
      <c r="E8" s="19">
        <f t="shared" si="0"/>
        <v>-1179.9618866355486</v>
      </c>
      <c r="F8" s="19">
        <f t="shared" si="0"/>
        <v>-1118.7693746294099</v>
      </c>
      <c r="G8" s="19">
        <f t="shared" si="0"/>
        <v>-1055.2933432046264</v>
      </c>
      <c r="H8" s="19">
        <f t="shared" si="0"/>
        <v>-982.28076043707449</v>
      </c>
      <c r="I8" s="19">
        <f t="shared" si="0"/>
        <v>-1607.3468425485999</v>
      </c>
      <c r="J8" s="19">
        <f t="shared" si="0"/>
        <v>-1079.078059983867</v>
      </c>
      <c r="K8" s="19">
        <f t="shared" si="0"/>
        <v>-982.91838183796278</v>
      </c>
      <c r="L8" s="19">
        <f t="shared" si="0"/>
        <v>1389.9236282621532</v>
      </c>
      <c r="M8" s="19">
        <f t="shared" si="0"/>
        <v>1882.8584724799589</v>
      </c>
      <c r="N8" s="19">
        <f t="shared" si="0"/>
        <v>1995.2881648442253</v>
      </c>
      <c r="O8" s="19">
        <f t="shared" si="0"/>
        <v>2118.0266238900372</v>
      </c>
      <c r="P8" s="19">
        <f t="shared" si="0"/>
        <v>2247.2582208625004</v>
      </c>
      <c r="Q8" s="19">
        <f t="shared" si="0"/>
        <v>2389.9082256595548</v>
      </c>
      <c r="R8" s="19">
        <f t="shared" si="0"/>
        <v>2538.7365287932489</v>
      </c>
      <c r="S8" s="19">
        <f t="shared" si="0"/>
        <v>2699.7070845478597</v>
      </c>
      <c r="T8" s="19">
        <f t="shared" si="0"/>
        <v>2870.1459272052643</v>
      </c>
      <c r="U8" s="19">
        <f t="shared" si="0"/>
        <v>2908.1853373712602</v>
      </c>
      <c r="V8" s="19">
        <f t="shared" si="0"/>
        <v>3155.1237984625345</v>
      </c>
      <c r="W8" s="19">
        <f t="shared" si="0"/>
        <v>3365.9303049619284</v>
      </c>
      <c r="X8" s="19">
        <f t="shared" si="0"/>
        <v>3123.7445678086851</v>
      </c>
      <c r="Y8" s="19">
        <f t="shared" si="0"/>
        <v>3812.4249916587069</v>
      </c>
      <c r="Z8" s="19">
        <f t="shared" si="0"/>
        <v>4055.0323965788871</v>
      </c>
      <c r="AA8" s="19">
        <f t="shared" si="0"/>
        <v>4301.4803070073031</v>
      </c>
      <c r="AB8" s="19">
        <f t="shared" si="0"/>
        <v>4554.4056059537861</v>
      </c>
      <c r="AC8" s="19">
        <f t="shared" si="0"/>
        <v>4816.5685363790972</v>
      </c>
      <c r="AD8" s="19">
        <f t="shared" si="0"/>
        <v>5081.988187273997</v>
      </c>
      <c r="AE8" s="19">
        <f t="shared" si="0"/>
        <v>5351.1291379430331</v>
      </c>
      <c r="AF8" s="19">
        <f t="shared" si="0"/>
        <v>5626.0217606513625</v>
      </c>
      <c r="AG8" s="19">
        <f t="shared" si="0"/>
        <v>14814.101299421363</v>
      </c>
      <c r="AH8" s="19">
        <f t="shared" si="0"/>
        <v>20434.056604753481</v>
      </c>
      <c r="AI8" s="19">
        <f t="shared" si="0"/>
        <v>22783.431508866375</v>
      </c>
      <c r="AJ8" s="19">
        <f t="shared" si="0"/>
        <v>24904.808378984748</v>
      </c>
      <c r="AK8" s="19">
        <f t="shared" si="0"/>
        <v>25235.851531428016</v>
      </c>
      <c r="AL8" s="19">
        <f t="shared" si="0"/>
        <v>27984.784152391723</v>
      </c>
      <c r="AM8" s="19">
        <f t="shared" si="0"/>
        <v>29332.197133923273</v>
      </c>
      <c r="AN8" s="19">
        <f t="shared" si="0"/>
        <v>30404.830632921625</v>
      </c>
      <c r="AO8" s="19">
        <f t="shared" si="0"/>
        <v>30411.504716281961</v>
      </c>
      <c r="AP8" s="19">
        <f t="shared" si="0"/>
        <v>32057.25156637295</v>
      </c>
      <c r="AQ8" s="19">
        <f t="shared" si="0"/>
        <v>32585.489205694321</v>
      </c>
      <c r="AR8" s="19">
        <f t="shared" si="0"/>
        <v>32992.109440413762</v>
      </c>
    </row>
    <row r="10" spans="1:46" x14ac:dyDescent="0.3">
      <c r="A10" s="1" t="s">
        <v>247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6" x14ac:dyDescent="0.3">
      <c r="A11" s="4" t="s">
        <v>248</v>
      </c>
      <c r="C11" s="17">
        <f>-'Cost Schedule'!C7</f>
        <v>-880</v>
      </c>
      <c r="D11" s="17">
        <f>-'Cost Schedule'!D7</f>
        <v>-880</v>
      </c>
      <c r="E11" s="17">
        <f>-'Cost Schedule'!E7</f>
        <v>-880</v>
      </c>
      <c r="F11" s="17">
        <f>-'Cost Schedule'!F7</f>
        <v>-880</v>
      </c>
      <c r="G11" s="17">
        <f>-'Cost Schedule'!G7</f>
        <v>-880</v>
      </c>
      <c r="H11" s="17">
        <f>-'Cost Schedule'!H7</f>
        <v>-880</v>
      </c>
      <c r="I11" s="17">
        <f>-'Cost Schedule'!I7</f>
        <v>-79.2</v>
      </c>
      <c r="J11" s="17">
        <f>-'Cost Schedule'!J7</f>
        <v>-79.2</v>
      </c>
      <c r="K11" s="17">
        <f>-'Cost Schedule'!K7</f>
        <v>-79.2</v>
      </c>
      <c r="L11" s="17">
        <f>-'Cost Schedule'!L7</f>
        <v>-79.2</v>
      </c>
      <c r="M11" s="17">
        <f>-'Cost Schedule'!M7</f>
        <v>-79.2</v>
      </c>
      <c r="N11" s="17">
        <f>-'Cost Schedule'!N7</f>
        <v>-79.2</v>
      </c>
      <c r="O11" s="17">
        <f>-'Cost Schedule'!O7</f>
        <v>-79.2</v>
      </c>
      <c r="P11" s="17">
        <f>-'Cost Schedule'!P7</f>
        <v>-79.2</v>
      </c>
      <c r="Q11" s="17">
        <f>-'Cost Schedule'!Q7</f>
        <v>-79.2</v>
      </c>
      <c r="R11" s="17">
        <f>-'Cost Schedule'!R7</f>
        <v>-79.2</v>
      </c>
      <c r="S11" s="17">
        <f>-'Cost Schedule'!S7</f>
        <v>-79.2</v>
      </c>
      <c r="T11" s="17">
        <f>-'Cost Schedule'!T7</f>
        <v>-79.2</v>
      </c>
      <c r="U11" s="17">
        <f>-'Cost Schedule'!U7</f>
        <v>-79.2</v>
      </c>
      <c r="V11" s="17">
        <f>-'Cost Schedule'!V7</f>
        <v>-79.2</v>
      </c>
      <c r="W11" s="17">
        <f>-'Cost Schedule'!W7</f>
        <v>-79.2</v>
      </c>
      <c r="X11" s="17">
        <f>-'Cost Schedule'!X7</f>
        <v>-79.2</v>
      </c>
      <c r="Y11" s="17">
        <f>-'Cost Schedule'!Y7</f>
        <v>-79.2</v>
      </c>
      <c r="Z11" s="17">
        <f>-'Cost Schedule'!Z7</f>
        <v>-79.2</v>
      </c>
      <c r="AA11" s="17">
        <f>-'Cost Schedule'!AA7</f>
        <v>-79.2</v>
      </c>
      <c r="AB11" s="17">
        <f>-'Cost Schedule'!AB7</f>
        <v>-79.2</v>
      </c>
      <c r="AC11" s="17">
        <f>-'Cost Schedule'!AC7</f>
        <v>-79.2</v>
      </c>
      <c r="AD11" s="17">
        <f>-'Cost Schedule'!AD7</f>
        <v>-79.2</v>
      </c>
      <c r="AE11" s="17">
        <f>-'Cost Schedule'!AE7</f>
        <v>-79.2</v>
      </c>
      <c r="AF11" s="17">
        <f>-'Cost Schedule'!AF7</f>
        <v>-79.2</v>
      </c>
      <c r="AG11" s="17">
        <f>-'Cost Schedule'!AG7</f>
        <v>-237.6</v>
      </c>
      <c r="AH11" s="17">
        <f>-'Cost Schedule'!AH7</f>
        <v>-237.6</v>
      </c>
      <c r="AI11" s="17">
        <f>-'Cost Schedule'!AI7</f>
        <v>-237.6</v>
      </c>
      <c r="AJ11" s="17">
        <f>-'Cost Schedule'!AJ7</f>
        <v>-237.6</v>
      </c>
      <c r="AK11" s="17">
        <f>-'Cost Schedule'!AK7</f>
        <v>-237.6</v>
      </c>
      <c r="AL11" s="17">
        <f>-'Cost Schedule'!AL7</f>
        <v>-237.6</v>
      </c>
      <c r="AM11" s="17">
        <f>-'Cost Schedule'!AM7</f>
        <v>-237.6</v>
      </c>
      <c r="AN11" s="17">
        <f>-'Cost Schedule'!AN7</f>
        <v>-237.6</v>
      </c>
      <c r="AO11" s="17">
        <f>-'Cost Schedule'!AO7</f>
        <v>-237.6</v>
      </c>
      <c r="AP11" s="17">
        <f>-'Cost Schedule'!AP7</f>
        <v>-237.6</v>
      </c>
      <c r="AQ11" s="17">
        <f>-'Cost Schedule'!AQ7</f>
        <v>-237.6</v>
      </c>
      <c r="AR11" s="17">
        <f>-'Cost Schedule'!AR7</f>
        <v>-237.6</v>
      </c>
    </row>
    <row r="12" spans="1:46" x14ac:dyDescent="0.3">
      <c r="A12" s="4" t="s">
        <v>249</v>
      </c>
      <c r="C12" s="19">
        <f t="shared" ref="C12:AR12" si="1">C11</f>
        <v>-880</v>
      </c>
      <c r="D12" s="19">
        <f t="shared" si="1"/>
        <v>-880</v>
      </c>
      <c r="E12" s="19">
        <f t="shared" si="1"/>
        <v>-880</v>
      </c>
      <c r="F12" s="19">
        <f t="shared" si="1"/>
        <v>-880</v>
      </c>
      <c r="G12" s="19">
        <f t="shared" si="1"/>
        <v>-880</v>
      </c>
      <c r="H12" s="19">
        <f t="shared" si="1"/>
        <v>-880</v>
      </c>
      <c r="I12" s="19">
        <f t="shared" si="1"/>
        <v>-79.2</v>
      </c>
      <c r="J12" s="19">
        <f t="shared" si="1"/>
        <v>-79.2</v>
      </c>
      <c r="K12" s="19">
        <f t="shared" si="1"/>
        <v>-79.2</v>
      </c>
      <c r="L12" s="19">
        <f t="shared" si="1"/>
        <v>-79.2</v>
      </c>
      <c r="M12" s="19">
        <f t="shared" si="1"/>
        <v>-79.2</v>
      </c>
      <c r="N12" s="19">
        <f t="shared" si="1"/>
        <v>-79.2</v>
      </c>
      <c r="O12" s="19">
        <f t="shared" si="1"/>
        <v>-79.2</v>
      </c>
      <c r="P12" s="19">
        <f t="shared" si="1"/>
        <v>-79.2</v>
      </c>
      <c r="Q12" s="19">
        <f t="shared" si="1"/>
        <v>-79.2</v>
      </c>
      <c r="R12" s="19">
        <f t="shared" si="1"/>
        <v>-79.2</v>
      </c>
      <c r="S12" s="19">
        <f t="shared" si="1"/>
        <v>-79.2</v>
      </c>
      <c r="T12" s="19">
        <f t="shared" si="1"/>
        <v>-79.2</v>
      </c>
      <c r="U12" s="19">
        <f t="shared" si="1"/>
        <v>-79.2</v>
      </c>
      <c r="V12" s="19">
        <f t="shared" si="1"/>
        <v>-79.2</v>
      </c>
      <c r="W12" s="19">
        <f t="shared" si="1"/>
        <v>-79.2</v>
      </c>
      <c r="X12" s="19">
        <f t="shared" si="1"/>
        <v>-79.2</v>
      </c>
      <c r="Y12" s="19">
        <f t="shared" si="1"/>
        <v>-79.2</v>
      </c>
      <c r="Z12" s="19">
        <f t="shared" si="1"/>
        <v>-79.2</v>
      </c>
      <c r="AA12" s="19">
        <f t="shared" si="1"/>
        <v>-79.2</v>
      </c>
      <c r="AB12" s="19">
        <f t="shared" si="1"/>
        <v>-79.2</v>
      </c>
      <c r="AC12" s="19">
        <f t="shared" si="1"/>
        <v>-79.2</v>
      </c>
      <c r="AD12" s="19">
        <f t="shared" si="1"/>
        <v>-79.2</v>
      </c>
      <c r="AE12" s="19">
        <f t="shared" si="1"/>
        <v>-79.2</v>
      </c>
      <c r="AF12" s="19">
        <f t="shared" si="1"/>
        <v>-79.2</v>
      </c>
      <c r="AG12" s="19">
        <f t="shared" si="1"/>
        <v>-237.6</v>
      </c>
      <c r="AH12" s="19">
        <f t="shared" si="1"/>
        <v>-237.6</v>
      </c>
      <c r="AI12" s="19">
        <f t="shared" si="1"/>
        <v>-237.6</v>
      </c>
      <c r="AJ12" s="19">
        <f t="shared" si="1"/>
        <v>-237.6</v>
      </c>
      <c r="AK12" s="19">
        <f t="shared" si="1"/>
        <v>-237.6</v>
      </c>
      <c r="AL12" s="19">
        <f t="shared" si="1"/>
        <v>-237.6</v>
      </c>
      <c r="AM12" s="19">
        <f t="shared" si="1"/>
        <v>-237.6</v>
      </c>
      <c r="AN12" s="19">
        <f t="shared" si="1"/>
        <v>-237.6</v>
      </c>
      <c r="AO12" s="19">
        <f t="shared" si="1"/>
        <v>-237.6</v>
      </c>
      <c r="AP12" s="19">
        <f t="shared" si="1"/>
        <v>-237.6</v>
      </c>
      <c r="AQ12" s="19">
        <f t="shared" si="1"/>
        <v>-237.6</v>
      </c>
      <c r="AR12" s="19">
        <f t="shared" si="1"/>
        <v>-237.6</v>
      </c>
    </row>
    <row r="14" spans="1:46" x14ac:dyDescent="0.3">
      <c r="A14" s="4" t="s">
        <v>250</v>
      </c>
      <c r="C14" s="19">
        <f t="shared" ref="C14:AR14" si="2">C8+C12</f>
        <v>-3371.4158667881302</v>
      </c>
      <c r="D14" s="19">
        <f t="shared" si="2"/>
        <v>-2115.5578364892408</v>
      </c>
      <c r="E14" s="19">
        <f t="shared" si="2"/>
        <v>-2059.9618866355486</v>
      </c>
      <c r="F14" s="19">
        <f t="shared" si="2"/>
        <v>-1998.7693746294099</v>
      </c>
      <c r="G14" s="19">
        <f t="shared" si="2"/>
        <v>-1935.2933432046264</v>
      </c>
      <c r="H14" s="19">
        <f t="shared" si="2"/>
        <v>-1862.2807604370746</v>
      </c>
      <c r="I14" s="19">
        <f t="shared" si="2"/>
        <v>-1686.5468425485999</v>
      </c>
      <c r="J14" s="19">
        <f t="shared" si="2"/>
        <v>-1158.278059983867</v>
      </c>
      <c r="K14" s="19">
        <f t="shared" si="2"/>
        <v>-1062.1183818379627</v>
      </c>
      <c r="L14" s="19">
        <f t="shared" si="2"/>
        <v>1310.7236282621532</v>
      </c>
      <c r="M14" s="19">
        <f t="shared" si="2"/>
        <v>1803.6584724799588</v>
      </c>
      <c r="N14" s="19">
        <f t="shared" si="2"/>
        <v>1916.0881648442253</v>
      </c>
      <c r="O14" s="19">
        <f t="shared" si="2"/>
        <v>2038.8266238900371</v>
      </c>
      <c r="P14" s="19">
        <f t="shared" si="2"/>
        <v>2168.0582208625005</v>
      </c>
      <c r="Q14" s="19">
        <f t="shared" si="2"/>
        <v>2310.708225659555</v>
      </c>
      <c r="R14" s="19">
        <f t="shared" si="2"/>
        <v>2459.5365287932491</v>
      </c>
      <c r="S14" s="19">
        <f t="shared" si="2"/>
        <v>2620.5070845478599</v>
      </c>
      <c r="T14" s="19">
        <f t="shared" si="2"/>
        <v>2790.9459272052645</v>
      </c>
      <c r="U14" s="19">
        <f t="shared" si="2"/>
        <v>2828.9853373712604</v>
      </c>
      <c r="V14" s="19">
        <f t="shared" si="2"/>
        <v>3075.9237984625347</v>
      </c>
      <c r="W14" s="19">
        <f t="shared" si="2"/>
        <v>3286.7303049619286</v>
      </c>
      <c r="X14" s="19">
        <f t="shared" si="2"/>
        <v>3044.5445678086853</v>
      </c>
      <c r="Y14" s="19">
        <f t="shared" si="2"/>
        <v>3733.224991658707</v>
      </c>
      <c r="Z14" s="19">
        <f t="shared" si="2"/>
        <v>3975.8323965788873</v>
      </c>
      <c r="AA14" s="19">
        <f t="shared" si="2"/>
        <v>4222.2803070073032</v>
      </c>
      <c r="AB14" s="19">
        <f t="shared" si="2"/>
        <v>4475.2056059537863</v>
      </c>
      <c r="AC14" s="19">
        <f t="shared" si="2"/>
        <v>4737.3685363790973</v>
      </c>
      <c r="AD14" s="19">
        <f t="shared" si="2"/>
        <v>5002.7881872739972</v>
      </c>
      <c r="AE14" s="19">
        <f t="shared" si="2"/>
        <v>5271.9291379430333</v>
      </c>
      <c r="AF14" s="19">
        <f t="shared" si="2"/>
        <v>5546.8217606513626</v>
      </c>
      <c r="AG14" s="19">
        <f t="shared" si="2"/>
        <v>14576.501299421363</v>
      </c>
      <c r="AH14" s="19">
        <f t="shared" si="2"/>
        <v>20196.456604753483</v>
      </c>
      <c r="AI14" s="19">
        <f t="shared" si="2"/>
        <v>22545.831508866377</v>
      </c>
      <c r="AJ14" s="19">
        <f t="shared" si="2"/>
        <v>24667.208378984749</v>
      </c>
      <c r="AK14" s="19">
        <f t="shared" si="2"/>
        <v>24998.251531428017</v>
      </c>
      <c r="AL14" s="19">
        <f t="shared" si="2"/>
        <v>27747.184152391725</v>
      </c>
      <c r="AM14" s="19">
        <f t="shared" si="2"/>
        <v>29094.597133923275</v>
      </c>
      <c r="AN14" s="19">
        <f t="shared" si="2"/>
        <v>30167.230632921626</v>
      </c>
      <c r="AO14" s="19">
        <f t="shared" si="2"/>
        <v>30173.904716281962</v>
      </c>
      <c r="AP14" s="19">
        <f t="shared" si="2"/>
        <v>31819.651566372951</v>
      </c>
      <c r="AQ14" s="19">
        <f t="shared" si="2"/>
        <v>32347.889205694322</v>
      </c>
      <c r="AR14" s="19">
        <f t="shared" si="2"/>
        <v>32754.509440413764</v>
      </c>
    </row>
    <row r="15" spans="1:46" x14ac:dyDescent="0.3">
      <c r="A15" s="4" t="s">
        <v>251</v>
      </c>
      <c r="C15" s="17">
        <f>C14</f>
        <v>-3371.4158667881302</v>
      </c>
      <c r="D15" s="17">
        <f t="shared" ref="D15:AR15" si="3">C15+D14</f>
        <v>-5486.973703277371</v>
      </c>
      <c r="E15" s="17">
        <f t="shared" si="3"/>
        <v>-7546.9355899129196</v>
      </c>
      <c r="F15" s="17">
        <f t="shared" si="3"/>
        <v>-9545.7049645423285</v>
      </c>
      <c r="G15" s="17">
        <f t="shared" si="3"/>
        <v>-11480.998307746955</v>
      </c>
      <c r="H15" s="17">
        <f t="shared" si="3"/>
        <v>-13343.279068184031</v>
      </c>
      <c r="I15" s="17">
        <f t="shared" si="3"/>
        <v>-15029.82591073263</v>
      </c>
      <c r="J15" s="17">
        <f t="shared" si="3"/>
        <v>-16188.103970716496</v>
      </c>
      <c r="K15" s="17">
        <f t="shared" si="3"/>
        <v>-17250.222352554458</v>
      </c>
      <c r="L15" s="17">
        <f t="shared" si="3"/>
        <v>-15939.498724292305</v>
      </c>
      <c r="M15" s="17">
        <f t="shared" si="3"/>
        <v>-14135.840251812346</v>
      </c>
      <c r="N15" s="17">
        <f t="shared" si="3"/>
        <v>-12219.752086968121</v>
      </c>
      <c r="O15" s="17">
        <f t="shared" si="3"/>
        <v>-10180.925463078083</v>
      </c>
      <c r="P15" s="17">
        <f t="shared" si="3"/>
        <v>-8012.8672422155832</v>
      </c>
      <c r="Q15" s="17">
        <f t="shared" si="3"/>
        <v>-5702.1590165560283</v>
      </c>
      <c r="R15" s="17">
        <f t="shared" si="3"/>
        <v>-3242.6224877627792</v>
      </c>
      <c r="S15" s="17">
        <f t="shared" si="3"/>
        <v>-622.1154032149193</v>
      </c>
      <c r="T15" s="17">
        <f t="shared" si="3"/>
        <v>2168.8305239903452</v>
      </c>
      <c r="U15" s="17">
        <f t="shared" si="3"/>
        <v>4997.8158613616051</v>
      </c>
      <c r="V15" s="17">
        <f t="shared" si="3"/>
        <v>8073.7396598241394</v>
      </c>
      <c r="W15" s="17">
        <f t="shared" si="3"/>
        <v>11360.469964786069</v>
      </c>
      <c r="X15" s="17">
        <f t="shared" si="3"/>
        <v>14405.014532594754</v>
      </c>
      <c r="Y15" s="17">
        <f t="shared" si="3"/>
        <v>18138.239524253462</v>
      </c>
      <c r="Z15" s="17">
        <f t="shared" si="3"/>
        <v>22114.07192083235</v>
      </c>
      <c r="AA15" s="17">
        <f t="shared" si="3"/>
        <v>26336.352227839652</v>
      </c>
      <c r="AB15" s="17">
        <f t="shared" si="3"/>
        <v>30811.557833793438</v>
      </c>
      <c r="AC15" s="17">
        <f t="shared" si="3"/>
        <v>35548.926370172536</v>
      </c>
      <c r="AD15" s="17">
        <f t="shared" si="3"/>
        <v>40551.714557446532</v>
      </c>
      <c r="AE15" s="17">
        <f t="shared" si="3"/>
        <v>45823.643695389568</v>
      </c>
      <c r="AF15" s="17">
        <f t="shared" si="3"/>
        <v>51370.465456040933</v>
      </c>
      <c r="AG15" s="17">
        <f t="shared" si="3"/>
        <v>65946.966755462301</v>
      </c>
      <c r="AH15" s="17">
        <f t="shared" si="3"/>
        <v>86143.423360215791</v>
      </c>
      <c r="AI15" s="17">
        <f t="shared" si="3"/>
        <v>108689.25486908217</v>
      </c>
      <c r="AJ15" s="17">
        <f t="shared" si="3"/>
        <v>133356.46324806692</v>
      </c>
      <c r="AK15" s="17">
        <f t="shared" si="3"/>
        <v>158354.71477949494</v>
      </c>
      <c r="AL15" s="17">
        <f t="shared" si="3"/>
        <v>186101.89893188665</v>
      </c>
      <c r="AM15" s="17">
        <f t="shared" si="3"/>
        <v>215196.49606580992</v>
      </c>
      <c r="AN15" s="17">
        <f t="shared" si="3"/>
        <v>245363.72669873154</v>
      </c>
      <c r="AO15" s="17">
        <f t="shared" si="3"/>
        <v>275537.63141501351</v>
      </c>
      <c r="AP15" s="17">
        <f t="shared" si="3"/>
        <v>307357.28298138647</v>
      </c>
      <c r="AQ15" s="17">
        <f t="shared" si="3"/>
        <v>339705.17218708078</v>
      </c>
      <c r="AR15" s="17">
        <f t="shared" si="3"/>
        <v>372459.68162749452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B23"/>
  <sheetViews>
    <sheetView workbookViewId="0">
      <selection activeCell="B13" sqref="B13"/>
    </sheetView>
  </sheetViews>
  <sheetFormatPr defaultRowHeight="14.4" x14ac:dyDescent="0.3"/>
  <cols>
    <col min="1" max="1" width="38" customWidth="1"/>
    <col min="2" max="2" width="18" customWidth="1"/>
  </cols>
  <sheetData>
    <row r="1" spans="1:2" x14ac:dyDescent="0.3">
      <c r="A1" s="28" t="s">
        <v>252</v>
      </c>
      <c r="B1" s="30"/>
    </row>
    <row r="3" spans="1:2" x14ac:dyDescent="0.3">
      <c r="A3" s="28" t="s">
        <v>253</v>
      </c>
      <c r="B3" s="30"/>
    </row>
    <row r="4" spans="1:2" x14ac:dyDescent="0.3">
      <c r="A4" s="3" t="s">
        <v>50</v>
      </c>
      <c r="B4" s="3" t="s">
        <v>254</v>
      </c>
    </row>
    <row r="5" spans="1:2" x14ac:dyDescent="0.3">
      <c r="A5" s="4" t="s">
        <v>11</v>
      </c>
      <c r="B5" s="17">
        <f>SUM('Cash Flow'!C14:H14)</f>
        <v>-13343.279068184031</v>
      </c>
    </row>
    <row r="6" spans="1:2" x14ac:dyDescent="0.3">
      <c r="A6" s="4" t="s">
        <v>12</v>
      </c>
      <c r="B6" s="17">
        <f>SUM('Cash Flow'!I14:T14)</f>
        <v>15512.109592174374</v>
      </c>
    </row>
    <row r="7" spans="1:2" x14ac:dyDescent="0.3">
      <c r="A7" s="4" t="s">
        <v>13</v>
      </c>
      <c r="B7" s="17">
        <f>SUM('Cash Flow'!U14:AF14)</f>
        <v>49201.634932050583</v>
      </c>
    </row>
    <row r="8" spans="1:2" x14ac:dyDescent="0.3">
      <c r="A8" s="4" t="s">
        <v>14</v>
      </c>
      <c r="B8" s="17">
        <f>SUM('Cash Flow'!AG14:AJ14)</f>
        <v>81985.99779202597</v>
      </c>
    </row>
    <row r="9" spans="1:2" x14ac:dyDescent="0.3">
      <c r="A9" s="4" t="s">
        <v>15</v>
      </c>
      <c r="B9" s="17">
        <f>SUM('Cash Flow'!AK14:AN14)</f>
        <v>112007.26345066464</v>
      </c>
    </row>
    <row r="10" spans="1:2" x14ac:dyDescent="0.3">
      <c r="A10" s="4" t="s">
        <v>16</v>
      </c>
      <c r="B10" s="17">
        <f>SUM('Cash Flow'!AO14:AR14)</f>
        <v>127095.95492876301</v>
      </c>
    </row>
    <row r="12" spans="1:2" x14ac:dyDescent="0.3">
      <c r="A12" s="28" t="s">
        <v>255</v>
      </c>
      <c r="B12" s="30"/>
    </row>
    <row r="13" spans="1:2" x14ac:dyDescent="0.3">
      <c r="A13" s="4" t="s">
        <v>256</v>
      </c>
      <c r="B13" s="17">
        <f>NPV(Assumptions!$B$61,B6:B10)+B5</f>
        <v>241386.37365627167</v>
      </c>
    </row>
    <row r="14" spans="1:2" x14ac:dyDescent="0.3">
      <c r="A14" s="4" t="s">
        <v>3</v>
      </c>
      <c r="B14" s="21">
        <f>IFERROR(IRR(B5:B10),"N/A")</f>
        <v>2.2298519423259462</v>
      </c>
    </row>
    <row r="15" spans="1:2" x14ac:dyDescent="0.3">
      <c r="A15" s="4" t="s">
        <v>257</v>
      </c>
      <c r="B15" s="17">
        <f>-MIN(0,'Cash Flow'!C15:'Cash Flow'!AR15)</f>
        <v>17250.222352554458</v>
      </c>
    </row>
    <row r="16" spans="1:2" x14ac:dyDescent="0.3">
      <c r="A16" s="4" t="s">
        <v>258</v>
      </c>
      <c r="B16" s="21">
        <f>IF(B15=0,0,('Cash Flow'!AR15+B15)/B15)</f>
        <v>22.591587285965606</v>
      </c>
    </row>
    <row r="17" spans="1:2" x14ac:dyDescent="0.3">
      <c r="A17" s="4" t="s">
        <v>259</v>
      </c>
      <c r="B17" s="4">
        <f>IFERROR(MATCH(TRUE,INDEX('Cash Flow'!C15:'Cash Flow'!AR15&gt;0,0),0)/12,"Not reached")</f>
        <v>1.5</v>
      </c>
    </row>
    <row r="19" spans="1:2" x14ac:dyDescent="0.3">
      <c r="A19" s="28" t="s">
        <v>260</v>
      </c>
      <c r="B19" s="30"/>
    </row>
    <row r="20" spans="1:2" x14ac:dyDescent="0.3">
      <c r="A20" s="4" t="s">
        <v>2</v>
      </c>
      <c r="B20" s="17">
        <f>B13</f>
        <v>241386.37365627167</v>
      </c>
    </row>
    <row r="21" spans="1:2" x14ac:dyDescent="0.3">
      <c r="A21" s="4" t="s">
        <v>3</v>
      </c>
      <c r="B21" s="21">
        <f>B14</f>
        <v>2.2298519423259462</v>
      </c>
    </row>
    <row r="22" spans="1:2" x14ac:dyDescent="0.3">
      <c r="A22" s="4" t="s">
        <v>261</v>
      </c>
      <c r="B22" s="21">
        <f>Assumptions!$B$61</f>
        <v>0.12</v>
      </c>
    </row>
    <row r="23" spans="1:2" x14ac:dyDescent="0.3">
      <c r="A23" s="4" t="s">
        <v>262</v>
      </c>
      <c r="B23" s="21">
        <f>Assumptions!$B$60</f>
        <v>0.2</v>
      </c>
    </row>
  </sheetData>
  <mergeCells count="4">
    <mergeCell ref="A3:B3"/>
    <mergeCell ref="A12:B12"/>
    <mergeCell ref="A1:B1"/>
    <mergeCell ref="A19: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G35"/>
  <sheetViews>
    <sheetView topLeftCell="A5" workbookViewId="0">
      <selection activeCell="A33" sqref="A33"/>
    </sheetView>
  </sheetViews>
  <sheetFormatPr defaultRowHeight="14.4" x14ac:dyDescent="0.3"/>
  <cols>
    <col min="1" max="1" width="30" customWidth="1"/>
    <col min="2" max="2" width="18" customWidth="1"/>
  </cols>
  <sheetData>
    <row r="1" spans="1:7" x14ac:dyDescent="0.3">
      <c r="A1" s="28" t="s">
        <v>263</v>
      </c>
      <c r="B1" s="30"/>
    </row>
    <row r="3" spans="1:7" x14ac:dyDescent="0.3">
      <c r="A3" s="2" t="s">
        <v>264</v>
      </c>
    </row>
    <row r="4" spans="1:7" x14ac:dyDescent="0.3">
      <c r="A4" s="2" t="s">
        <v>265</v>
      </c>
    </row>
    <row r="6" spans="1:7" x14ac:dyDescent="0.3">
      <c r="A6" s="28" t="s">
        <v>266</v>
      </c>
      <c r="B6" s="29"/>
      <c r="C6" s="29"/>
      <c r="D6" s="29"/>
      <c r="E6" s="29"/>
      <c r="F6" s="30"/>
    </row>
    <row r="7" spans="1:7" x14ac:dyDescent="0.3">
      <c r="A7" s="3" t="s">
        <v>267</v>
      </c>
      <c r="B7" s="3" t="s">
        <v>268</v>
      </c>
      <c r="C7" s="3" t="s">
        <v>269</v>
      </c>
      <c r="D7" s="3" t="s">
        <v>270</v>
      </c>
      <c r="E7" s="3" t="s">
        <v>271</v>
      </c>
      <c r="F7" s="3" t="s">
        <v>272</v>
      </c>
      <c r="G7" s="3" t="s">
        <v>273</v>
      </c>
    </row>
    <row r="8" spans="1:7" x14ac:dyDescent="0.3">
      <c r="A8" s="4" t="s">
        <v>274</v>
      </c>
      <c r="B8" s="25" t="s">
        <v>275</v>
      </c>
      <c r="C8" s="25" t="s">
        <v>276</v>
      </c>
      <c r="D8" s="25" t="s">
        <v>277</v>
      </c>
      <c r="E8" s="25" t="s">
        <v>278</v>
      </c>
      <c r="F8" s="25" t="s">
        <v>279</v>
      </c>
      <c r="G8" s="25" t="s">
        <v>280</v>
      </c>
    </row>
    <row r="9" spans="1:7" x14ac:dyDescent="0.3">
      <c r="A9" s="4" t="s">
        <v>281</v>
      </c>
      <c r="B9" s="25" t="s">
        <v>282</v>
      </c>
      <c r="C9" s="25" t="s">
        <v>283</v>
      </c>
      <c r="D9" s="25" t="s">
        <v>284</v>
      </c>
      <c r="E9" s="25" t="s">
        <v>285</v>
      </c>
      <c r="F9" s="25" t="s">
        <v>286</v>
      </c>
      <c r="G9" s="25" t="s">
        <v>287</v>
      </c>
    </row>
    <row r="10" spans="1:7" x14ac:dyDescent="0.3">
      <c r="A10" s="4" t="s">
        <v>288</v>
      </c>
      <c r="B10" s="25" t="s">
        <v>289</v>
      </c>
      <c r="C10" s="25" t="s">
        <v>277</v>
      </c>
      <c r="D10" s="25" t="s">
        <v>290</v>
      </c>
      <c r="E10" s="25" t="s">
        <v>279</v>
      </c>
      <c r="F10" s="25" t="s">
        <v>291</v>
      </c>
      <c r="G10" s="25" t="s">
        <v>292</v>
      </c>
    </row>
    <row r="11" spans="1:7" x14ac:dyDescent="0.3">
      <c r="A11" s="4" t="s">
        <v>293</v>
      </c>
      <c r="B11" s="25" t="s">
        <v>294</v>
      </c>
      <c r="C11" s="25" t="s">
        <v>295</v>
      </c>
      <c r="D11" s="25" t="s">
        <v>296</v>
      </c>
      <c r="E11" s="25" t="s">
        <v>297</v>
      </c>
      <c r="F11" s="25" t="s">
        <v>298</v>
      </c>
      <c r="G11" s="25" t="s">
        <v>299</v>
      </c>
    </row>
    <row r="12" spans="1:7" x14ac:dyDescent="0.3">
      <c r="A12" s="4" t="s">
        <v>300</v>
      </c>
      <c r="B12" s="25" t="s">
        <v>276</v>
      </c>
      <c r="C12" s="25" t="s">
        <v>278</v>
      </c>
      <c r="D12" s="25" t="s">
        <v>279</v>
      </c>
      <c r="E12" s="25" t="s">
        <v>301</v>
      </c>
      <c r="F12" s="25" t="s">
        <v>302</v>
      </c>
      <c r="G12" s="25" t="s">
        <v>303</v>
      </c>
    </row>
    <row r="13" spans="1:7" x14ac:dyDescent="0.3">
      <c r="A13" s="4" t="s">
        <v>304</v>
      </c>
      <c r="B13" s="25" t="s">
        <v>283</v>
      </c>
      <c r="C13" s="25" t="s">
        <v>285</v>
      </c>
      <c r="D13" s="25" t="s">
        <v>286</v>
      </c>
      <c r="E13" s="25" t="s">
        <v>280</v>
      </c>
      <c r="F13" s="25" t="s">
        <v>292</v>
      </c>
      <c r="G13" s="25" t="s">
        <v>305</v>
      </c>
    </row>
    <row r="16" spans="1:7" x14ac:dyDescent="0.3">
      <c r="A16" s="28" t="s">
        <v>306</v>
      </c>
      <c r="B16" s="29"/>
      <c r="C16" s="29"/>
      <c r="D16" s="29"/>
      <c r="E16" s="29"/>
      <c r="F16" s="30"/>
    </row>
    <row r="17" spans="1:7" x14ac:dyDescent="0.3">
      <c r="A17" s="3" t="s">
        <v>307</v>
      </c>
      <c r="B17" s="3" t="s">
        <v>308</v>
      </c>
      <c r="C17" s="3" t="s">
        <v>309</v>
      </c>
      <c r="D17" s="3" t="s">
        <v>310</v>
      </c>
      <c r="E17" s="3" t="s">
        <v>311</v>
      </c>
      <c r="F17" s="3" t="s">
        <v>312</v>
      </c>
      <c r="G17" s="3" t="s">
        <v>313</v>
      </c>
    </row>
    <row r="18" spans="1:7" x14ac:dyDescent="0.3">
      <c r="A18" s="4" t="s">
        <v>314</v>
      </c>
      <c r="B18" s="13">
        <v>3030</v>
      </c>
      <c r="C18" s="13">
        <v>6061</v>
      </c>
      <c r="D18" s="13">
        <v>9091</v>
      </c>
      <c r="E18" s="13">
        <v>12122</v>
      </c>
      <c r="F18" s="13">
        <v>15152</v>
      </c>
      <c r="G18" s="13">
        <v>18183</v>
      </c>
    </row>
    <row r="19" spans="1:7" x14ac:dyDescent="0.3">
      <c r="A19" s="4" t="s">
        <v>315</v>
      </c>
      <c r="B19" s="13">
        <v>6061</v>
      </c>
      <c r="C19" s="13">
        <v>12122</v>
      </c>
      <c r="D19" s="13">
        <v>18183</v>
      </c>
      <c r="E19" s="13">
        <v>24244</v>
      </c>
      <c r="F19" s="13">
        <v>30305</v>
      </c>
      <c r="G19" s="13">
        <v>36366</v>
      </c>
    </row>
    <row r="20" spans="1:7" x14ac:dyDescent="0.3">
      <c r="A20" s="4" t="s">
        <v>316</v>
      </c>
      <c r="B20" s="13">
        <v>12122</v>
      </c>
      <c r="C20" s="13">
        <v>24244</v>
      </c>
      <c r="D20" s="13">
        <v>36366</v>
      </c>
      <c r="E20" s="13">
        <v>48488</v>
      </c>
      <c r="F20" s="13">
        <v>60610</v>
      </c>
      <c r="G20" s="13">
        <v>72732</v>
      </c>
    </row>
    <row r="21" spans="1:7" x14ac:dyDescent="0.3">
      <c r="A21" s="4" t="s">
        <v>317</v>
      </c>
      <c r="B21" s="13">
        <v>18183</v>
      </c>
      <c r="C21" s="13">
        <v>36366</v>
      </c>
      <c r="D21" s="13">
        <v>54549</v>
      </c>
      <c r="E21" s="13">
        <v>72732</v>
      </c>
      <c r="F21" s="13">
        <v>90915</v>
      </c>
      <c r="G21" s="13">
        <v>109098</v>
      </c>
    </row>
    <row r="22" spans="1:7" x14ac:dyDescent="0.3">
      <c r="A22" s="4" t="s">
        <v>318</v>
      </c>
      <c r="B22" s="13">
        <v>30305</v>
      </c>
      <c r="C22" s="13">
        <v>60610</v>
      </c>
      <c r="D22" s="13">
        <v>90915</v>
      </c>
      <c r="E22" s="13">
        <v>121220</v>
      </c>
      <c r="F22" s="13">
        <v>151524</v>
      </c>
      <c r="G22" s="13">
        <v>181829</v>
      </c>
    </row>
    <row r="23" spans="1:7" x14ac:dyDescent="0.3">
      <c r="A23" s="4" t="s">
        <v>319</v>
      </c>
      <c r="B23" s="13">
        <v>60610</v>
      </c>
      <c r="C23" s="13">
        <v>121220</v>
      </c>
      <c r="D23" s="13">
        <v>181829</v>
      </c>
      <c r="E23" s="13">
        <v>242439</v>
      </c>
      <c r="F23" s="13">
        <v>303049</v>
      </c>
      <c r="G23" s="13">
        <v>363659</v>
      </c>
    </row>
    <row r="26" spans="1:7" x14ac:dyDescent="0.3">
      <c r="A26" s="28" t="s">
        <v>320</v>
      </c>
      <c r="B26" s="29"/>
      <c r="C26" s="29"/>
      <c r="D26" s="29"/>
      <c r="E26" s="29"/>
      <c r="F26" s="30"/>
    </row>
    <row r="27" spans="1:7" x14ac:dyDescent="0.3">
      <c r="A27" s="3" t="s">
        <v>30</v>
      </c>
      <c r="B27" s="3" t="s">
        <v>133</v>
      </c>
      <c r="C27" s="3" t="s">
        <v>132</v>
      </c>
      <c r="D27" s="3" t="s">
        <v>134</v>
      </c>
      <c r="E27" s="3" t="s">
        <v>321</v>
      </c>
    </row>
    <row r="28" spans="1:7" x14ac:dyDescent="0.3">
      <c r="A28" s="4" t="s">
        <v>135</v>
      </c>
      <c r="B28" s="6" t="s">
        <v>322</v>
      </c>
      <c r="C28" s="11" t="s">
        <v>323</v>
      </c>
      <c r="D28" s="6" t="s">
        <v>324</v>
      </c>
      <c r="E28" s="26" t="s">
        <v>325</v>
      </c>
    </row>
    <row r="29" spans="1:7" x14ac:dyDescent="0.3">
      <c r="A29" s="4" t="s">
        <v>307</v>
      </c>
      <c r="B29" s="6" t="s">
        <v>326</v>
      </c>
      <c r="C29" s="11" t="s">
        <v>327</v>
      </c>
      <c r="D29" s="6" t="s">
        <v>328</v>
      </c>
      <c r="E29" s="26" t="s">
        <v>329</v>
      </c>
    </row>
    <row r="30" spans="1:7" x14ac:dyDescent="0.3">
      <c r="A30" s="4" t="s">
        <v>137</v>
      </c>
      <c r="B30" s="6" t="s">
        <v>330</v>
      </c>
      <c r="C30" s="11" t="s">
        <v>331</v>
      </c>
      <c r="D30" s="6" t="s">
        <v>326</v>
      </c>
      <c r="E30" s="26" t="s">
        <v>329</v>
      </c>
    </row>
    <row r="31" spans="1:7" x14ac:dyDescent="0.3">
      <c r="A31" s="4" t="s">
        <v>138</v>
      </c>
      <c r="B31" s="6" t="s">
        <v>330</v>
      </c>
      <c r="C31" s="11" t="s">
        <v>332</v>
      </c>
      <c r="D31" s="6" t="s">
        <v>333</v>
      </c>
      <c r="E31" s="26" t="s">
        <v>334</v>
      </c>
    </row>
    <row r="32" spans="1:7" x14ac:dyDescent="0.3">
      <c r="A32" s="4" t="s">
        <v>139</v>
      </c>
      <c r="B32" s="6" t="s">
        <v>335</v>
      </c>
      <c r="C32" s="11" t="s">
        <v>335</v>
      </c>
      <c r="D32" s="6" t="s">
        <v>336</v>
      </c>
      <c r="E32" s="26" t="s">
        <v>337</v>
      </c>
    </row>
    <row r="35" spans="1:1" x14ac:dyDescent="0.3">
      <c r="A35" s="27" t="s">
        <v>338</v>
      </c>
    </row>
  </sheetData>
  <mergeCells count="4">
    <mergeCell ref="A26:F26"/>
    <mergeCell ref="A16:F16"/>
    <mergeCell ref="A6:F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Assumptions</vt:lpstr>
      <vt:lpstr>Market Sizing</vt:lpstr>
      <vt:lpstr>Revenue Schedule</vt:lpstr>
      <vt:lpstr>Cost Schedule</vt:lpstr>
      <vt:lpstr>P&amp;L</vt:lpstr>
      <vt:lpstr>Cash Flow</vt:lpstr>
      <vt:lpstr>DCF &amp; Returns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 Nam (VPBDH)</cp:lastModifiedBy>
  <dcterms:created xsi:type="dcterms:W3CDTF">2026-03-21T09:00:57Z</dcterms:created>
  <dcterms:modified xsi:type="dcterms:W3CDTF">2026-03-21T09:43:31Z</dcterms:modified>
</cp:coreProperties>
</file>