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Đầu tư ban đầu" sheetId="3" state="visible" r:id="rId3"/>
    <sheet xmlns:r="http://schemas.openxmlformats.org/officeDocument/2006/relationships" name="Nhân sự" sheetId="4" state="visible" r:id="rId4"/>
    <sheet xmlns:r="http://schemas.openxmlformats.org/officeDocument/2006/relationships" name="Quy mô thị trường" sheetId="5" state="visible" r:id="rId5"/>
    <sheet xmlns:r="http://schemas.openxmlformats.org/officeDocument/2006/relationships" name="Doanh thu" sheetId="6" state="visible" r:id="rId6"/>
    <sheet xmlns:r="http://schemas.openxmlformats.org/officeDocument/2006/relationships" name="Chi phí" sheetId="7" state="visible" r:id="rId7"/>
    <sheet xmlns:r="http://schemas.openxmlformats.org/officeDocument/2006/relationships" name="Kết quả KD" sheetId="8" state="visible" r:id="rId8"/>
    <sheet xmlns:r="http://schemas.openxmlformats.org/officeDocument/2006/relationships" name="Dòng tiền" sheetId="9" state="visible" r:id="rId9"/>
    <sheet xmlns:r="http://schemas.openxmlformats.org/officeDocument/2006/relationships" name="Thẩm định" sheetId="10" state="visible" r:id="rId10"/>
    <sheet xmlns:r="http://schemas.openxmlformats.org/officeDocument/2006/relationships" name="Kịch bản" sheetId="11" state="visible" r:id="rId11"/>
    <sheet xmlns:r="http://schemas.openxmlformats.org/officeDocument/2006/relationships" name="Ngân sách 2025" sheetId="12" state="visible" r:id="rId12"/>
    <sheet xmlns:r="http://schemas.openxmlformats.org/officeDocument/2006/relationships" name="Ngân sách 2026" sheetId="13" state="visible" r:id="rId13"/>
  </sheets>
  <definedNames>
    <definedName name="base_year">Assumptions!$B$6</definedName>
    <definedName name="start_month">Assumptions!$B$7</definedName>
    <definedName name="TAM_enterprises">Assumptions!$B$11</definedName>
    <definedName name="SAM_enterprises">Assumptions!$B$12</definedName>
    <definedName name="ecom_market_base">Assumptions!$B$13</definedName>
    <definedName name="ecom_growth_rate">Assumptions!$B$14</definedName>
    <definedName name="adoption_max">Assumptions!$B$18</definedName>
    <definedName name="adoption_midpoint">Assumptions!$B$19</definedName>
    <definedName name="adoption_steepness">Assumptions!$B$20</definedName>
    <definedName name="pilot_count">Assumptions!$B$21</definedName>
    <definedName name="churn_rate">Assumptions!$B$22</definedName>
    <definedName name="cert_fee_yr1">Assumptions!$B$26</definedName>
    <definedName name="cert_fee_escalation">Assumptions!$B$27</definedName>
    <definedName name="tx_take_rate">Assumptions!$B$28</definedName>
    <definedName name="platform_market_share">Assumptions!$B$29</definedName>
    <definedName name="daas_price">Assumptions!$B$30</definedName>
    <definedName name="ad_cpm">Assumptions!$B$31</definedName>
    <definedName name="ad_impressions_base">Assumptions!$B$32</definedName>
    <definedName name="training_fee">Assumptions!$B$33</definedName>
    <definedName name="audit_fee">Assumptions!$B$34</definedName>
    <definedName name="training_pct">Assumptions!$B$35</definedName>
    <definedName name="capex_maintenance_pct">Assumptions!$B$39</definedName>
    <definedName name="opex_marketing">Assumptions!$B$40</definedName>
    <definedName name="marketing_growth">Assumptions!$B$41</definedName>
    <definedName name="opex_cloud_base">Assumptions!$B$42</definedName>
    <definedName name="cloud_per_1M_vcr">Assumptions!$B$43</definedName>
    <definedName name="vcr_per_enterprise">Assumptions!$B$44</definedName>
    <definedName name="opex_external">Assumptions!$B$45</definedName>
    <definedName name="opex_legal">Assumptions!$B$46</definedName>
    <definedName name="opex_branding">Assumptions!$B$47</definedName>
    <definedName name="opex_security">Assumptions!$B$48</definedName>
    <definedName name="opex_pilot_eval">Assumptions!$B$49</definedName>
    <definedName name="payment_proc_pct">Assumptions!$B$50</definedName>
    <definedName name="opex_support_per_ent">Assumptions!$B$51</definedName>
    <definedName name="opex_partner_mgmt">Assumptions!$B$52</definedName>
    <definedName name="opex_contingency_pct">Assumptions!$B$53</definedName>
    <definedName name="salary_mgmt">Assumptions!$B$57</definedName>
    <definedName name="salary_dev">Assumptions!$B$58</definedName>
    <definedName name="salary_bizops">Assumptions!$B$59</definedName>
    <definedName name="salary_data">Assumptions!$B$60</definedName>
    <definedName name="salary_escalation">Assumptions!$B$61</definedName>
    <definedName name="bhxh_rate">Assumptions!$B$62</definedName>
    <definedName name="recruit_cost_pct">Assumptions!$B$63</definedName>
    <definedName name="cit_rate">Assumptions!$B$67</definedName>
    <definedName name="discount_rate">Assumptions!$B$68</definedName>
    <definedName name="depreciation_years">Assumptions!$B$69</definedName>
    <definedName name="ar_days">Assumptions!$B$70</definedName>
    <definedName name="ap_days">Assumptions!$B$71</definedName>
    <definedName name="stage2_gate">Assumptions!$B$72</definedName>
    <definedName name="capex_cloud_setup">'Đầu tư ban đầu'!$B$4</definedName>
    <definedName name="capex_backend">'Đầu tư ban đầu'!$B$5</definedName>
    <definedName name="capex_frontend">'Đầu tư ban đầu'!$B$6</definedName>
    <definedName name="capex_data_platform">'Đầu tư ban đầu'!$B$7</definedName>
    <definedName name="capex_security_setup">'Đầu tư ban đầu'!$B$8</definedName>
    <definedName name="capex_ux_design">'Đầu tư ban đầu'!$B$9</definedName>
    <definedName name="capex_integration">'Đầu tư ban đầu'!$B$10</definedName>
    <definedName name="capex_devops">'Đầu tư ban đầu'!$B$11</definedName>
    <definedName name="capex_testing">'Đầu tư ban đầu'!$B$12</definedName>
    <definedName name="capex_contingency">'Đầu tư ban đầu'!$B$13</definedName>
    <definedName name="capex_total">'Đầu tư ban đầu'!$B$15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#,##0.0"/>
  </numFmts>
  <fonts count="19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1F4E79"/>
      <sz val="11"/>
    </font>
    <font>
      <b val="1"/>
      <color rgb="00FFFFFF"/>
      <sz val="11"/>
    </font>
    <font>
      <sz val="11"/>
    </font>
    <font>
      <color rgb="000000FF"/>
      <sz val="11"/>
    </font>
    <font>
      <i val="1"/>
      <color rgb="00888888"/>
      <sz val="10"/>
    </font>
    <font>
      <b val="1"/>
      <sz val="11"/>
    </font>
    <font>
      <color rgb="00CC0000"/>
      <sz val="11"/>
    </font>
    <font>
      <color rgb="0000B050"/>
      <sz val="11"/>
    </font>
    <font>
      <b val="1"/>
      <color rgb="00333333"/>
      <sz val="10"/>
    </font>
    <font>
      <b val="1"/>
      <color rgb="001F4E79"/>
      <sz val="10"/>
    </font>
    <font>
      <color rgb="00333333"/>
      <sz val="10"/>
    </font>
    <font>
      <b val="1"/>
      <color rgb="00CC0000"/>
      <sz val="10"/>
    </font>
    <font>
      <b val="1"/>
      <color rgb="00996600"/>
      <sz val="10"/>
    </font>
    <font>
      <b val="1"/>
      <color rgb="000070C0"/>
      <sz val="10"/>
    </font>
    <font>
      <b val="1"/>
      <color rgb="0000B050"/>
      <sz val="10"/>
    </font>
    <font>
      <b val="1"/>
      <color rgb="001F4E79"/>
      <sz val="16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/>
    </xf>
    <xf numFmtId="0" fontId="5" fillId="0" borderId="1" pivotButton="0" quotePrefix="0" xfId="0"/>
    <xf numFmtId="3" fontId="6" fillId="4" borderId="1" pivotButton="0" quotePrefix="0" xfId="0"/>
    <xf numFmtId="0" fontId="7" fillId="0" borderId="1" pivotButton="0" quotePrefix="0" xfId="0"/>
    <xf numFmtId="164" fontId="6" fillId="4" borderId="1" pivotButton="0" quotePrefix="0" xfId="0"/>
    <xf numFmtId="165" fontId="6" fillId="4" borderId="1" pivotButton="0" quotePrefix="0" xfId="0"/>
    <xf numFmtId="3" fontId="8" fillId="5" borderId="1" pivotButton="0" quotePrefix="0" xfId="0"/>
    <xf numFmtId="3" fontId="5" fillId="0" borderId="1" pivotButton="0" quotePrefix="0" xfId="0"/>
    <xf numFmtId="0" fontId="0" fillId="2" borderId="0" pivotButton="0" quotePrefix="0" xfId="0"/>
    <xf numFmtId="0" fontId="5" fillId="0" borderId="0" pivotButton="0" quotePrefix="0" xfId="0"/>
    <xf numFmtId="0" fontId="8" fillId="0" borderId="0" pivotButton="0" quotePrefix="0" xfId="0"/>
    <xf numFmtId="166" fontId="5" fillId="0" borderId="1" pivotButton="0" quotePrefix="0" xfId="0"/>
    <xf numFmtId="167" fontId="5" fillId="0" borderId="1" pivotButton="0" quotePrefix="0" xfId="0"/>
    <xf numFmtId="2" fontId="5" fillId="0" borderId="1" pivotButton="0" quotePrefix="0" xfId="0"/>
    <xf numFmtId="164" fontId="5" fillId="0" borderId="1" pivotButton="0" quotePrefix="0" xfId="0"/>
    <xf numFmtId="0" fontId="1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3" fontId="9" fillId="0" borderId="1" pivotButton="0" quotePrefix="0" xfId="0"/>
    <xf numFmtId="3" fontId="0" fillId="0" borderId="1" pivotButton="0" quotePrefix="0" xfId="0"/>
    <xf numFmtId="3" fontId="10" fillId="0" borderId="1" pivotButton="0" quotePrefix="0" xfId="0"/>
    <xf numFmtId="164" fontId="9" fillId="0" borderId="1" pivotButton="0" quotePrefix="0" xfId="0"/>
    <xf numFmtId="164" fontId="0" fillId="0" borderId="1" pivotButton="0" quotePrefix="0" xfId="0"/>
    <xf numFmtId="164" fontId="8" fillId="5" borderId="1" pivotButton="0" quotePrefix="0" xfId="0"/>
    <xf numFmtId="164" fontId="10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35" customWidth="1" min="3" max="3"/>
  </cols>
  <sheetData>
    <row r="1">
      <c r="A1" s="20" t="inlineStr">
        <is>
          <t>VISIT VIETNAM — MÔ HÌNH TÀI CHÍNH v4 — HƯỚNG DẪN</t>
        </is>
      </c>
    </row>
    <row r="2">
      <c r="A2" s="2" t="inlineStr">
        <is>
          <t>v4.0 | 21/03/2026 | Phiên bản tiếng Việt</t>
        </is>
      </c>
    </row>
    <row r="4">
      <c r="A4" s="3" t="inlineStr">
        <is>
          <t>DANH SÁCH CÁC TRANG</t>
        </is>
      </c>
    </row>
    <row r="5">
      <c r="A5" s="5" t="inlineStr">
        <is>
          <t>Trang</t>
        </is>
      </c>
      <c r="B5" s="5" t="inlineStr">
        <is>
          <t>Mục đích</t>
        </is>
      </c>
      <c r="C5" s="5" t="inlineStr">
        <is>
          <t>Ghi chú</t>
        </is>
      </c>
    </row>
    <row r="6">
      <c r="A6" s="6" t="inlineStr">
        <is>
          <t>Hướng dẫn</t>
        </is>
      </c>
      <c r="B6" s="6" t="inlineStr">
        <is>
          <t>Giải thích mô hình, thuật ngữ, công thức, cách sử dụng</t>
        </is>
      </c>
      <c r="C6" s="6" t="inlineStr">
        <is>
          <t>Đọc trước</t>
        </is>
      </c>
    </row>
    <row r="7">
      <c r="A7" s="6" t="inlineStr">
        <is>
          <t>Assumptions</t>
        </is>
      </c>
      <c r="B7" s="6" t="inlineStr">
        <is>
          <t>49 named ranges. MỌI đầu vào ở đây (ô vàng).</t>
        </is>
      </c>
      <c r="C7" s="6" t="inlineStr">
        <is>
          <t>Chỉ sửa ô vàng</t>
        </is>
      </c>
    </row>
    <row r="8">
      <c r="A8" s="6" t="inlineStr">
        <is>
          <t>Đầu tư ban đầu</t>
        </is>
      </c>
      <c r="B8" s="6" t="inlineStr">
        <is>
          <t>10 hạng mục CAPEX → capex_total. Lịch khấu hao.</t>
        </is>
      </c>
      <c r="C8" s="6" t="inlineStr">
        <is>
          <t>capex_total dùng khắp nơi</t>
        </is>
      </c>
    </row>
    <row r="9">
      <c r="A9" s="6" t="inlineStr">
        <is>
          <t>Nhân sự</t>
        </is>
      </c>
      <c r="B9" s="6" t="inlineStr">
        <is>
          <t>4 bộ phận × 42 kỳ. Lương = biên chế × named_salary × tăng × BHXH</t>
        </is>
      </c>
      <c r="C9" s="6" t="inlineStr">
        <is>
          <t>Ô vàng = biên chế</t>
        </is>
      </c>
    </row>
    <row r="10">
      <c r="A10" s="6" t="inlineStr">
        <is>
          <t>Quy mô thị trường</t>
        </is>
      </c>
      <c r="B10" s="6" t="inlineStr">
        <is>
          <t>Đường cong S tăng trưởng DN. Year fracs từ base_year.</t>
        </is>
      </c>
      <c r="C10" s="6" t="inlineStr">
        <is>
          <t>Không hardcode năm</t>
        </is>
      </c>
    </row>
    <row r="11">
      <c r="A11" s="6" t="inlineStr">
        <is>
          <t>Doanh thu</t>
        </is>
      </c>
      <c r="B11" s="6" t="inlineStr">
        <is>
          <t>6 nguồn thu. GĐ2 kích hoạt khi đạt ngưỡng stage2_gate.</t>
        </is>
      </c>
      <c r="C11" s="6" t="inlineStr">
        <is>
          <t>Named ranges trong formulas</t>
        </is>
      </c>
    </row>
    <row r="12">
      <c r="A12" s="6" t="inlineStr">
        <is>
          <t>Chi phí</t>
        </is>
      </c>
      <c r="B12" s="6" t="inlineStr">
        <is>
          <t>CAPEX (Đầu tư) + OPEX (Nhân sự + 10 danh mục + dự phòng)</t>
        </is>
      </c>
      <c r="C12" s="6" t="inlineStr">
        <is>
          <t>Liên kết chéo trang</t>
        </is>
      </c>
    </row>
    <row r="13">
      <c r="A13" s="6" t="inlineStr">
        <is>
          <t>Kết quả KD</t>
        </is>
      </c>
      <c r="B13" s="6" t="inlineStr">
        <is>
          <t>DT → Giá vốn → LN gộp → OPEX → EBITDA → KH → EBIT → Thuế 20% → LN ròng</t>
        </is>
      </c>
      <c r="C13" s="6" t="inlineStr">
        <is>
          <t>Thuế TNDN 20%</t>
        </is>
      </c>
    </row>
    <row r="14">
      <c r="A14" s="6" t="inlineStr">
        <is>
          <t>Dòng tiền</t>
        </is>
      </c>
      <c r="B14" s="6" t="inlineStr">
        <is>
          <t>ĐTHĐ + ĐTĐT → DTTD + Lũy kế. Vốn lưu động qua ar_days.</t>
        </is>
      </c>
      <c r="C14" s="6" t="inlineStr">
        <is>
          <t>Named ranges</t>
        </is>
      </c>
    </row>
    <row r="15">
      <c r="A15" s="6" t="inlineStr">
        <is>
          <t>Thẩm định</t>
        </is>
      </c>
      <c r="B15" s="6" t="inlineStr">
        <is>
          <t>FCF theo năm, NPV, IRR, ROI. Dùng discount_rate.</t>
        </is>
      </c>
      <c r="C15" s="6" t="inlineStr">
        <is>
          <t>Công thức NPV duy nhất</t>
        </is>
      </c>
    </row>
    <row r="16">
      <c r="A16" s="6" t="inlineStr">
        <is>
          <t>Kịch bản</t>
        </is>
      </c>
      <c r="B16" s="6" t="inlineStr">
        <is>
          <t>5 kịch bản với giải thích chi tiết + yếu tố ảnh hưởng lớn nhất.</t>
        </is>
      </c>
      <c r="C16" s="6" t="inlineStr">
        <is>
          <t>Copy vào Assumptions chạy</t>
        </is>
      </c>
    </row>
    <row r="17">
      <c r="A17" s="6" t="inlineStr">
        <is>
          <t>Ngân sách 2025</t>
        </is>
      </c>
      <c r="B17" s="6" t="inlineStr">
        <is>
          <t>Ngân sách tháng 7-12/2025. DT + CAPEX + OPEX + Dự phòng.</t>
        </is>
      </c>
      <c r="C17" s="6" t="inlineStr">
        <is>
          <t>Sẵn sàng duyệt</t>
        </is>
      </c>
    </row>
    <row r="18">
      <c r="A18" s="6" t="inlineStr">
        <is>
          <t>Ngân sách 2026</t>
        </is>
      </c>
      <c r="B18" s="6" t="inlineStr">
        <is>
          <t>Ngân sách tháng 1-12/2026. Cùng cấu trúc, NS tăng.</t>
        </is>
      </c>
      <c r="C18" s="6" t="inlineStr">
        <is>
          <t>Sẵn sàng duyệt</t>
        </is>
      </c>
    </row>
    <row r="20">
      <c r="A20" s="3" t="inlineStr">
        <is>
          <t>THUẬT NGỮ</t>
        </is>
      </c>
    </row>
    <row r="21">
      <c r="A21" s="5" t="inlineStr">
        <is>
          <t>Thuật ngữ</t>
        </is>
      </c>
      <c r="B21" s="5" t="inlineStr">
        <is>
          <t>Tên đầy đủ / Ý nghĩa</t>
        </is>
      </c>
      <c r="C21" s="5" t="inlineStr">
        <is>
          <t>Trong mô hình này</t>
        </is>
      </c>
    </row>
    <row r="22">
      <c r="A22" s="6" t="inlineStr">
        <is>
          <t>NPV</t>
        </is>
      </c>
      <c r="B22" s="6" t="inlineStr">
        <is>
          <t>Giá trị hiện tại ròng</t>
        </is>
      </c>
      <c r="C22" s="6" t="inlineStr">
        <is>
          <t>Tổng dòng tiền tương lai chiết khấu về hiện tại. Dương = tạo giá trị.</t>
        </is>
      </c>
    </row>
    <row r="23">
      <c r="A23" s="6" t="inlineStr">
        <is>
          <t>IRR</t>
        </is>
      </c>
      <c r="B23" s="6" t="inlineStr">
        <is>
          <t>Tỷ suất hoàn vốn nội bộ</t>
        </is>
      </c>
      <c r="C23" s="6" t="inlineStr">
        <is>
          <t>Tỷ suất chiết khấu khi NPV = 0. Cao hơn = lợi nhuận tốt hơn.</t>
        </is>
      </c>
    </row>
    <row r="24">
      <c r="A24" s="6" t="inlineStr">
        <is>
          <t>WACC</t>
        </is>
      </c>
      <c r="B24" s="6" t="inlineStr">
        <is>
          <t>Chi phí vốn bình quân gia quyền</t>
        </is>
      </c>
      <c r="C24" s="6" t="inlineStr">
        <is>
          <t>Lợi nhuận tối thiểu NĐT kỳ vọng. Dùng làm discount_rate (15% cơ sở).</t>
        </is>
      </c>
    </row>
    <row r="25">
      <c r="A25" s="6" t="inlineStr">
        <is>
          <t>ROI</t>
        </is>
      </c>
      <c r="B25" s="6" t="inlineStr">
        <is>
          <t>Lợi nhuận trên đầu tư</t>
        </is>
      </c>
      <c r="C25" s="6" t="inlineStr">
        <is>
          <t>(Dòng tiền lũy kế + Đầu tư) / Đầu tư.</t>
        </is>
      </c>
    </row>
    <row r="26">
      <c r="A26" s="6" t="inlineStr">
        <is>
          <t>EBITDA</t>
        </is>
      </c>
      <c r="B26" s="6" t="inlineStr">
        <is>
          <t>LN trước lãi, thuế, khấu hao</t>
        </is>
      </c>
      <c r="C26" s="6" t="inlineStr">
        <is>
          <t>Lợi nhuận hoạt động trước chi phí phi tiền mặt và thuế.</t>
        </is>
      </c>
    </row>
    <row r="27">
      <c r="A27" s="6" t="inlineStr">
        <is>
          <t>EBIT</t>
        </is>
      </c>
      <c r="B27" s="6" t="inlineStr">
        <is>
          <t>LN trước lãi và thuế</t>
        </is>
      </c>
      <c r="C27" s="6">
        <f> EBITDA - Khấu hao. Lợi nhuận trước thuế.</f>
        <v/>
      </c>
    </row>
    <row r="28">
      <c r="A28" s="6" t="inlineStr">
        <is>
          <t>Thuế TNDN</t>
        </is>
      </c>
      <c r="B28" s="6" t="inlineStr">
        <is>
          <t>Thuế thu nhập doanh nghiệp</t>
        </is>
      </c>
      <c r="C28" s="6" t="inlineStr">
        <is>
          <t>Thuế suất chuẩn VN = 20%. Chỉ áp dụng khi EBIT &gt; 0.</t>
        </is>
      </c>
    </row>
    <row r="29">
      <c r="A29" s="6" t="inlineStr">
        <is>
          <t>FCF</t>
        </is>
      </c>
      <c r="B29" s="6" t="inlineStr">
        <is>
          <t>Dòng tiền tự do</t>
        </is>
      </c>
      <c r="C29" s="6">
        <f> ĐTHĐ + ĐTĐT. Tiền thực sự có sẵn sau mọi chi tiêu.</f>
        <v/>
      </c>
    </row>
    <row r="30">
      <c r="A30" s="6" t="inlineStr">
        <is>
          <t>CAPEX</t>
        </is>
      </c>
      <c r="B30" s="6" t="inlineStr">
        <is>
          <t>Chi phí đầu tư</t>
        </is>
      </c>
      <c r="C30" s="6" t="inlineStr">
        <is>
          <t>Đầu tư 1 lần vào tài sản (nền tảng 5.280Tr). Khấu hao dần.</t>
        </is>
      </c>
    </row>
    <row r="31">
      <c r="A31" s="6" t="inlineStr">
        <is>
          <t>OPEX</t>
        </is>
      </c>
      <c r="B31" s="6" t="inlineStr">
        <is>
          <t>Chi phí hoạt động</t>
        </is>
      </c>
      <c r="C31" s="6" t="inlineStr">
        <is>
          <t>Chi phí liên tục: NS, marketing, cloud, pháp lý... Ghi nhận ngay.</t>
        </is>
      </c>
    </row>
    <row r="32">
      <c r="A32" s="6" t="inlineStr">
        <is>
          <t>COGS</t>
        </is>
      </c>
      <c r="B32" s="6" t="inlineStr">
        <is>
          <t>Giá vốn hàng bán</t>
        </is>
      </c>
      <c r="C32" s="6" t="inlineStr">
        <is>
          <t>Chi phí trực tiếp gắn với DT: phí thanh toán (2.5% DT giao dịch).</t>
        </is>
      </c>
    </row>
    <row r="33">
      <c r="A33" s="6" t="inlineStr">
        <is>
          <t>BHXH</t>
        </is>
      </c>
      <c r="B33" s="6" t="inlineStr">
        <is>
          <t>Bảo hiểm xã hội</t>
        </is>
      </c>
      <c r="C33" s="6" t="inlineStr">
        <is>
          <t>DN đóng ~21.5%: BHXH 17.5% + BHYT 3% + BHTN 1%.</t>
        </is>
      </c>
    </row>
    <row r="34">
      <c r="A34" s="6" t="inlineStr">
        <is>
          <t>TAM</t>
        </is>
      </c>
      <c r="B34" s="6" t="inlineStr">
        <is>
          <t>Tổng thị trường tiềm năng</t>
        </is>
      </c>
      <c r="C34" s="6" t="inlineStr">
        <is>
          <t>Tất cả DN du lịch VN (~40.000).</t>
        </is>
      </c>
    </row>
    <row r="35">
      <c r="A35" s="6" t="inlineStr">
        <is>
          <t>SAM</t>
        </is>
      </c>
      <c r="B35" s="6" t="inlineStr">
        <is>
          <t>Thị trường phục vụ được</t>
        </is>
      </c>
      <c r="C35" s="6" t="inlineStr">
        <is>
          <t>DN hoạt động số, có thể chứng nhận (~15.000).</t>
        </is>
      </c>
    </row>
    <row r="36">
      <c r="A36" s="6" t="inlineStr">
        <is>
          <t>GMV</t>
        </is>
      </c>
      <c r="B36" s="6" t="inlineStr">
        <is>
          <t>Tổng giá trị giao dịch</t>
        </is>
      </c>
      <c r="C36" s="6" t="inlineStr">
        <is>
          <t>Tổng giá trị giao dịch qua nền tảng.</t>
        </is>
      </c>
    </row>
    <row r="37">
      <c r="A37" s="6" t="inlineStr">
        <is>
          <t>VCR</t>
        </is>
      </c>
      <c r="B37" s="6" t="inlineStr">
        <is>
          <t>Bản ghi du khách chứng nhận</t>
        </is>
      </c>
      <c r="C37" s="6" t="inlineStr">
        <is>
          <t>Dữ liệu tạo ra/DN. Cơ sở tính giá DaaS.</t>
        </is>
      </c>
    </row>
    <row r="38">
      <c r="A38" s="6" t="inlineStr">
        <is>
          <t>S-curve</t>
        </is>
      </c>
      <c r="B38" s="6" t="inlineStr">
        <is>
          <t>Đường cong tăng trưởng logistic</t>
        </is>
      </c>
      <c r="C38" s="6" t="inlineStr">
        <is>
          <t>DN tăng theo mẫu chậm→nhanh→chậm. max/(1+EXP(-k*(t-midpoint)))</t>
        </is>
      </c>
    </row>
    <row r="39">
      <c r="A39" s="6" t="inlineStr">
        <is>
          <t>Giai đoạn 1</t>
        </is>
      </c>
      <c r="B39" s="6" t="inlineStr">
        <is>
          <t>Nền tảng chứng nhận (2025-2027)</t>
        </is>
      </c>
      <c r="C39" s="6" t="inlineStr">
        <is>
          <t>DT từ phí cert, đào tạo, kiểm toán. Không cần khối lượng GD.</t>
        </is>
      </c>
    </row>
    <row r="40">
      <c r="A40" s="6" t="inlineStr">
        <is>
          <t>Giai đoạn 2</t>
        </is>
      </c>
      <c r="B40" s="6" t="inlineStr">
        <is>
          <t>Nền tảng giao dịch (2028-2030)</t>
        </is>
      </c>
      <c r="C40" s="6" t="inlineStr">
        <is>
          <t>DT từ phí GD, DaaS, QC. Yêu cầu ≥300 DN (stage2_gate).</t>
        </is>
      </c>
    </row>
    <row r="41">
      <c r="A41" s="6" t="inlineStr">
        <is>
          <t>Named Range</t>
        </is>
      </c>
      <c r="B41" s="6" t="inlineStr">
        <is>
          <t>Tên được đặt cho ô Excel</t>
        </is>
      </c>
      <c r="C41" s="6" t="inlineStr">
        <is>
          <t>VD: cert_fee_yr1 → Assumptions!$B$26. Dùng trong công thức.</t>
        </is>
      </c>
    </row>
    <row r="42">
      <c r="A42" s="6" t="inlineStr">
        <is>
          <t>Churn</t>
        </is>
      </c>
      <c r="B42" s="6" t="inlineStr">
        <is>
          <t>Tỷ lệ rời bỏ</t>
        </is>
      </c>
      <c r="C42" s="6" t="inlineStr">
        <is>
          <t>% DN không gia hạn mỗi năm. Giảm net_enterprises.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45" customWidth="1" min="4" max="4"/>
  </cols>
  <sheetData>
    <row r="1">
      <c r="A1" s="1" t="inlineStr">
        <is>
          <t>VISIT VIETNAM — MÔ HÌNH TÀI CHÍNH v4 — GIẢ ĐỊNH</t>
        </is>
      </c>
    </row>
    <row r="2">
      <c r="A2" s="2" t="inlineStr">
        <is>
          <t>v4.0 | Ô vàng = giá trị có thể chỉnh | Chữ xanh = placeholder | Named ranges trong mọi công thức</t>
        </is>
      </c>
    </row>
    <row r="4">
      <c r="A4" s="3" t="inlineStr">
        <is>
          <t>THỜI GIAN</t>
        </is>
      </c>
      <c r="B4" s="4" t="n"/>
      <c r="C4" s="4" t="n"/>
      <c r="D4" s="4" t="n"/>
    </row>
    <row r="5">
      <c r="A5" s="5" t="inlineStr">
        <is>
          <t>Tham số</t>
        </is>
      </c>
      <c r="B5" s="5" t="inlineStr">
        <is>
          <t>Giá trị</t>
        </is>
      </c>
      <c r="C5" s="5" t="inlineStr">
        <is>
          <t>Đơn vị</t>
        </is>
      </c>
      <c r="D5" s="5" t="inlineStr">
        <is>
          <t>Ghi chú</t>
        </is>
      </c>
    </row>
    <row r="6">
      <c r="A6" s="6" t="inlineStr">
        <is>
          <t>Năm cơ sở</t>
        </is>
      </c>
      <c r="B6" s="7" t="n">
        <v>2025</v>
      </c>
      <c r="C6" s="6" t="inlineStr">
        <is>
          <t>Năm</t>
        </is>
      </c>
      <c r="D6" s="8" t="inlineStr">
        <is>
          <t>Năm bắt đầu dự án</t>
        </is>
      </c>
    </row>
    <row r="7">
      <c r="A7" s="6" t="inlineStr">
        <is>
          <t>Tháng bắt đầu</t>
        </is>
      </c>
      <c r="B7" s="7" t="n">
        <v>7</v>
      </c>
      <c r="C7" s="6" t="inlineStr">
        <is>
          <t>Tháng</t>
        </is>
      </c>
      <c r="D7" s="8" t="inlineStr">
        <is>
          <t>Tháng 7</t>
        </is>
      </c>
    </row>
    <row r="9">
      <c r="A9" s="3" t="inlineStr">
        <is>
          <t>DỮ LIỆU THỊ TRƯỜNG</t>
        </is>
      </c>
      <c r="B9" s="4" t="n"/>
      <c r="C9" s="4" t="n"/>
      <c r="D9" s="4" t="n"/>
    </row>
    <row r="10">
      <c r="A10" s="5" t="inlineStr">
        <is>
          <t>Tham số</t>
        </is>
      </c>
      <c r="B10" s="5" t="inlineStr">
        <is>
          <t>Giá trị</t>
        </is>
      </c>
      <c r="C10" s="5" t="inlineStr">
        <is>
          <t>Đơn vị</t>
        </is>
      </c>
      <c r="D10" s="5" t="inlineStr">
        <is>
          <t>Ghi chú</t>
        </is>
      </c>
    </row>
    <row r="11">
      <c r="A11" s="6" t="inlineStr">
        <is>
          <t>Tổng doanh nghiệp du lịch VN</t>
        </is>
      </c>
      <c r="B11" s="7" t="n">
        <v>40000</v>
      </c>
      <c r="C11" s="6" t="inlineStr"/>
      <c r="D11" s="8" t="inlineStr">
        <is>
          <t>GSO/VNAT</t>
        </is>
      </c>
    </row>
    <row r="12">
      <c r="A12" s="6" t="inlineStr">
        <is>
          <t>DN có thể phục vụ</t>
        </is>
      </c>
      <c r="B12" s="7" t="n">
        <v>15000</v>
      </c>
      <c r="C12" s="6" t="inlineStr"/>
      <c r="D12" s="8" t="inlineStr">
        <is>
          <t>Hoạt động số</t>
        </is>
      </c>
    </row>
    <row r="13">
      <c r="A13" s="6" t="inlineStr">
        <is>
          <t>Thị trường TMĐT du lịch (năm gốc)</t>
        </is>
      </c>
      <c r="B13" s="7" t="n">
        <v>82500</v>
      </c>
      <c r="C13" s="6" t="inlineStr">
        <is>
          <t>Tỷ VND</t>
        </is>
      </c>
      <c r="D13" s="8" t="inlineStr">
        <is>
          <t>e-Conomy SEA</t>
        </is>
      </c>
    </row>
    <row r="14">
      <c r="A14" s="6" t="inlineStr">
        <is>
          <t>Tăng trưởng TMĐT du lịch/năm</t>
        </is>
      </c>
      <c r="B14" s="9" t="n">
        <v>0.08</v>
      </c>
      <c r="C14" s="6" t="inlineStr">
        <is>
          <t>%</t>
        </is>
      </c>
      <c r="D14" s="8" t="inlineStr">
        <is>
          <t>Dữ liệu lịch sử</t>
        </is>
      </c>
    </row>
    <row r="16">
      <c r="A16" s="3" t="inlineStr">
        <is>
          <t>ĐƯỜNG CONG TĂNG TRƯỞNG (S-CURVE)</t>
        </is>
      </c>
      <c r="B16" s="4" t="n"/>
      <c r="C16" s="4" t="n"/>
      <c r="D16" s="4" t="n"/>
    </row>
    <row r="17">
      <c r="A17" s="5" t="inlineStr">
        <is>
          <t>Tham số</t>
        </is>
      </c>
      <c r="B17" s="5" t="inlineStr">
        <is>
          <t>Giá trị</t>
        </is>
      </c>
      <c r="C17" s="5" t="inlineStr">
        <is>
          <t>Đơn vị</t>
        </is>
      </c>
      <c r="D17" s="5" t="inlineStr">
        <is>
          <t>Ghi chú</t>
        </is>
      </c>
    </row>
    <row r="18">
      <c r="A18" s="6" t="inlineStr">
        <is>
          <t>Trần doanh nghiệp (tối đa)</t>
        </is>
      </c>
      <c r="B18" s="7" t="n">
        <v>1200</v>
      </c>
      <c r="C18" s="6" t="inlineStr"/>
      <c r="D18" s="8" t="inlineStr">
        <is>
          <t>Tiệm cận S-curve</t>
        </is>
      </c>
    </row>
    <row r="19">
      <c r="A19" s="6" t="inlineStr">
        <is>
          <t>Năm tăng trưởng nhanh nhất</t>
        </is>
      </c>
      <c r="B19" s="7" t="n">
        <v>2028</v>
      </c>
      <c r="C19" s="6" t="inlineStr">
        <is>
          <t>Năm</t>
        </is>
      </c>
      <c r="D19" s="8" t="inlineStr">
        <is>
          <t>Điểm uốn</t>
        </is>
      </c>
    </row>
    <row r="20">
      <c r="A20" s="6" t="inlineStr">
        <is>
          <t>Hệ số dốc</t>
        </is>
      </c>
      <c r="B20" s="10" t="n">
        <v>0.9</v>
      </c>
      <c r="C20" s="6" t="inlineStr"/>
      <c r="D20" s="8" t="inlineStr">
        <is>
          <t>Cao hơn = dốc hơn</t>
        </is>
      </c>
    </row>
    <row r="21">
      <c r="A21" s="6" t="inlineStr">
        <is>
          <t>DN ban đầu (thí điểm)</t>
        </is>
      </c>
      <c r="B21" s="7" t="n">
        <v>15</v>
      </c>
      <c r="C21" s="6" t="inlineStr"/>
      <c r="D21" s="8" t="inlineStr">
        <is>
          <t>Đối tác thí điểm</t>
        </is>
      </c>
    </row>
    <row r="22">
      <c r="A22" s="6" t="inlineStr">
        <is>
          <t>Tỷ lệ không gia hạn/năm</t>
        </is>
      </c>
      <c r="B22" s="9" t="n">
        <v>0.2</v>
      </c>
      <c r="C22" s="6" t="inlineStr">
        <is>
          <t>%</t>
        </is>
      </c>
      <c r="D22" s="8" t="inlineStr">
        <is>
          <t>Churn chứng nhận</t>
        </is>
      </c>
    </row>
    <row r="24">
      <c r="A24" s="3" t="inlineStr">
        <is>
          <t>GIÁ DỊCH VỤ</t>
        </is>
      </c>
      <c r="B24" s="4" t="n"/>
      <c r="C24" s="4" t="n"/>
      <c r="D24" s="4" t="n"/>
    </row>
    <row r="25">
      <c r="A25" s="5" t="inlineStr">
        <is>
          <t>Tham số</t>
        </is>
      </c>
      <c r="B25" s="5" t="inlineStr">
        <is>
          <t>Giá trị</t>
        </is>
      </c>
      <c r="C25" s="5" t="inlineStr">
        <is>
          <t>Đơn vị</t>
        </is>
      </c>
      <c r="D25" s="5" t="inlineStr">
        <is>
          <t>Ghi chú</t>
        </is>
      </c>
    </row>
    <row r="26">
      <c r="A26" s="6" t="inlineStr">
        <is>
          <t>Phí chứng nhận/DN/năm</t>
        </is>
      </c>
      <c r="B26" s="7" t="n">
        <v>25</v>
      </c>
      <c r="C26" s="6" t="inlineStr">
        <is>
          <t>Tr VND</t>
        </is>
      </c>
      <c r="D26" s="8" t="inlineStr">
        <is>
          <t>Gói thuê bao năm</t>
        </is>
      </c>
    </row>
    <row r="27">
      <c r="A27" s="6" t="inlineStr">
        <is>
          <t>Tăng phí chứng nhận/năm</t>
        </is>
      </c>
      <c r="B27" s="9" t="n">
        <v>0.05</v>
      </c>
      <c r="C27" s="6" t="inlineStr">
        <is>
          <t>%</t>
        </is>
      </c>
      <c r="D27" s="8" t="inlineStr">
        <is>
          <t>Tăng giá</t>
        </is>
      </c>
    </row>
    <row r="28">
      <c r="A28" s="6" t="inlineStr">
        <is>
          <t>Phí giao dịch (% GMV)</t>
        </is>
      </c>
      <c r="B28" s="9" t="n">
        <v>0.02</v>
      </c>
      <c r="C28" s="6" t="inlineStr">
        <is>
          <t>%</t>
        </is>
      </c>
      <c r="D28" s="8" t="inlineStr">
        <is>
          <t>Hoa hồng nền tảng</t>
        </is>
      </c>
    </row>
    <row r="29">
      <c r="A29" s="6" t="inlineStr">
        <is>
          <t>% GMV TMĐT du lịch qua VV</t>
        </is>
      </c>
      <c r="B29" s="9" t="n">
        <v>0.005</v>
      </c>
      <c r="C29" s="6" t="inlineStr">
        <is>
          <t>%</t>
        </is>
      </c>
      <c r="D29" s="8" t="inlineStr">
        <is>
          <t>Mục tiêu thực tế</t>
        </is>
      </c>
    </row>
    <row r="30">
      <c r="A30" s="6" t="inlineStr">
        <is>
          <t>Giá DaaS/triệu VCR</t>
        </is>
      </c>
      <c r="B30" s="7" t="n">
        <v>30</v>
      </c>
      <c r="C30" s="6" t="inlineStr">
        <is>
          <t>Tr VND</t>
        </is>
      </c>
      <c r="D30" s="8" t="inlineStr">
        <is>
          <t>Thuê bao dữ liệu</t>
        </is>
      </c>
    </row>
    <row r="31">
      <c r="A31" s="6" t="inlineStr">
        <is>
          <t>CPM quảng cáo</t>
        </is>
      </c>
      <c r="B31" s="7" t="n">
        <v>150</v>
      </c>
      <c r="C31" s="6" t="inlineStr">
        <is>
          <t>K VND</t>
        </is>
      </c>
      <c r="D31" s="8" t="inlineStr">
        <is>
          <t>Benchmark B2B</t>
        </is>
      </c>
    </row>
    <row r="32">
      <c r="A32" s="6" t="inlineStr">
        <is>
          <t>Lượt hiển thị QC/tháng (K)</t>
        </is>
      </c>
      <c r="B32" s="7" t="n">
        <v>500</v>
      </c>
      <c r="C32" s="6" t="inlineStr">
        <is>
          <t>K</t>
        </is>
      </c>
      <c r="D32" s="8" t="inlineStr">
        <is>
          <t>Tỷ lệ theo DN</t>
        </is>
      </c>
    </row>
    <row r="33">
      <c r="A33" s="6" t="inlineStr">
        <is>
          <t>Phí đào tạo/phiên</t>
        </is>
      </c>
      <c r="B33" s="7" t="n">
        <v>15</v>
      </c>
      <c r="C33" s="6" t="inlineStr">
        <is>
          <t>Tr VND</t>
        </is>
      </c>
      <c r="D33" s="8" t="inlineStr">
        <is>
          <t>Nguồn thu MỚI</t>
        </is>
      </c>
    </row>
    <row r="34">
      <c r="A34" s="6" t="inlineStr">
        <is>
          <t>Phí kiểm toán chứng nhận</t>
        </is>
      </c>
      <c r="B34" s="7" t="n">
        <v>10</v>
      </c>
      <c r="C34" s="6" t="inlineStr">
        <is>
          <t>Tr VND</t>
        </is>
      </c>
      <c r="D34" s="8" t="inlineStr">
        <is>
          <t>Nguồn thu MỚI</t>
        </is>
      </c>
    </row>
    <row r="35">
      <c r="A35" s="6" t="inlineStr">
        <is>
          <t>% DN mua đào tạo</t>
        </is>
      </c>
      <c r="B35" s="9" t="n">
        <v>0.3</v>
      </c>
      <c r="C35" s="6" t="inlineStr">
        <is>
          <t>%</t>
        </is>
      </c>
      <c r="D35" s="8" t="inlineStr">
        <is>
          <t>Ước tính</t>
        </is>
      </c>
    </row>
    <row r="37">
      <c r="A37" s="3" t="inlineStr">
        <is>
          <t>THAM SỐ CHI PHÍ</t>
        </is>
      </c>
      <c r="B37" s="4" t="n"/>
      <c r="C37" s="4" t="n"/>
      <c r="D37" s="4" t="n"/>
    </row>
    <row r="38">
      <c r="A38" s="5" t="inlineStr">
        <is>
          <t>Tham số</t>
        </is>
      </c>
      <c r="B38" s="5" t="inlineStr">
        <is>
          <t>Giá trị</t>
        </is>
      </c>
      <c r="C38" s="5" t="inlineStr">
        <is>
          <t>Đơn vị</t>
        </is>
      </c>
      <c r="D38" s="5" t="inlineStr">
        <is>
          <t>Ghi chú</t>
        </is>
      </c>
    </row>
    <row r="39">
      <c r="A39" s="6" t="inlineStr">
        <is>
          <t>Bảo trì (% CAPEX/năm)</t>
        </is>
      </c>
      <c r="B39" s="9" t="n">
        <v>0.18</v>
      </c>
      <c r="C39" s="6" t="inlineStr">
        <is>
          <t>%</t>
        </is>
      </c>
      <c r="D39" s="8" t="inlineStr">
        <is>
          <t>Chuẩn ngành 15-20%</t>
        </is>
      </c>
    </row>
    <row r="40">
      <c r="A40" s="6" t="inlineStr">
        <is>
          <t>Marketing (cơ sở/năm)</t>
        </is>
      </c>
      <c r="B40" s="7" t="n">
        <v>7000</v>
      </c>
      <c r="C40" s="6" t="inlineStr">
        <is>
          <t>Tr VND</t>
        </is>
      </c>
      <c r="D40" s="8" t="inlineStr">
        <is>
          <t>Dữ liệu gốc</t>
        </is>
      </c>
    </row>
    <row r="41">
      <c r="A41" s="6" t="inlineStr">
        <is>
          <t>Tăng trưởng marketing/năm</t>
        </is>
      </c>
      <c r="B41" s="9" t="n">
        <v>0.15</v>
      </c>
      <c r="C41" s="6" t="inlineStr">
        <is>
          <t>%</t>
        </is>
      </c>
      <c r="D41" s="8" t="inlineStr">
        <is>
          <t>Tăng theo tham vọng</t>
        </is>
      </c>
    </row>
    <row r="42">
      <c r="A42" s="6" t="inlineStr">
        <is>
          <t>Cloud cơ sở (năm)</t>
        </is>
      </c>
      <c r="B42" s="7" t="n">
        <v>3250</v>
      </c>
      <c r="C42" s="6" t="inlineStr">
        <is>
          <t>Tr VND</t>
        </is>
      </c>
      <c r="D42" s="8" t="inlineStr">
        <is>
          <t>Dữ liệu gốc</t>
        </is>
      </c>
    </row>
    <row r="43">
      <c r="A43" s="6" t="inlineStr">
        <is>
          <t>Chi phí cloud/triệu VCR</t>
        </is>
      </c>
      <c r="B43" s="7" t="n">
        <v>8</v>
      </c>
      <c r="C43" s="6" t="inlineStr">
        <is>
          <t>Tr VND</t>
        </is>
      </c>
      <c r="D43" s="8" t="inlineStr">
        <is>
          <t>Chi phí biến đổi</t>
        </is>
      </c>
    </row>
    <row r="44">
      <c r="A44" s="6" t="inlineStr">
        <is>
          <t>VCR/DN/tháng</t>
        </is>
      </c>
      <c r="B44" s="7" t="n">
        <v>10000</v>
      </c>
      <c r="C44" s="6" t="inlineStr">
        <is>
          <t>bản ghi</t>
        </is>
      </c>
      <c r="D44" s="8" t="inlineStr">
        <is>
          <t>Ước tính lưu lượng</t>
        </is>
      </c>
    </row>
    <row r="45">
      <c r="A45" s="6" t="inlineStr">
        <is>
          <t>Đối ngoại (năm)</t>
        </is>
      </c>
      <c r="B45" s="7" t="n">
        <v>400</v>
      </c>
      <c r="C45" s="6" t="inlineStr">
        <is>
          <t>Tr VND</t>
        </is>
      </c>
      <c r="D45" s="8" t="inlineStr">
        <is>
          <t>Dữ liệu gốc</t>
        </is>
      </c>
    </row>
    <row r="46">
      <c r="A46" s="6" t="inlineStr">
        <is>
          <t>Pháp lý &amp; tuân thủ (năm)</t>
        </is>
      </c>
      <c r="B46" s="7" t="n">
        <v>240</v>
      </c>
      <c r="C46" s="6" t="inlineStr">
        <is>
          <t>Tr VND</t>
        </is>
      </c>
      <c r="D46" s="8" t="inlineStr">
        <is>
          <t>Dữ liệu gốc</t>
        </is>
      </c>
    </row>
    <row r="47">
      <c r="A47" s="6" t="inlineStr">
        <is>
          <t>Thương hiệu &amp; sự kiện (năm)</t>
        </is>
      </c>
      <c r="B47" s="7" t="n">
        <v>4000</v>
      </c>
      <c r="C47" s="6" t="inlineStr">
        <is>
          <t>Tr VND</t>
        </is>
      </c>
      <c r="D47" s="8" t="inlineStr">
        <is>
          <t>Dữ liệu gốc</t>
        </is>
      </c>
    </row>
    <row r="48">
      <c r="A48" s="6" t="inlineStr">
        <is>
          <t>Bảo mật/pentest (năm)</t>
        </is>
      </c>
      <c r="B48" s="7" t="n">
        <v>250</v>
      </c>
      <c r="C48" s="6" t="inlineStr">
        <is>
          <t>Tr VND</t>
        </is>
      </c>
      <c r="D48" s="8" t="inlineStr">
        <is>
          <t>Dữ liệu gốc</t>
        </is>
      </c>
    </row>
    <row r="49">
      <c r="A49" s="6" t="inlineStr">
        <is>
          <t>Đánh giá thí điểm (chỉ Y1)</t>
        </is>
      </c>
      <c r="B49" s="7" t="n">
        <v>200</v>
      </c>
      <c r="C49" s="6" t="inlineStr">
        <is>
          <t>Tr VND</t>
        </is>
      </c>
      <c r="D49" s="8" t="inlineStr">
        <is>
          <t>Chi phí 1 lần</t>
        </is>
      </c>
    </row>
    <row r="50">
      <c r="A50" s="6" t="inlineStr">
        <is>
          <t>Phí cổng thanh toán</t>
        </is>
      </c>
      <c r="B50" s="9" t="n">
        <v>0.025</v>
      </c>
      <c r="C50" s="6" t="inlineStr">
        <is>
          <t>%</t>
        </is>
      </c>
      <c r="D50" s="8" t="inlineStr">
        <is>
          <t>Giá vốn giao dịch</t>
        </is>
      </c>
    </row>
    <row r="51">
      <c r="A51" s="6" t="inlineStr">
        <is>
          <t>Hỗ trợ KH/DN/năm</t>
        </is>
      </c>
      <c r="B51" s="7" t="n">
        <v>2</v>
      </c>
      <c r="C51" s="6" t="inlineStr">
        <is>
          <t>Tr VND</t>
        </is>
      </c>
      <c r="D51" s="8" t="inlineStr">
        <is>
          <t>Tỷ lệ theo số DN</t>
        </is>
      </c>
    </row>
    <row r="52">
      <c r="A52" s="6" t="inlineStr">
        <is>
          <t>Quản lý đối tác (năm)</t>
        </is>
      </c>
      <c r="B52" s="7" t="n">
        <v>500</v>
      </c>
      <c r="C52" s="6" t="inlineStr">
        <is>
          <t>Tr VND</t>
        </is>
      </c>
      <c r="D52" s="8" t="inlineStr">
        <is>
          <t>Quan hệ đối tác</t>
        </is>
      </c>
    </row>
    <row r="53">
      <c r="A53" s="6" t="inlineStr">
        <is>
          <t>Dự phòng (% tổng OPEX)</t>
        </is>
      </c>
      <c r="B53" s="9" t="n">
        <v>0.1</v>
      </c>
      <c r="C53" s="6" t="inlineStr">
        <is>
          <t>%</t>
        </is>
      </c>
      <c r="D53" s="8" t="inlineStr">
        <is>
          <t>Đệm rủi ro</t>
        </is>
      </c>
    </row>
    <row r="55">
      <c r="A55" s="3" t="inlineStr">
        <is>
          <t>THAM SỐ NHÂN SỰ</t>
        </is>
      </c>
      <c r="B55" s="4" t="n"/>
      <c r="C55" s="4" t="n"/>
      <c r="D55" s="4" t="n"/>
    </row>
    <row r="56">
      <c r="A56" s="5" t="inlineStr">
        <is>
          <t>Tham số</t>
        </is>
      </c>
      <c r="B56" s="5" t="inlineStr">
        <is>
          <t>Giá trị</t>
        </is>
      </c>
      <c r="C56" s="5" t="inlineStr">
        <is>
          <t>Đơn vị</t>
        </is>
      </c>
      <c r="D56" s="5" t="inlineStr">
        <is>
          <t>Ghi chú</t>
        </is>
      </c>
    </row>
    <row r="57">
      <c r="A57" s="6" t="inlineStr">
        <is>
          <t>Lương TB/tháng — Quản lý</t>
        </is>
      </c>
      <c r="B57" s="7" t="n">
        <v>45</v>
      </c>
      <c r="C57" s="6" t="inlineStr">
        <is>
          <t>Tr VND</t>
        </is>
      </c>
      <c r="D57" s="8" t="inlineStr">
        <is>
          <t>GĐ/PM</t>
        </is>
      </c>
    </row>
    <row r="58">
      <c r="A58" s="6" t="inlineStr">
        <is>
          <t>Lương TB/tháng — Phát triển</t>
        </is>
      </c>
      <c r="B58" s="7" t="n">
        <v>35</v>
      </c>
      <c r="C58" s="6" t="inlineStr">
        <is>
          <t>Tr VND</t>
        </is>
      </c>
      <c r="D58" s="8" t="inlineStr">
        <is>
          <t>Kỹ sư</t>
        </is>
      </c>
    </row>
    <row r="59">
      <c r="A59" s="6" t="inlineStr">
        <is>
          <t>Lương TB/tháng — Vận hành KD</t>
        </is>
      </c>
      <c r="B59" s="7" t="n">
        <v>20</v>
      </c>
      <c r="C59" s="6" t="inlineStr">
        <is>
          <t>Tr VND</t>
        </is>
      </c>
      <c r="D59" s="8" t="inlineStr">
        <is>
          <t>BD/hỗ trợ</t>
        </is>
      </c>
    </row>
    <row r="60">
      <c r="A60" s="6" t="inlineStr">
        <is>
          <t>Lương TB/tháng — Dữ liệu</t>
        </is>
      </c>
      <c r="B60" s="7" t="n">
        <v>40</v>
      </c>
      <c r="C60" s="6" t="inlineStr">
        <is>
          <t>Tr VND</t>
        </is>
      </c>
      <c r="D60" s="8" t="inlineStr">
        <is>
          <t>Data eng</t>
        </is>
      </c>
    </row>
    <row r="61">
      <c r="A61" s="6" t="inlineStr">
        <is>
          <t>Tăng lương hàng năm</t>
        </is>
      </c>
      <c r="B61" s="9" t="n">
        <v>0.1</v>
      </c>
      <c r="C61" s="6" t="inlineStr">
        <is>
          <t>%</t>
        </is>
      </c>
      <c r="D61" s="8" t="inlineStr">
        <is>
          <t>Thị trường VN</t>
        </is>
      </c>
    </row>
    <row r="62">
      <c r="A62" s="6" t="inlineStr">
        <is>
          <t>Bảo hiểm XH (phần DN)</t>
        </is>
      </c>
      <c r="B62" s="9" t="n">
        <v>0.215</v>
      </c>
      <c r="C62" s="6" t="inlineStr">
        <is>
          <t>%</t>
        </is>
      </c>
      <c r="D62" s="8" t="inlineStr">
        <is>
          <t>BHXH+BHYT+BHTN</t>
        </is>
      </c>
    </row>
    <row r="63">
      <c r="A63" s="6" t="inlineStr">
        <is>
          <t>Phí tuyển dụng (% lương Y1)</t>
        </is>
      </c>
      <c r="B63" s="9" t="n">
        <v>0.2</v>
      </c>
      <c r="C63" s="6" t="inlineStr">
        <is>
          <t>%</t>
        </is>
      </c>
      <c r="D63" s="8" t="inlineStr">
        <is>
          <t>Headhunter</t>
        </is>
      </c>
    </row>
    <row r="65">
      <c r="A65" s="3" t="inlineStr">
        <is>
          <t>THAM SỐ TÀI CHÍNH</t>
        </is>
      </c>
      <c r="B65" s="4" t="n"/>
      <c r="C65" s="4" t="n"/>
      <c r="D65" s="4" t="n"/>
    </row>
    <row r="66">
      <c r="A66" s="5" t="inlineStr">
        <is>
          <t>Tham số</t>
        </is>
      </c>
      <c r="B66" s="5" t="inlineStr">
        <is>
          <t>Giá trị</t>
        </is>
      </c>
      <c r="C66" s="5" t="inlineStr">
        <is>
          <t>Đơn vị</t>
        </is>
      </c>
      <c r="D66" s="5" t="inlineStr">
        <is>
          <t>Ghi chú</t>
        </is>
      </c>
    </row>
    <row r="67">
      <c r="A67" s="6" t="inlineStr">
        <is>
          <t>Thuế TNDN</t>
        </is>
      </c>
      <c r="B67" s="9" t="n">
        <v>0.2</v>
      </c>
      <c r="C67" s="6" t="inlineStr">
        <is>
          <t>%</t>
        </is>
      </c>
      <c r="D67" s="8" t="inlineStr">
        <is>
          <t>Luật VN</t>
        </is>
      </c>
    </row>
    <row r="68">
      <c r="A68" s="6" t="inlineStr">
        <is>
          <t>Tỷ suất chiết khấu (WACC)</t>
        </is>
      </c>
      <c r="B68" s="9" t="n">
        <v>0.15</v>
      </c>
      <c r="C68" s="6" t="inlineStr">
        <is>
          <t>%</t>
        </is>
      </c>
      <c r="D68" s="8" t="inlineStr">
        <is>
          <t>Điều chỉnh rủi ro</t>
        </is>
      </c>
    </row>
    <row r="69">
      <c r="A69" s="6" t="inlineStr">
        <is>
          <t>Thời gian khấu hao</t>
        </is>
      </c>
      <c r="B69" s="7" t="n">
        <v>5</v>
      </c>
      <c r="C69" s="6" t="inlineStr">
        <is>
          <t>Năm</t>
        </is>
      </c>
      <c r="D69" s="8" t="inlineStr">
        <is>
          <t>Đường thẳng</t>
        </is>
      </c>
    </row>
    <row r="70">
      <c r="A70" s="6" t="inlineStr">
        <is>
          <t>Số ngày phải thu</t>
        </is>
      </c>
      <c r="B70" s="7" t="n">
        <v>45</v>
      </c>
      <c r="C70" s="6" t="inlineStr">
        <is>
          <t>Ngày</t>
        </is>
      </c>
      <c r="D70" s="8" t="inlineStr">
        <is>
          <t>Kỳ thu tiền</t>
        </is>
      </c>
    </row>
    <row r="71">
      <c r="A71" s="6" t="inlineStr">
        <is>
          <t>Số ngày phải trả</t>
        </is>
      </c>
      <c r="B71" s="7" t="n">
        <v>30</v>
      </c>
      <c r="C71" s="6" t="inlineStr">
        <is>
          <t>Ngày</t>
        </is>
      </c>
      <c r="D71" s="8" t="inlineStr">
        <is>
          <t>Kỳ thanh toán</t>
        </is>
      </c>
    </row>
    <row r="72">
      <c r="A72" s="6" t="inlineStr">
        <is>
          <t>Ngưỡng Giai đoạn 2 (DN tối thiểu)</t>
        </is>
      </c>
      <c r="B72" s="7" t="n">
        <v>300</v>
      </c>
      <c r="C72" s="6" t="inlineStr"/>
      <c r="D72" s="8" t="inlineStr">
        <is>
          <t>Kích hoạt phí GD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40" customWidth="1" min="4" max="4"/>
  </cols>
  <sheetData>
    <row r="1">
      <c r="A1" s="3" t="inlineStr">
        <is>
          <t>ĐẦU TƯ BAN ĐẦU — CHI TIẾT CAPEX (Tr VND)</t>
        </is>
      </c>
    </row>
    <row r="3">
      <c r="A3" s="5" t="inlineStr">
        <is>
          <t>Hạng mục CAPEX</t>
        </is>
      </c>
      <c r="B3" s="5" t="inlineStr">
        <is>
          <t>Số tiền (Tr VND)</t>
        </is>
      </c>
      <c r="C3" s="5" t="inlineStr">
        <is>
          <t>Thời điểm</t>
        </is>
      </c>
      <c r="D3" s="5" t="inlineStr">
        <is>
          <t>Ghi chú</t>
        </is>
      </c>
    </row>
    <row r="4">
      <c r="A4" s="6" t="inlineStr">
        <is>
          <t>Hạ tầng Cloud</t>
        </is>
      </c>
      <c r="B4" s="7" t="n">
        <v>800</v>
      </c>
      <c r="C4" s="6" t="inlineStr">
        <is>
          <t>H2 2025</t>
        </is>
      </c>
      <c r="D4" s="8" t="inlineStr">
        <is>
          <t>Setup AWS/GCP ban đầu</t>
        </is>
      </c>
    </row>
    <row r="5">
      <c r="A5" s="6" t="inlineStr">
        <is>
          <t>Phát triển Backend</t>
        </is>
      </c>
      <c r="B5" s="7" t="n">
        <v>1200</v>
      </c>
      <c r="C5" s="6" t="inlineStr">
        <is>
          <t>H2 2025</t>
        </is>
      </c>
      <c r="D5" s="8" t="inlineStr">
        <is>
          <t>API, DB, logic lõi</t>
        </is>
      </c>
    </row>
    <row r="6">
      <c r="A6" s="6" t="inlineStr">
        <is>
          <t>Frontend + mobile</t>
        </is>
      </c>
      <c r="B6" s="7" t="n">
        <v>900</v>
      </c>
      <c r="C6" s="6" t="inlineStr">
        <is>
          <t>H2 2025</t>
        </is>
      </c>
      <c r="D6" s="8" t="inlineStr">
        <is>
          <t>Web + ứng dụng di động</t>
        </is>
      </c>
    </row>
    <row r="7">
      <c r="A7" s="6" t="inlineStr">
        <is>
          <t>Nền tảng dữ liệu</t>
        </is>
      </c>
      <c r="B7" s="7" t="n">
        <v>600</v>
      </c>
      <c r="C7" s="6" t="inlineStr">
        <is>
          <t>H2 2025</t>
        </is>
      </c>
      <c r="D7" s="8" t="inlineStr">
        <is>
          <t>Pipeline, phân tích</t>
        </is>
      </c>
    </row>
    <row r="8">
      <c r="A8" s="6" t="inlineStr">
        <is>
          <t>Hạ tầng bảo mật</t>
        </is>
      </c>
      <c r="B8" s="7" t="n">
        <v>250</v>
      </c>
      <c r="C8" s="6" t="inlineStr">
        <is>
          <t>H2 2025</t>
        </is>
      </c>
      <c r="D8" s="8" t="inlineStr">
        <is>
          <t>Pentest, xác thực</t>
        </is>
      </c>
    </row>
    <row r="9">
      <c r="A9" s="6" t="inlineStr">
        <is>
          <t>Thiết kế UX/UI</t>
        </is>
      </c>
      <c r="B9" s="7" t="n">
        <v>350</v>
      </c>
      <c r="C9" s="6" t="inlineStr">
        <is>
          <t>H2 2025</t>
        </is>
      </c>
      <c r="D9" s="8" t="inlineStr">
        <is>
          <t>Design system</t>
        </is>
      </c>
    </row>
    <row r="10">
      <c r="A10" s="6" t="inlineStr">
        <is>
          <t>Tích hợp bên thứ 3</t>
        </is>
      </c>
      <c r="B10" s="7" t="n">
        <v>400</v>
      </c>
      <c r="C10" s="6" t="inlineStr">
        <is>
          <t>H2 2025</t>
        </is>
      </c>
      <c r="D10" s="8" t="inlineStr">
        <is>
          <t>Cổng TT, API OTA</t>
        </is>
      </c>
    </row>
    <row r="11">
      <c r="A11" s="6" t="inlineStr">
        <is>
          <t>DevOps &amp; CI/CD</t>
        </is>
      </c>
      <c r="B11" s="7" t="n">
        <v>280</v>
      </c>
      <c r="C11" s="6" t="inlineStr">
        <is>
          <t>H2 2025</t>
        </is>
      </c>
      <c r="D11" s="8" t="inlineStr">
        <is>
          <t>Pipeline triển khai</t>
        </is>
      </c>
    </row>
    <row r="12">
      <c r="A12" s="6" t="inlineStr">
        <is>
          <t>QA &amp; kiểm thử</t>
        </is>
      </c>
      <c r="B12" s="7" t="n">
        <v>200</v>
      </c>
      <c r="C12" s="6" t="inlineStr">
        <is>
          <t>H2 2025</t>
        </is>
      </c>
      <c r="D12" s="8" t="inlineStr">
        <is>
          <t>Kiểm thử tự động</t>
        </is>
      </c>
    </row>
    <row r="13">
      <c r="A13" s="6" t="inlineStr">
        <is>
          <t>Dự phòng CAPEX (10%)</t>
        </is>
      </c>
      <c r="B13" s="7" t="n">
        <v>300</v>
      </c>
      <c r="C13" s="6" t="inlineStr">
        <is>
          <t>H2 2025</t>
        </is>
      </c>
      <c r="D13" s="8" t="inlineStr">
        <is>
          <t>Đệm phát sinh</t>
        </is>
      </c>
    </row>
    <row r="15">
      <c r="A15" s="6" t="inlineStr">
        <is>
          <t>TỔNG ĐẦU TƯ BAN ĐẦU</t>
        </is>
      </c>
      <c r="B15" s="11">
        <f>SUM(B4:B13)</f>
        <v/>
      </c>
    </row>
    <row r="17">
      <c r="A17" s="3" t="inlineStr">
        <is>
          <t>LỊCH KHẤU HAO</t>
        </is>
      </c>
    </row>
    <row r="18">
      <c r="A18" s="5" t="inlineStr">
        <is>
          <t>Năm</t>
        </is>
      </c>
      <c r="B18" s="5" t="inlineStr">
        <is>
          <t>Khấu hao/năm</t>
        </is>
      </c>
      <c r="C18" s="5" t="inlineStr">
        <is>
          <t>Khấu hao lũy kế</t>
        </is>
      </c>
      <c r="D18" s="5" t="inlineStr">
        <is>
          <t>Giá trị còn lại</t>
        </is>
      </c>
    </row>
    <row r="19">
      <c r="A19" s="6" t="inlineStr">
        <is>
          <t>2025</t>
        </is>
      </c>
      <c r="B19" s="12">
        <f>capex_total/depreciation_years</f>
        <v/>
      </c>
      <c r="C19" s="12">
        <f>B19</f>
        <v/>
      </c>
      <c r="D19" s="12">
        <f>capex_total-C19</f>
        <v/>
      </c>
    </row>
    <row r="20">
      <c r="A20" s="6" t="inlineStr">
        <is>
          <t>2026</t>
        </is>
      </c>
      <c r="B20" s="12">
        <f>capex_total/depreciation_years</f>
        <v/>
      </c>
      <c r="C20" s="12">
        <f>C19+B20</f>
        <v/>
      </c>
      <c r="D20" s="12">
        <f>capex_total-C20</f>
        <v/>
      </c>
    </row>
    <row r="21">
      <c r="A21" s="6" t="inlineStr">
        <is>
          <t>2027</t>
        </is>
      </c>
      <c r="B21" s="12">
        <f>capex_total/depreciation_years</f>
        <v/>
      </c>
      <c r="C21" s="12">
        <f>C20+B21</f>
        <v/>
      </c>
      <c r="D21" s="12">
        <f>capex_total-C21</f>
        <v/>
      </c>
    </row>
    <row r="22">
      <c r="A22" s="6" t="inlineStr">
        <is>
          <t>2028</t>
        </is>
      </c>
      <c r="B22" s="12">
        <f>capex_total/depreciation_years</f>
        <v/>
      </c>
      <c r="C22" s="12">
        <f>C21+B22</f>
        <v/>
      </c>
      <c r="D22" s="12">
        <f>capex_total-C22</f>
        <v/>
      </c>
    </row>
    <row r="23">
      <c r="A23" s="6" t="inlineStr">
        <is>
          <t>2029</t>
        </is>
      </c>
      <c r="B23" s="12">
        <f>capex_total/depreciation_years</f>
        <v/>
      </c>
      <c r="C23" s="12">
        <f>C22+B23</f>
        <v/>
      </c>
      <c r="D23" s="12">
        <f>capex_total-C23</f>
        <v/>
      </c>
    </row>
    <row r="24">
      <c r="A24" s="6" t="inlineStr">
        <is>
          <t>2030</t>
        </is>
      </c>
      <c r="B24" s="12">
        <f>0</f>
        <v/>
      </c>
      <c r="C24" s="12">
        <f>C23+B24</f>
        <v/>
      </c>
      <c r="D24" s="12">
        <f>capex_total-C24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AR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3" t="inlineStr">
        <is>
          <t>KẾ HOẠCH NHÂN SỰ — BIÊN CHẾ &amp; CHI PHÍ</t>
        </is>
      </c>
    </row>
    <row r="3">
      <c r="A3" s="5" t="inlineStr">
        <is>
          <t>Bộ phận / Hạng mục</t>
        </is>
      </c>
      <c r="B3" s="5" t="inlineStr">
        <is>
          <t>ĐVT</t>
        </is>
      </c>
      <c r="C3" s="5" t="inlineStr">
        <is>
          <t>Th7 2025</t>
        </is>
      </c>
      <c r="D3" s="5" t="inlineStr">
        <is>
          <t>Th8 2025</t>
        </is>
      </c>
      <c r="E3" s="5" t="inlineStr">
        <is>
          <t>Th9 2025</t>
        </is>
      </c>
      <c r="F3" s="5" t="inlineStr">
        <is>
          <t>Th10 2025</t>
        </is>
      </c>
      <c r="G3" s="5" t="inlineStr">
        <is>
          <t>Th11 2025</t>
        </is>
      </c>
      <c r="H3" s="5" t="inlineStr">
        <is>
          <t>Th12 2025</t>
        </is>
      </c>
      <c r="I3" s="5" t="inlineStr">
        <is>
          <t>Th1 2026</t>
        </is>
      </c>
      <c r="J3" s="5" t="inlineStr">
        <is>
          <t>Th2 2026</t>
        </is>
      </c>
      <c r="K3" s="5" t="inlineStr">
        <is>
          <t>Th3 2026</t>
        </is>
      </c>
      <c r="L3" s="5" t="inlineStr">
        <is>
          <t>Th4 2026</t>
        </is>
      </c>
      <c r="M3" s="5" t="inlineStr">
        <is>
          <t>Th5 2026</t>
        </is>
      </c>
      <c r="N3" s="5" t="inlineStr">
        <is>
          <t>Th6 2026</t>
        </is>
      </c>
      <c r="O3" s="5" t="inlineStr">
        <is>
          <t>Th7 2026</t>
        </is>
      </c>
      <c r="P3" s="5" t="inlineStr">
        <is>
          <t>Th8 2026</t>
        </is>
      </c>
      <c r="Q3" s="5" t="inlineStr">
        <is>
          <t>Th9 2026</t>
        </is>
      </c>
      <c r="R3" s="5" t="inlineStr">
        <is>
          <t>Th10 2026</t>
        </is>
      </c>
      <c r="S3" s="5" t="inlineStr">
        <is>
          <t>Th11 2026</t>
        </is>
      </c>
      <c r="T3" s="5" t="inlineStr">
        <is>
          <t>Th12 2026</t>
        </is>
      </c>
      <c r="U3" s="5" t="inlineStr">
        <is>
          <t>Th1 2027</t>
        </is>
      </c>
      <c r="V3" s="5" t="inlineStr">
        <is>
          <t>Th2 2027</t>
        </is>
      </c>
      <c r="W3" s="5" t="inlineStr">
        <is>
          <t>Th3 2027</t>
        </is>
      </c>
      <c r="X3" s="5" t="inlineStr">
        <is>
          <t>Th4 2027</t>
        </is>
      </c>
      <c r="Y3" s="5" t="inlineStr">
        <is>
          <t>Th5 2027</t>
        </is>
      </c>
      <c r="Z3" s="5" t="inlineStr">
        <is>
          <t>Th6 2027</t>
        </is>
      </c>
      <c r="AA3" s="5" t="inlineStr">
        <is>
          <t>Th7 2027</t>
        </is>
      </c>
      <c r="AB3" s="5" t="inlineStr">
        <is>
          <t>Th8 2027</t>
        </is>
      </c>
      <c r="AC3" s="5" t="inlineStr">
        <is>
          <t>Th9 2027</t>
        </is>
      </c>
      <c r="AD3" s="5" t="inlineStr">
        <is>
          <t>Th10 2027</t>
        </is>
      </c>
      <c r="AE3" s="5" t="inlineStr">
        <is>
          <t>Th11 2027</t>
        </is>
      </c>
      <c r="AF3" s="5" t="inlineStr">
        <is>
          <t>Th12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3" t="inlineStr">
        <is>
          <t>SỐ LƯỢNG NHÂN SỰ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</row>
    <row r="5">
      <c r="A5" s="6" t="inlineStr">
        <is>
          <t>Quản lý</t>
        </is>
      </c>
      <c r="B5" s="14" t="inlineStr">
        <is>
          <t>người</t>
        </is>
      </c>
      <c r="C5" s="7" t="n">
        <v>2</v>
      </c>
      <c r="D5" s="7" t="n">
        <v>2</v>
      </c>
      <c r="E5" s="7" t="n">
        <v>2</v>
      </c>
      <c r="F5" s="7" t="n">
        <v>2</v>
      </c>
      <c r="G5" s="7" t="n">
        <v>2</v>
      </c>
      <c r="H5" s="7" t="n">
        <v>2</v>
      </c>
      <c r="I5" s="7" t="n">
        <v>2</v>
      </c>
      <c r="J5" s="7" t="n">
        <v>2</v>
      </c>
      <c r="K5" s="7" t="n">
        <v>2</v>
      </c>
      <c r="L5" s="7" t="n">
        <v>2</v>
      </c>
      <c r="M5" s="7" t="n">
        <v>2</v>
      </c>
      <c r="N5" s="7" t="n">
        <v>2</v>
      </c>
      <c r="O5" s="7" t="n">
        <v>2</v>
      </c>
      <c r="P5" s="7" t="n">
        <v>2</v>
      </c>
      <c r="Q5" s="7" t="n">
        <v>2</v>
      </c>
      <c r="R5" s="7" t="n">
        <v>2</v>
      </c>
      <c r="S5" s="7" t="n">
        <v>2</v>
      </c>
      <c r="T5" s="7" t="n">
        <v>2</v>
      </c>
      <c r="U5" s="7" t="n">
        <v>3</v>
      </c>
      <c r="V5" s="7" t="n">
        <v>3</v>
      </c>
      <c r="W5" s="7" t="n">
        <v>3</v>
      </c>
      <c r="X5" s="7" t="n">
        <v>3</v>
      </c>
      <c r="Y5" s="7" t="n">
        <v>3</v>
      </c>
      <c r="Z5" s="7" t="n">
        <v>3</v>
      </c>
      <c r="AA5" s="7" t="n">
        <v>3</v>
      </c>
      <c r="AB5" s="7" t="n">
        <v>3</v>
      </c>
      <c r="AC5" s="7" t="n">
        <v>3</v>
      </c>
      <c r="AD5" s="7" t="n">
        <v>3</v>
      </c>
      <c r="AE5" s="7" t="n">
        <v>3</v>
      </c>
      <c r="AF5" s="7" t="n">
        <v>3</v>
      </c>
      <c r="AG5" s="7" t="n">
        <v>3</v>
      </c>
      <c r="AH5" s="7" t="n">
        <v>3</v>
      </c>
      <c r="AI5" s="7" t="n">
        <v>3</v>
      </c>
      <c r="AJ5" s="7" t="n">
        <v>3</v>
      </c>
      <c r="AK5" s="7" t="n">
        <v>4</v>
      </c>
      <c r="AL5" s="7" t="n">
        <v>4</v>
      </c>
      <c r="AM5" s="7" t="n">
        <v>4</v>
      </c>
      <c r="AN5" s="7" t="n">
        <v>4</v>
      </c>
      <c r="AO5" s="7" t="n">
        <v>4</v>
      </c>
      <c r="AP5" s="7" t="n">
        <v>4</v>
      </c>
      <c r="AQ5" s="7" t="n">
        <v>4</v>
      </c>
      <c r="AR5" s="7" t="n">
        <v>4</v>
      </c>
    </row>
    <row r="6">
      <c r="A6" s="6" t="inlineStr">
        <is>
          <t>Phát triển</t>
        </is>
      </c>
      <c r="B6" s="14" t="inlineStr">
        <is>
          <t>người</t>
        </is>
      </c>
      <c r="C6" s="7" t="n">
        <v>12</v>
      </c>
      <c r="D6" s="7" t="n">
        <v>12</v>
      </c>
      <c r="E6" s="7" t="n">
        <v>12</v>
      </c>
      <c r="F6" s="7" t="n">
        <v>12</v>
      </c>
      <c r="G6" s="7" t="n">
        <v>12</v>
      </c>
      <c r="H6" s="7" t="n">
        <v>12</v>
      </c>
      <c r="I6" s="7" t="n">
        <v>12</v>
      </c>
      <c r="J6" s="7" t="n">
        <v>12</v>
      </c>
      <c r="K6" s="7" t="n">
        <v>12</v>
      </c>
      <c r="L6" s="7" t="n">
        <v>12</v>
      </c>
      <c r="M6" s="7" t="n">
        <v>12</v>
      </c>
      <c r="N6" s="7" t="n">
        <v>12</v>
      </c>
      <c r="O6" s="7" t="n">
        <v>12</v>
      </c>
      <c r="P6" s="7" t="n">
        <v>12</v>
      </c>
      <c r="Q6" s="7" t="n">
        <v>12</v>
      </c>
      <c r="R6" s="7" t="n">
        <v>12</v>
      </c>
      <c r="S6" s="7" t="n">
        <v>12</v>
      </c>
      <c r="T6" s="7" t="n">
        <v>12</v>
      </c>
      <c r="U6" s="7" t="n">
        <v>14</v>
      </c>
      <c r="V6" s="7" t="n">
        <v>14</v>
      </c>
      <c r="W6" s="7" t="n">
        <v>14</v>
      </c>
      <c r="X6" s="7" t="n">
        <v>14</v>
      </c>
      <c r="Y6" s="7" t="n">
        <v>14</v>
      </c>
      <c r="Z6" s="7" t="n">
        <v>14</v>
      </c>
      <c r="AA6" s="7" t="n">
        <v>14</v>
      </c>
      <c r="AB6" s="7" t="n">
        <v>14</v>
      </c>
      <c r="AC6" s="7" t="n">
        <v>14</v>
      </c>
      <c r="AD6" s="7" t="n">
        <v>14</v>
      </c>
      <c r="AE6" s="7" t="n">
        <v>14</v>
      </c>
      <c r="AF6" s="7" t="n">
        <v>14</v>
      </c>
      <c r="AG6" s="7" t="n">
        <v>16</v>
      </c>
      <c r="AH6" s="7" t="n">
        <v>16</v>
      </c>
      <c r="AI6" s="7" t="n">
        <v>16</v>
      </c>
      <c r="AJ6" s="7" t="n">
        <v>16</v>
      </c>
      <c r="AK6" s="7" t="n">
        <v>18</v>
      </c>
      <c r="AL6" s="7" t="n">
        <v>18</v>
      </c>
      <c r="AM6" s="7" t="n">
        <v>18</v>
      </c>
      <c r="AN6" s="7" t="n">
        <v>18</v>
      </c>
      <c r="AO6" s="7" t="n">
        <v>20</v>
      </c>
      <c r="AP6" s="7" t="n">
        <v>20</v>
      </c>
      <c r="AQ6" s="7" t="n">
        <v>20</v>
      </c>
      <c r="AR6" s="7" t="n">
        <v>20</v>
      </c>
    </row>
    <row r="7">
      <c r="A7" s="6" t="inlineStr">
        <is>
          <t>Vận hành KD</t>
        </is>
      </c>
      <c r="B7" s="14" t="inlineStr">
        <is>
          <t>người</t>
        </is>
      </c>
      <c r="C7" s="7" t="n">
        <v>2</v>
      </c>
      <c r="D7" s="7" t="n">
        <v>2</v>
      </c>
      <c r="E7" s="7" t="n">
        <v>2</v>
      </c>
      <c r="F7" s="7" t="n">
        <v>2</v>
      </c>
      <c r="G7" s="7" t="n">
        <v>2</v>
      </c>
      <c r="H7" s="7" t="n">
        <v>2</v>
      </c>
      <c r="I7" s="7" t="n">
        <v>6</v>
      </c>
      <c r="J7" s="7" t="n">
        <v>6</v>
      </c>
      <c r="K7" s="7" t="n">
        <v>6</v>
      </c>
      <c r="L7" s="7" t="n">
        <v>6</v>
      </c>
      <c r="M7" s="7" t="n">
        <v>6</v>
      </c>
      <c r="N7" s="7" t="n">
        <v>6</v>
      </c>
      <c r="O7" s="7" t="n">
        <v>6</v>
      </c>
      <c r="P7" s="7" t="n">
        <v>6</v>
      </c>
      <c r="Q7" s="7" t="n">
        <v>6</v>
      </c>
      <c r="R7" s="7" t="n">
        <v>6</v>
      </c>
      <c r="S7" s="7" t="n">
        <v>6</v>
      </c>
      <c r="T7" s="7" t="n">
        <v>6</v>
      </c>
      <c r="U7" s="7" t="n">
        <v>10</v>
      </c>
      <c r="V7" s="7" t="n">
        <v>10</v>
      </c>
      <c r="W7" s="7" t="n">
        <v>10</v>
      </c>
      <c r="X7" s="7" t="n">
        <v>10</v>
      </c>
      <c r="Y7" s="7" t="n">
        <v>10</v>
      </c>
      <c r="Z7" s="7" t="n">
        <v>10</v>
      </c>
      <c r="AA7" s="7" t="n">
        <v>10</v>
      </c>
      <c r="AB7" s="7" t="n">
        <v>10</v>
      </c>
      <c r="AC7" s="7" t="n">
        <v>10</v>
      </c>
      <c r="AD7" s="7" t="n">
        <v>10</v>
      </c>
      <c r="AE7" s="7" t="n">
        <v>10</v>
      </c>
      <c r="AF7" s="7" t="n">
        <v>10</v>
      </c>
      <c r="AG7" s="7" t="n">
        <v>18</v>
      </c>
      <c r="AH7" s="7" t="n">
        <v>18</v>
      </c>
      <c r="AI7" s="7" t="n">
        <v>18</v>
      </c>
      <c r="AJ7" s="7" t="n">
        <v>18</v>
      </c>
      <c r="AK7" s="7" t="n">
        <v>28</v>
      </c>
      <c r="AL7" s="7" t="n">
        <v>28</v>
      </c>
      <c r="AM7" s="7" t="n">
        <v>28</v>
      </c>
      <c r="AN7" s="7" t="n">
        <v>28</v>
      </c>
      <c r="AO7" s="7" t="n">
        <v>35</v>
      </c>
      <c r="AP7" s="7" t="n">
        <v>35</v>
      </c>
      <c r="AQ7" s="7" t="n">
        <v>35</v>
      </c>
      <c r="AR7" s="7" t="n">
        <v>35</v>
      </c>
    </row>
    <row r="8">
      <c r="A8" s="6" t="inlineStr">
        <is>
          <t>Dữ liệu &amp; Phân tích</t>
        </is>
      </c>
      <c r="B8" s="14" t="inlineStr">
        <is>
          <t>người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2</v>
      </c>
      <c r="J8" s="7" t="n">
        <v>2</v>
      </c>
      <c r="K8" s="7" t="n">
        <v>2</v>
      </c>
      <c r="L8" s="7" t="n">
        <v>2</v>
      </c>
      <c r="M8" s="7" t="n">
        <v>2</v>
      </c>
      <c r="N8" s="7" t="n">
        <v>2</v>
      </c>
      <c r="O8" s="7" t="n">
        <v>2</v>
      </c>
      <c r="P8" s="7" t="n">
        <v>2</v>
      </c>
      <c r="Q8" s="7" t="n">
        <v>2</v>
      </c>
      <c r="R8" s="7" t="n">
        <v>2</v>
      </c>
      <c r="S8" s="7" t="n">
        <v>2</v>
      </c>
      <c r="T8" s="7" t="n">
        <v>2</v>
      </c>
      <c r="U8" s="7" t="n">
        <v>3</v>
      </c>
      <c r="V8" s="7" t="n">
        <v>3</v>
      </c>
      <c r="W8" s="7" t="n">
        <v>3</v>
      </c>
      <c r="X8" s="7" t="n">
        <v>3</v>
      </c>
      <c r="Y8" s="7" t="n">
        <v>3</v>
      </c>
      <c r="Z8" s="7" t="n">
        <v>3</v>
      </c>
      <c r="AA8" s="7" t="n">
        <v>3</v>
      </c>
      <c r="AB8" s="7" t="n">
        <v>3</v>
      </c>
      <c r="AC8" s="7" t="n">
        <v>3</v>
      </c>
      <c r="AD8" s="7" t="n">
        <v>3</v>
      </c>
      <c r="AE8" s="7" t="n">
        <v>3</v>
      </c>
      <c r="AF8" s="7" t="n">
        <v>3</v>
      </c>
      <c r="AG8" s="7" t="n">
        <v>4</v>
      </c>
      <c r="AH8" s="7" t="n">
        <v>4</v>
      </c>
      <c r="AI8" s="7" t="n">
        <v>4</v>
      </c>
      <c r="AJ8" s="7" t="n">
        <v>4</v>
      </c>
      <c r="AK8" s="7" t="n">
        <v>5</v>
      </c>
      <c r="AL8" s="7" t="n">
        <v>5</v>
      </c>
      <c r="AM8" s="7" t="n">
        <v>5</v>
      </c>
      <c r="AN8" s="7" t="n">
        <v>5</v>
      </c>
      <c r="AO8" s="7" t="n">
        <v>6</v>
      </c>
      <c r="AP8" s="7" t="n">
        <v>6</v>
      </c>
      <c r="AQ8" s="7" t="n">
        <v>6</v>
      </c>
      <c r="AR8" s="7" t="n">
        <v>6</v>
      </c>
    </row>
    <row r="9">
      <c r="A9" s="6" t="inlineStr">
        <is>
          <t>TỔNG NHÂN SỰ</t>
        </is>
      </c>
      <c r="B9" s="15" t="inlineStr">
        <is>
          <t>người</t>
        </is>
      </c>
      <c r="C9" s="11">
        <f>C5+C6+C7+C8</f>
        <v/>
      </c>
      <c r="D9" s="11">
        <f>D5+D6+D7+D8</f>
        <v/>
      </c>
      <c r="E9" s="11">
        <f>E5+E6+E7+E8</f>
        <v/>
      </c>
      <c r="F9" s="11">
        <f>F5+F6+F7+F8</f>
        <v/>
      </c>
      <c r="G9" s="11">
        <f>G5+G6+G7+G8</f>
        <v/>
      </c>
      <c r="H9" s="11">
        <f>H5+H6+H7+H8</f>
        <v/>
      </c>
      <c r="I9" s="11">
        <f>I5+I6+I7+I8</f>
        <v/>
      </c>
      <c r="J9" s="11">
        <f>J5+J6+J7+J8</f>
        <v/>
      </c>
      <c r="K9" s="11">
        <f>K5+K6+K7+K8</f>
        <v/>
      </c>
      <c r="L9" s="11">
        <f>L5+L6+L7+L8</f>
        <v/>
      </c>
      <c r="M9" s="11">
        <f>M5+M6+M7+M8</f>
        <v/>
      </c>
      <c r="N9" s="11">
        <f>N5+N6+N7+N8</f>
        <v/>
      </c>
      <c r="O9" s="11">
        <f>O5+O6+O7+O8</f>
        <v/>
      </c>
      <c r="P9" s="11">
        <f>P5+P6+P7+P8</f>
        <v/>
      </c>
      <c r="Q9" s="11">
        <f>Q5+Q6+Q7+Q8</f>
        <v/>
      </c>
      <c r="R9" s="11">
        <f>R5+R6+R7+R8</f>
        <v/>
      </c>
      <c r="S9" s="11">
        <f>S5+S6+S7+S8</f>
        <v/>
      </c>
      <c r="T9" s="11">
        <f>T5+T6+T7+T8</f>
        <v/>
      </c>
      <c r="U9" s="11">
        <f>U5+U6+U7+U8</f>
        <v/>
      </c>
      <c r="V9" s="11">
        <f>V5+V6+V7+V8</f>
        <v/>
      </c>
      <c r="W9" s="11">
        <f>W5+W6+W7+W8</f>
        <v/>
      </c>
      <c r="X9" s="11">
        <f>X5+X6+X7+X8</f>
        <v/>
      </c>
      <c r="Y9" s="11">
        <f>Y5+Y6+Y7+Y8</f>
        <v/>
      </c>
      <c r="Z9" s="11">
        <f>Z5+Z6+Z7+Z8</f>
        <v/>
      </c>
      <c r="AA9" s="11">
        <f>AA5+AA6+AA7+AA8</f>
        <v/>
      </c>
      <c r="AB9" s="11">
        <f>AB5+AB6+AB7+AB8</f>
        <v/>
      </c>
      <c r="AC9" s="11">
        <f>AC5+AC6+AC7+AC8</f>
        <v/>
      </c>
      <c r="AD9" s="11">
        <f>AD5+AD6+AD7+AD8</f>
        <v/>
      </c>
      <c r="AE9" s="11">
        <f>AE5+AE6+AE7+AE8</f>
        <v/>
      </c>
      <c r="AF9" s="11">
        <f>AF5+AF6+AF7+AF8</f>
        <v/>
      </c>
      <c r="AG9" s="11">
        <f>AG5+AG6+AG7+AG8</f>
        <v/>
      </c>
      <c r="AH9" s="11">
        <f>AH5+AH6+AH7+AH8</f>
        <v/>
      </c>
      <c r="AI9" s="11">
        <f>AI5+AI6+AI7+AI8</f>
        <v/>
      </c>
      <c r="AJ9" s="11">
        <f>AJ5+AJ6+AJ7+AJ8</f>
        <v/>
      </c>
      <c r="AK9" s="11">
        <f>AK5+AK6+AK7+AK8</f>
        <v/>
      </c>
      <c r="AL9" s="11">
        <f>AL5+AL6+AL7+AL8</f>
        <v/>
      </c>
      <c r="AM9" s="11">
        <f>AM5+AM6+AM7+AM8</f>
        <v/>
      </c>
      <c r="AN9" s="11">
        <f>AN5+AN6+AN7+AN8</f>
        <v/>
      </c>
      <c r="AO9" s="11">
        <f>AO5+AO6+AO7+AO8</f>
        <v/>
      </c>
      <c r="AP9" s="11">
        <f>AP5+AP6+AP7+AP8</f>
        <v/>
      </c>
      <c r="AQ9" s="11">
        <f>AQ5+AQ6+AQ7+AQ8</f>
        <v/>
      </c>
      <c r="AR9" s="11">
        <f>AR5+AR6+AR7+AR8</f>
        <v/>
      </c>
    </row>
    <row r="11">
      <c r="A11" s="3" t="inlineStr">
        <is>
          <t>TUYỂN MỚI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</row>
    <row r="12">
      <c r="A12" s="6" t="inlineStr">
        <is>
          <t>Tuyển mới</t>
        </is>
      </c>
      <c r="B12" s="14" t="inlineStr">
        <is>
          <t>người</t>
        </is>
      </c>
      <c r="C12" s="12">
        <f>C9</f>
        <v/>
      </c>
      <c r="D12" s="12">
        <f>MAX(0,D9-C9)</f>
        <v/>
      </c>
      <c r="E12" s="12">
        <f>MAX(0,E9-D9)</f>
        <v/>
      </c>
      <c r="F12" s="12">
        <f>MAX(0,F9-E9)</f>
        <v/>
      </c>
      <c r="G12" s="12">
        <f>MAX(0,G9-F9)</f>
        <v/>
      </c>
      <c r="H12" s="12">
        <f>MAX(0,H9-G9)</f>
        <v/>
      </c>
      <c r="I12" s="12">
        <f>MAX(0,I9-H9)</f>
        <v/>
      </c>
      <c r="J12" s="12">
        <f>MAX(0,J9-I9)</f>
        <v/>
      </c>
      <c r="K12" s="12">
        <f>MAX(0,K9-J9)</f>
        <v/>
      </c>
      <c r="L12" s="12">
        <f>MAX(0,L9-K9)</f>
        <v/>
      </c>
      <c r="M12" s="12">
        <f>MAX(0,M9-L9)</f>
        <v/>
      </c>
      <c r="N12" s="12">
        <f>MAX(0,N9-M9)</f>
        <v/>
      </c>
      <c r="O12" s="12">
        <f>MAX(0,O9-N9)</f>
        <v/>
      </c>
      <c r="P12" s="12">
        <f>MAX(0,P9-O9)</f>
        <v/>
      </c>
      <c r="Q12" s="12">
        <f>MAX(0,Q9-P9)</f>
        <v/>
      </c>
      <c r="R12" s="12">
        <f>MAX(0,R9-Q9)</f>
        <v/>
      </c>
      <c r="S12" s="12">
        <f>MAX(0,S9-R9)</f>
        <v/>
      </c>
      <c r="T12" s="12">
        <f>MAX(0,T9-S9)</f>
        <v/>
      </c>
      <c r="U12" s="12">
        <f>MAX(0,U9-T9)</f>
        <v/>
      </c>
      <c r="V12" s="12">
        <f>MAX(0,V9-U9)</f>
        <v/>
      </c>
      <c r="W12" s="12">
        <f>MAX(0,W9-V9)</f>
        <v/>
      </c>
      <c r="X12" s="12">
        <f>MAX(0,X9-W9)</f>
        <v/>
      </c>
      <c r="Y12" s="12">
        <f>MAX(0,Y9-X9)</f>
        <v/>
      </c>
      <c r="Z12" s="12">
        <f>MAX(0,Z9-Y9)</f>
        <v/>
      </c>
      <c r="AA12" s="12">
        <f>MAX(0,AA9-Z9)</f>
        <v/>
      </c>
      <c r="AB12" s="12">
        <f>MAX(0,AB9-AA9)</f>
        <v/>
      </c>
      <c r="AC12" s="12">
        <f>MAX(0,AC9-AB9)</f>
        <v/>
      </c>
      <c r="AD12" s="12">
        <f>MAX(0,AD9-AC9)</f>
        <v/>
      </c>
      <c r="AE12" s="12">
        <f>MAX(0,AE9-AD9)</f>
        <v/>
      </c>
      <c r="AF12" s="12">
        <f>MAX(0,AF9-AE9)</f>
        <v/>
      </c>
      <c r="AG12" s="12">
        <f>MAX(0,AG9-AF9)</f>
        <v/>
      </c>
      <c r="AH12" s="12">
        <f>MAX(0,AH9-AG9)</f>
        <v/>
      </c>
      <c r="AI12" s="12">
        <f>MAX(0,AI9-AH9)</f>
        <v/>
      </c>
      <c r="AJ12" s="12">
        <f>MAX(0,AJ9-AI9)</f>
        <v/>
      </c>
      <c r="AK12" s="12">
        <f>MAX(0,AK9-AJ9)</f>
        <v/>
      </c>
      <c r="AL12" s="12">
        <f>MAX(0,AL9-AK9)</f>
        <v/>
      </c>
      <c r="AM12" s="12">
        <f>MAX(0,AM9-AL9)</f>
        <v/>
      </c>
      <c r="AN12" s="12">
        <f>MAX(0,AN9-AM9)</f>
        <v/>
      </c>
      <c r="AO12" s="12">
        <f>MAX(0,AO9-AN9)</f>
        <v/>
      </c>
      <c r="AP12" s="12">
        <f>MAX(0,AP9-AO9)</f>
        <v/>
      </c>
      <c r="AQ12" s="12">
        <f>MAX(0,AQ9-AP9)</f>
        <v/>
      </c>
      <c r="AR12" s="12">
        <f>MAX(0,AR9-AQ9)</f>
        <v/>
      </c>
    </row>
    <row r="14">
      <c r="A14" s="3" t="inlineStr">
        <is>
          <t>CHI PHÍ LƯƠNG (Tr VND)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</row>
    <row r="15">
      <c r="A15" s="6" t="inlineStr">
        <is>
          <t>CP Quản lý</t>
        </is>
      </c>
      <c r="B15" s="14" t="inlineStr">
        <is>
          <t>Tr VND</t>
        </is>
      </c>
      <c r="C15" s="12">
        <f>C5*salary_mgmt*1*(1+salary_escalation)^0*(1+bhxh_rate)</f>
        <v/>
      </c>
      <c r="D15" s="12">
        <f>D5*salary_mgmt*1*(1+salary_escalation)^0*(1+bhxh_rate)</f>
        <v/>
      </c>
      <c r="E15" s="12">
        <f>E5*salary_mgmt*1*(1+salary_escalation)^0*(1+bhxh_rate)</f>
        <v/>
      </c>
      <c r="F15" s="12">
        <f>F5*salary_mgmt*1*(1+salary_escalation)^0*(1+bhxh_rate)</f>
        <v/>
      </c>
      <c r="G15" s="12">
        <f>G5*salary_mgmt*1*(1+salary_escalation)^0*(1+bhxh_rate)</f>
        <v/>
      </c>
      <c r="H15" s="12">
        <f>H5*salary_mgmt*1*(1+salary_escalation)^0*(1+bhxh_rate)</f>
        <v/>
      </c>
      <c r="I15" s="12">
        <f>I5*salary_mgmt*1*(1+salary_escalation)^1*(1+bhxh_rate)</f>
        <v/>
      </c>
      <c r="J15" s="12">
        <f>J5*salary_mgmt*1*(1+salary_escalation)^1*(1+bhxh_rate)</f>
        <v/>
      </c>
      <c r="K15" s="12">
        <f>K5*salary_mgmt*1*(1+salary_escalation)^1*(1+bhxh_rate)</f>
        <v/>
      </c>
      <c r="L15" s="12">
        <f>L5*salary_mgmt*1*(1+salary_escalation)^1*(1+bhxh_rate)</f>
        <v/>
      </c>
      <c r="M15" s="12">
        <f>M5*salary_mgmt*1*(1+salary_escalation)^1*(1+bhxh_rate)</f>
        <v/>
      </c>
      <c r="N15" s="12">
        <f>N5*salary_mgmt*1*(1+salary_escalation)^1*(1+bhxh_rate)</f>
        <v/>
      </c>
      <c r="O15" s="12">
        <f>O5*salary_mgmt*1*(1+salary_escalation)^1*(1+bhxh_rate)</f>
        <v/>
      </c>
      <c r="P15" s="12">
        <f>P5*salary_mgmt*1*(1+salary_escalation)^1*(1+bhxh_rate)</f>
        <v/>
      </c>
      <c r="Q15" s="12">
        <f>Q5*salary_mgmt*1*(1+salary_escalation)^1*(1+bhxh_rate)</f>
        <v/>
      </c>
      <c r="R15" s="12">
        <f>R5*salary_mgmt*1*(1+salary_escalation)^1*(1+bhxh_rate)</f>
        <v/>
      </c>
      <c r="S15" s="12">
        <f>S5*salary_mgmt*1*(1+salary_escalation)^1*(1+bhxh_rate)</f>
        <v/>
      </c>
      <c r="T15" s="12">
        <f>T5*salary_mgmt*1*(1+salary_escalation)^1*(1+bhxh_rate)</f>
        <v/>
      </c>
      <c r="U15" s="12">
        <f>U5*salary_mgmt*1*(1+salary_escalation)^2*(1+bhxh_rate)</f>
        <v/>
      </c>
      <c r="V15" s="12">
        <f>V5*salary_mgmt*1*(1+salary_escalation)^2*(1+bhxh_rate)</f>
        <v/>
      </c>
      <c r="W15" s="12">
        <f>W5*salary_mgmt*1*(1+salary_escalation)^2*(1+bhxh_rate)</f>
        <v/>
      </c>
      <c r="X15" s="12">
        <f>X5*salary_mgmt*1*(1+salary_escalation)^2*(1+bhxh_rate)</f>
        <v/>
      </c>
      <c r="Y15" s="12">
        <f>Y5*salary_mgmt*1*(1+salary_escalation)^2*(1+bhxh_rate)</f>
        <v/>
      </c>
      <c r="Z15" s="12">
        <f>Z5*salary_mgmt*1*(1+salary_escalation)^2*(1+bhxh_rate)</f>
        <v/>
      </c>
      <c r="AA15" s="12">
        <f>AA5*salary_mgmt*1*(1+salary_escalation)^2*(1+bhxh_rate)</f>
        <v/>
      </c>
      <c r="AB15" s="12">
        <f>AB5*salary_mgmt*1*(1+salary_escalation)^2*(1+bhxh_rate)</f>
        <v/>
      </c>
      <c r="AC15" s="12">
        <f>AC5*salary_mgmt*1*(1+salary_escalation)^2*(1+bhxh_rate)</f>
        <v/>
      </c>
      <c r="AD15" s="12">
        <f>AD5*salary_mgmt*1*(1+salary_escalation)^2*(1+bhxh_rate)</f>
        <v/>
      </c>
      <c r="AE15" s="12">
        <f>AE5*salary_mgmt*1*(1+salary_escalation)^2*(1+bhxh_rate)</f>
        <v/>
      </c>
      <c r="AF15" s="12">
        <f>AF5*salary_mgmt*1*(1+salary_escalation)^2*(1+bhxh_rate)</f>
        <v/>
      </c>
      <c r="AG15" s="12">
        <f>AG5*salary_mgmt*3*(1+salary_escalation)^3*(1+bhxh_rate)</f>
        <v/>
      </c>
      <c r="AH15" s="12">
        <f>AH5*salary_mgmt*3*(1+salary_escalation)^3*(1+bhxh_rate)</f>
        <v/>
      </c>
      <c r="AI15" s="12">
        <f>AI5*salary_mgmt*3*(1+salary_escalation)^3*(1+bhxh_rate)</f>
        <v/>
      </c>
      <c r="AJ15" s="12">
        <f>AJ5*salary_mgmt*3*(1+salary_escalation)^3*(1+bhxh_rate)</f>
        <v/>
      </c>
      <c r="AK15" s="12">
        <f>AK5*salary_mgmt*3*(1+salary_escalation)^4*(1+bhxh_rate)</f>
        <v/>
      </c>
      <c r="AL15" s="12">
        <f>AL5*salary_mgmt*3*(1+salary_escalation)^4*(1+bhxh_rate)</f>
        <v/>
      </c>
      <c r="AM15" s="12">
        <f>AM5*salary_mgmt*3*(1+salary_escalation)^4*(1+bhxh_rate)</f>
        <v/>
      </c>
      <c r="AN15" s="12">
        <f>AN5*salary_mgmt*3*(1+salary_escalation)^4*(1+bhxh_rate)</f>
        <v/>
      </c>
      <c r="AO15" s="12">
        <f>AO5*salary_mgmt*3*(1+salary_escalation)^5*(1+bhxh_rate)</f>
        <v/>
      </c>
      <c r="AP15" s="12">
        <f>AP5*salary_mgmt*3*(1+salary_escalation)^5*(1+bhxh_rate)</f>
        <v/>
      </c>
      <c r="AQ15" s="12">
        <f>AQ5*salary_mgmt*3*(1+salary_escalation)^5*(1+bhxh_rate)</f>
        <v/>
      </c>
      <c r="AR15" s="12">
        <f>AR5*salary_mgmt*3*(1+salary_escalation)^5*(1+bhxh_rate)</f>
        <v/>
      </c>
    </row>
    <row r="16">
      <c r="A16" s="6" t="inlineStr">
        <is>
          <t>CP Phát triển</t>
        </is>
      </c>
      <c r="B16" s="14" t="inlineStr">
        <is>
          <t>Tr VND</t>
        </is>
      </c>
      <c r="C16" s="12">
        <f>C6*salary_dev*1*(1+salary_escalation)^0*(1+bhxh_rate)</f>
        <v/>
      </c>
      <c r="D16" s="12">
        <f>D6*salary_dev*1*(1+salary_escalation)^0*(1+bhxh_rate)</f>
        <v/>
      </c>
      <c r="E16" s="12">
        <f>E6*salary_dev*1*(1+salary_escalation)^0*(1+bhxh_rate)</f>
        <v/>
      </c>
      <c r="F16" s="12">
        <f>F6*salary_dev*1*(1+salary_escalation)^0*(1+bhxh_rate)</f>
        <v/>
      </c>
      <c r="G16" s="12">
        <f>G6*salary_dev*1*(1+salary_escalation)^0*(1+bhxh_rate)</f>
        <v/>
      </c>
      <c r="H16" s="12">
        <f>H6*salary_dev*1*(1+salary_escalation)^0*(1+bhxh_rate)</f>
        <v/>
      </c>
      <c r="I16" s="12">
        <f>I6*salary_dev*1*(1+salary_escalation)^1*(1+bhxh_rate)</f>
        <v/>
      </c>
      <c r="J16" s="12">
        <f>J6*salary_dev*1*(1+salary_escalation)^1*(1+bhxh_rate)</f>
        <v/>
      </c>
      <c r="K16" s="12">
        <f>K6*salary_dev*1*(1+salary_escalation)^1*(1+bhxh_rate)</f>
        <v/>
      </c>
      <c r="L16" s="12">
        <f>L6*salary_dev*1*(1+salary_escalation)^1*(1+bhxh_rate)</f>
        <v/>
      </c>
      <c r="M16" s="12">
        <f>M6*salary_dev*1*(1+salary_escalation)^1*(1+bhxh_rate)</f>
        <v/>
      </c>
      <c r="N16" s="12">
        <f>N6*salary_dev*1*(1+salary_escalation)^1*(1+bhxh_rate)</f>
        <v/>
      </c>
      <c r="O16" s="12">
        <f>O6*salary_dev*1*(1+salary_escalation)^1*(1+bhxh_rate)</f>
        <v/>
      </c>
      <c r="P16" s="12">
        <f>P6*salary_dev*1*(1+salary_escalation)^1*(1+bhxh_rate)</f>
        <v/>
      </c>
      <c r="Q16" s="12">
        <f>Q6*salary_dev*1*(1+salary_escalation)^1*(1+bhxh_rate)</f>
        <v/>
      </c>
      <c r="R16" s="12">
        <f>R6*salary_dev*1*(1+salary_escalation)^1*(1+bhxh_rate)</f>
        <v/>
      </c>
      <c r="S16" s="12">
        <f>S6*salary_dev*1*(1+salary_escalation)^1*(1+bhxh_rate)</f>
        <v/>
      </c>
      <c r="T16" s="12">
        <f>T6*salary_dev*1*(1+salary_escalation)^1*(1+bhxh_rate)</f>
        <v/>
      </c>
      <c r="U16" s="12">
        <f>U6*salary_dev*1*(1+salary_escalation)^2*(1+bhxh_rate)</f>
        <v/>
      </c>
      <c r="V16" s="12">
        <f>V6*salary_dev*1*(1+salary_escalation)^2*(1+bhxh_rate)</f>
        <v/>
      </c>
      <c r="W16" s="12">
        <f>W6*salary_dev*1*(1+salary_escalation)^2*(1+bhxh_rate)</f>
        <v/>
      </c>
      <c r="X16" s="12">
        <f>X6*salary_dev*1*(1+salary_escalation)^2*(1+bhxh_rate)</f>
        <v/>
      </c>
      <c r="Y16" s="12">
        <f>Y6*salary_dev*1*(1+salary_escalation)^2*(1+bhxh_rate)</f>
        <v/>
      </c>
      <c r="Z16" s="12">
        <f>Z6*salary_dev*1*(1+salary_escalation)^2*(1+bhxh_rate)</f>
        <v/>
      </c>
      <c r="AA16" s="12">
        <f>AA6*salary_dev*1*(1+salary_escalation)^2*(1+bhxh_rate)</f>
        <v/>
      </c>
      <c r="AB16" s="12">
        <f>AB6*salary_dev*1*(1+salary_escalation)^2*(1+bhxh_rate)</f>
        <v/>
      </c>
      <c r="AC16" s="12">
        <f>AC6*salary_dev*1*(1+salary_escalation)^2*(1+bhxh_rate)</f>
        <v/>
      </c>
      <c r="AD16" s="12">
        <f>AD6*salary_dev*1*(1+salary_escalation)^2*(1+bhxh_rate)</f>
        <v/>
      </c>
      <c r="AE16" s="12">
        <f>AE6*salary_dev*1*(1+salary_escalation)^2*(1+bhxh_rate)</f>
        <v/>
      </c>
      <c r="AF16" s="12">
        <f>AF6*salary_dev*1*(1+salary_escalation)^2*(1+bhxh_rate)</f>
        <v/>
      </c>
      <c r="AG16" s="12">
        <f>AG6*salary_dev*3*(1+salary_escalation)^3*(1+bhxh_rate)</f>
        <v/>
      </c>
      <c r="AH16" s="12">
        <f>AH6*salary_dev*3*(1+salary_escalation)^3*(1+bhxh_rate)</f>
        <v/>
      </c>
      <c r="AI16" s="12">
        <f>AI6*salary_dev*3*(1+salary_escalation)^3*(1+bhxh_rate)</f>
        <v/>
      </c>
      <c r="AJ16" s="12">
        <f>AJ6*salary_dev*3*(1+salary_escalation)^3*(1+bhxh_rate)</f>
        <v/>
      </c>
      <c r="AK16" s="12">
        <f>AK6*salary_dev*3*(1+salary_escalation)^4*(1+bhxh_rate)</f>
        <v/>
      </c>
      <c r="AL16" s="12">
        <f>AL6*salary_dev*3*(1+salary_escalation)^4*(1+bhxh_rate)</f>
        <v/>
      </c>
      <c r="AM16" s="12">
        <f>AM6*salary_dev*3*(1+salary_escalation)^4*(1+bhxh_rate)</f>
        <v/>
      </c>
      <c r="AN16" s="12">
        <f>AN6*salary_dev*3*(1+salary_escalation)^4*(1+bhxh_rate)</f>
        <v/>
      </c>
      <c r="AO16" s="12">
        <f>AO6*salary_dev*3*(1+salary_escalation)^5*(1+bhxh_rate)</f>
        <v/>
      </c>
      <c r="AP16" s="12">
        <f>AP6*salary_dev*3*(1+salary_escalation)^5*(1+bhxh_rate)</f>
        <v/>
      </c>
      <c r="AQ16" s="12">
        <f>AQ6*salary_dev*3*(1+salary_escalation)^5*(1+bhxh_rate)</f>
        <v/>
      </c>
      <c r="AR16" s="12">
        <f>AR6*salary_dev*3*(1+salary_escalation)^5*(1+bhxh_rate)</f>
        <v/>
      </c>
    </row>
    <row r="17">
      <c r="A17" s="6" t="inlineStr">
        <is>
          <t>CP Vận hành KD</t>
        </is>
      </c>
      <c r="B17" s="14" t="inlineStr">
        <is>
          <t>Tr VND</t>
        </is>
      </c>
      <c r="C17" s="12">
        <f>C7*salary_bizops*1*(1+salary_escalation)^0*(1+bhxh_rate)</f>
        <v/>
      </c>
      <c r="D17" s="12">
        <f>D7*salary_bizops*1*(1+salary_escalation)^0*(1+bhxh_rate)</f>
        <v/>
      </c>
      <c r="E17" s="12">
        <f>E7*salary_bizops*1*(1+salary_escalation)^0*(1+bhxh_rate)</f>
        <v/>
      </c>
      <c r="F17" s="12">
        <f>F7*salary_bizops*1*(1+salary_escalation)^0*(1+bhxh_rate)</f>
        <v/>
      </c>
      <c r="G17" s="12">
        <f>G7*salary_bizops*1*(1+salary_escalation)^0*(1+bhxh_rate)</f>
        <v/>
      </c>
      <c r="H17" s="12">
        <f>H7*salary_bizops*1*(1+salary_escalation)^0*(1+bhxh_rate)</f>
        <v/>
      </c>
      <c r="I17" s="12">
        <f>I7*salary_bizops*1*(1+salary_escalation)^1*(1+bhxh_rate)</f>
        <v/>
      </c>
      <c r="J17" s="12">
        <f>J7*salary_bizops*1*(1+salary_escalation)^1*(1+bhxh_rate)</f>
        <v/>
      </c>
      <c r="K17" s="12">
        <f>K7*salary_bizops*1*(1+salary_escalation)^1*(1+bhxh_rate)</f>
        <v/>
      </c>
      <c r="L17" s="12">
        <f>L7*salary_bizops*1*(1+salary_escalation)^1*(1+bhxh_rate)</f>
        <v/>
      </c>
      <c r="M17" s="12">
        <f>M7*salary_bizops*1*(1+salary_escalation)^1*(1+bhxh_rate)</f>
        <v/>
      </c>
      <c r="N17" s="12">
        <f>N7*salary_bizops*1*(1+salary_escalation)^1*(1+bhxh_rate)</f>
        <v/>
      </c>
      <c r="O17" s="12">
        <f>O7*salary_bizops*1*(1+salary_escalation)^1*(1+bhxh_rate)</f>
        <v/>
      </c>
      <c r="P17" s="12">
        <f>P7*salary_bizops*1*(1+salary_escalation)^1*(1+bhxh_rate)</f>
        <v/>
      </c>
      <c r="Q17" s="12">
        <f>Q7*salary_bizops*1*(1+salary_escalation)^1*(1+bhxh_rate)</f>
        <v/>
      </c>
      <c r="R17" s="12">
        <f>R7*salary_bizops*1*(1+salary_escalation)^1*(1+bhxh_rate)</f>
        <v/>
      </c>
      <c r="S17" s="12">
        <f>S7*salary_bizops*1*(1+salary_escalation)^1*(1+bhxh_rate)</f>
        <v/>
      </c>
      <c r="T17" s="12">
        <f>T7*salary_bizops*1*(1+salary_escalation)^1*(1+bhxh_rate)</f>
        <v/>
      </c>
      <c r="U17" s="12">
        <f>U7*salary_bizops*1*(1+salary_escalation)^2*(1+bhxh_rate)</f>
        <v/>
      </c>
      <c r="V17" s="12">
        <f>V7*salary_bizops*1*(1+salary_escalation)^2*(1+bhxh_rate)</f>
        <v/>
      </c>
      <c r="W17" s="12">
        <f>W7*salary_bizops*1*(1+salary_escalation)^2*(1+bhxh_rate)</f>
        <v/>
      </c>
      <c r="X17" s="12">
        <f>X7*salary_bizops*1*(1+salary_escalation)^2*(1+bhxh_rate)</f>
        <v/>
      </c>
      <c r="Y17" s="12">
        <f>Y7*salary_bizops*1*(1+salary_escalation)^2*(1+bhxh_rate)</f>
        <v/>
      </c>
      <c r="Z17" s="12">
        <f>Z7*salary_bizops*1*(1+salary_escalation)^2*(1+bhxh_rate)</f>
        <v/>
      </c>
      <c r="AA17" s="12">
        <f>AA7*salary_bizops*1*(1+salary_escalation)^2*(1+bhxh_rate)</f>
        <v/>
      </c>
      <c r="AB17" s="12">
        <f>AB7*salary_bizops*1*(1+salary_escalation)^2*(1+bhxh_rate)</f>
        <v/>
      </c>
      <c r="AC17" s="12">
        <f>AC7*salary_bizops*1*(1+salary_escalation)^2*(1+bhxh_rate)</f>
        <v/>
      </c>
      <c r="AD17" s="12">
        <f>AD7*salary_bizops*1*(1+salary_escalation)^2*(1+bhxh_rate)</f>
        <v/>
      </c>
      <c r="AE17" s="12">
        <f>AE7*salary_bizops*1*(1+salary_escalation)^2*(1+bhxh_rate)</f>
        <v/>
      </c>
      <c r="AF17" s="12">
        <f>AF7*salary_bizops*1*(1+salary_escalation)^2*(1+bhxh_rate)</f>
        <v/>
      </c>
      <c r="AG17" s="12">
        <f>AG7*salary_bizops*3*(1+salary_escalation)^3*(1+bhxh_rate)</f>
        <v/>
      </c>
      <c r="AH17" s="12">
        <f>AH7*salary_bizops*3*(1+salary_escalation)^3*(1+bhxh_rate)</f>
        <v/>
      </c>
      <c r="AI17" s="12">
        <f>AI7*salary_bizops*3*(1+salary_escalation)^3*(1+bhxh_rate)</f>
        <v/>
      </c>
      <c r="AJ17" s="12">
        <f>AJ7*salary_bizops*3*(1+salary_escalation)^3*(1+bhxh_rate)</f>
        <v/>
      </c>
      <c r="AK17" s="12">
        <f>AK7*salary_bizops*3*(1+salary_escalation)^4*(1+bhxh_rate)</f>
        <v/>
      </c>
      <c r="AL17" s="12">
        <f>AL7*salary_bizops*3*(1+salary_escalation)^4*(1+bhxh_rate)</f>
        <v/>
      </c>
      <c r="AM17" s="12">
        <f>AM7*salary_bizops*3*(1+salary_escalation)^4*(1+bhxh_rate)</f>
        <v/>
      </c>
      <c r="AN17" s="12">
        <f>AN7*salary_bizops*3*(1+salary_escalation)^4*(1+bhxh_rate)</f>
        <v/>
      </c>
      <c r="AO17" s="12">
        <f>AO7*salary_bizops*3*(1+salary_escalation)^5*(1+bhxh_rate)</f>
        <v/>
      </c>
      <c r="AP17" s="12">
        <f>AP7*salary_bizops*3*(1+salary_escalation)^5*(1+bhxh_rate)</f>
        <v/>
      </c>
      <c r="AQ17" s="12">
        <f>AQ7*salary_bizops*3*(1+salary_escalation)^5*(1+bhxh_rate)</f>
        <v/>
      </c>
      <c r="AR17" s="12">
        <f>AR7*salary_bizops*3*(1+salary_escalation)^5*(1+bhxh_rate)</f>
        <v/>
      </c>
    </row>
    <row r="18">
      <c r="A18" s="6" t="inlineStr">
        <is>
          <t>CP Dữ liệu &amp; Phân tích</t>
        </is>
      </c>
      <c r="B18" s="14" t="inlineStr">
        <is>
          <t>Tr VND</t>
        </is>
      </c>
      <c r="C18" s="12">
        <f>C8*salary_data*1*(1+salary_escalation)^0*(1+bhxh_rate)</f>
        <v/>
      </c>
      <c r="D18" s="12">
        <f>D8*salary_data*1*(1+salary_escalation)^0*(1+bhxh_rate)</f>
        <v/>
      </c>
      <c r="E18" s="12">
        <f>E8*salary_data*1*(1+salary_escalation)^0*(1+bhxh_rate)</f>
        <v/>
      </c>
      <c r="F18" s="12">
        <f>F8*salary_data*1*(1+salary_escalation)^0*(1+bhxh_rate)</f>
        <v/>
      </c>
      <c r="G18" s="12">
        <f>G8*salary_data*1*(1+salary_escalation)^0*(1+bhxh_rate)</f>
        <v/>
      </c>
      <c r="H18" s="12">
        <f>H8*salary_data*1*(1+salary_escalation)^0*(1+bhxh_rate)</f>
        <v/>
      </c>
      <c r="I18" s="12">
        <f>I8*salary_data*1*(1+salary_escalation)^1*(1+bhxh_rate)</f>
        <v/>
      </c>
      <c r="J18" s="12">
        <f>J8*salary_data*1*(1+salary_escalation)^1*(1+bhxh_rate)</f>
        <v/>
      </c>
      <c r="K18" s="12">
        <f>K8*salary_data*1*(1+salary_escalation)^1*(1+bhxh_rate)</f>
        <v/>
      </c>
      <c r="L18" s="12">
        <f>L8*salary_data*1*(1+salary_escalation)^1*(1+bhxh_rate)</f>
        <v/>
      </c>
      <c r="M18" s="12">
        <f>M8*salary_data*1*(1+salary_escalation)^1*(1+bhxh_rate)</f>
        <v/>
      </c>
      <c r="N18" s="12">
        <f>N8*salary_data*1*(1+salary_escalation)^1*(1+bhxh_rate)</f>
        <v/>
      </c>
      <c r="O18" s="12">
        <f>O8*salary_data*1*(1+salary_escalation)^1*(1+bhxh_rate)</f>
        <v/>
      </c>
      <c r="P18" s="12">
        <f>P8*salary_data*1*(1+salary_escalation)^1*(1+bhxh_rate)</f>
        <v/>
      </c>
      <c r="Q18" s="12">
        <f>Q8*salary_data*1*(1+salary_escalation)^1*(1+bhxh_rate)</f>
        <v/>
      </c>
      <c r="R18" s="12">
        <f>R8*salary_data*1*(1+salary_escalation)^1*(1+bhxh_rate)</f>
        <v/>
      </c>
      <c r="S18" s="12">
        <f>S8*salary_data*1*(1+salary_escalation)^1*(1+bhxh_rate)</f>
        <v/>
      </c>
      <c r="T18" s="12">
        <f>T8*salary_data*1*(1+salary_escalation)^1*(1+bhxh_rate)</f>
        <v/>
      </c>
      <c r="U18" s="12">
        <f>U8*salary_data*1*(1+salary_escalation)^2*(1+bhxh_rate)</f>
        <v/>
      </c>
      <c r="V18" s="12">
        <f>V8*salary_data*1*(1+salary_escalation)^2*(1+bhxh_rate)</f>
        <v/>
      </c>
      <c r="W18" s="12">
        <f>W8*salary_data*1*(1+salary_escalation)^2*(1+bhxh_rate)</f>
        <v/>
      </c>
      <c r="X18" s="12">
        <f>X8*salary_data*1*(1+salary_escalation)^2*(1+bhxh_rate)</f>
        <v/>
      </c>
      <c r="Y18" s="12">
        <f>Y8*salary_data*1*(1+salary_escalation)^2*(1+bhxh_rate)</f>
        <v/>
      </c>
      <c r="Z18" s="12">
        <f>Z8*salary_data*1*(1+salary_escalation)^2*(1+bhxh_rate)</f>
        <v/>
      </c>
      <c r="AA18" s="12">
        <f>AA8*salary_data*1*(1+salary_escalation)^2*(1+bhxh_rate)</f>
        <v/>
      </c>
      <c r="AB18" s="12">
        <f>AB8*salary_data*1*(1+salary_escalation)^2*(1+bhxh_rate)</f>
        <v/>
      </c>
      <c r="AC18" s="12">
        <f>AC8*salary_data*1*(1+salary_escalation)^2*(1+bhxh_rate)</f>
        <v/>
      </c>
      <c r="AD18" s="12">
        <f>AD8*salary_data*1*(1+salary_escalation)^2*(1+bhxh_rate)</f>
        <v/>
      </c>
      <c r="AE18" s="12">
        <f>AE8*salary_data*1*(1+salary_escalation)^2*(1+bhxh_rate)</f>
        <v/>
      </c>
      <c r="AF18" s="12">
        <f>AF8*salary_data*1*(1+salary_escalation)^2*(1+bhxh_rate)</f>
        <v/>
      </c>
      <c r="AG18" s="12">
        <f>AG8*salary_data*3*(1+salary_escalation)^3*(1+bhxh_rate)</f>
        <v/>
      </c>
      <c r="AH18" s="12">
        <f>AH8*salary_data*3*(1+salary_escalation)^3*(1+bhxh_rate)</f>
        <v/>
      </c>
      <c r="AI18" s="12">
        <f>AI8*salary_data*3*(1+salary_escalation)^3*(1+bhxh_rate)</f>
        <v/>
      </c>
      <c r="AJ18" s="12">
        <f>AJ8*salary_data*3*(1+salary_escalation)^3*(1+bhxh_rate)</f>
        <v/>
      </c>
      <c r="AK18" s="12">
        <f>AK8*salary_data*3*(1+salary_escalation)^4*(1+bhxh_rate)</f>
        <v/>
      </c>
      <c r="AL18" s="12">
        <f>AL8*salary_data*3*(1+salary_escalation)^4*(1+bhxh_rate)</f>
        <v/>
      </c>
      <c r="AM18" s="12">
        <f>AM8*salary_data*3*(1+salary_escalation)^4*(1+bhxh_rate)</f>
        <v/>
      </c>
      <c r="AN18" s="12">
        <f>AN8*salary_data*3*(1+salary_escalation)^4*(1+bhxh_rate)</f>
        <v/>
      </c>
      <c r="AO18" s="12">
        <f>AO8*salary_data*3*(1+salary_escalation)^5*(1+bhxh_rate)</f>
        <v/>
      </c>
      <c r="AP18" s="12">
        <f>AP8*salary_data*3*(1+salary_escalation)^5*(1+bhxh_rate)</f>
        <v/>
      </c>
      <c r="AQ18" s="12">
        <f>AQ8*salary_data*3*(1+salary_escalation)^5*(1+bhxh_rate)</f>
        <v/>
      </c>
      <c r="AR18" s="12">
        <f>AR8*salary_data*3*(1+salary_escalation)^5*(1+bhxh_rate)</f>
        <v/>
      </c>
    </row>
    <row r="19">
      <c r="A19" s="6" t="inlineStr">
        <is>
          <t>TỔNG LƯƠNG</t>
        </is>
      </c>
      <c r="B19" s="15" t="inlineStr">
        <is>
          <t>Tr VND</t>
        </is>
      </c>
      <c r="C19" s="11">
        <f>C15+C16+C17+C18</f>
        <v/>
      </c>
      <c r="D19" s="11">
        <f>D15+D16+D17+D18</f>
        <v/>
      </c>
      <c r="E19" s="11">
        <f>E15+E16+E17+E18</f>
        <v/>
      </c>
      <c r="F19" s="11">
        <f>F15+F16+F17+F18</f>
        <v/>
      </c>
      <c r="G19" s="11">
        <f>G15+G16+G17+G18</f>
        <v/>
      </c>
      <c r="H19" s="11">
        <f>H15+H16+H17+H18</f>
        <v/>
      </c>
      <c r="I19" s="11">
        <f>I15+I16+I17+I18</f>
        <v/>
      </c>
      <c r="J19" s="11">
        <f>J15+J16+J17+J18</f>
        <v/>
      </c>
      <c r="K19" s="11">
        <f>K15+K16+K17+K18</f>
        <v/>
      </c>
      <c r="L19" s="11">
        <f>L15+L16+L17+L18</f>
        <v/>
      </c>
      <c r="M19" s="11">
        <f>M15+M16+M17+M18</f>
        <v/>
      </c>
      <c r="N19" s="11">
        <f>N15+N16+N17+N18</f>
        <v/>
      </c>
      <c r="O19" s="11">
        <f>O15+O16+O17+O18</f>
        <v/>
      </c>
      <c r="P19" s="11">
        <f>P15+P16+P17+P18</f>
        <v/>
      </c>
      <c r="Q19" s="11">
        <f>Q15+Q16+Q17+Q18</f>
        <v/>
      </c>
      <c r="R19" s="11">
        <f>R15+R16+R17+R18</f>
        <v/>
      </c>
      <c r="S19" s="11">
        <f>S15+S16+S17+S18</f>
        <v/>
      </c>
      <c r="T19" s="11">
        <f>T15+T16+T17+T18</f>
        <v/>
      </c>
      <c r="U19" s="11">
        <f>U15+U16+U17+U18</f>
        <v/>
      </c>
      <c r="V19" s="11">
        <f>V15+V16+V17+V18</f>
        <v/>
      </c>
      <c r="W19" s="11">
        <f>W15+W16+W17+W18</f>
        <v/>
      </c>
      <c r="X19" s="11">
        <f>X15+X16+X17+X18</f>
        <v/>
      </c>
      <c r="Y19" s="11">
        <f>Y15+Y16+Y17+Y18</f>
        <v/>
      </c>
      <c r="Z19" s="11">
        <f>Z15+Z16+Z17+Z18</f>
        <v/>
      </c>
      <c r="AA19" s="11">
        <f>AA15+AA16+AA17+AA18</f>
        <v/>
      </c>
      <c r="AB19" s="11">
        <f>AB15+AB16+AB17+AB18</f>
        <v/>
      </c>
      <c r="AC19" s="11">
        <f>AC15+AC16+AC17+AC18</f>
        <v/>
      </c>
      <c r="AD19" s="11">
        <f>AD15+AD16+AD17+AD18</f>
        <v/>
      </c>
      <c r="AE19" s="11">
        <f>AE15+AE16+AE17+AE18</f>
        <v/>
      </c>
      <c r="AF19" s="11">
        <f>AF15+AF16+AF17+AF18</f>
        <v/>
      </c>
      <c r="AG19" s="11">
        <f>AG15+AG16+AG17+AG18</f>
        <v/>
      </c>
      <c r="AH19" s="11">
        <f>AH15+AH16+AH17+AH18</f>
        <v/>
      </c>
      <c r="AI19" s="11">
        <f>AI15+AI16+AI17+AI18</f>
        <v/>
      </c>
      <c r="AJ19" s="11">
        <f>AJ15+AJ16+AJ17+AJ18</f>
        <v/>
      </c>
      <c r="AK19" s="11">
        <f>AK15+AK16+AK17+AK18</f>
        <v/>
      </c>
      <c r="AL19" s="11">
        <f>AL15+AL16+AL17+AL18</f>
        <v/>
      </c>
      <c r="AM19" s="11">
        <f>AM15+AM16+AM17+AM18</f>
        <v/>
      </c>
      <c r="AN19" s="11">
        <f>AN15+AN16+AN17+AN18</f>
        <v/>
      </c>
      <c r="AO19" s="11">
        <f>AO15+AO16+AO17+AO18</f>
        <v/>
      </c>
      <c r="AP19" s="11">
        <f>AP15+AP16+AP17+AP18</f>
        <v/>
      </c>
      <c r="AQ19" s="11">
        <f>AQ15+AQ16+AQ17+AQ18</f>
        <v/>
      </c>
      <c r="AR19" s="11">
        <f>AR15+AR16+AR17+AR18</f>
        <v/>
      </c>
    </row>
    <row r="20">
      <c r="A20" s="6" t="inlineStr">
        <is>
          <t>Tuyển dụng</t>
        </is>
      </c>
      <c r="B20" s="14" t="inlineStr">
        <is>
          <t>Tr VND</t>
        </is>
      </c>
      <c r="C20" s="12">
        <f>C12*30*12*recruit_cost_pct</f>
        <v/>
      </c>
      <c r="D20" s="12">
        <f>D12*30*12*recruit_cost_pct</f>
        <v/>
      </c>
      <c r="E20" s="12">
        <f>E12*30*12*recruit_cost_pct</f>
        <v/>
      </c>
      <c r="F20" s="12">
        <f>F12*30*12*recruit_cost_pct</f>
        <v/>
      </c>
      <c r="G20" s="12">
        <f>G12*30*12*recruit_cost_pct</f>
        <v/>
      </c>
      <c r="H20" s="12">
        <f>H12*30*12*recruit_cost_pct</f>
        <v/>
      </c>
      <c r="I20" s="12">
        <f>I12*30*12*recruit_cost_pct</f>
        <v/>
      </c>
      <c r="J20" s="12">
        <f>J12*30*12*recruit_cost_pct</f>
        <v/>
      </c>
      <c r="K20" s="12">
        <f>K12*30*12*recruit_cost_pct</f>
        <v/>
      </c>
      <c r="L20" s="12">
        <f>L12*30*12*recruit_cost_pct</f>
        <v/>
      </c>
      <c r="M20" s="12">
        <f>M12*30*12*recruit_cost_pct</f>
        <v/>
      </c>
      <c r="N20" s="12">
        <f>N12*30*12*recruit_cost_pct</f>
        <v/>
      </c>
      <c r="O20" s="12">
        <f>O12*30*12*recruit_cost_pct</f>
        <v/>
      </c>
      <c r="P20" s="12">
        <f>P12*30*12*recruit_cost_pct</f>
        <v/>
      </c>
      <c r="Q20" s="12">
        <f>Q12*30*12*recruit_cost_pct</f>
        <v/>
      </c>
      <c r="R20" s="12">
        <f>R12*30*12*recruit_cost_pct</f>
        <v/>
      </c>
      <c r="S20" s="12">
        <f>S12*30*12*recruit_cost_pct</f>
        <v/>
      </c>
      <c r="T20" s="12">
        <f>T12*30*12*recruit_cost_pct</f>
        <v/>
      </c>
      <c r="U20" s="12">
        <f>U12*30*12*recruit_cost_pct</f>
        <v/>
      </c>
      <c r="V20" s="12">
        <f>V12*30*12*recruit_cost_pct</f>
        <v/>
      </c>
      <c r="W20" s="12">
        <f>W12*30*12*recruit_cost_pct</f>
        <v/>
      </c>
      <c r="X20" s="12">
        <f>X12*30*12*recruit_cost_pct</f>
        <v/>
      </c>
      <c r="Y20" s="12">
        <f>Y12*30*12*recruit_cost_pct</f>
        <v/>
      </c>
      <c r="Z20" s="12">
        <f>Z12*30*12*recruit_cost_pct</f>
        <v/>
      </c>
      <c r="AA20" s="12">
        <f>AA12*30*12*recruit_cost_pct</f>
        <v/>
      </c>
      <c r="AB20" s="12">
        <f>AB12*30*12*recruit_cost_pct</f>
        <v/>
      </c>
      <c r="AC20" s="12">
        <f>AC12*30*12*recruit_cost_pct</f>
        <v/>
      </c>
      <c r="AD20" s="12">
        <f>AD12*30*12*recruit_cost_pct</f>
        <v/>
      </c>
      <c r="AE20" s="12">
        <f>AE12*30*12*recruit_cost_pct</f>
        <v/>
      </c>
      <c r="AF20" s="12">
        <f>AF12*30*12*recruit_cost_pct</f>
        <v/>
      </c>
      <c r="AG20" s="12">
        <f>AG12*30*12*recruit_cost_pct</f>
        <v/>
      </c>
      <c r="AH20" s="12">
        <f>AH12*30*12*recruit_cost_pct</f>
        <v/>
      </c>
      <c r="AI20" s="12">
        <f>AI12*30*12*recruit_cost_pct</f>
        <v/>
      </c>
      <c r="AJ20" s="12">
        <f>AJ12*30*12*recruit_cost_pct</f>
        <v/>
      </c>
      <c r="AK20" s="12">
        <f>AK12*30*12*recruit_cost_pct</f>
        <v/>
      </c>
      <c r="AL20" s="12">
        <f>AL12*30*12*recruit_cost_pct</f>
        <v/>
      </c>
      <c r="AM20" s="12">
        <f>AM12*30*12*recruit_cost_pct</f>
        <v/>
      </c>
      <c r="AN20" s="12">
        <f>AN12*30*12*recruit_cost_pct</f>
        <v/>
      </c>
      <c r="AO20" s="12">
        <f>AO12*30*12*recruit_cost_pct</f>
        <v/>
      </c>
      <c r="AP20" s="12">
        <f>AP12*30*12*recruit_cost_pct</f>
        <v/>
      </c>
      <c r="AQ20" s="12">
        <f>AQ12*30*12*recruit_cost_pct</f>
        <v/>
      </c>
      <c r="AR20" s="12">
        <f>AR12*30*12*recruit_cost_pct</f>
        <v/>
      </c>
    </row>
    <row r="21">
      <c r="A21" s="6" t="inlineStr">
        <is>
          <t>TỔNG CHI PHÍ NHÂN SỰ</t>
        </is>
      </c>
      <c r="B21" s="15" t="inlineStr">
        <is>
          <t>Tr VND</t>
        </is>
      </c>
      <c r="C21" s="11">
        <f>C19+C20</f>
        <v/>
      </c>
      <c r="D21" s="11">
        <f>D19+D20</f>
        <v/>
      </c>
      <c r="E21" s="11">
        <f>E19+E20</f>
        <v/>
      </c>
      <c r="F21" s="11">
        <f>F19+F20</f>
        <v/>
      </c>
      <c r="G21" s="11">
        <f>G19+G20</f>
        <v/>
      </c>
      <c r="H21" s="11">
        <f>H19+H20</f>
        <v/>
      </c>
      <c r="I21" s="11">
        <f>I19+I20</f>
        <v/>
      </c>
      <c r="J21" s="11">
        <f>J19+J20</f>
        <v/>
      </c>
      <c r="K21" s="11">
        <f>K19+K20</f>
        <v/>
      </c>
      <c r="L21" s="11">
        <f>L19+L20</f>
        <v/>
      </c>
      <c r="M21" s="11">
        <f>M19+M20</f>
        <v/>
      </c>
      <c r="N21" s="11">
        <f>N19+N20</f>
        <v/>
      </c>
      <c r="O21" s="11">
        <f>O19+O20</f>
        <v/>
      </c>
      <c r="P21" s="11">
        <f>P19+P20</f>
        <v/>
      </c>
      <c r="Q21" s="11">
        <f>Q19+Q20</f>
        <v/>
      </c>
      <c r="R21" s="11">
        <f>R19+R20</f>
        <v/>
      </c>
      <c r="S21" s="11">
        <f>S19+S20</f>
        <v/>
      </c>
      <c r="T21" s="11">
        <f>T19+T20</f>
        <v/>
      </c>
      <c r="U21" s="11">
        <f>U19+U20</f>
        <v/>
      </c>
      <c r="V21" s="11">
        <f>V19+V20</f>
        <v/>
      </c>
      <c r="W21" s="11">
        <f>W19+W20</f>
        <v/>
      </c>
      <c r="X21" s="11">
        <f>X19+X20</f>
        <v/>
      </c>
      <c r="Y21" s="11">
        <f>Y19+Y20</f>
        <v/>
      </c>
      <c r="Z21" s="11">
        <f>Z19+Z20</f>
        <v/>
      </c>
      <c r="AA21" s="11">
        <f>AA19+AA20</f>
        <v/>
      </c>
      <c r="AB21" s="11">
        <f>AB19+AB20</f>
        <v/>
      </c>
      <c r="AC21" s="11">
        <f>AC19+AC20</f>
        <v/>
      </c>
      <c r="AD21" s="11">
        <f>AD19+AD20</f>
        <v/>
      </c>
      <c r="AE21" s="11">
        <f>AE19+AE20</f>
        <v/>
      </c>
      <c r="AF21" s="11">
        <f>AF19+AF20</f>
        <v/>
      </c>
      <c r="AG21" s="11">
        <f>AG19+AG20</f>
        <v/>
      </c>
      <c r="AH21" s="11">
        <f>AH19+AH20</f>
        <v/>
      </c>
      <c r="AI21" s="11">
        <f>AI19+AI20</f>
        <v/>
      </c>
      <c r="AJ21" s="11">
        <f>AJ19+AJ20</f>
        <v/>
      </c>
      <c r="AK21" s="11">
        <f>AK19+AK20</f>
        <v/>
      </c>
      <c r="AL21" s="11">
        <f>AL19+AL20</f>
        <v/>
      </c>
      <c r="AM21" s="11">
        <f>AM19+AM20</f>
        <v/>
      </c>
      <c r="AN21" s="11">
        <f>AN19+AN20</f>
        <v/>
      </c>
      <c r="AO21" s="11">
        <f>AO19+AO20</f>
        <v/>
      </c>
      <c r="AP21" s="11">
        <f>AP19+AP20</f>
        <v/>
      </c>
      <c r="AQ21" s="11">
        <f>AQ19+AQ20</f>
        <v/>
      </c>
      <c r="AR21" s="11">
        <f>AR19+AR20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AR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3" t="inlineStr">
        <is>
          <t>QUY MÔ THỊ TRƯỜNG &amp; TĂNG TRƯỞNG</t>
        </is>
      </c>
    </row>
    <row r="3">
      <c r="A3" s="6" t="inlineStr">
        <is>
          <t>Chỉ số kỳ</t>
        </is>
      </c>
      <c r="B3" s="14" t="inlineStr">
        <is>
          <t>idx</t>
        </is>
      </c>
      <c r="C3" s="12" t="n">
        <v>0</v>
      </c>
      <c r="D3" s="12" t="n">
        <v>1</v>
      </c>
      <c r="E3" s="12" t="n">
        <v>2</v>
      </c>
      <c r="F3" s="12" t="n">
        <v>3</v>
      </c>
      <c r="G3" s="12" t="n">
        <v>4</v>
      </c>
      <c r="H3" s="12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2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2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2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n">
        <v>32</v>
      </c>
      <c r="AJ3" s="12" t="n">
        <v>33</v>
      </c>
      <c r="AK3" s="12" t="n">
        <v>34</v>
      </c>
      <c r="AL3" s="12" t="n">
        <v>35</v>
      </c>
      <c r="AM3" s="12" t="n">
        <v>36</v>
      </c>
      <c r="AN3" s="12" t="n">
        <v>37</v>
      </c>
      <c r="AO3" s="12" t="n">
        <v>38</v>
      </c>
      <c r="AP3" s="12" t="n">
        <v>39</v>
      </c>
      <c r="AQ3" s="12" t="n">
        <v>40</v>
      </c>
      <c r="AR3" s="12" t="n">
        <v>41</v>
      </c>
    </row>
    <row r="4">
      <c r="A4" s="6" t="inlineStr">
        <is>
          <t>Năm phân số</t>
        </is>
      </c>
      <c r="B4" s="14" t="inlineStr">
        <is>
          <t>năm</t>
        </is>
      </c>
      <c r="C4" s="16">
        <f>base_year+(start_month-1+C3)/12</f>
        <v/>
      </c>
      <c r="D4" s="16">
        <f>base_year+(start_month-1+D3)/12</f>
        <v/>
      </c>
      <c r="E4" s="16">
        <f>base_year+(start_month-1+E3)/12</f>
        <v/>
      </c>
      <c r="F4" s="16">
        <f>base_year+(start_month-1+F3)/12</f>
        <v/>
      </c>
      <c r="G4" s="16">
        <f>base_year+(start_month-1+G3)/12</f>
        <v/>
      </c>
      <c r="H4" s="16">
        <f>base_year+(start_month-1+H3)/12</f>
        <v/>
      </c>
      <c r="I4" s="16">
        <f>base_year+(start_month-1+I3)/12</f>
        <v/>
      </c>
      <c r="J4" s="16">
        <f>base_year+(start_month-1+J3)/12</f>
        <v/>
      </c>
      <c r="K4" s="16">
        <f>base_year+(start_month-1+K3)/12</f>
        <v/>
      </c>
      <c r="L4" s="16">
        <f>base_year+(start_month-1+L3)/12</f>
        <v/>
      </c>
      <c r="M4" s="16">
        <f>base_year+(start_month-1+M3)/12</f>
        <v/>
      </c>
      <c r="N4" s="16">
        <f>base_year+(start_month-1+N3)/12</f>
        <v/>
      </c>
      <c r="O4" s="16">
        <f>base_year+(start_month-1+O3)/12</f>
        <v/>
      </c>
      <c r="P4" s="16">
        <f>base_year+(start_month-1+P3)/12</f>
        <v/>
      </c>
      <c r="Q4" s="16">
        <f>base_year+(start_month-1+Q3)/12</f>
        <v/>
      </c>
      <c r="R4" s="16">
        <f>base_year+(start_month-1+R3)/12</f>
        <v/>
      </c>
      <c r="S4" s="16">
        <f>base_year+(start_month-1+S3)/12</f>
        <v/>
      </c>
      <c r="T4" s="16">
        <f>base_year+(start_month-1+T3)/12</f>
        <v/>
      </c>
      <c r="U4" s="16">
        <f>base_year+(start_month-1+U3)/12</f>
        <v/>
      </c>
      <c r="V4" s="16">
        <f>base_year+(start_month-1+V3)/12</f>
        <v/>
      </c>
      <c r="W4" s="16">
        <f>base_year+(start_month-1+W3)/12</f>
        <v/>
      </c>
      <c r="X4" s="16">
        <f>base_year+(start_month-1+X3)/12</f>
        <v/>
      </c>
      <c r="Y4" s="16">
        <f>base_year+(start_month-1+Y3)/12</f>
        <v/>
      </c>
      <c r="Z4" s="16">
        <f>base_year+(start_month-1+Z3)/12</f>
        <v/>
      </c>
      <c r="AA4" s="16">
        <f>base_year+(start_month-1+AA3)/12</f>
        <v/>
      </c>
      <c r="AB4" s="16">
        <f>base_year+(start_month-1+AB3)/12</f>
        <v/>
      </c>
      <c r="AC4" s="16">
        <f>base_year+(start_month-1+AC3)/12</f>
        <v/>
      </c>
      <c r="AD4" s="16">
        <f>base_year+(start_month-1+AD3)/12</f>
        <v/>
      </c>
      <c r="AE4" s="16">
        <f>base_year+(start_month-1+AE3)/12</f>
        <v/>
      </c>
      <c r="AF4" s="16">
        <f>base_year+(start_month-1+AF3)/12</f>
        <v/>
      </c>
      <c r="AG4" s="16">
        <f>2028+(1-0.5)/12</f>
        <v/>
      </c>
      <c r="AH4" s="16">
        <f>2028+(4-0.5)/12</f>
        <v/>
      </c>
      <c r="AI4" s="16">
        <f>2028+(7-0.5)/12</f>
        <v/>
      </c>
      <c r="AJ4" s="16">
        <f>2028+(10-0.5)/12</f>
        <v/>
      </c>
      <c r="AK4" s="16">
        <f>2028+(13-0.5)/12</f>
        <v/>
      </c>
      <c r="AL4" s="16">
        <f>2028+(16-0.5)/12</f>
        <v/>
      </c>
      <c r="AM4" s="16">
        <f>2028+(19-0.5)/12</f>
        <v/>
      </c>
      <c r="AN4" s="16">
        <f>2028+(22-0.5)/12</f>
        <v/>
      </c>
      <c r="AO4" s="16">
        <f>2028+(25-0.5)/12</f>
        <v/>
      </c>
      <c r="AP4" s="16">
        <f>2028+(28-0.5)/12</f>
        <v/>
      </c>
      <c r="AQ4" s="16">
        <f>2028+(31-0.5)/12</f>
        <v/>
      </c>
      <c r="AR4" s="16">
        <f>2028+(34-0.5)/12</f>
        <v/>
      </c>
    </row>
    <row r="5">
      <c r="A5" s="6" t="inlineStr">
        <is>
          <t>Năm từ gốc</t>
        </is>
      </c>
      <c r="B5" s="14" t="inlineStr">
        <is>
          <t>năm</t>
        </is>
      </c>
      <c r="C5" s="12">
        <f>FLOOR(C4-base_year,1)</f>
        <v/>
      </c>
      <c r="D5" s="12">
        <f>FLOOR(D4-base_year,1)</f>
        <v/>
      </c>
      <c r="E5" s="12">
        <f>FLOOR(E4-base_year,1)</f>
        <v/>
      </c>
      <c r="F5" s="12">
        <f>FLOOR(F4-base_year,1)</f>
        <v/>
      </c>
      <c r="G5" s="12">
        <f>FLOOR(G4-base_year,1)</f>
        <v/>
      </c>
      <c r="H5" s="12">
        <f>FLOOR(H4-base_year,1)</f>
        <v/>
      </c>
      <c r="I5" s="12">
        <f>FLOOR(I4-base_year,1)</f>
        <v/>
      </c>
      <c r="J5" s="12">
        <f>FLOOR(J4-base_year,1)</f>
        <v/>
      </c>
      <c r="K5" s="12">
        <f>FLOOR(K4-base_year,1)</f>
        <v/>
      </c>
      <c r="L5" s="12">
        <f>FLOOR(L4-base_year,1)</f>
        <v/>
      </c>
      <c r="M5" s="12">
        <f>FLOOR(M4-base_year,1)</f>
        <v/>
      </c>
      <c r="N5" s="12">
        <f>FLOOR(N4-base_year,1)</f>
        <v/>
      </c>
      <c r="O5" s="12">
        <f>FLOOR(O4-base_year,1)</f>
        <v/>
      </c>
      <c r="P5" s="12">
        <f>FLOOR(P4-base_year,1)</f>
        <v/>
      </c>
      <c r="Q5" s="12">
        <f>FLOOR(Q4-base_year,1)</f>
        <v/>
      </c>
      <c r="R5" s="12">
        <f>FLOOR(R4-base_year,1)</f>
        <v/>
      </c>
      <c r="S5" s="12">
        <f>FLOOR(S4-base_year,1)</f>
        <v/>
      </c>
      <c r="T5" s="12">
        <f>FLOOR(T4-base_year,1)</f>
        <v/>
      </c>
      <c r="U5" s="12">
        <f>FLOOR(U4-base_year,1)</f>
        <v/>
      </c>
      <c r="V5" s="12">
        <f>FLOOR(V4-base_year,1)</f>
        <v/>
      </c>
      <c r="W5" s="12">
        <f>FLOOR(W4-base_year,1)</f>
        <v/>
      </c>
      <c r="X5" s="12">
        <f>FLOOR(X4-base_year,1)</f>
        <v/>
      </c>
      <c r="Y5" s="12">
        <f>FLOOR(Y4-base_year,1)</f>
        <v/>
      </c>
      <c r="Z5" s="12">
        <f>FLOOR(Z4-base_year,1)</f>
        <v/>
      </c>
      <c r="AA5" s="12">
        <f>FLOOR(AA4-base_year,1)</f>
        <v/>
      </c>
      <c r="AB5" s="12">
        <f>FLOOR(AB4-base_year,1)</f>
        <v/>
      </c>
      <c r="AC5" s="12">
        <f>FLOOR(AC4-base_year,1)</f>
        <v/>
      </c>
      <c r="AD5" s="12">
        <f>FLOOR(AD4-base_year,1)</f>
        <v/>
      </c>
      <c r="AE5" s="12">
        <f>FLOOR(AE4-base_year,1)</f>
        <v/>
      </c>
      <c r="AF5" s="12">
        <f>FLOOR(AF4-base_year,1)</f>
        <v/>
      </c>
      <c r="AG5" s="12">
        <f>FLOOR(AG4-base_year,1)</f>
        <v/>
      </c>
      <c r="AH5" s="12">
        <f>FLOOR(AH4-base_year,1)</f>
        <v/>
      </c>
      <c r="AI5" s="12">
        <f>FLOOR(AI4-base_year,1)</f>
        <v/>
      </c>
      <c r="AJ5" s="12">
        <f>FLOOR(AJ4-base_year,1)</f>
        <v/>
      </c>
      <c r="AK5" s="12">
        <f>FLOOR(AK4-base_year,1)</f>
        <v/>
      </c>
      <c r="AL5" s="12">
        <f>FLOOR(AL4-base_year,1)</f>
        <v/>
      </c>
      <c r="AM5" s="12">
        <f>FLOOR(AM4-base_year,1)</f>
        <v/>
      </c>
      <c r="AN5" s="12">
        <f>FLOOR(AN4-base_year,1)</f>
        <v/>
      </c>
      <c r="AO5" s="12">
        <f>FLOOR(AO4-base_year,1)</f>
        <v/>
      </c>
      <c r="AP5" s="12">
        <f>FLOOR(AP4-base_year,1)</f>
        <v/>
      </c>
      <c r="AQ5" s="12">
        <f>FLOOR(AQ4-base_year,1)</f>
        <v/>
      </c>
      <c r="AR5" s="12">
        <f>FLOOR(AR4-base_year,1)</f>
        <v/>
      </c>
    </row>
    <row r="6">
      <c r="A6" s="6" t="inlineStr">
        <is>
          <t>Ước số kỳ</t>
        </is>
      </c>
      <c r="B6" s="14" t="inlineStr">
        <is>
          <t>chia</t>
        </is>
      </c>
      <c r="C6" s="12" t="n">
        <v>12</v>
      </c>
      <c r="D6" s="12" t="n">
        <v>12</v>
      </c>
      <c r="E6" s="12" t="n">
        <v>12</v>
      </c>
      <c r="F6" s="12" t="n">
        <v>12</v>
      </c>
      <c r="G6" s="12" t="n">
        <v>12</v>
      </c>
      <c r="H6" s="12" t="n">
        <v>12</v>
      </c>
      <c r="I6" s="12" t="n">
        <v>12</v>
      </c>
      <c r="J6" s="12" t="n">
        <v>12</v>
      </c>
      <c r="K6" s="12" t="n">
        <v>12</v>
      </c>
      <c r="L6" s="12" t="n">
        <v>12</v>
      </c>
      <c r="M6" s="12" t="n">
        <v>12</v>
      </c>
      <c r="N6" s="12" t="n">
        <v>12</v>
      </c>
      <c r="O6" s="12" t="n">
        <v>12</v>
      </c>
      <c r="P6" s="12" t="n">
        <v>12</v>
      </c>
      <c r="Q6" s="12" t="n">
        <v>12</v>
      </c>
      <c r="R6" s="12" t="n">
        <v>12</v>
      </c>
      <c r="S6" s="12" t="n">
        <v>12</v>
      </c>
      <c r="T6" s="12" t="n">
        <v>12</v>
      </c>
      <c r="U6" s="12" t="n">
        <v>12</v>
      </c>
      <c r="V6" s="12" t="n">
        <v>12</v>
      </c>
      <c r="W6" s="12" t="n">
        <v>12</v>
      </c>
      <c r="X6" s="12" t="n">
        <v>12</v>
      </c>
      <c r="Y6" s="12" t="n">
        <v>12</v>
      </c>
      <c r="Z6" s="12" t="n">
        <v>12</v>
      </c>
      <c r="AA6" s="12" t="n">
        <v>12</v>
      </c>
      <c r="AB6" s="12" t="n">
        <v>12</v>
      </c>
      <c r="AC6" s="12" t="n">
        <v>12</v>
      </c>
      <c r="AD6" s="12" t="n">
        <v>12</v>
      </c>
      <c r="AE6" s="12" t="n">
        <v>12</v>
      </c>
      <c r="AF6" s="12" t="n">
        <v>12</v>
      </c>
      <c r="AG6" s="12" t="n">
        <v>4</v>
      </c>
      <c r="AH6" s="12" t="n">
        <v>4</v>
      </c>
      <c r="AI6" s="12" t="n">
        <v>4</v>
      </c>
      <c r="AJ6" s="12" t="n">
        <v>4</v>
      </c>
      <c r="AK6" s="12" t="n">
        <v>4</v>
      </c>
      <c r="AL6" s="12" t="n">
        <v>4</v>
      </c>
      <c r="AM6" s="12" t="n">
        <v>4</v>
      </c>
      <c r="AN6" s="12" t="n">
        <v>4</v>
      </c>
      <c r="AO6" s="12" t="n">
        <v>4</v>
      </c>
      <c r="AP6" s="12" t="n">
        <v>4</v>
      </c>
      <c r="AQ6" s="12" t="n">
        <v>4</v>
      </c>
      <c r="AR6" s="12" t="n">
        <v>4</v>
      </c>
    </row>
    <row r="7">
      <c r="A7" s="6" t="inlineStr">
        <is>
          <t>Số tháng/kỳ</t>
        </is>
      </c>
      <c r="B7" s="14" t="inlineStr">
        <is>
          <t>tháng</t>
        </is>
      </c>
      <c r="C7" s="12" t="n">
        <v>1</v>
      </c>
      <c r="D7" s="12" t="n">
        <v>1</v>
      </c>
      <c r="E7" s="12" t="n">
        <v>1</v>
      </c>
      <c r="F7" s="12" t="n">
        <v>1</v>
      </c>
      <c r="G7" s="12" t="n">
        <v>1</v>
      </c>
      <c r="H7" s="12" t="n">
        <v>1</v>
      </c>
      <c r="I7" s="12" t="n">
        <v>1</v>
      </c>
      <c r="J7" s="12" t="n">
        <v>1</v>
      </c>
      <c r="K7" s="12" t="n">
        <v>1</v>
      </c>
      <c r="L7" s="12" t="n">
        <v>1</v>
      </c>
      <c r="M7" s="12" t="n">
        <v>1</v>
      </c>
      <c r="N7" s="12" t="n">
        <v>1</v>
      </c>
      <c r="O7" s="12" t="n">
        <v>1</v>
      </c>
      <c r="P7" s="12" t="n">
        <v>1</v>
      </c>
      <c r="Q7" s="12" t="n">
        <v>1</v>
      </c>
      <c r="R7" s="12" t="n">
        <v>1</v>
      </c>
      <c r="S7" s="12" t="n">
        <v>1</v>
      </c>
      <c r="T7" s="12" t="n">
        <v>1</v>
      </c>
      <c r="U7" s="12" t="n">
        <v>1</v>
      </c>
      <c r="V7" s="12" t="n">
        <v>1</v>
      </c>
      <c r="W7" s="12" t="n">
        <v>1</v>
      </c>
      <c r="X7" s="12" t="n">
        <v>1</v>
      </c>
      <c r="Y7" s="12" t="n">
        <v>1</v>
      </c>
      <c r="Z7" s="12" t="n">
        <v>1</v>
      </c>
      <c r="AA7" s="12" t="n">
        <v>1</v>
      </c>
      <c r="AB7" s="12" t="n">
        <v>1</v>
      </c>
      <c r="AC7" s="12" t="n">
        <v>1</v>
      </c>
      <c r="AD7" s="12" t="n">
        <v>1</v>
      </c>
      <c r="AE7" s="12" t="n">
        <v>1</v>
      </c>
      <c r="AF7" s="12" t="n">
        <v>1</v>
      </c>
      <c r="AG7" s="12" t="n">
        <v>3</v>
      </c>
      <c r="AH7" s="12" t="n">
        <v>3</v>
      </c>
      <c r="AI7" s="12" t="n">
        <v>3</v>
      </c>
      <c r="AJ7" s="12" t="n">
        <v>3</v>
      </c>
      <c r="AK7" s="12" t="n">
        <v>3</v>
      </c>
      <c r="AL7" s="12" t="n">
        <v>3</v>
      </c>
      <c r="AM7" s="12" t="n">
        <v>3</v>
      </c>
      <c r="AN7" s="12" t="n">
        <v>3</v>
      </c>
      <c r="AO7" s="12" t="n">
        <v>3</v>
      </c>
      <c r="AP7" s="12" t="n">
        <v>3</v>
      </c>
      <c r="AQ7" s="12" t="n">
        <v>3</v>
      </c>
      <c r="AR7" s="12" t="n">
        <v>3</v>
      </c>
    </row>
    <row r="9">
      <c r="A9" s="5" t="inlineStr">
        <is>
          <t>Hạng mục</t>
        </is>
      </c>
      <c r="B9" s="5" t="inlineStr">
        <is>
          <t>ĐVT</t>
        </is>
      </c>
      <c r="C9" s="5" t="inlineStr">
        <is>
          <t>Th7 2025</t>
        </is>
      </c>
      <c r="D9" s="5" t="inlineStr">
        <is>
          <t>Th8 2025</t>
        </is>
      </c>
      <c r="E9" s="5" t="inlineStr">
        <is>
          <t>Th9 2025</t>
        </is>
      </c>
      <c r="F9" s="5" t="inlineStr">
        <is>
          <t>Th10 2025</t>
        </is>
      </c>
      <c r="G9" s="5" t="inlineStr">
        <is>
          <t>Th11 2025</t>
        </is>
      </c>
      <c r="H9" s="5" t="inlineStr">
        <is>
          <t>Th12 2025</t>
        </is>
      </c>
      <c r="I9" s="5" t="inlineStr">
        <is>
          <t>Th1 2026</t>
        </is>
      </c>
      <c r="J9" s="5" t="inlineStr">
        <is>
          <t>Th2 2026</t>
        </is>
      </c>
      <c r="K9" s="5" t="inlineStr">
        <is>
          <t>Th3 2026</t>
        </is>
      </c>
      <c r="L9" s="5" t="inlineStr">
        <is>
          <t>Th4 2026</t>
        </is>
      </c>
      <c r="M9" s="5" t="inlineStr">
        <is>
          <t>Th5 2026</t>
        </is>
      </c>
      <c r="N9" s="5" t="inlineStr">
        <is>
          <t>Th6 2026</t>
        </is>
      </c>
      <c r="O9" s="5" t="inlineStr">
        <is>
          <t>Th7 2026</t>
        </is>
      </c>
      <c r="P9" s="5" t="inlineStr">
        <is>
          <t>Th8 2026</t>
        </is>
      </c>
      <c r="Q9" s="5" t="inlineStr">
        <is>
          <t>Th9 2026</t>
        </is>
      </c>
      <c r="R9" s="5" t="inlineStr">
        <is>
          <t>Th10 2026</t>
        </is>
      </c>
      <c r="S9" s="5" t="inlineStr">
        <is>
          <t>Th11 2026</t>
        </is>
      </c>
      <c r="T9" s="5" t="inlineStr">
        <is>
          <t>Th12 2026</t>
        </is>
      </c>
      <c r="U9" s="5" t="inlineStr">
        <is>
          <t>Th1 2027</t>
        </is>
      </c>
      <c r="V9" s="5" t="inlineStr">
        <is>
          <t>Th2 2027</t>
        </is>
      </c>
      <c r="W9" s="5" t="inlineStr">
        <is>
          <t>Th3 2027</t>
        </is>
      </c>
      <c r="X9" s="5" t="inlineStr">
        <is>
          <t>Th4 2027</t>
        </is>
      </c>
      <c r="Y9" s="5" t="inlineStr">
        <is>
          <t>Th5 2027</t>
        </is>
      </c>
      <c r="Z9" s="5" t="inlineStr">
        <is>
          <t>Th6 2027</t>
        </is>
      </c>
      <c r="AA9" s="5" t="inlineStr">
        <is>
          <t>Th7 2027</t>
        </is>
      </c>
      <c r="AB9" s="5" t="inlineStr">
        <is>
          <t>Th8 2027</t>
        </is>
      </c>
      <c r="AC9" s="5" t="inlineStr">
        <is>
          <t>Th9 2027</t>
        </is>
      </c>
      <c r="AD9" s="5" t="inlineStr">
        <is>
          <t>Th10 2027</t>
        </is>
      </c>
      <c r="AE9" s="5" t="inlineStr">
        <is>
          <t>Th11 2027</t>
        </is>
      </c>
      <c r="AF9" s="5" t="inlineStr">
        <is>
          <t>Th12 2027</t>
        </is>
      </c>
      <c r="AG9" s="5" t="inlineStr">
        <is>
          <t>Q1 2028</t>
        </is>
      </c>
      <c r="AH9" s="5" t="inlineStr">
        <is>
          <t>Q2 2028</t>
        </is>
      </c>
      <c r="AI9" s="5" t="inlineStr">
        <is>
          <t>Q3 2028</t>
        </is>
      </c>
      <c r="AJ9" s="5" t="inlineStr">
        <is>
          <t>Q4 2028</t>
        </is>
      </c>
      <c r="AK9" s="5" t="inlineStr">
        <is>
          <t>Q1 2029</t>
        </is>
      </c>
      <c r="AL9" s="5" t="inlineStr">
        <is>
          <t>Q2 2029</t>
        </is>
      </c>
      <c r="AM9" s="5" t="inlineStr">
        <is>
          <t>Q3 2029</t>
        </is>
      </c>
      <c r="AN9" s="5" t="inlineStr">
        <is>
          <t>Q4 2029</t>
        </is>
      </c>
      <c r="AO9" s="5" t="inlineStr">
        <is>
          <t>Q1 2030</t>
        </is>
      </c>
      <c r="AP9" s="5" t="inlineStr">
        <is>
          <t>Q2 2030</t>
        </is>
      </c>
      <c r="AQ9" s="5" t="inlineStr">
        <is>
          <t>Q3 2030</t>
        </is>
      </c>
      <c r="AR9" s="5" t="inlineStr">
        <is>
          <t>Q4 2030</t>
        </is>
      </c>
    </row>
    <row r="10">
      <c r="A10" s="6" t="inlineStr">
        <is>
          <t>TT TMĐT du lịch</t>
        </is>
      </c>
      <c r="B10" s="14" t="inlineStr">
        <is>
          <t>Tỷ VND</t>
        </is>
      </c>
      <c r="C10" s="17">
        <f>ecom_market_base*(1+ecom_growth_rate)^C5/C6</f>
        <v/>
      </c>
      <c r="D10" s="17">
        <f>ecom_market_base*(1+ecom_growth_rate)^D5/D6</f>
        <v/>
      </c>
      <c r="E10" s="17">
        <f>ecom_market_base*(1+ecom_growth_rate)^E5/E6</f>
        <v/>
      </c>
      <c r="F10" s="17">
        <f>ecom_market_base*(1+ecom_growth_rate)^F5/F6</f>
        <v/>
      </c>
      <c r="G10" s="17">
        <f>ecom_market_base*(1+ecom_growth_rate)^G5/G6</f>
        <v/>
      </c>
      <c r="H10" s="17">
        <f>ecom_market_base*(1+ecom_growth_rate)^H5/H6</f>
        <v/>
      </c>
      <c r="I10" s="17">
        <f>ecom_market_base*(1+ecom_growth_rate)^I5/I6</f>
        <v/>
      </c>
      <c r="J10" s="17">
        <f>ecom_market_base*(1+ecom_growth_rate)^J5/J6</f>
        <v/>
      </c>
      <c r="K10" s="17">
        <f>ecom_market_base*(1+ecom_growth_rate)^K5/K6</f>
        <v/>
      </c>
      <c r="L10" s="17">
        <f>ecom_market_base*(1+ecom_growth_rate)^L5/L6</f>
        <v/>
      </c>
      <c r="M10" s="17">
        <f>ecom_market_base*(1+ecom_growth_rate)^M5/M6</f>
        <v/>
      </c>
      <c r="N10" s="17">
        <f>ecom_market_base*(1+ecom_growth_rate)^N5/N6</f>
        <v/>
      </c>
      <c r="O10" s="17">
        <f>ecom_market_base*(1+ecom_growth_rate)^O5/O6</f>
        <v/>
      </c>
      <c r="P10" s="17">
        <f>ecom_market_base*(1+ecom_growth_rate)^P5/P6</f>
        <v/>
      </c>
      <c r="Q10" s="17">
        <f>ecom_market_base*(1+ecom_growth_rate)^Q5/Q6</f>
        <v/>
      </c>
      <c r="R10" s="17">
        <f>ecom_market_base*(1+ecom_growth_rate)^R5/R6</f>
        <v/>
      </c>
      <c r="S10" s="17">
        <f>ecom_market_base*(1+ecom_growth_rate)^S5/S6</f>
        <v/>
      </c>
      <c r="T10" s="17">
        <f>ecom_market_base*(1+ecom_growth_rate)^T5/T6</f>
        <v/>
      </c>
      <c r="U10" s="17">
        <f>ecom_market_base*(1+ecom_growth_rate)^U5/U6</f>
        <v/>
      </c>
      <c r="V10" s="17">
        <f>ecom_market_base*(1+ecom_growth_rate)^V5/V6</f>
        <v/>
      </c>
      <c r="W10" s="17">
        <f>ecom_market_base*(1+ecom_growth_rate)^W5/W6</f>
        <v/>
      </c>
      <c r="X10" s="17">
        <f>ecom_market_base*(1+ecom_growth_rate)^X5/X6</f>
        <v/>
      </c>
      <c r="Y10" s="17">
        <f>ecom_market_base*(1+ecom_growth_rate)^Y5/Y6</f>
        <v/>
      </c>
      <c r="Z10" s="17">
        <f>ecom_market_base*(1+ecom_growth_rate)^Z5/Z6</f>
        <v/>
      </c>
      <c r="AA10" s="17">
        <f>ecom_market_base*(1+ecom_growth_rate)^AA5/AA6</f>
        <v/>
      </c>
      <c r="AB10" s="17">
        <f>ecom_market_base*(1+ecom_growth_rate)^AB5/AB6</f>
        <v/>
      </c>
      <c r="AC10" s="17">
        <f>ecom_market_base*(1+ecom_growth_rate)^AC5/AC6</f>
        <v/>
      </c>
      <c r="AD10" s="17">
        <f>ecom_market_base*(1+ecom_growth_rate)^AD5/AD6</f>
        <v/>
      </c>
      <c r="AE10" s="17">
        <f>ecom_market_base*(1+ecom_growth_rate)^AE5/AE6</f>
        <v/>
      </c>
      <c r="AF10" s="17">
        <f>ecom_market_base*(1+ecom_growth_rate)^AF5/AF6</f>
        <v/>
      </c>
      <c r="AG10" s="17">
        <f>ecom_market_base*(1+ecom_growth_rate)^AG5/AG6</f>
        <v/>
      </c>
      <c r="AH10" s="17">
        <f>ecom_market_base*(1+ecom_growth_rate)^AH5/AH6</f>
        <v/>
      </c>
      <c r="AI10" s="17">
        <f>ecom_market_base*(1+ecom_growth_rate)^AI5/AI6</f>
        <v/>
      </c>
      <c r="AJ10" s="17">
        <f>ecom_market_base*(1+ecom_growth_rate)^AJ5/AJ6</f>
        <v/>
      </c>
      <c r="AK10" s="17">
        <f>ecom_market_base*(1+ecom_growth_rate)^AK5/AK6</f>
        <v/>
      </c>
      <c r="AL10" s="17">
        <f>ecom_market_base*(1+ecom_growth_rate)^AL5/AL6</f>
        <v/>
      </c>
      <c r="AM10" s="17">
        <f>ecom_market_base*(1+ecom_growth_rate)^AM5/AM6</f>
        <v/>
      </c>
      <c r="AN10" s="17">
        <f>ecom_market_base*(1+ecom_growth_rate)^AN5/AN6</f>
        <v/>
      </c>
      <c r="AO10" s="17">
        <f>ecom_market_base*(1+ecom_growth_rate)^AO5/AO6</f>
        <v/>
      </c>
      <c r="AP10" s="17">
        <f>ecom_market_base*(1+ecom_growth_rate)^AP5/AP6</f>
        <v/>
      </c>
      <c r="AQ10" s="17">
        <f>ecom_market_base*(1+ecom_growth_rate)^AQ5/AQ6</f>
        <v/>
      </c>
      <c r="AR10" s="17">
        <f>ecom_market_base*(1+ecom_growth_rate)^AR5/AR6</f>
        <v/>
      </c>
    </row>
    <row r="12">
      <c r="A12" s="3" t="inlineStr">
        <is>
          <t>TĂNG TRƯỞNG DN (S-CURVE)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</row>
    <row r="13">
      <c r="A13" s="6" t="inlineStr">
        <is>
          <t>DN thô (S-curve)</t>
        </is>
      </c>
      <c r="B13" s="14" t="inlineStr">
        <is>
          <t>DN</t>
        </is>
      </c>
      <c r="C13" s="12">
        <f>MAX(pilot_count,adoption_max/(1+EXP(-adoption_steepness*(C4-adoption_midpoint))))</f>
        <v/>
      </c>
      <c r="D13" s="12">
        <f>MAX(pilot_count,adoption_max/(1+EXP(-adoption_steepness*(D4-adoption_midpoint))))</f>
        <v/>
      </c>
      <c r="E13" s="12">
        <f>MAX(pilot_count,adoption_max/(1+EXP(-adoption_steepness*(E4-adoption_midpoint))))</f>
        <v/>
      </c>
      <c r="F13" s="12">
        <f>MAX(pilot_count,adoption_max/(1+EXP(-adoption_steepness*(F4-adoption_midpoint))))</f>
        <v/>
      </c>
      <c r="G13" s="12">
        <f>MAX(pilot_count,adoption_max/(1+EXP(-adoption_steepness*(G4-adoption_midpoint))))</f>
        <v/>
      </c>
      <c r="H13" s="12">
        <f>MAX(pilot_count,adoption_max/(1+EXP(-adoption_steepness*(H4-adoption_midpoint))))</f>
        <v/>
      </c>
      <c r="I13" s="12">
        <f>MAX(pilot_count,adoption_max/(1+EXP(-adoption_steepness*(I4-adoption_midpoint))))</f>
        <v/>
      </c>
      <c r="J13" s="12">
        <f>MAX(pilot_count,adoption_max/(1+EXP(-adoption_steepness*(J4-adoption_midpoint))))</f>
        <v/>
      </c>
      <c r="K13" s="12">
        <f>MAX(pilot_count,adoption_max/(1+EXP(-adoption_steepness*(K4-adoption_midpoint))))</f>
        <v/>
      </c>
      <c r="L13" s="12">
        <f>MAX(pilot_count,adoption_max/(1+EXP(-adoption_steepness*(L4-adoption_midpoint))))</f>
        <v/>
      </c>
      <c r="M13" s="12">
        <f>MAX(pilot_count,adoption_max/(1+EXP(-adoption_steepness*(M4-adoption_midpoint))))</f>
        <v/>
      </c>
      <c r="N13" s="12">
        <f>MAX(pilot_count,adoption_max/(1+EXP(-adoption_steepness*(N4-adoption_midpoint))))</f>
        <v/>
      </c>
      <c r="O13" s="12">
        <f>MAX(pilot_count,adoption_max/(1+EXP(-adoption_steepness*(O4-adoption_midpoint))))</f>
        <v/>
      </c>
      <c r="P13" s="12">
        <f>MAX(pilot_count,adoption_max/(1+EXP(-adoption_steepness*(P4-adoption_midpoint))))</f>
        <v/>
      </c>
      <c r="Q13" s="12">
        <f>MAX(pilot_count,adoption_max/(1+EXP(-adoption_steepness*(Q4-adoption_midpoint))))</f>
        <v/>
      </c>
      <c r="R13" s="12">
        <f>MAX(pilot_count,adoption_max/(1+EXP(-adoption_steepness*(R4-adoption_midpoint))))</f>
        <v/>
      </c>
      <c r="S13" s="12">
        <f>MAX(pilot_count,adoption_max/(1+EXP(-adoption_steepness*(S4-adoption_midpoint))))</f>
        <v/>
      </c>
      <c r="T13" s="12">
        <f>MAX(pilot_count,adoption_max/(1+EXP(-adoption_steepness*(T4-adoption_midpoint))))</f>
        <v/>
      </c>
      <c r="U13" s="12">
        <f>MAX(pilot_count,adoption_max/(1+EXP(-adoption_steepness*(U4-adoption_midpoint))))</f>
        <v/>
      </c>
      <c r="V13" s="12">
        <f>MAX(pilot_count,adoption_max/(1+EXP(-adoption_steepness*(V4-adoption_midpoint))))</f>
        <v/>
      </c>
      <c r="W13" s="12">
        <f>MAX(pilot_count,adoption_max/(1+EXP(-adoption_steepness*(W4-adoption_midpoint))))</f>
        <v/>
      </c>
      <c r="X13" s="12">
        <f>MAX(pilot_count,adoption_max/(1+EXP(-adoption_steepness*(X4-adoption_midpoint))))</f>
        <v/>
      </c>
      <c r="Y13" s="12">
        <f>MAX(pilot_count,adoption_max/(1+EXP(-adoption_steepness*(Y4-adoption_midpoint))))</f>
        <v/>
      </c>
      <c r="Z13" s="12">
        <f>MAX(pilot_count,adoption_max/(1+EXP(-adoption_steepness*(Z4-adoption_midpoint))))</f>
        <v/>
      </c>
      <c r="AA13" s="12">
        <f>MAX(pilot_count,adoption_max/(1+EXP(-adoption_steepness*(AA4-adoption_midpoint))))</f>
        <v/>
      </c>
      <c r="AB13" s="12">
        <f>MAX(pilot_count,adoption_max/(1+EXP(-adoption_steepness*(AB4-adoption_midpoint))))</f>
        <v/>
      </c>
      <c r="AC13" s="12">
        <f>MAX(pilot_count,adoption_max/(1+EXP(-adoption_steepness*(AC4-adoption_midpoint))))</f>
        <v/>
      </c>
      <c r="AD13" s="12">
        <f>MAX(pilot_count,adoption_max/(1+EXP(-adoption_steepness*(AD4-adoption_midpoint))))</f>
        <v/>
      </c>
      <c r="AE13" s="12">
        <f>MAX(pilot_count,adoption_max/(1+EXP(-adoption_steepness*(AE4-adoption_midpoint))))</f>
        <v/>
      </c>
      <c r="AF13" s="12">
        <f>MAX(pilot_count,adoption_max/(1+EXP(-adoption_steepness*(AF4-adoption_midpoint))))</f>
        <v/>
      </c>
      <c r="AG13" s="12">
        <f>MAX(pilot_count,adoption_max/(1+EXP(-adoption_steepness*(AG4-adoption_midpoint))))</f>
        <v/>
      </c>
      <c r="AH13" s="12">
        <f>MAX(pilot_count,adoption_max/(1+EXP(-adoption_steepness*(AH4-adoption_midpoint))))</f>
        <v/>
      </c>
      <c r="AI13" s="12">
        <f>MAX(pilot_count,adoption_max/(1+EXP(-adoption_steepness*(AI4-adoption_midpoint))))</f>
        <v/>
      </c>
      <c r="AJ13" s="12">
        <f>MAX(pilot_count,adoption_max/(1+EXP(-adoption_steepness*(AJ4-adoption_midpoint))))</f>
        <v/>
      </c>
      <c r="AK13" s="12">
        <f>MAX(pilot_count,adoption_max/(1+EXP(-adoption_steepness*(AK4-adoption_midpoint))))</f>
        <v/>
      </c>
      <c r="AL13" s="12">
        <f>MAX(pilot_count,adoption_max/(1+EXP(-adoption_steepness*(AL4-adoption_midpoint))))</f>
        <v/>
      </c>
      <c r="AM13" s="12">
        <f>MAX(pilot_count,adoption_max/(1+EXP(-adoption_steepness*(AM4-adoption_midpoint))))</f>
        <v/>
      </c>
      <c r="AN13" s="12">
        <f>MAX(pilot_count,adoption_max/(1+EXP(-adoption_steepness*(AN4-adoption_midpoint))))</f>
        <v/>
      </c>
      <c r="AO13" s="12">
        <f>MAX(pilot_count,adoption_max/(1+EXP(-adoption_steepness*(AO4-adoption_midpoint))))</f>
        <v/>
      </c>
      <c r="AP13" s="12">
        <f>MAX(pilot_count,adoption_max/(1+EXP(-adoption_steepness*(AP4-adoption_midpoint))))</f>
        <v/>
      </c>
      <c r="AQ13" s="12">
        <f>MAX(pilot_count,adoption_max/(1+EXP(-adoption_steepness*(AQ4-adoption_midpoint))))</f>
        <v/>
      </c>
      <c r="AR13" s="12">
        <f>MAX(pilot_count,adoption_max/(1+EXP(-adoption_steepness*(AR4-adoption_midpoint))))</f>
        <v/>
      </c>
    </row>
    <row r="14">
      <c r="A14" s="6" t="inlineStr">
        <is>
          <t>DN rời bỏ</t>
        </is>
      </c>
      <c r="B14" s="14" t="inlineStr">
        <is>
          <t>DN</t>
        </is>
      </c>
      <c r="C14" s="12">
        <f>0</f>
        <v/>
      </c>
      <c r="D14" s="12">
        <f>ROUND(D13*churn_rate/D6,0)</f>
        <v/>
      </c>
      <c r="E14" s="12">
        <f>ROUND(E13*churn_rate/E6,0)</f>
        <v/>
      </c>
      <c r="F14" s="12">
        <f>ROUND(F13*churn_rate/F6,0)</f>
        <v/>
      </c>
      <c r="G14" s="12">
        <f>ROUND(G13*churn_rate/G6,0)</f>
        <v/>
      </c>
      <c r="H14" s="12">
        <f>ROUND(H13*churn_rate/H6,0)</f>
        <v/>
      </c>
      <c r="I14" s="12">
        <f>ROUND(I13*churn_rate/I6,0)</f>
        <v/>
      </c>
      <c r="J14" s="12">
        <f>ROUND(J13*churn_rate/J6,0)</f>
        <v/>
      </c>
      <c r="K14" s="12">
        <f>ROUND(K13*churn_rate/K6,0)</f>
        <v/>
      </c>
      <c r="L14" s="12">
        <f>ROUND(L13*churn_rate/L6,0)</f>
        <v/>
      </c>
      <c r="M14" s="12">
        <f>ROUND(M13*churn_rate/M6,0)</f>
        <v/>
      </c>
      <c r="N14" s="12">
        <f>ROUND(N13*churn_rate/N6,0)</f>
        <v/>
      </c>
      <c r="O14" s="12">
        <f>ROUND(O13*churn_rate/O6,0)</f>
        <v/>
      </c>
      <c r="P14" s="12">
        <f>ROUND(P13*churn_rate/P6,0)</f>
        <v/>
      </c>
      <c r="Q14" s="12">
        <f>ROUND(Q13*churn_rate/Q6,0)</f>
        <v/>
      </c>
      <c r="R14" s="12">
        <f>ROUND(R13*churn_rate/R6,0)</f>
        <v/>
      </c>
      <c r="S14" s="12">
        <f>ROUND(S13*churn_rate/S6,0)</f>
        <v/>
      </c>
      <c r="T14" s="12">
        <f>ROUND(T13*churn_rate/T6,0)</f>
        <v/>
      </c>
      <c r="U14" s="12">
        <f>ROUND(U13*churn_rate/U6,0)</f>
        <v/>
      </c>
      <c r="V14" s="12">
        <f>ROUND(V13*churn_rate/V6,0)</f>
        <v/>
      </c>
      <c r="W14" s="12">
        <f>ROUND(W13*churn_rate/W6,0)</f>
        <v/>
      </c>
      <c r="X14" s="12">
        <f>ROUND(X13*churn_rate/X6,0)</f>
        <v/>
      </c>
      <c r="Y14" s="12">
        <f>ROUND(Y13*churn_rate/Y6,0)</f>
        <v/>
      </c>
      <c r="Z14" s="12">
        <f>ROUND(Z13*churn_rate/Z6,0)</f>
        <v/>
      </c>
      <c r="AA14" s="12">
        <f>ROUND(AA13*churn_rate/AA6,0)</f>
        <v/>
      </c>
      <c r="AB14" s="12">
        <f>ROUND(AB13*churn_rate/AB6,0)</f>
        <v/>
      </c>
      <c r="AC14" s="12">
        <f>ROUND(AC13*churn_rate/AC6,0)</f>
        <v/>
      </c>
      <c r="AD14" s="12">
        <f>ROUND(AD13*churn_rate/AD6,0)</f>
        <v/>
      </c>
      <c r="AE14" s="12">
        <f>ROUND(AE13*churn_rate/AE6,0)</f>
        <v/>
      </c>
      <c r="AF14" s="12">
        <f>ROUND(AF13*churn_rate/AF6,0)</f>
        <v/>
      </c>
      <c r="AG14" s="12">
        <f>ROUND(AG13*churn_rate/AG6,0)</f>
        <v/>
      </c>
      <c r="AH14" s="12">
        <f>ROUND(AH13*churn_rate/AH6,0)</f>
        <v/>
      </c>
      <c r="AI14" s="12">
        <f>ROUND(AI13*churn_rate/AI6,0)</f>
        <v/>
      </c>
      <c r="AJ14" s="12">
        <f>ROUND(AJ13*churn_rate/AJ6,0)</f>
        <v/>
      </c>
      <c r="AK14" s="12">
        <f>ROUND(AK13*churn_rate/AK6,0)</f>
        <v/>
      </c>
      <c r="AL14" s="12">
        <f>ROUND(AL13*churn_rate/AL6,0)</f>
        <v/>
      </c>
      <c r="AM14" s="12">
        <f>ROUND(AM13*churn_rate/AM6,0)</f>
        <v/>
      </c>
      <c r="AN14" s="12">
        <f>ROUND(AN13*churn_rate/AN6,0)</f>
        <v/>
      </c>
      <c r="AO14" s="12">
        <f>ROUND(AO13*churn_rate/AO6,0)</f>
        <v/>
      </c>
      <c r="AP14" s="12">
        <f>ROUND(AP13*churn_rate/AP6,0)</f>
        <v/>
      </c>
      <c r="AQ14" s="12">
        <f>ROUND(AQ13*churn_rate/AQ6,0)</f>
        <v/>
      </c>
      <c r="AR14" s="12">
        <f>ROUND(AR13*churn_rate/AR6,0)</f>
        <v/>
      </c>
    </row>
    <row r="15">
      <c r="A15" s="6" t="inlineStr">
        <is>
          <t>DN hoạt động ròng</t>
        </is>
      </c>
      <c r="B15" s="14" t="inlineStr">
        <is>
          <t>DN</t>
        </is>
      </c>
      <c r="C15" s="11">
        <f>C13-C14</f>
        <v/>
      </c>
      <c r="D15" s="11">
        <f>D13-D14</f>
        <v/>
      </c>
      <c r="E15" s="11">
        <f>E13-E14</f>
        <v/>
      </c>
      <c r="F15" s="11">
        <f>F13-F14</f>
        <v/>
      </c>
      <c r="G15" s="11">
        <f>G13-G14</f>
        <v/>
      </c>
      <c r="H15" s="11">
        <f>H13-H14</f>
        <v/>
      </c>
      <c r="I15" s="11">
        <f>I13-I14</f>
        <v/>
      </c>
      <c r="J15" s="11">
        <f>J13-J14</f>
        <v/>
      </c>
      <c r="K15" s="11">
        <f>K13-K14</f>
        <v/>
      </c>
      <c r="L15" s="11">
        <f>L13-L14</f>
        <v/>
      </c>
      <c r="M15" s="11">
        <f>M13-M14</f>
        <v/>
      </c>
      <c r="N15" s="11">
        <f>N13-N14</f>
        <v/>
      </c>
      <c r="O15" s="11">
        <f>O13-O14</f>
        <v/>
      </c>
      <c r="P15" s="11">
        <f>P13-P14</f>
        <v/>
      </c>
      <c r="Q15" s="11">
        <f>Q13-Q14</f>
        <v/>
      </c>
      <c r="R15" s="11">
        <f>R13-R14</f>
        <v/>
      </c>
      <c r="S15" s="11">
        <f>S13-S14</f>
        <v/>
      </c>
      <c r="T15" s="11">
        <f>T13-T14</f>
        <v/>
      </c>
      <c r="U15" s="11">
        <f>U13-U14</f>
        <v/>
      </c>
      <c r="V15" s="11">
        <f>V13-V14</f>
        <v/>
      </c>
      <c r="W15" s="11">
        <f>W13-W14</f>
        <v/>
      </c>
      <c r="X15" s="11">
        <f>X13-X14</f>
        <v/>
      </c>
      <c r="Y15" s="11">
        <f>Y13-Y14</f>
        <v/>
      </c>
      <c r="Z15" s="11">
        <f>Z13-Z14</f>
        <v/>
      </c>
      <c r="AA15" s="11">
        <f>AA13-AA14</f>
        <v/>
      </c>
      <c r="AB15" s="11">
        <f>AB13-AB14</f>
        <v/>
      </c>
      <c r="AC15" s="11">
        <f>AC13-AC14</f>
        <v/>
      </c>
      <c r="AD15" s="11">
        <f>AD13-AD14</f>
        <v/>
      </c>
      <c r="AE15" s="11">
        <f>AE13-AE14</f>
        <v/>
      </c>
      <c r="AF15" s="11">
        <f>AF13-AF14</f>
        <v/>
      </c>
      <c r="AG15" s="11">
        <f>AG13-AG14</f>
        <v/>
      </c>
      <c r="AH15" s="11">
        <f>AH13-AH14</f>
        <v/>
      </c>
      <c r="AI15" s="11">
        <f>AI13-AI14</f>
        <v/>
      </c>
      <c r="AJ15" s="11">
        <f>AJ13-AJ14</f>
        <v/>
      </c>
      <c r="AK15" s="11">
        <f>AK13-AK14</f>
        <v/>
      </c>
      <c r="AL15" s="11">
        <f>AL13-AL14</f>
        <v/>
      </c>
      <c r="AM15" s="11">
        <f>AM13-AM14</f>
        <v/>
      </c>
      <c r="AN15" s="11">
        <f>AN13-AN14</f>
        <v/>
      </c>
      <c r="AO15" s="11">
        <f>AO13-AO14</f>
        <v/>
      </c>
      <c r="AP15" s="11">
        <f>AP13-AP14</f>
        <v/>
      </c>
      <c r="AQ15" s="11">
        <f>AQ13-AQ14</f>
        <v/>
      </c>
      <c r="AR15" s="11">
        <f>AR13-AR14</f>
        <v/>
      </c>
    </row>
    <row r="16">
      <c r="A16" s="6" t="inlineStr">
        <is>
          <t>DN mới/kỳ</t>
        </is>
      </c>
      <c r="B16" s="14" t="inlineStr">
        <is>
          <t>DN</t>
        </is>
      </c>
      <c r="C16" s="12">
        <f>C15</f>
        <v/>
      </c>
      <c r="D16" s="12">
        <f>MAX(0,D15-C15)</f>
        <v/>
      </c>
      <c r="E16" s="12">
        <f>MAX(0,E15-D15)</f>
        <v/>
      </c>
      <c r="F16" s="12">
        <f>MAX(0,F15-E15)</f>
        <v/>
      </c>
      <c r="G16" s="12">
        <f>MAX(0,G15-F15)</f>
        <v/>
      </c>
      <c r="H16" s="12">
        <f>MAX(0,H15-G15)</f>
        <v/>
      </c>
      <c r="I16" s="12">
        <f>MAX(0,I15-H15)</f>
        <v/>
      </c>
      <c r="J16" s="12">
        <f>MAX(0,J15-I15)</f>
        <v/>
      </c>
      <c r="K16" s="12">
        <f>MAX(0,K15-J15)</f>
        <v/>
      </c>
      <c r="L16" s="12">
        <f>MAX(0,L15-K15)</f>
        <v/>
      </c>
      <c r="M16" s="12">
        <f>MAX(0,M15-L15)</f>
        <v/>
      </c>
      <c r="N16" s="12">
        <f>MAX(0,N15-M15)</f>
        <v/>
      </c>
      <c r="O16" s="12">
        <f>MAX(0,O15-N15)</f>
        <v/>
      </c>
      <c r="P16" s="12">
        <f>MAX(0,P15-O15)</f>
        <v/>
      </c>
      <c r="Q16" s="12">
        <f>MAX(0,Q15-P15)</f>
        <v/>
      </c>
      <c r="R16" s="12">
        <f>MAX(0,R15-Q15)</f>
        <v/>
      </c>
      <c r="S16" s="12">
        <f>MAX(0,S15-R15)</f>
        <v/>
      </c>
      <c r="T16" s="12">
        <f>MAX(0,T15-S15)</f>
        <v/>
      </c>
      <c r="U16" s="12">
        <f>MAX(0,U15-T15)</f>
        <v/>
      </c>
      <c r="V16" s="12">
        <f>MAX(0,V15-U15)</f>
        <v/>
      </c>
      <c r="W16" s="12">
        <f>MAX(0,W15-V15)</f>
        <v/>
      </c>
      <c r="X16" s="12">
        <f>MAX(0,X15-W15)</f>
        <v/>
      </c>
      <c r="Y16" s="12">
        <f>MAX(0,Y15-X15)</f>
        <v/>
      </c>
      <c r="Z16" s="12">
        <f>MAX(0,Z15-Y15)</f>
        <v/>
      </c>
      <c r="AA16" s="12">
        <f>MAX(0,AA15-Z15)</f>
        <v/>
      </c>
      <c r="AB16" s="12">
        <f>MAX(0,AB15-AA15)</f>
        <v/>
      </c>
      <c r="AC16" s="12">
        <f>MAX(0,AC15-AB15)</f>
        <v/>
      </c>
      <c r="AD16" s="12">
        <f>MAX(0,AD15-AC15)</f>
        <v/>
      </c>
      <c r="AE16" s="12">
        <f>MAX(0,AE15-AD15)</f>
        <v/>
      </c>
      <c r="AF16" s="12">
        <f>MAX(0,AF15-AE15)</f>
        <v/>
      </c>
      <c r="AG16" s="12">
        <f>MAX(0,AG15-AF15)</f>
        <v/>
      </c>
      <c r="AH16" s="12">
        <f>MAX(0,AH15-AG15)</f>
        <v/>
      </c>
      <c r="AI16" s="12">
        <f>MAX(0,AI15-AH15)</f>
        <v/>
      </c>
      <c r="AJ16" s="12">
        <f>MAX(0,AJ15-AI15)</f>
        <v/>
      </c>
      <c r="AK16" s="12">
        <f>MAX(0,AK15-AJ15)</f>
        <v/>
      </c>
      <c r="AL16" s="12">
        <f>MAX(0,AL15-AK15)</f>
        <v/>
      </c>
      <c r="AM16" s="12">
        <f>MAX(0,AM15-AL15)</f>
        <v/>
      </c>
      <c r="AN16" s="12">
        <f>MAX(0,AN15-AM15)</f>
        <v/>
      </c>
      <c r="AO16" s="12">
        <f>MAX(0,AO15-AN15)</f>
        <v/>
      </c>
      <c r="AP16" s="12">
        <f>MAX(0,AP15-AO15)</f>
        <v/>
      </c>
      <c r="AQ16" s="12">
        <f>MAX(0,AQ15-AP15)</f>
        <v/>
      </c>
      <c r="AR16" s="12">
        <f>MAX(0,AR15-AQ15)</f>
        <v/>
      </c>
    </row>
    <row r="17">
      <c r="A17" s="6" t="inlineStr">
        <is>
          <t>VCR (triệu bản ghi)</t>
        </is>
      </c>
      <c r="B17" s="14" t="inlineStr">
        <is>
          <t>Tr</t>
        </is>
      </c>
      <c r="C17" s="18">
        <f>C15*vcr_per_enterprise*C7/1000000</f>
        <v/>
      </c>
      <c r="D17" s="18">
        <f>D15*vcr_per_enterprise*D7/1000000</f>
        <v/>
      </c>
      <c r="E17" s="18">
        <f>E15*vcr_per_enterprise*E7/1000000</f>
        <v/>
      </c>
      <c r="F17" s="18">
        <f>F15*vcr_per_enterprise*F7/1000000</f>
        <v/>
      </c>
      <c r="G17" s="18">
        <f>G15*vcr_per_enterprise*G7/1000000</f>
        <v/>
      </c>
      <c r="H17" s="18">
        <f>H15*vcr_per_enterprise*H7/1000000</f>
        <v/>
      </c>
      <c r="I17" s="18">
        <f>I15*vcr_per_enterprise*I7/1000000</f>
        <v/>
      </c>
      <c r="J17" s="18">
        <f>J15*vcr_per_enterprise*J7/1000000</f>
        <v/>
      </c>
      <c r="K17" s="18">
        <f>K15*vcr_per_enterprise*K7/1000000</f>
        <v/>
      </c>
      <c r="L17" s="18">
        <f>L15*vcr_per_enterprise*L7/1000000</f>
        <v/>
      </c>
      <c r="M17" s="18">
        <f>M15*vcr_per_enterprise*M7/1000000</f>
        <v/>
      </c>
      <c r="N17" s="18">
        <f>N15*vcr_per_enterprise*N7/1000000</f>
        <v/>
      </c>
      <c r="O17" s="18">
        <f>O15*vcr_per_enterprise*O7/1000000</f>
        <v/>
      </c>
      <c r="P17" s="18">
        <f>P15*vcr_per_enterprise*P7/1000000</f>
        <v/>
      </c>
      <c r="Q17" s="18">
        <f>Q15*vcr_per_enterprise*Q7/1000000</f>
        <v/>
      </c>
      <c r="R17" s="18">
        <f>R15*vcr_per_enterprise*R7/1000000</f>
        <v/>
      </c>
      <c r="S17" s="18">
        <f>S15*vcr_per_enterprise*S7/1000000</f>
        <v/>
      </c>
      <c r="T17" s="18">
        <f>T15*vcr_per_enterprise*T7/1000000</f>
        <v/>
      </c>
      <c r="U17" s="18">
        <f>U15*vcr_per_enterprise*U7/1000000</f>
        <v/>
      </c>
      <c r="V17" s="18">
        <f>V15*vcr_per_enterprise*V7/1000000</f>
        <v/>
      </c>
      <c r="W17" s="18">
        <f>W15*vcr_per_enterprise*W7/1000000</f>
        <v/>
      </c>
      <c r="X17" s="18">
        <f>X15*vcr_per_enterprise*X7/1000000</f>
        <v/>
      </c>
      <c r="Y17" s="18">
        <f>Y15*vcr_per_enterprise*Y7/1000000</f>
        <v/>
      </c>
      <c r="Z17" s="18">
        <f>Z15*vcr_per_enterprise*Z7/1000000</f>
        <v/>
      </c>
      <c r="AA17" s="18">
        <f>AA15*vcr_per_enterprise*AA7/1000000</f>
        <v/>
      </c>
      <c r="AB17" s="18">
        <f>AB15*vcr_per_enterprise*AB7/1000000</f>
        <v/>
      </c>
      <c r="AC17" s="18">
        <f>AC15*vcr_per_enterprise*AC7/1000000</f>
        <v/>
      </c>
      <c r="AD17" s="18">
        <f>AD15*vcr_per_enterprise*AD7/1000000</f>
        <v/>
      </c>
      <c r="AE17" s="18">
        <f>AE15*vcr_per_enterprise*AE7/1000000</f>
        <v/>
      </c>
      <c r="AF17" s="18">
        <f>AF15*vcr_per_enterprise*AF7/1000000</f>
        <v/>
      </c>
      <c r="AG17" s="18">
        <f>AG15*vcr_per_enterprise*AG7/1000000</f>
        <v/>
      </c>
      <c r="AH17" s="18">
        <f>AH15*vcr_per_enterprise*AH7/1000000</f>
        <v/>
      </c>
      <c r="AI17" s="18">
        <f>AI15*vcr_per_enterprise*AI7/1000000</f>
        <v/>
      </c>
      <c r="AJ17" s="18">
        <f>AJ15*vcr_per_enterprise*AJ7/1000000</f>
        <v/>
      </c>
      <c r="AK17" s="18">
        <f>AK15*vcr_per_enterprise*AK7/1000000</f>
        <v/>
      </c>
      <c r="AL17" s="18">
        <f>AL15*vcr_per_enterprise*AL7/1000000</f>
        <v/>
      </c>
      <c r="AM17" s="18">
        <f>AM15*vcr_per_enterprise*AM7/1000000</f>
        <v/>
      </c>
      <c r="AN17" s="18">
        <f>AN15*vcr_per_enterprise*AN7/1000000</f>
        <v/>
      </c>
      <c r="AO17" s="18">
        <f>AO15*vcr_per_enterprise*AO7/1000000</f>
        <v/>
      </c>
      <c r="AP17" s="18">
        <f>AP15*vcr_per_enterprise*AP7/1000000</f>
        <v/>
      </c>
      <c r="AQ17" s="18">
        <f>AQ15*vcr_per_enterprise*AQ7/1000000</f>
        <v/>
      </c>
      <c r="AR17" s="18">
        <f>AR15*vcr_per_enterprise*AR7/1000000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3" t="inlineStr">
        <is>
          <t>BẢNG DOANH THU (Tr VND)</t>
        </is>
      </c>
    </row>
    <row r="3">
      <c r="A3" s="5" t="inlineStr">
        <is>
          <t>Hạng mục</t>
        </is>
      </c>
      <c r="B3" s="5" t="inlineStr">
        <is>
          <t>ĐVT</t>
        </is>
      </c>
      <c r="C3" s="5" t="inlineStr">
        <is>
          <t>Th7 2025</t>
        </is>
      </c>
      <c r="D3" s="5" t="inlineStr">
        <is>
          <t>Th8 2025</t>
        </is>
      </c>
      <c r="E3" s="5" t="inlineStr">
        <is>
          <t>Th9 2025</t>
        </is>
      </c>
      <c r="F3" s="5" t="inlineStr">
        <is>
          <t>Th10 2025</t>
        </is>
      </c>
      <c r="G3" s="5" t="inlineStr">
        <is>
          <t>Th11 2025</t>
        </is>
      </c>
      <c r="H3" s="5" t="inlineStr">
        <is>
          <t>Th12 2025</t>
        </is>
      </c>
      <c r="I3" s="5" t="inlineStr">
        <is>
          <t>Th1 2026</t>
        </is>
      </c>
      <c r="J3" s="5" t="inlineStr">
        <is>
          <t>Th2 2026</t>
        </is>
      </c>
      <c r="K3" s="5" t="inlineStr">
        <is>
          <t>Th3 2026</t>
        </is>
      </c>
      <c r="L3" s="5" t="inlineStr">
        <is>
          <t>Th4 2026</t>
        </is>
      </c>
      <c r="M3" s="5" t="inlineStr">
        <is>
          <t>Th5 2026</t>
        </is>
      </c>
      <c r="N3" s="5" t="inlineStr">
        <is>
          <t>Th6 2026</t>
        </is>
      </c>
      <c r="O3" s="5" t="inlineStr">
        <is>
          <t>Th7 2026</t>
        </is>
      </c>
      <c r="P3" s="5" t="inlineStr">
        <is>
          <t>Th8 2026</t>
        </is>
      </c>
      <c r="Q3" s="5" t="inlineStr">
        <is>
          <t>Th9 2026</t>
        </is>
      </c>
      <c r="R3" s="5" t="inlineStr">
        <is>
          <t>Th10 2026</t>
        </is>
      </c>
      <c r="S3" s="5" t="inlineStr">
        <is>
          <t>Th11 2026</t>
        </is>
      </c>
      <c r="T3" s="5" t="inlineStr">
        <is>
          <t>Th12 2026</t>
        </is>
      </c>
      <c r="U3" s="5" t="inlineStr">
        <is>
          <t>Th1 2027</t>
        </is>
      </c>
      <c r="V3" s="5" t="inlineStr">
        <is>
          <t>Th2 2027</t>
        </is>
      </c>
      <c r="W3" s="5" t="inlineStr">
        <is>
          <t>Th3 2027</t>
        </is>
      </c>
      <c r="X3" s="5" t="inlineStr">
        <is>
          <t>Th4 2027</t>
        </is>
      </c>
      <c r="Y3" s="5" t="inlineStr">
        <is>
          <t>Th5 2027</t>
        </is>
      </c>
      <c r="Z3" s="5" t="inlineStr">
        <is>
          <t>Th6 2027</t>
        </is>
      </c>
      <c r="AA3" s="5" t="inlineStr">
        <is>
          <t>Th7 2027</t>
        </is>
      </c>
      <c r="AB3" s="5" t="inlineStr">
        <is>
          <t>Th8 2027</t>
        </is>
      </c>
      <c r="AC3" s="5" t="inlineStr">
        <is>
          <t>Th9 2027</t>
        </is>
      </c>
      <c r="AD3" s="5" t="inlineStr">
        <is>
          <t>Th10 2027</t>
        </is>
      </c>
      <c r="AE3" s="5" t="inlineStr">
        <is>
          <t>Th11 2027</t>
        </is>
      </c>
      <c r="AF3" s="5" t="inlineStr">
        <is>
          <t>Th12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3" t="inlineStr">
        <is>
          <t>GIAI ĐOẠN 1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</row>
    <row r="5">
      <c r="A5" s="6" t="inlineStr">
        <is>
          <t xml:space="preserve">  Phí chứng nhận</t>
        </is>
      </c>
      <c r="B5" s="6" t="inlineStr">
        <is>
          <t>Tr VND</t>
        </is>
      </c>
      <c r="C5" s="12">
        <f>'Quy mô thị trường'!C15*cert_fee_yr1*(1+cert_fee_escalation)^'Quy mô thị trường'!C5/'Quy mô thị trường'!C6</f>
        <v/>
      </c>
      <c r="D5" s="12">
        <f>'Quy mô thị trường'!D15*cert_fee_yr1*(1+cert_fee_escalation)^'Quy mô thị trường'!D5/'Quy mô thị trường'!D6</f>
        <v/>
      </c>
      <c r="E5" s="12">
        <f>'Quy mô thị trường'!E15*cert_fee_yr1*(1+cert_fee_escalation)^'Quy mô thị trường'!E5/'Quy mô thị trường'!E6</f>
        <v/>
      </c>
      <c r="F5" s="12">
        <f>'Quy mô thị trường'!F15*cert_fee_yr1*(1+cert_fee_escalation)^'Quy mô thị trường'!F5/'Quy mô thị trường'!F6</f>
        <v/>
      </c>
      <c r="G5" s="12">
        <f>'Quy mô thị trường'!G15*cert_fee_yr1*(1+cert_fee_escalation)^'Quy mô thị trường'!G5/'Quy mô thị trường'!G6</f>
        <v/>
      </c>
      <c r="H5" s="12">
        <f>'Quy mô thị trường'!H15*cert_fee_yr1*(1+cert_fee_escalation)^'Quy mô thị trường'!H5/'Quy mô thị trường'!H6</f>
        <v/>
      </c>
      <c r="I5" s="12">
        <f>'Quy mô thị trường'!I15*cert_fee_yr1*(1+cert_fee_escalation)^'Quy mô thị trường'!I5/'Quy mô thị trường'!I6</f>
        <v/>
      </c>
      <c r="J5" s="12">
        <f>'Quy mô thị trường'!J15*cert_fee_yr1*(1+cert_fee_escalation)^'Quy mô thị trường'!J5/'Quy mô thị trường'!J6</f>
        <v/>
      </c>
      <c r="K5" s="12">
        <f>'Quy mô thị trường'!K15*cert_fee_yr1*(1+cert_fee_escalation)^'Quy mô thị trường'!K5/'Quy mô thị trường'!K6</f>
        <v/>
      </c>
      <c r="L5" s="12">
        <f>'Quy mô thị trường'!L15*cert_fee_yr1*(1+cert_fee_escalation)^'Quy mô thị trường'!L5/'Quy mô thị trường'!L6</f>
        <v/>
      </c>
      <c r="M5" s="12">
        <f>'Quy mô thị trường'!M15*cert_fee_yr1*(1+cert_fee_escalation)^'Quy mô thị trường'!M5/'Quy mô thị trường'!M6</f>
        <v/>
      </c>
      <c r="N5" s="12">
        <f>'Quy mô thị trường'!N15*cert_fee_yr1*(1+cert_fee_escalation)^'Quy mô thị trường'!N5/'Quy mô thị trường'!N6</f>
        <v/>
      </c>
      <c r="O5" s="12">
        <f>'Quy mô thị trường'!O15*cert_fee_yr1*(1+cert_fee_escalation)^'Quy mô thị trường'!O5/'Quy mô thị trường'!O6</f>
        <v/>
      </c>
      <c r="P5" s="12">
        <f>'Quy mô thị trường'!P15*cert_fee_yr1*(1+cert_fee_escalation)^'Quy mô thị trường'!P5/'Quy mô thị trường'!P6</f>
        <v/>
      </c>
      <c r="Q5" s="12">
        <f>'Quy mô thị trường'!Q15*cert_fee_yr1*(1+cert_fee_escalation)^'Quy mô thị trường'!Q5/'Quy mô thị trường'!Q6</f>
        <v/>
      </c>
      <c r="R5" s="12">
        <f>'Quy mô thị trường'!R15*cert_fee_yr1*(1+cert_fee_escalation)^'Quy mô thị trường'!R5/'Quy mô thị trường'!R6</f>
        <v/>
      </c>
      <c r="S5" s="12">
        <f>'Quy mô thị trường'!S15*cert_fee_yr1*(1+cert_fee_escalation)^'Quy mô thị trường'!S5/'Quy mô thị trường'!S6</f>
        <v/>
      </c>
      <c r="T5" s="12">
        <f>'Quy mô thị trường'!T15*cert_fee_yr1*(1+cert_fee_escalation)^'Quy mô thị trường'!T5/'Quy mô thị trường'!T6</f>
        <v/>
      </c>
      <c r="U5" s="12">
        <f>'Quy mô thị trường'!U15*cert_fee_yr1*(1+cert_fee_escalation)^'Quy mô thị trường'!U5/'Quy mô thị trường'!U6</f>
        <v/>
      </c>
      <c r="V5" s="12">
        <f>'Quy mô thị trường'!V15*cert_fee_yr1*(1+cert_fee_escalation)^'Quy mô thị trường'!V5/'Quy mô thị trường'!V6</f>
        <v/>
      </c>
      <c r="W5" s="12">
        <f>'Quy mô thị trường'!W15*cert_fee_yr1*(1+cert_fee_escalation)^'Quy mô thị trường'!W5/'Quy mô thị trường'!W6</f>
        <v/>
      </c>
      <c r="X5" s="12">
        <f>'Quy mô thị trường'!X15*cert_fee_yr1*(1+cert_fee_escalation)^'Quy mô thị trường'!X5/'Quy mô thị trường'!X6</f>
        <v/>
      </c>
      <c r="Y5" s="12">
        <f>'Quy mô thị trường'!Y15*cert_fee_yr1*(1+cert_fee_escalation)^'Quy mô thị trường'!Y5/'Quy mô thị trường'!Y6</f>
        <v/>
      </c>
      <c r="Z5" s="12">
        <f>'Quy mô thị trường'!Z15*cert_fee_yr1*(1+cert_fee_escalation)^'Quy mô thị trường'!Z5/'Quy mô thị trường'!Z6</f>
        <v/>
      </c>
      <c r="AA5" s="12">
        <f>'Quy mô thị trường'!AA15*cert_fee_yr1*(1+cert_fee_escalation)^'Quy mô thị trường'!AA5/'Quy mô thị trường'!AA6</f>
        <v/>
      </c>
      <c r="AB5" s="12">
        <f>'Quy mô thị trường'!AB15*cert_fee_yr1*(1+cert_fee_escalation)^'Quy mô thị trường'!AB5/'Quy mô thị trường'!AB6</f>
        <v/>
      </c>
      <c r="AC5" s="12">
        <f>'Quy mô thị trường'!AC15*cert_fee_yr1*(1+cert_fee_escalation)^'Quy mô thị trường'!AC5/'Quy mô thị trường'!AC6</f>
        <v/>
      </c>
      <c r="AD5" s="12">
        <f>'Quy mô thị trường'!AD15*cert_fee_yr1*(1+cert_fee_escalation)^'Quy mô thị trường'!AD5/'Quy mô thị trường'!AD6</f>
        <v/>
      </c>
      <c r="AE5" s="12">
        <f>'Quy mô thị trường'!AE15*cert_fee_yr1*(1+cert_fee_escalation)^'Quy mô thị trường'!AE5/'Quy mô thị trường'!AE6</f>
        <v/>
      </c>
      <c r="AF5" s="12">
        <f>'Quy mô thị trường'!AF15*cert_fee_yr1*(1+cert_fee_escalation)^'Quy mô thị trường'!AF5/'Quy mô thị trường'!AF6</f>
        <v/>
      </c>
      <c r="AG5" s="12">
        <f>'Quy mô thị trường'!AG15*cert_fee_yr1*(1+cert_fee_escalation)^'Quy mô thị trường'!AG5/'Quy mô thị trường'!AG6</f>
        <v/>
      </c>
      <c r="AH5" s="12">
        <f>'Quy mô thị trường'!AH15*cert_fee_yr1*(1+cert_fee_escalation)^'Quy mô thị trường'!AH5/'Quy mô thị trường'!AH6</f>
        <v/>
      </c>
      <c r="AI5" s="12">
        <f>'Quy mô thị trường'!AI15*cert_fee_yr1*(1+cert_fee_escalation)^'Quy mô thị trường'!AI5/'Quy mô thị trường'!AI6</f>
        <v/>
      </c>
      <c r="AJ5" s="12">
        <f>'Quy mô thị trường'!AJ15*cert_fee_yr1*(1+cert_fee_escalation)^'Quy mô thị trường'!AJ5/'Quy mô thị trường'!AJ6</f>
        <v/>
      </c>
      <c r="AK5" s="12">
        <f>'Quy mô thị trường'!AK15*cert_fee_yr1*(1+cert_fee_escalation)^'Quy mô thị trường'!AK5/'Quy mô thị trường'!AK6</f>
        <v/>
      </c>
      <c r="AL5" s="12">
        <f>'Quy mô thị trường'!AL15*cert_fee_yr1*(1+cert_fee_escalation)^'Quy mô thị trường'!AL5/'Quy mô thị trường'!AL6</f>
        <v/>
      </c>
      <c r="AM5" s="12">
        <f>'Quy mô thị trường'!AM15*cert_fee_yr1*(1+cert_fee_escalation)^'Quy mô thị trường'!AM5/'Quy mô thị trường'!AM6</f>
        <v/>
      </c>
      <c r="AN5" s="12">
        <f>'Quy mô thị trường'!AN15*cert_fee_yr1*(1+cert_fee_escalation)^'Quy mô thị trường'!AN5/'Quy mô thị trường'!AN6</f>
        <v/>
      </c>
      <c r="AO5" s="12">
        <f>'Quy mô thị trường'!AO15*cert_fee_yr1*(1+cert_fee_escalation)^'Quy mô thị trường'!AO5/'Quy mô thị trường'!AO6</f>
        <v/>
      </c>
      <c r="AP5" s="12">
        <f>'Quy mô thị trường'!AP15*cert_fee_yr1*(1+cert_fee_escalation)^'Quy mô thị trường'!AP5/'Quy mô thị trường'!AP6</f>
        <v/>
      </c>
      <c r="AQ5" s="12">
        <f>'Quy mô thị trường'!AQ15*cert_fee_yr1*(1+cert_fee_escalation)^'Quy mô thị trường'!AQ5/'Quy mô thị trường'!AQ6</f>
        <v/>
      </c>
      <c r="AR5" s="12">
        <f>'Quy mô thị trường'!AR15*cert_fee_yr1*(1+cert_fee_escalation)^'Quy mô thị trường'!AR5/'Quy mô thị trường'!AR6</f>
        <v/>
      </c>
    </row>
    <row r="6">
      <c r="A6" s="6" t="inlineStr">
        <is>
          <t xml:space="preserve">  Đào tạo &amp; tư vấn</t>
        </is>
      </c>
      <c r="B6" s="6" t="inlineStr">
        <is>
          <t>Tr VND</t>
        </is>
      </c>
      <c r="C6" s="12">
        <f>'Quy mô thị trường'!C15*training_pct*training_fee/'Quy mô thị trường'!C6</f>
        <v/>
      </c>
      <c r="D6" s="12">
        <f>'Quy mô thị trường'!D15*training_pct*training_fee/'Quy mô thị trường'!D6</f>
        <v/>
      </c>
      <c r="E6" s="12">
        <f>'Quy mô thị trường'!E15*training_pct*training_fee/'Quy mô thị trường'!E6</f>
        <v/>
      </c>
      <c r="F6" s="12">
        <f>'Quy mô thị trường'!F15*training_pct*training_fee/'Quy mô thị trường'!F6</f>
        <v/>
      </c>
      <c r="G6" s="12">
        <f>'Quy mô thị trường'!G15*training_pct*training_fee/'Quy mô thị trường'!G6</f>
        <v/>
      </c>
      <c r="H6" s="12">
        <f>'Quy mô thị trường'!H15*training_pct*training_fee/'Quy mô thị trường'!H6</f>
        <v/>
      </c>
      <c r="I6" s="12">
        <f>'Quy mô thị trường'!I15*training_pct*training_fee/'Quy mô thị trường'!I6</f>
        <v/>
      </c>
      <c r="J6" s="12">
        <f>'Quy mô thị trường'!J15*training_pct*training_fee/'Quy mô thị trường'!J6</f>
        <v/>
      </c>
      <c r="K6" s="12">
        <f>'Quy mô thị trường'!K15*training_pct*training_fee/'Quy mô thị trường'!K6</f>
        <v/>
      </c>
      <c r="L6" s="12">
        <f>'Quy mô thị trường'!L15*training_pct*training_fee/'Quy mô thị trường'!L6</f>
        <v/>
      </c>
      <c r="M6" s="12">
        <f>'Quy mô thị trường'!M15*training_pct*training_fee/'Quy mô thị trường'!M6</f>
        <v/>
      </c>
      <c r="N6" s="12">
        <f>'Quy mô thị trường'!N15*training_pct*training_fee/'Quy mô thị trường'!N6</f>
        <v/>
      </c>
      <c r="O6" s="12">
        <f>'Quy mô thị trường'!O15*training_pct*training_fee/'Quy mô thị trường'!O6</f>
        <v/>
      </c>
      <c r="P6" s="12">
        <f>'Quy mô thị trường'!P15*training_pct*training_fee/'Quy mô thị trường'!P6</f>
        <v/>
      </c>
      <c r="Q6" s="12">
        <f>'Quy mô thị trường'!Q15*training_pct*training_fee/'Quy mô thị trường'!Q6</f>
        <v/>
      </c>
      <c r="R6" s="12">
        <f>'Quy mô thị trường'!R15*training_pct*training_fee/'Quy mô thị trường'!R6</f>
        <v/>
      </c>
      <c r="S6" s="12">
        <f>'Quy mô thị trường'!S15*training_pct*training_fee/'Quy mô thị trường'!S6</f>
        <v/>
      </c>
      <c r="T6" s="12">
        <f>'Quy mô thị trường'!T15*training_pct*training_fee/'Quy mô thị trường'!T6</f>
        <v/>
      </c>
      <c r="U6" s="12">
        <f>'Quy mô thị trường'!U15*training_pct*training_fee/'Quy mô thị trường'!U6</f>
        <v/>
      </c>
      <c r="V6" s="12">
        <f>'Quy mô thị trường'!V15*training_pct*training_fee/'Quy mô thị trường'!V6</f>
        <v/>
      </c>
      <c r="W6" s="12">
        <f>'Quy mô thị trường'!W15*training_pct*training_fee/'Quy mô thị trường'!W6</f>
        <v/>
      </c>
      <c r="X6" s="12">
        <f>'Quy mô thị trường'!X15*training_pct*training_fee/'Quy mô thị trường'!X6</f>
        <v/>
      </c>
      <c r="Y6" s="12">
        <f>'Quy mô thị trường'!Y15*training_pct*training_fee/'Quy mô thị trường'!Y6</f>
        <v/>
      </c>
      <c r="Z6" s="12">
        <f>'Quy mô thị trường'!Z15*training_pct*training_fee/'Quy mô thị trường'!Z6</f>
        <v/>
      </c>
      <c r="AA6" s="12">
        <f>'Quy mô thị trường'!AA15*training_pct*training_fee/'Quy mô thị trường'!AA6</f>
        <v/>
      </c>
      <c r="AB6" s="12">
        <f>'Quy mô thị trường'!AB15*training_pct*training_fee/'Quy mô thị trường'!AB6</f>
        <v/>
      </c>
      <c r="AC6" s="12">
        <f>'Quy mô thị trường'!AC15*training_pct*training_fee/'Quy mô thị trường'!AC6</f>
        <v/>
      </c>
      <c r="AD6" s="12">
        <f>'Quy mô thị trường'!AD15*training_pct*training_fee/'Quy mô thị trường'!AD6</f>
        <v/>
      </c>
      <c r="AE6" s="12">
        <f>'Quy mô thị trường'!AE15*training_pct*training_fee/'Quy mô thị trường'!AE6</f>
        <v/>
      </c>
      <c r="AF6" s="12">
        <f>'Quy mô thị trường'!AF15*training_pct*training_fee/'Quy mô thị trường'!AF6</f>
        <v/>
      </c>
      <c r="AG6" s="12">
        <f>'Quy mô thị trường'!AG15*training_pct*training_fee/'Quy mô thị trường'!AG6</f>
        <v/>
      </c>
      <c r="AH6" s="12">
        <f>'Quy mô thị trường'!AH15*training_pct*training_fee/'Quy mô thị trường'!AH6</f>
        <v/>
      </c>
      <c r="AI6" s="12">
        <f>'Quy mô thị trường'!AI15*training_pct*training_fee/'Quy mô thị trường'!AI6</f>
        <v/>
      </c>
      <c r="AJ6" s="12">
        <f>'Quy mô thị trường'!AJ15*training_pct*training_fee/'Quy mô thị trường'!AJ6</f>
        <v/>
      </c>
      <c r="AK6" s="12">
        <f>'Quy mô thị trường'!AK15*training_pct*training_fee/'Quy mô thị trường'!AK6</f>
        <v/>
      </c>
      <c r="AL6" s="12">
        <f>'Quy mô thị trường'!AL15*training_pct*training_fee/'Quy mô thị trường'!AL6</f>
        <v/>
      </c>
      <c r="AM6" s="12">
        <f>'Quy mô thị trường'!AM15*training_pct*training_fee/'Quy mô thị trường'!AM6</f>
        <v/>
      </c>
      <c r="AN6" s="12">
        <f>'Quy mô thị trường'!AN15*training_pct*training_fee/'Quy mô thị trường'!AN6</f>
        <v/>
      </c>
      <c r="AO6" s="12">
        <f>'Quy mô thị trường'!AO15*training_pct*training_fee/'Quy mô thị trường'!AO6</f>
        <v/>
      </c>
      <c r="AP6" s="12">
        <f>'Quy mô thị trường'!AP15*training_pct*training_fee/'Quy mô thị trường'!AP6</f>
        <v/>
      </c>
      <c r="AQ6" s="12">
        <f>'Quy mô thị trường'!AQ15*training_pct*training_fee/'Quy mô thị trường'!AQ6</f>
        <v/>
      </c>
      <c r="AR6" s="12">
        <f>'Quy mô thị trường'!AR15*training_pct*training_fee/'Quy mô thị trường'!AR6</f>
        <v/>
      </c>
    </row>
    <row r="7">
      <c r="A7" s="6" t="inlineStr">
        <is>
          <t xml:space="preserve">  Phí kiểm toán</t>
        </is>
      </c>
      <c r="B7" s="6" t="inlineStr">
        <is>
          <t>Tr VND</t>
        </is>
      </c>
      <c r="C7" s="12">
        <f>'Quy mô thị trường'!C15*audit_fee/'Quy mô thị trường'!C6</f>
        <v/>
      </c>
      <c r="D7" s="12">
        <f>'Quy mô thị trường'!D15*audit_fee/'Quy mô thị trường'!D6</f>
        <v/>
      </c>
      <c r="E7" s="12">
        <f>'Quy mô thị trường'!E15*audit_fee/'Quy mô thị trường'!E6</f>
        <v/>
      </c>
      <c r="F7" s="12">
        <f>'Quy mô thị trường'!F15*audit_fee/'Quy mô thị trường'!F6</f>
        <v/>
      </c>
      <c r="G7" s="12">
        <f>'Quy mô thị trường'!G15*audit_fee/'Quy mô thị trường'!G6</f>
        <v/>
      </c>
      <c r="H7" s="12">
        <f>'Quy mô thị trường'!H15*audit_fee/'Quy mô thị trường'!H6</f>
        <v/>
      </c>
      <c r="I7" s="12">
        <f>'Quy mô thị trường'!I15*audit_fee/'Quy mô thị trường'!I6</f>
        <v/>
      </c>
      <c r="J7" s="12">
        <f>'Quy mô thị trường'!J15*audit_fee/'Quy mô thị trường'!J6</f>
        <v/>
      </c>
      <c r="K7" s="12">
        <f>'Quy mô thị trường'!K15*audit_fee/'Quy mô thị trường'!K6</f>
        <v/>
      </c>
      <c r="L7" s="12">
        <f>'Quy mô thị trường'!L15*audit_fee/'Quy mô thị trường'!L6</f>
        <v/>
      </c>
      <c r="M7" s="12">
        <f>'Quy mô thị trường'!M15*audit_fee/'Quy mô thị trường'!M6</f>
        <v/>
      </c>
      <c r="N7" s="12">
        <f>'Quy mô thị trường'!N15*audit_fee/'Quy mô thị trường'!N6</f>
        <v/>
      </c>
      <c r="O7" s="12">
        <f>'Quy mô thị trường'!O15*audit_fee/'Quy mô thị trường'!O6</f>
        <v/>
      </c>
      <c r="P7" s="12">
        <f>'Quy mô thị trường'!P15*audit_fee/'Quy mô thị trường'!P6</f>
        <v/>
      </c>
      <c r="Q7" s="12">
        <f>'Quy mô thị trường'!Q15*audit_fee/'Quy mô thị trường'!Q6</f>
        <v/>
      </c>
      <c r="R7" s="12">
        <f>'Quy mô thị trường'!R15*audit_fee/'Quy mô thị trường'!R6</f>
        <v/>
      </c>
      <c r="S7" s="12">
        <f>'Quy mô thị trường'!S15*audit_fee/'Quy mô thị trường'!S6</f>
        <v/>
      </c>
      <c r="T7" s="12">
        <f>'Quy mô thị trường'!T15*audit_fee/'Quy mô thị trường'!T6</f>
        <v/>
      </c>
      <c r="U7" s="12">
        <f>'Quy mô thị trường'!U15*audit_fee/'Quy mô thị trường'!U6</f>
        <v/>
      </c>
      <c r="V7" s="12">
        <f>'Quy mô thị trường'!V15*audit_fee/'Quy mô thị trường'!V6</f>
        <v/>
      </c>
      <c r="W7" s="12">
        <f>'Quy mô thị trường'!W15*audit_fee/'Quy mô thị trường'!W6</f>
        <v/>
      </c>
      <c r="X7" s="12">
        <f>'Quy mô thị trường'!X15*audit_fee/'Quy mô thị trường'!X6</f>
        <v/>
      </c>
      <c r="Y7" s="12">
        <f>'Quy mô thị trường'!Y15*audit_fee/'Quy mô thị trường'!Y6</f>
        <v/>
      </c>
      <c r="Z7" s="12">
        <f>'Quy mô thị trường'!Z15*audit_fee/'Quy mô thị trường'!Z6</f>
        <v/>
      </c>
      <c r="AA7" s="12">
        <f>'Quy mô thị trường'!AA15*audit_fee/'Quy mô thị trường'!AA6</f>
        <v/>
      </c>
      <c r="AB7" s="12">
        <f>'Quy mô thị trường'!AB15*audit_fee/'Quy mô thị trường'!AB6</f>
        <v/>
      </c>
      <c r="AC7" s="12">
        <f>'Quy mô thị trường'!AC15*audit_fee/'Quy mô thị trường'!AC6</f>
        <v/>
      </c>
      <c r="AD7" s="12">
        <f>'Quy mô thị trường'!AD15*audit_fee/'Quy mô thị trường'!AD6</f>
        <v/>
      </c>
      <c r="AE7" s="12">
        <f>'Quy mô thị trường'!AE15*audit_fee/'Quy mô thị trường'!AE6</f>
        <v/>
      </c>
      <c r="AF7" s="12">
        <f>'Quy mô thị trường'!AF15*audit_fee/'Quy mô thị trường'!AF6</f>
        <v/>
      </c>
      <c r="AG7" s="12">
        <f>'Quy mô thị trường'!AG15*audit_fee/'Quy mô thị trường'!AG6</f>
        <v/>
      </c>
      <c r="AH7" s="12">
        <f>'Quy mô thị trường'!AH15*audit_fee/'Quy mô thị trường'!AH6</f>
        <v/>
      </c>
      <c r="AI7" s="12">
        <f>'Quy mô thị trường'!AI15*audit_fee/'Quy mô thị trường'!AI6</f>
        <v/>
      </c>
      <c r="AJ7" s="12">
        <f>'Quy mô thị trường'!AJ15*audit_fee/'Quy mô thị trường'!AJ6</f>
        <v/>
      </c>
      <c r="AK7" s="12">
        <f>'Quy mô thị trường'!AK15*audit_fee/'Quy mô thị trường'!AK6</f>
        <v/>
      </c>
      <c r="AL7" s="12">
        <f>'Quy mô thị trường'!AL15*audit_fee/'Quy mô thị trường'!AL6</f>
        <v/>
      </c>
      <c r="AM7" s="12">
        <f>'Quy mô thị trường'!AM15*audit_fee/'Quy mô thị trường'!AM6</f>
        <v/>
      </c>
      <c r="AN7" s="12">
        <f>'Quy mô thị trường'!AN15*audit_fee/'Quy mô thị trường'!AN6</f>
        <v/>
      </c>
      <c r="AO7" s="12">
        <f>'Quy mô thị trường'!AO15*audit_fee/'Quy mô thị trường'!AO6</f>
        <v/>
      </c>
      <c r="AP7" s="12">
        <f>'Quy mô thị trường'!AP15*audit_fee/'Quy mô thị trường'!AP6</f>
        <v/>
      </c>
      <c r="AQ7" s="12">
        <f>'Quy mô thị trường'!AQ15*audit_fee/'Quy mô thị trường'!AQ6</f>
        <v/>
      </c>
      <c r="AR7" s="12">
        <f>'Quy mô thị trường'!AR15*audit_fee/'Quy mô thị trường'!AR6</f>
        <v/>
      </c>
    </row>
    <row r="8">
      <c r="A8" s="6" t="inlineStr">
        <is>
          <t>Tổng GĐ1</t>
        </is>
      </c>
      <c r="C8" s="11">
        <f>SUM(C5:C7)</f>
        <v/>
      </c>
      <c r="D8" s="11">
        <f>SUM(D5:D7)</f>
        <v/>
      </c>
      <c r="E8" s="11">
        <f>SUM(E5:E7)</f>
        <v/>
      </c>
      <c r="F8" s="11">
        <f>SUM(F5:F7)</f>
        <v/>
      </c>
      <c r="G8" s="11">
        <f>SUM(G5:G7)</f>
        <v/>
      </c>
      <c r="H8" s="11">
        <f>SUM(H5:H7)</f>
        <v/>
      </c>
      <c r="I8" s="11">
        <f>SUM(I5:I7)</f>
        <v/>
      </c>
      <c r="J8" s="11">
        <f>SUM(J5:J7)</f>
        <v/>
      </c>
      <c r="K8" s="11">
        <f>SUM(K5:K7)</f>
        <v/>
      </c>
      <c r="L8" s="11">
        <f>SUM(L5:L7)</f>
        <v/>
      </c>
      <c r="M8" s="11">
        <f>SUM(M5:M7)</f>
        <v/>
      </c>
      <c r="N8" s="11">
        <f>SUM(N5:N7)</f>
        <v/>
      </c>
      <c r="O8" s="11">
        <f>SUM(O5:O7)</f>
        <v/>
      </c>
      <c r="P8" s="11">
        <f>SUM(P5:P7)</f>
        <v/>
      </c>
      <c r="Q8" s="11">
        <f>SUM(Q5:Q7)</f>
        <v/>
      </c>
      <c r="R8" s="11">
        <f>SUM(R5:R7)</f>
        <v/>
      </c>
      <c r="S8" s="11">
        <f>SUM(S5:S7)</f>
        <v/>
      </c>
      <c r="T8" s="11">
        <f>SUM(T5:T7)</f>
        <v/>
      </c>
      <c r="U8" s="11">
        <f>SUM(U5:U7)</f>
        <v/>
      </c>
      <c r="V8" s="11">
        <f>SUM(V5:V7)</f>
        <v/>
      </c>
      <c r="W8" s="11">
        <f>SUM(W5:W7)</f>
        <v/>
      </c>
      <c r="X8" s="11">
        <f>SUM(X5:X7)</f>
        <v/>
      </c>
      <c r="Y8" s="11">
        <f>SUM(Y5:Y7)</f>
        <v/>
      </c>
      <c r="Z8" s="11">
        <f>SUM(Z5:Z7)</f>
        <v/>
      </c>
      <c r="AA8" s="11">
        <f>SUM(AA5:AA7)</f>
        <v/>
      </c>
      <c r="AB8" s="11">
        <f>SUM(AB5:AB7)</f>
        <v/>
      </c>
      <c r="AC8" s="11">
        <f>SUM(AC5:AC7)</f>
        <v/>
      </c>
      <c r="AD8" s="11">
        <f>SUM(AD5:AD7)</f>
        <v/>
      </c>
      <c r="AE8" s="11">
        <f>SUM(AE5:AE7)</f>
        <v/>
      </c>
      <c r="AF8" s="11">
        <f>SUM(AF5:AF7)</f>
        <v/>
      </c>
      <c r="AG8" s="11">
        <f>SUM(AG5:AG7)</f>
        <v/>
      </c>
      <c r="AH8" s="11">
        <f>SUM(AH5:AH7)</f>
        <v/>
      </c>
      <c r="AI8" s="11">
        <f>SUM(AI5:AI7)</f>
        <v/>
      </c>
      <c r="AJ8" s="11">
        <f>SUM(AJ5:AJ7)</f>
        <v/>
      </c>
      <c r="AK8" s="11">
        <f>SUM(AK5:AK7)</f>
        <v/>
      </c>
      <c r="AL8" s="11">
        <f>SUM(AL5:AL7)</f>
        <v/>
      </c>
      <c r="AM8" s="11">
        <f>SUM(AM5:AM7)</f>
        <v/>
      </c>
      <c r="AN8" s="11">
        <f>SUM(AN5:AN7)</f>
        <v/>
      </c>
      <c r="AO8" s="11">
        <f>SUM(AO5:AO7)</f>
        <v/>
      </c>
      <c r="AP8" s="11">
        <f>SUM(AP5:AP7)</f>
        <v/>
      </c>
      <c r="AQ8" s="11">
        <f>SUM(AQ5:AQ7)</f>
        <v/>
      </c>
      <c r="AR8" s="11">
        <f>SUM(AR5:AR7)</f>
        <v/>
      </c>
    </row>
    <row r="10">
      <c r="A10" s="3" t="inlineStr">
        <is>
          <t>GIAI ĐOẠN 2 (có điều kiện)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</row>
    <row r="11">
      <c r="A11" s="6" t="inlineStr">
        <is>
          <t xml:space="preserve">  Phí giao dịch</t>
        </is>
      </c>
      <c r="B11" s="6" t="inlineStr">
        <is>
          <t>Tr VND</t>
        </is>
      </c>
      <c r="C11" s="12">
        <f>IF('Quy mô thị trường'!C15&gt;=stage2_gate,'Quy mô thị trường'!C10*platform_market_share*tx_take_rate*1000,0)</f>
        <v/>
      </c>
      <c r="D11" s="12">
        <f>IF('Quy mô thị trường'!D15&gt;=stage2_gate,'Quy mô thị trường'!D10*platform_market_share*tx_take_rate*1000,0)</f>
        <v/>
      </c>
      <c r="E11" s="12">
        <f>IF('Quy mô thị trường'!E15&gt;=stage2_gate,'Quy mô thị trường'!E10*platform_market_share*tx_take_rate*1000,0)</f>
        <v/>
      </c>
      <c r="F11" s="12">
        <f>IF('Quy mô thị trường'!F15&gt;=stage2_gate,'Quy mô thị trường'!F10*platform_market_share*tx_take_rate*1000,0)</f>
        <v/>
      </c>
      <c r="G11" s="12">
        <f>IF('Quy mô thị trường'!G15&gt;=stage2_gate,'Quy mô thị trường'!G10*platform_market_share*tx_take_rate*1000,0)</f>
        <v/>
      </c>
      <c r="H11" s="12">
        <f>IF('Quy mô thị trường'!H15&gt;=stage2_gate,'Quy mô thị trường'!H10*platform_market_share*tx_take_rate*1000,0)</f>
        <v/>
      </c>
      <c r="I11" s="12">
        <f>IF('Quy mô thị trường'!I15&gt;=stage2_gate,'Quy mô thị trường'!I10*platform_market_share*tx_take_rate*1000,0)</f>
        <v/>
      </c>
      <c r="J11" s="12">
        <f>IF('Quy mô thị trường'!J15&gt;=stage2_gate,'Quy mô thị trường'!J10*platform_market_share*tx_take_rate*1000,0)</f>
        <v/>
      </c>
      <c r="K11" s="12">
        <f>IF('Quy mô thị trường'!K15&gt;=stage2_gate,'Quy mô thị trường'!K10*platform_market_share*tx_take_rate*1000,0)</f>
        <v/>
      </c>
      <c r="L11" s="12">
        <f>IF('Quy mô thị trường'!L15&gt;=stage2_gate,'Quy mô thị trường'!L10*platform_market_share*tx_take_rate*1000,0)</f>
        <v/>
      </c>
      <c r="M11" s="12">
        <f>IF('Quy mô thị trường'!M15&gt;=stage2_gate,'Quy mô thị trường'!M10*platform_market_share*tx_take_rate*1000,0)</f>
        <v/>
      </c>
      <c r="N11" s="12">
        <f>IF('Quy mô thị trường'!N15&gt;=stage2_gate,'Quy mô thị trường'!N10*platform_market_share*tx_take_rate*1000,0)</f>
        <v/>
      </c>
      <c r="O11" s="12">
        <f>IF('Quy mô thị trường'!O15&gt;=stage2_gate,'Quy mô thị trường'!O10*platform_market_share*tx_take_rate*1000,0)</f>
        <v/>
      </c>
      <c r="P11" s="12">
        <f>IF('Quy mô thị trường'!P15&gt;=stage2_gate,'Quy mô thị trường'!P10*platform_market_share*tx_take_rate*1000,0)</f>
        <v/>
      </c>
      <c r="Q11" s="12">
        <f>IF('Quy mô thị trường'!Q15&gt;=stage2_gate,'Quy mô thị trường'!Q10*platform_market_share*tx_take_rate*1000,0)</f>
        <v/>
      </c>
      <c r="R11" s="12">
        <f>IF('Quy mô thị trường'!R15&gt;=stage2_gate,'Quy mô thị trường'!R10*platform_market_share*tx_take_rate*1000,0)</f>
        <v/>
      </c>
      <c r="S11" s="12">
        <f>IF('Quy mô thị trường'!S15&gt;=stage2_gate,'Quy mô thị trường'!S10*platform_market_share*tx_take_rate*1000,0)</f>
        <v/>
      </c>
      <c r="T11" s="12">
        <f>IF('Quy mô thị trường'!T15&gt;=stage2_gate,'Quy mô thị trường'!T10*platform_market_share*tx_take_rate*1000,0)</f>
        <v/>
      </c>
      <c r="U11" s="12">
        <f>IF('Quy mô thị trường'!U15&gt;=stage2_gate,'Quy mô thị trường'!U10*platform_market_share*tx_take_rate*1000,0)</f>
        <v/>
      </c>
      <c r="V11" s="12">
        <f>IF('Quy mô thị trường'!V15&gt;=stage2_gate,'Quy mô thị trường'!V10*platform_market_share*tx_take_rate*1000,0)</f>
        <v/>
      </c>
      <c r="W11" s="12">
        <f>IF('Quy mô thị trường'!W15&gt;=stage2_gate,'Quy mô thị trường'!W10*platform_market_share*tx_take_rate*1000,0)</f>
        <v/>
      </c>
      <c r="X11" s="12">
        <f>IF('Quy mô thị trường'!X15&gt;=stage2_gate,'Quy mô thị trường'!X10*platform_market_share*tx_take_rate*1000,0)</f>
        <v/>
      </c>
      <c r="Y11" s="12">
        <f>IF('Quy mô thị trường'!Y15&gt;=stage2_gate,'Quy mô thị trường'!Y10*platform_market_share*tx_take_rate*1000,0)</f>
        <v/>
      </c>
      <c r="Z11" s="12">
        <f>IF('Quy mô thị trường'!Z15&gt;=stage2_gate,'Quy mô thị trường'!Z10*platform_market_share*tx_take_rate*1000,0)</f>
        <v/>
      </c>
      <c r="AA11" s="12">
        <f>IF('Quy mô thị trường'!AA15&gt;=stage2_gate,'Quy mô thị trường'!AA10*platform_market_share*tx_take_rate*1000,0)</f>
        <v/>
      </c>
      <c r="AB11" s="12">
        <f>IF('Quy mô thị trường'!AB15&gt;=stage2_gate,'Quy mô thị trường'!AB10*platform_market_share*tx_take_rate*1000,0)</f>
        <v/>
      </c>
      <c r="AC11" s="12">
        <f>IF('Quy mô thị trường'!AC15&gt;=stage2_gate,'Quy mô thị trường'!AC10*platform_market_share*tx_take_rate*1000,0)</f>
        <v/>
      </c>
      <c r="AD11" s="12">
        <f>IF('Quy mô thị trường'!AD15&gt;=stage2_gate,'Quy mô thị trường'!AD10*platform_market_share*tx_take_rate*1000,0)</f>
        <v/>
      </c>
      <c r="AE11" s="12">
        <f>IF('Quy mô thị trường'!AE15&gt;=stage2_gate,'Quy mô thị trường'!AE10*platform_market_share*tx_take_rate*1000,0)</f>
        <v/>
      </c>
      <c r="AF11" s="12">
        <f>IF('Quy mô thị trường'!AF15&gt;=stage2_gate,'Quy mô thị trường'!AF10*platform_market_share*tx_take_rate*1000,0)</f>
        <v/>
      </c>
      <c r="AG11" s="12">
        <f>IF('Quy mô thị trường'!AG15&gt;=stage2_gate,'Quy mô thị trường'!AG10*platform_market_share*tx_take_rate*1000,0)</f>
        <v/>
      </c>
      <c r="AH11" s="12">
        <f>IF('Quy mô thị trường'!AH15&gt;=stage2_gate,'Quy mô thị trường'!AH10*platform_market_share*tx_take_rate*1000,0)</f>
        <v/>
      </c>
      <c r="AI11" s="12">
        <f>IF('Quy mô thị trường'!AI15&gt;=stage2_gate,'Quy mô thị trường'!AI10*platform_market_share*tx_take_rate*1000,0)</f>
        <v/>
      </c>
      <c r="AJ11" s="12">
        <f>IF('Quy mô thị trường'!AJ15&gt;=stage2_gate,'Quy mô thị trường'!AJ10*platform_market_share*tx_take_rate*1000,0)</f>
        <v/>
      </c>
      <c r="AK11" s="12">
        <f>IF('Quy mô thị trường'!AK15&gt;=stage2_gate,'Quy mô thị trường'!AK10*platform_market_share*tx_take_rate*1000,0)</f>
        <v/>
      </c>
      <c r="AL11" s="12">
        <f>IF('Quy mô thị trường'!AL15&gt;=stage2_gate,'Quy mô thị trường'!AL10*platform_market_share*tx_take_rate*1000,0)</f>
        <v/>
      </c>
      <c r="AM11" s="12">
        <f>IF('Quy mô thị trường'!AM15&gt;=stage2_gate,'Quy mô thị trường'!AM10*platform_market_share*tx_take_rate*1000,0)</f>
        <v/>
      </c>
      <c r="AN11" s="12">
        <f>IF('Quy mô thị trường'!AN15&gt;=stage2_gate,'Quy mô thị trường'!AN10*platform_market_share*tx_take_rate*1000,0)</f>
        <v/>
      </c>
      <c r="AO11" s="12">
        <f>IF('Quy mô thị trường'!AO15&gt;=stage2_gate,'Quy mô thị trường'!AO10*platform_market_share*tx_take_rate*1000,0)</f>
        <v/>
      </c>
      <c r="AP11" s="12">
        <f>IF('Quy mô thị trường'!AP15&gt;=stage2_gate,'Quy mô thị trường'!AP10*platform_market_share*tx_take_rate*1000,0)</f>
        <v/>
      </c>
      <c r="AQ11" s="12">
        <f>IF('Quy mô thị trường'!AQ15&gt;=stage2_gate,'Quy mô thị trường'!AQ10*platform_market_share*tx_take_rate*1000,0)</f>
        <v/>
      </c>
      <c r="AR11" s="12">
        <f>IF('Quy mô thị trường'!AR15&gt;=stage2_gate,'Quy mô thị trường'!AR10*platform_market_share*tx_take_rate*1000,0)</f>
        <v/>
      </c>
    </row>
    <row r="12">
      <c r="A12" s="6" t="inlineStr">
        <is>
          <t xml:space="preserve">  DaaS</t>
        </is>
      </c>
      <c r="B12" s="6" t="inlineStr">
        <is>
          <t>Tr VND</t>
        </is>
      </c>
      <c r="C12" s="12">
        <f>IF('Quy mô thị trường'!C15&gt;=stage2_gate,'Quy mô thị trường'!C17*daas_price,0)</f>
        <v/>
      </c>
      <c r="D12" s="12">
        <f>IF('Quy mô thị trường'!D15&gt;=stage2_gate,'Quy mô thị trường'!D17*daas_price,0)</f>
        <v/>
      </c>
      <c r="E12" s="12">
        <f>IF('Quy mô thị trường'!E15&gt;=stage2_gate,'Quy mô thị trường'!E17*daas_price,0)</f>
        <v/>
      </c>
      <c r="F12" s="12">
        <f>IF('Quy mô thị trường'!F15&gt;=stage2_gate,'Quy mô thị trường'!F17*daas_price,0)</f>
        <v/>
      </c>
      <c r="G12" s="12">
        <f>IF('Quy mô thị trường'!G15&gt;=stage2_gate,'Quy mô thị trường'!G17*daas_price,0)</f>
        <v/>
      </c>
      <c r="H12" s="12">
        <f>IF('Quy mô thị trường'!H15&gt;=stage2_gate,'Quy mô thị trường'!H17*daas_price,0)</f>
        <v/>
      </c>
      <c r="I12" s="12">
        <f>IF('Quy mô thị trường'!I15&gt;=stage2_gate,'Quy mô thị trường'!I17*daas_price,0)</f>
        <v/>
      </c>
      <c r="J12" s="12">
        <f>IF('Quy mô thị trường'!J15&gt;=stage2_gate,'Quy mô thị trường'!J17*daas_price,0)</f>
        <v/>
      </c>
      <c r="K12" s="12">
        <f>IF('Quy mô thị trường'!K15&gt;=stage2_gate,'Quy mô thị trường'!K17*daas_price,0)</f>
        <v/>
      </c>
      <c r="L12" s="12">
        <f>IF('Quy mô thị trường'!L15&gt;=stage2_gate,'Quy mô thị trường'!L17*daas_price,0)</f>
        <v/>
      </c>
      <c r="M12" s="12">
        <f>IF('Quy mô thị trường'!M15&gt;=stage2_gate,'Quy mô thị trường'!M17*daas_price,0)</f>
        <v/>
      </c>
      <c r="N12" s="12">
        <f>IF('Quy mô thị trường'!N15&gt;=stage2_gate,'Quy mô thị trường'!N17*daas_price,0)</f>
        <v/>
      </c>
      <c r="O12" s="12">
        <f>IF('Quy mô thị trường'!O15&gt;=stage2_gate,'Quy mô thị trường'!O17*daas_price,0)</f>
        <v/>
      </c>
      <c r="P12" s="12">
        <f>IF('Quy mô thị trường'!P15&gt;=stage2_gate,'Quy mô thị trường'!P17*daas_price,0)</f>
        <v/>
      </c>
      <c r="Q12" s="12">
        <f>IF('Quy mô thị trường'!Q15&gt;=stage2_gate,'Quy mô thị trường'!Q17*daas_price,0)</f>
        <v/>
      </c>
      <c r="R12" s="12">
        <f>IF('Quy mô thị trường'!R15&gt;=stage2_gate,'Quy mô thị trường'!R17*daas_price,0)</f>
        <v/>
      </c>
      <c r="S12" s="12">
        <f>IF('Quy mô thị trường'!S15&gt;=stage2_gate,'Quy mô thị trường'!S17*daas_price,0)</f>
        <v/>
      </c>
      <c r="T12" s="12">
        <f>IF('Quy mô thị trường'!T15&gt;=stage2_gate,'Quy mô thị trường'!T17*daas_price,0)</f>
        <v/>
      </c>
      <c r="U12" s="12">
        <f>IF('Quy mô thị trường'!U15&gt;=stage2_gate,'Quy mô thị trường'!U17*daas_price,0)</f>
        <v/>
      </c>
      <c r="V12" s="12">
        <f>IF('Quy mô thị trường'!V15&gt;=stage2_gate,'Quy mô thị trường'!V17*daas_price,0)</f>
        <v/>
      </c>
      <c r="W12" s="12">
        <f>IF('Quy mô thị trường'!W15&gt;=stage2_gate,'Quy mô thị trường'!W17*daas_price,0)</f>
        <v/>
      </c>
      <c r="X12" s="12">
        <f>IF('Quy mô thị trường'!X15&gt;=stage2_gate,'Quy mô thị trường'!X17*daas_price,0)</f>
        <v/>
      </c>
      <c r="Y12" s="12">
        <f>IF('Quy mô thị trường'!Y15&gt;=stage2_gate,'Quy mô thị trường'!Y17*daas_price,0)</f>
        <v/>
      </c>
      <c r="Z12" s="12">
        <f>IF('Quy mô thị trường'!Z15&gt;=stage2_gate,'Quy mô thị trường'!Z17*daas_price,0)</f>
        <v/>
      </c>
      <c r="AA12" s="12">
        <f>IF('Quy mô thị trường'!AA15&gt;=stage2_gate,'Quy mô thị trường'!AA17*daas_price,0)</f>
        <v/>
      </c>
      <c r="AB12" s="12">
        <f>IF('Quy mô thị trường'!AB15&gt;=stage2_gate,'Quy mô thị trường'!AB17*daas_price,0)</f>
        <v/>
      </c>
      <c r="AC12" s="12">
        <f>IF('Quy mô thị trường'!AC15&gt;=stage2_gate,'Quy mô thị trường'!AC17*daas_price,0)</f>
        <v/>
      </c>
      <c r="AD12" s="12">
        <f>IF('Quy mô thị trường'!AD15&gt;=stage2_gate,'Quy mô thị trường'!AD17*daas_price,0)</f>
        <v/>
      </c>
      <c r="AE12" s="12">
        <f>IF('Quy mô thị trường'!AE15&gt;=stage2_gate,'Quy mô thị trường'!AE17*daas_price,0)</f>
        <v/>
      </c>
      <c r="AF12" s="12">
        <f>IF('Quy mô thị trường'!AF15&gt;=stage2_gate,'Quy mô thị trường'!AF17*daas_price,0)</f>
        <v/>
      </c>
      <c r="AG12" s="12">
        <f>IF('Quy mô thị trường'!AG15&gt;=stage2_gate,'Quy mô thị trường'!AG17*daas_price,0)</f>
        <v/>
      </c>
      <c r="AH12" s="12">
        <f>IF('Quy mô thị trường'!AH15&gt;=stage2_gate,'Quy mô thị trường'!AH17*daas_price,0)</f>
        <v/>
      </c>
      <c r="AI12" s="12">
        <f>IF('Quy mô thị trường'!AI15&gt;=stage2_gate,'Quy mô thị trường'!AI17*daas_price,0)</f>
        <v/>
      </c>
      <c r="AJ12" s="12">
        <f>IF('Quy mô thị trường'!AJ15&gt;=stage2_gate,'Quy mô thị trường'!AJ17*daas_price,0)</f>
        <v/>
      </c>
      <c r="AK12" s="12">
        <f>IF('Quy mô thị trường'!AK15&gt;=stage2_gate,'Quy mô thị trường'!AK17*daas_price,0)</f>
        <v/>
      </c>
      <c r="AL12" s="12">
        <f>IF('Quy mô thị trường'!AL15&gt;=stage2_gate,'Quy mô thị trường'!AL17*daas_price,0)</f>
        <v/>
      </c>
      <c r="AM12" s="12">
        <f>IF('Quy mô thị trường'!AM15&gt;=stage2_gate,'Quy mô thị trường'!AM17*daas_price,0)</f>
        <v/>
      </c>
      <c r="AN12" s="12">
        <f>IF('Quy mô thị trường'!AN15&gt;=stage2_gate,'Quy mô thị trường'!AN17*daas_price,0)</f>
        <v/>
      </c>
      <c r="AO12" s="12">
        <f>IF('Quy mô thị trường'!AO15&gt;=stage2_gate,'Quy mô thị trường'!AO17*daas_price,0)</f>
        <v/>
      </c>
      <c r="AP12" s="12">
        <f>IF('Quy mô thị trường'!AP15&gt;=stage2_gate,'Quy mô thị trường'!AP17*daas_price,0)</f>
        <v/>
      </c>
      <c r="AQ12" s="12">
        <f>IF('Quy mô thị trường'!AQ15&gt;=stage2_gate,'Quy mô thị trường'!AQ17*daas_price,0)</f>
        <v/>
      </c>
      <c r="AR12" s="12">
        <f>IF('Quy mô thị trường'!AR15&gt;=stage2_gate,'Quy mô thị trường'!AR17*daas_price,0)</f>
        <v/>
      </c>
    </row>
    <row r="13">
      <c r="A13" s="6" t="inlineStr">
        <is>
          <t xml:space="preserve">  Quảng cáo</t>
        </is>
      </c>
      <c r="B13" s="6" t="inlineStr">
        <is>
          <t>Tr VND</t>
        </is>
      </c>
      <c r="C13" s="12">
        <f>IF('Quy mô thị trường'!C15&gt;=stage2_gate,ad_impressions_base*'Quy mô thị trường'!C7*'Quy mô thị trường'!C15/1000*ad_cpm/1000,0)</f>
        <v/>
      </c>
      <c r="D13" s="12">
        <f>IF('Quy mô thị trường'!D15&gt;=stage2_gate,ad_impressions_base*'Quy mô thị trường'!D7*'Quy mô thị trường'!D15/1000*ad_cpm/1000,0)</f>
        <v/>
      </c>
      <c r="E13" s="12">
        <f>IF('Quy mô thị trường'!E15&gt;=stage2_gate,ad_impressions_base*'Quy mô thị trường'!E7*'Quy mô thị trường'!E15/1000*ad_cpm/1000,0)</f>
        <v/>
      </c>
      <c r="F13" s="12">
        <f>IF('Quy mô thị trường'!F15&gt;=stage2_gate,ad_impressions_base*'Quy mô thị trường'!F7*'Quy mô thị trường'!F15/1000*ad_cpm/1000,0)</f>
        <v/>
      </c>
      <c r="G13" s="12">
        <f>IF('Quy mô thị trường'!G15&gt;=stage2_gate,ad_impressions_base*'Quy mô thị trường'!G7*'Quy mô thị trường'!G15/1000*ad_cpm/1000,0)</f>
        <v/>
      </c>
      <c r="H13" s="12">
        <f>IF('Quy mô thị trường'!H15&gt;=stage2_gate,ad_impressions_base*'Quy mô thị trường'!H7*'Quy mô thị trường'!H15/1000*ad_cpm/1000,0)</f>
        <v/>
      </c>
      <c r="I13" s="12">
        <f>IF('Quy mô thị trường'!I15&gt;=stage2_gate,ad_impressions_base*'Quy mô thị trường'!I7*'Quy mô thị trường'!I15/1000*ad_cpm/1000,0)</f>
        <v/>
      </c>
      <c r="J13" s="12">
        <f>IF('Quy mô thị trường'!J15&gt;=stage2_gate,ad_impressions_base*'Quy mô thị trường'!J7*'Quy mô thị trường'!J15/1000*ad_cpm/1000,0)</f>
        <v/>
      </c>
      <c r="K13" s="12">
        <f>IF('Quy mô thị trường'!K15&gt;=stage2_gate,ad_impressions_base*'Quy mô thị trường'!K7*'Quy mô thị trường'!K15/1000*ad_cpm/1000,0)</f>
        <v/>
      </c>
      <c r="L13" s="12">
        <f>IF('Quy mô thị trường'!L15&gt;=stage2_gate,ad_impressions_base*'Quy mô thị trường'!L7*'Quy mô thị trường'!L15/1000*ad_cpm/1000,0)</f>
        <v/>
      </c>
      <c r="M13" s="12">
        <f>IF('Quy mô thị trường'!M15&gt;=stage2_gate,ad_impressions_base*'Quy mô thị trường'!M7*'Quy mô thị trường'!M15/1000*ad_cpm/1000,0)</f>
        <v/>
      </c>
      <c r="N13" s="12">
        <f>IF('Quy mô thị trường'!N15&gt;=stage2_gate,ad_impressions_base*'Quy mô thị trường'!N7*'Quy mô thị trường'!N15/1000*ad_cpm/1000,0)</f>
        <v/>
      </c>
      <c r="O13" s="12">
        <f>IF('Quy mô thị trường'!O15&gt;=stage2_gate,ad_impressions_base*'Quy mô thị trường'!O7*'Quy mô thị trường'!O15/1000*ad_cpm/1000,0)</f>
        <v/>
      </c>
      <c r="P13" s="12">
        <f>IF('Quy mô thị trường'!P15&gt;=stage2_gate,ad_impressions_base*'Quy mô thị trường'!P7*'Quy mô thị trường'!P15/1000*ad_cpm/1000,0)</f>
        <v/>
      </c>
      <c r="Q13" s="12">
        <f>IF('Quy mô thị trường'!Q15&gt;=stage2_gate,ad_impressions_base*'Quy mô thị trường'!Q7*'Quy mô thị trường'!Q15/1000*ad_cpm/1000,0)</f>
        <v/>
      </c>
      <c r="R13" s="12">
        <f>IF('Quy mô thị trường'!R15&gt;=stage2_gate,ad_impressions_base*'Quy mô thị trường'!R7*'Quy mô thị trường'!R15/1000*ad_cpm/1000,0)</f>
        <v/>
      </c>
      <c r="S13" s="12">
        <f>IF('Quy mô thị trường'!S15&gt;=stage2_gate,ad_impressions_base*'Quy mô thị trường'!S7*'Quy mô thị trường'!S15/1000*ad_cpm/1000,0)</f>
        <v/>
      </c>
      <c r="T13" s="12">
        <f>IF('Quy mô thị trường'!T15&gt;=stage2_gate,ad_impressions_base*'Quy mô thị trường'!T7*'Quy mô thị trường'!T15/1000*ad_cpm/1000,0)</f>
        <v/>
      </c>
      <c r="U13" s="12">
        <f>IF('Quy mô thị trường'!U15&gt;=stage2_gate,ad_impressions_base*'Quy mô thị trường'!U7*'Quy mô thị trường'!U15/1000*ad_cpm/1000,0)</f>
        <v/>
      </c>
      <c r="V13" s="12">
        <f>IF('Quy mô thị trường'!V15&gt;=stage2_gate,ad_impressions_base*'Quy mô thị trường'!V7*'Quy mô thị trường'!V15/1000*ad_cpm/1000,0)</f>
        <v/>
      </c>
      <c r="W13" s="12">
        <f>IF('Quy mô thị trường'!W15&gt;=stage2_gate,ad_impressions_base*'Quy mô thị trường'!W7*'Quy mô thị trường'!W15/1000*ad_cpm/1000,0)</f>
        <v/>
      </c>
      <c r="X13" s="12">
        <f>IF('Quy mô thị trường'!X15&gt;=stage2_gate,ad_impressions_base*'Quy mô thị trường'!X7*'Quy mô thị trường'!X15/1000*ad_cpm/1000,0)</f>
        <v/>
      </c>
      <c r="Y13" s="12">
        <f>IF('Quy mô thị trường'!Y15&gt;=stage2_gate,ad_impressions_base*'Quy mô thị trường'!Y7*'Quy mô thị trường'!Y15/1000*ad_cpm/1000,0)</f>
        <v/>
      </c>
      <c r="Z13" s="12">
        <f>IF('Quy mô thị trường'!Z15&gt;=stage2_gate,ad_impressions_base*'Quy mô thị trường'!Z7*'Quy mô thị trường'!Z15/1000*ad_cpm/1000,0)</f>
        <v/>
      </c>
      <c r="AA13" s="12">
        <f>IF('Quy mô thị trường'!AA15&gt;=stage2_gate,ad_impressions_base*'Quy mô thị trường'!AA7*'Quy mô thị trường'!AA15/1000*ad_cpm/1000,0)</f>
        <v/>
      </c>
      <c r="AB13" s="12">
        <f>IF('Quy mô thị trường'!AB15&gt;=stage2_gate,ad_impressions_base*'Quy mô thị trường'!AB7*'Quy mô thị trường'!AB15/1000*ad_cpm/1000,0)</f>
        <v/>
      </c>
      <c r="AC13" s="12">
        <f>IF('Quy mô thị trường'!AC15&gt;=stage2_gate,ad_impressions_base*'Quy mô thị trường'!AC7*'Quy mô thị trường'!AC15/1000*ad_cpm/1000,0)</f>
        <v/>
      </c>
      <c r="AD13" s="12">
        <f>IF('Quy mô thị trường'!AD15&gt;=stage2_gate,ad_impressions_base*'Quy mô thị trường'!AD7*'Quy mô thị trường'!AD15/1000*ad_cpm/1000,0)</f>
        <v/>
      </c>
      <c r="AE13" s="12">
        <f>IF('Quy mô thị trường'!AE15&gt;=stage2_gate,ad_impressions_base*'Quy mô thị trường'!AE7*'Quy mô thị trường'!AE15/1000*ad_cpm/1000,0)</f>
        <v/>
      </c>
      <c r="AF13" s="12">
        <f>IF('Quy mô thị trường'!AF15&gt;=stage2_gate,ad_impressions_base*'Quy mô thị trường'!AF7*'Quy mô thị trường'!AF15/1000*ad_cpm/1000,0)</f>
        <v/>
      </c>
      <c r="AG13" s="12">
        <f>IF('Quy mô thị trường'!AG15&gt;=stage2_gate,ad_impressions_base*'Quy mô thị trường'!AG7*'Quy mô thị trường'!AG15/1000*ad_cpm/1000,0)</f>
        <v/>
      </c>
      <c r="AH13" s="12">
        <f>IF('Quy mô thị trường'!AH15&gt;=stage2_gate,ad_impressions_base*'Quy mô thị trường'!AH7*'Quy mô thị trường'!AH15/1000*ad_cpm/1000,0)</f>
        <v/>
      </c>
      <c r="AI13" s="12">
        <f>IF('Quy mô thị trường'!AI15&gt;=stage2_gate,ad_impressions_base*'Quy mô thị trường'!AI7*'Quy mô thị trường'!AI15/1000*ad_cpm/1000,0)</f>
        <v/>
      </c>
      <c r="AJ13" s="12">
        <f>IF('Quy mô thị trường'!AJ15&gt;=stage2_gate,ad_impressions_base*'Quy mô thị trường'!AJ7*'Quy mô thị trường'!AJ15/1000*ad_cpm/1000,0)</f>
        <v/>
      </c>
      <c r="AK13" s="12">
        <f>IF('Quy mô thị trường'!AK15&gt;=stage2_gate,ad_impressions_base*'Quy mô thị trường'!AK7*'Quy mô thị trường'!AK15/1000*ad_cpm/1000,0)</f>
        <v/>
      </c>
      <c r="AL13" s="12">
        <f>IF('Quy mô thị trường'!AL15&gt;=stage2_gate,ad_impressions_base*'Quy mô thị trường'!AL7*'Quy mô thị trường'!AL15/1000*ad_cpm/1000,0)</f>
        <v/>
      </c>
      <c r="AM13" s="12">
        <f>IF('Quy mô thị trường'!AM15&gt;=stage2_gate,ad_impressions_base*'Quy mô thị trường'!AM7*'Quy mô thị trường'!AM15/1000*ad_cpm/1000,0)</f>
        <v/>
      </c>
      <c r="AN13" s="12">
        <f>IF('Quy mô thị trường'!AN15&gt;=stage2_gate,ad_impressions_base*'Quy mô thị trường'!AN7*'Quy mô thị trường'!AN15/1000*ad_cpm/1000,0)</f>
        <v/>
      </c>
      <c r="AO13" s="12">
        <f>IF('Quy mô thị trường'!AO15&gt;=stage2_gate,ad_impressions_base*'Quy mô thị trường'!AO7*'Quy mô thị trường'!AO15/1000*ad_cpm/1000,0)</f>
        <v/>
      </c>
      <c r="AP13" s="12">
        <f>IF('Quy mô thị trường'!AP15&gt;=stage2_gate,ad_impressions_base*'Quy mô thị trường'!AP7*'Quy mô thị trường'!AP15/1000*ad_cpm/1000,0)</f>
        <v/>
      </c>
      <c r="AQ13" s="12">
        <f>IF('Quy mô thị trường'!AQ15&gt;=stage2_gate,ad_impressions_base*'Quy mô thị trường'!AQ7*'Quy mô thị trường'!AQ15/1000*ad_cpm/1000,0)</f>
        <v/>
      </c>
      <c r="AR13" s="12">
        <f>IF('Quy mô thị trường'!AR15&gt;=stage2_gate,ad_impressions_base*'Quy mô thị trường'!AR7*'Quy mô thị trường'!AR15/1000*ad_cpm/1000,0)</f>
        <v/>
      </c>
    </row>
    <row r="14">
      <c r="A14" s="6" t="inlineStr">
        <is>
          <t>Tổng GĐ2</t>
        </is>
      </c>
      <c r="C14" s="11">
        <f>SUM(C11:C13)</f>
        <v/>
      </c>
      <c r="D14" s="11">
        <f>SUM(D11:D13)</f>
        <v/>
      </c>
      <c r="E14" s="11">
        <f>SUM(E11:E13)</f>
        <v/>
      </c>
      <c r="F14" s="11">
        <f>SUM(F11:F13)</f>
        <v/>
      </c>
      <c r="G14" s="11">
        <f>SUM(G11:G13)</f>
        <v/>
      </c>
      <c r="H14" s="11">
        <f>SUM(H11:H13)</f>
        <v/>
      </c>
      <c r="I14" s="11">
        <f>SUM(I11:I13)</f>
        <v/>
      </c>
      <c r="J14" s="11">
        <f>SUM(J11:J13)</f>
        <v/>
      </c>
      <c r="K14" s="11">
        <f>SUM(K11:K13)</f>
        <v/>
      </c>
      <c r="L14" s="11">
        <f>SUM(L11:L13)</f>
        <v/>
      </c>
      <c r="M14" s="11">
        <f>SUM(M11:M13)</f>
        <v/>
      </c>
      <c r="N14" s="11">
        <f>SUM(N11:N13)</f>
        <v/>
      </c>
      <c r="O14" s="11">
        <f>SUM(O11:O13)</f>
        <v/>
      </c>
      <c r="P14" s="11">
        <f>SUM(P11:P13)</f>
        <v/>
      </c>
      <c r="Q14" s="11">
        <f>SUM(Q11:Q13)</f>
        <v/>
      </c>
      <c r="R14" s="11">
        <f>SUM(R11:R13)</f>
        <v/>
      </c>
      <c r="S14" s="11">
        <f>SUM(S11:S13)</f>
        <v/>
      </c>
      <c r="T14" s="11">
        <f>SUM(T11:T13)</f>
        <v/>
      </c>
      <c r="U14" s="11">
        <f>SUM(U11:U13)</f>
        <v/>
      </c>
      <c r="V14" s="11">
        <f>SUM(V11:V13)</f>
        <v/>
      </c>
      <c r="W14" s="11">
        <f>SUM(W11:W13)</f>
        <v/>
      </c>
      <c r="X14" s="11">
        <f>SUM(X11:X13)</f>
        <v/>
      </c>
      <c r="Y14" s="11">
        <f>SUM(Y11:Y13)</f>
        <v/>
      </c>
      <c r="Z14" s="11">
        <f>SUM(Z11:Z13)</f>
        <v/>
      </c>
      <c r="AA14" s="11">
        <f>SUM(AA11:AA13)</f>
        <v/>
      </c>
      <c r="AB14" s="11">
        <f>SUM(AB11:AB13)</f>
        <v/>
      </c>
      <c r="AC14" s="11">
        <f>SUM(AC11:AC13)</f>
        <v/>
      </c>
      <c r="AD14" s="11">
        <f>SUM(AD11:AD13)</f>
        <v/>
      </c>
      <c r="AE14" s="11">
        <f>SUM(AE11:AE13)</f>
        <v/>
      </c>
      <c r="AF14" s="11">
        <f>SUM(AF11:AF13)</f>
        <v/>
      </c>
      <c r="AG14" s="11">
        <f>SUM(AG11:AG13)</f>
        <v/>
      </c>
      <c r="AH14" s="11">
        <f>SUM(AH11:AH13)</f>
        <v/>
      </c>
      <c r="AI14" s="11">
        <f>SUM(AI11:AI13)</f>
        <v/>
      </c>
      <c r="AJ14" s="11">
        <f>SUM(AJ11:AJ13)</f>
        <v/>
      </c>
      <c r="AK14" s="11">
        <f>SUM(AK11:AK13)</f>
        <v/>
      </c>
      <c r="AL14" s="11">
        <f>SUM(AL11:AL13)</f>
        <v/>
      </c>
      <c r="AM14" s="11">
        <f>SUM(AM11:AM13)</f>
        <v/>
      </c>
      <c r="AN14" s="11">
        <f>SUM(AN11:AN13)</f>
        <v/>
      </c>
      <c r="AO14" s="11">
        <f>SUM(AO11:AO13)</f>
        <v/>
      </c>
      <c r="AP14" s="11">
        <f>SUM(AP11:AP13)</f>
        <v/>
      </c>
      <c r="AQ14" s="11">
        <f>SUM(AQ11:AQ13)</f>
        <v/>
      </c>
      <c r="AR14" s="11">
        <f>SUM(AR11:AR13)</f>
        <v/>
      </c>
    </row>
    <row r="16">
      <c r="A16" s="6" t="inlineStr">
        <is>
          <t>TỔNG DOANH THU</t>
        </is>
      </c>
      <c r="C16" s="11">
        <f>C8+C14</f>
        <v/>
      </c>
      <c r="D16" s="11">
        <f>D8+D14</f>
        <v/>
      </c>
      <c r="E16" s="11">
        <f>E8+E14</f>
        <v/>
      </c>
      <c r="F16" s="11">
        <f>F8+F14</f>
        <v/>
      </c>
      <c r="G16" s="11">
        <f>G8+G14</f>
        <v/>
      </c>
      <c r="H16" s="11">
        <f>H8+H14</f>
        <v/>
      </c>
      <c r="I16" s="11">
        <f>I8+I14</f>
        <v/>
      </c>
      <c r="J16" s="11">
        <f>J8+J14</f>
        <v/>
      </c>
      <c r="K16" s="11">
        <f>K8+K14</f>
        <v/>
      </c>
      <c r="L16" s="11">
        <f>L8+L14</f>
        <v/>
      </c>
      <c r="M16" s="11">
        <f>M8+M14</f>
        <v/>
      </c>
      <c r="N16" s="11">
        <f>N8+N14</f>
        <v/>
      </c>
      <c r="O16" s="11">
        <f>O8+O14</f>
        <v/>
      </c>
      <c r="P16" s="11">
        <f>P8+P14</f>
        <v/>
      </c>
      <c r="Q16" s="11">
        <f>Q8+Q14</f>
        <v/>
      </c>
      <c r="R16" s="11">
        <f>R8+R14</f>
        <v/>
      </c>
      <c r="S16" s="11">
        <f>S8+S14</f>
        <v/>
      </c>
      <c r="T16" s="11">
        <f>T8+T14</f>
        <v/>
      </c>
      <c r="U16" s="11">
        <f>U8+U14</f>
        <v/>
      </c>
      <c r="V16" s="11">
        <f>V8+V14</f>
        <v/>
      </c>
      <c r="W16" s="11">
        <f>W8+W14</f>
        <v/>
      </c>
      <c r="X16" s="11">
        <f>X8+X14</f>
        <v/>
      </c>
      <c r="Y16" s="11">
        <f>Y8+Y14</f>
        <v/>
      </c>
      <c r="Z16" s="11">
        <f>Z8+Z14</f>
        <v/>
      </c>
      <c r="AA16" s="11">
        <f>AA8+AA14</f>
        <v/>
      </c>
      <c r="AB16" s="11">
        <f>AB8+AB14</f>
        <v/>
      </c>
      <c r="AC16" s="11">
        <f>AC8+AC14</f>
        <v/>
      </c>
      <c r="AD16" s="11">
        <f>AD8+AD14</f>
        <v/>
      </c>
      <c r="AE16" s="11">
        <f>AE8+AE14</f>
        <v/>
      </c>
      <c r="AF16" s="11">
        <f>AF8+AF14</f>
        <v/>
      </c>
      <c r="AG16" s="11">
        <f>AG8+AG14</f>
        <v/>
      </c>
      <c r="AH16" s="11">
        <f>AH8+AH14</f>
        <v/>
      </c>
      <c r="AI16" s="11">
        <f>AI8+AI14</f>
        <v/>
      </c>
      <c r="AJ16" s="11">
        <f>AJ8+AJ14</f>
        <v/>
      </c>
      <c r="AK16" s="11">
        <f>AK8+AK14</f>
        <v/>
      </c>
      <c r="AL16" s="11">
        <f>AL8+AL14</f>
        <v/>
      </c>
      <c r="AM16" s="11">
        <f>AM8+AM14</f>
        <v/>
      </c>
      <c r="AN16" s="11">
        <f>AN8+AN14</f>
        <v/>
      </c>
      <c r="AO16" s="11">
        <f>AO8+AO14</f>
        <v/>
      </c>
      <c r="AP16" s="11">
        <f>AP8+AP14</f>
        <v/>
      </c>
      <c r="AQ16" s="11">
        <f>AQ8+AQ14</f>
        <v/>
      </c>
      <c r="AR16" s="11">
        <f>AR8+AR14</f>
        <v/>
      </c>
    </row>
    <row r="18">
      <c r="A18" s="3" t="inlineStr">
        <is>
          <t>GIÁ VỐN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</row>
    <row r="19">
      <c r="A19" s="6" t="inlineStr">
        <is>
          <t xml:space="preserve">  Phí thanh toán</t>
        </is>
      </c>
      <c r="B19" s="6" t="inlineStr">
        <is>
          <t>Tr VND</t>
        </is>
      </c>
      <c r="C19" s="12">
        <f>C11*payment_proc_pct</f>
        <v/>
      </c>
      <c r="D19" s="12">
        <f>D11*payment_proc_pct</f>
        <v/>
      </c>
      <c r="E19" s="12">
        <f>E11*payment_proc_pct</f>
        <v/>
      </c>
      <c r="F19" s="12">
        <f>F11*payment_proc_pct</f>
        <v/>
      </c>
      <c r="G19" s="12">
        <f>G11*payment_proc_pct</f>
        <v/>
      </c>
      <c r="H19" s="12">
        <f>H11*payment_proc_pct</f>
        <v/>
      </c>
      <c r="I19" s="12">
        <f>I11*payment_proc_pct</f>
        <v/>
      </c>
      <c r="J19" s="12">
        <f>J11*payment_proc_pct</f>
        <v/>
      </c>
      <c r="K19" s="12">
        <f>K11*payment_proc_pct</f>
        <v/>
      </c>
      <c r="L19" s="12">
        <f>L11*payment_proc_pct</f>
        <v/>
      </c>
      <c r="M19" s="12">
        <f>M11*payment_proc_pct</f>
        <v/>
      </c>
      <c r="N19" s="12">
        <f>N11*payment_proc_pct</f>
        <v/>
      </c>
      <c r="O19" s="12">
        <f>O11*payment_proc_pct</f>
        <v/>
      </c>
      <c r="P19" s="12">
        <f>P11*payment_proc_pct</f>
        <v/>
      </c>
      <c r="Q19" s="12">
        <f>Q11*payment_proc_pct</f>
        <v/>
      </c>
      <c r="R19" s="12">
        <f>R11*payment_proc_pct</f>
        <v/>
      </c>
      <c r="S19" s="12">
        <f>S11*payment_proc_pct</f>
        <v/>
      </c>
      <c r="T19" s="12">
        <f>T11*payment_proc_pct</f>
        <v/>
      </c>
      <c r="U19" s="12">
        <f>U11*payment_proc_pct</f>
        <v/>
      </c>
      <c r="V19" s="12">
        <f>V11*payment_proc_pct</f>
        <v/>
      </c>
      <c r="W19" s="12">
        <f>W11*payment_proc_pct</f>
        <v/>
      </c>
      <c r="X19" s="12">
        <f>X11*payment_proc_pct</f>
        <v/>
      </c>
      <c r="Y19" s="12">
        <f>Y11*payment_proc_pct</f>
        <v/>
      </c>
      <c r="Z19" s="12">
        <f>Z11*payment_proc_pct</f>
        <v/>
      </c>
      <c r="AA19" s="12">
        <f>AA11*payment_proc_pct</f>
        <v/>
      </c>
      <c r="AB19" s="12">
        <f>AB11*payment_proc_pct</f>
        <v/>
      </c>
      <c r="AC19" s="12">
        <f>AC11*payment_proc_pct</f>
        <v/>
      </c>
      <c r="AD19" s="12">
        <f>AD11*payment_proc_pct</f>
        <v/>
      </c>
      <c r="AE19" s="12">
        <f>AE11*payment_proc_pct</f>
        <v/>
      </c>
      <c r="AF19" s="12">
        <f>AF11*payment_proc_pct</f>
        <v/>
      </c>
      <c r="AG19" s="12">
        <f>AG11*payment_proc_pct</f>
        <v/>
      </c>
      <c r="AH19" s="12">
        <f>AH11*payment_proc_pct</f>
        <v/>
      </c>
      <c r="AI19" s="12">
        <f>AI11*payment_proc_pct</f>
        <v/>
      </c>
      <c r="AJ19" s="12">
        <f>AJ11*payment_proc_pct</f>
        <v/>
      </c>
      <c r="AK19" s="12">
        <f>AK11*payment_proc_pct</f>
        <v/>
      </c>
      <c r="AL19" s="12">
        <f>AL11*payment_proc_pct</f>
        <v/>
      </c>
      <c r="AM19" s="12">
        <f>AM11*payment_proc_pct</f>
        <v/>
      </c>
      <c r="AN19" s="12">
        <f>AN11*payment_proc_pct</f>
        <v/>
      </c>
      <c r="AO19" s="12">
        <f>AO11*payment_proc_pct</f>
        <v/>
      </c>
      <c r="AP19" s="12">
        <f>AP11*payment_proc_pct</f>
        <v/>
      </c>
      <c r="AQ19" s="12">
        <f>AQ11*payment_proc_pct</f>
        <v/>
      </c>
      <c r="AR19" s="12">
        <f>AR11*payment_proc_pct</f>
        <v/>
      </c>
    </row>
    <row r="20">
      <c r="A20" s="6" t="inlineStr">
        <is>
          <t>TỔNG GIÁ VỐN</t>
        </is>
      </c>
      <c r="C20" s="11">
        <f>C19</f>
        <v/>
      </c>
      <c r="D20" s="11">
        <f>D19</f>
        <v/>
      </c>
      <c r="E20" s="11">
        <f>E19</f>
        <v/>
      </c>
      <c r="F20" s="11">
        <f>F19</f>
        <v/>
      </c>
      <c r="G20" s="11">
        <f>G19</f>
        <v/>
      </c>
      <c r="H20" s="11">
        <f>H19</f>
        <v/>
      </c>
      <c r="I20" s="11">
        <f>I19</f>
        <v/>
      </c>
      <c r="J20" s="11">
        <f>J19</f>
        <v/>
      </c>
      <c r="K20" s="11">
        <f>K19</f>
        <v/>
      </c>
      <c r="L20" s="11">
        <f>L19</f>
        <v/>
      </c>
      <c r="M20" s="11">
        <f>M19</f>
        <v/>
      </c>
      <c r="N20" s="11">
        <f>N19</f>
        <v/>
      </c>
      <c r="O20" s="11">
        <f>O19</f>
        <v/>
      </c>
      <c r="P20" s="11">
        <f>P19</f>
        <v/>
      </c>
      <c r="Q20" s="11">
        <f>Q19</f>
        <v/>
      </c>
      <c r="R20" s="11">
        <f>R19</f>
        <v/>
      </c>
      <c r="S20" s="11">
        <f>S19</f>
        <v/>
      </c>
      <c r="T20" s="11">
        <f>T19</f>
        <v/>
      </c>
      <c r="U20" s="11">
        <f>U19</f>
        <v/>
      </c>
      <c r="V20" s="11">
        <f>V19</f>
        <v/>
      </c>
      <c r="W20" s="11">
        <f>W19</f>
        <v/>
      </c>
      <c r="X20" s="11">
        <f>X19</f>
        <v/>
      </c>
      <c r="Y20" s="11">
        <f>Y19</f>
        <v/>
      </c>
      <c r="Z20" s="11">
        <f>Z19</f>
        <v/>
      </c>
      <c r="AA20" s="11">
        <f>AA19</f>
        <v/>
      </c>
      <c r="AB20" s="11">
        <f>AB19</f>
        <v/>
      </c>
      <c r="AC20" s="11">
        <f>AC19</f>
        <v/>
      </c>
      <c r="AD20" s="11">
        <f>AD19</f>
        <v/>
      </c>
      <c r="AE20" s="11">
        <f>AE19</f>
        <v/>
      </c>
      <c r="AF20" s="11">
        <f>AF19</f>
        <v/>
      </c>
      <c r="AG20" s="11">
        <f>AG19</f>
        <v/>
      </c>
      <c r="AH20" s="11">
        <f>AH19</f>
        <v/>
      </c>
      <c r="AI20" s="11">
        <f>AI19</f>
        <v/>
      </c>
      <c r="AJ20" s="11">
        <f>AJ19</f>
        <v/>
      </c>
      <c r="AK20" s="11">
        <f>AK19</f>
        <v/>
      </c>
      <c r="AL20" s="11">
        <f>AL19</f>
        <v/>
      </c>
      <c r="AM20" s="11">
        <f>AM19</f>
        <v/>
      </c>
      <c r="AN20" s="11">
        <f>AN19</f>
        <v/>
      </c>
      <c r="AO20" s="11">
        <f>AO19</f>
        <v/>
      </c>
      <c r="AP20" s="11">
        <f>AP19</f>
        <v/>
      </c>
      <c r="AQ20" s="11">
        <f>AQ19</f>
        <v/>
      </c>
      <c r="AR20" s="11">
        <f>AR19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3" t="inlineStr">
        <is>
          <t>BẢNG CHI PHÍ (Tr VND)</t>
        </is>
      </c>
    </row>
    <row r="3">
      <c r="A3" s="5" t="inlineStr">
        <is>
          <t>Hạng mục</t>
        </is>
      </c>
      <c r="B3" s="5" t="inlineStr">
        <is>
          <t>ĐVT</t>
        </is>
      </c>
      <c r="C3" s="5" t="inlineStr">
        <is>
          <t>Th7 2025</t>
        </is>
      </c>
      <c r="D3" s="5" t="inlineStr">
        <is>
          <t>Th8 2025</t>
        </is>
      </c>
      <c r="E3" s="5" t="inlineStr">
        <is>
          <t>Th9 2025</t>
        </is>
      </c>
      <c r="F3" s="5" t="inlineStr">
        <is>
          <t>Th10 2025</t>
        </is>
      </c>
      <c r="G3" s="5" t="inlineStr">
        <is>
          <t>Th11 2025</t>
        </is>
      </c>
      <c r="H3" s="5" t="inlineStr">
        <is>
          <t>Th12 2025</t>
        </is>
      </c>
      <c r="I3" s="5" t="inlineStr">
        <is>
          <t>Th1 2026</t>
        </is>
      </c>
      <c r="J3" s="5" t="inlineStr">
        <is>
          <t>Th2 2026</t>
        </is>
      </c>
      <c r="K3" s="5" t="inlineStr">
        <is>
          <t>Th3 2026</t>
        </is>
      </c>
      <c r="L3" s="5" t="inlineStr">
        <is>
          <t>Th4 2026</t>
        </is>
      </c>
      <c r="M3" s="5" t="inlineStr">
        <is>
          <t>Th5 2026</t>
        </is>
      </c>
      <c r="N3" s="5" t="inlineStr">
        <is>
          <t>Th6 2026</t>
        </is>
      </c>
      <c r="O3" s="5" t="inlineStr">
        <is>
          <t>Th7 2026</t>
        </is>
      </c>
      <c r="P3" s="5" t="inlineStr">
        <is>
          <t>Th8 2026</t>
        </is>
      </c>
      <c r="Q3" s="5" t="inlineStr">
        <is>
          <t>Th9 2026</t>
        </is>
      </c>
      <c r="R3" s="5" t="inlineStr">
        <is>
          <t>Th10 2026</t>
        </is>
      </c>
      <c r="S3" s="5" t="inlineStr">
        <is>
          <t>Th11 2026</t>
        </is>
      </c>
      <c r="T3" s="5" t="inlineStr">
        <is>
          <t>Th12 2026</t>
        </is>
      </c>
      <c r="U3" s="5" t="inlineStr">
        <is>
          <t>Th1 2027</t>
        </is>
      </c>
      <c r="V3" s="5" t="inlineStr">
        <is>
          <t>Th2 2027</t>
        </is>
      </c>
      <c r="W3" s="5" t="inlineStr">
        <is>
          <t>Th3 2027</t>
        </is>
      </c>
      <c r="X3" s="5" t="inlineStr">
        <is>
          <t>Th4 2027</t>
        </is>
      </c>
      <c r="Y3" s="5" t="inlineStr">
        <is>
          <t>Th5 2027</t>
        </is>
      </c>
      <c r="Z3" s="5" t="inlineStr">
        <is>
          <t>Th6 2027</t>
        </is>
      </c>
      <c r="AA3" s="5" t="inlineStr">
        <is>
          <t>Th7 2027</t>
        </is>
      </c>
      <c r="AB3" s="5" t="inlineStr">
        <is>
          <t>Th8 2027</t>
        </is>
      </c>
      <c r="AC3" s="5" t="inlineStr">
        <is>
          <t>Th9 2027</t>
        </is>
      </c>
      <c r="AD3" s="5" t="inlineStr">
        <is>
          <t>Th10 2027</t>
        </is>
      </c>
      <c r="AE3" s="5" t="inlineStr">
        <is>
          <t>Th11 2027</t>
        </is>
      </c>
      <c r="AF3" s="5" t="inlineStr">
        <is>
          <t>Th12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3" t="inlineStr">
        <is>
          <t>CAPEX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</row>
    <row r="5">
      <c r="A5" s="6" t="inlineStr">
        <is>
          <t xml:space="preserve">  Phát triển nền tảng</t>
        </is>
      </c>
      <c r="B5" s="6" t="inlineStr">
        <is>
          <t>Tr VND</t>
        </is>
      </c>
      <c r="C5" s="12">
        <f>capex_total/6</f>
        <v/>
      </c>
      <c r="D5" s="12">
        <f>capex_total/6</f>
        <v/>
      </c>
      <c r="E5" s="12">
        <f>capex_total/6</f>
        <v/>
      </c>
      <c r="F5" s="12">
        <f>capex_total/6</f>
        <v/>
      </c>
      <c r="G5" s="12">
        <f>capex_total/6</f>
        <v/>
      </c>
      <c r="H5" s="12">
        <f>capex_total/6</f>
        <v/>
      </c>
      <c r="I5" s="12">
        <f>0</f>
        <v/>
      </c>
      <c r="J5" s="12">
        <f>0</f>
        <v/>
      </c>
      <c r="K5" s="12">
        <f>0</f>
        <v/>
      </c>
      <c r="L5" s="12">
        <f>0</f>
        <v/>
      </c>
      <c r="M5" s="12">
        <f>0</f>
        <v/>
      </c>
      <c r="N5" s="12">
        <f>0</f>
        <v/>
      </c>
      <c r="O5" s="12">
        <f>0</f>
        <v/>
      </c>
      <c r="P5" s="12">
        <f>0</f>
        <v/>
      </c>
      <c r="Q5" s="12">
        <f>0</f>
        <v/>
      </c>
      <c r="R5" s="12">
        <f>0</f>
        <v/>
      </c>
      <c r="S5" s="12">
        <f>0</f>
        <v/>
      </c>
      <c r="T5" s="12">
        <f>0</f>
        <v/>
      </c>
      <c r="U5" s="12">
        <f>0</f>
        <v/>
      </c>
      <c r="V5" s="12">
        <f>0</f>
        <v/>
      </c>
      <c r="W5" s="12">
        <f>0</f>
        <v/>
      </c>
      <c r="X5" s="12">
        <f>0</f>
        <v/>
      </c>
      <c r="Y5" s="12">
        <f>0</f>
        <v/>
      </c>
      <c r="Z5" s="12">
        <f>0</f>
        <v/>
      </c>
      <c r="AA5" s="12">
        <f>0</f>
        <v/>
      </c>
      <c r="AB5" s="12">
        <f>0</f>
        <v/>
      </c>
      <c r="AC5" s="12">
        <f>0</f>
        <v/>
      </c>
      <c r="AD5" s="12">
        <f>0</f>
        <v/>
      </c>
      <c r="AE5" s="12">
        <f>0</f>
        <v/>
      </c>
      <c r="AF5" s="12">
        <f>0</f>
        <v/>
      </c>
      <c r="AG5" s="12">
        <f>0</f>
        <v/>
      </c>
      <c r="AH5" s="12">
        <f>0</f>
        <v/>
      </c>
      <c r="AI5" s="12">
        <f>0</f>
        <v/>
      </c>
      <c r="AJ5" s="12">
        <f>0</f>
        <v/>
      </c>
      <c r="AK5" s="12">
        <f>0</f>
        <v/>
      </c>
      <c r="AL5" s="12">
        <f>0</f>
        <v/>
      </c>
      <c r="AM5" s="12">
        <f>0</f>
        <v/>
      </c>
      <c r="AN5" s="12">
        <f>0</f>
        <v/>
      </c>
      <c r="AO5" s="12">
        <f>0</f>
        <v/>
      </c>
      <c r="AP5" s="12">
        <f>0</f>
        <v/>
      </c>
      <c r="AQ5" s="12">
        <f>0</f>
        <v/>
      </c>
      <c r="AR5" s="12">
        <f>0</f>
        <v/>
      </c>
    </row>
    <row r="6">
      <c r="A6" s="6" t="inlineStr">
        <is>
          <t xml:space="preserve">  Bảo trì</t>
        </is>
      </c>
      <c r="B6" s="6" t="inlineStr">
        <is>
          <t>Tr VND</t>
        </is>
      </c>
      <c r="C6" s="12">
        <f>0</f>
        <v/>
      </c>
      <c r="D6" s="12">
        <f>0</f>
        <v/>
      </c>
      <c r="E6" s="12">
        <f>0</f>
        <v/>
      </c>
      <c r="F6" s="12">
        <f>0</f>
        <v/>
      </c>
      <c r="G6" s="12">
        <f>0</f>
        <v/>
      </c>
      <c r="H6" s="12">
        <f>0</f>
        <v/>
      </c>
      <c r="I6" s="12">
        <f>capex_total*capex_maintenance_pct/'Quy mô thị trường'!I6</f>
        <v/>
      </c>
      <c r="J6" s="12">
        <f>capex_total*capex_maintenance_pct/'Quy mô thị trường'!J6</f>
        <v/>
      </c>
      <c r="K6" s="12">
        <f>capex_total*capex_maintenance_pct/'Quy mô thị trường'!K6</f>
        <v/>
      </c>
      <c r="L6" s="12">
        <f>capex_total*capex_maintenance_pct/'Quy mô thị trường'!L6</f>
        <v/>
      </c>
      <c r="M6" s="12">
        <f>capex_total*capex_maintenance_pct/'Quy mô thị trường'!M6</f>
        <v/>
      </c>
      <c r="N6" s="12">
        <f>capex_total*capex_maintenance_pct/'Quy mô thị trường'!N6</f>
        <v/>
      </c>
      <c r="O6" s="12">
        <f>capex_total*capex_maintenance_pct/'Quy mô thị trường'!O6</f>
        <v/>
      </c>
      <c r="P6" s="12">
        <f>capex_total*capex_maintenance_pct/'Quy mô thị trường'!P6</f>
        <v/>
      </c>
      <c r="Q6" s="12">
        <f>capex_total*capex_maintenance_pct/'Quy mô thị trường'!Q6</f>
        <v/>
      </c>
      <c r="R6" s="12">
        <f>capex_total*capex_maintenance_pct/'Quy mô thị trường'!R6</f>
        <v/>
      </c>
      <c r="S6" s="12">
        <f>capex_total*capex_maintenance_pct/'Quy mô thị trường'!S6</f>
        <v/>
      </c>
      <c r="T6" s="12">
        <f>capex_total*capex_maintenance_pct/'Quy mô thị trường'!T6</f>
        <v/>
      </c>
      <c r="U6" s="12">
        <f>capex_total*capex_maintenance_pct/'Quy mô thị trường'!U6</f>
        <v/>
      </c>
      <c r="V6" s="12">
        <f>capex_total*capex_maintenance_pct/'Quy mô thị trường'!V6</f>
        <v/>
      </c>
      <c r="W6" s="12">
        <f>capex_total*capex_maintenance_pct/'Quy mô thị trường'!W6</f>
        <v/>
      </c>
      <c r="X6" s="12">
        <f>capex_total*capex_maintenance_pct/'Quy mô thị trường'!X6</f>
        <v/>
      </c>
      <c r="Y6" s="12">
        <f>capex_total*capex_maintenance_pct/'Quy mô thị trường'!Y6</f>
        <v/>
      </c>
      <c r="Z6" s="12">
        <f>capex_total*capex_maintenance_pct/'Quy mô thị trường'!Z6</f>
        <v/>
      </c>
      <c r="AA6" s="12">
        <f>capex_total*capex_maintenance_pct/'Quy mô thị trường'!AA6</f>
        <v/>
      </c>
      <c r="AB6" s="12">
        <f>capex_total*capex_maintenance_pct/'Quy mô thị trường'!AB6</f>
        <v/>
      </c>
      <c r="AC6" s="12">
        <f>capex_total*capex_maintenance_pct/'Quy mô thị trường'!AC6</f>
        <v/>
      </c>
      <c r="AD6" s="12">
        <f>capex_total*capex_maintenance_pct/'Quy mô thị trường'!AD6</f>
        <v/>
      </c>
      <c r="AE6" s="12">
        <f>capex_total*capex_maintenance_pct/'Quy mô thị trường'!AE6</f>
        <v/>
      </c>
      <c r="AF6" s="12">
        <f>capex_total*capex_maintenance_pct/'Quy mô thị trường'!AF6</f>
        <v/>
      </c>
      <c r="AG6" s="12">
        <f>capex_total*capex_maintenance_pct/'Quy mô thị trường'!AG6</f>
        <v/>
      </c>
      <c r="AH6" s="12">
        <f>capex_total*capex_maintenance_pct/'Quy mô thị trường'!AH6</f>
        <v/>
      </c>
      <c r="AI6" s="12">
        <f>capex_total*capex_maintenance_pct/'Quy mô thị trường'!AI6</f>
        <v/>
      </c>
      <c r="AJ6" s="12">
        <f>capex_total*capex_maintenance_pct/'Quy mô thị trường'!AJ6</f>
        <v/>
      </c>
      <c r="AK6" s="12">
        <f>capex_total*capex_maintenance_pct/'Quy mô thị trường'!AK6</f>
        <v/>
      </c>
      <c r="AL6" s="12">
        <f>capex_total*capex_maintenance_pct/'Quy mô thị trường'!AL6</f>
        <v/>
      </c>
      <c r="AM6" s="12">
        <f>capex_total*capex_maintenance_pct/'Quy mô thị trường'!AM6</f>
        <v/>
      </c>
      <c r="AN6" s="12">
        <f>capex_total*capex_maintenance_pct/'Quy mô thị trường'!AN6</f>
        <v/>
      </c>
      <c r="AO6" s="12">
        <f>capex_total*capex_maintenance_pct/'Quy mô thị trường'!AO6</f>
        <v/>
      </c>
      <c r="AP6" s="12">
        <f>capex_total*capex_maintenance_pct/'Quy mô thị trường'!AP6</f>
        <v/>
      </c>
      <c r="AQ6" s="12">
        <f>capex_total*capex_maintenance_pct/'Quy mô thị trường'!AQ6</f>
        <v/>
      </c>
      <c r="AR6" s="12">
        <f>capex_total*capex_maintenance_pct/'Quy mô thị trường'!AR6</f>
        <v/>
      </c>
    </row>
    <row r="7">
      <c r="A7" s="6" t="inlineStr">
        <is>
          <t>TỔNG CAPEX</t>
        </is>
      </c>
      <c r="C7" s="11">
        <f>C5+C6</f>
        <v/>
      </c>
      <c r="D7" s="11">
        <f>D5+D6</f>
        <v/>
      </c>
      <c r="E7" s="11">
        <f>E5+E6</f>
        <v/>
      </c>
      <c r="F7" s="11">
        <f>F5+F6</f>
        <v/>
      </c>
      <c r="G7" s="11">
        <f>G5+G6</f>
        <v/>
      </c>
      <c r="H7" s="11">
        <f>H5+H6</f>
        <v/>
      </c>
      <c r="I7" s="11">
        <f>I5+I6</f>
        <v/>
      </c>
      <c r="J7" s="11">
        <f>J5+J6</f>
        <v/>
      </c>
      <c r="K7" s="11">
        <f>K5+K6</f>
        <v/>
      </c>
      <c r="L7" s="11">
        <f>L5+L6</f>
        <v/>
      </c>
      <c r="M7" s="11">
        <f>M5+M6</f>
        <v/>
      </c>
      <c r="N7" s="11">
        <f>N5+N6</f>
        <v/>
      </c>
      <c r="O7" s="11">
        <f>O5+O6</f>
        <v/>
      </c>
      <c r="P7" s="11">
        <f>P5+P6</f>
        <v/>
      </c>
      <c r="Q7" s="11">
        <f>Q5+Q6</f>
        <v/>
      </c>
      <c r="R7" s="11">
        <f>R5+R6</f>
        <v/>
      </c>
      <c r="S7" s="11">
        <f>S5+S6</f>
        <v/>
      </c>
      <c r="T7" s="11">
        <f>T5+T6</f>
        <v/>
      </c>
      <c r="U7" s="11">
        <f>U5+U6</f>
        <v/>
      </c>
      <c r="V7" s="11">
        <f>V5+V6</f>
        <v/>
      </c>
      <c r="W7" s="11">
        <f>W5+W6</f>
        <v/>
      </c>
      <c r="X7" s="11">
        <f>X5+X6</f>
        <v/>
      </c>
      <c r="Y7" s="11">
        <f>Y5+Y6</f>
        <v/>
      </c>
      <c r="Z7" s="11">
        <f>Z5+Z6</f>
        <v/>
      </c>
      <c r="AA7" s="11">
        <f>AA5+AA6</f>
        <v/>
      </c>
      <c r="AB7" s="11">
        <f>AB5+AB6</f>
        <v/>
      </c>
      <c r="AC7" s="11">
        <f>AC5+AC6</f>
        <v/>
      </c>
      <c r="AD7" s="11">
        <f>AD5+AD6</f>
        <v/>
      </c>
      <c r="AE7" s="11">
        <f>AE5+AE6</f>
        <v/>
      </c>
      <c r="AF7" s="11">
        <f>AF5+AF6</f>
        <v/>
      </c>
      <c r="AG7" s="11">
        <f>AG5+AG6</f>
        <v/>
      </c>
      <c r="AH7" s="11">
        <f>AH5+AH6</f>
        <v/>
      </c>
      <c r="AI7" s="11">
        <f>AI5+AI6</f>
        <v/>
      </c>
      <c r="AJ7" s="11">
        <f>AJ5+AJ6</f>
        <v/>
      </c>
      <c r="AK7" s="11">
        <f>AK5+AK6</f>
        <v/>
      </c>
      <c r="AL7" s="11">
        <f>AL5+AL6</f>
        <v/>
      </c>
      <c r="AM7" s="11">
        <f>AM5+AM6</f>
        <v/>
      </c>
      <c r="AN7" s="11">
        <f>AN5+AN6</f>
        <v/>
      </c>
      <c r="AO7" s="11">
        <f>AO5+AO6</f>
        <v/>
      </c>
      <c r="AP7" s="11">
        <f>AP5+AP6</f>
        <v/>
      </c>
      <c r="AQ7" s="11">
        <f>AQ5+AQ6</f>
        <v/>
      </c>
      <c r="AR7" s="11">
        <f>AR5+AR6</f>
        <v/>
      </c>
    </row>
    <row r="9">
      <c r="A9" s="3" t="inlineStr">
        <is>
          <t>OPEX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</row>
    <row r="10">
      <c r="A10" s="6" t="inlineStr">
        <is>
          <t xml:space="preserve">  Nhân sự (từ Nhân sự)</t>
        </is>
      </c>
      <c r="B10" s="6" t="inlineStr">
        <is>
          <t>Tr VND</t>
        </is>
      </c>
      <c r="C10" s="12">
        <f>'Nhân sự'!C21</f>
        <v/>
      </c>
      <c r="D10" s="12">
        <f>'Nhân sự'!D21</f>
        <v/>
      </c>
      <c r="E10" s="12">
        <f>'Nhân sự'!E21</f>
        <v/>
      </c>
      <c r="F10" s="12">
        <f>'Nhân sự'!F21</f>
        <v/>
      </c>
      <c r="G10" s="12">
        <f>'Nhân sự'!G21</f>
        <v/>
      </c>
      <c r="H10" s="12">
        <f>'Nhân sự'!H21</f>
        <v/>
      </c>
      <c r="I10" s="12">
        <f>'Nhân sự'!I21</f>
        <v/>
      </c>
      <c r="J10" s="12">
        <f>'Nhân sự'!J21</f>
        <v/>
      </c>
      <c r="K10" s="12">
        <f>'Nhân sự'!K21</f>
        <v/>
      </c>
      <c r="L10" s="12">
        <f>'Nhân sự'!L21</f>
        <v/>
      </c>
      <c r="M10" s="12">
        <f>'Nhân sự'!M21</f>
        <v/>
      </c>
      <c r="N10" s="12">
        <f>'Nhân sự'!N21</f>
        <v/>
      </c>
      <c r="O10" s="12">
        <f>'Nhân sự'!O21</f>
        <v/>
      </c>
      <c r="P10" s="12">
        <f>'Nhân sự'!P21</f>
        <v/>
      </c>
      <c r="Q10" s="12">
        <f>'Nhân sự'!Q21</f>
        <v/>
      </c>
      <c r="R10" s="12">
        <f>'Nhân sự'!R21</f>
        <v/>
      </c>
      <c r="S10" s="12">
        <f>'Nhân sự'!S21</f>
        <v/>
      </c>
      <c r="T10" s="12">
        <f>'Nhân sự'!T21</f>
        <v/>
      </c>
      <c r="U10" s="12">
        <f>'Nhân sự'!U21</f>
        <v/>
      </c>
      <c r="V10" s="12">
        <f>'Nhân sự'!V21</f>
        <v/>
      </c>
      <c r="W10" s="12">
        <f>'Nhân sự'!W21</f>
        <v/>
      </c>
      <c r="X10" s="12">
        <f>'Nhân sự'!X21</f>
        <v/>
      </c>
      <c r="Y10" s="12">
        <f>'Nhân sự'!Y21</f>
        <v/>
      </c>
      <c r="Z10" s="12">
        <f>'Nhân sự'!Z21</f>
        <v/>
      </c>
      <c r="AA10" s="12">
        <f>'Nhân sự'!AA21</f>
        <v/>
      </c>
      <c r="AB10" s="12">
        <f>'Nhân sự'!AB21</f>
        <v/>
      </c>
      <c r="AC10" s="12">
        <f>'Nhân sự'!AC21</f>
        <v/>
      </c>
      <c r="AD10" s="12">
        <f>'Nhân sự'!AD21</f>
        <v/>
      </c>
      <c r="AE10" s="12">
        <f>'Nhân sự'!AE21</f>
        <v/>
      </c>
      <c r="AF10" s="12">
        <f>'Nhân sự'!AF21</f>
        <v/>
      </c>
      <c r="AG10" s="12">
        <f>'Nhân sự'!AG21</f>
        <v/>
      </c>
      <c r="AH10" s="12">
        <f>'Nhân sự'!AH21</f>
        <v/>
      </c>
      <c r="AI10" s="12">
        <f>'Nhân sự'!AI21</f>
        <v/>
      </c>
      <c r="AJ10" s="12">
        <f>'Nhân sự'!AJ21</f>
        <v/>
      </c>
      <c r="AK10" s="12">
        <f>'Nhân sự'!AK21</f>
        <v/>
      </c>
      <c r="AL10" s="12">
        <f>'Nhân sự'!AL21</f>
        <v/>
      </c>
      <c r="AM10" s="12">
        <f>'Nhân sự'!AM21</f>
        <v/>
      </c>
      <c r="AN10" s="12">
        <f>'Nhân sự'!AN21</f>
        <v/>
      </c>
      <c r="AO10" s="12">
        <f>'Nhân sự'!AO21</f>
        <v/>
      </c>
      <c r="AP10" s="12">
        <f>'Nhân sự'!AP21</f>
        <v/>
      </c>
      <c r="AQ10" s="12">
        <f>'Nhân sự'!AQ21</f>
        <v/>
      </c>
      <c r="AR10" s="12">
        <f>'Nhân sự'!AR21</f>
        <v/>
      </c>
    </row>
    <row r="11">
      <c r="A11" s="6" t="inlineStr">
        <is>
          <t xml:space="preserve">  Marketing</t>
        </is>
      </c>
      <c r="B11" s="6" t="inlineStr">
        <is>
          <t>Tr VND</t>
        </is>
      </c>
      <c r="C11" s="12">
        <f>opex_marketing*(1+marketing_growth)^'Quy mô thị trường'!C5/'Quy mô thị trường'!C6</f>
        <v/>
      </c>
      <c r="D11" s="12">
        <f>opex_marketing*(1+marketing_growth)^'Quy mô thị trường'!D5/'Quy mô thị trường'!D6</f>
        <v/>
      </c>
      <c r="E11" s="12">
        <f>opex_marketing*(1+marketing_growth)^'Quy mô thị trường'!E5/'Quy mô thị trường'!E6</f>
        <v/>
      </c>
      <c r="F11" s="12">
        <f>opex_marketing*(1+marketing_growth)^'Quy mô thị trường'!F5/'Quy mô thị trường'!F6</f>
        <v/>
      </c>
      <c r="G11" s="12">
        <f>opex_marketing*(1+marketing_growth)^'Quy mô thị trường'!G5/'Quy mô thị trường'!G6</f>
        <v/>
      </c>
      <c r="H11" s="12">
        <f>opex_marketing*(1+marketing_growth)^'Quy mô thị trường'!H5/'Quy mô thị trường'!H6</f>
        <v/>
      </c>
      <c r="I11" s="12">
        <f>opex_marketing*(1+marketing_growth)^'Quy mô thị trường'!I5/'Quy mô thị trường'!I6</f>
        <v/>
      </c>
      <c r="J11" s="12">
        <f>opex_marketing*(1+marketing_growth)^'Quy mô thị trường'!J5/'Quy mô thị trường'!J6</f>
        <v/>
      </c>
      <c r="K11" s="12">
        <f>opex_marketing*(1+marketing_growth)^'Quy mô thị trường'!K5/'Quy mô thị trường'!K6</f>
        <v/>
      </c>
      <c r="L11" s="12">
        <f>opex_marketing*(1+marketing_growth)^'Quy mô thị trường'!L5/'Quy mô thị trường'!L6</f>
        <v/>
      </c>
      <c r="M11" s="12">
        <f>opex_marketing*(1+marketing_growth)^'Quy mô thị trường'!M5/'Quy mô thị trường'!M6</f>
        <v/>
      </c>
      <c r="N11" s="12">
        <f>opex_marketing*(1+marketing_growth)^'Quy mô thị trường'!N5/'Quy mô thị trường'!N6</f>
        <v/>
      </c>
      <c r="O11" s="12">
        <f>opex_marketing*(1+marketing_growth)^'Quy mô thị trường'!O5/'Quy mô thị trường'!O6</f>
        <v/>
      </c>
      <c r="P11" s="12">
        <f>opex_marketing*(1+marketing_growth)^'Quy mô thị trường'!P5/'Quy mô thị trường'!P6</f>
        <v/>
      </c>
      <c r="Q11" s="12">
        <f>opex_marketing*(1+marketing_growth)^'Quy mô thị trường'!Q5/'Quy mô thị trường'!Q6</f>
        <v/>
      </c>
      <c r="R11" s="12">
        <f>opex_marketing*(1+marketing_growth)^'Quy mô thị trường'!R5/'Quy mô thị trường'!R6</f>
        <v/>
      </c>
      <c r="S11" s="12">
        <f>opex_marketing*(1+marketing_growth)^'Quy mô thị trường'!S5/'Quy mô thị trường'!S6</f>
        <v/>
      </c>
      <c r="T11" s="12">
        <f>opex_marketing*(1+marketing_growth)^'Quy mô thị trường'!T5/'Quy mô thị trường'!T6</f>
        <v/>
      </c>
      <c r="U11" s="12">
        <f>opex_marketing*(1+marketing_growth)^'Quy mô thị trường'!U5/'Quy mô thị trường'!U6</f>
        <v/>
      </c>
      <c r="V11" s="12">
        <f>opex_marketing*(1+marketing_growth)^'Quy mô thị trường'!V5/'Quy mô thị trường'!V6</f>
        <v/>
      </c>
      <c r="W11" s="12">
        <f>opex_marketing*(1+marketing_growth)^'Quy mô thị trường'!W5/'Quy mô thị trường'!W6</f>
        <v/>
      </c>
      <c r="X11" s="12">
        <f>opex_marketing*(1+marketing_growth)^'Quy mô thị trường'!X5/'Quy mô thị trường'!X6</f>
        <v/>
      </c>
      <c r="Y11" s="12">
        <f>opex_marketing*(1+marketing_growth)^'Quy mô thị trường'!Y5/'Quy mô thị trường'!Y6</f>
        <v/>
      </c>
      <c r="Z11" s="12">
        <f>opex_marketing*(1+marketing_growth)^'Quy mô thị trường'!Z5/'Quy mô thị trường'!Z6</f>
        <v/>
      </c>
      <c r="AA11" s="12">
        <f>opex_marketing*(1+marketing_growth)^'Quy mô thị trường'!AA5/'Quy mô thị trường'!AA6</f>
        <v/>
      </c>
      <c r="AB11" s="12">
        <f>opex_marketing*(1+marketing_growth)^'Quy mô thị trường'!AB5/'Quy mô thị trường'!AB6</f>
        <v/>
      </c>
      <c r="AC11" s="12">
        <f>opex_marketing*(1+marketing_growth)^'Quy mô thị trường'!AC5/'Quy mô thị trường'!AC6</f>
        <v/>
      </c>
      <c r="AD11" s="12">
        <f>opex_marketing*(1+marketing_growth)^'Quy mô thị trường'!AD5/'Quy mô thị trường'!AD6</f>
        <v/>
      </c>
      <c r="AE11" s="12">
        <f>opex_marketing*(1+marketing_growth)^'Quy mô thị trường'!AE5/'Quy mô thị trường'!AE6</f>
        <v/>
      </c>
      <c r="AF11" s="12">
        <f>opex_marketing*(1+marketing_growth)^'Quy mô thị trường'!AF5/'Quy mô thị trường'!AF6</f>
        <v/>
      </c>
      <c r="AG11" s="12">
        <f>opex_marketing*(1+marketing_growth)^'Quy mô thị trường'!AG5/'Quy mô thị trường'!AG6</f>
        <v/>
      </c>
      <c r="AH11" s="12">
        <f>opex_marketing*(1+marketing_growth)^'Quy mô thị trường'!AH5/'Quy mô thị trường'!AH6</f>
        <v/>
      </c>
      <c r="AI11" s="12">
        <f>opex_marketing*(1+marketing_growth)^'Quy mô thị trường'!AI5/'Quy mô thị trường'!AI6</f>
        <v/>
      </c>
      <c r="AJ11" s="12">
        <f>opex_marketing*(1+marketing_growth)^'Quy mô thị trường'!AJ5/'Quy mô thị trường'!AJ6</f>
        <v/>
      </c>
      <c r="AK11" s="12">
        <f>opex_marketing*(1+marketing_growth)^'Quy mô thị trường'!AK5/'Quy mô thị trường'!AK6</f>
        <v/>
      </c>
      <c r="AL11" s="12">
        <f>opex_marketing*(1+marketing_growth)^'Quy mô thị trường'!AL5/'Quy mô thị trường'!AL6</f>
        <v/>
      </c>
      <c r="AM11" s="12">
        <f>opex_marketing*(1+marketing_growth)^'Quy mô thị trường'!AM5/'Quy mô thị trường'!AM6</f>
        <v/>
      </c>
      <c r="AN11" s="12">
        <f>opex_marketing*(1+marketing_growth)^'Quy mô thị trường'!AN5/'Quy mô thị trường'!AN6</f>
        <v/>
      </c>
      <c r="AO11" s="12">
        <f>opex_marketing*(1+marketing_growth)^'Quy mô thị trường'!AO5/'Quy mô thị trường'!AO6</f>
        <v/>
      </c>
      <c r="AP11" s="12">
        <f>opex_marketing*(1+marketing_growth)^'Quy mô thị trường'!AP5/'Quy mô thị trường'!AP6</f>
        <v/>
      </c>
      <c r="AQ11" s="12">
        <f>opex_marketing*(1+marketing_growth)^'Quy mô thị trường'!AQ5/'Quy mô thị trường'!AQ6</f>
        <v/>
      </c>
      <c r="AR11" s="12">
        <f>opex_marketing*(1+marketing_growth)^'Quy mô thị trường'!AR5/'Quy mô thị trường'!AR6</f>
        <v/>
      </c>
    </row>
    <row r="12">
      <c r="A12" s="6" t="inlineStr">
        <is>
          <t xml:space="preserve">  Thương hiệu &amp; sự kiện</t>
        </is>
      </c>
      <c r="B12" s="6" t="inlineStr">
        <is>
          <t>Tr VND</t>
        </is>
      </c>
      <c r="C12" s="12">
        <f>opex_branding/'Quy mô thị trường'!C6</f>
        <v/>
      </c>
      <c r="D12" s="12">
        <f>opex_branding/'Quy mô thị trường'!D6</f>
        <v/>
      </c>
      <c r="E12" s="12">
        <f>opex_branding/'Quy mô thị trường'!E6</f>
        <v/>
      </c>
      <c r="F12" s="12">
        <f>opex_branding/'Quy mô thị trường'!F6</f>
        <v/>
      </c>
      <c r="G12" s="12">
        <f>opex_branding/'Quy mô thị trường'!G6</f>
        <v/>
      </c>
      <c r="H12" s="12">
        <f>opex_branding/'Quy mô thị trường'!H6</f>
        <v/>
      </c>
      <c r="I12" s="12">
        <f>opex_branding/'Quy mô thị trường'!I6</f>
        <v/>
      </c>
      <c r="J12" s="12">
        <f>opex_branding/'Quy mô thị trường'!J6</f>
        <v/>
      </c>
      <c r="K12" s="12">
        <f>opex_branding/'Quy mô thị trường'!K6</f>
        <v/>
      </c>
      <c r="L12" s="12">
        <f>opex_branding/'Quy mô thị trường'!L6</f>
        <v/>
      </c>
      <c r="M12" s="12">
        <f>opex_branding/'Quy mô thị trường'!M6</f>
        <v/>
      </c>
      <c r="N12" s="12">
        <f>opex_branding/'Quy mô thị trường'!N6</f>
        <v/>
      </c>
      <c r="O12" s="12">
        <f>opex_branding/'Quy mô thị trường'!O6</f>
        <v/>
      </c>
      <c r="P12" s="12">
        <f>opex_branding/'Quy mô thị trường'!P6</f>
        <v/>
      </c>
      <c r="Q12" s="12">
        <f>opex_branding/'Quy mô thị trường'!Q6</f>
        <v/>
      </c>
      <c r="R12" s="12">
        <f>opex_branding/'Quy mô thị trường'!R6</f>
        <v/>
      </c>
      <c r="S12" s="12">
        <f>opex_branding/'Quy mô thị trường'!S6</f>
        <v/>
      </c>
      <c r="T12" s="12">
        <f>opex_branding/'Quy mô thị trường'!T6</f>
        <v/>
      </c>
      <c r="U12" s="12">
        <f>opex_branding/'Quy mô thị trường'!U6</f>
        <v/>
      </c>
      <c r="V12" s="12">
        <f>opex_branding/'Quy mô thị trường'!V6</f>
        <v/>
      </c>
      <c r="W12" s="12">
        <f>opex_branding/'Quy mô thị trường'!W6</f>
        <v/>
      </c>
      <c r="X12" s="12">
        <f>opex_branding/'Quy mô thị trường'!X6</f>
        <v/>
      </c>
      <c r="Y12" s="12">
        <f>opex_branding/'Quy mô thị trường'!Y6</f>
        <v/>
      </c>
      <c r="Z12" s="12">
        <f>opex_branding/'Quy mô thị trường'!Z6</f>
        <v/>
      </c>
      <c r="AA12" s="12">
        <f>opex_branding/'Quy mô thị trường'!AA6</f>
        <v/>
      </c>
      <c r="AB12" s="12">
        <f>opex_branding/'Quy mô thị trường'!AB6</f>
        <v/>
      </c>
      <c r="AC12" s="12">
        <f>opex_branding/'Quy mô thị trường'!AC6</f>
        <v/>
      </c>
      <c r="AD12" s="12">
        <f>opex_branding/'Quy mô thị trường'!AD6</f>
        <v/>
      </c>
      <c r="AE12" s="12">
        <f>opex_branding/'Quy mô thị trường'!AE6</f>
        <v/>
      </c>
      <c r="AF12" s="12">
        <f>opex_branding/'Quy mô thị trường'!AF6</f>
        <v/>
      </c>
      <c r="AG12" s="12">
        <f>opex_branding/'Quy mô thị trường'!AG6</f>
        <v/>
      </c>
      <c r="AH12" s="12">
        <f>opex_branding/'Quy mô thị trường'!AH6</f>
        <v/>
      </c>
      <c r="AI12" s="12">
        <f>opex_branding/'Quy mô thị trường'!AI6</f>
        <v/>
      </c>
      <c r="AJ12" s="12">
        <f>opex_branding/'Quy mô thị trường'!AJ6</f>
        <v/>
      </c>
      <c r="AK12" s="12">
        <f>opex_branding/'Quy mô thị trường'!AK6</f>
        <v/>
      </c>
      <c r="AL12" s="12">
        <f>opex_branding/'Quy mô thị trường'!AL6</f>
        <v/>
      </c>
      <c r="AM12" s="12">
        <f>opex_branding/'Quy mô thị trường'!AM6</f>
        <v/>
      </c>
      <c r="AN12" s="12">
        <f>opex_branding/'Quy mô thị trường'!AN6</f>
        <v/>
      </c>
      <c r="AO12" s="12">
        <f>opex_branding/'Quy mô thị trường'!AO6</f>
        <v/>
      </c>
      <c r="AP12" s="12">
        <f>opex_branding/'Quy mô thị trường'!AP6</f>
        <v/>
      </c>
      <c r="AQ12" s="12">
        <f>opex_branding/'Quy mô thị trường'!AQ6</f>
        <v/>
      </c>
      <c r="AR12" s="12">
        <f>opex_branding/'Quy mô thị trường'!AR6</f>
        <v/>
      </c>
    </row>
    <row r="13">
      <c r="A13" s="6" t="inlineStr">
        <is>
          <t xml:space="preserve">  Cloud &amp; hạ tầng</t>
        </is>
      </c>
      <c r="B13" s="6" t="inlineStr">
        <is>
          <t>Tr VND</t>
        </is>
      </c>
      <c r="C13" s="12">
        <f>opex_cloud_base/'Quy mô thị trường'!C6+'Quy mô thị trường'!C17*cloud_per_1M_vcr</f>
        <v/>
      </c>
      <c r="D13" s="12">
        <f>opex_cloud_base/'Quy mô thị trường'!D6+'Quy mô thị trường'!D17*cloud_per_1M_vcr</f>
        <v/>
      </c>
      <c r="E13" s="12">
        <f>opex_cloud_base/'Quy mô thị trường'!E6+'Quy mô thị trường'!E17*cloud_per_1M_vcr</f>
        <v/>
      </c>
      <c r="F13" s="12">
        <f>opex_cloud_base/'Quy mô thị trường'!F6+'Quy mô thị trường'!F17*cloud_per_1M_vcr</f>
        <v/>
      </c>
      <c r="G13" s="12">
        <f>opex_cloud_base/'Quy mô thị trường'!G6+'Quy mô thị trường'!G17*cloud_per_1M_vcr</f>
        <v/>
      </c>
      <c r="H13" s="12">
        <f>opex_cloud_base/'Quy mô thị trường'!H6+'Quy mô thị trường'!H17*cloud_per_1M_vcr</f>
        <v/>
      </c>
      <c r="I13" s="12">
        <f>opex_cloud_base/'Quy mô thị trường'!I6+'Quy mô thị trường'!I17*cloud_per_1M_vcr</f>
        <v/>
      </c>
      <c r="J13" s="12">
        <f>opex_cloud_base/'Quy mô thị trường'!J6+'Quy mô thị trường'!J17*cloud_per_1M_vcr</f>
        <v/>
      </c>
      <c r="K13" s="12">
        <f>opex_cloud_base/'Quy mô thị trường'!K6+'Quy mô thị trường'!K17*cloud_per_1M_vcr</f>
        <v/>
      </c>
      <c r="L13" s="12">
        <f>opex_cloud_base/'Quy mô thị trường'!L6+'Quy mô thị trường'!L17*cloud_per_1M_vcr</f>
        <v/>
      </c>
      <c r="M13" s="12">
        <f>opex_cloud_base/'Quy mô thị trường'!M6+'Quy mô thị trường'!M17*cloud_per_1M_vcr</f>
        <v/>
      </c>
      <c r="N13" s="12">
        <f>opex_cloud_base/'Quy mô thị trường'!N6+'Quy mô thị trường'!N17*cloud_per_1M_vcr</f>
        <v/>
      </c>
      <c r="O13" s="12">
        <f>opex_cloud_base/'Quy mô thị trường'!O6+'Quy mô thị trường'!O17*cloud_per_1M_vcr</f>
        <v/>
      </c>
      <c r="P13" s="12">
        <f>opex_cloud_base/'Quy mô thị trường'!P6+'Quy mô thị trường'!P17*cloud_per_1M_vcr</f>
        <v/>
      </c>
      <c r="Q13" s="12">
        <f>opex_cloud_base/'Quy mô thị trường'!Q6+'Quy mô thị trường'!Q17*cloud_per_1M_vcr</f>
        <v/>
      </c>
      <c r="R13" s="12">
        <f>opex_cloud_base/'Quy mô thị trường'!R6+'Quy mô thị trường'!R17*cloud_per_1M_vcr</f>
        <v/>
      </c>
      <c r="S13" s="12">
        <f>opex_cloud_base/'Quy mô thị trường'!S6+'Quy mô thị trường'!S17*cloud_per_1M_vcr</f>
        <v/>
      </c>
      <c r="T13" s="12">
        <f>opex_cloud_base/'Quy mô thị trường'!T6+'Quy mô thị trường'!T17*cloud_per_1M_vcr</f>
        <v/>
      </c>
      <c r="U13" s="12">
        <f>opex_cloud_base/'Quy mô thị trường'!U6+'Quy mô thị trường'!U17*cloud_per_1M_vcr</f>
        <v/>
      </c>
      <c r="V13" s="12">
        <f>opex_cloud_base/'Quy mô thị trường'!V6+'Quy mô thị trường'!V17*cloud_per_1M_vcr</f>
        <v/>
      </c>
      <c r="W13" s="12">
        <f>opex_cloud_base/'Quy mô thị trường'!W6+'Quy mô thị trường'!W17*cloud_per_1M_vcr</f>
        <v/>
      </c>
      <c r="X13" s="12">
        <f>opex_cloud_base/'Quy mô thị trường'!X6+'Quy mô thị trường'!X17*cloud_per_1M_vcr</f>
        <v/>
      </c>
      <c r="Y13" s="12">
        <f>opex_cloud_base/'Quy mô thị trường'!Y6+'Quy mô thị trường'!Y17*cloud_per_1M_vcr</f>
        <v/>
      </c>
      <c r="Z13" s="12">
        <f>opex_cloud_base/'Quy mô thị trường'!Z6+'Quy mô thị trường'!Z17*cloud_per_1M_vcr</f>
        <v/>
      </c>
      <c r="AA13" s="12">
        <f>opex_cloud_base/'Quy mô thị trường'!AA6+'Quy mô thị trường'!AA17*cloud_per_1M_vcr</f>
        <v/>
      </c>
      <c r="AB13" s="12">
        <f>opex_cloud_base/'Quy mô thị trường'!AB6+'Quy mô thị trường'!AB17*cloud_per_1M_vcr</f>
        <v/>
      </c>
      <c r="AC13" s="12">
        <f>opex_cloud_base/'Quy mô thị trường'!AC6+'Quy mô thị trường'!AC17*cloud_per_1M_vcr</f>
        <v/>
      </c>
      <c r="AD13" s="12">
        <f>opex_cloud_base/'Quy mô thị trường'!AD6+'Quy mô thị trường'!AD17*cloud_per_1M_vcr</f>
        <v/>
      </c>
      <c r="AE13" s="12">
        <f>opex_cloud_base/'Quy mô thị trường'!AE6+'Quy mô thị trường'!AE17*cloud_per_1M_vcr</f>
        <v/>
      </c>
      <c r="AF13" s="12">
        <f>opex_cloud_base/'Quy mô thị trường'!AF6+'Quy mô thị trường'!AF17*cloud_per_1M_vcr</f>
        <v/>
      </c>
      <c r="AG13" s="12">
        <f>opex_cloud_base/'Quy mô thị trường'!AG6+'Quy mô thị trường'!AG17*cloud_per_1M_vcr</f>
        <v/>
      </c>
      <c r="AH13" s="12">
        <f>opex_cloud_base/'Quy mô thị trường'!AH6+'Quy mô thị trường'!AH17*cloud_per_1M_vcr</f>
        <v/>
      </c>
      <c r="AI13" s="12">
        <f>opex_cloud_base/'Quy mô thị trường'!AI6+'Quy mô thị trường'!AI17*cloud_per_1M_vcr</f>
        <v/>
      </c>
      <c r="AJ13" s="12">
        <f>opex_cloud_base/'Quy mô thị trường'!AJ6+'Quy mô thị trường'!AJ17*cloud_per_1M_vcr</f>
        <v/>
      </c>
      <c r="AK13" s="12">
        <f>opex_cloud_base/'Quy mô thị trường'!AK6+'Quy mô thị trường'!AK17*cloud_per_1M_vcr</f>
        <v/>
      </c>
      <c r="AL13" s="12">
        <f>opex_cloud_base/'Quy mô thị trường'!AL6+'Quy mô thị trường'!AL17*cloud_per_1M_vcr</f>
        <v/>
      </c>
      <c r="AM13" s="12">
        <f>opex_cloud_base/'Quy mô thị trường'!AM6+'Quy mô thị trường'!AM17*cloud_per_1M_vcr</f>
        <v/>
      </c>
      <c r="AN13" s="12">
        <f>opex_cloud_base/'Quy mô thị trường'!AN6+'Quy mô thị trường'!AN17*cloud_per_1M_vcr</f>
        <v/>
      </c>
      <c r="AO13" s="12">
        <f>opex_cloud_base/'Quy mô thị trường'!AO6+'Quy mô thị trường'!AO17*cloud_per_1M_vcr</f>
        <v/>
      </c>
      <c r="AP13" s="12">
        <f>opex_cloud_base/'Quy mô thị trường'!AP6+'Quy mô thị trường'!AP17*cloud_per_1M_vcr</f>
        <v/>
      </c>
      <c r="AQ13" s="12">
        <f>opex_cloud_base/'Quy mô thị trường'!AQ6+'Quy mô thị trường'!AQ17*cloud_per_1M_vcr</f>
        <v/>
      </c>
      <c r="AR13" s="12">
        <f>opex_cloud_base/'Quy mô thị trường'!AR6+'Quy mô thị trường'!AR17*cloud_per_1M_vcr</f>
        <v/>
      </c>
    </row>
    <row r="14">
      <c r="A14" s="6" t="inlineStr">
        <is>
          <t xml:space="preserve">  Bảo mật</t>
        </is>
      </c>
      <c r="B14" s="6" t="inlineStr">
        <is>
          <t>Tr VND</t>
        </is>
      </c>
      <c r="C14" s="12">
        <f>opex_security/'Quy mô thị trường'!C6</f>
        <v/>
      </c>
      <c r="D14" s="12">
        <f>opex_security/'Quy mô thị trường'!D6</f>
        <v/>
      </c>
      <c r="E14" s="12">
        <f>opex_security/'Quy mô thị trường'!E6</f>
        <v/>
      </c>
      <c r="F14" s="12">
        <f>opex_security/'Quy mô thị trường'!F6</f>
        <v/>
      </c>
      <c r="G14" s="12">
        <f>opex_security/'Quy mô thị trường'!G6</f>
        <v/>
      </c>
      <c r="H14" s="12">
        <f>opex_security/'Quy mô thị trường'!H6</f>
        <v/>
      </c>
      <c r="I14" s="12">
        <f>opex_security/'Quy mô thị trường'!I6</f>
        <v/>
      </c>
      <c r="J14" s="12">
        <f>opex_security/'Quy mô thị trường'!J6</f>
        <v/>
      </c>
      <c r="K14" s="12">
        <f>opex_security/'Quy mô thị trường'!K6</f>
        <v/>
      </c>
      <c r="L14" s="12">
        <f>opex_security/'Quy mô thị trường'!L6</f>
        <v/>
      </c>
      <c r="M14" s="12">
        <f>opex_security/'Quy mô thị trường'!M6</f>
        <v/>
      </c>
      <c r="N14" s="12">
        <f>opex_security/'Quy mô thị trường'!N6</f>
        <v/>
      </c>
      <c r="O14" s="12">
        <f>opex_security/'Quy mô thị trường'!O6</f>
        <v/>
      </c>
      <c r="P14" s="12">
        <f>opex_security/'Quy mô thị trường'!P6</f>
        <v/>
      </c>
      <c r="Q14" s="12">
        <f>opex_security/'Quy mô thị trường'!Q6</f>
        <v/>
      </c>
      <c r="R14" s="12">
        <f>opex_security/'Quy mô thị trường'!R6</f>
        <v/>
      </c>
      <c r="S14" s="12">
        <f>opex_security/'Quy mô thị trường'!S6</f>
        <v/>
      </c>
      <c r="T14" s="12">
        <f>opex_security/'Quy mô thị trường'!T6</f>
        <v/>
      </c>
      <c r="U14" s="12">
        <f>opex_security/'Quy mô thị trường'!U6</f>
        <v/>
      </c>
      <c r="V14" s="12">
        <f>opex_security/'Quy mô thị trường'!V6</f>
        <v/>
      </c>
      <c r="W14" s="12">
        <f>opex_security/'Quy mô thị trường'!W6</f>
        <v/>
      </c>
      <c r="X14" s="12">
        <f>opex_security/'Quy mô thị trường'!X6</f>
        <v/>
      </c>
      <c r="Y14" s="12">
        <f>opex_security/'Quy mô thị trường'!Y6</f>
        <v/>
      </c>
      <c r="Z14" s="12">
        <f>opex_security/'Quy mô thị trường'!Z6</f>
        <v/>
      </c>
      <c r="AA14" s="12">
        <f>opex_security/'Quy mô thị trường'!AA6</f>
        <v/>
      </c>
      <c r="AB14" s="12">
        <f>opex_security/'Quy mô thị trường'!AB6</f>
        <v/>
      </c>
      <c r="AC14" s="12">
        <f>opex_security/'Quy mô thị trường'!AC6</f>
        <v/>
      </c>
      <c r="AD14" s="12">
        <f>opex_security/'Quy mô thị trường'!AD6</f>
        <v/>
      </c>
      <c r="AE14" s="12">
        <f>opex_security/'Quy mô thị trường'!AE6</f>
        <v/>
      </c>
      <c r="AF14" s="12">
        <f>opex_security/'Quy mô thị trường'!AF6</f>
        <v/>
      </c>
      <c r="AG14" s="12">
        <f>opex_security/'Quy mô thị trường'!AG6</f>
        <v/>
      </c>
      <c r="AH14" s="12">
        <f>opex_security/'Quy mô thị trường'!AH6</f>
        <v/>
      </c>
      <c r="AI14" s="12">
        <f>opex_security/'Quy mô thị trường'!AI6</f>
        <v/>
      </c>
      <c r="AJ14" s="12">
        <f>opex_security/'Quy mô thị trường'!AJ6</f>
        <v/>
      </c>
      <c r="AK14" s="12">
        <f>opex_security/'Quy mô thị trường'!AK6</f>
        <v/>
      </c>
      <c r="AL14" s="12">
        <f>opex_security/'Quy mô thị trường'!AL6</f>
        <v/>
      </c>
      <c r="AM14" s="12">
        <f>opex_security/'Quy mô thị trường'!AM6</f>
        <v/>
      </c>
      <c r="AN14" s="12">
        <f>opex_security/'Quy mô thị trường'!AN6</f>
        <v/>
      </c>
      <c r="AO14" s="12">
        <f>opex_security/'Quy mô thị trường'!AO6</f>
        <v/>
      </c>
      <c r="AP14" s="12">
        <f>opex_security/'Quy mô thị trường'!AP6</f>
        <v/>
      </c>
      <c r="AQ14" s="12">
        <f>opex_security/'Quy mô thị trường'!AQ6</f>
        <v/>
      </c>
      <c r="AR14" s="12">
        <f>opex_security/'Quy mô thị trường'!AR6</f>
        <v/>
      </c>
    </row>
    <row r="15">
      <c r="A15" s="6" t="inlineStr">
        <is>
          <t xml:space="preserve">  Đối ngoại</t>
        </is>
      </c>
      <c r="B15" s="6" t="inlineStr">
        <is>
          <t>Tr VND</t>
        </is>
      </c>
      <c r="C15" s="12">
        <f>opex_external/'Quy mô thị trường'!C6</f>
        <v/>
      </c>
      <c r="D15" s="12">
        <f>opex_external/'Quy mô thị trường'!D6</f>
        <v/>
      </c>
      <c r="E15" s="12">
        <f>opex_external/'Quy mô thị trường'!E6</f>
        <v/>
      </c>
      <c r="F15" s="12">
        <f>opex_external/'Quy mô thị trường'!F6</f>
        <v/>
      </c>
      <c r="G15" s="12">
        <f>opex_external/'Quy mô thị trường'!G6</f>
        <v/>
      </c>
      <c r="H15" s="12">
        <f>opex_external/'Quy mô thị trường'!H6</f>
        <v/>
      </c>
      <c r="I15" s="12">
        <f>opex_external/'Quy mô thị trường'!I6</f>
        <v/>
      </c>
      <c r="J15" s="12">
        <f>opex_external/'Quy mô thị trường'!J6</f>
        <v/>
      </c>
      <c r="K15" s="12">
        <f>opex_external/'Quy mô thị trường'!K6</f>
        <v/>
      </c>
      <c r="L15" s="12">
        <f>opex_external/'Quy mô thị trường'!L6</f>
        <v/>
      </c>
      <c r="M15" s="12">
        <f>opex_external/'Quy mô thị trường'!M6</f>
        <v/>
      </c>
      <c r="N15" s="12">
        <f>opex_external/'Quy mô thị trường'!N6</f>
        <v/>
      </c>
      <c r="O15" s="12">
        <f>opex_external/'Quy mô thị trường'!O6</f>
        <v/>
      </c>
      <c r="P15" s="12">
        <f>opex_external/'Quy mô thị trường'!P6</f>
        <v/>
      </c>
      <c r="Q15" s="12">
        <f>opex_external/'Quy mô thị trường'!Q6</f>
        <v/>
      </c>
      <c r="R15" s="12">
        <f>opex_external/'Quy mô thị trường'!R6</f>
        <v/>
      </c>
      <c r="S15" s="12">
        <f>opex_external/'Quy mô thị trường'!S6</f>
        <v/>
      </c>
      <c r="T15" s="12">
        <f>opex_external/'Quy mô thị trường'!T6</f>
        <v/>
      </c>
      <c r="U15" s="12">
        <f>opex_external/'Quy mô thị trường'!U6</f>
        <v/>
      </c>
      <c r="V15" s="12">
        <f>opex_external/'Quy mô thị trường'!V6</f>
        <v/>
      </c>
      <c r="W15" s="12">
        <f>opex_external/'Quy mô thị trường'!W6</f>
        <v/>
      </c>
      <c r="X15" s="12">
        <f>opex_external/'Quy mô thị trường'!X6</f>
        <v/>
      </c>
      <c r="Y15" s="12">
        <f>opex_external/'Quy mô thị trường'!Y6</f>
        <v/>
      </c>
      <c r="Z15" s="12">
        <f>opex_external/'Quy mô thị trường'!Z6</f>
        <v/>
      </c>
      <c r="AA15" s="12">
        <f>opex_external/'Quy mô thị trường'!AA6</f>
        <v/>
      </c>
      <c r="AB15" s="12">
        <f>opex_external/'Quy mô thị trường'!AB6</f>
        <v/>
      </c>
      <c r="AC15" s="12">
        <f>opex_external/'Quy mô thị trường'!AC6</f>
        <v/>
      </c>
      <c r="AD15" s="12">
        <f>opex_external/'Quy mô thị trường'!AD6</f>
        <v/>
      </c>
      <c r="AE15" s="12">
        <f>opex_external/'Quy mô thị trường'!AE6</f>
        <v/>
      </c>
      <c r="AF15" s="12">
        <f>opex_external/'Quy mô thị trường'!AF6</f>
        <v/>
      </c>
      <c r="AG15" s="12">
        <f>opex_external/'Quy mô thị trường'!AG6</f>
        <v/>
      </c>
      <c r="AH15" s="12">
        <f>opex_external/'Quy mô thị trường'!AH6</f>
        <v/>
      </c>
      <c r="AI15" s="12">
        <f>opex_external/'Quy mô thị trường'!AI6</f>
        <v/>
      </c>
      <c r="AJ15" s="12">
        <f>opex_external/'Quy mô thị trường'!AJ6</f>
        <v/>
      </c>
      <c r="AK15" s="12">
        <f>opex_external/'Quy mô thị trường'!AK6</f>
        <v/>
      </c>
      <c r="AL15" s="12">
        <f>opex_external/'Quy mô thị trường'!AL6</f>
        <v/>
      </c>
      <c r="AM15" s="12">
        <f>opex_external/'Quy mô thị trường'!AM6</f>
        <v/>
      </c>
      <c r="AN15" s="12">
        <f>opex_external/'Quy mô thị trường'!AN6</f>
        <v/>
      </c>
      <c r="AO15" s="12">
        <f>opex_external/'Quy mô thị trường'!AO6</f>
        <v/>
      </c>
      <c r="AP15" s="12">
        <f>opex_external/'Quy mô thị trường'!AP6</f>
        <v/>
      </c>
      <c r="AQ15" s="12">
        <f>opex_external/'Quy mô thị trường'!AQ6</f>
        <v/>
      </c>
      <c r="AR15" s="12">
        <f>opex_external/'Quy mô thị trường'!AR6</f>
        <v/>
      </c>
    </row>
    <row r="16">
      <c r="A16" s="6" t="inlineStr">
        <is>
          <t xml:space="preserve">  Pháp lý</t>
        </is>
      </c>
      <c r="B16" s="6" t="inlineStr">
        <is>
          <t>Tr VND</t>
        </is>
      </c>
      <c r="C16" s="12">
        <f>opex_legal/'Quy mô thị trường'!C6</f>
        <v/>
      </c>
      <c r="D16" s="12">
        <f>opex_legal/'Quy mô thị trường'!D6</f>
        <v/>
      </c>
      <c r="E16" s="12">
        <f>opex_legal/'Quy mô thị trường'!E6</f>
        <v/>
      </c>
      <c r="F16" s="12">
        <f>opex_legal/'Quy mô thị trường'!F6</f>
        <v/>
      </c>
      <c r="G16" s="12">
        <f>opex_legal/'Quy mô thị trường'!G6</f>
        <v/>
      </c>
      <c r="H16" s="12">
        <f>opex_legal/'Quy mô thị trường'!H6</f>
        <v/>
      </c>
      <c r="I16" s="12">
        <f>opex_legal/'Quy mô thị trường'!I6</f>
        <v/>
      </c>
      <c r="J16" s="12">
        <f>opex_legal/'Quy mô thị trường'!J6</f>
        <v/>
      </c>
      <c r="K16" s="12">
        <f>opex_legal/'Quy mô thị trường'!K6</f>
        <v/>
      </c>
      <c r="L16" s="12">
        <f>opex_legal/'Quy mô thị trường'!L6</f>
        <v/>
      </c>
      <c r="M16" s="12">
        <f>opex_legal/'Quy mô thị trường'!M6</f>
        <v/>
      </c>
      <c r="N16" s="12">
        <f>opex_legal/'Quy mô thị trường'!N6</f>
        <v/>
      </c>
      <c r="O16" s="12">
        <f>opex_legal/'Quy mô thị trường'!O6</f>
        <v/>
      </c>
      <c r="P16" s="12">
        <f>opex_legal/'Quy mô thị trường'!P6</f>
        <v/>
      </c>
      <c r="Q16" s="12">
        <f>opex_legal/'Quy mô thị trường'!Q6</f>
        <v/>
      </c>
      <c r="R16" s="12">
        <f>opex_legal/'Quy mô thị trường'!R6</f>
        <v/>
      </c>
      <c r="S16" s="12">
        <f>opex_legal/'Quy mô thị trường'!S6</f>
        <v/>
      </c>
      <c r="T16" s="12">
        <f>opex_legal/'Quy mô thị trường'!T6</f>
        <v/>
      </c>
      <c r="U16" s="12">
        <f>opex_legal/'Quy mô thị trường'!U6</f>
        <v/>
      </c>
      <c r="V16" s="12">
        <f>opex_legal/'Quy mô thị trường'!V6</f>
        <v/>
      </c>
      <c r="W16" s="12">
        <f>opex_legal/'Quy mô thị trường'!W6</f>
        <v/>
      </c>
      <c r="X16" s="12">
        <f>opex_legal/'Quy mô thị trường'!X6</f>
        <v/>
      </c>
      <c r="Y16" s="12">
        <f>opex_legal/'Quy mô thị trường'!Y6</f>
        <v/>
      </c>
      <c r="Z16" s="12">
        <f>opex_legal/'Quy mô thị trường'!Z6</f>
        <v/>
      </c>
      <c r="AA16" s="12">
        <f>opex_legal/'Quy mô thị trường'!AA6</f>
        <v/>
      </c>
      <c r="AB16" s="12">
        <f>opex_legal/'Quy mô thị trường'!AB6</f>
        <v/>
      </c>
      <c r="AC16" s="12">
        <f>opex_legal/'Quy mô thị trường'!AC6</f>
        <v/>
      </c>
      <c r="AD16" s="12">
        <f>opex_legal/'Quy mô thị trường'!AD6</f>
        <v/>
      </c>
      <c r="AE16" s="12">
        <f>opex_legal/'Quy mô thị trường'!AE6</f>
        <v/>
      </c>
      <c r="AF16" s="12">
        <f>opex_legal/'Quy mô thị trường'!AF6</f>
        <v/>
      </c>
      <c r="AG16" s="12">
        <f>opex_legal/'Quy mô thị trường'!AG6</f>
        <v/>
      </c>
      <c r="AH16" s="12">
        <f>opex_legal/'Quy mô thị trường'!AH6</f>
        <v/>
      </c>
      <c r="AI16" s="12">
        <f>opex_legal/'Quy mô thị trường'!AI6</f>
        <v/>
      </c>
      <c r="AJ16" s="12">
        <f>opex_legal/'Quy mô thị trường'!AJ6</f>
        <v/>
      </c>
      <c r="AK16" s="12">
        <f>opex_legal/'Quy mô thị trường'!AK6</f>
        <v/>
      </c>
      <c r="AL16" s="12">
        <f>opex_legal/'Quy mô thị trường'!AL6</f>
        <v/>
      </c>
      <c r="AM16" s="12">
        <f>opex_legal/'Quy mô thị trường'!AM6</f>
        <v/>
      </c>
      <c r="AN16" s="12">
        <f>opex_legal/'Quy mô thị trường'!AN6</f>
        <v/>
      </c>
      <c r="AO16" s="12">
        <f>opex_legal/'Quy mô thị trường'!AO6</f>
        <v/>
      </c>
      <c r="AP16" s="12">
        <f>opex_legal/'Quy mô thị trường'!AP6</f>
        <v/>
      </c>
      <c r="AQ16" s="12">
        <f>opex_legal/'Quy mô thị trường'!AQ6</f>
        <v/>
      </c>
      <c r="AR16" s="12">
        <f>opex_legal/'Quy mô thị trường'!AR6</f>
        <v/>
      </c>
    </row>
    <row r="17">
      <c r="A17" s="6" t="inlineStr">
        <is>
          <t xml:space="preserve">  Đánh giá thí điểm (Y1)</t>
        </is>
      </c>
      <c r="B17" s="6" t="inlineStr">
        <is>
          <t>Tr VND</t>
        </is>
      </c>
      <c r="C17" s="12">
        <f>opex_pilot_eval/'Quy mô thị trường'!C6</f>
        <v/>
      </c>
      <c r="D17" s="12">
        <f>opex_pilot_eval/'Quy mô thị trường'!D6</f>
        <v/>
      </c>
      <c r="E17" s="12">
        <f>opex_pilot_eval/'Quy mô thị trường'!E6</f>
        <v/>
      </c>
      <c r="F17" s="12">
        <f>opex_pilot_eval/'Quy mô thị trường'!F6</f>
        <v/>
      </c>
      <c r="G17" s="12">
        <f>opex_pilot_eval/'Quy mô thị trường'!G6</f>
        <v/>
      </c>
      <c r="H17" s="12">
        <f>opex_pilot_eval/'Quy mô thị trường'!H6</f>
        <v/>
      </c>
      <c r="I17" s="12">
        <f>0</f>
        <v/>
      </c>
      <c r="J17" s="12">
        <f>0</f>
        <v/>
      </c>
      <c r="K17" s="12">
        <f>0</f>
        <v/>
      </c>
      <c r="L17" s="12">
        <f>0</f>
        <v/>
      </c>
      <c r="M17" s="12">
        <f>0</f>
        <v/>
      </c>
      <c r="N17" s="12">
        <f>0</f>
        <v/>
      </c>
      <c r="O17" s="12">
        <f>0</f>
        <v/>
      </c>
      <c r="P17" s="12">
        <f>0</f>
        <v/>
      </c>
      <c r="Q17" s="12">
        <f>0</f>
        <v/>
      </c>
      <c r="R17" s="12">
        <f>0</f>
        <v/>
      </c>
      <c r="S17" s="12">
        <f>0</f>
        <v/>
      </c>
      <c r="T17" s="12">
        <f>0</f>
        <v/>
      </c>
      <c r="U17" s="12">
        <f>0</f>
        <v/>
      </c>
      <c r="V17" s="12">
        <f>0</f>
        <v/>
      </c>
      <c r="W17" s="12">
        <f>0</f>
        <v/>
      </c>
      <c r="X17" s="12">
        <f>0</f>
        <v/>
      </c>
      <c r="Y17" s="12">
        <f>0</f>
        <v/>
      </c>
      <c r="Z17" s="12">
        <f>0</f>
        <v/>
      </c>
      <c r="AA17" s="12">
        <f>0</f>
        <v/>
      </c>
      <c r="AB17" s="12">
        <f>0</f>
        <v/>
      </c>
      <c r="AC17" s="12">
        <f>0</f>
        <v/>
      </c>
      <c r="AD17" s="12">
        <f>0</f>
        <v/>
      </c>
      <c r="AE17" s="12">
        <f>0</f>
        <v/>
      </c>
      <c r="AF17" s="12">
        <f>0</f>
        <v/>
      </c>
      <c r="AG17" s="12">
        <f>0</f>
        <v/>
      </c>
      <c r="AH17" s="12">
        <f>0</f>
        <v/>
      </c>
      <c r="AI17" s="12">
        <f>0</f>
        <v/>
      </c>
      <c r="AJ17" s="12">
        <f>0</f>
        <v/>
      </c>
      <c r="AK17" s="12">
        <f>0</f>
        <v/>
      </c>
      <c r="AL17" s="12">
        <f>0</f>
        <v/>
      </c>
      <c r="AM17" s="12">
        <f>0</f>
        <v/>
      </c>
      <c r="AN17" s="12">
        <f>0</f>
        <v/>
      </c>
      <c r="AO17" s="12">
        <f>0</f>
        <v/>
      </c>
      <c r="AP17" s="12">
        <f>0</f>
        <v/>
      </c>
      <c r="AQ17" s="12">
        <f>0</f>
        <v/>
      </c>
      <c r="AR17" s="12">
        <f>0</f>
        <v/>
      </c>
    </row>
    <row r="18">
      <c r="A18" s="6" t="inlineStr">
        <is>
          <t xml:space="preserve">  Quản lý đối tác</t>
        </is>
      </c>
      <c r="B18" s="6" t="inlineStr">
        <is>
          <t>Tr VND</t>
        </is>
      </c>
      <c r="C18" s="12">
        <f>opex_partner_mgmt/'Quy mô thị trường'!C6</f>
        <v/>
      </c>
      <c r="D18" s="12">
        <f>opex_partner_mgmt/'Quy mô thị trường'!D6</f>
        <v/>
      </c>
      <c r="E18" s="12">
        <f>opex_partner_mgmt/'Quy mô thị trường'!E6</f>
        <v/>
      </c>
      <c r="F18" s="12">
        <f>opex_partner_mgmt/'Quy mô thị trường'!F6</f>
        <v/>
      </c>
      <c r="G18" s="12">
        <f>opex_partner_mgmt/'Quy mô thị trường'!G6</f>
        <v/>
      </c>
      <c r="H18" s="12">
        <f>opex_partner_mgmt/'Quy mô thị trường'!H6</f>
        <v/>
      </c>
      <c r="I18" s="12">
        <f>opex_partner_mgmt/'Quy mô thị trường'!I6</f>
        <v/>
      </c>
      <c r="J18" s="12">
        <f>opex_partner_mgmt/'Quy mô thị trường'!J6</f>
        <v/>
      </c>
      <c r="K18" s="12">
        <f>opex_partner_mgmt/'Quy mô thị trường'!K6</f>
        <v/>
      </c>
      <c r="L18" s="12">
        <f>opex_partner_mgmt/'Quy mô thị trường'!L6</f>
        <v/>
      </c>
      <c r="M18" s="12">
        <f>opex_partner_mgmt/'Quy mô thị trường'!M6</f>
        <v/>
      </c>
      <c r="N18" s="12">
        <f>opex_partner_mgmt/'Quy mô thị trường'!N6</f>
        <v/>
      </c>
      <c r="O18" s="12">
        <f>opex_partner_mgmt/'Quy mô thị trường'!O6</f>
        <v/>
      </c>
      <c r="P18" s="12">
        <f>opex_partner_mgmt/'Quy mô thị trường'!P6</f>
        <v/>
      </c>
      <c r="Q18" s="12">
        <f>opex_partner_mgmt/'Quy mô thị trường'!Q6</f>
        <v/>
      </c>
      <c r="R18" s="12">
        <f>opex_partner_mgmt/'Quy mô thị trường'!R6</f>
        <v/>
      </c>
      <c r="S18" s="12">
        <f>opex_partner_mgmt/'Quy mô thị trường'!S6</f>
        <v/>
      </c>
      <c r="T18" s="12">
        <f>opex_partner_mgmt/'Quy mô thị trường'!T6</f>
        <v/>
      </c>
      <c r="U18" s="12">
        <f>opex_partner_mgmt/'Quy mô thị trường'!U6</f>
        <v/>
      </c>
      <c r="V18" s="12">
        <f>opex_partner_mgmt/'Quy mô thị trường'!V6</f>
        <v/>
      </c>
      <c r="W18" s="12">
        <f>opex_partner_mgmt/'Quy mô thị trường'!W6</f>
        <v/>
      </c>
      <c r="X18" s="12">
        <f>opex_partner_mgmt/'Quy mô thị trường'!X6</f>
        <v/>
      </c>
      <c r="Y18" s="12">
        <f>opex_partner_mgmt/'Quy mô thị trường'!Y6</f>
        <v/>
      </c>
      <c r="Z18" s="12">
        <f>opex_partner_mgmt/'Quy mô thị trường'!Z6</f>
        <v/>
      </c>
      <c r="AA18" s="12">
        <f>opex_partner_mgmt/'Quy mô thị trường'!AA6</f>
        <v/>
      </c>
      <c r="AB18" s="12">
        <f>opex_partner_mgmt/'Quy mô thị trường'!AB6</f>
        <v/>
      </c>
      <c r="AC18" s="12">
        <f>opex_partner_mgmt/'Quy mô thị trường'!AC6</f>
        <v/>
      </c>
      <c r="AD18" s="12">
        <f>opex_partner_mgmt/'Quy mô thị trường'!AD6</f>
        <v/>
      </c>
      <c r="AE18" s="12">
        <f>opex_partner_mgmt/'Quy mô thị trường'!AE6</f>
        <v/>
      </c>
      <c r="AF18" s="12">
        <f>opex_partner_mgmt/'Quy mô thị trường'!AF6</f>
        <v/>
      </c>
      <c r="AG18" s="12">
        <f>opex_partner_mgmt/'Quy mô thị trường'!AG6</f>
        <v/>
      </c>
      <c r="AH18" s="12">
        <f>opex_partner_mgmt/'Quy mô thị trường'!AH6</f>
        <v/>
      </c>
      <c r="AI18" s="12">
        <f>opex_partner_mgmt/'Quy mô thị trường'!AI6</f>
        <v/>
      </c>
      <c r="AJ18" s="12">
        <f>opex_partner_mgmt/'Quy mô thị trường'!AJ6</f>
        <v/>
      </c>
      <c r="AK18" s="12">
        <f>opex_partner_mgmt/'Quy mô thị trường'!AK6</f>
        <v/>
      </c>
      <c r="AL18" s="12">
        <f>opex_partner_mgmt/'Quy mô thị trường'!AL6</f>
        <v/>
      </c>
      <c r="AM18" s="12">
        <f>opex_partner_mgmt/'Quy mô thị trường'!AM6</f>
        <v/>
      </c>
      <c r="AN18" s="12">
        <f>opex_partner_mgmt/'Quy mô thị trường'!AN6</f>
        <v/>
      </c>
      <c r="AO18" s="12">
        <f>opex_partner_mgmt/'Quy mô thị trường'!AO6</f>
        <v/>
      </c>
      <c r="AP18" s="12">
        <f>opex_partner_mgmt/'Quy mô thị trường'!AP6</f>
        <v/>
      </c>
      <c r="AQ18" s="12">
        <f>opex_partner_mgmt/'Quy mô thị trường'!AQ6</f>
        <v/>
      </c>
      <c r="AR18" s="12">
        <f>opex_partner_mgmt/'Quy mô thị trường'!AR6</f>
        <v/>
      </c>
    </row>
    <row r="19">
      <c r="A19" s="6" t="inlineStr">
        <is>
          <t xml:space="preserve">  Hỗ trợ khách hàng</t>
        </is>
      </c>
      <c r="B19" s="6" t="inlineStr">
        <is>
          <t>Tr VND</t>
        </is>
      </c>
      <c r="C19" s="12">
        <f>'Quy mô thị trường'!C15*opex_support_per_ent/'Quy mô thị trường'!C6</f>
        <v/>
      </c>
      <c r="D19" s="12">
        <f>'Quy mô thị trường'!D15*opex_support_per_ent/'Quy mô thị trường'!D6</f>
        <v/>
      </c>
      <c r="E19" s="12">
        <f>'Quy mô thị trường'!E15*opex_support_per_ent/'Quy mô thị trường'!E6</f>
        <v/>
      </c>
      <c r="F19" s="12">
        <f>'Quy mô thị trường'!F15*opex_support_per_ent/'Quy mô thị trường'!F6</f>
        <v/>
      </c>
      <c r="G19" s="12">
        <f>'Quy mô thị trường'!G15*opex_support_per_ent/'Quy mô thị trường'!G6</f>
        <v/>
      </c>
      <c r="H19" s="12">
        <f>'Quy mô thị trường'!H15*opex_support_per_ent/'Quy mô thị trường'!H6</f>
        <v/>
      </c>
      <c r="I19" s="12">
        <f>'Quy mô thị trường'!I15*opex_support_per_ent/'Quy mô thị trường'!I6</f>
        <v/>
      </c>
      <c r="J19" s="12">
        <f>'Quy mô thị trường'!J15*opex_support_per_ent/'Quy mô thị trường'!J6</f>
        <v/>
      </c>
      <c r="K19" s="12">
        <f>'Quy mô thị trường'!K15*opex_support_per_ent/'Quy mô thị trường'!K6</f>
        <v/>
      </c>
      <c r="L19" s="12">
        <f>'Quy mô thị trường'!L15*opex_support_per_ent/'Quy mô thị trường'!L6</f>
        <v/>
      </c>
      <c r="M19" s="12">
        <f>'Quy mô thị trường'!M15*opex_support_per_ent/'Quy mô thị trường'!M6</f>
        <v/>
      </c>
      <c r="N19" s="12">
        <f>'Quy mô thị trường'!N15*opex_support_per_ent/'Quy mô thị trường'!N6</f>
        <v/>
      </c>
      <c r="O19" s="12">
        <f>'Quy mô thị trường'!O15*opex_support_per_ent/'Quy mô thị trường'!O6</f>
        <v/>
      </c>
      <c r="P19" s="12">
        <f>'Quy mô thị trường'!P15*opex_support_per_ent/'Quy mô thị trường'!P6</f>
        <v/>
      </c>
      <c r="Q19" s="12">
        <f>'Quy mô thị trường'!Q15*opex_support_per_ent/'Quy mô thị trường'!Q6</f>
        <v/>
      </c>
      <c r="R19" s="12">
        <f>'Quy mô thị trường'!R15*opex_support_per_ent/'Quy mô thị trường'!R6</f>
        <v/>
      </c>
      <c r="S19" s="12">
        <f>'Quy mô thị trường'!S15*opex_support_per_ent/'Quy mô thị trường'!S6</f>
        <v/>
      </c>
      <c r="T19" s="12">
        <f>'Quy mô thị trường'!T15*opex_support_per_ent/'Quy mô thị trường'!T6</f>
        <v/>
      </c>
      <c r="U19" s="12">
        <f>'Quy mô thị trường'!U15*opex_support_per_ent/'Quy mô thị trường'!U6</f>
        <v/>
      </c>
      <c r="V19" s="12">
        <f>'Quy mô thị trường'!V15*opex_support_per_ent/'Quy mô thị trường'!V6</f>
        <v/>
      </c>
      <c r="W19" s="12">
        <f>'Quy mô thị trường'!W15*opex_support_per_ent/'Quy mô thị trường'!W6</f>
        <v/>
      </c>
      <c r="X19" s="12">
        <f>'Quy mô thị trường'!X15*opex_support_per_ent/'Quy mô thị trường'!X6</f>
        <v/>
      </c>
      <c r="Y19" s="12">
        <f>'Quy mô thị trường'!Y15*opex_support_per_ent/'Quy mô thị trường'!Y6</f>
        <v/>
      </c>
      <c r="Z19" s="12">
        <f>'Quy mô thị trường'!Z15*opex_support_per_ent/'Quy mô thị trường'!Z6</f>
        <v/>
      </c>
      <c r="AA19" s="12">
        <f>'Quy mô thị trường'!AA15*opex_support_per_ent/'Quy mô thị trường'!AA6</f>
        <v/>
      </c>
      <c r="AB19" s="12">
        <f>'Quy mô thị trường'!AB15*opex_support_per_ent/'Quy mô thị trường'!AB6</f>
        <v/>
      </c>
      <c r="AC19" s="12">
        <f>'Quy mô thị trường'!AC15*opex_support_per_ent/'Quy mô thị trường'!AC6</f>
        <v/>
      </c>
      <c r="AD19" s="12">
        <f>'Quy mô thị trường'!AD15*opex_support_per_ent/'Quy mô thị trường'!AD6</f>
        <v/>
      </c>
      <c r="AE19" s="12">
        <f>'Quy mô thị trường'!AE15*opex_support_per_ent/'Quy mô thị trường'!AE6</f>
        <v/>
      </c>
      <c r="AF19" s="12">
        <f>'Quy mô thị trường'!AF15*opex_support_per_ent/'Quy mô thị trường'!AF6</f>
        <v/>
      </c>
      <c r="AG19" s="12">
        <f>'Quy mô thị trường'!AG15*opex_support_per_ent/'Quy mô thị trường'!AG6</f>
        <v/>
      </c>
      <c r="AH19" s="12">
        <f>'Quy mô thị trường'!AH15*opex_support_per_ent/'Quy mô thị trường'!AH6</f>
        <v/>
      </c>
      <c r="AI19" s="12">
        <f>'Quy mô thị trường'!AI15*opex_support_per_ent/'Quy mô thị trường'!AI6</f>
        <v/>
      </c>
      <c r="AJ19" s="12">
        <f>'Quy mô thị trường'!AJ15*opex_support_per_ent/'Quy mô thị trường'!AJ6</f>
        <v/>
      </c>
      <c r="AK19" s="12">
        <f>'Quy mô thị trường'!AK15*opex_support_per_ent/'Quy mô thị trường'!AK6</f>
        <v/>
      </c>
      <c r="AL19" s="12">
        <f>'Quy mô thị trường'!AL15*opex_support_per_ent/'Quy mô thị trường'!AL6</f>
        <v/>
      </c>
      <c r="AM19" s="12">
        <f>'Quy mô thị trường'!AM15*opex_support_per_ent/'Quy mô thị trường'!AM6</f>
        <v/>
      </c>
      <c r="AN19" s="12">
        <f>'Quy mô thị trường'!AN15*opex_support_per_ent/'Quy mô thị trường'!AN6</f>
        <v/>
      </c>
      <c r="AO19" s="12">
        <f>'Quy mô thị trường'!AO15*opex_support_per_ent/'Quy mô thị trường'!AO6</f>
        <v/>
      </c>
      <c r="AP19" s="12">
        <f>'Quy mô thị trường'!AP15*opex_support_per_ent/'Quy mô thị trường'!AP6</f>
        <v/>
      </c>
      <c r="AQ19" s="12">
        <f>'Quy mô thị trường'!AQ15*opex_support_per_ent/'Quy mô thị trường'!AQ6</f>
        <v/>
      </c>
      <c r="AR19" s="12">
        <f>'Quy mô thị trường'!AR15*opex_support_per_ent/'Quy mô thị trường'!AR6</f>
        <v/>
      </c>
    </row>
    <row r="20">
      <c r="A20" s="6" t="inlineStr">
        <is>
          <t>OPEX cộng dồn</t>
        </is>
      </c>
      <c r="C20" s="11">
        <f>SUM(C10:C19)</f>
        <v/>
      </c>
      <c r="D20" s="11">
        <f>SUM(D10:D19)</f>
        <v/>
      </c>
      <c r="E20" s="11">
        <f>SUM(E10:E19)</f>
        <v/>
      </c>
      <c r="F20" s="11">
        <f>SUM(F10:F19)</f>
        <v/>
      </c>
      <c r="G20" s="11">
        <f>SUM(G10:G19)</f>
        <v/>
      </c>
      <c r="H20" s="11">
        <f>SUM(H10:H19)</f>
        <v/>
      </c>
      <c r="I20" s="11">
        <f>SUM(I10:I19)</f>
        <v/>
      </c>
      <c r="J20" s="11">
        <f>SUM(J10:J19)</f>
        <v/>
      </c>
      <c r="K20" s="11">
        <f>SUM(K10:K19)</f>
        <v/>
      </c>
      <c r="L20" s="11">
        <f>SUM(L10:L19)</f>
        <v/>
      </c>
      <c r="M20" s="11">
        <f>SUM(M10:M19)</f>
        <v/>
      </c>
      <c r="N20" s="11">
        <f>SUM(N10:N19)</f>
        <v/>
      </c>
      <c r="O20" s="11">
        <f>SUM(O10:O19)</f>
        <v/>
      </c>
      <c r="P20" s="11">
        <f>SUM(P10:P19)</f>
        <v/>
      </c>
      <c r="Q20" s="11">
        <f>SUM(Q10:Q19)</f>
        <v/>
      </c>
      <c r="R20" s="11">
        <f>SUM(R10:R19)</f>
        <v/>
      </c>
      <c r="S20" s="11">
        <f>SUM(S10:S19)</f>
        <v/>
      </c>
      <c r="T20" s="11">
        <f>SUM(T10:T19)</f>
        <v/>
      </c>
      <c r="U20" s="11">
        <f>SUM(U10:U19)</f>
        <v/>
      </c>
      <c r="V20" s="11">
        <f>SUM(V10:V19)</f>
        <v/>
      </c>
      <c r="W20" s="11">
        <f>SUM(W10:W19)</f>
        <v/>
      </c>
      <c r="X20" s="11">
        <f>SUM(X10:X19)</f>
        <v/>
      </c>
      <c r="Y20" s="11">
        <f>SUM(Y10:Y19)</f>
        <v/>
      </c>
      <c r="Z20" s="11">
        <f>SUM(Z10:Z19)</f>
        <v/>
      </c>
      <c r="AA20" s="11">
        <f>SUM(AA10:AA19)</f>
        <v/>
      </c>
      <c r="AB20" s="11">
        <f>SUM(AB10:AB19)</f>
        <v/>
      </c>
      <c r="AC20" s="11">
        <f>SUM(AC10:AC19)</f>
        <v/>
      </c>
      <c r="AD20" s="11">
        <f>SUM(AD10:AD19)</f>
        <v/>
      </c>
      <c r="AE20" s="11">
        <f>SUM(AE10:AE19)</f>
        <v/>
      </c>
      <c r="AF20" s="11">
        <f>SUM(AF10:AF19)</f>
        <v/>
      </c>
      <c r="AG20" s="11">
        <f>SUM(AG10:AG19)</f>
        <v/>
      </c>
      <c r="AH20" s="11">
        <f>SUM(AH10:AH19)</f>
        <v/>
      </c>
      <c r="AI20" s="11">
        <f>SUM(AI10:AI19)</f>
        <v/>
      </c>
      <c r="AJ20" s="11">
        <f>SUM(AJ10:AJ19)</f>
        <v/>
      </c>
      <c r="AK20" s="11">
        <f>SUM(AK10:AK19)</f>
        <v/>
      </c>
      <c r="AL20" s="11">
        <f>SUM(AL10:AL19)</f>
        <v/>
      </c>
      <c r="AM20" s="11">
        <f>SUM(AM10:AM19)</f>
        <v/>
      </c>
      <c r="AN20" s="11">
        <f>SUM(AN10:AN19)</f>
        <v/>
      </c>
      <c r="AO20" s="11">
        <f>SUM(AO10:AO19)</f>
        <v/>
      </c>
      <c r="AP20" s="11">
        <f>SUM(AP10:AP19)</f>
        <v/>
      </c>
      <c r="AQ20" s="11">
        <f>SUM(AQ10:AQ19)</f>
        <v/>
      </c>
      <c r="AR20" s="11">
        <f>SUM(AR10:AR19)</f>
        <v/>
      </c>
    </row>
    <row r="21">
      <c r="A21" s="6" t="inlineStr">
        <is>
          <t xml:space="preserve">  Dự phòng</t>
        </is>
      </c>
      <c r="B21" s="6" t="inlineStr">
        <is>
          <t>Tr VND</t>
        </is>
      </c>
      <c r="C21" s="12">
        <f>C20*opex_contingency_pct</f>
        <v/>
      </c>
      <c r="D21" s="12">
        <f>D20*opex_contingency_pct</f>
        <v/>
      </c>
      <c r="E21" s="12">
        <f>E20*opex_contingency_pct</f>
        <v/>
      </c>
      <c r="F21" s="12">
        <f>F20*opex_contingency_pct</f>
        <v/>
      </c>
      <c r="G21" s="12">
        <f>G20*opex_contingency_pct</f>
        <v/>
      </c>
      <c r="H21" s="12">
        <f>H20*opex_contingency_pct</f>
        <v/>
      </c>
      <c r="I21" s="12">
        <f>I20*opex_contingency_pct</f>
        <v/>
      </c>
      <c r="J21" s="12">
        <f>J20*opex_contingency_pct</f>
        <v/>
      </c>
      <c r="K21" s="12">
        <f>K20*opex_contingency_pct</f>
        <v/>
      </c>
      <c r="L21" s="12">
        <f>L20*opex_contingency_pct</f>
        <v/>
      </c>
      <c r="M21" s="12">
        <f>M20*opex_contingency_pct</f>
        <v/>
      </c>
      <c r="N21" s="12">
        <f>N20*opex_contingency_pct</f>
        <v/>
      </c>
      <c r="O21" s="12">
        <f>O20*opex_contingency_pct</f>
        <v/>
      </c>
      <c r="P21" s="12">
        <f>P20*opex_contingency_pct</f>
        <v/>
      </c>
      <c r="Q21" s="12">
        <f>Q20*opex_contingency_pct</f>
        <v/>
      </c>
      <c r="R21" s="12">
        <f>R20*opex_contingency_pct</f>
        <v/>
      </c>
      <c r="S21" s="12">
        <f>S20*opex_contingency_pct</f>
        <v/>
      </c>
      <c r="T21" s="12">
        <f>T20*opex_contingency_pct</f>
        <v/>
      </c>
      <c r="U21" s="12">
        <f>U20*opex_contingency_pct</f>
        <v/>
      </c>
      <c r="V21" s="12">
        <f>V20*opex_contingency_pct</f>
        <v/>
      </c>
      <c r="W21" s="12">
        <f>W20*opex_contingency_pct</f>
        <v/>
      </c>
      <c r="X21" s="12">
        <f>X20*opex_contingency_pct</f>
        <v/>
      </c>
      <c r="Y21" s="12">
        <f>Y20*opex_contingency_pct</f>
        <v/>
      </c>
      <c r="Z21" s="12">
        <f>Z20*opex_contingency_pct</f>
        <v/>
      </c>
      <c r="AA21" s="12">
        <f>AA20*opex_contingency_pct</f>
        <v/>
      </c>
      <c r="AB21" s="12">
        <f>AB20*opex_contingency_pct</f>
        <v/>
      </c>
      <c r="AC21" s="12">
        <f>AC20*opex_contingency_pct</f>
        <v/>
      </c>
      <c r="AD21" s="12">
        <f>AD20*opex_contingency_pct</f>
        <v/>
      </c>
      <c r="AE21" s="12">
        <f>AE20*opex_contingency_pct</f>
        <v/>
      </c>
      <c r="AF21" s="12">
        <f>AF20*opex_contingency_pct</f>
        <v/>
      </c>
      <c r="AG21" s="12">
        <f>AG20*opex_contingency_pct</f>
        <v/>
      </c>
      <c r="AH21" s="12">
        <f>AH20*opex_contingency_pct</f>
        <v/>
      </c>
      <c r="AI21" s="12">
        <f>AI20*opex_contingency_pct</f>
        <v/>
      </c>
      <c r="AJ21" s="12">
        <f>AJ20*opex_contingency_pct</f>
        <v/>
      </c>
      <c r="AK21" s="12">
        <f>AK20*opex_contingency_pct</f>
        <v/>
      </c>
      <c r="AL21" s="12">
        <f>AL20*opex_contingency_pct</f>
        <v/>
      </c>
      <c r="AM21" s="12">
        <f>AM20*opex_contingency_pct</f>
        <v/>
      </c>
      <c r="AN21" s="12">
        <f>AN20*opex_contingency_pct</f>
        <v/>
      </c>
      <c r="AO21" s="12">
        <f>AO20*opex_contingency_pct</f>
        <v/>
      </c>
      <c r="AP21" s="12">
        <f>AP20*opex_contingency_pct</f>
        <v/>
      </c>
      <c r="AQ21" s="12">
        <f>AQ20*opex_contingency_pct</f>
        <v/>
      </c>
      <c r="AR21" s="12">
        <f>AR20*opex_contingency_pct</f>
        <v/>
      </c>
    </row>
    <row r="22">
      <c r="A22" s="6" t="inlineStr">
        <is>
          <t>TỔNG OPEX</t>
        </is>
      </c>
      <c r="C22" s="11">
        <f>C20+C21</f>
        <v/>
      </c>
      <c r="D22" s="11">
        <f>D20+D21</f>
        <v/>
      </c>
      <c r="E22" s="11">
        <f>E20+E21</f>
        <v/>
      </c>
      <c r="F22" s="11">
        <f>F20+F21</f>
        <v/>
      </c>
      <c r="G22" s="11">
        <f>G20+G21</f>
        <v/>
      </c>
      <c r="H22" s="11">
        <f>H20+H21</f>
        <v/>
      </c>
      <c r="I22" s="11">
        <f>I20+I21</f>
        <v/>
      </c>
      <c r="J22" s="11">
        <f>J20+J21</f>
        <v/>
      </c>
      <c r="K22" s="11">
        <f>K20+K21</f>
        <v/>
      </c>
      <c r="L22" s="11">
        <f>L20+L21</f>
        <v/>
      </c>
      <c r="M22" s="11">
        <f>M20+M21</f>
        <v/>
      </c>
      <c r="N22" s="11">
        <f>N20+N21</f>
        <v/>
      </c>
      <c r="O22" s="11">
        <f>O20+O21</f>
        <v/>
      </c>
      <c r="P22" s="11">
        <f>P20+P21</f>
        <v/>
      </c>
      <c r="Q22" s="11">
        <f>Q20+Q21</f>
        <v/>
      </c>
      <c r="R22" s="11">
        <f>R20+R21</f>
        <v/>
      </c>
      <c r="S22" s="11">
        <f>S20+S21</f>
        <v/>
      </c>
      <c r="T22" s="11">
        <f>T20+T21</f>
        <v/>
      </c>
      <c r="U22" s="11">
        <f>U20+U21</f>
        <v/>
      </c>
      <c r="V22" s="11">
        <f>V20+V21</f>
        <v/>
      </c>
      <c r="W22" s="11">
        <f>W20+W21</f>
        <v/>
      </c>
      <c r="X22" s="11">
        <f>X20+X21</f>
        <v/>
      </c>
      <c r="Y22" s="11">
        <f>Y20+Y21</f>
        <v/>
      </c>
      <c r="Z22" s="11">
        <f>Z20+Z21</f>
        <v/>
      </c>
      <c r="AA22" s="11">
        <f>AA20+AA21</f>
        <v/>
      </c>
      <c r="AB22" s="11">
        <f>AB20+AB21</f>
        <v/>
      </c>
      <c r="AC22" s="11">
        <f>AC20+AC21</f>
        <v/>
      </c>
      <c r="AD22" s="11">
        <f>AD20+AD21</f>
        <v/>
      </c>
      <c r="AE22" s="11">
        <f>AE20+AE21</f>
        <v/>
      </c>
      <c r="AF22" s="11">
        <f>AF20+AF21</f>
        <v/>
      </c>
      <c r="AG22" s="11">
        <f>AG20+AG21</f>
        <v/>
      </c>
      <c r="AH22" s="11">
        <f>AH20+AH21</f>
        <v/>
      </c>
      <c r="AI22" s="11">
        <f>AI20+AI21</f>
        <v/>
      </c>
      <c r="AJ22" s="11">
        <f>AJ20+AJ21</f>
        <v/>
      </c>
      <c r="AK22" s="11">
        <f>AK20+AK21</f>
        <v/>
      </c>
      <c r="AL22" s="11">
        <f>AL20+AL21</f>
        <v/>
      </c>
      <c r="AM22" s="11">
        <f>AM20+AM21</f>
        <v/>
      </c>
      <c r="AN22" s="11">
        <f>AN20+AN21</f>
        <v/>
      </c>
      <c r="AO22" s="11">
        <f>AO20+AO21</f>
        <v/>
      </c>
      <c r="AP22" s="11">
        <f>AP20+AP21</f>
        <v/>
      </c>
      <c r="AQ22" s="11">
        <f>AQ20+AQ21</f>
        <v/>
      </c>
      <c r="AR22" s="11">
        <f>AR20+AR21</f>
        <v/>
      </c>
    </row>
    <row r="24">
      <c r="A24" s="6" t="inlineStr">
        <is>
          <t>TỔNG CHI PHÍ</t>
        </is>
      </c>
      <c r="C24" s="11">
        <f>C7+C22</f>
        <v/>
      </c>
      <c r="D24" s="11">
        <f>D7+D22</f>
        <v/>
      </c>
      <c r="E24" s="11">
        <f>E7+E22</f>
        <v/>
      </c>
      <c r="F24" s="11">
        <f>F7+F22</f>
        <v/>
      </c>
      <c r="G24" s="11">
        <f>G7+G22</f>
        <v/>
      </c>
      <c r="H24" s="11">
        <f>H7+H22</f>
        <v/>
      </c>
      <c r="I24" s="11">
        <f>I7+I22</f>
        <v/>
      </c>
      <c r="J24" s="11">
        <f>J7+J22</f>
        <v/>
      </c>
      <c r="K24" s="11">
        <f>K7+K22</f>
        <v/>
      </c>
      <c r="L24" s="11">
        <f>L7+L22</f>
        <v/>
      </c>
      <c r="M24" s="11">
        <f>M7+M22</f>
        <v/>
      </c>
      <c r="N24" s="11">
        <f>N7+N22</f>
        <v/>
      </c>
      <c r="O24" s="11">
        <f>O7+O22</f>
        <v/>
      </c>
      <c r="P24" s="11">
        <f>P7+P22</f>
        <v/>
      </c>
      <c r="Q24" s="11">
        <f>Q7+Q22</f>
        <v/>
      </c>
      <c r="R24" s="11">
        <f>R7+R22</f>
        <v/>
      </c>
      <c r="S24" s="11">
        <f>S7+S22</f>
        <v/>
      </c>
      <c r="T24" s="11">
        <f>T7+T22</f>
        <v/>
      </c>
      <c r="U24" s="11">
        <f>U7+U22</f>
        <v/>
      </c>
      <c r="V24" s="11">
        <f>V7+V22</f>
        <v/>
      </c>
      <c r="W24" s="11">
        <f>W7+W22</f>
        <v/>
      </c>
      <c r="X24" s="11">
        <f>X7+X22</f>
        <v/>
      </c>
      <c r="Y24" s="11">
        <f>Y7+Y22</f>
        <v/>
      </c>
      <c r="Z24" s="11">
        <f>Z7+Z22</f>
        <v/>
      </c>
      <c r="AA24" s="11">
        <f>AA7+AA22</f>
        <v/>
      </c>
      <c r="AB24" s="11">
        <f>AB7+AB22</f>
        <v/>
      </c>
      <c r="AC24" s="11">
        <f>AC7+AC22</f>
        <v/>
      </c>
      <c r="AD24" s="11">
        <f>AD7+AD22</f>
        <v/>
      </c>
      <c r="AE24" s="11">
        <f>AE7+AE22</f>
        <v/>
      </c>
      <c r="AF24" s="11">
        <f>AF7+AF22</f>
        <v/>
      </c>
      <c r="AG24" s="11">
        <f>AG7+AG22</f>
        <v/>
      </c>
      <c r="AH24" s="11">
        <f>AH7+AH22</f>
        <v/>
      </c>
      <c r="AI24" s="11">
        <f>AI7+AI22</f>
        <v/>
      </c>
      <c r="AJ24" s="11">
        <f>AJ7+AJ22</f>
        <v/>
      </c>
      <c r="AK24" s="11">
        <f>AK7+AK22</f>
        <v/>
      </c>
      <c r="AL24" s="11">
        <f>AL7+AL22</f>
        <v/>
      </c>
      <c r="AM24" s="11">
        <f>AM7+AM22</f>
        <v/>
      </c>
      <c r="AN24" s="11">
        <f>AN7+AN22</f>
        <v/>
      </c>
      <c r="AO24" s="11">
        <f>AO7+AO22</f>
        <v/>
      </c>
      <c r="AP24" s="11">
        <f>AP7+AP22</f>
        <v/>
      </c>
      <c r="AQ24" s="11">
        <f>AQ7+AQ22</f>
        <v/>
      </c>
      <c r="AR24" s="11">
        <f>AR7+AR22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3" t="inlineStr">
        <is>
          <t>BÁO CÁO KẾT QUẢ KINH DOANH (Tr VND)</t>
        </is>
      </c>
    </row>
    <row r="3">
      <c r="A3" s="5" t="inlineStr">
        <is>
          <t>Hạng mục</t>
        </is>
      </c>
      <c r="B3" s="5" t="inlineStr">
        <is>
          <t>ĐVT</t>
        </is>
      </c>
      <c r="C3" s="5" t="inlineStr">
        <is>
          <t>Th7 2025</t>
        </is>
      </c>
      <c r="D3" s="5" t="inlineStr">
        <is>
          <t>Th8 2025</t>
        </is>
      </c>
      <c r="E3" s="5" t="inlineStr">
        <is>
          <t>Th9 2025</t>
        </is>
      </c>
      <c r="F3" s="5" t="inlineStr">
        <is>
          <t>Th10 2025</t>
        </is>
      </c>
      <c r="G3" s="5" t="inlineStr">
        <is>
          <t>Th11 2025</t>
        </is>
      </c>
      <c r="H3" s="5" t="inlineStr">
        <is>
          <t>Th12 2025</t>
        </is>
      </c>
      <c r="I3" s="5" t="inlineStr">
        <is>
          <t>Th1 2026</t>
        </is>
      </c>
      <c r="J3" s="5" t="inlineStr">
        <is>
          <t>Th2 2026</t>
        </is>
      </c>
      <c r="K3" s="5" t="inlineStr">
        <is>
          <t>Th3 2026</t>
        </is>
      </c>
      <c r="L3" s="5" t="inlineStr">
        <is>
          <t>Th4 2026</t>
        </is>
      </c>
      <c r="M3" s="5" t="inlineStr">
        <is>
          <t>Th5 2026</t>
        </is>
      </c>
      <c r="N3" s="5" t="inlineStr">
        <is>
          <t>Th6 2026</t>
        </is>
      </c>
      <c r="O3" s="5" t="inlineStr">
        <is>
          <t>Th7 2026</t>
        </is>
      </c>
      <c r="P3" s="5" t="inlineStr">
        <is>
          <t>Th8 2026</t>
        </is>
      </c>
      <c r="Q3" s="5" t="inlineStr">
        <is>
          <t>Th9 2026</t>
        </is>
      </c>
      <c r="R3" s="5" t="inlineStr">
        <is>
          <t>Th10 2026</t>
        </is>
      </c>
      <c r="S3" s="5" t="inlineStr">
        <is>
          <t>Th11 2026</t>
        </is>
      </c>
      <c r="T3" s="5" t="inlineStr">
        <is>
          <t>Th12 2026</t>
        </is>
      </c>
      <c r="U3" s="5" t="inlineStr">
        <is>
          <t>Th1 2027</t>
        </is>
      </c>
      <c r="V3" s="5" t="inlineStr">
        <is>
          <t>Th2 2027</t>
        </is>
      </c>
      <c r="W3" s="5" t="inlineStr">
        <is>
          <t>Th3 2027</t>
        </is>
      </c>
      <c r="X3" s="5" t="inlineStr">
        <is>
          <t>Th4 2027</t>
        </is>
      </c>
      <c r="Y3" s="5" t="inlineStr">
        <is>
          <t>Th5 2027</t>
        </is>
      </c>
      <c r="Z3" s="5" t="inlineStr">
        <is>
          <t>Th6 2027</t>
        </is>
      </c>
      <c r="AA3" s="5" t="inlineStr">
        <is>
          <t>Th7 2027</t>
        </is>
      </c>
      <c r="AB3" s="5" t="inlineStr">
        <is>
          <t>Th8 2027</t>
        </is>
      </c>
      <c r="AC3" s="5" t="inlineStr">
        <is>
          <t>Th9 2027</t>
        </is>
      </c>
      <c r="AD3" s="5" t="inlineStr">
        <is>
          <t>Th10 2027</t>
        </is>
      </c>
      <c r="AE3" s="5" t="inlineStr">
        <is>
          <t>Th11 2027</t>
        </is>
      </c>
      <c r="AF3" s="5" t="inlineStr">
        <is>
          <t>Th12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6" t="inlineStr">
        <is>
          <t>Doanh thu</t>
        </is>
      </c>
      <c r="C4" s="12">
        <f>'Doanh thu'!C16</f>
        <v/>
      </c>
      <c r="D4" s="12">
        <f>'Doanh thu'!D16</f>
        <v/>
      </c>
      <c r="E4" s="12">
        <f>'Doanh thu'!E16</f>
        <v/>
      </c>
      <c r="F4" s="12">
        <f>'Doanh thu'!F16</f>
        <v/>
      </c>
      <c r="G4" s="12">
        <f>'Doanh thu'!G16</f>
        <v/>
      </c>
      <c r="H4" s="12">
        <f>'Doanh thu'!H16</f>
        <v/>
      </c>
      <c r="I4" s="12">
        <f>'Doanh thu'!I16</f>
        <v/>
      </c>
      <c r="J4" s="12">
        <f>'Doanh thu'!J16</f>
        <v/>
      </c>
      <c r="K4" s="12">
        <f>'Doanh thu'!K16</f>
        <v/>
      </c>
      <c r="L4" s="12">
        <f>'Doanh thu'!L16</f>
        <v/>
      </c>
      <c r="M4" s="12">
        <f>'Doanh thu'!M16</f>
        <v/>
      </c>
      <c r="N4" s="12">
        <f>'Doanh thu'!N16</f>
        <v/>
      </c>
      <c r="O4" s="12">
        <f>'Doanh thu'!O16</f>
        <v/>
      </c>
      <c r="P4" s="12">
        <f>'Doanh thu'!P16</f>
        <v/>
      </c>
      <c r="Q4" s="12">
        <f>'Doanh thu'!Q16</f>
        <v/>
      </c>
      <c r="R4" s="12">
        <f>'Doanh thu'!R16</f>
        <v/>
      </c>
      <c r="S4" s="12">
        <f>'Doanh thu'!S16</f>
        <v/>
      </c>
      <c r="T4" s="12">
        <f>'Doanh thu'!T16</f>
        <v/>
      </c>
      <c r="U4" s="12">
        <f>'Doanh thu'!U16</f>
        <v/>
      </c>
      <c r="V4" s="12">
        <f>'Doanh thu'!V16</f>
        <v/>
      </c>
      <c r="W4" s="12">
        <f>'Doanh thu'!W16</f>
        <v/>
      </c>
      <c r="X4" s="12">
        <f>'Doanh thu'!X16</f>
        <v/>
      </c>
      <c r="Y4" s="12">
        <f>'Doanh thu'!Y16</f>
        <v/>
      </c>
      <c r="Z4" s="12">
        <f>'Doanh thu'!Z16</f>
        <v/>
      </c>
      <c r="AA4" s="12">
        <f>'Doanh thu'!AA16</f>
        <v/>
      </c>
      <c r="AB4" s="12">
        <f>'Doanh thu'!AB16</f>
        <v/>
      </c>
      <c r="AC4" s="12">
        <f>'Doanh thu'!AC16</f>
        <v/>
      </c>
      <c r="AD4" s="12">
        <f>'Doanh thu'!AD16</f>
        <v/>
      </c>
      <c r="AE4" s="12">
        <f>'Doanh thu'!AE16</f>
        <v/>
      </c>
      <c r="AF4" s="12">
        <f>'Doanh thu'!AF16</f>
        <v/>
      </c>
      <c r="AG4" s="12">
        <f>'Doanh thu'!AG16</f>
        <v/>
      </c>
      <c r="AH4" s="12">
        <f>'Doanh thu'!AH16</f>
        <v/>
      </c>
      <c r="AI4" s="12">
        <f>'Doanh thu'!AI16</f>
        <v/>
      </c>
      <c r="AJ4" s="12">
        <f>'Doanh thu'!AJ16</f>
        <v/>
      </c>
      <c r="AK4" s="12">
        <f>'Doanh thu'!AK16</f>
        <v/>
      </c>
      <c r="AL4" s="12">
        <f>'Doanh thu'!AL16</f>
        <v/>
      </c>
      <c r="AM4" s="12">
        <f>'Doanh thu'!AM16</f>
        <v/>
      </c>
      <c r="AN4" s="12">
        <f>'Doanh thu'!AN16</f>
        <v/>
      </c>
      <c r="AO4" s="12">
        <f>'Doanh thu'!AO16</f>
        <v/>
      </c>
      <c r="AP4" s="12">
        <f>'Doanh thu'!AP16</f>
        <v/>
      </c>
      <c r="AQ4" s="12">
        <f>'Doanh thu'!AQ16</f>
        <v/>
      </c>
      <c r="AR4" s="12">
        <f>'Doanh thu'!AR16</f>
        <v/>
      </c>
    </row>
    <row r="5">
      <c r="A5" s="6" t="inlineStr">
        <is>
          <t>Giá vốn</t>
        </is>
      </c>
      <c r="C5" s="12">
        <f>-'Doanh thu'!C20</f>
        <v/>
      </c>
      <c r="D5" s="12">
        <f>-'Doanh thu'!D20</f>
        <v/>
      </c>
      <c r="E5" s="12">
        <f>-'Doanh thu'!E20</f>
        <v/>
      </c>
      <c r="F5" s="12">
        <f>-'Doanh thu'!F20</f>
        <v/>
      </c>
      <c r="G5" s="12">
        <f>-'Doanh thu'!G20</f>
        <v/>
      </c>
      <c r="H5" s="12">
        <f>-'Doanh thu'!H20</f>
        <v/>
      </c>
      <c r="I5" s="12">
        <f>-'Doanh thu'!I20</f>
        <v/>
      </c>
      <c r="J5" s="12">
        <f>-'Doanh thu'!J20</f>
        <v/>
      </c>
      <c r="K5" s="12">
        <f>-'Doanh thu'!K20</f>
        <v/>
      </c>
      <c r="L5" s="12">
        <f>-'Doanh thu'!L20</f>
        <v/>
      </c>
      <c r="M5" s="12">
        <f>-'Doanh thu'!M20</f>
        <v/>
      </c>
      <c r="N5" s="12">
        <f>-'Doanh thu'!N20</f>
        <v/>
      </c>
      <c r="O5" s="12">
        <f>-'Doanh thu'!O20</f>
        <v/>
      </c>
      <c r="P5" s="12">
        <f>-'Doanh thu'!P20</f>
        <v/>
      </c>
      <c r="Q5" s="12">
        <f>-'Doanh thu'!Q20</f>
        <v/>
      </c>
      <c r="R5" s="12">
        <f>-'Doanh thu'!R20</f>
        <v/>
      </c>
      <c r="S5" s="12">
        <f>-'Doanh thu'!S20</f>
        <v/>
      </c>
      <c r="T5" s="12">
        <f>-'Doanh thu'!T20</f>
        <v/>
      </c>
      <c r="U5" s="12">
        <f>-'Doanh thu'!U20</f>
        <v/>
      </c>
      <c r="V5" s="12">
        <f>-'Doanh thu'!V20</f>
        <v/>
      </c>
      <c r="W5" s="12">
        <f>-'Doanh thu'!W20</f>
        <v/>
      </c>
      <c r="X5" s="12">
        <f>-'Doanh thu'!X20</f>
        <v/>
      </c>
      <c r="Y5" s="12">
        <f>-'Doanh thu'!Y20</f>
        <v/>
      </c>
      <c r="Z5" s="12">
        <f>-'Doanh thu'!Z20</f>
        <v/>
      </c>
      <c r="AA5" s="12">
        <f>-'Doanh thu'!AA20</f>
        <v/>
      </c>
      <c r="AB5" s="12">
        <f>-'Doanh thu'!AB20</f>
        <v/>
      </c>
      <c r="AC5" s="12">
        <f>-'Doanh thu'!AC20</f>
        <v/>
      </c>
      <c r="AD5" s="12">
        <f>-'Doanh thu'!AD20</f>
        <v/>
      </c>
      <c r="AE5" s="12">
        <f>-'Doanh thu'!AE20</f>
        <v/>
      </c>
      <c r="AF5" s="12">
        <f>-'Doanh thu'!AF20</f>
        <v/>
      </c>
      <c r="AG5" s="12">
        <f>-'Doanh thu'!AG20</f>
        <v/>
      </c>
      <c r="AH5" s="12">
        <f>-'Doanh thu'!AH20</f>
        <v/>
      </c>
      <c r="AI5" s="12">
        <f>-'Doanh thu'!AI20</f>
        <v/>
      </c>
      <c r="AJ5" s="12">
        <f>-'Doanh thu'!AJ20</f>
        <v/>
      </c>
      <c r="AK5" s="12">
        <f>-'Doanh thu'!AK20</f>
        <v/>
      </c>
      <c r="AL5" s="12">
        <f>-'Doanh thu'!AL20</f>
        <v/>
      </c>
      <c r="AM5" s="12">
        <f>-'Doanh thu'!AM20</f>
        <v/>
      </c>
      <c r="AN5" s="12">
        <f>-'Doanh thu'!AN20</f>
        <v/>
      </c>
      <c r="AO5" s="12">
        <f>-'Doanh thu'!AO20</f>
        <v/>
      </c>
      <c r="AP5" s="12">
        <f>-'Doanh thu'!AP20</f>
        <v/>
      </c>
      <c r="AQ5" s="12">
        <f>-'Doanh thu'!AQ20</f>
        <v/>
      </c>
      <c r="AR5" s="12">
        <f>-'Doanh thu'!AR20</f>
        <v/>
      </c>
    </row>
    <row r="6">
      <c r="A6" s="6" t="inlineStr">
        <is>
          <t>LỢI NHUẬN GỘP</t>
        </is>
      </c>
      <c r="C6" s="11">
        <f>C4+C5</f>
        <v/>
      </c>
      <c r="D6" s="11">
        <f>D4+D5</f>
        <v/>
      </c>
      <c r="E6" s="11">
        <f>E4+E5</f>
        <v/>
      </c>
      <c r="F6" s="11">
        <f>F4+F5</f>
        <v/>
      </c>
      <c r="G6" s="11">
        <f>G4+G5</f>
        <v/>
      </c>
      <c r="H6" s="11">
        <f>H4+H5</f>
        <v/>
      </c>
      <c r="I6" s="11">
        <f>I4+I5</f>
        <v/>
      </c>
      <c r="J6" s="11">
        <f>J4+J5</f>
        <v/>
      </c>
      <c r="K6" s="11">
        <f>K4+K5</f>
        <v/>
      </c>
      <c r="L6" s="11">
        <f>L4+L5</f>
        <v/>
      </c>
      <c r="M6" s="11">
        <f>M4+M5</f>
        <v/>
      </c>
      <c r="N6" s="11">
        <f>N4+N5</f>
        <v/>
      </c>
      <c r="O6" s="11">
        <f>O4+O5</f>
        <v/>
      </c>
      <c r="P6" s="11">
        <f>P4+P5</f>
        <v/>
      </c>
      <c r="Q6" s="11">
        <f>Q4+Q5</f>
        <v/>
      </c>
      <c r="R6" s="11">
        <f>R4+R5</f>
        <v/>
      </c>
      <c r="S6" s="11">
        <f>S4+S5</f>
        <v/>
      </c>
      <c r="T6" s="11">
        <f>T4+T5</f>
        <v/>
      </c>
      <c r="U6" s="11">
        <f>U4+U5</f>
        <v/>
      </c>
      <c r="V6" s="11">
        <f>V4+V5</f>
        <v/>
      </c>
      <c r="W6" s="11">
        <f>W4+W5</f>
        <v/>
      </c>
      <c r="X6" s="11">
        <f>X4+X5</f>
        <v/>
      </c>
      <c r="Y6" s="11">
        <f>Y4+Y5</f>
        <v/>
      </c>
      <c r="Z6" s="11">
        <f>Z4+Z5</f>
        <v/>
      </c>
      <c r="AA6" s="11">
        <f>AA4+AA5</f>
        <v/>
      </c>
      <c r="AB6" s="11">
        <f>AB4+AB5</f>
        <v/>
      </c>
      <c r="AC6" s="11">
        <f>AC4+AC5</f>
        <v/>
      </c>
      <c r="AD6" s="11">
        <f>AD4+AD5</f>
        <v/>
      </c>
      <c r="AE6" s="11">
        <f>AE4+AE5</f>
        <v/>
      </c>
      <c r="AF6" s="11">
        <f>AF4+AF5</f>
        <v/>
      </c>
      <c r="AG6" s="11">
        <f>AG4+AG5</f>
        <v/>
      </c>
      <c r="AH6" s="11">
        <f>AH4+AH5</f>
        <v/>
      </c>
      <c r="AI6" s="11">
        <f>AI4+AI5</f>
        <v/>
      </c>
      <c r="AJ6" s="11">
        <f>AJ4+AJ5</f>
        <v/>
      </c>
      <c r="AK6" s="11">
        <f>AK4+AK5</f>
        <v/>
      </c>
      <c r="AL6" s="11">
        <f>AL4+AL5</f>
        <v/>
      </c>
      <c r="AM6" s="11">
        <f>AM4+AM5</f>
        <v/>
      </c>
      <c r="AN6" s="11">
        <f>AN4+AN5</f>
        <v/>
      </c>
      <c r="AO6" s="11">
        <f>AO4+AO5</f>
        <v/>
      </c>
      <c r="AP6" s="11">
        <f>AP4+AP5</f>
        <v/>
      </c>
      <c r="AQ6" s="11">
        <f>AQ4+AQ5</f>
        <v/>
      </c>
      <c r="AR6" s="11">
        <f>AR4+AR5</f>
        <v/>
      </c>
    </row>
    <row r="8">
      <c r="A8" s="6" t="inlineStr">
        <is>
          <t>Chi phí hoạt động</t>
        </is>
      </c>
      <c r="C8" s="12">
        <f>-'Chi phí'!C22</f>
        <v/>
      </c>
      <c r="D8" s="12">
        <f>-'Chi phí'!D22</f>
        <v/>
      </c>
      <c r="E8" s="12">
        <f>-'Chi phí'!E22</f>
        <v/>
      </c>
      <c r="F8" s="12">
        <f>-'Chi phí'!F22</f>
        <v/>
      </c>
      <c r="G8" s="12">
        <f>-'Chi phí'!G22</f>
        <v/>
      </c>
      <c r="H8" s="12">
        <f>-'Chi phí'!H22</f>
        <v/>
      </c>
      <c r="I8" s="12">
        <f>-'Chi phí'!I22</f>
        <v/>
      </c>
      <c r="J8" s="12">
        <f>-'Chi phí'!J22</f>
        <v/>
      </c>
      <c r="K8" s="12">
        <f>-'Chi phí'!K22</f>
        <v/>
      </c>
      <c r="L8" s="12">
        <f>-'Chi phí'!L22</f>
        <v/>
      </c>
      <c r="M8" s="12">
        <f>-'Chi phí'!M22</f>
        <v/>
      </c>
      <c r="N8" s="12">
        <f>-'Chi phí'!N22</f>
        <v/>
      </c>
      <c r="O8" s="12">
        <f>-'Chi phí'!O22</f>
        <v/>
      </c>
      <c r="P8" s="12">
        <f>-'Chi phí'!P22</f>
        <v/>
      </c>
      <c r="Q8" s="12">
        <f>-'Chi phí'!Q22</f>
        <v/>
      </c>
      <c r="R8" s="12">
        <f>-'Chi phí'!R22</f>
        <v/>
      </c>
      <c r="S8" s="12">
        <f>-'Chi phí'!S22</f>
        <v/>
      </c>
      <c r="T8" s="12">
        <f>-'Chi phí'!T22</f>
        <v/>
      </c>
      <c r="U8" s="12">
        <f>-'Chi phí'!U22</f>
        <v/>
      </c>
      <c r="V8" s="12">
        <f>-'Chi phí'!V22</f>
        <v/>
      </c>
      <c r="W8" s="12">
        <f>-'Chi phí'!W22</f>
        <v/>
      </c>
      <c r="X8" s="12">
        <f>-'Chi phí'!X22</f>
        <v/>
      </c>
      <c r="Y8" s="12">
        <f>-'Chi phí'!Y22</f>
        <v/>
      </c>
      <c r="Z8" s="12">
        <f>-'Chi phí'!Z22</f>
        <v/>
      </c>
      <c r="AA8" s="12">
        <f>-'Chi phí'!AA22</f>
        <v/>
      </c>
      <c r="AB8" s="12">
        <f>-'Chi phí'!AB22</f>
        <v/>
      </c>
      <c r="AC8" s="12">
        <f>-'Chi phí'!AC22</f>
        <v/>
      </c>
      <c r="AD8" s="12">
        <f>-'Chi phí'!AD22</f>
        <v/>
      </c>
      <c r="AE8" s="12">
        <f>-'Chi phí'!AE22</f>
        <v/>
      </c>
      <c r="AF8" s="12">
        <f>-'Chi phí'!AF22</f>
        <v/>
      </c>
      <c r="AG8" s="12">
        <f>-'Chi phí'!AG22</f>
        <v/>
      </c>
      <c r="AH8" s="12">
        <f>-'Chi phí'!AH22</f>
        <v/>
      </c>
      <c r="AI8" s="12">
        <f>-'Chi phí'!AI22</f>
        <v/>
      </c>
      <c r="AJ8" s="12">
        <f>-'Chi phí'!AJ22</f>
        <v/>
      </c>
      <c r="AK8" s="12">
        <f>-'Chi phí'!AK22</f>
        <v/>
      </c>
      <c r="AL8" s="12">
        <f>-'Chi phí'!AL22</f>
        <v/>
      </c>
      <c r="AM8" s="12">
        <f>-'Chi phí'!AM22</f>
        <v/>
      </c>
      <c r="AN8" s="12">
        <f>-'Chi phí'!AN22</f>
        <v/>
      </c>
      <c r="AO8" s="12">
        <f>-'Chi phí'!AO22</f>
        <v/>
      </c>
      <c r="AP8" s="12">
        <f>-'Chi phí'!AP22</f>
        <v/>
      </c>
      <c r="AQ8" s="12">
        <f>-'Chi phí'!AQ22</f>
        <v/>
      </c>
      <c r="AR8" s="12">
        <f>-'Chi phí'!AR22</f>
        <v/>
      </c>
    </row>
    <row r="9">
      <c r="A9" s="6" t="inlineStr">
        <is>
          <t>EBITDA</t>
        </is>
      </c>
      <c r="C9" s="11">
        <f>C6+C8</f>
        <v/>
      </c>
      <c r="D9" s="11">
        <f>D6+D8</f>
        <v/>
      </c>
      <c r="E9" s="11">
        <f>E6+E8</f>
        <v/>
      </c>
      <c r="F9" s="11">
        <f>F6+F8</f>
        <v/>
      </c>
      <c r="G9" s="11">
        <f>G6+G8</f>
        <v/>
      </c>
      <c r="H9" s="11">
        <f>H6+H8</f>
        <v/>
      </c>
      <c r="I9" s="11">
        <f>I6+I8</f>
        <v/>
      </c>
      <c r="J9" s="11">
        <f>J6+J8</f>
        <v/>
      </c>
      <c r="K9" s="11">
        <f>K6+K8</f>
        <v/>
      </c>
      <c r="L9" s="11">
        <f>L6+L8</f>
        <v/>
      </c>
      <c r="M9" s="11">
        <f>M6+M8</f>
        <v/>
      </c>
      <c r="N9" s="11">
        <f>N6+N8</f>
        <v/>
      </c>
      <c r="O9" s="11">
        <f>O6+O8</f>
        <v/>
      </c>
      <c r="P9" s="11">
        <f>P6+P8</f>
        <v/>
      </c>
      <c r="Q9" s="11">
        <f>Q6+Q8</f>
        <v/>
      </c>
      <c r="R9" s="11">
        <f>R6+R8</f>
        <v/>
      </c>
      <c r="S9" s="11">
        <f>S6+S8</f>
        <v/>
      </c>
      <c r="T9" s="11">
        <f>T6+T8</f>
        <v/>
      </c>
      <c r="U9" s="11">
        <f>U6+U8</f>
        <v/>
      </c>
      <c r="V9" s="11">
        <f>V6+V8</f>
        <v/>
      </c>
      <c r="W9" s="11">
        <f>W6+W8</f>
        <v/>
      </c>
      <c r="X9" s="11">
        <f>X6+X8</f>
        <v/>
      </c>
      <c r="Y9" s="11">
        <f>Y6+Y8</f>
        <v/>
      </c>
      <c r="Z9" s="11">
        <f>Z6+Z8</f>
        <v/>
      </c>
      <c r="AA9" s="11">
        <f>AA6+AA8</f>
        <v/>
      </c>
      <c r="AB9" s="11">
        <f>AB6+AB8</f>
        <v/>
      </c>
      <c r="AC9" s="11">
        <f>AC6+AC8</f>
        <v/>
      </c>
      <c r="AD9" s="11">
        <f>AD6+AD8</f>
        <v/>
      </c>
      <c r="AE9" s="11">
        <f>AE6+AE8</f>
        <v/>
      </c>
      <c r="AF9" s="11">
        <f>AF6+AF8</f>
        <v/>
      </c>
      <c r="AG9" s="11">
        <f>AG6+AG8</f>
        <v/>
      </c>
      <c r="AH9" s="11">
        <f>AH6+AH8</f>
        <v/>
      </c>
      <c r="AI9" s="11">
        <f>AI6+AI8</f>
        <v/>
      </c>
      <c r="AJ9" s="11">
        <f>AJ6+AJ8</f>
        <v/>
      </c>
      <c r="AK9" s="11">
        <f>AK6+AK8</f>
        <v/>
      </c>
      <c r="AL9" s="11">
        <f>AL6+AL8</f>
        <v/>
      </c>
      <c r="AM9" s="11">
        <f>AM6+AM8</f>
        <v/>
      </c>
      <c r="AN9" s="11">
        <f>AN6+AN8</f>
        <v/>
      </c>
      <c r="AO9" s="11">
        <f>AO6+AO8</f>
        <v/>
      </c>
      <c r="AP9" s="11">
        <f>AP6+AP8</f>
        <v/>
      </c>
      <c r="AQ9" s="11">
        <f>AQ6+AQ8</f>
        <v/>
      </c>
      <c r="AR9" s="11">
        <f>AR6+AR8</f>
        <v/>
      </c>
    </row>
    <row r="10">
      <c r="A10" s="6" t="inlineStr">
        <is>
          <t>Khấu hao</t>
        </is>
      </c>
      <c r="C10" s="12">
        <f>-capex_total/depreciation_years/'Quy mô thị trường'!C6</f>
        <v/>
      </c>
      <c r="D10" s="12">
        <f>-capex_total/depreciation_years/'Quy mô thị trường'!D6</f>
        <v/>
      </c>
      <c r="E10" s="12">
        <f>-capex_total/depreciation_years/'Quy mô thị trường'!E6</f>
        <v/>
      </c>
      <c r="F10" s="12">
        <f>-capex_total/depreciation_years/'Quy mô thị trường'!F6</f>
        <v/>
      </c>
      <c r="G10" s="12">
        <f>-capex_total/depreciation_years/'Quy mô thị trường'!G6</f>
        <v/>
      </c>
      <c r="H10" s="12">
        <f>-capex_total/depreciation_years/'Quy mô thị trường'!H6</f>
        <v/>
      </c>
      <c r="I10" s="12">
        <f>-capex_total/depreciation_years/'Quy mô thị trường'!I6</f>
        <v/>
      </c>
      <c r="J10" s="12">
        <f>-capex_total/depreciation_years/'Quy mô thị trường'!J6</f>
        <v/>
      </c>
      <c r="K10" s="12">
        <f>-capex_total/depreciation_years/'Quy mô thị trường'!K6</f>
        <v/>
      </c>
      <c r="L10" s="12">
        <f>-capex_total/depreciation_years/'Quy mô thị trường'!L6</f>
        <v/>
      </c>
      <c r="M10" s="12">
        <f>-capex_total/depreciation_years/'Quy mô thị trường'!M6</f>
        <v/>
      </c>
      <c r="N10" s="12">
        <f>-capex_total/depreciation_years/'Quy mô thị trường'!N6</f>
        <v/>
      </c>
      <c r="O10" s="12">
        <f>-capex_total/depreciation_years/'Quy mô thị trường'!O6</f>
        <v/>
      </c>
      <c r="P10" s="12">
        <f>-capex_total/depreciation_years/'Quy mô thị trường'!P6</f>
        <v/>
      </c>
      <c r="Q10" s="12">
        <f>-capex_total/depreciation_years/'Quy mô thị trường'!Q6</f>
        <v/>
      </c>
      <c r="R10" s="12">
        <f>-capex_total/depreciation_years/'Quy mô thị trường'!R6</f>
        <v/>
      </c>
      <c r="S10" s="12">
        <f>-capex_total/depreciation_years/'Quy mô thị trường'!S6</f>
        <v/>
      </c>
      <c r="T10" s="12">
        <f>-capex_total/depreciation_years/'Quy mô thị trường'!T6</f>
        <v/>
      </c>
      <c r="U10" s="12">
        <f>-capex_total/depreciation_years/'Quy mô thị trường'!U6</f>
        <v/>
      </c>
      <c r="V10" s="12">
        <f>-capex_total/depreciation_years/'Quy mô thị trường'!V6</f>
        <v/>
      </c>
      <c r="W10" s="12">
        <f>-capex_total/depreciation_years/'Quy mô thị trường'!W6</f>
        <v/>
      </c>
      <c r="X10" s="12">
        <f>-capex_total/depreciation_years/'Quy mô thị trường'!X6</f>
        <v/>
      </c>
      <c r="Y10" s="12">
        <f>-capex_total/depreciation_years/'Quy mô thị trường'!Y6</f>
        <v/>
      </c>
      <c r="Z10" s="12">
        <f>-capex_total/depreciation_years/'Quy mô thị trường'!Z6</f>
        <v/>
      </c>
      <c r="AA10" s="12">
        <f>-capex_total/depreciation_years/'Quy mô thị trường'!AA6</f>
        <v/>
      </c>
      <c r="AB10" s="12">
        <f>-capex_total/depreciation_years/'Quy mô thị trường'!AB6</f>
        <v/>
      </c>
      <c r="AC10" s="12">
        <f>-capex_total/depreciation_years/'Quy mô thị trường'!AC6</f>
        <v/>
      </c>
      <c r="AD10" s="12">
        <f>-capex_total/depreciation_years/'Quy mô thị trường'!AD6</f>
        <v/>
      </c>
      <c r="AE10" s="12">
        <f>-capex_total/depreciation_years/'Quy mô thị trường'!AE6</f>
        <v/>
      </c>
      <c r="AF10" s="12">
        <f>-capex_total/depreciation_years/'Quy mô thị trường'!AF6</f>
        <v/>
      </c>
      <c r="AG10" s="12">
        <f>-capex_total/depreciation_years/'Quy mô thị trường'!AG6</f>
        <v/>
      </c>
      <c r="AH10" s="12">
        <f>-capex_total/depreciation_years/'Quy mô thị trường'!AH6</f>
        <v/>
      </c>
      <c r="AI10" s="12">
        <f>-capex_total/depreciation_years/'Quy mô thị trường'!AI6</f>
        <v/>
      </c>
      <c r="AJ10" s="12">
        <f>-capex_total/depreciation_years/'Quy mô thị trường'!AJ6</f>
        <v/>
      </c>
      <c r="AK10" s="12">
        <f>-capex_total/depreciation_years/'Quy mô thị trường'!AK6</f>
        <v/>
      </c>
      <c r="AL10" s="12">
        <f>-capex_total/depreciation_years/'Quy mô thị trường'!AL6</f>
        <v/>
      </c>
      <c r="AM10" s="12">
        <f>-capex_total/depreciation_years/'Quy mô thị trường'!AM6</f>
        <v/>
      </c>
      <c r="AN10" s="12">
        <f>-capex_total/depreciation_years/'Quy mô thị trường'!AN6</f>
        <v/>
      </c>
      <c r="AO10" s="12">
        <f>0</f>
        <v/>
      </c>
      <c r="AP10" s="12">
        <f>0</f>
        <v/>
      </c>
      <c r="AQ10" s="12">
        <f>0</f>
        <v/>
      </c>
      <c r="AR10" s="12">
        <f>0</f>
        <v/>
      </c>
    </row>
    <row r="11">
      <c r="A11" s="6" t="inlineStr">
        <is>
          <t>EBIT</t>
        </is>
      </c>
      <c r="C11" s="11">
        <f>C9+C10</f>
        <v/>
      </c>
      <c r="D11" s="11">
        <f>D9+D10</f>
        <v/>
      </c>
      <c r="E11" s="11">
        <f>E9+E10</f>
        <v/>
      </c>
      <c r="F11" s="11">
        <f>F9+F10</f>
        <v/>
      </c>
      <c r="G11" s="11">
        <f>G9+G10</f>
        <v/>
      </c>
      <c r="H11" s="11">
        <f>H9+H10</f>
        <v/>
      </c>
      <c r="I11" s="11">
        <f>I9+I10</f>
        <v/>
      </c>
      <c r="J11" s="11">
        <f>J9+J10</f>
        <v/>
      </c>
      <c r="K11" s="11">
        <f>K9+K10</f>
        <v/>
      </c>
      <c r="L11" s="11">
        <f>L9+L10</f>
        <v/>
      </c>
      <c r="M11" s="11">
        <f>M9+M10</f>
        <v/>
      </c>
      <c r="N11" s="11">
        <f>N9+N10</f>
        <v/>
      </c>
      <c r="O11" s="11">
        <f>O9+O10</f>
        <v/>
      </c>
      <c r="P11" s="11">
        <f>P9+P10</f>
        <v/>
      </c>
      <c r="Q11" s="11">
        <f>Q9+Q10</f>
        <v/>
      </c>
      <c r="R11" s="11">
        <f>R9+R10</f>
        <v/>
      </c>
      <c r="S11" s="11">
        <f>S9+S10</f>
        <v/>
      </c>
      <c r="T11" s="11">
        <f>T9+T10</f>
        <v/>
      </c>
      <c r="U11" s="11">
        <f>U9+U10</f>
        <v/>
      </c>
      <c r="V11" s="11">
        <f>V9+V10</f>
        <v/>
      </c>
      <c r="W11" s="11">
        <f>W9+W10</f>
        <v/>
      </c>
      <c r="X11" s="11">
        <f>X9+X10</f>
        <v/>
      </c>
      <c r="Y11" s="11">
        <f>Y9+Y10</f>
        <v/>
      </c>
      <c r="Z11" s="11">
        <f>Z9+Z10</f>
        <v/>
      </c>
      <c r="AA11" s="11">
        <f>AA9+AA10</f>
        <v/>
      </c>
      <c r="AB11" s="11">
        <f>AB9+AB10</f>
        <v/>
      </c>
      <c r="AC11" s="11">
        <f>AC9+AC10</f>
        <v/>
      </c>
      <c r="AD11" s="11">
        <f>AD9+AD10</f>
        <v/>
      </c>
      <c r="AE11" s="11">
        <f>AE9+AE10</f>
        <v/>
      </c>
      <c r="AF11" s="11">
        <f>AF9+AF10</f>
        <v/>
      </c>
      <c r="AG11" s="11">
        <f>AG9+AG10</f>
        <v/>
      </c>
      <c r="AH11" s="11">
        <f>AH9+AH10</f>
        <v/>
      </c>
      <c r="AI11" s="11">
        <f>AI9+AI10</f>
        <v/>
      </c>
      <c r="AJ11" s="11">
        <f>AJ9+AJ10</f>
        <v/>
      </c>
      <c r="AK11" s="11">
        <f>AK9+AK10</f>
        <v/>
      </c>
      <c r="AL11" s="11">
        <f>AL9+AL10</f>
        <v/>
      </c>
      <c r="AM11" s="11">
        <f>AM9+AM10</f>
        <v/>
      </c>
      <c r="AN11" s="11">
        <f>AN9+AN10</f>
        <v/>
      </c>
      <c r="AO11" s="11">
        <f>AO9+AO10</f>
        <v/>
      </c>
      <c r="AP11" s="11">
        <f>AP9+AP10</f>
        <v/>
      </c>
      <c r="AQ11" s="11">
        <f>AQ9+AQ10</f>
        <v/>
      </c>
      <c r="AR11" s="11">
        <f>AR9+AR10</f>
        <v/>
      </c>
    </row>
    <row r="12">
      <c r="A12" s="6" t="inlineStr">
        <is>
          <t>Thuế TNDN (20%)</t>
        </is>
      </c>
      <c r="C12" s="12">
        <f>IF(C11&gt;0,-C11*cit_rate,0)</f>
        <v/>
      </c>
      <c r="D12" s="12">
        <f>IF(D11&gt;0,-D11*cit_rate,0)</f>
        <v/>
      </c>
      <c r="E12" s="12">
        <f>IF(E11&gt;0,-E11*cit_rate,0)</f>
        <v/>
      </c>
      <c r="F12" s="12">
        <f>IF(F11&gt;0,-F11*cit_rate,0)</f>
        <v/>
      </c>
      <c r="G12" s="12">
        <f>IF(G11&gt;0,-G11*cit_rate,0)</f>
        <v/>
      </c>
      <c r="H12" s="12">
        <f>IF(H11&gt;0,-H11*cit_rate,0)</f>
        <v/>
      </c>
      <c r="I12" s="12">
        <f>IF(I11&gt;0,-I11*cit_rate,0)</f>
        <v/>
      </c>
      <c r="J12" s="12">
        <f>IF(J11&gt;0,-J11*cit_rate,0)</f>
        <v/>
      </c>
      <c r="K12" s="12">
        <f>IF(K11&gt;0,-K11*cit_rate,0)</f>
        <v/>
      </c>
      <c r="L12" s="12">
        <f>IF(L11&gt;0,-L11*cit_rate,0)</f>
        <v/>
      </c>
      <c r="M12" s="12">
        <f>IF(M11&gt;0,-M11*cit_rate,0)</f>
        <v/>
      </c>
      <c r="N12" s="12">
        <f>IF(N11&gt;0,-N11*cit_rate,0)</f>
        <v/>
      </c>
      <c r="O12" s="12">
        <f>IF(O11&gt;0,-O11*cit_rate,0)</f>
        <v/>
      </c>
      <c r="P12" s="12">
        <f>IF(P11&gt;0,-P11*cit_rate,0)</f>
        <v/>
      </c>
      <c r="Q12" s="12">
        <f>IF(Q11&gt;0,-Q11*cit_rate,0)</f>
        <v/>
      </c>
      <c r="R12" s="12">
        <f>IF(R11&gt;0,-R11*cit_rate,0)</f>
        <v/>
      </c>
      <c r="S12" s="12">
        <f>IF(S11&gt;0,-S11*cit_rate,0)</f>
        <v/>
      </c>
      <c r="T12" s="12">
        <f>IF(T11&gt;0,-T11*cit_rate,0)</f>
        <v/>
      </c>
      <c r="U12" s="12">
        <f>IF(U11&gt;0,-U11*cit_rate,0)</f>
        <v/>
      </c>
      <c r="V12" s="12">
        <f>IF(V11&gt;0,-V11*cit_rate,0)</f>
        <v/>
      </c>
      <c r="W12" s="12">
        <f>IF(W11&gt;0,-W11*cit_rate,0)</f>
        <v/>
      </c>
      <c r="X12" s="12">
        <f>IF(X11&gt;0,-X11*cit_rate,0)</f>
        <v/>
      </c>
      <c r="Y12" s="12">
        <f>IF(Y11&gt;0,-Y11*cit_rate,0)</f>
        <v/>
      </c>
      <c r="Z12" s="12">
        <f>IF(Z11&gt;0,-Z11*cit_rate,0)</f>
        <v/>
      </c>
      <c r="AA12" s="12">
        <f>IF(AA11&gt;0,-AA11*cit_rate,0)</f>
        <v/>
      </c>
      <c r="AB12" s="12">
        <f>IF(AB11&gt;0,-AB11*cit_rate,0)</f>
        <v/>
      </c>
      <c r="AC12" s="12">
        <f>IF(AC11&gt;0,-AC11*cit_rate,0)</f>
        <v/>
      </c>
      <c r="AD12" s="12">
        <f>IF(AD11&gt;0,-AD11*cit_rate,0)</f>
        <v/>
      </c>
      <c r="AE12" s="12">
        <f>IF(AE11&gt;0,-AE11*cit_rate,0)</f>
        <v/>
      </c>
      <c r="AF12" s="12">
        <f>IF(AF11&gt;0,-AF11*cit_rate,0)</f>
        <v/>
      </c>
      <c r="AG12" s="12">
        <f>IF(AG11&gt;0,-AG11*cit_rate,0)</f>
        <v/>
      </c>
      <c r="AH12" s="12">
        <f>IF(AH11&gt;0,-AH11*cit_rate,0)</f>
        <v/>
      </c>
      <c r="AI12" s="12">
        <f>IF(AI11&gt;0,-AI11*cit_rate,0)</f>
        <v/>
      </c>
      <c r="AJ12" s="12">
        <f>IF(AJ11&gt;0,-AJ11*cit_rate,0)</f>
        <v/>
      </c>
      <c r="AK12" s="12">
        <f>IF(AK11&gt;0,-AK11*cit_rate,0)</f>
        <v/>
      </c>
      <c r="AL12" s="12">
        <f>IF(AL11&gt;0,-AL11*cit_rate,0)</f>
        <v/>
      </c>
      <c r="AM12" s="12">
        <f>IF(AM11&gt;0,-AM11*cit_rate,0)</f>
        <v/>
      </c>
      <c r="AN12" s="12">
        <f>IF(AN11&gt;0,-AN11*cit_rate,0)</f>
        <v/>
      </c>
      <c r="AO12" s="12">
        <f>IF(AO11&gt;0,-AO11*cit_rate,0)</f>
        <v/>
      </c>
      <c r="AP12" s="12">
        <f>IF(AP11&gt;0,-AP11*cit_rate,0)</f>
        <v/>
      </c>
      <c r="AQ12" s="12">
        <f>IF(AQ11&gt;0,-AQ11*cit_rate,0)</f>
        <v/>
      </c>
      <c r="AR12" s="12">
        <f>IF(AR11&gt;0,-AR11*cit_rate,0)</f>
        <v/>
      </c>
    </row>
    <row r="13">
      <c r="A13" s="6" t="inlineStr">
        <is>
          <t>LỢI NHUẬN SAU THUẾ</t>
        </is>
      </c>
      <c r="C13" s="11">
        <f>C11+C12</f>
        <v/>
      </c>
      <c r="D13" s="11">
        <f>D11+D12</f>
        <v/>
      </c>
      <c r="E13" s="11">
        <f>E11+E12</f>
        <v/>
      </c>
      <c r="F13" s="11">
        <f>F11+F12</f>
        <v/>
      </c>
      <c r="G13" s="11">
        <f>G11+G12</f>
        <v/>
      </c>
      <c r="H13" s="11">
        <f>H11+H12</f>
        <v/>
      </c>
      <c r="I13" s="11">
        <f>I11+I12</f>
        <v/>
      </c>
      <c r="J13" s="11">
        <f>J11+J12</f>
        <v/>
      </c>
      <c r="K13" s="11">
        <f>K11+K12</f>
        <v/>
      </c>
      <c r="L13" s="11">
        <f>L11+L12</f>
        <v/>
      </c>
      <c r="M13" s="11">
        <f>M11+M12</f>
        <v/>
      </c>
      <c r="N13" s="11">
        <f>N11+N12</f>
        <v/>
      </c>
      <c r="O13" s="11">
        <f>O11+O12</f>
        <v/>
      </c>
      <c r="P13" s="11">
        <f>P11+P12</f>
        <v/>
      </c>
      <c r="Q13" s="11">
        <f>Q11+Q12</f>
        <v/>
      </c>
      <c r="R13" s="11">
        <f>R11+R12</f>
        <v/>
      </c>
      <c r="S13" s="11">
        <f>S11+S12</f>
        <v/>
      </c>
      <c r="T13" s="11">
        <f>T11+T12</f>
        <v/>
      </c>
      <c r="U13" s="11">
        <f>U11+U12</f>
        <v/>
      </c>
      <c r="V13" s="11">
        <f>V11+V12</f>
        <v/>
      </c>
      <c r="W13" s="11">
        <f>W11+W12</f>
        <v/>
      </c>
      <c r="X13" s="11">
        <f>X11+X12</f>
        <v/>
      </c>
      <c r="Y13" s="11">
        <f>Y11+Y12</f>
        <v/>
      </c>
      <c r="Z13" s="11">
        <f>Z11+Z12</f>
        <v/>
      </c>
      <c r="AA13" s="11">
        <f>AA11+AA12</f>
        <v/>
      </c>
      <c r="AB13" s="11">
        <f>AB11+AB12</f>
        <v/>
      </c>
      <c r="AC13" s="11">
        <f>AC11+AC12</f>
        <v/>
      </c>
      <c r="AD13" s="11">
        <f>AD11+AD12</f>
        <v/>
      </c>
      <c r="AE13" s="11">
        <f>AE11+AE12</f>
        <v/>
      </c>
      <c r="AF13" s="11">
        <f>AF11+AF12</f>
        <v/>
      </c>
      <c r="AG13" s="11">
        <f>AG11+AG12</f>
        <v/>
      </c>
      <c r="AH13" s="11">
        <f>AH11+AH12</f>
        <v/>
      </c>
      <c r="AI13" s="11">
        <f>AI11+AI12</f>
        <v/>
      </c>
      <c r="AJ13" s="11">
        <f>AJ11+AJ12</f>
        <v/>
      </c>
      <c r="AK13" s="11">
        <f>AK11+AK12</f>
        <v/>
      </c>
      <c r="AL13" s="11">
        <f>AL11+AL12</f>
        <v/>
      </c>
      <c r="AM13" s="11">
        <f>AM11+AM12</f>
        <v/>
      </c>
      <c r="AN13" s="11">
        <f>AN11+AN12</f>
        <v/>
      </c>
      <c r="AO13" s="11">
        <f>AO11+AO12</f>
        <v/>
      </c>
      <c r="AP13" s="11">
        <f>AP11+AP12</f>
        <v/>
      </c>
      <c r="AQ13" s="11">
        <f>AQ11+AQ12</f>
        <v/>
      </c>
      <c r="AR13" s="11">
        <f>AR11+AR12</f>
        <v/>
      </c>
    </row>
    <row r="15">
      <c r="A15" s="3" t="inlineStr">
        <is>
          <t>BIÊN LỢI NHUẬN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</row>
    <row r="16">
      <c r="A16" s="6" t="inlineStr">
        <is>
          <t>Biên gộp</t>
        </is>
      </c>
      <c r="C16" s="19">
        <f>IF(C4=0,0,C6/C4)</f>
        <v/>
      </c>
      <c r="D16" s="19">
        <f>IF(D4=0,0,D6/D4)</f>
        <v/>
      </c>
      <c r="E16" s="19">
        <f>IF(E4=0,0,E6/E4)</f>
        <v/>
      </c>
      <c r="F16" s="19">
        <f>IF(F4=0,0,F6/F4)</f>
        <v/>
      </c>
      <c r="G16" s="19">
        <f>IF(G4=0,0,G6/G4)</f>
        <v/>
      </c>
      <c r="H16" s="19">
        <f>IF(H4=0,0,H6/H4)</f>
        <v/>
      </c>
      <c r="I16" s="19">
        <f>IF(I4=0,0,I6/I4)</f>
        <v/>
      </c>
      <c r="J16" s="19">
        <f>IF(J4=0,0,J6/J4)</f>
        <v/>
      </c>
      <c r="K16" s="19">
        <f>IF(K4=0,0,K6/K4)</f>
        <v/>
      </c>
      <c r="L16" s="19">
        <f>IF(L4=0,0,L6/L4)</f>
        <v/>
      </c>
      <c r="M16" s="19">
        <f>IF(M4=0,0,M6/M4)</f>
        <v/>
      </c>
      <c r="N16" s="19">
        <f>IF(N4=0,0,N6/N4)</f>
        <v/>
      </c>
      <c r="O16" s="19">
        <f>IF(O4=0,0,O6/O4)</f>
        <v/>
      </c>
      <c r="P16" s="19">
        <f>IF(P4=0,0,P6/P4)</f>
        <v/>
      </c>
      <c r="Q16" s="19">
        <f>IF(Q4=0,0,Q6/Q4)</f>
        <v/>
      </c>
      <c r="R16" s="19">
        <f>IF(R4=0,0,R6/R4)</f>
        <v/>
      </c>
      <c r="S16" s="19">
        <f>IF(S4=0,0,S6/S4)</f>
        <v/>
      </c>
      <c r="T16" s="19">
        <f>IF(T4=0,0,T6/T4)</f>
        <v/>
      </c>
      <c r="U16" s="19">
        <f>IF(U4=0,0,U6/U4)</f>
        <v/>
      </c>
      <c r="V16" s="19">
        <f>IF(V4=0,0,V6/V4)</f>
        <v/>
      </c>
      <c r="W16" s="19">
        <f>IF(W4=0,0,W6/W4)</f>
        <v/>
      </c>
      <c r="X16" s="19">
        <f>IF(X4=0,0,X6/X4)</f>
        <v/>
      </c>
      <c r="Y16" s="19">
        <f>IF(Y4=0,0,Y6/Y4)</f>
        <v/>
      </c>
      <c r="Z16" s="19">
        <f>IF(Z4=0,0,Z6/Z4)</f>
        <v/>
      </c>
      <c r="AA16" s="19">
        <f>IF(AA4=0,0,AA6/AA4)</f>
        <v/>
      </c>
      <c r="AB16" s="19">
        <f>IF(AB4=0,0,AB6/AB4)</f>
        <v/>
      </c>
      <c r="AC16" s="19">
        <f>IF(AC4=0,0,AC6/AC4)</f>
        <v/>
      </c>
      <c r="AD16" s="19">
        <f>IF(AD4=0,0,AD6/AD4)</f>
        <v/>
      </c>
      <c r="AE16" s="19">
        <f>IF(AE4=0,0,AE6/AE4)</f>
        <v/>
      </c>
      <c r="AF16" s="19">
        <f>IF(AF4=0,0,AF6/AF4)</f>
        <v/>
      </c>
      <c r="AG16" s="19">
        <f>IF(AG4=0,0,AG6/AG4)</f>
        <v/>
      </c>
      <c r="AH16" s="19">
        <f>IF(AH4=0,0,AH6/AH4)</f>
        <v/>
      </c>
      <c r="AI16" s="19">
        <f>IF(AI4=0,0,AI6/AI4)</f>
        <v/>
      </c>
      <c r="AJ16" s="19">
        <f>IF(AJ4=0,0,AJ6/AJ4)</f>
        <v/>
      </c>
      <c r="AK16" s="19">
        <f>IF(AK4=0,0,AK6/AK4)</f>
        <v/>
      </c>
      <c r="AL16" s="19">
        <f>IF(AL4=0,0,AL6/AL4)</f>
        <v/>
      </c>
      <c r="AM16" s="19">
        <f>IF(AM4=0,0,AM6/AM4)</f>
        <v/>
      </c>
      <c r="AN16" s="19">
        <f>IF(AN4=0,0,AN6/AN4)</f>
        <v/>
      </c>
      <c r="AO16" s="19">
        <f>IF(AO4=0,0,AO6/AO4)</f>
        <v/>
      </c>
      <c r="AP16" s="19">
        <f>IF(AP4=0,0,AP6/AP4)</f>
        <v/>
      </c>
      <c r="AQ16" s="19">
        <f>IF(AQ4=0,0,AQ6/AQ4)</f>
        <v/>
      </c>
      <c r="AR16" s="19">
        <f>IF(AR4=0,0,AR6/AR4)</f>
        <v/>
      </c>
    </row>
    <row r="17">
      <c r="A17" s="6" t="inlineStr">
        <is>
          <t>Biên EBITDA</t>
        </is>
      </c>
      <c r="C17" s="19">
        <f>IF(C4=0,0,C9/C4)</f>
        <v/>
      </c>
      <c r="D17" s="19">
        <f>IF(D4=0,0,D9/D4)</f>
        <v/>
      </c>
      <c r="E17" s="19">
        <f>IF(E4=0,0,E9/E4)</f>
        <v/>
      </c>
      <c r="F17" s="19">
        <f>IF(F4=0,0,F9/F4)</f>
        <v/>
      </c>
      <c r="G17" s="19">
        <f>IF(G4=0,0,G9/G4)</f>
        <v/>
      </c>
      <c r="H17" s="19">
        <f>IF(H4=0,0,H9/H4)</f>
        <v/>
      </c>
      <c r="I17" s="19">
        <f>IF(I4=0,0,I9/I4)</f>
        <v/>
      </c>
      <c r="J17" s="19">
        <f>IF(J4=0,0,J9/J4)</f>
        <v/>
      </c>
      <c r="K17" s="19">
        <f>IF(K4=0,0,K9/K4)</f>
        <v/>
      </c>
      <c r="L17" s="19">
        <f>IF(L4=0,0,L9/L4)</f>
        <v/>
      </c>
      <c r="M17" s="19">
        <f>IF(M4=0,0,M9/M4)</f>
        <v/>
      </c>
      <c r="N17" s="19">
        <f>IF(N4=0,0,N9/N4)</f>
        <v/>
      </c>
      <c r="O17" s="19">
        <f>IF(O4=0,0,O9/O4)</f>
        <v/>
      </c>
      <c r="P17" s="19">
        <f>IF(P4=0,0,P9/P4)</f>
        <v/>
      </c>
      <c r="Q17" s="19">
        <f>IF(Q4=0,0,Q9/Q4)</f>
        <v/>
      </c>
      <c r="R17" s="19">
        <f>IF(R4=0,0,R9/R4)</f>
        <v/>
      </c>
      <c r="S17" s="19">
        <f>IF(S4=0,0,S9/S4)</f>
        <v/>
      </c>
      <c r="T17" s="19">
        <f>IF(T4=0,0,T9/T4)</f>
        <v/>
      </c>
      <c r="U17" s="19">
        <f>IF(U4=0,0,U9/U4)</f>
        <v/>
      </c>
      <c r="V17" s="19">
        <f>IF(V4=0,0,V9/V4)</f>
        <v/>
      </c>
      <c r="W17" s="19">
        <f>IF(W4=0,0,W9/W4)</f>
        <v/>
      </c>
      <c r="X17" s="19">
        <f>IF(X4=0,0,X9/X4)</f>
        <v/>
      </c>
      <c r="Y17" s="19">
        <f>IF(Y4=0,0,Y9/Y4)</f>
        <v/>
      </c>
      <c r="Z17" s="19">
        <f>IF(Z4=0,0,Z9/Z4)</f>
        <v/>
      </c>
      <c r="AA17" s="19">
        <f>IF(AA4=0,0,AA9/AA4)</f>
        <v/>
      </c>
      <c r="AB17" s="19">
        <f>IF(AB4=0,0,AB9/AB4)</f>
        <v/>
      </c>
      <c r="AC17" s="19">
        <f>IF(AC4=0,0,AC9/AC4)</f>
        <v/>
      </c>
      <c r="AD17" s="19">
        <f>IF(AD4=0,0,AD9/AD4)</f>
        <v/>
      </c>
      <c r="AE17" s="19">
        <f>IF(AE4=0,0,AE9/AE4)</f>
        <v/>
      </c>
      <c r="AF17" s="19">
        <f>IF(AF4=0,0,AF9/AF4)</f>
        <v/>
      </c>
      <c r="AG17" s="19">
        <f>IF(AG4=0,0,AG9/AG4)</f>
        <v/>
      </c>
      <c r="AH17" s="19">
        <f>IF(AH4=0,0,AH9/AH4)</f>
        <v/>
      </c>
      <c r="AI17" s="19">
        <f>IF(AI4=0,0,AI9/AI4)</f>
        <v/>
      </c>
      <c r="AJ17" s="19">
        <f>IF(AJ4=0,0,AJ9/AJ4)</f>
        <v/>
      </c>
      <c r="AK17" s="19">
        <f>IF(AK4=0,0,AK9/AK4)</f>
        <v/>
      </c>
      <c r="AL17" s="19">
        <f>IF(AL4=0,0,AL9/AL4)</f>
        <v/>
      </c>
      <c r="AM17" s="19">
        <f>IF(AM4=0,0,AM9/AM4)</f>
        <v/>
      </c>
      <c r="AN17" s="19">
        <f>IF(AN4=0,0,AN9/AN4)</f>
        <v/>
      </c>
      <c r="AO17" s="19">
        <f>IF(AO4=0,0,AO9/AO4)</f>
        <v/>
      </c>
      <c r="AP17" s="19">
        <f>IF(AP4=0,0,AP9/AP4)</f>
        <v/>
      </c>
      <c r="AQ17" s="19">
        <f>IF(AQ4=0,0,AQ9/AQ4)</f>
        <v/>
      </c>
      <c r="AR17" s="19">
        <f>IF(AR4=0,0,AR9/AR4)</f>
        <v/>
      </c>
    </row>
    <row r="18">
      <c r="A18" s="6" t="inlineStr">
        <is>
          <t>Biên ròng</t>
        </is>
      </c>
      <c r="C18" s="19">
        <f>IF(C4=0,0,C13/C4)</f>
        <v/>
      </c>
      <c r="D18" s="19">
        <f>IF(D4=0,0,D13/D4)</f>
        <v/>
      </c>
      <c r="E18" s="19">
        <f>IF(E4=0,0,E13/E4)</f>
        <v/>
      </c>
      <c r="F18" s="19">
        <f>IF(F4=0,0,F13/F4)</f>
        <v/>
      </c>
      <c r="G18" s="19">
        <f>IF(G4=0,0,G13/G4)</f>
        <v/>
      </c>
      <c r="H18" s="19">
        <f>IF(H4=0,0,H13/H4)</f>
        <v/>
      </c>
      <c r="I18" s="19">
        <f>IF(I4=0,0,I13/I4)</f>
        <v/>
      </c>
      <c r="J18" s="19">
        <f>IF(J4=0,0,J13/J4)</f>
        <v/>
      </c>
      <c r="K18" s="19">
        <f>IF(K4=0,0,K13/K4)</f>
        <v/>
      </c>
      <c r="L18" s="19">
        <f>IF(L4=0,0,L13/L4)</f>
        <v/>
      </c>
      <c r="M18" s="19">
        <f>IF(M4=0,0,M13/M4)</f>
        <v/>
      </c>
      <c r="N18" s="19">
        <f>IF(N4=0,0,N13/N4)</f>
        <v/>
      </c>
      <c r="O18" s="19">
        <f>IF(O4=0,0,O13/O4)</f>
        <v/>
      </c>
      <c r="P18" s="19">
        <f>IF(P4=0,0,P13/P4)</f>
        <v/>
      </c>
      <c r="Q18" s="19">
        <f>IF(Q4=0,0,Q13/Q4)</f>
        <v/>
      </c>
      <c r="R18" s="19">
        <f>IF(R4=0,0,R13/R4)</f>
        <v/>
      </c>
      <c r="S18" s="19">
        <f>IF(S4=0,0,S13/S4)</f>
        <v/>
      </c>
      <c r="T18" s="19">
        <f>IF(T4=0,0,T13/T4)</f>
        <v/>
      </c>
      <c r="U18" s="19">
        <f>IF(U4=0,0,U13/U4)</f>
        <v/>
      </c>
      <c r="V18" s="19">
        <f>IF(V4=0,0,V13/V4)</f>
        <v/>
      </c>
      <c r="W18" s="19">
        <f>IF(W4=0,0,W13/W4)</f>
        <v/>
      </c>
      <c r="X18" s="19">
        <f>IF(X4=0,0,X13/X4)</f>
        <v/>
      </c>
      <c r="Y18" s="19">
        <f>IF(Y4=0,0,Y13/Y4)</f>
        <v/>
      </c>
      <c r="Z18" s="19">
        <f>IF(Z4=0,0,Z13/Z4)</f>
        <v/>
      </c>
      <c r="AA18" s="19">
        <f>IF(AA4=0,0,AA13/AA4)</f>
        <v/>
      </c>
      <c r="AB18" s="19">
        <f>IF(AB4=0,0,AB13/AB4)</f>
        <v/>
      </c>
      <c r="AC18" s="19">
        <f>IF(AC4=0,0,AC13/AC4)</f>
        <v/>
      </c>
      <c r="AD18" s="19">
        <f>IF(AD4=0,0,AD13/AD4)</f>
        <v/>
      </c>
      <c r="AE18" s="19">
        <f>IF(AE4=0,0,AE13/AE4)</f>
        <v/>
      </c>
      <c r="AF18" s="19">
        <f>IF(AF4=0,0,AF13/AF4)</f>
        <v/>
      </c>
      <c r="AG18" s="19">
        <f>IF(AG4=0,0,AG13/AG4)</f>
        <v/>
      </c>
      <c r="AH18" s="19">
        <f>IF(AH4=0,0,AH13/AH4)</f>
        <v/>
      </c>
      <c r="AI18" s="19">
        <f>IF(AI4=0,0,AI13/AI4)</f>
        <v/>
      </c>
      <c r="AJ18" s="19">
        <f>IF(AJ4=0,0,AJ13/AJ4)</f>
        <v/>
      </c>
      <c r="AK18" s="19">
        <f>IF(AK4=0,0,AK13/AK4)</f>
        <v/>
      </c>
      <c r="AL18" s="19">
        <f>IF(AL4=0,0,AL13/AL4)</f>
        <v/>
      </c>
      <c r="AM18" s="19">
        <f>IF(AM4=0,0,AM13/AM4)</f>
        <v/>
      </c>
      <c r="AN18" s="19">
        <f>IF(AN4=0,0,AN13/AN4)</f>
        <v/>
      </c>
      <c r="AO18" s="19">
        <f>IF(AO4=0,0,AO13/AO4)</f>
        <v/>
      </c>
      <c r="AP18" s="19">
        <f>IF(AP4=0,0,AP13/AP4)</f>
        <v/>
      </c>
      <c r="AQ18" s="19">
        <f>IF(AQ4=0,0,AQ13/AQ4)</f>
        <v/>
      </c>
      <c r="AR18" s="19">
        <f>IF(AR4=0,0,AR13/AR4)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F0"/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3" t="inlineStr">
        <is>
          <t>BÁO CÁO DÒNG TIỀN (Tr VND)</t>
        </is>
      </c>
    </row>
    <row r="3">
      <c r="A3" s="5" t="inlineStr">
        <is>
          <t>Hạng mục</t>
        </is>
      </c>
      <c r="B3" s="5" t="inlineStr">
        <is>
          <t>ĐVT</t>
        </is>
      </c>
      <c r="C3" s="5" t="inlineStr">
        <is>
          <t>Th7 2025</t>
        </is>
      </c>
      <c r="D3" s="5" t="inlineStr">
        <is>
          <t>Th8 2025</t>
        </is>
      </c>
      <c r="E3" s="5" t="inlineStr">
        <is>
          <t>Th9 2025</t>
        </is>
      </c>
      <c r="F3" s="5" t="inlineStr">
        <is>
          <t>Th10 2025</t>
        </is>
      </c>
      <c r="G3" s="5" t="inlineStr">
        <is>
          <t>Th11 2025</t>
        </is>
      </c>
      <c r="H3" s="5" t="inlineStr">
        <is>
          <t>Th12 2025</t>
        </is>
      </c>
      <c r="I3" s="5" t="inlineStr">
        <is>
          <t>Th1 2026</t>
        </is>
      </c>
      <c r="J3" s="5" t="inlineStr">
        <is>
          <t>Th2 2026</t>
        </is>
      </c>
      <c r="K3" s="5" t="inlineStr">
        <is>
          <t>Th3 2026</t>
        </is>
      </c>
      <c r="L3" s="5" t="inlineStr">
        <is>
          <t>Th4 2026</t>
        </is>
      </c>
      <c r="M3" s="5" t="inlineStr">
        <is>
          <t>Th5 2026</t>
        </is>
      </c>
      <c r="N3" s="5" t="inlineStr">
        <is>
          <t>Th6 2026</t>
        </is>
      </c>
      <c r="O3" s="5" t="inlineStr">
        <is>
          <t>Th7 2026</t>
        </is>
      </c>
      <c r="P3" s="5" t="inlineStr">
        <is>
          <t>Th8 2026</t>
        </is>
      </c>
      <c r="Q3" s="5" t="inlineStr">
        <is>
          <t>Th9 2026</t>
        </is>
      </c>
      <c r="R3" s="5" t="inlineStr">
        <is>
          <t>Th10 2026</t>
        </is>
      </c>
      <c r="S3" s="5" t="inlineStr">
        <is>
          <t>Th11 2026</t>
        </is>
      </c>
      <c r="T3" s="5" t="inlineStr">
        <is>
          <t>Th12 2026</t>
        </is>
      </c>
      <c r="U3" s="5" t="inlineStr">
        <is>
          <t>Th1 2027</t>
        </is>
      </c>
      <c r="V3" s="5" t="inlineStr">
        <is>
          <t>Th2 2027</t>
        </is>
      </c>
      <c r="W3" s="5" t="inlineStr">
        <is>
          <t>Th3 2027</t>
        </is>
      </c>
      <c r="X3" s="5" t="inlineStr">
        <is>
          <t>Th4 2027</t>
        </is>
      </c>
      <c r="Y3" s="5" t="inlineStr">
        <is>
          <t>Th5 2027</t>
        </is>
      </c>
      <c r="Z3" s="5" t="inlineStr">
        <is>
          <t>Th6 2027</t>
        </is>
      </c>
      <c r="AA3" s="5" t="inlineStr">
        <is>
          <t>Th7 2027</t>
        </is>
      </c>
      <c r="AB3" s="5" t="inlineStr">
        <is>
          <t>Th8 2027</t>
        </is>
      </c>
      <c r="AC3" s="5" t="inlineStr">
        <is>
          <t>Th9 2027</t>
        </is>
      </c>
      <c r="AD3" s="5" t="inlineStr">
        <is>
          <t>Th10 2027</t>
        </is>
      </c>
      <c r="AE3" s="5" t="inlineStr">
        <is>
          <t>Th11 2027</t>
        </is>
      </c>
      <c r="AF3" s="5" t="inlineStr">
        <is>
          <t>Th12 2027</t>
        </is>
      </c>
      <c r="AG3" s="5" t="inlineStr">
        <is>
          <t>Q1 2028</t>
        </is>
      </c>
      <c r="AH3" s="5" t="inlineStr">
        <is>
          <t>Q2 2028</t>
        </is>
      </c>
      <c r="AI3" s="5" t="inlineStr">
        <is>
          <t>Q3 2028</t>
        </is>
      </c>
      <c r="AJ3" s="5" t="inlineStr">
        <is>
          <t>Q4 2028</t>
        </is>
      </c>
      <c r="AK3" s="5" t="inlineStr">
        <is>
          <t>Q1 2029</t>
        </is>
      </c>
      <c r="AL3" s="5" t="inlineStr">
        <is>
          <t>Q2 2029</t>
        </is>
      </c>
      <c r="AM3" s="5" t="inlineStr">
        <is>
          <t>Q3 2029</t>
        </is>
      </c>
      <c r="AN3" s="5" t="inlineStr">
        <is>
          <t>Q4 2029</t>
        </is>
      </c>
      <c r="AO3" s="5" t="inlineStr">
        <is>
          <t>Q1 2030</t>
        </is>
      </c>
      <c r="AP3" s="5" t="inlineStr">
        <is>
          <t>Q2 2030</t>
        </is>
      </c>
      <c r="AQ3" s="5" t="inlineStr">
        <is>
          <t>Q3 2030</t>
        </is>
      </c>
      <c r="AR3" s="5" t="inlineStr">
        <is>
          <t>Q4 2030</t>
        </is>
      </c>
    </row>
    <row r="4">
      <c r="A4" s="3" t="inlineStr">
        <is>
          <t>Dòng tiền hoạt động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</row>
    <row r="5">
      <c r="A5" s="6" t="inlineStr">
        <is>
          <t xml:space="preserve">  Lợi nhuận ròng</t>
        </is>
      </c>
      <c r="C5" s="12">
        <f>'Kết quả KD'!C13</f>
        <v/>
      </c>
      <c r="D5" s="12">
        <f>'Kết quả KD'!D13</f>
        <v/>
      </c>
      <c r="E5" s="12">
        <f>'Kết quả KD'!E13</f>
        <v/>
      </c>
      <c r="F5" s="12">
        <f>'Kết quả KD'!F13</f>
        <v/>
      </c>
      <c r="G5" s="12">
        <f>'Kết quả KD'!G13</f>
        <v/>
      </c>
      <c r="H5" s="12">
        <f>'Kết quả KD'!H13</f>
        <v/>
      </c>
      <c r="I5" s="12">
        <f>'Kết quả KD'!I13</f>
        <v/>
      </c>
      <c r="J5" s="12">
        <f>'Kết quả KD'!J13</f>
        <v/>
      </c>
      <c r="K5" s="12">
        <f>'Kết quả KD'!K13</f>
        <v/>
      </c>
      <c r="L5" s="12">
        <f>'Kết quả KD'!L13</f>
        <v/>
      </c>
      <c r="M5" s="12">
        <f>'Kết quả KD'!M13</f>
        <v/>
      </c>
      <c r="N5" s="12">
        <f>'Kết quả KD'!N13</f>
        <v/>
      </c>
      <c r="O5" s="12">
        <f>'Kết quả KD'!O13</f>
        <v/>
      </c>
      <c r="P5" s="12">
        <f>'Kết quả KD'!P13</f>
        <v/>
      </c>
      <c r="Q5" s="12">
        <f>'Kết quả KD'!Q13</f>
        <v/>
      </c>
      <c r="R5" s="12">
        <f>'Kết quả KD'!R13</f>
        <v/>
      </c>
      <c r="S5" s="12">
        <f>'Kết quả KD'!S13</f>
        <v/>
      </c>
      <c r="T5" s="12">
        <f>'Kết quả KD'!T13</f>
        <v/>
      </c>
      <c r="U5" s="12">
        <f>'Kết quả KD'!U13</f>
        <v/>
      </c>
      <c r="V5" s="12">
        <f>'Kết quả KD'!V13</f>
        <v/>
      </c>
      <c r="W5" s="12">
        <f>'Kết quả KD'!W13</f>
        <v/>
      </c>
      <c r="X5" s="12">
        <f>'Kết quả KD'!X13</f>
        <v/>
      </c>
      <c r="Y5" s="12">
        <f>'Kết quả KD'!Y13</f>
        <v/>
      </c>
      <c r="Z5" s="12">
        <f>'Kết quả KD'!Z13</f>
        <v/>
      </c>
      <c r="AA5" s="12">
        <f>'Kết quả KD'!AA13</f>
        <v/>
      </c>
      <c r="AB5" s="12">
        <f>'Kết quả KD'!AB13</f>
        <v/>
      </c>
      <c r="AC5" s="12">
        <f>'Kết quả KD'!AC13</f>
        <v/>
      </c>
      <c r="AD5" s="12">
        <f>'Kết quả KD'!AD13</f>
        <v/>
      </c>
      <c r="AE5" s="12">
        <f>'Kết quả KD'!AE13</f>
        <v/>
      </c>
      <c r="AF5" s="12">
        <f>'Kết quả KD'!AF13</f>
        <v/>
      </c>
      <c r="AG5" s="12">
        <f>'Kết quả KD'!AG13</f>
        <v/>
      </c>
      <c r="AH5" s="12">
        <f>'Kết quả KD'!AH13</f>
        <v/>
      </c>
      <c r="AI5" s="12">
        <f>'Kết quả KD'!AI13</f>
        <v/>
      </c>
      <c r="AJ5" s="12">
        <f>'Kết quả KD'!AJ13</f>
        <v/>
      </c>
      <c r="AK5" s="12">
        <f>'Kết quả KD'!AK13</f>
        <v/>
      </c>
      <c r="AL5" s="12">
        <f>'Kết quả KD'!AL13</f>
        <v/>
      </c>
      <c r="AM5" s="12">
        <f>'Kết quả KD'!AM13</f>
        <v/>
      </c>
      <c r="AN5" s="12">
        <f>'Kết quả KD'!AN13</f>
        <v/>
      </c>
      <c r="AO5" s="12">
        <f>'Kết quả KD'!AO13</f>
        <v/>
      </c>
      <c r="AP5" s="12">
        <f>'Kết quả KD'!AP13</f>
        <v/>
      </c>
      <c r="AQ5" s="12">
        <f>'Kết quả KD'!AQ13</f>
        <v/>
      </c>
      <c r="AR5" s="12">
        <f>'Kết quả KD'!AR13</f>
        <v/>
      </c>
    </row>
    <row r="6">
      <c r="A6" s="6" t="inlineStr">
        <is>
          <t xml:space="preserve">  Cộng: Khấu hao</t>
        </is>
      </c>
      <c r="C6" s="12">
        <f>-'Kết quả KD'!C10</f>
        <v/>
      </c>
      <c r="D6" s="12">
        <f>-'Kết quả KD'!D10</f>
        <v/>
      </c>
      <c r="E6" s="12">
        <f>-'Kết quả KD'!E10</f>
        <v/>
      </c>
      <c r="F6" s="12">
        <f>-'Kết quả KD'!F10</f>
        <v/>
      </c>
      <c r="G6" s="12">
        <f>-'Kết quả KD'!G10</f>
        <v/>
      </c>
      <c r="H6" s="12">
        <f>-'Kết quả KD'!H10</f>
        <v/>
      </c>
      <c r="I6" s="12">
        <f>-'Kết quả KD'!I10</f>
        <v/>
      </c>
      <c r="J6" s="12">
        <f>-'Kết quả KD'!J10</f>
        <v/>
      </c>
      <c r="K6" s="12">
        <f>-'Kết quả KD'!K10</f>
        <v/>
      </c>
      <c r="L6" s="12">
        <f>-'Kết quả KD'!L10</f>
        <v/>
      </c>
      <c r="M6" s="12">
        <f>-'Kết quả KD'!M10</f>
        <v/>
      </c>
      <c r="N6" s="12">
        <f>-'Kết quả KD'!N10</f>
        <v/>
      </c>
      <c r="O6" s="12">
        <f>-'Kết quả KD'!O10</f>
        <v/>
      </c>
      <c r="P6" s="12">
        <f>-'Kết quả KD'!P10</f>
        <v/>
      </c>
      <c r="Q6" s="12">
        <f>-'Kết quả KD'!Q10</f>
        <v/>
      </c>
      <c r="R6" s="12">
        <f>-'Kết quả KD'!R10</f>
        <v/>
      </c>
      <c r="S6" s="12">
        <f>-'Kết quả KD'!S10</f>
        <v/>
      </c>
      <c r="T6" s="12">
        <f>-'Kết quả KD'!T10</f>
        <v/>
      </c>
      <c r="U6" s="12">
        <f>-'Kết quả KD'!U10</f>
        <v/>
      </c>
      <c r="V6" s="12">
        <f>-'Kết quả KD'!V10</f>
        <v/>
      </c>
      <c r="W6" s="12">
        <f>-'Kết quả KD'!W10</f>
        <v/>
      </c>
      <c r="X6" s="12">
        <f>-'Kết quả KD'!X10</f>
        <v/>
      </c>
      <c r="Y6" s="12">
        <f>-'Kết quả KD'!Y10</f>
        <v/>
      </c>
      <c r="Z6" s="12">
        <f>-'Kết quả KD'!Z10</f>
        <v/>
      </c>
      <c r="AA6" s="12">
        <f>-'Kết quả KD'!AA10</f>
        <v/>
      </c>
      <c r="AB6" s="12">
        <f>-'Kết quả KD'!AB10</f>
        <v/>
      </c>
      <c r="AC6" s="12">
        <f>-'Kết quả KD'!AC10</f>
        <v/>
      </c>
      <c r="AD6" s="12">
        <f>-'Kết quả KD'!AD10</f>
        <v/>
      </c>
      <c r="AE6" s="12">
        <f>-'Kết quả KD'!AE10</f>
        <v/>
      </c>
      <c r="AF6" s="12">
        <f>-'Kết quả KD'!AF10</f>
        <v/>
      </c>
      <c r="AG6" s="12">
        <f>-'Kết quả KD'!AG10</f>
        <v/>
      </c>
      <c r="AH6" s="12">
        <f>-'Kết quả KD'!AH10</f>
        <v/>
      </c>
      <c r="AI6" s="12">
        <f>-'Kết quả KD'!AI10</f>
        <v/>
      </c>
      <c r="AJ6" s="12">
        <f>-'Kết quả KD'!AJ10</f>
        <v/>
      </c>
      <c r="AK6" s="12">
        <f>-'Kết quả KD'!AK10</f>
        <v/>
      </c>
      <c r="AL6" s="12">
        <f>-'Kết quả KD'!AL10</f>
        <v/>
      </c>
      <c r="AM6" s="12">
        <f>-'Kết quả KD'!AM10</f>
        <v/>
      </c>
      <c r="AN6" s="12">
        <f>-'Kết quả KD'!AN10</f>
        <v/>
      </c>
      <c r="AO6" s="12">
        <f>-'Kết quả KD'!AO10</f>
        <v/>
      </c>
      <c r="AP6" s="12">
        <f>-'Kết quả KD'!AP10</f>
        <v/>
      </c>
      <c r="AQ6" s="12">
        <f>-'Kết quả KD'!AQ10</f>
        <v/>
      </c>
      <c r="AR6" s="12">
        <f>-'Kết quả KD'!AR10</f>
        <v/>
      </c>
    </row>
    <row r="7">
      <c r="A7" s="6" t="inlineStr">
        <is>
          <t xml:space="preserve">  Thay đổi vốn lưu động</t>
        </is>
      </c>
      <c r="C7" s="12">
        <f>-'Kết quả KD'!C4*ar_days/365</f>
        <v/>
      </c>
      <c r="D7" s="12">
        <f>-('Kết quả KD'!D4-'Kết quả KD'!C4)*ar_days/365</f>
        <v/>
      </c>
      <c r="E7" s="12">
        <f>-('Kết quả KD'!E4-'Kết quả KD'!D4)*ar_days/365</f>
        <v/>
      </c>
      <c r="F7" s="12">
        <f>-('Kết quả KD'!F4-'Kết quả KD'!E4)*ar_days/365</f>
        <v/>
      </c>
      <c r="G7" s="12">
        <f>-('Kết quả KD'!G4-'Kết quả KD'!F4)*ar_days/365</f>
        <v/>
      </c>
      <c r="H7" s="12">
        <f>-('Kết quả KD'!H4-'Kết quả KD'!G4)*ar_days/365</f>
        <v/>
      </c>
      <c r="I7" s="12">
        <f>-('Kết quả KD'!I4-'Kết quả KD'!H4)*ar_days/365</f>
        <v/>
      </c>
      <c r="J7" s="12">
        <f>-('Kết quả KD'!J4-'Kết quả KD'!I4)*ar_days/365</f>
        <v/>
      </c>
      <c r="K7" s="12">
        <f>-('Kết quả KD'!K4-'Kết quả KD'!J4)*ar_days/365</f>
        <v/>
      </c>
      <c r="L7" s="12">
        <f>-('Kết quả KD'!L4-'Kết quả KD'!K4)*ar_days/365</f>
        <v/>
      </c>
      <c r="M7" s="12">
        <f>-('Kết quả KD'!M4-'Kết quả KD'!L4)*ar_days/365</f>
        <v/>
      </c>
      <c r="N7" s="12">
        <f>-('Kết quả KD'!N4-'Kết quả KD'!M4)*ar_days/365</f>
        <v/>
      </c>
      <c r="O7" s="12">
        <f>-('Kết quả KD'!O4-'Kết quả KD'!N4)*ar_days/365</f>
        <v/>
      </c>
      <c r="P7" s="12">
        <f>-('Kết quả KD'!P4-'Kết quả KD'!O4)*ar_days/365</f>
        <v/>
      </c>
      <c r="Q7" s="12">
        <f>-('Kết quả KD'!Q4-'Kết quả KD'!P4)*ar_days/365</f>
        <v/>
      </c>
      <c r="R7" s="12">
        <f>-('Kết quả KD'!R4-'Kết quả KD'!Q4)*ar_days/365</f>
        <v/>
      </c>
      <c r="S7" s="12">
        <f>-('Kết quả KD'!S4-'Kết quả KD'!R4)*ar_days/365</f>
        <v/>
      </c>
      <c r="T7" s="12">
        <f>-('Kết quả KD'!T4-'Kết quả KD'!S4)*ar_days/365</f>
        <v/>
      </c>
      <c r="U7" s="12">
        <f>-('Kết quả KD'!U4-'Kết quả KD'!T4)*ar_days/365</f>
        <v/>
      </c>
      <c r="V7" s="12">
        <f>-('Kết quả KD'!V4-'Kết quả KD'!U4)*ar_days/365</f>
        <v/>
      </c>
      <c r="W7" s="12">
        <f>-('Kết quả KD'!W4-'Kết quả KD'!V4)*ar_days/365</f>
        <v/>
      </c>
      <c r="X7" s="12">
        <f>-('Kết quả KD'!X4-'Kết quả KD'!W4)*ar_days/365</f>
        <v/>
      </c>
      <c r="Y7" s="12">
        <f>-('Kết quả KD'!Y4-'Kết quả KD'!X4)*ar_days/365</f>
        <v/>
      </c>
      <c r="Z7" s="12">
        <f>-('Kết quả KD'!Z4-'Kết quả KD'!Y4)*ar_days/365</f>
        <v/>
      </c>
      <c r="AA7" s="12">
        <f>-('Kết quả KD'!AA4-'Kết quả KD'!Z4)*ar_days/365</f>
        <v/>
      </c>
      <c r="AB7" s="12">
        <f>-('Kết quả KD'!AB4-'Kết quả KD'!AA4)*ar_days/365</f>
        <v/>
      </c>
      <c r="AC7" s="12">
        <f>-('Kết quả KD'!AC4-'Kết quả KD'!AB4)*ar_days/365</f>
        <v/>
      </c>
      <c r="AD7" s="12">
        <f>-('Kết quả KD'!AD4-'Kết quả KD'!AC4)*ar_days/365</f>
        <v/>
      </c>
      <c r="AE7" s="12">
        <f>-('Kết quả KD'!AE4-'Kết quả KD'!AD4)*ar_days/365</f>
        <v/>
      </c>
      <c r="AF7" s="12">
        <f>-('Kết quả KD'!AF4-'Kết quả KD'!AE4)*ar_days/365</f>
        <v/>
      </c>
      <c r="AG7" s="12">
        <f>-('Kết quả KD'!AG4-'Kết quả KD'!AF4)*ar_days/365</f>
        <v/>
      </c>
      <c r="AH7" s="12">
        <f>-('Kết quả KD'!AH4-'Kết quả KD'!AG4)*ar_days/365</f>
        <v/>
      </c>
      <c r="AI7" s="12">
        <f>-('Kết quả KD'!AI4-'Kết quả KD'!AH4)*ar_days/365</f>
        <v/>
      </c>
      <c r="AJ7" s="12">
        <f>-('Kết quả KD'!AJ4-'Kết quả KD'!AI4)*ar_days/365</f>
        <v/>
      </c>
      <c r="AK7" s="12">
        <f>-('Kết quả KD'!AK4-'Kết quả KD'!AJ4)*ar_days/365</f>
        <v/>
      </c>
      <c r="AL7" s="12">
        <f>-('Kết quả KD'!AL4-'Kết quả KD'!AK4)*ar_days/365</f>
        <v/>
      </c>
      <c r="AM7" s="12">
        <f>-('Kết quả KD'!AM4-'Kết quả KD'!AL4)*ar_days/365</f>
        <v/>
      </c>
      <c r="AN7" s="12">
        <f>-('Kết quả KD'!AN4-'Kết quả KD'!AM4)*ar_days/365</f>
        <v/>
      </c>
      <c r="AO7" s="12">
        <f>-('Kết quả KD'!AO4-'Kết quả KD'!AN4)*ar_days/365</f>
        <v/>
      </c>
      <c r="AP7" s="12">
        <f>-('Kết quả KD'!AP4-'Kết quả KD'!AO4)*ar_days/365</f>
        <v/>
      </c>
      <c r="AQ7" s="12">
        <f>-('Kết quả KD'!AQ4-'Kết quả KD'!AP4)*ar_days/365</f>
        <v/>
      </c>
      <c r="AR7" s="12">
        <f>-('Kết quả KD'!AR4-'Kết quả KD'!AQ4)*ar_days/365</f>
        <v/>
      </c>
    </row>
    <row r="8">
      <c r="A8" s="6" t="inlineStr">
        <is>
          <t>DÒNG TIỀN HOẠT ĐỘNG</t>
        </is>
      </c>
      <c r="C8" s="11">
        <f>C5+C6+C7</f>
        <v/>
      </c>
      <c r="D8" s="11">
        <f>D5+D6+D7</f>
        <v/>
      </c>
      <c r="E8" s="11">
        <f>E5+E6+E7</f>
        <v/>
      </c>
      <c r="F8" s="11">
        <f>F5+F6+F7</f>
        <v/>
      </c>
      <c r="G8" s="11">
        <f>G5+G6+G7</f>
        <v/>
      </c>
      <c r="H8" s="11">
        <f>H5+H6+H7</f>
        <v/>
      </c>
      <c r="I8" s="11">
        <f>I5+I6+I7</f>
        <v/>
      </c>
      <c r="J8" s="11">
        <f>J5+J6+J7</f>
        <v/>
      </c>
      <c r="K8" s="11">
        <f>K5+K6+K7</f>
        <v/>
      </c>
      <c r="L8" s="11">
        <f>L5+L6+L7</f>
        <v/>
      </c>
      <c r="M8" s="11">
        <f>M5+M6+M7</f>
        <v/>
      </c>
      <c r="N8" s="11">
        <f>N5+N6+N7</f>
        <v/>
      </c>
      <c r="O8" s="11">
        <f>O5+O6+O7</f>
        <v/>
      </c>
      <c r="P8" s="11">
        <f>P5+P6+P7</f>
        <v/>
      </c>
      <c r="Q8" s="11">
        <f>Q5+Q6+Q7</f>
        <v/>
      </c>
      <c r="R8" s="11">
        <f>R5+R6+R7</f>
        <v/>
      </c>
      <c r="S8" s="11">
        <f>S5+S6+S7</f>
        <v/>
      </c>
      <c r="T8" s="11">
        <f>T5+T6+T7</f>
        <v/>
      </c>
      <c r="U8" s="11">
        <f>U5+U6+U7</f>
        <v/>
      </c>
      <c r="V8" s="11">
        <f>V5+V6+V7</f>
        <v/>
      </c>
      <c r="W8" s="11">
        <f>W5+W6+W7</f>
        <v/>
      </c>
      <c r="X8" s="11">
        <f>X5+X6+X7</f>
        <v/>
      </c>
      <c r="Y8" s="11">
        <f>Y5+Y6+Y7</f>
        <v/>
      </c>
      <c r="Z8" s="11">
        <f>Z5+Z6+Z7</f>
        <v/>
      </c>
      <c r="AA8" s="11">
        <f>AA5+AA6+AA7</f>
        <v/>
      </c>
      <c r="AB8" s="11">
        <f>AB5+AB6+AB7</f>
        <v/>
      </c>
      <c r="AC8" s="11">
        <f>AC5+AC6+AC7</f>
        <v/>
      </c>
      <c r="AD8" s="11">
        <f>AD5+AD6+AD7</f>
        <v/>
      </c>
      <c r="AE8" s="11">
        <f>AE5+AE6+AE7</f>
        <v/>
      </c>
      <c r="AF8" s="11">
        <f>AF5+AF6+AF7</f>
        <v/>
      </c>
      <c r="AG8" s="11">
        <f>AG5+AG6+AG7</f>
        <v/>
      </c>
      <c r="AH8" s="11">
        <f>AH5+AH6+AH7</f>
        <v/>
      </c>
      <c r="AI8" s="11">
        <f>AI5+AI6+AI7</f>
        <v/>
      </c>
      <c r="AJ8" s="11">
        <f>AJ5+AJ6+AJ7</f>
        <v/>
      </c>
      <c r="AK8" s="11">
        <f>AK5+AK6+AK7</f>
        <v/>
      </c>
      <c r="AL8" s="11">
        <f>AL5+AL6+AL7</f>
        <v/>
      </c>
      <c r="AM8" s="11">
        <f>AM5+AM6+AM7</f>
        <v/>
      </c>
      <c r="AN8" s="11">
        <f>AN5+AN6+AN7</f>
        <v/>
      </c>
      <c r="AO8" s="11">
        <f>AO5+AO6+AO7</f>
        <v/>
      </c>
      <c r="AP8" s="11">
        <f>AP5+AP6+AP7</f>
        <v/>
      </c>
      <c r="AQ8" s="11">
        <f>AQ5+AQ6+AQ7</f>
        <v/>
      </c>
      <c r="AR8" s="11">
        <f>AR5+AR6+AR7</f>
        <v/>
      </c>
    </row>
    <row r="10">
      <c r="A10" s="3" t="inlineStr">
        <is>
          <t>Dòng tiền đầu tư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</row>
    <row r="11">
      <c r="A11" s="6" t="inlineStr">
        <is>
          <t xml:space="preserve">  Đầu tư CAPEX</t>
        </is>
      </c>
      <c r="C11" s="12">
        <f>-'Chi phí'!C7</f>
        <v/>
      </c>
      <c r="D11" s="12">
        <f>-'Chi phí'!D7</f>
        <v/>
      </c>
      <c r="E11" s="12">
        <f>-'Chi phí'!E7</f>
        <v/>
      </c>
      <c r="F11" s="12">
        <f>-'Chi phí'!F7</f>
        <v/>
      </c>
      <c r="G11" s="12">
        <f>-'Chi phí'!G7</f>
        <v/>
      </c>
      <c r="H11" s="12">
        <f>-'Chi phí'!H7</f>
        <v/>
      </c>
      <c r="I11" s="12">
        <f>-'Chi phí'!I7</f>
        <v/>
      </c>
      <c r="J11" s="12">
        <f>-'Chi phí'!J7</f>
        <v/>
      </c>
      <c r="K11" s="12">
        <f>-'Chi phí'!K7</f>
        <v/>
      </c>
      <c r="L11" s="12">
        <f>-'Chi phí'!L7</f>
        <v/>
      </c>
      <c r="M11" s="12">
        <f>-'Chi phí'!M7</f>
        <v/>
      </c>
      <c r="N11" s="12">
        <f>-'Chi phí'!N7</f>
        <v/>
      </c>
      <c r="O11" s="12">
        <f>-'Chi phí'!O7</f>
        <v/>
      </c>
      <c r="P11" s="12">
        <f>-'Chi phí'!P7</f>
        <v/>
      </c>
      <c r="Q11" s="12">
        <f>-'Chi phí'!Q7</f>
        <v/>
      </c>
      <c r="R11" s="12">
        <f>-'Chi phí'!R7</f>
        <v/>
      </c>
      <c r="S11" s="12">
        <f>-'Chi phí'!S7</f>
        <v/>
      </c>
      <c r="T11" s="12">
        <f>-'Chi phí'!T7</f>
        <v/>
      </c>
      <c r="U11" s="12">
        <f>-'Chi phí'!U7</f>
        <v/>
      </c>
      <c r="V11" s="12">
        <f>-'Chi phí'!V7</f>
        <v/>
      </c>
      <c r="W11" s="12">
        <f>-'Chi phí'!W7</f>
        <v/>
      </c>
      <c r="X11" s="12">
        <f>-'Chi phí'!X7</f>
        <v/>
      </c>
      <c r="Y11" s="12">
        <f>-'Chi phí'!Y7</f>
        <v/>
      </c>
      <c r="Z11" s="12">
        <f>-'Chi phí'!Z7</f>
        <v/>
      </c>
      <c r="AA11" s="12">
        <f>-'Chi phí'!AA7</f>
        <v/>
      </c>
      <c r="AB11" s="12">
        <f>-'Chi phí'!AB7</f>
        <v/>
      </c>
      <c r="AC11" s="12">
        <f>-'Chi phí'!AC7</f>
        <v/>
      </c>
      <c r="AD11" s="12">
        <f>-'Chi phí'!AD7</f>
        <v/>
      </c>
      <c r="AE11" s="12">
        <f>-'Chi phí'!AE7</f>
        <v/>
      </c>
      <c r="AF11" s="12">
        <f>-'Chi phí'!AF7</f>
        <v/>
      </c>
      <c r="AG11" s="12">
        <f>-'Chi phí'!AG7</f>
        <v/>
      </c>
      <c r="AH11" s="12">
        <f>-'Chi phí'!AH7</f>
        <v/>
      </c>
      <c r="AI11" s="12">
        <f>-'Chi phí'!AI7</f>
        <v/>
      </c>
      <c r="AJ11" s="12">
        <f>-'Chi phí'!AJ7</f>
        <v/>
      </c>
      <c r="AK11" s="12">
        <f>-'Chi phí'!AK7</f>
        <v/>
      </c>
      <c r="AL11" s="12">
        <f>-'Chi phí'!AL7</f>
        <v/>
      </c>
      <c r="AM11" s="12">
        <f>-'Chi phí'!AM7</f>
        <v/>
      </c>
      <c r="AN11" s="12">
        <f>-'Chi phí'!AN7</f>
        <v/>
      </c>
      <c r="AO11" s="12">
        <f>-'Chi phí'!AO7</f>
        <v/>
      </c>
      <c r="AP11" s="12">
        <f>-'Chi phí'!AP7</f>
        <v/>
      </c>
      <c r="AQ11" s="12">
        <f>-'Chi phí'!AQ7</f>
        <v/>
      </c>
      <c r="AR11" s="12">
        <f>-'Chi phí'!AR7</f>
        <v/>
      </c>
    </row>
    <row r="12">
      <c r="A12" s="6" t="inlineStr">
        <is>
          <t>DÒNG TIỀN ĐẦU TƯ</t>
        </is>
      </c>
      <c r="C12" s="11">
        <f>C11</f>
        <v/>
      </c>
      <c r="D12" s="11">
        <f>D11</f>
        <v/>
      </c>
      <c r="E12" s="11">
        <f>E11</f>
        <v/>
      </c>
      <c r="F12" s="11">
        <f>F11</f>
        <v/>
      </c>
      <c r="G12" s="11">
        <f>G11</f>
        <v/>
      </c>
      <c r="H12" s="11">
        <f>H11</f>
        <v/>
      </c>
      <c r="I12" s="11">
        <f>I11</f>
        <v/>
      </c>
      <c r="J12" s="11">
        <f>J11</f>
        <v/>
      </c>
      <c r="K12" s="11">
        <f>K11</f>
        <v/>
      </c>
      <c r="L12" s="11">
        <f>L11</f>
        <v/>
      </c>
      <c r="M12" s="11">
        <f>M11</f>
        <v/>
      </c>
      <c r="N12" s="11">
        <f>N11</f>
        <v/>
      </c>
      <c r="O12" s="11">
        <f>O11</f>
        <v/>
      </c>
      <c r="P12" s="11">
        <f>P11</f>
        <v/>
      </c>
      <c r="Q12" s="11">
        <f>Q11</f>
        <v/>
      </c>
      <c r="R12" s="11">
        <f>R11</f>
        <v/>
      </c>
      <c r="S12" s="11">
        <f>S11</f>
        <v/>
      </c>
      <c r="T12" s="11">
        <f>T11</f>
        <v/>
      </c>
      <c r="U12" s="11">
        <f>U11</f>
        <v/>
      </c>
      <c r="V12" s="11">
        <f>V11</f>
        <v/>
      </c>
      <c r="W12" s="11">
        <f>W11</f>
        <v/>
      </c>
      <c r="X12" s="11">
        <f>X11</f>
        <v/>
      </c>
      <c r="Y12" s="11">
        <f>Y11</f>
        <v/>
      </c>
      <c r="Z12" s="11">
        <f>Z11</f>
        <v/>
      </c>
      <c r="AA12" s="11">
        <f>AA11</f>
        <v/>
      </c>
      <c r="AB12" s="11">
        <f>AB11</f>
        <v/>
      </c>
      <c r="AC12" s="11">
        <f>AC11</f>
        <v/>
      </c>
      <c r="AD12" s="11">
        <f>AD11</f>
        <v/>
      </c>
      <c r="AE12" s="11">
        <f>AE11</f>
        <v/>
      </c>
      <c r="AF12" s="11">
        <f>AF11</f>
        <v/>
      </c>
      <c r="AG12" s="11">
        <f>AG11</f>
        <v/>
      </c>
      <c r="AH12" s="11">
        <f>AH11</f>
        <v/>
      </c>
      <c r="AI12" s="11">
        <f>AI11</f>
        <v/>
      </c>
      <c r="AJ12" s="11">
        <f>AJ11</f>
        <v/>
      </c>
      <c r="AK12" s="11">
        <f>AK11</f>
        <v/>
      </c>
      <c r="AL12" s="11">
        <f>AL11</f>
        <v/>
      </c>
      <c r="AM12" s="11">
        <f>AM11</f>
        <v/>
      </c>
      <c r="AN12" s="11">
        <f>AN11</f>
        <v/>
      </c>
      <c r="AO12" s="11">
        <f>AO11</f>
        <v/>
      </c>
      <c r="AP12" s="11">
        <f>AP11</f>
        <v/>
      </c>
      <c r="AQ12" s="11">
        <f>AQ11</f>
        <v/>
      </c>
      <c r="AR12" s="11">
        <f>AR11</f>
        <v/>
      </c>
    </row>
    <row r="14">
      <c r="A14" s="6" t="inlineStr">
        <is>
          <t>DÒNG TIỀN TỰ DO</t>
        </is>
      </c>
      <c r="C14" s="11">
        <f>C8+C12</f>
        <v/>
      </c>
      <c r="D14" s="11">
        <f>D8+D12</f>
        <v/>
      </c>
      <c r="E14" s="11">
        <f>E8+E12</f>
        <v/>
      </c>
      <c r="F14" s="11">
        <f>F8+F12</f>
        <v/>
      </c>
      <c r="G14" s="11">
        <f>G8+G12</f>
        <v/>
      </c>
      <c r="H14" s="11">
        <f>H8+H12</f>
        <v/>
      </c>
      <c r="I14" s="11">
        <f>I8+I12</f>
        <v/>
      </c>
      <c r="J14" s="11">
        <f>J8+J12</f>
        <v/>
      </c>
      <c r="K14" s="11">
        <f>K8+K12</f>
        <v/>
      </c>
      <c r="L14" s="11">
        <f>L8+L12</f>
        <v/>
      </c>
      <c r="M14" s="11">
        <f>M8+M12</f>
        <v/>
      </c>
      <c r="N14" s="11">
        <f>N8+N12</f>
        <v/>
      </c>
      <c r="O14" s="11">
        <f>O8+O12</f>
        <v/>
      </c>
      <c r="P14" s="11">
        <f>P8+P12</f>
        <v/>
      </c>
      <c r="Q14" s="11">
        <f>Q8+Q12</f>
        <v/>
      </c>
      <c r="R14" s="11">
        <f>R8+R12</f>
        <v/>
      </c>
      <c r="S14" s="11">
        <f>S8+S12</f>
        <v/>
      </c>
      <c r="T14" s="11">
        <f>T8+T12</f>
        <v/>
      </c>
      <c r="U14" s="11">
        <f>U8+U12</f>
        <v/>
      </c>
      <c r="V14" s="11">
        <f>V8+V12</f>
        <v/>
      </c>
      <c r="W14" s="11">
        <f>W8+W12</f>
        <v/>
      </c>
      <c r="X14" s="11">
        <f>X8+X12</f>
        <v/>
      </c>
      <c r="Y14" s="11">
        <f>Y8+Y12</f>
        <v/>
      </c>
      <c r="Z14" s="11">
        <f>Z8+Z12</f>
        <v/>
      </c>
      <c r="AA14" s="11">
        <f>AA8+AA12</f>
        <v/>
      </c>
      <c r="AB14" s="11">
        <f>AB8+AB12</f>
        <v/>
      </c>
      <c r="AC14" s="11">
        <f>AC8+AC12</f>
        <v/>
      </c>
      <c r="AD14" s="11">
        <f>AD8+AD12</f>
        <v/>
      </c>
      <c r="AE14" s="11">
        <f>AE8+AE12</f>
        <v/>
      </c>
      <c r="AF14" s="11">
        <f>AF8+AF12</f>
        <v/>
      </c>
      <c r="AG14" s="11">
        <f>AG8+AG12</f>
        <v/>
      </c>
      <c r="AH14" s="11">
        <f>AH8+AH12</f>
        <v/>
      </c>
      <c r="AI14" s="11">
        <f>AI8+AI12</f>
        <v/>
      </c>
      <c r="AJ14" s="11">
        <f>AJ8+AJ12</f>
        <v/>
      </c>
      <c r="AK14" s="11">
        <f>AK8+AK12</f>
        <v/>
      </c>
      <c r="AL14" s="11">
        <f>AL8+AL12</f>
        <v/>
      </c>
      <c r="AM14" s="11">
        <f>AM8+AM12</f>
        <v/>
      </c>
      <c r="AN14" s="11">
        <f>AN8+AN12</f>
        <v/>
      </c>
      <c r="AO14" s="11">
        <f>AO8+AO12</f>
        <v/>
      </c>
      <c r="AP14" s="11">
        <f>AP8+AP12</f>
        <v/>
      </c>
      <c r="AQ14" s="11">
        <f>AQ8+AQ12</f>
        <v/>
      </c>
      <c r="AR14" s="11">
        <f>AR8+AR12</f>
        <v/>
      </c>
    </row>
    <row r="15">
      <c r="A15" s="6" t="inlineStr">
        <is>
          <t>Dòng tiền lũy kế</t>
        </is>
      </c>
      <c r="C15" s="12">
        <f>C14</f>
        <v/>
      </c>
      <c r="D15" s="12">
        <f>C15+D14</f>
        <v/>
      </c>
      <c r="E15" s="12">
        <f>D15+E14</f>
        <v/>
      </c>
      <c r="F15" s="12">
        <f>E15+F14</f>
        <v/>
      </c>
      <c r="G15" s="12">
        <f>F15+G14</f>
        <v/>
      </c>
      <c r="H15" s="12">
        <f>G15+H14</f>
        <v/>
      </c>
      <c r="I15" s="12">
        <f>H15+I14</f>
        <v/>
      </c>
      <c r="J15" s="12">
        <f>I15+J14</f>
        <v/>
      </c>
      <c r="K15" s="12">
        <f>J15+K14</f>
        <v/>
      </c>
      <c r="L15" s="12">
        <f>K15+L14</f>
        <v/>
      </c>
      <c r="M15" s="12">
        <f>L15+M14</f>
        <v/>
      </c>
      <c r="N15" s="12">
        <f>M15+N14</f>
        <v/>
      </c>
      <c r="O15" s="12">
        <f>N15+O14</f>
        <v/>
      </c>
      <c r="P15" s="12">
        <f>O15+P14</f>
        <v/>
      </c>
      <c r="Q15" s="12">
        <f>P15+Q14</f>
        <v/>
      </c>
      <c r="R15" s="12">
        <f>Q15+R14</f>
        <v/>
      </c>
      <c r="S15" s="12">
        <f>R15+S14</f>
        <v/>
      </c>
      <c r="T15" s="12">
        <f>S15+T14</f>
        <v/>
      </c>
      <c r="U15" s="12">
        <f>T15+U14</f>
        <v/>
      </c>
      <c r="V15" s="12">
        <f>U15+V14</f>
        <v/>
      </c>
      <c r="W15" s="12">
        <f>V15+W14</f>
        <v/>
      </c>
      <c r="X15" s="12">
        <f>W15+X14</f>
        <v/>
      </c>
      <c r="Y15" s="12">
        <f>X15+Y14</f>
        <v/>
      </c>
      <c r="Z15" s="12">
        <f>Y15+Z14</f>
        <v/>
      </c>
      <c r="AA15" s="12">
        <f>Z15+AA14</f>
        <v/>
      </c>
      <c r="AB15" s="12">
        <f>AA15+AB14</f>
        <v/>
      </c>
      <c r="AC15" s="12">
        <f>AB15+AC14</f>
        <v/>
      </c>
      <c r="AD15" s="12">
        <f>AC15+AD14</f>
        <v/>
      </c>
      <c r="AE15" s="12">
        <f>AD15+AE14</f>
        <v/>
      </c>
      <c r="AF15" s="12">
        <f>AE15+AF14</f>
        <v/>
      </c>
      <c r="AG15" s="12">
        <f>AF15+AG14</f>
        <v/>
      </c>
      <c r="AH15" s="12">
        <f>AG15+AH14</f>
        <v/>
      </c>
      <c r="AI15" s="12">
        <f>AH15+AI14</f>
        <v/>
      </c>
      <c r="AJ15" s="12">
        <f>AI15+AJ14</f>
        <v/>
      </c>
      <c r="AK15" s="12">
        <f>AJ15+AK14</f>
        <v/>
      </c>
      <c r="AL15" s="12">
        <f>AK15+AL14</f>
        <v/>
      </c>
      <c r="AM15" s="12">
        <f>AL15+AM14</f>
        <v/>
      </c>
      <c r="AN15" s="12">
        <f>AM15+AN14</f>
        <v/>
      </c>
      <c r="AO15" s="12">
        <f>AN15+AO14</f>
        <v/>
      </c>
      <c r="AP15" s="12">
        <f>AO15+AP14</f>
        <v/>
      </c>
      <c r="AQ15" s="12">
        <f>AP15+AQ14</f>
        <v/>
      </c>
      <c r="AR15" s="12">
        <f>AQ15+AR14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3" t="inlineStr">
        <is>
          <t>THẨM ĐỊNH DỰ ÁN &amp; LỢI NHUẬN</t>
        </is>
      </c>
    </row>
    <row r="3">
      <c r="A3" s="3" t="inlineStr">
        <is>
          <t>Dòng tiền tự do theo năm</t>
        </is>
      </c>
    </row>
    <row r="4">
      <c r="A4" s="5" t="inlineStr">
        <is>
          <t>Năm</t>
        </is>
      </c>
      <c r="B4" s="5" t="inlineStr">
        <is>
          <t>FCF (Tr VND)</t>
        </is>
      </c>
    </row>
    <row r="5">
      <c r="A5" s="6" t="inlineStr">
        <is>
          <t>H2_2025</t>
        </is>
      </c>
      <c r="B5" s="12">
        <f>SUM('Dòng tiền'!C14:H14)</f>
        <v/>
      </c>
    </row>
    <row r="6">
      <c r="A6" s="6" t="inlineStr">
        <is>
          <t>2026</t>
        </is>
      </c>
      <c r="B6" s="12">
        <f>SUM('Dòng tiền'!I14:T14)</f>
        <v/>
      </c>
    </row>
    <row r="7">
      <c r="A7" s="6" t="inlineStr">
        <is>
          <t>2027</t>
        </is>
      </c>
      <c r="B7" s="12">
        <f>SUM('Dòng tiền'!U14:AF14)</f>
        <v/>
      </c>
    </row>
    <row r="8">
      <c r="A8" s="6" t="inlineStr">
        <is>
          <t>2028</t>
        </is>
      </c>
      <c r="B8" s="12">
        <f>SUM('Dòng tiền'!AG14:AJ14)</f>
        <v/>
      </c>
    </row>
    <row r="9">
      <c r="A9" s="6" t="inlineStr">
        <is>
          <t>2029</t>
        </is>
      </c>
      <c r="B9" s="12">
        <f>SUM('Dòng tiền'!AK14:AN14)</f>
        <v/>
      </c>
    </row>
    <row r="10">
      <c r="A10" s="6" t="inlineStr">
        <is>
          <t>2030</t>
        </is>
      </c>
      <c r="B10" s="12">
        <f>SUM('Dòng tiền'!AO14:AR14)</f>
        <v/>
      </c>
    </row>
    <row r="12">
      <c r="A12" s="3" t="inlineStr">
        <is>
          <t>Chỉ số chính</t>
        </is>
      </c>
    </row>
    <row r="13">
      <c r="A13" s="6" t="inlineStr">
        <is>
          <t>NPV (Giá trị hiện tại ròng)</t>
        </is>
      </c>
      <c r="B13" s="12">
        <f>NPV(discount_rate,B6:B10)+B5</f>
        <v/>
      </c>
    </row>
    <row r="14">
      <c r="A14" s="6" t="inlineStr">
        <is>
          <t>IRR (Tỷ suất hoàn vốn nội bộ)</t>
        </is>
      </c>
      <c r="B14" s="19">
        <f>IFERROR(IRR(B5:B10),"N/A")</f>
        <v/>
      </c>
    </row>
    <row r="15">
      <c r="A15" s="6" t="inlineStr">
        <is>
          <t>Đốt tiền tối đa</t>
        </is>
      </c>
      <c r="B15" s="12">
        <f>-MIN('Dòng tiền'!C15:'Dòng tiền'!AR15)</f>
        <v/>
      </c>
    </row>
    <row r="16">
      <c r="A16" s="6" t="inlineStr">
        <is>
          <t>ROI (Lợi nhuận đầu tư)</t>
        </is>
      </c>
      <c r="B16" s="19">
        <f>IF(B15=0,0,('Dòng tiền'!AR15+B15)/B15)</f>
        <v/>
      </c>
    </row>
    <row r="17">
      <c r="A17" s="6" t="inlineStr">
        <is>
          <t>Thuế TNDN áp dụng</t>
        </is>
      </c>
      <c r="B17" s="19">
        <f>cit_rate</f>
        <v/>
      </c>
    </row>
    <row r="18">
      <c r="A18" s="6" t="inlineStr">
        <is>
          <t>Tỷ suất chiết khấu</t>
        </is>
      </c>
      <c r="B18" s="19">
        <f>discount_rate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PHÂN TÍCH KỊCH BẢN</t>
        </is>
      </c>
      <c r="B1" s="21" t="n"/>
      <c r="C1" s="21" t="n"/>
      <c r="D1" s="21" t="n"/>
      <c r="E1" s="21" t="n"/>
      <c r="F1" s="22" t="n"/>
    </row>
    <row r="2">
      <c r="A2" s="2" t="inlineStr">
        <is>
          <t>Sao chép giá trị từ cột kịch bản vào trang Assumptions để chạy.</t>
        </is>
      </c>
    </row>
    <row r="4">
      <c r="A4" s="5" t="inlineStr">
        <is>
          <t>Tham số</t>
        </is>
      </c>
      <c r="B4" s="5" t="inlineStr">
        <is>
          <t>XẤU NHẤT</t>
        </is>
      </c>
      <c r="C4" s="5" t="inlineStr">
        <is>
          <t>THẬN TRỌNG</t>
        </is>
      </c>
      <c r="D4" s="5" t="inlineStr">
        <is>
          <t>CƠ SỞ</t>
        </is>
      </c>
      <c r="E4" s="5" t="inlineStr">
        <is>
          <t>LẠC QUAN</t>
        </is>
      </c>
      <c r="F4" s="5" t="inlineStr">
        <is>
          <t>TỐT NHẤT</t>
        </is>
      </c>
    </row>
    <row r="5">
      <c r="A5" s="6" t="inlineStr">
        <is>
          <t>Trần DN (adoption_max)</t>
        </is>
      </c>
      <c r="B5" s="23" t="n">
        <v>200</v>
      </c>
      <c r="C5" s="24" t="n">
        <v>600</v>
      </c>
      <c r="D5" s="11">
        <f>adoption_max</f>
        <v/>
      </c>
      <c r="E5" s="24" t="n">
        <v>2000</v>
      </c>
      <c r="F5" s="25" t="n">
        <v>3500</v>
      </c>
    </row>
    <row r="6">
      <c r="A6" s="6" t="inlineStr">
        <is>
          <t>Hệ số dốc S-curve</t>
        </is>
      </c>
      <c r="B6" s="26" t="n">
        <v>0.5</v>
      </c>
      <c r="C6" s="27" t="n">
        <v>0.7</v>
      </c>
      <c r="D6" s="28">
        <f>adoption_steepness</f>
        <v/>
      </c>
      <c r="E6" s="27" t="n">
        <v>1.2</v>
      </c>
      <c r="F6" s="29" t="n">
        <v>1.5</v>
      </c>
    </row>
    <row r="7">
      <c r="A7" s="6" t="inlineStr">
        <is>
          <t>Tỷ lệ rời bỏ</t>
        </is>
      </c>
      <c r="B7" s="26" t="n">
        <v>0.35</v>
      </c>
      <c r="C7" s="27" t="n">
        <v>0.25</v>
      </c>
      <c r="D7" s="28">
        <f>churn_rate</f>
        <v/>
      </c>
      <c r="E7" s="27" t="n">
        <v>0.15</v>
      </c>
      <c r="F7" s="29" t="n">
        <v>0.1</v>
      </c>
    </row>
    <row r="8">
      <c r="A8" s="6" t="inlineStr">
        <is>
          <t>Thị phần GMV</t>
        </is>
      </c>
      <c r="B8" s="26" t="n">
        <v>0.001</v>
      </c>
      <c r="C8" s="27" t="n">
        <v>0.003</v>
      </c>
      <c r="D8" s="28">
        <f>platform_market_share</f>
        <v/>
      </c>
      <c r="E8" s="27" t="n">
        <v>0.01</v>
      </c>
      <c r="F8" s="29" t="n">
        <v>0.02</v>
      </c>
    </row>
    <row r="9">
      <c r="A9" s="6" t="inlineStr">
        <is>
          <t>Phí chứng nhận (Tr)</t>
        </is>
      </c>
      <c r="B9" s="23" t="n">
        <v>15</v>
      </c>
      <c r="C9" s="24" t="n">
        <v>20</v>
      </c>
      <c r="D9" s="11">
        <f>cert_fee_yr1</f>
        <v/>
      </c>
      <c r="E9" s="24" t="n">
        <v>30</v>
      </c>
      <c r="F9" s="25" t="n">
        <v>40</v>
      </c>
    </row>
    <row r="10">
      <c r="A10" s="6" t="inlineStr">
        <is>
          <t>Tăng phí/năm</t>
        </is>
      </c>
      <c r="B10" s="26" t="n">
        <v>0</v>
      </c>
      <c r="C10" s="27" t="n">
        <v>0.03</v>
      </c>
      <c r="D10" s="28">
        <f>cert_fee_escalation</f>
        <v/>
      </c>
      <c r="E10" s="27" t="n">
        <v>0.08</v>
      </c>
      <c r="F10" s="29" t="n">
        <v>0.12</v>
      </c>
    </row>
    <row r="11">
      <c r="A11" s="6" t="inlineStr">
        <is>
          <t>Phí giao dịch</t>
        </is>
      </c>
      <c r="B11" s="26" t="n">
        <v>0.01</v>
      </c>
      <c r="C11" s="27" t="n">
        <v>0.015</v>
      </c>
      <c r="D11" s="28">
        <f>tx_take_rate</f>
        <v/>
      </c>
      <c r="E11" s="27" t="n">
        <v>0.025</v>
      </c>
      <c r="F11" s="29" t="n">
        <v>0.03</v>
      </c>
    </row>
    <row r="12">
      <c r="A12" s="6" t="inlineStr">
        <is>
          <t>Marketing cơ sở (Tr)</t>
        </is>
      </c>
      <c r="B12" s="23" t="n">
        <v>8000</v>
      </c>
      <c r="C12" s="24" t="n">
        <v>7500</v>
      </c>
      <c r="D12" s="11">
        <f>opex_marketing</f>
        <v/>
      </c>
      <c r="E12" s="24" t="n">
        <v>6000</v>
      </c>
      <c r="F12" s="25" t="n">
        <v>5000</v>
      </c>
    </row>
    <row r="13">
      <c r="A13" s="6" t="inlineStr">
        <is>
          <t>WACC</t>
        </is>
      </c>
      <c r="B13" s="26" t="n">
        <v>0.2</v>
      </c>
      <c r="C13" s="27" t="n">
        <v>0.18</v>
      </c>
      <c r="D13" s="28">
        <f>discount_rate</f>
        <v/>
      </c>
      <c r="E13" s="27" t="n">
        <v>0.12</v>
      </c>
      <c r="F13" s="29" t="n">
        <v>0.1</v>
      </c>
    </row>
    <row r="14">
      <c r="A14" s="6" t="inlineStr">
        <is>
          <t>Ngưỡng GĐ2</t>
        </is>
      </c>
      <c r="B14" s="23" t="n">
        <v>500</v>
      </c>
      <c r="C14" s="24" t="n">
        <v>400</v>
      </c>
      <c r="D14" s="11">
        <f>stage2_gate</f>
        <v/>
      </c>
      <c r="E14" s="24" t="n">
        <v>200</v>
      </c>
      <c r="F14" s="25" t="n">
        <v>150</v>
      </c>
    </row>
    <row r="17">
      <c r="A17" s="3" t="inlineStr">
        <is>
          <t>🔑 YẾU TỐ ẢNH HƯỞNG LỚN NHẤT ĐẾN NPV/IRR</t>
        </is>
      </c>
      <c r="B17" s="21" t="n"/>
      <c r="C17" s="21" t="n"/>
      <c r="D17" s="21" t="n"/>
      <c r="E17" s="21" t="n"/>
      <c r="F17" s="22" t="n"/>
    </row>
    <row r="19">
      <c r="A19" s="30" t="inlineStr">
        <is>
          <t>3 yếu tố ảnh hưởng mạnh nhất đến kết quả mô hình:</t>
        </is>
      </c>
    </row>
    <row r="21">
      <c r="A21" s="31" t="inlineStr">
        <is>
          <t>1. TRẦN DOANH NGHIỆP (adoption_max) — YẾU TỐ SỐ 1</t>
        </is>
      </c>
    </row>
    <row r="22">
      <c r="A22" s="32" t="inlineStr">
        <is>
          <t xml:space="preserve">  Mọi nguồn doanh thu đều phụ thuộc số DN. Cert, đào tạo, kiểm toán — tỷ lệ thuận với DN.</t>
        </is>
      </c>
    </row>
    <row r="23">
      <c r="A23" s="32" t="inlineStr">
        <is>
          <t xml:space="preserve">  Giai đoạn 2 (phí giao dịch, DaaS, QC) cũng phụ thuộc vượt ngưỡng. Tăng gấp đôi DN ≈ tăng gấp đôi DT.</t>
        </is>
      </c>
    </row>
    <row r="24">
      <c r="A24" s="32" t="inlineStr">
        <is>
          <t xml:space="preserve">  → Xấu nhất: 200 = dự án không có sức hút. Tốt nhất: 3,500 = trở thành chuẩn ngành.</t>
        </is>
      </c>
    </row>
    <row r="26">
      <c r="A26" s="31" t="inlineStr">
        <is>
          <t>2. THỊ PHẦN GMV (platform_market_share) — YẾU TỐ SỐ 2</t>
        </is>
      </c>
    </row>
    <row r="27">
      <c r="A27" s="32" t="inlineStr">
        <is>
          <t xml:space="preserve">  % GMV TMĐT du lịch VN chạy qua nền tảng VV. Thị trường ~82.500 tỷ, tăng 8%/năm.</t>
        </is>
      </c>
    </row>
    <row r="28">
      <c r="A28" s="32" t="inlineStr">
        <is>
          <t xml:space="preserve">  Chênh 0.1% = hàng trăm tỷ VND chênh lệch GMV → hàng tỷ phí giao dịch.</t>
        </is>
      </c>
    </row>
    <row r="29">
      <c r="A29" s="32" t="inlineStr">
        <is>
          <t xml:space="preserve">  → Xấu nhất: 0.1% = ngách. Tốt nhất: 2% = nền tảng thống lĩnh.</t>
        </is>
      </c>
    </row>
    <row r="31">
      <c r="A31" s="31" t="inlineStr">
        <is>
          <t>3. TỶ LỆ RỜI BỎ (churn_rate) — YẾU TỐ SỐ 3</t>
        </is>
      </c>
    </row>
    <row r="32">
      <c r="A32" s="32" t="inlineStr">
        <is>
          <t xml:space="preserve">  % DN không gia hạn chứng nhận mỗi năm. Churn cao = phải liên tục thay thế DN đã mất.</t>
        </is>
      </c>
    </row>
    <row r="33">
      <c r="A33" s="32" t="inlineStr">
        <is>
          <t xml:space="preserve">  35% churn: cần 35 DN mới/năm trên 100 DN chỉ để giữ nguyên. Rất tốn kém.</t>
        </is>
      </c>
    </row>
    <row r="34">
      <c r="A34" s="32" t="inlineStr">
        <is>
          <t xml:space="preserve">  → Xấu nhất: 35% = chứng nhận không có giá trị. Tốt nhất: 10% = sản phẩm dính.</t>
        </is>
      </c>
    </row>
    <row r="36">
      <c r="A36" s="3" t="inlineStr">
        <is>
          <t>📖 MÔ TẢ CHI TIẾT TỪNG KỊCH BẢN</t>
        </is>
      </c>
      <c r="B36" s="21" t="n"/>
      <c r="C36" s="21" t="n"/>
      <c r="D36" s="21" t="n"/>
      <c r="E36" s="21" t="n"/>
      <c r="F36" s="22" t="n"/>
    </row>
    <row r="38">
      <c r="A38" s="33" t="inlineStr">
        <is>
          <t>XẤU NHẤT — 'Ra mắt thất bại'</t>
        </is>
      </c>
    </row>
    <row r="39">
      <c r="A39" s="32" t="inlineStr">
        <is>
          <t xml:space="preserve">  Chỉ 200 DN trong 5 năm. Thị trường không thấy giá trị chứng nhận.</t>
        </is>
      </c>
    </row>
    <row r="40">
      <c r="A40" s="32" t="inlineStr">
        <is>
          <t xml:space="preserve">  GĐ2 không kích hoạt (200 &lt; 300). Doanh thu chỉ từ phí cert, quy mô nhỏ.</t>
        </is>
      </c>
    </row>
    <row r="41">
      <c r="A41" s="32" t="inlineStr">
        <is>
          <t xml:space="preserve">  Kết quả: Dự án bị đóng sau 2-3 năm. Tổng lỗ = CAPEX + chi phí vận hành.</t>
        </is>
      </c>
    </row>
    <row r="43">
      <c r="A43" s="34" t="inlineStr">
        <is>
          <t>THẬN TRỌNG — 'Tăng trưởng chậm'</t>
        </is>
      </c>
    </row>
    <row r="44">
      <c r="A44" s="32" t="inlineStr">
        <is>
          <t xml:space="preserve">  600 DN trong 5 năm. Chứng nhận được một số công nhận nhưng tăng chậm.</t>
        </is>
      </c>
    </row>
    <row r="45">
      <c r="A45" s="32" t="inlineStr">
        <is>
          <t xml:space="preserve">  GĐ2 kích hoạt muộn, thị phần nhỏ 0.3%. Có thể hòa vốn 2029-2030.</t>
        </is>
      </c>
    </row>
    <row r="46">
      <c r="A46" s="32" t="inlineStr">
        <is>
          <t xml:space="preserve">  Kết quả: Tồn tại nhưng cần tiếp tục bù lỗ. Lợi nhuận biên.</t>
        </is>
      </c>
    </row>
    <row r="48">
      <c r="A48" s="31" t="inlineStr">
        <is>
          <t>CƠ SỞ — 'Tăng trưởng thực tế' (Giả định hiện tại)</t>
        </is>
      </c>
    </row>
    <row r="49">
      <c r="A49" s="32" t="inlineStr">
        <is>
          <t xml:space="preserve">  1.200 DN đến 2030 (3% SAM). Chứng nhận được thị trường công nhận.</t>
        </is>
      </c>
    </row>
    <row r="50">
      <c r="A50" s="32" t="inlineStr">
        <is>
          <t xml:space="preserve">  GĐ2 kích hoạt 2027-2028, thị phần 0.5%. Hòa vốn khoảng 2027-2028.</t>
        </is>
      </c>
    </row>
    <row r="51">
      <c r="A51" s="32" t="inlineStr">
        <is>
          <t xml:space="preserve">  Kết quả: Doanh nghiệp khả thi, tạo lợi nhuận vừa phải.</t>
        </is>
      </c>
    </row>
    <row r="53">
      <c r="A53" s="35" t="inlineStr">
        <is>
          <t>LẠC QUAN — 'Tăng trưởng mạnh'</t>
        </is>
      </c>
    </row>
    <row r="54">
      <c r="A54" s="32" t="inlineStr">
        <is>
          <t xml:space="preserve">  2.000 DN = 5% SAM. Chứng nhận VV trở thành yếu tố cạnh tranh.</t>
        </is>
      </c>
    </row>
    <row r="55">
      <c r="A55" s="32" t="inlineStr">
        <is>
          <t xml:space="preserve">  GĐ2 kích hoạt sớm, thị phần 1%. Lợi nhuận tốt, thu hút đầu tư tiếp.</t>
        </is>
      </c>
    </row>
    <row r="56">
      <c r="A56" s="32" t="inlineStr">
        <is>
          <t xml:space="preserve">  Kết quả: Doanh nghiệp hấp dẫn. Có thể mở rộng khu vực.</t>
        </is>
      </c>
    </row>
    <row r="58">
      <c r="A58" s="36" t="inlineStr">
        <is>
          <t>TỐT NHẤT — 'Dẫn đầu thị trường'</t>
        </is>
      </c>
    </row>
    <row r="59">
      <c r="A59" s="32" t="inlineStr">
        <is>
          <t xml:space="preserve">  3.500 DN = chuẩn chứng nhận quốc gia cho du lịch Việt Nam.</t>
        </is>
      </c>
    </row>
    <row r="60">
      <c r="A60" s="32" t="inlineStr">
        <is>
          <t xml:space="preserve">  Thị phần 2%, churn 10%. Chính phủ bắt buộc hoặc khuyến khích chứng nhận.</t>
        </is>
      </c>
    </row>
    <row r="61">
      <c r="A61" s="32" t="inlineStr">
        <is>
          <t xml:space="preserve">  Kết quả: Sẵn sàng IPO hoặc mục tiêu M&amp;A. Mở rộng Đông Nam Á.</t>
        </is>
      </c>
    </row>
  </sheetData>
  <mergeCells count="36">
    <mergeCell ref="A41:F41"/>
    <mergeCell ref="A54:F54"/>
    <mergeCell ref="A46:F46"/>
    <mergeCell ref="A27:F27"/>
    <mergeCell ref="A50:F50"/>
    <mergeCell ref="A56:F56"/>
    <mergeCell ref="A26:F26"/>
    <mergeCell ref="A21:F21"/>
    <mergeCell ref="A55:F55"/>
    <mergeCell ref="A33:F33"/>
    <mergeCell ref="A23:F23"/>
    <mergeCell ref="A32:F32"/>
    <mergeCell ref="A22:F22"/>
    <mergeCell ref="A17:F17"/>
    <mergeCell ref="A53:F53"/>
    <mergeCell ref="A29:F29"/>
    <mergeCell ref="A43:F43"/>
    <mergeCell ref="A38:F38"/>
    <mergeCell ref="A28:F28"/>
    <mergeCell ref="A19:F19"/>
    <mergeCell ref="A44:F44"/>
    <mergeCell ref="A31:F31"/>
    <mergeCell ref="A58:F58"/>
    <mergeCell ref="A34:F34"/>
    <mergeCell ref="A40:F40"/>
    <mergeCell ref="A48:F48"/>
    <mergeCell ref="A39:F39"/>
    <mergeCell ref="A59:F59"/>
    <mergeCell ref="A24:F24"/>
    <mergeCell ref="A49:F49"/>
    <mergeCell ref="A51:F51"/>
    <mergeCell ref="A60:F60"/>
    <mergeCell ref="A36:F36"/>
    <mergeCell ref="A1:F1"/>
    <mergeCell ref="A45:F45"/>
    <mergeCell ref="A61:F6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3" t="inlineStr">
        <is>
          <t>NGÂN SÁCH 2025 (Tr VND)</t>
        </is>
      </c>
    </row>
    <row r="3">
      <c r="A3" s="5" t="inlineStr">
        <is>
          <t>Hạng mục</t>
        </is>
      </c>
      <c r="B3" s="5" t="inlineStr">
        <is>
          <t>ĐVT</t>
        </is>
      </c>
      <c r="C3" s="5" t="inlineStr">
        <is>
          <t>Th7</t>
        </is>
      </c>
      <c r="D3" s="5" t="inlineStr">
        <is>
          <t>Th8</t>
        </is>
      </c>
      <c r="E3" s="5" t="inlineStr">
        <is>
          <t>Th9</t>
        </is>
      </c>
      <c r="F3" s="5" t="inlineStr">
        <is>
          <t>Th10</t>
        </is>
      </c>
      <c r="G3" s="5" t="inlineStr">
        <is>
          <t>Th11</t>
        </is>
      </c>
      <c r="H3" s="5" t="inlineStr">
        <is>
          <t>Th12</t>
        </is>
      </c>
      <c r="I3" s="5" t="inlineStr">
        <is>
          <t>TỔNG</t>
        </is>
      </c>
    </row>
    <row r="4">
      <c r="A4" s="3" t="inlineStr">
        <is>
          <t>DOANH THU</t>
        </is>
      </c>
      <c r="C4" s="13" t="n"/>
      <c r="D4" s="13" t="n"/>
      <c r="E4" s="13" t="n"/>
      <c r="F4" s="13" t="n"/>
      <c r="G4" s="13" t="n"/>
      <c r="H4" s="13" t="n"/>
      <c r="I4" s="13" t="n"/>
    </row>
    <row r="5">
      <c r="A5" s="6" t="inlineStr">
        <is>
          <t xml:space="preserve">  Phí chứng nhận</t>
        </is>
      </c>
      <c r="B5" s="6" t="inlineStr">
        <is>
          <t>Tr VND</t>
        </is>
      </c>
      <c r="C5" s="12">
        <f>MAX(pilot_count,adoption_max/(1+EXP(-adoption_steepness*(2025.542-adoption_midpoint))))*cert_fee_yr1*(1+cert_fee_escalation)^0/12</f>
        <v/>
      </c>
      <c r="D5" s="12">
        <f>MAX(pilot_count,adoption_max/(1+EXP(-adoption_steepness*(2025.625-adoption_midpoint))))*cert_fee_yr1*(1+cert_fee_escalation)^0/12</f>
        <v/>
      </c>
      <c r="E5" s="12">
        <f>MAX(pilot_count,adoption_max/(1+EXP(-adoption_steepness*(2025.708-adoption_midpoint))))*cert_fee_yr1*(1+cert_fee_escalation)^0/12</f>
        <v/>
      </c>
      <c r="F5" s="12">
        <f>MAX(pilot_count,adoption_max/(1+EXP(-adoption_steepness*(2025.792-adoption_midpoint))))*cert_fee_yr1*(1+cert_fee_escalation)^0/12</f>
        <v/>
      </c>
      <c r="G5" s="12">
        <f>MAX(pilot_count,adoption_max/(1+EXP(-adoption_steepness*(2025.875-adoption_midpoint))))*cert_fee_yr1*(1+cert_fee_escalation)^0/12</f>
        <v/>
      </c>
      <c r="H5" s="12">
        <f>MAX(pilot_count,adoption_max/(1+EXP(-adoption_steepness*(2025.958-adoption_midpoint))))*cert_fee_yr1*(1+cert_fee_escalation)^0/12</f>
        <v/>
      </c>
      <c r="I5" s="11">
        <f>SUM(C5:H5)</f>
        <v/>
      </c>
    </row>
    <row r="6">
      <c r="A6" s="6" t="inlineStr">
        <is>
          <t xml:space="preserve">  Đào tạo</t>
        </is>
      </c>
      <c r="B6" s="6" t="inlineStr">
        <is>
          <t>Tr VND</t>
        </is>
      </c>
      <c r="C6" s="12">
        <f>MAX(pilot_count,adoption_max/(1+EXP(-adoption_steepness*(2025.542-adoption_midpoint))))*training_pct*training_fee/12</f>
        <v/>
      </c>
      <c r="D6" s="12">
        <f>MAX(pilot_count,adoption_max/(1+EXP(-adoption_steepness*(2025.625-adoption_midpoint))))*training_pct*training_fee/12</f>
        <v/>
      </c>
      <c r="E6" s="12">
        <f>MAX(pilot_count,adoption_max/(1+EXP(-adoption_steepness*(2025.708-adoption_midpoint))))*training_pct*training_fee/12</f>
        <v/>
      </c>
      <c r="F6" s="12">
        <f>MAX(pilot_count,adoption_max/(1+EXP(-adoption_steepness*(2025.792-adoption_midpoint))))*training_pct*training_fee/12</f>
        <v/>
      </c>
      <c r="G6" s="12">
        <f>MAX(pilot_count,adoption_max/(1+EXP(-adoption_steepness*(2025.875-adoption_midpoint))))*training_pct*training_fee/12</f>
        <v/>
      </c>
      <c r="H6" s="12">
        <f>MAX(pilot_count,adoption_max/(1+EXP(-adoption_steepness*(2025.958-adoption_midpoint))))*training_pct*training_fee/12</f>
        <v/>
      </c>
      <c r="I6" s="11">
        <f>SUM(C6:H6)</f>
        <v/>
      </c>
    </row>
    <row r="7">
      <c r="A7" s="6" t="inlineStr">
        <is>
          <t xml:space="preserve">  Kiểm toán</t>
        </is>
      </c>
      <c r="B7" s="6" t="inlineStr">
        <is>
          <t>Tr VND</t>
        </is>
      </c>
      <c r="C7" s="12">
        <f>MAX(pilot_count,adoption_max/(1+EXP(-adoption_steepness*(2025.542-adoption_midpoint))))*audit_fee/12</f>
        <v/>
      </c>
      <c r="D7" s="12">
        <f>MAX(pilot_count,adoption_max/(1+EXP(-adoption_steepness*(2025.625-adoption_midpoint))))*audit_fee/12</f>
        <v/>
      </c>
      <c r="E7" s="12">
        <f>MAX(pilot_count,adoption_max/(1+EXP(-adoption_steepness*(2025.708-adoption_midpoint))))*audit_fee/12</f>
        <v/>
      </c>
      <c r="F7" s="12">
        <f>MAX(pilot_count,adoption_max/(1+EXP(-adoption_steepness*(2025.792-adoption_midpoint))))*audit_fee/12</f>
        <v/>
      </c>
      <c r="G7" s="12">
        <f>MAX(pilot_count,adoption_max/(1+EXP(-adoption_steepness*(2025.875-adoption_midpoint))))*audit_fee/12</f>
        <v/>
      </c>
      <c r="H7" s="12">
        <f>MAX(pilot_count,adoption_max/(1+EXP(-adoption_steepness*(2025.958-adoption_midpoint))))*audit_fee/12</f>
        <v/>
      </c>
      <c r="I7" s="11">
        <f>SUM(C7:H7)</f>
        <v/>
      </c>
    </row>
    <row r="8">
      <c r="A8" s="6" t="inlineStr">
        <is>
          <t>TỔNG DOANH THU</t>
        </is>
      </c>
      <c r="C8" s="11">
        <f>SUM(C5:C7)</f>
        <v/>
      </c>
      <c r="D8" s="11">
        <f>SUM(D5:D7)</f>
        <v/>
      </c>
      <c r="E8" s="11">
        <f>SUM(E5:E7)</f>
        <v/>
      </c>
      <c r="F8" s="11">
        <f>SUM(F5:F7)</f>
        <v/>
      </c>
      <c r="G8" s="11">
        <f>SUM(G5:G7)</f>
        <v/>
      </c>
      <c r="H8" s="11">
        <f>SUM(H5:H7)</f>
        <v/>
      </c>
      <c r="I8" s="11">
        <f>SUM(C8:H8)</f>
        <v/>
      </c>
    </row>
    <row r="10">
      <c r="A10" s="3" t="inlineStr">
        <is>
          <t>CAPEX</t>
        </is>
      </c>
      <c r="C10" s="13" t="n"/>
      <c r="D10" s="13" t="n"/>
      <c r="E10" s="13" t="n"/>
      <c r="F10" s="13" t="n"/>
      <c r="G10" s="13" t="n"/>
      <c r="H10" s="13" t="n"/>
      <c r="I10" s="13" t="n"/>
    </row>
    <row r="11">
      <c r="A11" s="6" t="inlineStr">
        <is>
          <t xml:space="preserve">  Cloud</t>
        </is>
      </c>
      <c r="B11" s="6" t="inlineStr">
        <is>
          <t>Tr VND</t>
        </is>
      </c>
      <c r="C11" s="12">
        <f>capex_cloud_setup/6</f>
        <v/>
      </c>
      <c r="D11" s="12">
        <f>capex_cloud_setup/6</f>
        <v/>
      </c>
      <c r="E11" s="12">
        <f>capex_cloud_setup/6</f>
        <v/>
      </c>
      <c r="F11" s="12">
        <f>capex_cloud_setup/6</f>
        <v/>
      </c>
      <c r="G11" s="12">
        <f>capex_cloud_setup/6</f>
        <v/>
      </c>
      <c r="H11" s="12">
        <f>capex_cloud_setup/6</f>
        <v/>
      </c>
      <c r="I11" s="11">
        <f>SUM(C11:H11)</f>
        <v/>
      </c>
    </row>
    <row r="12">
      <c r="A12" s="6" t="inlineStr">
        <is>
          <t xml:space="preserve">  Backend</t>
        </is>
      </c>
      <c r="B12" s="6" t="inlineStr">
        <is>
          <t>Tr VND</t>
        </is>
      </c>
      <c r="C12" s="12">
        <f>capex_backend/6</f>
        <v/>
      </c>
      <c r="D12" s="12">
        <f>capex_backend/6</f>
        <v/>
      </c>
      <c r="E12" s="12">
        <f>capex_backend/6</f>
        <v/>
      </c>
      <c r="F12" s="12">
        <f>capex_backend/6</f>
        <v/>
      </c>
      <c r="G12" s="12">
        <f>capex_backend/6</f>
        <v/>
      </c>
      <c r="H12" s="12">
        <f>capex_backend/6</f>
        <v/>
      </c>
      <c r="I12" s="11">
        <f>SUM(C12:H12)</f>
        <v/>
      </c>
    </row>
    <row r="13">
      <c r="A13" s="6" t="inlineStr">
        <is>
          <t xml:space="preserve">  Frontend</t>
        </is>
      </c>
      <c r="B13" s="6" t="inlineStr">
        <is>
          <t>Tr VND</t>
        </is>
      </c>
      <c r="C13" s="12">
        <f>capex_frontend/6</f>
        <v/>
      </c>
      <c r="D13" s="12">
        <f>capex_frontend/6</f>
        <v/>
      </c>
      <c r="E13" s="12">
        <f>capex_frontend/6</f>
        <v/>
      </c>
      <c r="F13" s="12">
        <f>capex_frontend/6</f>
        <v/>
      </c>
      <c r="G13" s="12">
        <f>capex_frontend/6</f>
        <v/>
      </c>
      <c r="H13" s="12">
        <f>capex_frontend/6</f>
        <v/>
      </c>
      <c r="I13" s="11">
        <f>SUM(C13:H13)</f>
        <v/>
      </c>
    </row>
    <row r="14">
      <c r="A14" s="6" t="inlineStr">
        <is>
          <t xml:space="preserve">  Data</t>
        </is>
      </c>
      <c r="B14" s="6" t="inlineStr">
        <is>
          <t>Tr VND</t>
        </is>
      </c>
      <c r="C14" s="12">
        <f>capex_data_platform/6</f>
        <v/>
      </c>
      <c r="D14" s="12">
        <f>capex_data_platform/6</f>
        <v/>
      </c>
      <c r="E14" s="12">
        <f>capex_data_platform/6</f>
        <v/>
      </c>
      <c r="F14" s="12">
        <f>capex_data_platform/6</f>
        <v/>
      </c>
      <c r="G14" s="12">
        <f>capex_data_platform/6</f>
        <v/>
      </c>
      <c r="H14" s="12">
        <f>capex_data_platform/6</f>
        <v/>
      </c>
      <c r="I14" s="11">
        <f>SUM(C14:H14)</f>
        <v/>
      </c>
    </row>
    <row r="15">
      <c r="A15" s="6" t="inlineStr">
        <is>
          <t xml:space="preserve">  Bảo mật</t>
        </is>
      </c>
      <c r="B15" s="6" t="inlineStr">
        <is>
          <t>Tr VND</t>
        </is>
      </c>
      <c r="C15" s="12">
        <f>capex_security_setup/6</f>
        <v/>
      </c>
      <c r="D15" s="12">
        <f>capex_security_setup/6</f>
        <v/>
      </c>
      <c r="E15" s="12">
        <f>capex_security_setup/6</f>
        <v/>
      </c>
      <c r="F15" s="12">
        <f>capex_security_setup/6</f>
        <v/>
      </c>
      <c r="G15" s="12">
        <f>capex_security_setup/6</f>
        <v/>
      </c>
      <c r="H15" s="12">
        <f>capex_security_setup/6</f>
        <v/>
      </c>
      <c r="I15" s="11">
        <f>SUM(C15:H15)</f>
        <v/>
      </c>
    </row>
    <row r="16">
      <c r="A16" s="6" t="inlineStr">
        <is>
          <t xml:space="preserve">  UX/UI</t>
        </is>
      </c>
      <c r="B16" s="6" t="inlineStr">
        <is>
          <t>Tr VND</t>
        </is>
      </c>
      <c r="C16" s="12">
        <f>capex_ux_design/6</f>
        <v/>
      </c>
      <c r="D16" s="12">
        <f>capex_ux_design/6</f>
        <v/>
      </c>
      <c r="E16" s="12">
        <f>capex_ux_design/6</f>
        <v/>
      </c>
      <c r="F16" s="12">
        <f>capex_ux_design/6</f>
        <v/>
      </c>
      <c r="G16" s="12">
        <f>capex_ux_design/6</f>
        <v/>
      </c>
      <c r="H16" s="12">
        <f>capex_ux_design/6</f>
        <v/>
      </c>
      <c r="I16" s="11">
        <f>SUM(C16:H16)</f>
        <v/>
      </c>
    </row>
    <row r="17">
      <c r="A17" s="6" t="inlineStr">
        <is>
          <t xml:space="preserve">  Tích hợp</t>
        </is>
      </c>
      <c r="B17" s="6" t="inlineStr">
        <is>
          <t>Tr VND</t>
        </is>
      </c>
      <c r="C17" s="12">
        <f>capex_integration/6</f>
        <v/>
      </c>
      <c r="D17" s="12">
        <f>capex_integration/6</f>
        <v/>
      </c>
      <c r="E17" s="12">
        <f>capex_integration/6</f>
        <v/>
      </c>
      <c r="F17" s="12">
        <f>capex_integration/6</f>
        <v/>
      </c>
      <c r="G17" s="12">
        <f>capex_integration/6</f>
        <v/>
      </c>
      <c r="H17" s="12">
        <f>capex_integration/6</f>
        <v/>
      </c>
      <c r="I17" s="11">
        <f>SUM(C17:H17)</f>
        <v/>
      </c>
    </row>
    <row r="18">
      <c r="A18" s="6" t="inlineStr">
        <is>
          <t xml:space="preserve">  DevOps</t>
        </is>
      </c>
      <c r="B18" s="6" t="inlineStr">
        <is>
          <t>Tr VND</t>
        </is>
      </c>
      <c r="C18" s="12">
        <f>capex_devops/6</f>
        <v/>
      </c>
      <c r="D18" s="12">
        <f>capex_devops/6</f>
        <v/>
      </c>
      <c r="E18" s="12">
        <f>capex_devops/6</f>
        <v/>
      </c>
      <c r="F18" s="12">
        <f>capex_devops/6</f>
        <v/>
      </c>
      <c r="G18" s="12">
        <f>capex_devops/6</f>
        <v/>
      </c>
      <c r="H18" s="12">
        <f>capex_devops/6</f>
        <v/>
      </c>
      <c r="I18" s="11">
        <f>SUM(C18:H18)</f>
        <v/>
      </c>
    </row>
    <row r="19">
      <c r="A19" s="6" t="inlineStr">
        <is>
          <t xml:space="preserve">  QA</t>
        </is>
      </c>
      <c r="B19" s="6" t="inlineStr">
        <is>
          <t>Tr VND</t>
        </is>
      </c>
      <c r="C19" s="12">
        <f>capex_testing/6</f>
        <v/>
      </c>
      <c r="D19" s="12">
        <f>capex_testing/6</f>
        <v/>
      </c>
      <c r="E19" s="12">
        <f>capex_testing/6</f>
        <v/>
      </c>
      <c r="F19" s="12">
        <f>capex_testing/6</f>
        <v/>
      </c>
      <c r="G19" s="12">
        <f>capex_testing/6</f>
        <v/>
      </c>
      <c r="H19" s="12">
        <f>capex_testing/6</f>
        <v/>
      </c>
      <c r="I19" s="11">
        <f>SUM(C19:H19)</f>
        <v/>
      </c>
    </row>
    <row r="20">
      <c r="A20" s="6" t="inlineStr">
        <is>
          <t xml:space="preserve">  Dự phòng</t>
        </is>
      </c>
      <c r="B20" s="6" t="inlineStr">
        <is>
          <t>Tr VND</t>
        </is>
      </c>
      <c r="C20" s="12">
        <f>capex_contingency/6</f>
        <v/>
      </c>
      <c r="D20" s="12">
        <f>capex_contingency/6</f>
        <v/>
      </c>
      <c r="E20" s="12">
        <f>capex_contingency/6</f>
        <v/>
      </c>
      <c r="F20" s="12">
        <f>capex_contingency/6</f>
        <v/>
      </c>
      <c r="G20" s="12">
        <f>capex_contingency/6</f>
        <v/>
      </c>
      <c r="H20" s="12">
        <f>capex_contingency/6</f>
        <v/>
      </c>
      <c r="I20" s="11">
        <f>SUM(C20:H20)</f>
        <v/>
      </c>
    </row>
    <row r="21">
      <c r="A21" s="6" t="inlineStr">
        <is>
          <t>TỔNG CAPEX</t>
        </is>
      </c>
      <c r="C21" s="11">
        <f>SUM(C11:C20)</f>
        <v/>
      </c>
      <c r="D21" s="11">
        <f>SUM(D11:D20)</f>
        <v/>
      </c>
      <c r="E21" s="11">
        <f>SUM(E11:E20)</f>
        <v/>
      </c>
      <c r="F21" s="11">
        <f>SUM(F11:F20)</f>
        <v/>
      </c>
      <c r="G21" s="11">
        <f>SUM(G11:G20)</f>
        <v/>
      </c>
      <c r="H21" s="11">
        <f>SUM(H11:H20)</f>
        <v/>
      </c>
      <c r="I21" s="11">
        <f>SUM(C21:H21)</f>
        <v/>
      </c>
    </row>
    <row r="23">
      <c r="A23" s="3" t="inlineStr">
        <is>
          <t>OPEX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A24" s="6" t="inlineStr">
        <is>
          <t xml:space="preserve">  NS — QL(2)</t>
        </is>
      </c>
      <c r="B24" s="6" t="inlineStr">
        <is>
          <t>Tr VND</t>
        </is>
      </c>
      <c r="C24" s="12">
        <f>salary_mgmt*2*(1+salary_escalation)^0*(1+bhxh_rate)</f>
        <v/>
      </c>
      <c r="D24" s="12">
        <f>salary_mgmt*2*(1+salary_escalation)^0*(1+bhxh_rate)</f>
        <v/>
      </c>
      <c r="E24" s="12">
        <f>salary_mgmt*2*(1+salary_escalation)^0*(1+bhxh_rate)</f>
        <v/>
      </c>
      <c r="F24" s="12">
        <f>salary_mgmt*2*(1+salary_escalation)^0*(1+bhxh_rate)</f>
        <v/>
      </c>
      <c r="G24" s="12">
        <f>salary_mgmt*2*(1+salary_escalation)^0*(1+bhxh_rate)</f>
        <v/>
      </c>
      <c r="H24" s="12">
        <f>salary_mgmt*2*(1+salary_escalation)^0*(1+bhxh_rate)</f>
        <v/>
      </c>
      <c r="I24" s="11">
        <f>SUM(C24:H24)</f>
        <v/>
      </c>
    </row>
    <row r="25">
      <c r="A25" s="6" t="inlineStr">
        <is>
          <t xml:space="preserve">  NS — PT(12)</t>
        </is>
      </c>
      <c r="B25" s="6" t="inlineStr">
        <is>
          <t>Tr VND</t>
        </is>
      </c>
      <c r="C25" s="12">
        <f>salary_dev*12*(1+salary_escalation)^0*(1+bhxh_rate)</f>
        <v/>
      </c>
      <c r="D25" s="12">
        <f>salary_dev*12*(1+salary_escalation)^0*(1+bhxh_rate)</f>
        <v/>
      </c>
      <c r="E25" s="12">
        <f>salary_dev*12*(1+salary_escalation)^0*(1+bhxh_rate)</f>
        <v/>
      </c>
      <c r="F25" s="12">
        <f>salary_dev*12*(1+salary_escalation)^0*(1+bhxh_rate)</f>
        <v/>
      </c>
      <c r="G25" s="12">
        <f>salary_dev*12*(1+salary_escalation)^0*(1+bhxh_rate)</f>
        <v/>
      </c>
      <c r="H25" s="12">
        <f>salary_dev*12*(1+salary_escalation)^0*(1+bhxh_rate)</f>
        <v/>
      </c>
      <c r="I25" s="11">
        <f>SUM(C25:H25)</f>
        <v/>
      </c>
    </row>
    <row r="26">
      <c r="A26" s="6" t="inlineStr">
        <is>
          <t xml:space="preserve">  NS — VHKD(2)</t>
        </is>
      </c>
      <c r="B26" s="6" t="inlineStr">
        <is>
          <t>Tr VND</t>
        </is>
      </c>
      <c r="C26" s="12">
        <f>salary_bizops*2*(1+salary_escalation)^0*(1+bhxh_rate)</f>
        <v/>
      </c>
      <c r="D26" s="12">
        <f>salary_bizops*2*(1+salary_escalation)^0*(1+bhxh_rate)</f>
        <v/>
      </c>
      <c r="E26" s="12">
        <f>salary_bizops*2*(1+salary_escalation)^0*(1+bhxh_rate)</f>
        <v/>
      </c>
      <c r="F26" s="12">
        <f>salary_bizops*2*(1+salary_escalation)^0*(1+bhxh_rate)</f>
        <v/>
      </c>
      <c r="G26" s="12">
        <f>salary_bizops*2*(1+salary_escalation)^0*(1+bhxh_rate)</f>
        <v/>
      </c>
      <c r="H26" s="12">
        <f>salary_bizops*2*(1+salary_escalation)^0*(1+bhxh_rate)</f>
        <v/>
      </c>
      <c r="I26" s="11">
        <f>SUM(C26:H26)</f>
        <v/>
      </c>
    </row>
    <row r="27">
      <c r="A27" s="6" t="inlineStr">
        <is>
          <t xml:space="preserve">  Tuyển dụng</t>
        </is>
      </c>
      <c r="B27" s="6" t="inlineStr">
        <is>
          <t>Tr VND</t>
        </is>
      </c>
      <c r="C27" s="12">
        <f>16*30*12*recruit_cost_pct</f>
        <v/>
      </c>
      <c r="D27" s="12">
        <f>0</f>
        <v/>
      </c>
      <c r="E27" s="12">
        <f>0</f>
        <v/>
      </c>
      <c r="F27" s="12">
        <f>0</f>
        <v/>
      </c>
      <c r="G27" s="12">
        <f>0</f>
        <v/>
      </c>
      <c r="H27" s="12">
        <f>0</f>
        <v/>
      </c>
      <c r="I27" s="11">
        <f>SUM(C27:H27)</f>
        <v/>
      </c>
    </row>
    <row r="28">
      <c r="A28" s="6" t="inlineStr">
        <is>
          <t xml:space="preserve">  Marketing</t>
        </is>
      </c>
      <c r="B28" s="6" t="inlineStr">
        <is>
          <t>Tr VND</t>
        </is>
      </c>
      <c r="C28" s="12">
        <f>opex_marketing*(1+marketing_growth)^0/12</f>
        <v/>
      </c>
      <c r="D28" s="12">
        <f>opex_marketing*(1+marketing_growth)^0/12</f>
        <v/>
      </c>
      <c r="E28" s="12">
        <f>opex_marketing*(1+marketing_growth)^0/12</f>
        <v/>
      </c>
      <c r="F28" s="12">
        <f>opex_marketing*(1+marketing_growth)^0/12</f>
        <v/>
      </c>
      <c r="G28" s="12">
        <f>opex_marketing*(1+marketing_growth)^0/12</f>
        <v/>
      </c>
      <c r="H28" s="12">
        <f>opex_marketing*(1+marketing_growth)^0/12</f>
        <v/>
      </c>
      <c r="I28" s="11">
        <f>SUM(C28:H28)</f>
        <v/>
      </c>
    </row>
    <row r="29">
      <c r="A29" s="6" t="inlineStr">
        <is>
          <t xml:space="preserve">  Thương hiệu</t>
        </is>
      </c>
      <c r="B29" s="6" t="inlineStr">
        <is>
          <t>Tr VND</t>
        </is>
      </c>
      <c r="C29" s="12">
        <f>opex_branding/12</f>
        <v/>
      </c>
      <c r="D29" s="12">
        <f>opex_branding/12</f>
        <v/>
      </c>
      <c r="E29" s="12">
        <f>opex_branding/12</f>
        <v/>
      </c>
      <c r="F29" s="12">
        <f>opex_branding/12</f>
        <v/>
      </c>
      <c r="G29" s="12">
        <f>opex_branding/12</f>
        <v/>
      </c>
      <c r="H29" s="12">
        <f>opex_branding/12</f>
        <v/>
      </c>
      <c r="I29" s="11">
        <f>SUM(C29:H29)</f>
        <v/>
      </c>
    </row>
    <row r="30">
      <c r="A30" s="6" t="inlineStr">
        <is>
          <t xml:space="preserve">  Cloud</t>
        </is>
      </c>
      <c r="B30" s="6" t="inlineStr">
        <is>
          <t>Tr VND</t>
        </is>
      </c>
      <c r="C30" s="12">
        <f>opex_cloud_base/12</f>
        <v/>
      </c>
      <c r="D30" s="12">
        <f>opex_cloud_base/12</f>
        <v/>
      </c>
      <c r="E30" s="12">
        <f>opex_cloud_base/12</f>
        <v/>
      </c>
      <c r="F30" s="12">
        <f>opex_cloud_base/12</f>
        <v/>
      </c>
      <c r="G30" s="12">
        <f>opex_cloud_base/12</f>
        <v/>
      </c>
      <c r="H30" s="12">
        <f>opex_cloud_base/12</f>
        <v/>
      </c>
      <c r="I30" s="11">
        <f>SUM(C30:H30)</f>
        <v/>
      </c>
    </row>
    <row r="31">
      <c r="A31" s="6" t="inlineStr">
        <is>
          <t xml:space="preserve">  Bảo mật</t>
        </is>
      </c>
      <c r="B31" s="6" t="inlineStr">
        <is>
          <t>Tr VND</t>
        </is>
      </c>
      <c r="C31" s="12">
        <f>opex_security/12</f>
        <v/>
      </c>
      <c r="D31" s="12">
        <f>opex_security/12</f>
        <v/>
      </c>
      <c r="E31" s="12">
        <f>opex_security/12</f>
        <v/>
      </c>
      <c r="F31" s="12">
        <f>opex_security/12</f>
        <v/>
      </c>
      <c r="G31" s="12">
        <f>opex_security/12</f>
        <v/>
      </c>
      <c r="H31" s="12">
        <f>opex_security/12</f>
        <v/>
      </c>
      <c r="I31" s="11">
        <f>SUM(C31:H31)</f>
        <v/>
      </c>
    </row>
    <row r="32">
      <c r="A32" s="6" t="inlineStr">
        <is>
          <t xml:space="preserve">  Đối ngoại</t>
        </is>
      </c>
      <c r="B32" s="6" t="inlineStr">
        <is>
          <t>Tr VND</t>
        </is>
      </c>
      <c r="C32" s="12">
        <f>opex_external/12</f>
        <v/>
      </c>
      <c r="D32" s="12">
        <f>opex_external/12</f>
        <v/>
      </c>
      <c r="E32" s="12">
        <f>opex_external/12</f>
        <v/>
      </c>
      <c r="F32" s="12">
        <f>opex_external/12</f>
        <v/>
      </c>
      <c r="G32" s="12">
        <f>opex_external/12</f>
        <v/>
      </c>
      <c r="H32" s="12">
        <f>opex_external/12</f>
        <v/>
      </c>
      <c r="I32" s="11">
        <f>SUM(C32:H32)</f>
        <v/>
      </c>
    </row>
    <row r="33">
      <c r="A33" s="6" t="inlineStr">
        <is>
          <t xml:space="preserve">  Pháp lý</t>
        </is>
      </c>
      <c r="B33" s="6" t="inlineStr">
        <is>
          <t>Tr VND</t>
        </is>
      </c>
      <c r="C33" s="12">
        <f>opex_legal/12</f>
        <v/>
      </c>
      <c r="D33" s="12">
        <f>opex_legal/12</f>
        <v/>
      </c>
      <c r="E33" s="12">
        <f>opex_legal/12</f>
        <v/>
      </c>
      <c r="F33" s="12">
        <f>opex_legal/12</f>
        <v/>
      </c>
      <c r="G33" s="12">
        <f>opex_legal/12</f>
        <v/>
      </c>
      <c r="H33" s="12">
        <f>opex_legal/12</f>
        <v/>
      </c>
      <c r="I33" s="11">
        <f>SUM(C33:H33)</f>
        <v/>
      </c>
    </row>
    <row r="34">
      <c r="A34" s="6" t="inlineStr">
        <is>
          <t xml:space="preserve">  Đối tác</t>
        </is>
      </c>
      <c r="B34" s="6" t="inlineStr">
        <is>
          <t>Tr VND</t>
        </is>
      </c>
      <c r="C34" s="12">
        <f>opex_partner_mgmt/12</f>
        <v/>
      </c>
      <c r="D34" s="12">
        <f>opex_partner_mgmt/12</f>
        <v/>
      </c>
      <c r="E34" s="12">
        <f>opex_partner_mgmt/12</f>
        <v/>
      </c>
      <c r="F34" s="12">
        <f>opex_partner_mgmt/12</f>
        <v/>
      </c>
      <c r="G34" s="12">
        <f>opex_partner_mgmt/12</f>
        <v/>
      </c>
      <c r="H34" s="12">
        <f>opex_partner_mgmt/12</f>
        <v/>
      </c>
      <c r="I34" s="11">
        <f>SUM(C34:H34)</f>
        <v/>
      </c>
    </row>
    <row r="35">
      <c r="A35" s="6" t="inlineStr">
        <is>
          <t xml:space="preserve">  Thí điểm</t>
        </is>
      </c>
      <c r="B35" s="6" t="inlineStr">
        <is>
          <t>Tr VND</t>
        </is>
      </c>
      <c r="C35" s="12">
        <f>opex_pilot_eval/6</f>
        <v/>
      </c>
      <c r="D35" s="12">
        <f>opex_pilot_eval/6</f>
        <v/>
      </c>
      <c r="E35" s="12">
        <f>opex_pilot_eval/6</f>
        <v/>
      </c>
      <c r="F35" s="12">
        <f>opex_pilot_eval/6</f>
        <v/>
      </c>
      <c r="G35" s="12">
        <f>opex_pilot_eval/6</f>
        <v/>
      </c>
      <c r="H35" s="12">
        <f>opex_pilot_eval/6</f>
        <v/>
      </c>
      <c r="I35" s="11">
        <f>SUM(C35:H35)</f>
        <v/>
      </c>
    </row>
    <row r="36">
      <c r="A36" s="6" t="inlineStr">
        <is>
          <t xml:space="preserve">  Hỗ trợ KH</t>
        </is>
      </c>
      <c r="B36" s="6" t="inlineStr">
        <is>
          <t>Tr VND</t>
        </is>
      </c>
      <c r="C36" s="12">
        <f>MAX(pilot_count,adoption_max/(1+EXP(-adoption_steepness*(2025.542-adoption_midpoint))))*opex_support_per_ent/12</f>
        <v/>
      </c>
      <c r="D36" s="12">
        <f>MAX(pilot_count,adoption_max/(1+EXP(-adoption_steepness*(2025.625-adoption_midpoint))))*opex_support_per_ent/12</f>
        <v/>
      </c>
      <c r="E36" s="12">
        <f>MAX(pilot_count,adoption_max/(1+EXP(-adoption_steepness*(2025.708-adoption_midpoint))))*opex_support_per_ent/12</f>
        <v/>
      </c>
      <c r="F36" s="12">
        <f>MAX(pilot_count,adoption_max/(1+EXP(-adoption_steepness*(2025.792-adoption_midpoint))))*opex_support_per_ent/12</f>
        <v/>
      </c>
      <c r="G36" s="12">
        <f>MAX(pilot_count,adoption_max/(1+EXP(-adoption_steepness*(2025.875-adoption_midpoint))))*opex_support_per_ent/12</f>
        <v/>
      </c>
      <c r="H36" s="12">
        <f>MAX(pilot_count,adoption_max/(1+EXP(-adoption_steepness*(2025.958-adoption_midpoint))))*opex_support_per_ent/12</f>
        <v/>
      </c>
      <c r="I36" s="11">
        <f>SUM(C36:H36)</f>
        <v/>
      </c>
    </row>
    <row r="37">
      <c r="A37" s="6" t="inlineStr">
        <is>
          <t>OPEX cộng dồn</t>
        </is>
      </c>
      <c r="C37" s="11">
        <f>SUM(C24:C36)</f>
        <v/>
      </c>
      <c r="D37" s="11">
        <f>SUM(D24:D36)</f>
        <v/>
      </c>
      <c r="E37" s="11">
        <f>SUM(E24:E36)</f>
        <v/>
      </c>
      <c r="F37" s="11">
        <f>SUM(F24:F36)</f>
        <v/>
      </c>
      <c r="G37" s="11">
        <f>SUM(G24:G36)</f>
        <v/>
      </c>
      <c r="H37" s="11">
        <f>SUM(H24:H36)</f>
        <v/>
      </c>
      <c r="I37" s="11">
        <f>SUM(C37:H37)</f>
        <v/>
      </c>
    </row>
    <row r="38">
      <c r="A38" s="6" t="inlineStr">
        <is>
          <t xml:space="preserve">  Dự phòng</t>
        </is>
      </c>
      <c r="B38" s="6" t="inlineStr">
        <is>
          <t>Tr VND</t>
        </is>
      </c>
      <c r="C38" s="12">
        <f>C37*opex_contingency_pct</f>
        <v/>
      </c>
      <c r="D38" s="12">
        <f>D37*opex_contingency_pct</f>
        <v/>
      </c>
      <c r="E38" s="12">
        <f>E37*opex_contingency_pct</f>
        <v/>
      </c>
      <c r="F38" s="12">
        <f>F37*opex_contingency_pct</f>
        <v/>
      </c>
      <c r="G38" s="12">
        <f>G37*opex_contingency_pct</f>
        <v/>
      </c>
      <c r="H38" s="12">
        <f>H37*opex_contingency_pct</f>
        <v/>
      </c>
      <c r="I38" s="11">
        <f>SUM(C38:H38)</f>
        <v/>
      </c>
    </row>
    <row r="39">
      <c r="A39" s="6" t="inlineStr">
        <is>
          <t>TỔNG OPEX</t>
        </is>
      </c>
      <c r="C39" s="11">
        <f>C37+C38</f>
        <v/>
      </c>
      <c r="D39" s="11">
        <f>D37+D38</f>
        <v/>
      </c>
      <c r="E39" s="11">
        <f>E37+E38</f>
        <v/>
      </c>
      <c r="F39" s="11">
        <f>F37+F38</f>
        <v/>
      </c>
      <c r="G39" s="11">
        <f>G37+G38</f>
        <v/>
      </c>
      <c r="H39" s="11">
        <f>H37+H38</f>
        <v/>
      </c>
      <c r="I39" s="11">
        <f>SUM(C39:H39)</f>
        <v/>
      </c>
    </row>
    <row r="41">
      <c r="A41" s="3" t="inlineStr">
        <is>
          <t>TỔNG KẾT</t>
        </is>
      </c>
      <c r="C41" s="13" t="n"/>
      <c r="D41" s="13" t="n"/>
      <c r="E41" s="13" t="n"/>
      <c r="F41" s="13" t="n"/>
      <c r="G41" s="13" t="n"/>
      <c r="H41" s="13" t="n"/>
      <c r="I41" s="13" t="n"/>
    </row>
    <row r="42">
      <c r="A42" s="6" t="inlineStr">
        <is>
          <t>Doanh thu</t>
        </is>
      </c>
      <c r="C42" s="12">
        <f>C8</f>
        <v/>
      </c>
      <c r="D42" s="12">
        <f>D8</f>
        <v/>
      </c>
      <c r="E42" s="12">
        <f>E8</f>
        <v/>
      </c>
      <c r="F42" s="12">
        <f>F8</f>
        <v/>
      </c>
      <c r="G42" s="12">
        <f>G8</f>
        <v/>
      </c>
      <c r="H42" s="12">
        <f>H8</f>
        <v/>
      </c>
      <c r="I42" s="11">
        <f>SUM(C42:H42)</f>
        <v/>
      </c>
    </row>
    <row r="43">
      <c r="A43" s="6" t="inlineStr">
        <is>
          <t>CAPEX</t>
        </is>
      </c>
      <c r="C43" s="12">
        <f>C21</f>
        <v/>
      </c>
      <c r="D43" s="12">
        <f>D21</f>
        <v/>
      </c>
      <c r="E43" s="12">
        <f>E21</f>
        <v/>
      </c>
      <c r="F43" s="12">
        <f>F21</f>
        <v/>
      </c>
      <c r="G43" s="12">
        <f>G21</f>
        <v/>
      </c>
      <c r="H43" s="12">
        <f>H21</f>
        <v/>
      </c>
      <c r="I43" s="11">
        <f>SUM(C43:H43)</f>
        <v/>
      </c>
    </row>
    <row r="44">
      <c r="A44" s="6" t="inlineStr">
        <is>
          <t>OPEX</t>
        </is>
      </c>
      <c r="C44" s="12">
        <f>C39</f>
        <v/>
      </c>
      <c r="D44" s="12">
        <f>D39</f>
        <v/>
      </c>
      <c r="E44" s="12">
        <f>E39</f>
        <v/>
      </c>
      <c r="F44" s="12">
        <f>F39</f>
        <v/>
      </c>
      <c r="G44" s="12">
        <f>G39</f>
        <v/>
      </c>
      <c r="H44" s="12">
        <f>H39</f>
        <v/>
      </c>
      <c r="I44" s="11">
        <f>SUM(C44:H44)</f>
        <v/>
      </c>
    </row>
    <row r="45">
      <c r="A45" s="6" t="inlineStr">
        <is>
          <t>TỔNG NGÂN SÁCH</t>
        </is>
      </c>
      <c r="C45" s="11">
        <f>C43+C44</f>
        <v/>
      </c>
      <c r="D45" s="11">
        <f>D43+D44</f>
        <v/>
      </c>
      <c r="E45" s="11">
        <f>E43+E44</f>
        <v/>
      </c>
      <c r="F45" s="11">
        <f>F43+F44</f>
        <v/>
      </c>
      <c r="G45" s="11">
        <f>G43+G44</f>
        <v/>
      </c>
      <c r="H45" s="11">
        <f>H43+H44</f>
        <v/>
      </c>
      <c r="I45" s="11">
        <f>SUM(C45:H45)</f>
        <v/>
      </c>
    </row>
    <row r="46">
      <c r="A46" s="6" t="inlineStr">
        <is>
          <t>RÒNG (DT - Ngân sách)</t>
        </is>
      </c>
      <c r="C46" s="11">
        <f>C42-C45</f>
        <v/>
      </c>
      <c r="D46" s="11">
        <f>D42-D45</f>
        <v/>
      </c>
      <c r="E46" s="11">
        <f>E42-E45</f>
        <v/>
      </c>
      <c r="F46" s="11">
        <f>F42-F45</f>
        <v/>
      </c>
      <c r="G46" s="11">
        <f>G42-G45</f>
        <v/>
      </c>
      <c r="H46" s="11">
        <f>H42-H45</f>
        <v/>
      </c>
      <c r="I46" s="11">
        <f>SUM(C46:H46)</f>
        <v/>
      </c>
    </row>
    <row r="47">
      <c r="A47" s="6" t="inlineStr">
        <is>
          <t>Lũy kế</t>
        </is>
      </c>
      <c r="C47" s="12">
        <f>C46</f>
        <v/>
      </c>
      <c r="D47" s="12">
        <f>C47+D46</f>
        <v/>
      </c>
      <c r="E47" s="12">
        <f>D47+E46</f>
        <v/>
      </c>
      <c r="F47" s="12">
        <f>E47+F46</f>
        <v/>
      </c>
      <c r="G47" s="12">
        <f>F47+G46</f>
        <v/>
      </c>
      <c r="H47" s="12">
        <f>G47+H46</f>
        <v/>
      </c>
      <c r="I47" s="11">
        <f>H47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>
      <c r="A1" s="3" t="inlineStr">
        <is>
          <t>NGÂN SÁCH 2026 (Tr VND)</t>
        </is>
      </c>
    </row>
    <row r="3">
      <c r="A3" s="5" t="inlineStr">
        <is>
          <t>Hạng mục</t>
        </is>
      </c>
      <c r="B3" s="5" t="inlineStr">
        <is>
          <t>ĐVT</t>
        </is>
      </c>
      <c r="C3" s="5" t="inlineStr">
        <is>
          <t>Th1</t>
        </is>
      </c>
      <c r="D3" s="5" t="inlineStr">
        <is>
          <t>Th2</t>
        </is>
      </c>
      <c r="E3" s="5" t="inlineStr">
        <is>
          <t>Th3</t>
        </is>
      </c>
      <c r="F3" s="5" t="inlineStr">
        <is>
          <t>Th4</t>
        </is>
      </c>
      <c r="G3" s="5" t="inlineStr">
        <is>
          <t>Th5</t>
        </is>
      </c>
      <c r="H3" s="5" t="inlineStr">
        <is>
          <t>Th6</t>
        </is>
      </c>
      <c r="I3" s="5" t="inlineStr">
        <is>
          <t>Th7</t>
        </is>
      </c>
      <c r="J3" s="5" t="inlineStr">
        <is>
          <t>Th8</t>
        </is>
      </c>
      <c r="K3" s="5" t="inlineStr">
        <is>
          <t>Th9</t>
        </is>
      </c>
      <c r="L3" s="5" t="inlineStr">
        <is>
          <t>Th10</t>
        </is>
      </c>
      <c r="M3" s="5" t="inlineStr">
        <is>
          <t>Th11</t>
        </is>
      </c>
      <c r="N3" s="5" t="inlineStr">
        <is>
          <t>Th12</t>
        </is>
      </c>
      <c r="O3" s="5" t="inlineStr">
        <is>
          <t>TỔNG</t>
        </is>
      </c>
    </row>
    <row r="4">
      <c r="A4" s="3" t="inlineStr">
        <is>
          <t>DOANH THU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</row>
    <row r="5">
      <c r="A5" s="6" t="inlineStr">
        <is>
          <t xml:space="preserve">  Phí chứng nhận</t>
        </is>
      </c>
      <c r="B5" s="6" t="inlineStr">
        <is>
          <t>Tr VND</t>
        </is>
      </c>
      <c r="C5" s="12">
        <f>MAX(pilot_count,adoption_max/(1+EXP(-adoption_steepness*(2026.042-adoption_midpoint))))*cert_fee_yr1*(1+cert_fee_escalation)^1/12</f>
        <v/>
      </c>
      <c r="D5" s="12">
        <f>MAX(pilot_count,adoption_max/(1+EXP(-adoption_steepness*(2026.125-adoption_midpoint))))*cert_fee_yr1*(1+cert_fee_escalation)^1/12</f>
        <v/>
      </c>
      <c r="E5" s="12">
        <f>MAX(pilot_count,adoption_max/(1+EXP(-adoption_steepness*(2026.208-adoption_midpoint))))*cert_fee_yr1*(1+cert_fee_escalation)^1/12</f>
        <v/>
      </c>
      <c r="F5" s="12">
        <f>MAX(pilot_count,adoption_max/(1+EXP(-adoption_steepness*(2026.292-adoption_midpoint))))*cert_fee_yr1*(1+cert_fee_escalation)^1/12</f>
        <v/>
      </c>
      <c r="G5" s="12">
        <f>MAX(pilot_count,adoption_max/(1+EXP(-adoption_steepness*(2026.375-adoption_midpoint))))*cert_fee_yr1*(1+cert_fee_escalation)^1/12</f>
        <v/>
      </c>
      <c r="H5" s="12">
        <f>MAX(pilot_count,adoption_max/(1+EXP(-adoption_steepness*(2026.458-adoption_midpoint))))*cert_fee_yr1*(1+cert_fee_escalation)^1/12</f>
        <v/>
      </c>
      <c r="I5" s="12">
        <f>MAX(pilot_count,adoption_max/(1+EXP(-adoption_steepness*(2026.542-adoption_midpoint))))*cert_fee_yr1*(1+cert_fee_escalation)^1/12</f>
        <v/>
      </c>
      <c r="J5" s="12">
        <f>MAX(pilot_count,adoption_max/(1+EXP(-adoption_steepness*(2026.625-adoption_midpoint))))*cert_fee_yr1*(1+cert_fee_escalation)^1/12</f>
        <v/>
      </c>
      <c r="K5" s="12">
        <f>MAX(pilot_count,adoption_max/(1+EXP(-adoption_steepness*(2026.708-adoption_midpoint))))*cert_fee_yr1*(1+cert_fee_escalation)^1/12</f>
        <v/>
      </c>
      <c r="L5" s="12">
        <f>MAX(pilot_count,adoption_max/(1+EXP(-adoption_steepness*(2026.792-adoption_midpoint))))*cert_fee_yr1*(1+cert_fee_escalation)^1/12</f>
        <v/>
      </c>
      <c r="M5" s="12">
        <f>MAX(pilot_count,adoption_max/(1+EXP(-adoption_steepness*(2026.875-adoption_midpoint))))*cert_fee_yr1*(1+cert_fee_escalation)^1/12</f>
        <v/>
      </c>
      <c r="N5" s="12">
        <f>MAX(pilot_count,adoption_max/(1+EXP(-adoption_steepness*(2026.958-adoption_midpoint))))*cert_fee_yr1*(1+cert_fee_escalation)^1/12</f>
        <v/>
      </c>
      <c r="O5" s="11">
        <f>SUM(C5:N5)</f>
        <v/>
      </c>
    </row>
    <row r="6">
      <c r="A6" s="6" t="inlineStr">
        <is>
          <t xml:space="preserve">  Đào tạo</t>
        </is>
      </c>
      <c r="B6" s="6" t="inlineStr">
        <is>
          <t>Tr VND</t>
        </is>
      </c>
      <c r="C6" s="12">
        <f>MAX(pilot_count,adoption_max/(1+EXP(-adoption_steepness*(2026.042-adoption_midpoint))))*training_pct*training_fee/12</f>
        <v/>
      </c>
      <c r="D6" s="12">
        <f>MAX(pilot_count,adoption_max/(1+EXP(-adoption_steepness*(2026.125-adoption_midpoint))))*training_pct*training_fee/12</f>
        <v/>
      </c>
      <c r="E6" s="12">
        <f>MAX(pilot_count,adoption_max/(1+EXP(-adoption_steepness*(2026.208-adoption_midpoint))))*training_pct*training_fee/12</f>
        <v/>
      </c>
      <c r="F6" s="12">
        <f>MAX(pilot_count,adoption_max/(1+EXP(-adoption_steepness*(2026.292-adoption_midpoint))))*training_pct*training_fee/12</f>
        <v/>
      </c>
      <c r="G6" s="12">
        <f>MAX(pilot_count,adoption_max/(1+EXP(-adoption_steepness*(2026.375-adoption_midpoint))))*training_pct*training_fee/12</f>
        <v/>
      </c>
      <c r="H6" s="12">
        <f>MAX(pilot_count,adoption_max/(1+EXP(-adoption_steepness*(2026.458-adoption_midpoint))))*training_pct*training_fee/12</f>
        <v/>
      </c>
      <c r="I6" s="12">
        <f>MAX(pilot_count,adoption_max/(1+EXP(-adoption_steepness*(2026.542-adoption_midpoint))))*training_pct*training_fee/12</f>
        <v/>
      </c>
      <c r="J6" s="12">
        <f>MAX(pilot_count,adoption_max/(1+EXP(-adoption_steepness*(2026.625-adoption_midpoint))))*training_pct*training_fee/12</f>
        <v/>
      </c>
      <c r="K6" s="12">
        <f>MAX(pilot_count,adoption_max/(1+EXP(-adoption_steepness*(2026.708-adoption_midpoint))))*training_pct*training_fee/12</f>
        <v/>
      </c>
      <c r="L6" s="12">
        <f>MAX(pilot_count,adoption_max/(1+EXP(-adoption_steepness*(2026.792-adoption_midpoint))))*training_pct*training_fee/12</f>
        <v/>
      </c>
      <c r="M6" s="12">
        <f>MAX(pilot_count,adoption_max/(1+EXP(-adoption_steepness*(2026.875-adoption_midpoint))))*training_pct*training_fee/12</f>
        <v/>
      </c>
      <c r="N6" s="12">
        <f>MAX(pilot_count,adoption_max/(1+EXP(-adoption_steepness*(2026.958-adoption_midpoint))))*training_pct*training_fee/12</f>
        <v/>
      </c>
      <c r="O6" s="11">
        <f>SUM(C6:N6)</f>
        <v/>
      </c>
    </row>
    <row r="7">
      <c r="A7" s="6" t="inlineStr">
        <is>
          <t xml:space="preserve">  Kiểm toán</t>
        </is>
      </c>
      <c r="B7" s="6" t="inlineStr">
        <is>
          <t>Tr VND</t>
        </is>
      </c>
      <c r="C7" s="12">
        <f>MAX(pilot_count,adoption_max/(1+EXP(-adoption_steepness*(2026.042-adoption_midpoint))))*audit_fee/12</f>
        <v/>
      </c>
      <c r="D7" s="12">
        <f>MAX(pilot_count,adoption_max/(1+EXP(-adoption_steepness*(2026.125-adoption_midpoint))))*audit_fee/12</f>
        <v/>
      </c>
      <c r="E7" s="12">
        <f>MAX(pilot_count,adoption_max/(1+EXP(-adoption_steepness*(2026.208-adoption_midpoint))))*audit_fee/12</f>
        <v/>
      </c>
      <c r="F7" s="12">
        <f>MAX(pilot_count,adoption_max/(1+EXP(-adoption_steepness*(2026.292-adoption_midpoint))))*audit_fee/12</f>
        <v/>
      </c>
      <c r="G7" s="12">
        <f>MAX(pilot_count,adoption_max/(1+EXP(-adoption_steepness*(2026.375-adoption_midpoint))))*audit_fee/12</f>
        <v/>
      </c>
      <c r="H7" s="12">
        <f>MAX(pilot_count,adoption_max/(1+EXP(-adoption_steepness*(2026.458-adoption_midpoint))))*audit_fee/12</f>
        <v/>
      </c>
      <c r="I7" s="12">
        <f>MAX(pilot_count,adoption_max/(1+EXP(-adoption_steepness*(2026.542-adoption_midpoint))))*audit_fee/12</f>
        <v/>
      </c>
      <c r="J7" s="12">
        <f>MAX(pilot_count,adoption_max/(1+EXP(-adoption_steepness*(2026.625-adoption_midpoint))))*audit_fee/12</f>
        <v/>
      </c>
      <c r="K7" s="12">
        <f>MAX(pilot_count,adoption_max/(1+EXP(-adoption_steepness*(2026.708-adoption_midpoint))))*audit_fee/12</f>
        <v/>
      </c>
      <c r="L7" s="12">
        <f>MAX(pilot_count,adoption_max/(1+EXP(-adoption_steepness*(2026.792-adoption_midpoint))))*audit_fee/12</f>
        <v/>
      </c>
      <c r="M7" s="12">
        <f>MAX(pilot_count,adoption_max/(1+EXP(-adoption_steepness*(2026.875-adoption_midpoint))))*audit_fee/12</f>
        <v/>
      </c>
      <c r="N7" s="12">
        <f>MAX(pilot_count,adoption_max/(1+EXP(-adoption_steepness*(2026.958-adoption_midpoint))))*audit_fee/12</f>
        <v/>
      </c>
      <c r="O7" s="11">
        <f>SUM(C7:N7)</f>
        <v/>
      </c>
    </row>
    <row r="8">
      <c r="A8" s="6" t="inlineStr">
        <is>
          <t>TỔNG DOANH THU</t>
        </is>
      </c>
      <c r="C8" s="11">
        <f>SUM(C5:C7)</f>
        <v/>
      </c>
      <c r="D8" s="11">
        <f>SUM(D5:D7)</f>
        <v/>
      </c>
      <c r="E8" s="11">
        <f>SUM(E5:E7)</f>
        <v/>
      </c>
      <c r="F8" s="11">
        <f>SUM(F5:F7)</f>
        <v/>
      </c>
      <c r="G8" s="11">
        <f>SUM(G5:G7)</f>
        <v/>
      </c>
      <c r="H8" s="11">
        <f>SUM(H5:H7)</f>
        <v/>
      </c>
      <c r="I8" s="11">
        <f>SUM(I5:I7)</f>
        <v/>
      </c>
      <c r="J8" s="11">
        <f>SUM(J5:J7)</f>
        <v/>
      </c>
      <c r="K8" s="11">
        <f>SUM(K5:K7)</f>
        <v/>
      </c>
      <c r="L8" s="11">
        <f>SUM(L5:L7)</f>
        <v/>
      </c>
      <c r="M8" s="11">
        <f>SUM(M5:M7)</f>
        <v/>
      </c>
      <c r="N8" s="11">
        <f>SUM(N5:N7)</f>
        <v/>
      </c>
      <c r="O8" s="11">
        <f>SUM(C8:N8)</f>
        <v/>
      </c>
    </row>
    <row r="10">
      <c r="A10" s="3" t="inlineStr">
        <is>
          <t>CAPEX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6" t="inlineStr">
        <is>
          <t xml:space="preserve">  Bảo trì</t>
        </is>
      </c>
      <c r="B11" s="6" t="inlineStr">
        <is>
          <t>Tr VND</t>
        </is>
      </c>
      <c r="C11" s="12">
        <f>capex_total*capex_maintenance_pct/12</f>
        <v/>
      </c>
      <c r="D11" s="12">
        <f>capex_total*capex_maintenance_pct/12</f>
        <v/>
      </c>
      <c r="E11" s="12">
        <f>capex_total*capex_maintenance_pct/12</f>
        <v/>
      </c>
      <c r="F11" s="12">
        <f>capex_total*capex_maintenance_pct/12</f>
        <v/>
      </c>
      <c r="G11" s="12">
        <f>capex_total*capex_maintenance_pct/12</f>
        <v/>
      </c>
      <c r="H11" s="12">
        <f>capex_total*capex_maintenance_pct/12</f>
        <v/>
      </c>
      <c r="I11" s="12">
        <f>capex_total*capex_maintenance_pct/12</f>
        <v/>
      </c>
      <c r="J11" s="12">
        <f>capex_total*capex_maintenance_pct/12</f>
        <v/>
      </c>
      <c r="K11" s="12">
        <f>capex_total*capex_maintenance_pct/12</f>
        <v/>
      </c>
      <c r="L11" s="12">
        <f>capex_total*capex_maintenance_pct/12</f>
        <v/>
      </c>
      <c r="M11" s="12">
        <f>capex_total*capex_maintenance_pct/12</f>
        <v/>
      </c>
      <c r="N11" s="12">
        <f>capex_total*capex_maintenance_pct/12</f>
        <v/>
      </c>
      <c r="O11" s="11">
        <f>SUM(C11:N11)</f>
        <v/>
      </c>
    </row>
    <row r="12">
      <c r="A12" s="6" t="inlineStr">
        <is>
          <t>TỔNG CAPEX</t>
        </is>
      </c>
      <c r="C12" s="11">
        <f>SUM(C11:C11)</f>
        <v/>
      </c>
      <c r="D12" s="11">
        <f>SUM(D11:D11)</f>
        <v/>
      </c>
      <c r="E12" s="11">
        <f>SUM(E11:E11)</f>
        <v/>
      </c>
      <c r="F12" s="11">
        <f>SUM(F11:F11)</f>
        <v/>
      </c>
      <c r="G12" s="11">
        <f>SUM(G11:G11)</f>
        <v/>
      </c>
      <c r="H12" s="11">
        <f>SUM(H11:H11)</f>
        <v/>
      </c>
      <c r="I12" s="11">
        <f>SUM(I11:I11)</f>
        <v/>
      </c>
      <c r="J12" s="11">
        <f>SUM(J11:J11)</f>
        <v/>
      </c>
      <c r="K12" s="11">
        <f>SUM(K11:K11)</f>
        <v/>
      </c>
      <c r="L12" s="11">
        <f>SUM(L11:L11)</f>
        <v/>
      </c>
      <c r="M12" s="11">
        <f>SUM(M11:M11)</f>
        <v/>
      </c>
      <c r="N12" s="11">
        <f>SUM(N11:N11)</f>
        <v/>
      </c>
      <c r="O12" s="11">
        <f>SUM(C12:N12)</f>
        <v/>
      </c>
    </row>
    <row r="14">
      <c r="A14" s="3" t="inlineStr">
        <is>
          <t>OPEX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6" t="inlineStr">
        <is>
          <t xml:space="preserve">  NS — QL(2)</t>
        </is>
      </c>
      <c r="B15" s="6" t="inlineStr">
        <is>
          <t>Tr VND</t>
        </is>
      </c>
      <c r="C15" s="12">
        <f>salary_mgmt*2*(1+salary_escalation)^1*(1+bhxh_rate)</f>
        <v/>
      </c>
      <c r="D15" s="12">
        <f>salary_mgmt*2*(1+salary_escalation)^1*(1+bhxh_rate)</f>
        <v/>
      </c>
      <c r="E15" s="12">
        <f>salary_mgmt*2*(1+salary_escalation)^1*(1+bhxh_rate)</f>
        <v/>
      </c>
      <c r="F15" s="12">
        <f>salary_mgmt*2*(1+salary_escalation)^1*(1+bhxh_rate)</f>
        <v/>
      </c>
      <c r="G15" s="12">
        <f>salary_mgmt*2*(1+salary_escalation)^1*(1+bhxh_rate)</f>
        <v/>
      </c>
      <c r="H15" s="12">
        <f>salary_mgmt*2*(1+salary_escalation)^1*(1+bhxh_rate)</f>
        <v/>
      </c>
      <c r="I15" s="12">
        <f>salary_mgmt*2*(1+salary_escalation)^1*(1+bhxh_rate)</f>
        <v/>
      </c>
      <c r="J15" s="12">
        <f>salary_mgmt*2*(1+salary_escalation)^1*(1+bhxh_rate)</f>
        <v/>
      </c>
      <c r="K15" s="12">
        <f>salary_mgmt*2*(1+salary_escalation)^1*(1+bhxh_rate)</f>
        <v/>
      </c>
      <c r="L15" s="12">
        <f>salary_mgmt*2*(1+salary_escalation)^1*(1+bhxh_rate)</f>
        <v/>
      </c>
      <c r="M15" s="12">
        <f>salary_mgmt*2*(1+salary_escalation)^1*(1+bhxh_rate)</f>
        <v/>
      </c>
      <c r="N15" s="12">
        <f>salary_mgmt*2*(1+salary_escalation)^1*(1+bhxh_rate)</f>
        <v/>
      </c>
      <c r="O15" s="11">
        <f>SUM(C15:N15)</f>
        <v/>
      </c>
    </row>
    <row r="16">
      <c r="A16" s="6" t="inlineStr">
        <is>
          <t xml:space="preserve">  NS — PT(12)</t>
        </is>
      </c>
      <c r="B16" s="6" t="inlineStr">
        <is>
          <t>Tr VND</t>
        </is>
      </c>
      <c r="C16" s="12">
        <f>salary_dev*12*(1+salary_escalation)^1*(1+bhxh_rate)</f>
        <v/>
      </c>
      <c r="D16" s="12">
        <f>salary_dev*12*(1+salary_escalation)^1*(1+bhxh_rate)</f>
        <v/>
      </c>
      <c r="E16" s="12">
        <f>salary_dev*12*(1+salary_escalation)^1*(1+bhxh_rate)</f>
        <v/>
      </c>
      <c r="F16" s="12">
        <f>salary_dev*12*(1+salary_escalation)^1*(1+bhxh_rate)</f>
        <v/>
      </c>
      <c r="G16" s="12">
        <f>salary_dev*12*(1+salary_escalation)^1*(1+bhxh_rate)</f>
        <v/>
      </c>
      <c r="H16" s="12">
        <f>salary_dev*12*(1+salary_escalation)^1*(1+bhxh_rate)</f>
        <v/>
      </c>
      <c r="I16" s="12">
        <f>salary_dev*12*(1+salary_escalation)^1*(1+bhxh_rate)</f>
        <v/>
      </c>
      <c r="J16" s="12">
        <f>salary_dev*12*(1+salary_escalation)^1*(1+bhxh_rate)</f>
        <v/>
      </c>
      <c r="K16" s="12">
        <f>salary_dev*12*(1+salary_escalation)^1*(1+bhxh_rate)</f>
        <v/>
      </c>
      <c r="L16" s="12">
        <f>salary_dev*12*(1+salary_escalation)^1*(1+bhxh_rate)</f>
        <v/>
      </c>
      <c r="M16" s="12">
        <f>salary_dev*12*(1+salary_escalation)^1*(1+bhxh_rate)</f>
        <v/>
      </c>
      <c r="N16" s="12">
        <f>salary_dev*12*(1+salary_escalation)^1*(1+bhxh_rate)</f>
        <v/>
      </c>
      <c r="O16" s="11">
        <f>SUM(C16:N16)</f>
        <v/>
      </c>
    </row>
    <row r="17">
      <c r="A17" s="6" t="inlineStr">
        <is>
          <t xml:space="preserve">  NS — VHKD(6)</t>
        </is>
      </c>
      <c r="B17" s="6" t="inlineStr">
        <is>
          <t>Tr VND</t>
        </is>
      </c>
      <c r="C17" s="12">
        <f>salary_bizops*6*(1+salary_escalation)^1*(1+bhxh_rate)</f>
        <v/>
      </c>
      <c r="D17" s="12">
        <f>salary_bizops*6*(1+salary_escalation)^1*(1+bhxh_rate)</f>
        <v/>
      </c>
      <c r="E17" s="12">
        <f>salary_bizops*6*(1+salary_escalation)^1*(1+bhxh_rate)</f>
        <v/>
      </c>
      <c r="F17" s="12">
        <f>salary_bizops*6*(1+salary_escalation)^1*(1+bhxh_rate)</f>
        <v/>
      </c>
      <c r="G17" s="12">
        <f>salary_bizops*6*(1+salary_escalation)^1*(1+bhxh_rate)</f>
        <v/>
      </c>
      <c r="H17" s="12">
        <f>salary_bizops*6*(1+salary_escalation)^1*(1+bhxh_rate)</f>
        <v/>
      </c>
      <c r="I17" s="12">
        <f>salary_bizops*6*(1+salary_escalation)^1*(1+bhxh_rate)</f>
        <v/>
      </c>
      <c r="J17" s="12">
        <f>salary_bizops*6*(1+salary_escalation)^1*(1+bhxh_rate)</f>
        <v/>
      </c>
      <c r="K17" s="12">
        <f>salary_bizops*6*(1+salary_escalation)^1*(1+bhxh_rate)</f>
        <v/>
      </c>
      <c r="L17" s="12">
        <f>salary_bizops*6*(1+salary_escalation)^1*(1+bhxh_rate)</f>
        <v/>
      </c>
      <c r="M17" s="12">
        <f>salary_bizops*6*(1+salary_escalation)^1*(1+bhxh_rate)</f>
        <v/>
      </c>
      <c r="N17" s="12">
        <f>salary_bizops*6*(1+salary_escalation)^1*(1+bhxh_rate)</f>
        <v/>
      </c>
      <c r="O17" s="11">
        <f>SUM(C17:N17)</f>
        <v/>
      </c>
    </row>
    <row r="18">
      <c r="A18" s="6" t="inlineStr">
        <is>
          <t xml:space="preserve">  NS — DL(2)</t>
        </is>
      </c>
      <c r="B18" s="6" t="inlineStr">
        <is>
          <t>Tr VND</t>
        </is>
      </c>
      <c r="C18" s="12">
        <f>salary_data*2*(1+salary_escalation)^1*(1+bhxh_rate)</f>
        <v/>
      </c>
      <c r="D18" s="12">
        <f>salary_data*2*(1+salary_escalation)^1*(1+bhxh_rate)</f>
        <v/>
      </c>
      <c r="E18" s="12">
        <f>salary_data*2*(1+salary_escalation)^1*(1+bhxh_rate)</f>
        <v/>
      </c>
      <c r="F18" s="12">
        <f>salary_data*2*(1+salary_escalation)^1*(1+bhxh_rate)</f>
        <v/>
      </c>
      <c r="G18" s="12">
        <f>salary_data*2*(1+salary_escalation)^1*(1+bhxh_rate)</f>
        <v/>
      </c>
      <c r="H18" s="12">
        <f>salary_data*2*(1+salary_escalation)^1*(1+bhxh_rate)</f>
        <v/>
      </c>
      <c r="I18" s="12">
        <f>salary_data*2*(1+salary_escalation)^1*(1+bhxh_rate)</f>
        <v/>
      </c>
      <c r="J18" s="12">
        <f>salary_data*2*(1+salary_escalation)^1*(1+bhxh_rate)</f>
        <v/>
      </c>
      <c r="K18" s="12">
        <f>salary_data*2*(1+salary_escalation)^1*(1+bhxh_rate)</f>
        <v/>
      </c>
      <c r="L18" s="12">
        <f>salary_data*2*(1+salary_escalation)^1*(1+bhxh_rate)</f>
        <v/>
      </c>
      <c r="M18" s="12">
        <f>salary_data*2*(1+salary_escalation)^1*(1+bhxh_rate)</f>
        <v/>
      </c>
      <c r="N18" s="12">
        <f>salary_data*2*(1+salary_escalation)^1*(1+bhxh_rate)</f>
        <v/>
      </c>
      <c r="O18" s="11">
        <f>SUM(C18:N18)</f>
        <v/>
      </c>
    </row>
    <row r="19">
      <c r="A19" s="6" t="inlineStr">
        <is>
          <t xml:space="preserve">  Tuyển dụng</t>
        </is>
      </c>
      <c r="B19" s="6" t="inlineStr">
        <is>
          <t>Tr VND</t>
        </is>
      </c>
      <c r="C19" s="12">
        <f>6*30*12*recruit_cost_pct</f>
        <v/>
      </c>
      <c r="D19" s="12">
        <f>0</f>
        <v/>
      </c>
      <c r="E19" s="12">
        <f>0</f>
        <v/>
      </c>
      <c r="F19" s="12">
        <f>0</f>
        <v/>
      </c>
      <c r="G19" s="12">
        <f>0</f>
        <v/>
      </c>
      <c r="H19" s="12">
        <f>0</f>
        <v/>
      </c>
      <c r="I19" s="12">
        <f>0</f>
        <v/>
      </c>
      <c r="J19" s="12">
        <f>0</f>
        <v/>
      </c>
      <c r="K19" s="12">
        <f>0</f>
        <v/>
      </c>
      <c r="L19" s="12">
        <f>0</f>
        <v/>
      </c>
      <c r="M19" s="12">
        <f>0</f>
        <v/>
      </c>
      <c r="N19" s="12">
        <f>0</f>
        <v/>
      </c>
      <c r="O19" s="11">
        <f>SUM(C19:N19)</f>
        <v/>
      </c>
    </row>
    <row r="20">
      <c r="A20" s="6" t="inlineStr">
        <is>
          <t xml:space="preserve">  Marketing</t>
        </is>
      </c>
      <c r="B20" s="6" t="inlineStr">
        <is>
          <t>Tr VND</t>
        </is>
      </c>
      <c r="C20" s="12">
        <f>opex_marketing*(1+marketing_growth)^1/12</f>
        <v/>
      </c>
      <c r="D20" s="12">
        <f>opex_marketing*(1+marketing_growth)^1/12</f>
        <v/>
      </c>
      <c r="E20" s="12">
        <f>opex_marketing*(1+marketing_growth)^1/12</f>
        <v/>
      </c>
      <c r="F20" s="12">
        <f>opex_marketing*(1+marketing_growth)^1/12</f>
        <v/>
      </c>
      <c r="G20" s="12">
        <f>opex_marketing*(1+marketing_growth)^1/12</f>
        <v/>
      </c>
      <c r="H20" s="12">
        <f>opex_marketing*(1+marketing_growth)^1/12</f>
        <v/>
      </c>
      <c r="I20" s="12">
        <f>opex_marketing*(1+marketing_growth)^1/12</f>
        <v/>
      </c>
      <c r="J20" s="12">
        <f>opex_marketing*(1+marketing_growth)^1/12</f>
        <v/>
      </c>
      <c r="K20" s="12">
        <f>opex_marketing*(1+marketing_growth)^1/12</f>
        <v/>
      </c>
      <c r="L20" s="12">
        <f>opex_marketing*(1+marketing_growth)^1/12</f>
        <v/>
      </c>
      <c r="M20" s="12">
        <f>opex_marketing*(1+marketing_growth)^1/12</f>
        <v/>
      </c>
      <c r="N20" s="12">
        <f>opex_marketing*(1+marketing_growth)^1/12</f>
        <v/>
      </c>
      <c r="O20" s="11">
        <f>SUM(C20:N20)</f>
        <v/>
      </c>
    </row>
    <row r="21">
      <c r="A21" s="6" t="inlineStr">
        <is>
          <t xml:space="preserve">  Thương hiệu</t>
        </is>
      </c>
      <c r="B21" s="6" t="inlineStr">
        <is>
          <t>Tr VND</t>
        </is>
      </c>
      <c r="C21" s="12">
        <f>opex_branding/12</f>
        <v/>
      </c>
      <c r="D21" s="12">
        <f>opex_branding/12</f>
        <v/>
      </c>
      <c r="E21" s="12">
        <f>opex_branding/12</f>
        <v/>
      </c>
      <c r="F21" s="12">
        <f>opex_branding/12</f>
        <v/>
      </c>
      <c r="G21" s="12">
        <f>opex_branding/12</f>
        <v/>
      </c>
      <c r="H21" s="12">
        <f>opex_branding/12</f>
        <v/>
      </c>
      <c r="I21" s="12">
        <f>opex_branding/12</f>
        <v/>
      </c>
      <c r="J21" s="12">
        <f>opex_branding/12</f>
        <v/>
      </c>
      <c r="K21" s="12">
        <f>opex_branding/12</f>
        <v/>
      </c>
      <c r="L21" s="12">
        <f>opex_branding/12</f>
        <v/>
      </c>
      <c r="M21" s="12">
        <f>opex_branding/12</f>
        <v/>
      </c>
      <c r="N21" s="12">
        <f>opex_branding/12</f>
        <v/>
      </c>
      <c r="O21" s="11">
        <f>SUM(C21:N21)</f>
        <v/>
      </c>
    </row>
    <row r="22">
      <c r="A22" s="6" t="inlineStr">
        <is>
          <t xml:space="preserve">  Cloud</t>
        </is>
      </c>
      <c r="B22" s="6" t="inlineStr">
        <is>
          <t>Tr VND</t>
        </is>
      </c>
      <c r="C22" s="12">
        <f>opex_cloud_base/12</f>
        <v/>
      </c>
      <c r="D22" s="12">
        <f>opex_cloud_base/12</f>
        <v/>
      </c>
      <c r="E22" s="12">
        <f>opex_cloud_base/12</f>
        <v/>
      </c>
      <c r="F22" s="12">
        <f>opex_cloud_base/12</f>
        <v/>
      </c>
      <c r="G22" s="12">
        <f>opex_cloud_base/12</f>
        <v/>
      </c>
      <c r="H22" s="12">
        <f>opex_cloud_base/12</f>
        <v/>
      </c>
      <c r="I22" s="12">
        <f>opex_cloud_base/12</f>
        <v/>
      </c>
      <c r="J22" s="12">
        <f>opex_cloud_base/12</f>
        <v/>
      </c>
      <c r="K22" s="12">
        <f>opex_cloud_base/12</f>
        <v/>
      </c>
      <c r="L22" s="12">
        <f>opex_cloud_base/12</f>
        <v/>
      </c>
      <c r="M22" s="12">
        <f>opex_cloud_base/12</f>
        <v/>
      </c>
      <c r="N22" s="12">
        <f>opex_cloud_base/12</f>
        <v/>
      </c>
      <c r="O22" s="11">
        <f>SUM(C22:N22)</f>
        <v/>
      </c>
    </row>
    <row r="23">
      <c r="A23" s="6" t="inlineStr">
        <is>
          <t xml:space="preserve">  Bảo mật</t>
        </is>
      </c>
      <c r="B23" s="6" t="inlineStr">
        <is>
          <t>Tr VND</t>
        </is>
      </c>
      <c r="C23" s="12">
        <f>opex_security/12</f>
        <v/>
      </c>
      <c r="D23" s="12">
        <f>opex_security/12</f>
        <v/>
      </c>
      <c r="E23" s="12">
        <f>opex_security/12</f>
        <v/>
      </c>
      <c r="F23" s="12">
        <f>opex_security/12</f>
        <v/>
      </c>
      <c r="G23" s="12">
        <f>opex_security/12</f>
        <v/>
      </c>
      <c r="H23" s="12">
        <f>opex_security/12</f>
        <v/>
      </c>
      <c r="I23" s="12">
        <f>opex_security/12</f>
        <v/>
      </c>
      <c r="J23" s="12">
        <f>opex_security/12</f>
        <v/>
      </c>
      <c r="K23" s="12">
        <f>opex_security/12</f>
        <v/>
      </c>
      <c r="L23" s="12">
        <f>opex_security/12</f>
        <v/>
      </c>
      <c r="M23" s="12">
        <f>opex_security/12</f>
        <v/>
      </c>
      <c r="N23" s="12">
        <f>opex_security/12</f>
        <v/>
      </c>
      <c r="O23" s="11">
        <f>SUM(C23:N23)</f>
        <v/>
      </c>
    </row>
    <row r="24">
      <c r="A24" s="6" t="inlineStr">
        <is>
          <t xml:space="preserve">  Đối ngoại</t>
        </is>
      </c>
      <c r="B24" s="6" t="inlineStr">
        <is>
          <t>Tr VND</t>
        </is>
      </c>
      <c r="C24" s="12">
        <f>opex_external/12</f>
        <v/>
      </c>
      <c r="D24" s="12">
        <f>opex_external/12</f>
        <v/>
      </c>
      <c r="E24" s="12">
        <f>opex_external/12</f>
        <v/>
      </c>
      <c r="F24" s="12">
        <f>opex_external/12</f>
        <v/>
      </c>
      <c r="G24" s="12">
        <f>opex_external/12</f>
        <v/>
      </c>
      <c r="H24" s="12">
        <f>opex_external/12</f>
        <v/>
      </c>
      <c r="I24" s="12">
        <f>opex_external/12</f>
        <v/>
      </c>
      <c r="J24" s="12">
        <f>opex_external/12</f>
        <v/>
      </c>
      <c r="K24" s="12">
        <f>opex_external/12</f>
        <v/>
      </c>
      <c r="L24" s="12">
        <f>opex_external/12</f>
        <v/>
      </c>
      <c r="M24" s="12">
        <f>opex_external/12</f>
        <v/>
      </c>
      <c r="N24" s="12">
        <f>opex_external/12</f>
        <v/>
      </c>
      <c r="O24" s="11">
        <f>SUM(C24:N24)</f>
        <v/>
      </c>
    </row>
    <row r="25">
      <c r="A25" s="6" t="inlineStr">
        <is>
          <t xml:space="preserve">  Pháp lý</t>
        </is>
      </c>
      <c r="B25" s="6" t="inlineStr">
        <is>
          <t>Tr VND</t>
        </is>
      </c>
      <c r="C25" s="12">
        <f>opex_legal/12</f>
        <v/>
      </c>
      <c r="D25" s="12">
        <f>opex_legal/12</f>
        <v/>
      </c>
      <c r="E25" s="12">
        <f>opex_legal/12</f>
        <v/>
      </c>
      <c r="F25" s="12">
        <f>opex_legal/12</f>
        <v/>
      </c>
      <c r="G25" s="12">
        <f>opex_legal/12</f>
        <v/>
      </c>
      <c r="H25" s="12">
        <f>opex_legal/12</f>
        <v/>
      </c>
      <c r="I25" s="12">
        <f>opex_legal/12</f>
        <v/>
      </c>
      <c r="J25" s="12">
        <f>opex_legal/12</f>
        <v/>
      </c>
      <c r="K25" s="12">
        <f>opex_legal/12</f>
        <v/>
      </c>
      <c r="L25" s="12">
        <f>opex_legal/12</f>
        <v/>
      </c>
      <c r="M25" s="12">
        <f>opex_legal/12</f>
        <v/>
      </c>
      <c r="N25" s="12">
        <f>opex_legal/12</f>
        <v/>
      </c>
      <c r="O25" s="11">
        <f>SUM(C25:N25)</f>
        <v/>
      </c>
    </row>
    <row r="26">
      <c r="A26" s="6" t="inlineStr">
        <is>
          <t xml:space="preserve">  Đối tác</t>
        </is>
      </c>
      <c r="B26" s="6" t="inlineStr">
        <is>
          <t>Tr VND</t>
        </is>
      </c>
      <c r="C26" s="12">
        <f>opex_partner_mgmt/12</f>
        <v/>
      </c>
      <c r="D26" s="12">
        <f>opex_partner_mgmt/12</f>
        <v/>
      </c>
      <c r="E26" s="12">
        <f>opex_partner_mgmt/12</f>
        <v/>
      </c>
      <c r="F26" s="12">
        <f>opex_partner_mgmt/12</f>
        <v/>
      </c>
      <c r="G26" s="12">
        <f>opex_partner_mgmt/12</f>
        <v/>
      </c>
      <c r="H26" s="12">
        <f>opex_partner_mgmt/12</f>
        <v/>
      </c>
      <c r="I26" s="12">
        <f>opex_partner_mgmt/12</f>
        <v/>
      </c>
      <c r="J26" s="12">
        <f>opex_partner_mgmt/12</f>
        <v/>
      </c>
      <c r="K26" s="12">
        <f>opex_partner_mgmt/12</f>
        <v/>
      </c>
      <c r="L26" s="12">
        <f>opex_partner_mgmt/12</f>
        <v/>
      </c>
      <c r="M26" s="12">
        <f>opex_partner_mgmt/12</f>
        <v/>
      </c>
      <c r="N26" s="12">
        <f>opex_partner_mgmt/12</f>
        <v/>
      </c>
      <c r="O26" s="11">
        <f>SUM(C26:N26)</f>
        <v/>
      </c>
    </row>
    <row r="27">
      <c r="A27" s="6" t="inlineStr">
        <is>
          <t xml:space="preserve">  Hỗ trợ KH</t>
        </is>
      </c>
      <c r="B27" s="6" t="inlineStr">
        <is>
          <t>Tr VND</t>
        </is>
      </c>
      <c r="C27" s="12">
        <f>MAX(pilot_count,adoption_max/(1+EXP(-adoption_steepness*(2026.042-adoption_midpoint))))*opex_support_per_ent/12</f>
        <v/>
      </c>
      <c r="D27" s="12">
        <f>MAX(pilot_count,adoption_max/(1+EXP(-adoption_steepness*(2026.125-adoption_midpoint))))*opex_support_per_ent/12</f>
        <v/>
      </c>
      <c r="E27" s="12">
        <f>MAX(pilot_count,adoption_max/(1+EXP(-adoption_steepness*(2026.208-adoption_midpoint))))*opex_support_per_ent/12</f>
        <v/>
      </c>
      <c r="F27" s="12">
        <f>MAX(pilot_count,adoption_max/(1+EXP(-adoption_steepness*(2026.292-adoption_midpoint))))*opex_support_per_ent/12</f>
        <v/>
      </c>
      <c r="G27" s="12">
        <f>MAX(pilot_count,adoption_max/(1+EXP(-adoption_steepness*(2026.375-adoption_midpoint))))*opex_support_per_ent/12</f>
        <v/>
      </c>
      <c r="H27" s="12">
        <f>MAX(pilot_count,adoption_max/(1+EXP(-adoption_steepness*(2026.458-adoption_midpoint))))*opex_support_per_ent/12</f>
        <v/>
      </c>
      <c r="I27" s="12">
        <f>MAX(pilot_count,adoption_max/(1+EXP(-adoption_steepness*(2026.542-adoption_midpoint))))*opex_support_per_ent/12</f>
        <v/>
      </c>
      <c r="J27" s="12">
        <f>MAX(pilot_count,adoption_max/(1+EXP(-adoption_steepness*(2026.625-adoption_midpoint))))*opex_support_per_ent/12</f>
        <v/>
      </c>
      <c r="K27" s="12">
        <f>MAX(pilot_count,adoption_max/(1+EXP(-adoption_steepness*(2026.708-adoption_midpoint))))*opex_support_per_ent/12</f>
        <v/>
      </c>
      <c r="L27" s="12">
        <f>MAX(pilot_count,adoption_max/(1+EXP(-adoption_steepness*(2026.792-adoption_midpoint))))*opex_support_per_ent/12</f>
        <v/>
      </c>
      <c r="M27" s="12">
        <f>MAX(pilot_count,adoption_max/(1+EXP(-adoption_steepness*(2026.875-adoption_midpoint))))*opex_support_per_ent/12</f>
        <v/>
      </c>
      <c r="N27" s="12">
        <f>MAX(pilot_count,adoption_max/(1+EXP(-adoption_steepness*(2026.958-adoption_midpoint))))*opex_support_per_ent/12</f>
        <v/>
      </c>
      <c r="O27" s="11">
        <f>SUM(C27:N27)</f>
        <v/>
      </c>
    </row>
    <row r="28">
      <c r="A28" s="6" t="inlineStr">
        <is>
          <t>OPEX cộng dồn</t>
        </is>
      </c>
      <c r="C28" s="11">
        <f>SUM(C15:C27)</f>
        <v/>
      </c>
      <c r="D28" s="11">
        <f>SUM(D15:D27)</f>
        <v/>
      </c>
      <c r="E28" s="11">
        <f>SUM(E15:E27)</f>
        <v/>
      </c>
      <c r="F28" s="11">
        <f>SUM(F15:F27)</f>
        <v/>
      </c>
      <c r="G28" s="11">
        <f>SUM(G15:G27)</f>
        <v/>
      </c>
      <c r="H28" s="11">
        <f>SUM(H15:H27)</f>
        <v/>
      </c>
      <c r="I28" s="11">
        <f>SUM(I15:I27)</f>
        <v/>
      </c>
      <c r="J28" s="11">
        <f>SUM(J15:J27)</f>
        <v/>
      </c>
      <c r="K28" s="11">
        <f>SUM(K15:K27)</f>
        <v/>
      </c>
      <c r="L28" s="11">
        <f>SUM(L15:L27)</f>
        <v/>
      </c>
      <c r="M28" s="11">
        <f>SUM(M15:M27)</f>
        <v/>
      </c>
      <c r="N28" s="11">
        <f>SUM(N15:N27)</f>
        <v/>
      </c>
      <c r="O28" s="11">
        <f>SUM(C28:N28)</f>
        <v/>
      </c>
    </row>
    <row r="29">
      <c r="A29" s="6" t="inlineStr">
        <is>
          <t xml:space="preserve">  Dự phòng</t>
        </is>
      </c>
      <c r="B29" s="6" t="inlineStr">
        <is>
          <t>Tr VND</t>
        </is>
      </c>
      <c r="C29" s="12">
        <f>C28*opex_contingency_pct</f>
        <v/>
      </c>
      <c r="D29" s="12">
        <f>D28*opex_contingency_pct</f>
        <v/>
      </c>
      <c r="E29" s="12">
        <f>E28*opex_contingency_pct</f>
        <v/>
      </c>
      <c r="F29" s="12">
        <f>F28*opex_contingency_pct</f>
        <v/>
      </c>
      <c r="G29" s="12">
        <f>G28*opex_contingency_pct</f>
        <v/>
      </c>
      <c r="H29" s="12">
        <f>H28*opex_contingency_pct</f>
        <v/>
      </c>
      <c r="I29" s="12">
        <f>I28*opex_contingency_pct</f>
        <v/>
      </c>
      <c r="J29" s="12">
        <f>J28*opex_contingency_pct</f>
        <v/>
      </c>
      <c r="K29" s="12">
        <f>K28*opex_contingency_pct</f>
        <v/>
      </c>
      <c r="L29" s="12">
        <f>L28*opex_contingency_pct</f>
        <v/>
      </c>
      <c r="M29" s="12">
        <f>M28*opex_contingency_pct</f>
        <v/>
      </c>
      <c r="N29" s="12">
        <f>N28*opex_contingency_pct</f>
        <v/>
      </c>
      <c r="O29" s="11">
        <f>SUM(C29:N29)</f>
        <v/>
      </c>
    </row>
    <row r="30">
      <c r="A30" s="6" t="inlineStr">
        <is>
          <t>TỔNG OPEX</t>
        </is>
      </c>
      <c r="C30" s="11">
        <f>C28+C29</f>
        <v/>
      </c>
      <c r="D30" s="11">
        <f>D28+D29</f>
        <v/>
      </c>
      <c r="E30" s="11">
        <f>E28+E29</f>
        <v/>
      </c>
      <c r="F30" s="11">
        <f>F28+F29</f>
        <v/>
      </c>
      <c r="G30" s="11">
        <f>G28+G29</f>
        <v/>
      </c>
      <c r="H30" s="11">
        <f>H28+H29</f>
        <v/>
      </c>
      <c r="I30" s="11">
        <f>I28+I29</f>
        <v/>
      </c>
      <c r="J30" s="11">
        <f>J28+J29</f>
        <v/>
      </c>
      <c r="K30" s="11">
        <f>K28+K29</f>
        <v/>
      </c>
      <c r="L30" s="11">
        <f>L28+L29</f>
        <v/>
      </c>
      <c r="M30" s="11">
        <f>M28+M29</f>
        <v/>
      </c>
      <c r="N30" s="11">
        <f>N28+N29</f>
        <v/>
      </c>
      <c r="O30" s="11">
        <f>SUM(C30:N30)</f>
        <v/>
      </c>
    </row>
    <row r="32">
      <c r="A32" s="3" t="inlineStr">
        <is>
          <t>TỔNG KẾT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</row>
    <row r="33">
      <c r="A33" s="6" t="inlineStr">
        <is>
          <t>Doanh thu</t>
        </is>
      </c>
      <c r="C33" s="12">
        <f>C8</f>
        <v/>
      </c>
      <c r="D33" s="12">
        <f>D8</f>
        <v/>
      </c>
      <c r="E33" s="12">
        <f>E8</f>
        <v/>
      </c>
      <c r="F33" s="12">
        <f>F8</f>
        <v/>
      </c>
      <c r="G33" s="12">
        <f>G8</f>
        <v/>
      </c>
      <c r="H33" s="12">
        <f>H8</f>
        <v/>
      </c>
      <c r="I33" s="12">
        <f>I8</f>
        <v/>
      </c>
      <c r="J33" s="12">
        <f>J8</f>
        <v/>
      </c>
      <c r="K33" s="12">
        <f>K8</f>
        <v/>
      </c>
      <c r="L33" s="12">
        <f>L8</f>
        <v/>
      </c>
      <c r="M33" s="12">
        <f>M8</f>
        <v/>
      </c>
      <c r="N33" s="12">
        <f>N8</f>
        <v/>
      </c>
      <c r="O33" s="11">
        <f>SUM(C33:N33)</f>
        <v/>
      </c>
    </row>
    <row r="34">
      <c r="A34" s="6" t="inlineStr">
        <is>
          <t>CAPEX</t>
        </is>
      </c>
      <c r="C34" s="12">
        <f>C12</f>
        <v/>
      </c>
      <c r="D34" s="12">
        <f>D12</f>
        <v/>
      </c>
      <c r="E34" s="12">
        <f>E12</f>
        <v/>
      </c>
      <c r="F34" s="12">
        <f>F12</f>
        <v/>
      </c>
      <c r="G34" s="12">
        <f>G12</f>
        <v/>
      </c>
      <c r="H34" s="12">
        <f>H12</f>
        <v/>
      </c>
      <c r="I34" s="12">
        <f>I12</f>
        <v/>
      </c>
      <c r="J34" s="12">
        <f>J12</f>
        <v/>
      </c>
      <c r="K34" s="12">
        <f>K12</f>
        <v/>
      </c>
      <c r="L34" s="12">
        <f>L12</f>
        <v/>
      </c>
      <c r="M34" s="12">
        <f>M12</f>
        <v/>
      </c>
      <c r="N34" s="12">
        <f>N12</f>
        <v/>
      </c>
      <c r="O34" s="11">
        <f>SUM(C34:N34)</f>
        <v/>
      </c>
    </row>
    <row r="35">
      <c r="A35" s="6" t="inlineStr">
        <is>
          <t>OPEX</t>
        </is>
      </c>
      <c r="C35" s="12">
        <f>C30</f>
        <v/>
      </c>
      <c r="D35" s="12">
        <f>D30</f>
        <v/>
      </c>
      <c r="E35" s="12">
        <f>E30</f>
        <v/>
      </c>
      <c r="F35" s="12">
        <f>F30</f>
        <v/>
      </c>
      <c r="G35" s="12">
        <f>G30</f>
        <v/>
      </c>
      <c r="H35" s="12">
        <f>H30</f>
        <v/>
      </c>
      <c r="I35" s="12">
        <f>I30</f>
        <v/>
      </c>
      <c r="J35" s="12">
        <f>J30</f>
        <v/>
      </c>
      <c r="K35" s="12">
        <f>K30</f>
        <v/>
      </c>
      <c r="L35" s="12">
        <f>L30</f>
        <v/>
      </c>
      <c r="M35" s="12">
        <f>M30</f>
        <v/>
      </c>
      <c r="N35" s="12">
        <f>N30</f>
        <v/>
      </c>
      <c r="O35" s="11">
        <f>SUM(C35:N35)</f>
        <v/>
      </c>
    </row>
    <row r="36">
      <c r="A36" s="6" t="inlineStr">
        <is>
          <t>TỔNG NGÂN SÁCH</t>
        </is>
      </c>
      <c r="C36" s="11">
        <f>C34+C35</f>
        <v/>
      </c>
      <c r="D36" s="11">
        <f>D34+D35</f>
        <v/>
      </c>
      <c r="E36" s="11">
        <f>E34+E35</f>
        <v/>
      </c>
      <c r="F36" s="11">
        <f>F34+F35</f>
        <v/>
      </c>
      <c r="G36" s="11">
        <f>G34+G35</f>
        <v/>
      </c>
      <c r="H36" s="11">
        <f>H34+H35</f>
        <v/>
      </c>
      <c r="I36" s="11">
        <f>I34+I35</f>
        <v/>
      </c>
      <c r="J36" s="11">
        <f>J34+J35</f>
        <v/>
      </c>
      <c r="K36" s="11">
        <f>K34+K35</f>
        <v/>
      </c>
      <c r="L36" s="11">
        <f>L34+L35</f>
        <v/>
      </c>
      <c r="M36" s="11">
        <f>M34+M35</f>
        <v/>
      </c>
      <c r="N36" s="11">
        <f>N34+N35</f>
        <v/>
      </c>
      <c r="O36" s="11">
        <f>SUM(C36:N36)</f>
        <v/>
      </c>
    </row>
    <row r="37">
      <c r="A37" s="6" t="inlineStr">
        <is>
          <t>RÒNG (DT - Ngân sách)</t>
        </is>
      </c>
      <c r="C37" s="11">
        <f>C33-C36</f>
        <v/>
      </c>
      <c r="D37" s="11">
        <f>D33-D36</f>
        <v/>
      </c>
      <c r="E37" s="11">
        <f>E33-E36</f>
        <v/>
      </c>
      <c r="F37" s="11">
        <f>F33-F36</f>
        <v/>
      </c>
      <c r="G37" s="11">
        <f>G33-G36</f>
        <v/>
      </c>
      <c r="H37" s="11">
        <f>H33-H36</f>
        <v/>
      </c>
      <c r="I37" s="11">
        <f>I33-I36</f>
        <v/>
      </c>
      <c r="J37" s="11">
        <f>J33-J36</f>
        <v/>
      </c>
      <c r="K37" s="11">
        <f>K33-K36</f>
        <v/>
      </c>
      <c r="L37" s="11">
        <f>L33-L36</f>
        <v/>
      </c>
      <c r="M37" s="11">
        <f>M33-M36</f>
        <v/>
      </c>
      <c r="N37" s="11">
        <f>N33-N36</f>
        <v/>
      </c>
      <c r="O37" s="11">
        <f>SUM(C37:N37)</f>
        <v/>
      </c>
    </row>
    <row r="38">
      <c r="A38" s="6" t="inlineStr">
        <is>
          <t>Lũy kế</t>
        </is>
      </c>
      <c r="C38" s="12">
        <f>C37</f>
        <v/>
      </c>
      <c r="D38" s="12">
        <f>C38+D37</f>
        <v/>
      </c>
      <c r="E38" s="12">
        <f>D38+E37</f>
        <v/>
      </c>
      <c r="F38" s="12">
        <f>E38+F37</f>
        <v/>
      </c>
      <c r="G38" s="12">
        <f>F38+G37</f>
        <v/>
      </c>
      <c r="H38" s="12">
        <f>G38+H37</f>
        <v/>
      </c>
      <c r="I38" s="12">
        <f>H38+I37</f>
        <v/>
      </c>
      <c r="J38" s="12">
        <f>I38+J37</f>
        <v/>
      </c>
      <c r="K38" s="12">
        <f>J38+K37</f>
        <v/>
      </c>
      <c r="L38" s="12">
        <f>K38+L37</f>
        <v/>
      </c>
      <c r="M38" s="12">
        <f>L38+M37</f>
        <v/>
      </c>
      <c r="N38" s="12">
        <f>M38+N37</f>
        <v/>
      </c>
      <c r="O38" s="11">
        <f>N38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2026-03-21T10:49:10Z</dcterms:created>
  <dcterms:modified xmlns:dcterms="http://purl.org/dc/terms/" xmlns:xsi="http://www.w3.org/2001/XMLSchema-instance" xsi:type="dcterms:W3CDTF">2026-03-21T10:55:18Z</dcterms:modified>
</cp:coreProperties>
</file>