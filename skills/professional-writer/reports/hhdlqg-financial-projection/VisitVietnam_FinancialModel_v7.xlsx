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hhdlqg-financial-projection\"/>
    </mc:Choice>
  </mc:AlternateContent>
  <xr:revisionPtr revIDLastSave="0" documentId="13_ncr:1_{39969420-83C3-4947-9285-BD93D3BF1891}" xr6:coauthVersionLast="47" xr6:coauthVersionMax="47" xr10:uidLastSave="{00000000-0000-0000-0000-000000000000}"/>
  <bookViews>
    <workbookView xWindow="-108" yWindow="-108" windowWidth="23256" windowHeight="13896" firstSheet="3" activeTab="10" xr2:uid="{00000000-000D-0000-FFFF-FFFF00000000}"/>
  </bookViews>
  <sheets>
    <sheet name="Guide" sheetId="1" r:id="rId1"/>
    <sheet name="Assumptions" sheetId="2" r:id="rId2"/>
    <sheet name="Initial Investment" sheetId="3" r:id="rId3"/>
    <sheet name="HR Plan" sheetId="4" r:id="rId4"/>
    <sheet name="Market Sizing" sheetId="5" r:id="rId5"/>
    <sheet name="Revenue Schedule" sheetId="6" r:id="rId6"/>
    <sheet name="Cost Schedule" sheetId="7" r:id="rId7"/>
    <sheet name="P&amp;L" sheetId="8" r:id="rId8"/>
    <sheet name="Cash Flow" sheetId="9" r:id="rId9"/>
    <sheet name="DCF &amp; Returns" sheetId="10" r:id="rId10"/>
    <sheet name="Sensitivity" sheetId="11" r:id="rId11"/>
    <sheet name="Scenarios" sheetId="12" r:id="rId12"/>
    <sheet name="Budget 2025" sheetId="13" r:id="rId13"/>
    <sheet name="Budget 2026" sheetId="14" r:id="rId14"/>
  </sheets>
  <definedNames>
    <definedName name="ad_cpm">Assumptions!$B$36</definedName>
    <definedName name="ad_impressions_base">Assumptions!$B$37</definedName>
    <definedName name="adoption_max">Assumptions!$B$23</definedName>
    <definedName name="adoption_midpoint">Assumptions!$B$24</definedName>
    <definedName name="adoption_steepness">Assumptions!$B$25</definedName>
    <definedName name="ap_days">Assumptions!$B$76</definedName>
    <definedName name="ar_days">Assumptions!$B$75</definedName>
    <definedName name="audit_fee">Assumptions!$B$39</definedName>
    <definedName name="base_year">Assumptions!$B$11</definedName>
    <definedName name="bhxh_rate">Assumptions!$B$67</definedName>
    <definedName name="bizops_floor">Assumptions!$B$88</definedName>
    <definedName name="capex_backend">'Initial Investment'!$B$5</definedName>
    <definedName name="capex_cloud_setup">'Initial Investment'!$B$4</definedName>
    <definedName name="capex_contingency">'Initial Investment'!$B$13</definedName>
    <definedName name="capex_data_platform">'Initial Investment'!$B$7</definedName>
    <definedName name="capex_devops">'Initial Investment'!$B$11</definedName>
    <definedName name="capex_frontend">'Initial Investment'!$B$6</definedName>
    <definedName name="capex_integration">'Initial Investment'!$B$10</definedName>
    <definedName name="capex_maintenance_pct">Assumptions!$B$44</definedName>
    <definedName name="capex_security_setup">'Initial Investment'!$B$8</definedName>
    <definedName name="capex_testing">'Initial Investment'!$B$12</definedName>
    <definedName name="capex_total">'Initial Investment'!$B$15</definedName>
    <definedName name="capex_ux_design">'Initial Investment'!$B$9</definedName>
    <definedName name="cert_fee_escalation">Assumptions!$B$32</definedName>
    <definedName name="cert_fee_yr1">Assumptions!$B$31</definedName>
    <definedName name="churn_rate">Assumptions!$B$27</definedName>
    <definedName name="cit_rate">Assumptions!$B$72</definedName>
    <definedName name="cloud_elasticity">Assumptions!$B$87</definedName>
    <definedName name="cloud_gmv_factor">Assumptions!$B$82</definedName>
    <definedName name="cloud_per_1M_vcr">Assumptions!$B$48</definedName>
    <definedName name="daas_price">Assumptions!$B$35</definedName>
    <definedName name="depreciation_years">Assumptions!$B$74</definedName>
    <definedName name="discount_rate">Assumptions!$B$73</definedName>
    <definedName name="ecom_growth_rate">Assumptions!$B$19</definedName>
    <definedName name="ecom_market_base">Assumptions!$B$18</definedName>
    <definedName name="hr_bizops_per_100_ent">Assumptions!$B$86</definedName>
    <definedName name="marketing_growth">Assumptions!$B$46</definedName>
    <definedName name="mkt_efficiency_per_100">Assumptions!$B$83</definedName>
    <definedName name="months_to_first_revenue">Assumptions!$B$6</definedName>
    <definedName name="opex_branding">Assumptions!$B$52</definedName>
    <definedName name="opex_cloud_base">Assumptions!$B$47</definedName>
    <definedName name="opex_contingency_pct">Assumptions!$B$58</definedName>
    <definedName name="opex_external">Assumptions!$B$50</definedName>
    <definedName name="opex_legal">Assumptions!$B$51</definedName>
    <definedName name="opex_marketing">Assumptions!$B$45</definedName>
    <definedName name="opex_partner_mgmt">Assumptions!$B$57</definedName>
    <definedName name="opex_pilot_eval">Assumptions!$B$54</definedName>
    <definedName name="opex_security">Assumptions!$B$53</definedName>
    <definedName name="opex_support_per_ent">Assumptions!$B$56</definedName>
    <definedName name="payment_proc_pct">Assumptions!$B$55</definedName>
    <definedName name="pilot_count">Assumptions!$B$26</definedName>
    <definedName name="platform_market_share">Assumptions!$B$34</definedName>
    <definedName name="recruit_cost_pct">Assumptions!$B$68</definedName>
    <definedName name="salary_bizops">Assumptions!$B$64</definedName>
    <definedName name="salary_data">Assumptions!$B$65</definedName>
    <definedName name="salary_dev">Assumptions!$B$63</definedName>
    <definedName name="salary_escalation">Assumptions!$B$66</definedName>
    <definedName name="salary_mgmt">Assumptions!$B$62</definedName>
    <definedName name="SAM_enterprises">Assumptions!$B$17</definedName>
    <definedName name="stage2_gate">Assumptions!$B$77</definedName>
    <definedName name="start_month">Assumptions!$B$12</definedName>
    <definedName name="support_discount">Assumptions!$B$85</definedName>
    <definedName name="support_scale_threshold">Assumptions!$B$84</definedName>
    <definedName name="TAM_enterprises">Assumptions!$B$16</definedName>
    <definedName name="training_fee">Assumptions!$B$38</definedName>
    <definedName name="training_pct">Assumptions!$B$40</definedName>
    <definedName name="tx_take_rate">Assumptions!$B$33</definedName>
    <definedName name="vcr_per_enterprise">Assumptions!$B$49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7" i="14" l="1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O19" i="14" s="1"/>
  <c r="N18" i="14"/>
  <c r="M18" i="14"/>
  <c r="L18" i="14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7" i="14"/>
  <c r="M7" i="14"/>
  <c r="L7" i="14"/>
  <c r="K7" i="14"/>
  <c r="J7" i="14"/>
  <c r="I7" i="14"/>
  <c r="H7" i="14"/>
  <c r="G7" i="14"/>
  <c r="F7" i="14"/>
  <c r="E7" i="14"/>
  <c r="D7" i="14"/>
  <c r="C7" i="14"/>
  <c r="N6" i="14"/>
  <c r="M6" i="14"/>
  <c r="L6" i="14"/>
  <c r="K6" i="14"/>
  <c r="J6" i="14"/>
  <c r="I6" i="14"/>
  <c r="H6" i="14"/>
  <c r="G6" i="14"/>
  <c r="F6" i="14"/>
  <c r="E6" i="14"/>
  <c r="D6" i="14"/>
  <c r="C6" i="14"/>
  <c r="N5" i="14"/>
  <c r="M5" i="14"/>
  <c r="L5" i="14"/>
  <c r="K5" i="14"/>
  <c r="J5" i="14"/>
  <c r="I5" i="14"/>
  <c r="H5" i="14"/>
  <c r="G5" i="14"/>
  <c r="F5" i="14"/>
  <c r="E5" i="14"/>
  <c r="D5" i="14"/>
  <c r="C5" i="14"/>
  <c r="E43" i="13"/>
  <c r="H36" i="13"/>
  <c r="G36" i="13"/>
  <c r="F36" i="13"/>
  <c r="E36" i="13"/>
  <c r="D36" i="13"/>
  <c r="C36" i="13"/>
  <c r="H35" i="13"/>
  <c r="G35" i="13"/>
  <c r="F35" i="13"/>
  <c r="E35" i="13"/>
  <c r="D35" i="13"/>
  <c r="C35" i="13"/>
  <c r="H34" i="13"/>
  <c r="G34" i="13"/>
  <c r="F34" i="13"/>
  <c r="E34" i="13"/>
  <c r="D34" i="13"/>
  <c r="C34" i="13"/>
  <c r="H33" i="13"/>
  <c r="G33" i="13"/>
  <c r="F33" i="13"/>
  <c r="E33" i="13"/>
  <c r="D33" i="13"/>
  <c r="C33" i="13"/>
  <c r="I33" i="13" s="1"/>
  <c r="H32" i="13"/>
  <c r="G32" i="13"/>
  <c r="F32" i="13"/>
  <c r="E32" i="13"/>
  <c r="D32" i="13"/>
  <c r="C32" i="13"/>
  <c r="H31" i="13"/>
  <c r="G31" i="13"/>
  <c r="F31" i="13"/>
  <c r="E31" i="13"/>
  <c r="D31" i="13"/>
  <c r="C31" i="13"/>
  <c r="H30" i="13"/>
  <c r="G30" i="13"/>
  <c r="F30" i="13"/>
  <c r="E30" i="13"/>
  <c r="D30" i="13"/>
  <c r="C30" i="13"/>
  <c r="I30" i="13" s="1"/>
  <c r="H29" i="13"/>
  <c r="G29" i="13"/>
  <c r="F29" i="13"/>
  <c r="E29" i="13"/>
  <c r="D29" i="13"/>
  <c r="C29" i="13"/>
  <c r="H28" i="13"/>
  <c r="G28" i="13"/>
  <c r="F28" i="13"/>
  <c r="E28" i="13"/>
  <c r="D28" i="13"/>
  <c r="C28" i="13"/>
  <c r="I27" i="13"/>
  <c r="H27" i="13"/>
  <c r="G27" i="13"/>
  <c r="F27" i="13"/>
  <c r="E27" i="13"/>
  <c r="D27" i="13"/>
  <c r="C27" i="13"/>
  <c r="H26" i="13"/>
  <c r="G26" i="13"/>
  <c r="F26" i="13"/>
  <c r="E26" i="13"/>
  <c r="D26" i="13"/>
  <c r="C26" i="13"/>
  <c r="H25" i="13"/>
  <c r="G25" i="13"/>
  <c r="F25" i="13"/>
  <c r="E25" i="13"/>
  <c r="D25" i="13"/>
  <c r="C25" i="13"/>
  <c r="H24" i="13"/>
  <c r="G24" i="13"/>
  <c r="F24" i="13"/>
  <c r="E24" i="13"/>
  <c r="D24" i="13"/>
  <c r="C24" i="13"/>
  <c r="E21" i="13"/>
  <c r="C21" i="13"/>
  <c r="C43" i="13" s="1"/>
  <c r="H20" i="13"/>
  <c r="G20" i="13"/>
  <c r="F20" i="13"/>
  <c r="E20" i="13"/>
  <c r="D20" i="13"/>
  <c r="C20" i="13"/>
  <c r="H19" i="13"/>
  <c r="G19" i="13"/>
  <c r="F19" i="13"/>
  <c r="E19" i="13"/>
  <c r="D19" i="13"/>
  <c r="C19" i="13"/>
  <c r="I19" i="13" s="1"/>
  <c r="H18" i="13"/>
  <c r="G18" i="13"/>
  <c r="F18" i="13"/>
  <c r="E18" i="13"/>
  <c r="D18" i="13"/>
  <c r="C18" i="13"/>
  <c r="H17" i="13"/>
  <c r="G17" i="13"/>
  <c r="F17" i="13"/>
  <c r="E17" i="13"/>
  <c r="D17" i="13"/>
  <c r="C17" i="13"/>
  <c r="I17" i="13" s="1"/>
  <c r="H16" i="13"/>
  <c r="G16" i="13"/>
  <c r="F16" i="13"/>
  <c r="E16" i="13"/>
  <c r="D16" i="13"/>
  <c r="C16" i="13"/>
  <c r="H15" i="13"/>
  <c r="G15" i="13"/>
  <c r="F15" i="13"/>
  <c r="E15" i="13"/>
  <c r="D15" i="13"/>
  <c r="C15" i="13"/>
  <c r="I15" i="13" s="1"/>
  <c r="H14" i="13"/>
  <c r="G14" i="13"/>
  <c r="F14" i="13"/>
  <c r="E14" i="13"/>
  <c r="D14" i="13"/>
  <c r="C14" i="13"/>
  <c r="H13" i="13"/>
  <c r="G13" i="13"/>
  <c r="F13" i="13"/>
  <c r="E13" i="13"/>
  <c r="D13" i="13"/>
  <c r="C13" i="13"/>
  <c r="I13" i="13" s="1"/>
  <c r="H12" i="13"/>
  <c r="G12" i="13"/>
  <c r="F12" i="13"/>
  <c r="E12" i="13"/>
  <c r="D12" i="13"/>
  <c r="C12" i="13"/>
  <c r="I11" i="13"/>
  <c r="H11" i="13"/>
  <c r="H21" i="13" s="1"/>
  <c r="H43" i="13" s="1"/>
  <c r="G11" i="13"/>
  <c r="F11" i="13"/>
  <c r="F21" i="13" s="1"/>
  <c r="F43" i="13" s="1"/>
  <c r="E11" i="13"/>
  <c r="D11" i="13"/>
  <c r="D21" i="13" s="1"/>
  <c r="D43" i="13" s="1"/>
  <c r="C11" i="13"/>
  <c r="H7" i="13"/>
  <c r="G7" i="13"/>
  <c r="F7" i="13"/>
  <c r="E7" i="13"/>
  <c r="D7" i="13"/>
  <c r="C7" i="13"/>
  <c r="H6" i="13"/>
  <c r="G6" i="13"/>
  <c r="F6" i="13"/>
  <c r="E6" i="13"/>
  <c r="D6" i="13"/>
  <c r="C6" i="13"/>
  <c r="H5" i="13"/>
  <c r="G5" i="13"/>
  <c r="F5" i="13"/>
  <c r="E5" i="13"/>
  <c r="D5" i="13"/>
  <c r="C5" i="13"/>
  <c r="D14" i="12"/>
  <c r="D13" i="12"/>
  <c r="D12" i="12"/>
  <c r="D11" i="12"/>
  <c r="D10" i="12"/>
  <c r="D9" i="12"/>
  <c r="D8" i="12"/>
  <c r="D7" i="12"/>
  <c r="D6" i="12"/>
  <c r="D5" i="12"/>
  <c r="G16" i="11"/>
  <c r="G15" i="11"/>
  <c r="G14" i="11"/>
  <c r="G13" i="11"/>
  <c r="G12" i="11"/>
  <c r="G11" i="11"/>
  <c r="G10" i="11"/>
  <c r="G9" i="11"/>
  <c r="G8" i="11"/>
  <c r="G7" i="11"/>
  <c r="G6" i="11"/>
  <c r="G5" i="11"/>
  <c r="B18" i="10"/>
  <c r="B17" i="10"/>
  <c r="AR6" i="9"/>
  <c r="AO6" i="9"/>
  <c r="AR10" i="8"/>
  <c r="AQ10" i="8"/>
  <c r="AQ6" i="9" s="1"/>
  <c r="AP10" i="8"/>
  <c r="AP6" i="9" s="1"/>
  <c r="AO10" i="8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L6" i="7"/>
  <c r="H6" i="7"/>
  <c r="G6" i="7"/>
  <c r="F6" i="7"/>
  <c r="E6" i="7"/>
  <c r="D6" i="7"/>
  <c r="C6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C14" i="5"/>
  <c r="AQ13" i="5"/>
  <c r="AP13" i="5"/>
  <c r="AP14" i="5" s="1"/>
  <c r="AO13" i="5"/>
  <c r="AN13" i="5"/>
  <c r="AN14" i="5" s="1"/>
  <c r="AM13" i="5"/>
  <c r="AL13" i="5"/>
  <c r="AK13" i="5"/>
  <c r="AJ13" i="5"/>
  <c r="AM5" i="5"/>
  <c r="AM10" i="5" s="1"/>
  <c r="AL5" i="5"/>
  <c r="AL10" i="5" s="1"/>
  <c r="AK5" i="5"/>
  <c r="AK10" i="5" s="1"/>
  <c r="AJ5" i="5"/>
  <c r="AR4" i="5"/>
  <c r="AR5" i="5" s="1"/>
  <c r="AQ4" i="5"/>
  <c r="AQ5" i="5" s="1"/>
  <c r="AP4" i="5"/>
  <c r="AP5" i="5" s="1"/>
  <c r="AO4" i="5"/>
  <c r="AO5" i="5" s="1"/>
  <c r="AN4" i="5"/>
  <c r="AN5" i="5" s="1"/>
  <c r="AM4" i="5"/>
  <c r="AL4" i="5"/>
  <c r="AK4" i="5"/>
  <c r="AJ4" i="5"/>
  <c r="AI4" i="5"/>
  <c r="AI13" i="5" s="1"/>
  <c r="AH4" i="5"/>
  <c r="AH13" i="5" s="1"/>
  <c r="AG4" i="5"/>
  <c r="AG13" i="5" s="1"/>
  <c r="AG14" i="5" s="1"/>
  <c r="AF4" i="5"/>
  <c r="AF13" i="5" s="1"/>
  <c r="AE4" i="5"/>
  <c r="AE5" i="5" s="1"/>
  <c r="AD4" i="5"/>
  <c r="AD5" i="5" s="1"/>
  <c r="AC4" i="5"/>
  <c r="AC5" i="5" s="1"/>
  <c r="AC10" i="5" s="1"/>
  <c r="AB4" i="5"/>
  <c r="AB5" i="5" s="1"/>
  <c r="AA4" i="5"/>
  <c r="AA5" i="5" s="1"/>
  <c r="Z4" i="5"/>
  <c r="Z5" i="5" s="1"/>
  <c r="Y4" i="5"/>
  <c r="Y13" i="5" s="1"/>
  <c r="Y14" i="5" s="1"/>
  <c r="X4" i="5"/>
  <c r="X13" i="5" s="1"/>
  <c r="W4" i="5"/>
  <c r="W13" i="5" s="1"/>
  <c r="V4" i="5"/>
  <c r="V13" i="5" s="1"/>
  <c r="U4" i="5"/>
  <c r="U13" i="5" s="1"/>
  <c r="T4" i="5"/>
  <c r="T13" i="5" s="1"/>
  <c r="S4" i="5"/>
  <c r="S13" i="5" s="1"/>
  <c r="R4" i="5"/>
  <c r="R13" i="5" s="1"/>
  <c r="Q4" i="5"/>
  <c r="Q5" i="5" s="1"/>
  <c r="P4" i="5"/>
  <c r="P5" i="5" s="1"/>
  <c r="O4" i="5"/>
  <c r="O5" i="5" s="1"/>
  <c r="N4" i="5"/>
  <c r="N5" i="5" s="1"/>
  <c r="M4" i="5"/>
  <c r="M5" i="5" s="1"/>
  <c r="L4" i="5"/>
  <c r="L5" i="5" s="1"/>
  <c r="K4" i="5"/>
  <c r="K13" i="5" s="1"/>
  <c r="K14" i="5" s="1"/>
  <c r="J4" i="5"/>
  <c r="J13" i="5" s="1"/>
  <c r="I4" i="5"/>
  <c r="I13" i="5" s="1"/>
  <c r="H4" i="5"/>
  <c r="H13" i="5" s="1"/>
  <c r="G4" i="5"/>
  <c r="G5" i="5" s="1"/>
  <c r="F4" i="5"/>
  <c r="F13" i="5" s="1"/>
  <c r="E4" i="5"/>
  <c r="E13" i="5" s="1"/>
  <c r="D4" i="5"/>
  <c r="D13" i="5" s="1"/>
  <c r="C4" i="5"/>
  <c r="C13" i="5" s="1"/>
  <c r="C15" i="5" s="1"/>
  <c r="C16" i="5" s="1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C7" i="4"/>
  <c r="C17" i="4" s="1"/>
  <c r="B24" i="3"/>
  <c r="B15" i="3"/>
  <c r="G28" i="11" s="1"/>
  <c r="G8" i="13" l="1"/>
  <c r="G42" i="13" s="1"/>
  <c r="O27" i="14"/>
  <c r="Y5" i="5"/>
  <c r="Y10" i="5" s="1"/>
  <c r="AA13" i="5"/>
  <c r="O13" i="5"/>
  <c r="O14" i="5" s="1"/>
  <c r="O17" i="14"/>
  <c r="I25" i="13"/>
  <c r="I28" i="13"/>
  <c r="I35" i="13"/>
  <c r="Z13" i="5"/>
  <c r="Z14" i="5" s="1"/>
  <c r="I26" i="13"/>
  <c r="AP15" i="5"/>
  <c r="AP6" i="6" s="1"/>
  <c r="AQ14" i="5"/>
  <c r="AQ15" i="5" s="1"/>
  <c r="H8" i="13"/>
  <c r="H42" i="13" s="1"/>
  <c r="AC13" i="5"/>
  <c r="AC14" i="5" s="1"/>
  <c r="AC15" i="5" s="1"/>
  <c r="AC7" i="4" s="1"/>
  <c r="I7" i="13"/>
  <c r="J5" i="5"/>
  <c r="I29" i="13"/>
  <c r="AB13" i="5"/>
  <c r="AB14" i="5" s="1"/>
  <c r="AB15" i="5" s="1"/>
  <c r="AB13" i="6" s="1"/>
  <c r="I24" i="13"/>
  <c r="I31" i="13"/>
  <c r="I5" i="5"/>
  <c r="I10" i="5" s="1"/>
  <c r="K5" i="5"/>
  <c r="D37" i="13"/>
  <c r="O26" i="14"/>
  <c r="D8" i="13"/>
  <c r="D42" i="13" s="1"/>
  <c r="E8" i="13"/>
  <c r="E42" i="13" s="1"/>
  <c r="F37" i="13"/>
  <c r="F38" i="13" s="1"/>
  <c r="F39" i="13" s="1"/>
  <c r="F44" i="13" s="1"/>
  <c r="F45" i="13" s="1"/>
  <c r="H8" i="14"/>
  <c r="H33" i="14" s="1"/>
  <c r="O18" i="14"/>
  <c r="D8" i="14"/>
  <c r="D33" i="14" s="1"/>
  <c r="E8" i="14"/>
  <c r="E33" i="14" s="1"/>
  <c r="G8" i="14"/>
  <c r="G33" i="14" s="1"/>
  <c r="M28" i="14"/>
  <c r="M29" i="14" s="1"/>
  <c r="M30" i="14" s="1"/>
  <c r="M35" i="14" s="1"/>
  <c r="C8" i="13"/>
  <c r="H37" i="13"/>
  <c r="I6" i="13"/>
  <c r="J8" i="14"/>
  <c r="J33" i="14" s="1"/>
  <c r="J28" i="14"/>
  <c r="J29" i="14" s="1"/>
  <c r="J30" i="14" s="1"/>
  <c r="J35" i="14" s="1"/>
  <c r="M8" i="14"/>
  <c r="M33" i="14" s="1"/>
  <c r="L13" i="5"/>
  <c r="L14" i="5" s="1"/>
  <c r="L15" i="5" s="1"/>
  <c r="L13" i="6" s="1"/>
  <c r="O22" i="14"/>
  <c r="H5" i="5"/>
  <c r="H10" i="5" s="1"/>
  <c r="M13" i="5"/>
  <c r="M14" i="5" s="1"/>
  <c r="M15" i="5" s="1"/>
  <c r="M12" i="6" s="1"/>
  <c r="F8" i="13"/>
  <c r="F42" i="13" s="1"/>
  <c r="I32" i="13"/>
  <c r="F14" i="5"/>
  <c r="F15" i="5" s="1"/>
  <c r="M6" i="6"/>
  <c r="M13" i="6"/>
  <c r="M5" i="6"/>
  <c r="U14" i="5"/>
  <c r="U15" i="5"/>
  <c r="H14" i="5"/>
  <c r="H15" i="5"/>
  <c r="X14" i="5"/>
  <c r="X15" i="5" s="1"/>
  <c r="G10" i="5"/>
  <c r="AC5" i="6"/>
  <c r="V14" i="5"/>
  <c r="V15" i="5" s="1"/>
  <c r="W14" i="5"/>
  <c r="W15" i="5" s="1"/>
  <c r="C19" i="4"/>
  <c r="F5" i="5"/>
  <c r="AH5" i="5"/>
  <c r="G13" i="5"/>
  <c r="AG15" i="5"/>
  <c r="E14" i="5"/>
  <c r="E15" i="5" s="1"/>
  <c r="S14" i="5"/>
  <c r="S15" i="5" s="1"/>
  <c r="AI5" i="5"/>
  <c r="AP7" i="6"/>
  <c r="D5" i="7"/>
  <c r="D7" i="7" s="1"/>
  <c r="K15" i="5"/>
  <c r="K11" i="7" s="1"/>
  <c r="N6" i="7"/>
  <c r="AI6" i="7"/>
  <c r="AI7" i="7" s="1"/>
  <c r="AP6" i="7"/>
  <c r="AP7" i="7" s="1"/>
  <c r="T14" i="5"/>
  <c r="T15" i="5"/>
  <c r="E11" i="14"/>
  <c r="E12" i="14" s="1"/>
  <c r="E34" i="14" s="1"/>
  <c r="C52" i="11"/>
  <c r="C50" i="11"/>
  <c r="C48" i="11"/>
  <c r="C42" i="11"/>
  <c r="C40" i="11"/>
  <c r="C38" i="11"/>
  <c r="C36" i="11"/>
  <c r="C34" i="11"/>
  <c r="C28" i="11"/>
  <c r="C26" i="11"/>
  <c r="C24" i="11"/>
  <c r="C22" i="11"/>
  <c r="B16" i="11"/>
  <c r="F13" i="11"/>
  <c r="D11" i="11"/>
  <c r="B9" i="11"/>
  <c r="F6" i="11"/>
  <c r="AM10" i="8"/>
  <c r="AM6" i="9" s="1"/>
  <c r="Y10" i="8"/>
  <c r="Y6" i="9" s="1"/>
  <c r="D11" i="14"/>
  <c r="D12" i="14" s="1"/>
  <c r="D34" i="14" s="1"/>
  <c r="B52" i="11"/>
  <c r="B50" i="11"/>
  <c r="B48" i="11"/>
  <c r="B42" i="11"/>
  <c r="B40" i="11"/>
  <c r="B38" i="11"/>
  <c r="B36" i="11"/>
  <c r="B34" i="11"/>
  <c r="B28" i="11"/>
  <c r="B26" i="11"/>
  <c r="B24" i="11"/>
  <c r="B22" i="11"/>
  <c r="E13" i="11"/>
  <c r="C11" i="11"/>
  <c r="E6" i="11"/>
  <c r="C11" i="14"/>
  <c r="H53" i="11"/>
  <c r="H51" i="11"/>
  <c r="H49" i="11"/>
  <c r="H47" i="11"/>
  <c r="H41" i="11"/>
  <c r="H39" i="11"/>
  <c r="H37" i="11"/>
  <c r="H35" i="11"/>
  <c r="H29" i="11"/>
  <c r="H27" i="11"/>
  <c r="H25" i="11"/>
  <c r="H23" i="11"/>
  <c r="H21" i="11"/>
  <c r="F15" i="11"/>
  <c r="D13" i="11"/>
  <c r="B11" i="11"/>
  <c r="F8" i="11"/>
  <c r="D6" i="11"/>
  <c r="AK10" i="8"/>
  <c r="AK6" i="9" s="1"/>
  <c r="W10" i="8"/>
  <c r="W6" i="9" s="1"/>
  <c r="I10" i="8"/>
  <c r="I6" i="9" s="1"/>
  <c r="F53" i="11"/>
  <c r="F51" i="11"/>
  <c r="F49" i="11"/>
  <c r="F47" i="11"/>
  <c r="F41" i="11"/>
  <c r="F39" i="11"/>
  <c r="F37" i="11"/>
  <c r="F35" i="11"/>
  <c r="F29" i="11"/>
  <c r="F27" i="11"/>
  <c r="F25" i="11"/>
  <c r="F23" i="11"/>
  <c r="F21" i="11"/>
  <c r="D15" i="11"/>
  <c r="B13" i="11"/>
  <c r="F10" i="11"/>
  <c r="D8" i="11"/>
  <c r="B6" i="11"/>
  <c r="AI10" i="8"/>
  <c r="AI6" i="9" s="1"/>
  <c r="U10" i="8"/>
  <c r="U6" i="9" s="1"/>
  <c r="G10" i="8"/>
  <c r="G6" i="9" s="1"/>
  <c r="M11" i="14"/>
  <c r="M12" i="14" s="1"/>
  <c r="M34" i="14" s="1"/>
  <c r="D53" i="11"/>
  <c r="D51" i="11"/>
  <c r="D49" i="11"/>
  <c r="D47" i="11"/>
  <c r="D41" i="11"/>
  <c r="D39" i="11"/>
  <c r="D37" i="11"/>
  <c r="D35" i="11"/>
  <c r="D29" i="11"/>
  <c r="D27" i="11"/>
  <c r="D25" i="11"/>
  <c r="D23" i="11"/>
  <c r="D21" i="11"/>
  <c r="B15" i="11"/>
  <c r="F12" i="11"/>
  <c r="D10" i="11"/>
  <c r="B8" i="11"/>
  <c r="F5" i="11"/>
  <c r="L11" i="14"/>
  <c r="L12" i="14" s="1"/>
  <c r="L34" i="14" s="1"/>
  <c r="C53" i="11"/>
  <c r="C51" i="11"/>
  <c r="C49" i="11"/>
  <c r="C47" i="11"/>
  <c r="C41" i="11"/>
  <c r="C39" i="11"/>
  <c r="C37" i="11"/>
  <c r="C35" i="11"/>
  <c r="C29" i="11"/>
  <c r="C27" i="11"/>
  <c r="C25" i="11"/>
  <c r="C23" i="11"/>
  <c r="C21" i="11"/>
  <c r="E12" i="11"/>
  <c r="C10" i="11"/>
  <c r="E5" i="11"/>
  <c r="J11" i="14"/>
  <c r="J12" i="14" s="1"/>
  <c r="J34" i="14" s="1"/>
  <c r="H52" i="11"/>
  <c r="H50" i="11"/>
  <c r="H48" i="11"/>
  <c r="H42" i="11"/>
  <c r="H40" i="11"/>
  <c r="H38" i="11"/>
  <c r="H36" i="11"/>
  <c r="H34" i="11"/>
  <c r="H28" i="11"/>
  <c r="H26" i="11"/>
  <c r="H24" i="11"/>
  <c r="H22" i="11"/>
  <c r="E14" i="11"/>
  <c r="C12" i="11"/>
  <c r="E7" i="11"/>
  <c r="C5" i="11"/>
  <c r="H11" i="14"/>
  <c r="H12" i="14" s="1"/>
  <c r="H34" i="14" s="1"/>
  <c r="F52" i="11"/>
  <c r="F50" i="11"/>
  <c r="F48" i="11"/>
  <c r="F42" i="11"/>
  <c r="F40" i="11"/>
  <c r="F38" i="11"/>
  <c r="F36" i="11"/>
  <c r="F34" i="11"/>
  <c r="F28" i="11"/>
  <c r="F26" i="11"/>
  <c r="F24" i="11"/>
  <c r="F22" i="11"/>
  <c r="E16" i="11"/>
  <c r="C14" i="11"/>
  <c r="E9" i="11"/>
  <c r="C7" i="11"/>
  <c r="G11" i="14"/>
  <c r="G12" i="14" s="1"/>
  <c r="G34" i="14" s="1"/>
  <c r="E52" i="11"/>
  <c r="E50" i="11"/>
  <c r="E48" i="11"/>
  <c r="E42" i="11"/>
  <c r="E40" i="11"/>
  <c r="E38" i="11"/>
  <c r="E36" i="11"/>
  <c r="E34" i="11"/>
  <c r="E28" i="11"/>
  <c r="E26" i="11"/>
  <c r="E24" i="11"/>
  <c r="E22" i="11"/>
  <c r="D16" i="11"/>
  <c r="B14" i="11"/>
  <c r="F11" i="11"/>
  <c r="D9" i="11"/>
  <c r="B7" i="11"/>
  <c r="D52" i="11"/>
  <c r="G42" i="11"/>
  <c r="B37" i="11"/>
  <c r="E27" i="11"/>
  <c r="G21" i="11"/>
  <c r="AH10" i="8"/>
  <c r="AH6" i="9" s="1"/>
  <c r="Q10" i="8"/>
  <c r="Q6" i="9" s="1"/>
  <c r="G51" i="11"/>
  <c r="D42" i="11"/>
  <c r="G36" i="11"/>
  <c r="B27" i="11"/>
  <c r="E21" i="11"/>
  <c r="D12" i="11"/>
  <c r="F7" i="11"/>
  <c r="AG10" i="8"/>
  <c r="AG6" i="9" s="1"/>
  <c r="P10" i="8"/>
  <c r="P6" i="9" s="1"/>
  <c r="E51" i="11"/>
  <c r="G41" i="11"/>
  <c r="D36" i="11"/>
  <c r="G26" i="11"/>
  <c r="B21" i="11"/>
  <c r="B12" i="11"/>
  <c r="D7" i="11"/>
  <c r="AF10" i="8"/>
  <c r="AF6" i="9" s="1"/>
  <c r="O10" i="8"/>
  <c r="O6" i="9" s="1"/>
  <c r="B51" i="11"/>
  <c r="E41" i="11"/>
  <c r="G35" i="11"/>
  <c r="D26" i="11"/>
  <c r="AE10" i="8"/>
  <c r="AE6" i="9" s="1"/>
  <c r="N10" i="8"/>
  <c r="N6" i="9" s="1"/>
  <c r="G50" i="11"/>
  <c r="B41" i="11"/>
  <c r="E35" i="11"/>
  <c r="G25" i="11"/>
  <c r="F16" i="11"/>
  <c r="E11" i="11"/>
  <c r="C6" i="11"/>
  <c r="AD10" i="8"/>
  <c r="AD6" i="9" s="1"/>
  <c r="M10" i="8"/>
  <c r="M6" i="9" s="1"/>
  <c r="D50" i="11"/>
  <c r="G40" i="11"/>
  <c r="B35" i="11"/>
  <c r="E25" i="11"/>
  <c r="C16" i="11"/>
  <c r="AC10" i="8"/>
  <c r="AC6" i="9" s="1"/>
  <c r="L10" i="8"/>
  <c r="L6" i="9" s="1"/>
  <c r="AH6" i="7"/>
  <c r="AH7" i="7" s="1"/>
  <c r="T6" i="7"/>
  <c r="T7" i="7" s="1"/>
  <c r="F5" i="7"/>
  <c r="F7" i="7" s="1"/>
  <c r="G49" i="11"/>
  <c r="D40" i="11"/>
  <c r="G34" i="11"/>
  <c r="B25" i="11"/>
  <c r="E10" i="11"/>
  <c r="D5" i="11"/>
  <c r="AB10" i="8"/>
  <c r="AB6" i="9" s="1"/>
  <c r="K10" i="8"/>
  <c r="K6" i="9" s="1"/>
  <c r="E49" i="11"/>
  <c r="G39" i="11"/>
  <c r="D34" i="11"/>
  <c r="G24" i="11"/>
  <c r="E15" i="11"/>
  <c r="B10" i="11"/>
  <c r="B5" i="11"/>
  <c r="AA10" i="8"/>
  <c r="AA6" i="9" s="1"/>
  <c r="J10" i="8"/>
  <c r="J6" i="9" s="1"/>
  <c r="I11" i="14"/>
  <c r="I12" i="14" s="1"/>
  <c r="I34" i="14" s="1"/>
  <c r="B53" i="11"/>
  <c r="E47" i="11"/>
  <c r="G37" i="11"/>
  <c r="D28" i="11"/>
  <c r="G22" i="11"/>
  <c r="E8" i="11"/>
  <c r="AL10" i="8"/>
  <c r="AL6" i="9" s="1"/>
  <c r="S10" i="8"/>
  <c r="S6" i="9" s="1"/>
  <c r="C10" i="8"/>
  <c r="C6" i="9" s="1"/>
  <c r="F11" i="14"/>
  <c r="F12" i="14" s="1"/>
  <c r="F34" i="14" s="1"/>
  <c r="G52" i="11"/>
  <c r="B47" i="11"/>
  <c r="E37" i="11"/>
  <c r="G27" i="11"/>
  <c r="D22" i="11"/>
  <c r="C13" i="11"/>
  <c r="C8" i="11"/>
  <c r="AJ10" i="8"/>
  <c r="AJ6" i="9" s="1"/>
  <c r="R10" i="8"/>
  <c r="R6" i="9" s="1"/>
  <c r="B49" i="11"/>
  <c r="E23" i="11"/>
  <c r="C9" i="11"/>
  <c r="AO6" i="7"/>
  <c r="AO7" i="7" s="1"/>
  <c r="Z6" i="7"/>
  <c r="Z7" i="7" s="1"/>
  <c r="K6" i="7"/>
  <c r="K7" i="7" s="1"/>
  <c r="G48" i="11"/>
  <c r="B23" i="11"/>
  <c r="AN6" i="7"/>
  <c r="AN7" i="7" s="1"/>
  <c r="Y6" i="7"/>
  <c r="Y7" i="7" s="1"/>
  <c r="J6" i="7"/>
  <c r="J7" i="7" s="1"/>
  <c r="D48" i="11"/>
  <c r="AM6" i="7"/>
  <c r="AM7" i="7" s="1"/>
  <c r="X6" i="7"/>
  <c r="X7" i="7" s="1"/>
  <c r="I6" i="7"/>
  <c r="I7" i="7" s="1"/>
  <c r="N11" i="14"/>
  <c r="N12" i="14" s="1"/>
  <c r="N34" i="14" s="1"/>
  <c r="G47" i="11"/>
  <c r="AL6" i="7"/>
  <c r="AL7" i="7" s="1"/>
  <c r="W6" i="7"/>
  <c r="W7" i="7" s="1"/>
  <c r="H5" i="7"/>
  <c r="H7" i="7" s="1"/>
  <c r="K11" i="14"/>
  <c r="K12" i="14" s="1"/>
  <c r="K34" i="14" s="1"/>
  <c r="E39" i="11"/>
  <c r="C15" i="11"/>
  <c r="AK6" i="7"/>
  <c r="AK7" i="7" s="1"/>
  <c r="V6" i="7"/>
  <c r="V7" i="7" s="1"/>
  <c r="G5" i="7"/>
  <c r="G7" i="7" s="1"/>
  <c r="B39" i="11"/>
  <c r="AN10" i="8"/>
  <c r="AN6" i="9" s="1"/>
  <c r="AJ6" i="7"/>
  <c r="AJ7" i="7" s="1"/>
  <c r="U6" i="7"/>
  <c r="U7" i="7" s="1"/>
  <c r="E5" i="7"/>
  <c r="E7" i="7" s="1"/>
  <c r="D38" i="11"/>
  <c r="D14" i="11"/>
  <c r="X10" i="8"/>
  <c r="X6" i="9" s="1"/>
  <c r="E29" i="11"/>
  <c r="T10" i="8"/>
  <c r="T6" i="9" s="1"/>
  <c r="AE6" i="7"/>
  <c r="AE7" i="7" s="1"/>
  <c r="P6" i="7"/>
  <c r="P7" i="7" s="1"/>
  <c r="G53" i="11"/>
  <c r="D24" i="11"/>
  <c r="E10" i="8"/>
  <c r="E6" i="9" s="1"/>
  <c r="E53" i="11"/>
  <c r="G23" i="11"/>
  <c r="F9" i="11"/>
  <c r="H10" i="8"/>
  <c r="H6" i="9" s="1"/>
  <c r="AD6" i="7"/>
  <c r="AD7" i="7" s="1"/>
  <c r="F10" i="8"/>
  <c r="F6" i="9" s="1"/>
  <c r="AC6" i="7"/>
  <c r="AC7" i="7" s="1"/>
  <c r="D10" i="8"/>
  <c r="D6" i="9" s="1"/>
  <c r="AB6" i="7"/>
  <c r="AB7" i="7" s="1"/>
  <c r="AA6" i="7"/>
  <c r="AA7" i="7" s="1"/>
  <c r="S6" i="7"/>
  <c r="S7" i="7" s="1"/>
  <c r="R6" i="7"/>
  <c r="R7" i="7" s="1"/>
  <c r="B19" i="3"/>
  <c r="C19" i="3" s="1"/>
  <c r="G38" i="11"/>
  <c r="Q6" i="7"/>
  <c r="G29" i="11"/>
  <c r="O6" i="7"/>
  <c r="O7" i="7" s="1"/>
  <c r="Z10" i="8"/>
  <c r="Z6" i="9" s="1"/>
  <c r="AG6" i="7"/>
  <c r="AG7" i="7" s="1"/>
  <c r="C5" i="7"/>
  <c r="C7" i="7" s="1"/>
  <c r="F14" i="11"/>
  <c r="V10" i="8"/>
  <c r="V6" i="9" s="1"/>
  <c r="AF6" i="7"/>
  <c r="AF7" i="7" s="1"/>
  <c r="AJ14" i="5"/>
  <c r="AJ15" i="5"/>
  <c r="AJ11" i="7" s="1"/>
  <c r="M6" i="7"/>
  <c r="M7" i="7" s="1"/>
  <c r="S5" i="5"/>
  <c r="T5" i="5"/>
  <c r="AN15" i="5"/>
  <c r="AN11" i="7" s="1"/>
  <c r="AQ6" i="7"/>
  <c r="AQ7" i="7" s="1"/>
  <c r="B29" i="11"/>
  <c r="AH14" i="5"/>
  <c r="AH15" i="5" s="1"/>
  <c r="AI14" i="5"/>
  <c r="AI15" i="5"/>
  <c r="C9" i="4"/>
  <c r="C12" i="4" s="1"/>
  <c r="C20" i="4" s="1"/>
  <c r="AK14" i="5"/>
  <c r="AK15" i="5"/>
  <c r="L10" i="5"/>
  <c r="Z10" i="5"/>
  <c r="AN10" i="5"/>
  <c r="U5" i="5"/>
  <c r="AA14" i="5"/>
  <c r="AA15" i="5" s="1"/>
  <c r="AR6" i="7"/>
  <c r="AR7" i="7" s="1"/>
  <c r="B20" i="3"/>
  <c r="AL14" i="5"/>
  <c r="AL15" i="5"/>
  <c r="K28" i="14"/>
  <c r="B21" i="3"/>
  <c r="B22" i="3"/>
  <c r="M11" i="7"/>
  <c r="M10" i="5"/>
  <c r="AA10" i="5"/>
  <c r="AO10" i="5"/>
  <c r="V5" i="5"/>
  <c r="AJ10" i="5"/>
  <c r="N10" i="5"/>
  <c r="AB10" i="5"/>
  <c r="AP10" i="5"/>
  <c r="AP11" i="6" s="1"/>
  <c r="AP11" i="7"/>
  <c r="W5" i="5"/>
  <c r="Q7" i="7"/>
  <c r="O10" i="5"/>
  <c r="AQ10" i="5"/>
  <c r="X5" i="5"/>
  <c r="J10" i="5"/>
  <c r="AM14" i="5"/>
  <c r="AM15" i="5" s="1"/>
  <c r="B23" i="3"/>
  <c r="P10" i="5"/>
  <c r="AD10" i="5"/>
  <c r="AR10" i="5"/>
  <c r="K10" i="5"/>
  <c r="Y15" i="5"/>
  <c r="I14" i="5"/>
  <c r="I15" i="5" s="1"/>
  <c r="C13" i="6"/>
  <c r="C12" i="6"/>
  <c r="C11" i="6"/>
  <c r="C7" i="6"/>
  <c r="C6" i="6"/>
  <c r="C17" i="5"/>
  <c r="C19" i="7"/>
  <c r="Q10" i="5"/>
  <c r="AE10" i="5"/>
  <c r="E5" i="5"/>
  <c r="AG5" i="5"/>
  <c r="Z15" i="5"/>
  <c r="J14" i="5"/>
  <c r="J15" i="5" s="1"/>
  <c r="AO14" i="5"/>
  <c r="AO15" i="5" s="1"/>
  <c r="L7" i="7"/>
  <c r="N13" i="5"/>
  <c r="AR13" i="5"/>
  <c r="N7" i="7"/>
  <c r="AD13" i="5"/>
  <c r="P13" i="5"/>
  <c r="AE13" i="5"/>
  <c r="Q13" i="5"/>
  <c r="C5" i="5"/>
  <c r="D14" i="5"/>
  <c r="D15" i="5" s="1"/>
  <c r="R14" i="5"/>
  <c r="R15" i="5" s="1"/>
  <c r="AF14" i="5"/>
  <c r="AF15" i="5" s="1"/>
  <c r="D5" i="5"/>
  <c r="R5" i="5"/>
  <c r="AF5" i="5"/>
  <c r="F8" i="14"/>
  <c r="F33" i="14" s="1"/>
  <c r="I21" i="13"/>
  <c r="E37" i="13"/>
  <c r="I14" i="13"/>
  <c r="I36" i="13"/>
  <c r="H28" i="14"/>
  <c r="I12" i="13"/>
  <c r="I34" i="13"/>
  <c r="O5" i="14"/>
  <c r="I28" i="14"/>
  <c r="O20" i="14"/>
  <c r="L28" i="14"/>
  <c r="I5" i="13"/>
  <c r="C37" i="13"/>
  <c r="N28" i="14"/>
  <c r="O25" i="14"/>
  <c r="D38" i="13"/>
  <c r="D39" i="13" s="1"/>
  <c r="D44" i="13" s="1"/>
  <c r="D45" i="13" s="1"/>
  <c r="I8" i="14"/>
  <c r="I33" i="14" s="1"/>
  <c r="O16" i="14"/>
  <c r="O24" i="14"/>
  <c r="K8" i="14"/>
  <c r="K33" i="14" s="1"/>
  <c r="C28" i="14"/>
  <c r="G37" i="13"/>
  <c r="L8" i="14"/>
  <c r="L33" i="14" s="1"/>
  <c r="D28" i="14"/>
  <c r="O15" i="14"/>
  <c r="O23" i="14"/>
  <c r="I20" i="13"/>
  <c r="H38" i="13"/>
  <c r="H39" i="13" s="1"/>
  <c r="H44" i="13" s="1"/>
  <c r="H45" i="13" s="1"/>
  <c r="O7" i="14"/>
  <c r="E28" i="14"/>
  <c r="G21" i="13"/>
  <c r="G43" i="13" s="1"/>
  <c r="I18" i="13"/>
  <c r="N8" i="14"/>
  <c r="N33" i="14" s="1"/>
  <c r="F28" i="14"/>
  <c r="I16" i="13"/>
  <c r="O6" i="14"/>
  <c r="G28" i="14"/>
  <c r="O21" i="14"/>
  <c r="C8" i="14"/>
  <c r="AP13" i="6" l="1"/>
  <c r="L6" i="6"/>
  <c r="AP19" i="7"/>
  <c r="L11" i="6"/>
  <c r="L19" i="6" s="1"/>
  <c r="L20" i="6" s="1"/>
  <c r="L5" i="8" s="1"/>
  <c r="M11" i="6"/>
  <c r="M19" i="6" s="1"/>
  <c r="M20" i="6" s="1"/>
  <c r="M5" i="8" s="1"/>
  <c r="O15" i="5"/>
  <c r="L7" i="6"/>
  <c r="M7" i="4"/>
  <c r="AP7" i="4"/>
  <c r="D46" i="13"/>
  <c r="AP17" i="5"/>
  <c r="AP12" i="6" s="1"/>
  <c r="AP14" i="6" s="1"/>
  <c r="M7" i="6"/>
  <c r="M8" i="6" s="1"/>
  <c r="AB7" i="4"/>
  <c r="AB9" i="4" s="1"/>
  <c r="L16" i="5"/>
  <c r="L11" i="7"/>
  <c r="C20" i="3"/>
  <c r="AQ5" i="6"/>
  <c r="AQ7" i="6"/>
  <c r="AQ17" i="5"/>
  <c r="AQ12" i="6" s="1"/>
  <c r="AQ11" i="7"/>
  <c r="AQ19" i="7"/>
  <c r="AQ13" i="6"/>
  <c r="AQ14" i="6" s="1"/>
  <c r="AQ6" i="6"/>
  <c r="AQ16" i="5"/>
  <c r="AQ7" i="4"/>
  <c r="AQ17" i="4" s="1"/>
  <c r="AQ19" i="4" s="1"/>
  <c r="L7" i="4"/>
  <c r="L17" i="4" s="1"/>
  <c r="L19" i="4" s="1"/>
  <c r="AB7" i="6"/>
  <c r="H11" i="7"/>
  <c r="AC11" i="7"/>
  <c r="L17" i="5"/>
  <c r="L13" i="7" s="1"/>
  <c r="AB5" i="6"/>
  <c r="AC11" i="6"/>
  <c r="AQ11" i="6"/>
  <c r="AQ19" i="6" s="1"/>
  <c r="AQ20" i="6" s="1"/>
  <c r="AQ5" i="8" s="1"/>
  <c r="L5" i="6"/>
  <c r="AC19" i="7"/>
  <c r="O11" i="7"/>
  <c r="L19" i="7"/>
  <c r="AC13" i="6"/>
  <c r="M19" i="7"/>
  <c r="AC17" i="5"/>
  <c r="AC13" i="7" s="1"/>
  <c r="AB19" i="7"/>
  <c r="AC6" i="6"/>
  <c r="C21" i="3"/>
  <c r="C22" i="3" s="1"/>
  <c r="AB6" i="6"/>
  <c r="AB17" i="5"/>
  <c r="AB12" i="6" s="1"/>
  <c r="AC7" i="6"/>
  <c r="M16" i="5"/>
  <c r="O7" i="6"/>
  <c r="AC16" i="5"/>
  <c r="I8" i="13"/>
  <c r="H46" i="13"/>
  <c r="AB11" i="7"/>
  <c r="AB11" i="6"/>
  <c r="AB19" i="6" s="1"/>
  <c r="AB20" i="6" s="1"/>
  <c r="AB5" i="8" s="1"/>
  <c r="O17" i="5"/>
  <c r="O13" i="7" s="1"/>
  <c r="AP5" i="6"/>
  <c r="AP8" i="6" s="1"/>
  <c r="L12" i="6"/>
  <c r="L14" i="6" s="1"/>
  <c r="J36" i="14"/>
  <c r="J37" i="14" s="1"/>
  <c r="F46" i="13"/>
  <c r="C23" i="3"/>
  <c r="C24" i="3" s="1"/>
  <c r="D24" i="3" s="1"/>
  <c r="C42" i="13"/>
  <c r="O12" i="6"/>
  <c r="O6" i="6"/>
  <c r="O11" i="6"/>
  <c r="O19" i="6" s="1"/>
  <c r="O20" i="6" s="1"/>
  <c r="O5" i="8" s="1"/>
  <c r="M17" i="5"/>
  <c r="M13" i="7" s="1"/>
  <c r="O7" i="4"/>
  <c r="O17" i="4" s="1"/>
  <c r="O19" i="4" s="1"/>
  <c r="C21" i="4"/>
  <c r="C10" i="7" s="1"/>
  <c r="AM19" i="7"/>
  <c r="AM6" i="6"/>
  <c r="AM11" i="6"/>
  <c r="AM5" i="6"/>
  <c r="AM13" i="6"/>
  <c r="AM16" i="5"/>
  <c r="AM17" i="5"/>
  <c r="AM13" i="7" s="1"/>
  <c r="AM7" i="6"/>
  <c r="AM7" i="4"/>
  <c r="AM11" i="7"/>
  <c r="AA19" i="7"/>
  <c r="AA5" i="6"/>
  <c r="AA16" i="5"/>
  <c r="AA7" i="6"/>
  <c r="AA7" i="4"/>
  <c r="AA13" i="6"/>
  <c r="AA11" i="6"/>
  <c r="AA6" i="6"/>
  <c r="AA17" i="5"/>
  <c r="AA13" i="7" s="1"/>
  <c r="AA11" i="7"/>
  <c r="AB16" i="5"/>
  <c r="I19" i="7"/>
  <c r="I5" i="6"/>
  <c r="I7" i="6"/>
  <c r="I16" i="5"/>
  <c r="I12" i="6"/>
  <c r="I6" i="6"/>
  <c r="I17" i="5"/>
  <c r="I13" i="7" s="1"/>
  <c r="I7" i="4"/>
  <c r="I11" i="6"/>
  <c r="I13" i="6"/>
  <c r="I11" i="7"/>
  <c r="J19" i="7"/>
  <c r="J5" i="6"/>
  <c r="J7" i="6"/>
  <c r="J16" i="5"/>
  <c r="J12" i="6"/>
  <c r="J6" i="6"/>
  <c r="J11" i="6"/>
  <c r="J17" i="5"/>
  <c r="J13" i="7" s="1"/>
  <c r="J7" i="4"/>
  <c r="J13" i="6"/>
  <c r="J11" i="7"/>
  <c r="R19" i="7"/>
  <c r="R13" i="6"/>
  <c r="R12" i="6"/>
  <c r="R11" i="6"/>
  <c r="R7" i="6"/>
  <c r="R6" i="6"/>
  <c r="R5" i="6"/>
  <c r="R17" i="5"/>
  <c r="R7" i="4"/>
  <c r="AR11" i="9"/>
  <c r="AR12" i="9" s="1"/>
  <c r="V19" i="7"/>
  <c r="V13" i="6"/>
  <c r="V6" i="6"/>
  <c r="V17" i="5"/>
  <c r="V5" i="6"/>
  <c r="V16" i="5"/>
  <c r="V7" i="6"/>
  <c r="V7" i="4"/>
  <c r="I11" i="9"/>
  <c r="I12" i="9" s="1"/>
  <c r="AQ11" i="9"/>
  <c r="AQ12" i="9" s="1"/>
  <c r="X11" i="9"/>
  <c r="X12" i="9" s="1"/>
  <c r="AO11" i="6"/>
  <c r="AO5" i="6"/>
  <c r="AO13" i="6"/>
  <c r="AO7" i="4"/>
  <c r="AO16" i="5"/>
  <c r="AO19" i="7"/>
  <c r="AO7" i="6"/>
  <c r="AO17" i="5"/>
  <c r="AO13" i="7" s="1"/>
  <c r="AO6" i="6"/>
  <c r="AO11" i="7"/>
  <c r="AP16" i="5"/>
  <c r="AP19" i="6"/>
  <c r="AP20" i="6" s="1"/>
  <c r="AP5" i="8" s="1"/>
  <c r="AM11" i="9"/>
  <c r="AM12" i="9" s="1"/>
  <c r="AF19" i="7"/>
  <c r="AF13" i="6"/>
  <c r="AF7" i="6"/>
  <c r="AF6" i="6"/>
  <c r="AF5" i="6"/>
  <c r="AF17" i="5"/>
  <c r="AF12" i="6" s="1"/>
  <c r="AF7" i="4"/>
  <c r="X19" i="7"/>
  <c r="X13" i="6"/>
  <c r="X5" i="6"/>
  <c r="X16" i="5"/>
  <c r="X7" i="6"/>
  <c r="X6" i="6"/>
  <c r="X17" i="5"/>
  <c r="X7" i="4"/>
  <c r="AH19" i="7"/>
  <c r="AH13" i="6"/>
  <c r="AH7" i="6"/>
  <c r="AH17" i="5"/>
  <c r="AH12" i="6" s="1"/>
  <c r="AH6" i="6"/>
  <c r="AH7" i="4"/>
  <c r="AH5" i="6"/>
  <c r="AH16" i="5"/>
  <c r="M11" i="9"/>
  <c r="M12" i="9" s="1"/>
  <c r="J11" i="9"/>
  <c r="J12" i="9" s="1"/>
  <c r="F19" i="7"/>
  <c r="F13" i="6"/>
  <c r="F12" i="6"/>
  <c r="F11" i="6"/>
  <c r="F17" i="5"/>
  <c r="F5" i="6"/>
  <c r="F6" i="6"/>
  <c r="F7" i="6"/>
  <c r="F16" i="5"/>
  <c r="F7" i="4"/>
  <c r="S19" i="7"/>
  <c r="S13" i="6"/>
  <c r="S7" i="6"/>
  <c r="S6" i="6"/>
  <c r="S5" i="6"/>
  <c r="S17" i="5"/>
  <c r="S12" i="6" s="1"/>
  <c r="S16" i="5"/>
  <c r="S7" i="4"/>
  <c r="AB11" i="9"/>
  <c r="AB12" i="9" s="1"/>
  <c r="AK19" i="7"/>
  <c r="AK17" i="5"/>
  <c r="AK13" i="7" s="1"/>
  <c r="AK6" i="6"/>
  <c r="AK11" i="6"/>
  <c r="AK12" i="6"/>
  <c r="AK5" i="6"/>
  <c r="AK7" i="4"/>
  <c r="AK16" i="5"/>
  <c r="AK13" i="6"/>
  <c r="AK7" i="6"/>
  <c r="N29" i="14"/>
  <c r="N30" i="14" s="1"/>
  <c r="N35" i="14" s="1"/>
  <c r="N36" i="14" s="1"/>
  <c r="N37" i="14" s="1"/>
  <c r="C29" i="14"/>
  <c r="C30" i="14" s="1"/>
  <c r="O28" i="14"/>
  <c r="E38" i="13"/>
  <c r="E39" i="13" s="1"/>
  <c r="E44" i="13" s="1"/>
  <c r="E45" i="13" s="1"/>
  <c r="E46" i="13" s="1"/>
  <c r="R11" i="7"/>
  <c r="R10" i="5"/>
  <c r="L11" i="9"/>
  <c r="L12" i="9" s="1"/>
  <c r="Q11" i="9"/>
  <c r="Q12" i="9" s="1"/>
  <c r="AD11" i="9"/>
  <c r="AD12" i="9" s="1"/>
  <c r="AL11" i="9"/>
  <c r="AL12" i="9" s="1"/>
  <c r="F11" i="7"/>
  <c r="F10" i="5"/>
  <c r="AD14" i="5"/>
  <c r="AD15" i="5" s="1"/>
  <c r="AJ11" i="9"/>
  <c r="AJ12" i="9" s="1"/>
  <c r="I29" i="14"/>
  <c r="I30" i="14" s="1"/>
  <c r="I35" i="14" s="1"/>
  <c r="I36" i="14" s="1"/>
  <c r="I37" i="14" s="1"/>
  <c r="AH11" i="9"/>
  <c r="AH12" i="9" s="1"/>
  <c r="Z19" i="7"/>
  <c r="Z13" i="6"/>
  <c r="Z5" i="6"/>
  <c r="Z16" i="5"/>
  <c r="Z7" i="6"/>
  <c r="Z7" i="4"/>
  <c r="Z11" i="6"/>
  <c r="Z6" i="6"/>
  <c r="Z17" i="5"/>
  <c r="Z13" i="7" s="1"/>
  <c r="I42" i="13"/>
  <c r="S11" i="9"/>
  <c r="S12" i="9" s="1"/>
  <c r="D11" i="7"/>
  <c r="D10" i="5"/>
  <c r="AC11" i="9"/>
  <c r="AC12" i="9" s="1"/>
  <c r="I43" i="13"/>
  <c r="W11" i="7"/>
  <c r="W10" i="5"/>
  <c r="W11" i="6" s="1"/>
  <c r="AK11" i="7"/>
  <c r="K11" i="9"/>
  <c r="K12" i="9" s="1"/>
  <c r="E11" i="9"/>
  <c r="E12" i="9" s="1"/>
  <c r="AC17" i="4"/>
  <c r="AC19" i="4" s="1"/>
  <c r="AC9" i="4"/>
  <c r="AI11" i="7"/>
  <c r="AI10" i="5"/>
  <c r="R11" i="9"/>
  <c r="R12" i="9" s="1"/>
  <c r="E29" i="14"/>
  <c r="E30" i="14" s="1"/>
  <c r="E35" i="14" s="1"/>
  <c r="E36" i="14" s="1"/>
  <c r="E37" i="14" s="1"/>
  <c r="L29" i="14"/>
  <c r="L30" i="14"/>
  <c r="L35" i="14" s="1"/>
  <c r="L36" i="14" s="1"/>
  <c r="L37" i="14" s="1"/>
  <c r="U11" i="9"/>
  <c r="U12" i="9" s="1"/>
  <c r="AP11" i="9"/>
  <c r="AP12" i="9" s="1"/>
  <c r="AJ19" i="7"/>
  <c r="AJ13" i="6"/>
  <c r="AJ11" i="6"/>
  <c r="AJ17" i="5"/>
  <c r="AJ13" i="7" s="1"/>
  <c r="AJ6" i="6"/>
  <c r="AJ7" i="6"/>
  <c r="AJ7" i="4"/>
  <c r="AJ16" i="5"/>
  <c r="AJ5" i="6"/>
  <c r="C19" i="6"/>
  <c r="C20" i="6" s="1"/>
  <c r="C5" i="8" s="1"/>
  <c r="C14" i="6"/>
  <c r="O11" i="9"/>
  <c r="O12" i="9" s="1"/>
  <c r="T11" i="9"/>
  <c r="T12" i="9" s="1"/>
  <c r="AR14" i="5"/>
  <c r="AR15" i="5" s="1"/>
  <c r="AG11" i="7"/>
  <c r="AG10" i="5"/>
  <c r="AG11" i="6" s="1"/>
  <c r="K29" i="14"/>
  <c r="K30" i="14" s="1"/>
  <c r="K35" i="14" s="1"/>
  <c r="K36" i="14" s="1"/>
  <c r="K37" i="14" s="1"/>
  <c r="U11" i="7"/>
  <c r="U10" i="5"/>
  <c r="U11" i="6" s="1"/>
  <c r="AQ13" i="7"/>
  <c r="G11" i="9"/>
  <c r="G12" i="9" s="1"/>
  <c r="M14" i="6"/>
  <c r="D19" i="7"/>
  <c r="D13" i="6"/>
  <c r="D12" i="6"/>
  <c r="D11" i="6"/>
  <c r="D7" i="6"/>
  <c r="D6" i="6"/>
  <c r="D5" i="6"/>
  <c r="D17" i="5"/>
  <c r="D13" i="7" s="1"/>
  <c r="D16" i="5"/>
  <c r="D7" i="4"/>
  <c r="Y19" i="7"/>
  <c r="Y13" i="6"/>
  <c r="Y5" i="6"/>
  <c r="Y16" i="5"/>
  <c r="Y7" i="6"/>
  <c r="Y11" i="6"/>
  <c r="Y6" i="6"/>
  <c r="Y17" i="5"/>
  <c r="Y13" i="7" s="1"/>
  <c r="Y7" i="4"/>
  <c r="AL19" i="7"/>
  <c r="AL17" i="5"/>
  <c r="AL13" i="7" s="1"/>
  <c r="AL6" i="6"/>
  <c r="AL11" i="6"/>
  <c r="AL5" i="6"/>
  <c r="AL13" i="6"/>
  <c r="AL16" i="5"/>
  <c r="AL7" i="6"/>
  <c r="AL7" i="4"/>
  <c r="AF11" i="9"/>
  <c r="AF12" i="9" s="1"/>
  <c r="D19" i="3"/>
  <c r="V11" i="9"/>
  <c r="V12" i="9" s="1"/>
  <c r="AI11" i="9"/>
  <c r="AI12" i="9" s="1"/>
  <c r="D11" i="9"/>
  <c r="D12" i="9" s="1"/>
  <c r="W19" i="7"/>
  <c r="W13" i="6"/>
  <c r="W5" i="6"/>
  <c r="W16" i="5"/>
  <c r="W6" i="6"/>
  <c r="W7" i="6"/>
  <c r="W17" i="5"/>
  <c r="W7" i="4"/>
  <c r="M9" i="4"/>
  <c r="M17" i="4"/>
  <c r="M19" i="4" s="1"/>
  <c r="N14" i="5"/>
  <c r="N15" i="5" s="1"/>
  <c r="E11" i="7"/>
  <c r="E10" i="5"/>
  <c r="X11" i="7"/>
  <c r="X10" i="5"/>
  <c r="X11" i="6" s="1"/>
  <c r="C11" i="7"/>
  <c r="C10" i="5"/>
  <c r="C13" i="7" s="1"/>
  <c r="AL11" i="7"/>
  <c r="AN19" i="7"/>
  <c r="AN11" i="6"/>
  <c r="AN5" i="6"/>
  <c r="AN13" i="6"/>
  <c r="AN16" i="5"/>
  <c r="AN6" i="6"/>
  <c r="AN7" i="4"/>
  <c r="AN17" i="5"/>
  <c r="AN13" i="7" s="1"/>
  <c r="AN7" i="6"/>
  <c r="P11" i="9"/>
  <c r="P12" i="9" s="1"/>
  <c r="AK11" i="9"/>
  <c r="AK12" i="9" s="1"/>
  <c r="T19" i="7"/>
  <c r="T13" i="6"/>
  <c r="T11" i="6"/>
  <c r="T6" i="6"/>
  <c r="T17" i="5"/>
  <c r="T12" i="6" s="1"/>
  <c r="T16" i="5"/>
  <c r="T7" i="6"/>
  <c r="T5" i="6"/>
  <c r="T7" i="4"/>
  <c r="C33" i="14"/>
  <c r="O8" i="14"/>
  <c r="E19" i="7"/>
  <c r="E13" i="6"/>
  <c r="E12" i="6"/>
  <c r="E11" i="6"/>
  <c r="E7" i="6"/>
  <c r="E6" i="6"/>
  <c r="E5" i="6"/>
  <c r="E17" i="5"/>
  <c r="E7" i="4"/>
  <c r="E16" i="5"/>
  <c r="H29" i="14"/>
  <c r="H30" i="14" s="1"/>
  <c r="H35" i="14" s="1"/>
  <c r="H36" i="14" s="1"/>
  <c r="H37" i="14" s="1"/>
  <c r="Q14" i="5"/>
  <c r="Q15" i="5"/>
  <c r="R16" i="5" s="1"/>
  <c r="AO11" i="9"/>
  <c r="AO12" i="9" s="1"/>
  <c r="Y11" i="7"/>
  <c r="T11" i="7"/>
  <c r="T10" i="5"/>
  <c r="AE11" i="9"/>
  <c r="AE12" i="9" s="1"/>
  <c r="K19" i="7"/>
  <c r="K5" i="6"/>
  <c r="K7" i="6"/>
  <c r="K16" i="5"/>
  <c r="K12" i="6"/>
  <c r="K6" i="6"/>
  <c r="K17" i="5"/>
  <c r="K13" i="7" s="1"/>
  <c r="K7" i="4"/>
  <c r="K11" i="6"/>
  <c r="K13" i="6"/>
  <c r="G29" i="14"/>
  <c r="G30" i="14" s="1"/>
  <c r="G35" i="14" s="1"/>
  <c r="G36" i="14" s="1"/>
  <c r="G37" i="14" s="1"/>
  <c r="D29" i="14"/>
  <c r="D30" i="14" s="1"/>
  <c r="D35" i="14" s="1"/>
  <c r="D36" i="14" s="1"/>
  <c r="D37" i="14" s="1"/>
  <c r="AA11" i="9"/>
  <c r="AA12" i="9" s="1"/>
  <c r="V11" i="7"/>
  <c r="V10" i="5"/>
  <c r="V11" i="6" s="1"/>
  <c r="Y11" i="9"/>
  <c r="Y12" i="9" s="1"/>
  <c r="Z11" i="7"/>
  <c r="C11" i="9"/>
  <c r="C12" i="9" s="1"/>
  <c r="M36" i="14"/>
  <c r="M37" i="14" s="1"/>
  <c r="AP17" i="4"/>
  <c r="AP19" i="4" s="1"/>
  <c r="AP9" i="4"/>
  <c r="H19" i="7"/>
  <c r="H13" i="6"/>
  <c r="H12" i="6"/>
  <c r="H5" i="6"/>
  <c r="H7" i="6"/>
  <c r="H6" i="6"/>
  <c r="H17" i="5"/>
  <c r="H13" i="7" s="1"/>
  <c r="H7" i="4"/>
  <c r="H11" i="6"/>
  <c r="N11" i="9"/>
  <c r="N12" i="9" s="1"/>
  <c r="AE14" i="5"/>
  <c r="AE15" i="5" s="1"/>
  <c r="AI19" i="7"/>
  <c r="AI17" i="5"/>
  <c r="AI12" i="6" s="1"/>
  <c r="AI6" i="6"/>
  <c r="AI11" i="6"/>
  <c r="AI7" i="6"/>
  <c r="AI13" i="6"/>
  <c r="AI7" i="4"/>
  <c r="AI5" i="6"/>
  <c r="AI16" i="5"/>
  <c r="AG11" i="9"/>
  <c r="AG12" i="9" s="1"/>
  <c r="O11" i="14"/>
  <c r="C12" i="14"/>
  <c r="AG19" i="7"/>
  <c r="AG13" i="6"/>
  <c r="AG7" i="6"/>
  <c r="AG6" i="6"/>
  <c r="AG5" i="6"/>
  <c r="AG17" i="5"/>
  <c r="AG16" i="5"/>
  <c r="AG7" i="4"/>
  <c r="F29" i="14"/>
  <c r="F30" i="14" s="1"/>
  <c r="F35" i="14" s="1"/>
  <c r="F36" i="14" s="1"/>
  <c r="F37" i="14" s="1"/>
  <c r="G38" i="13"/>
  <c r="G39" i="13" s="1"/>
  <c r="G44" i="13" s="1"/>
  <c r="G45" i="13" s="1"/>
  <c r="G46" i="13" s="1"/>
  <c r="C38" i="13"/>
  <c r="C39" i="13" s="1"/>
  <c r="I37" i="13"/>
  <c r="P14" i="5"/>
  <c r="P15" i="5" s="1"/>
  <c r="AN11" i="9"/>
  <c r="AN12" i="9" s="1"/>
  <c r="D22" i="3"/>
  <c r="H11" i="9"/>
  <c r="H12" i="9" s="1"/>
  <c r="G14" i="5"/>
  <c r="G15" i="5" s="1"/>
  <c r="U19" i="7"/>
  <c r="U6" i="6"/>
  <c r="U17" i="5"/>
  <c r="U13" i="6"/>
  <c r="U5" i="6"/>
  <c r="U16" i="5"/>
  <c r="U7" i="6"/>
  <c r="U7" i="4"/>
  <c r="S11" i="7"/>
  <c r="S10" i="5"/>
  <c r="S11" i="6" s="1"/>
  <c r="AF11" i="7"/>
  <c r="AF10" i="5"/>
  <c r="AF11" i="6" s="1"/>
  <c r="Z11" i="9"/>
  <c r="Z12" i="9" s="1"/>
  <c r="C5" i="6"/>
  <c r="C8" i="6" s="1"/>
  <c r="D20" i="3"/>
  <c r="W11" i="9"/>
  <c r="W12" i="9" s="1"/>
  <c r="F11" i="9"/>
  <c r="F12" i="9" s="1"/>
  <c r="AH11" i="7"/>
  <c r="AH10" i="5"/>
  <c r="AH11" i="6" s="1"/>
  <c r="L8" i="6" l="1"/>
  <c r="AB17" i="4"/>
  <c r="AB19" i="4" s="1"/>
  <c r="AP13" i="7"/>
  <c r="O19" i="7"/>
  <c r="O5" i="6"/>
  <c r="O8" i="6" s="1"/>
  <c r="AC12" i="6"/>
  <c r="O13" i="6"/>
  <c r="O14" i="6" s="1"/>
  <c r="L9" i="4"/>
  <c r="AQ9" i="4"/>
  <c r="AQ12" i="4" s="1"/>
  <c r="AQ20" i="4" s="1"/>
  <c r="AQ21" i="4" s="1"/>
  <c r="AQ10" i="7" s="1"/>
  <c r="AQ20" i="7" s="1"/>
  <c r="AC8" i="6"/>
  <c r="D8" i="6"/>
  <c r="AC14" i="6"/>
  <c r="AB14" i="6"/>
  <c r="AB8" i="6"/>
  <c r="AQ8" i="6"/>
  <c r="AP16" i="6"/>
  <c r="AP4" i="8" s="1"/>
  <c r="AP6" i="8" s="1"/>
  <c r="AP16" i="8" s="1"/>
  <c r="AJ12" i="6"/>
  <c r="AJ14" i="6" s="1"/>
  <c r="U13" i="7"/>
  <c r="D23" i="3"/>
  <c r="AC19" i="6"/>
  <c r="AC20" i="6" s="1"/>
  <c r="AC5" i="8" s="1"/>
  <c r="AB13" i="7"/>
  <c r="D21" i="3"/>
  <c r="C16" i="6"/>
  <c r="C4" i="8" s="1"/>
  <c r="C17" i="8" s="1"/>
  <c r="AI13" i="7"/>
  <c r="E13" i="7"/>
  <c r="E8" i="6"/>
  <c r="AN12" i="6"/>
  <c r="AN14" i="6" s="1"/>
  <c r="U8" i="6"/>
  <c r="W13" i="7"/>
  <c r="AN8" i="6"/>
  <c r="AA8" i="6"/>
  <c r="O9" i="4"/>
  <c r="U12" i="6"/>
  <c r="U14" i="6" s="1"/>
  <c r="AI8" i="6"/>
  <c r="C20" i="7"/>
  <c r="C21" i="7" s="1"/>
  <c r="C22" i="7" s="1"/>
  <c r="AJ8" i="6"/>
  <c r="X13" i="7"/>
  <c r="R13" i="7"/>
  <c r="R8" i="6"/>
  <c r="Z8" i="6"/>
  <c r="P19" i="7"/>
  <c r="P11" i="6"/>
  <c r="P6" i="6"/>
  <c r="P12" i="6"/>
  <c r="P17" i="5"/>
  <c r="P13" i="7" s="1"/>
  <c r="P13" i="6"/>
  <c r="P5" i="6"/>
  <c r="P7" i="4"/>
  <c r="P7" i="6"/>
  <c r="P16" i="5"/>
  <c r="P11" i="7"/>
  <c r="C44" i="13"/>
  <c r="I39" i="13"/>
  <c r="X19" i="6"/>
  <c r="X20" i="6" s="1"/>
  <c r="X5" i="8" s="1"/>
  <c r="AG19" i="6"/>
  <c r="AG20" i="6" s="1"/>
  <c r="AG5" i="8" s="1"/>
  <c r="AF19" i="6"/>
  <c r="AF20" i="6" s="1"/>
  <c r="AF5" i="8" s="1"/>
  <c r="AF14" i="6"/>
  <c r="V19" i="6"/>
  <c r="V20" i="6" s="1"/>
  <c r="V5" i="8" s="1"/>
  <c r="G19" i="7"/>
  <c r="G5" i="6"/>
  <c r="G7" i="6"/>
  <c r="G16" i="5"/>
  <c r="G13" i="6"/>
  <c r="G12" i="6"/>
  <c r="G7" i="4"/>
  <c r="G6" i="6"/>
  <c r="G17" i="5"/>
  <c r="G13" i="7" s="1"/>
  <c r="G11" i="6"/>
  <c r="G11" i="7"/>
  <c r="H16" i="5"/>
  <c r="S19" i="6"/>
  <c r="S20" i="6" s="1"/>
  <c r="S5" i="8" s="1"/>
  <c r="S14" i="6"/>
  <c r="AH19" i="6"/>
  <c r="AH20" i="6" s="1"/>
  <c r="AH5" i="8" s="1"/>
  <c r="AH14" i="6"/>
  <c r="AE13" i="6"/>
  <c r="AE11" i="6"/>
  <c r="AE7" i="6"/>
  <c r="AE6" i="6"/>
  <c r="AE17" i="5"/>
  <c r="AE13" i="7" s="1"/>
  <c r="AE16" i="5"/>
  <c r="AE7" i="4"/>
  <c r="AE19" i="7"/>
  <c r="AE5" i="6"/>
  <c r="AE11" i="7"/>
  <c r="AF16" i="5"/>
  <c r="K17" i="4"/>
  <c r="K19" i="4" s="1"/>
  <c r="K9" i="4"/>
  <c r="L12" i="4" s="1"/>
  <c r="L20" i="4" s="1"/>
  <c r="L21" i="4" s="1"/>
  <c r="L10" i="7" s="1"/>
  <c r="L20" i="7" s="1"/>
  <c r="U9" i="4"/>
  <c r="U17" i="4"/>
  <c r="U19" i="4" s="1"/>
  <c r="E19" i="6"/>
  <c r="E20" i="6" s="1"/>
  <c r="E5" i="8" s="1"/>
  <c r="E14" i="6"/>
  <c r="T19" i="6"/>
  <c r="T20" i="6" s="1"/>
  <c r="T5" i="8" s="1"/>
  <c r="T14" i="6"/>
  <c r="AC12" i="4"/>
  <c r="AC20" i="4" s="1"/>
  <c r="AC21" i="4" s="1"/>
  <c r="AC10" i="7" s="1"/>
  <c r="AC20" i="7" s="1"/>
  <c r="Z12" i="6"/>
  <c r="Z14" i="6" s="1"/>
  <c r="AK17" i="4"/>
  <c r="AK19" i="4" s="1"/>
  <c r="AK9" i="4"/>
  <c r="K19" i="6"/>
  <c r="K20" i="6" s="1"/>
  <c r="K5" i="8" s="1"/>
  <c r="K14" i="6"/>
  <c r="M12" i="4"/>
  <c r="M20" i="4" s="1"/>
  <c r="M21" i="4" s="1"/>
  <c r="M10" i="7" s="1"/>
  <c r="M20" i="7" s="1"/>
  <c r="M16" i="6"/>
  <c r="M4" i="8" s="1"/>
  <c r="AK8" i="6"/>
  <c r="AF13" i="7"/>
  <c r="R17" i="4"/>
  <c r="R19" i="4" s="1"/>
  <c r="R9" i="4"/>
  <c r="J19" i="6"/>
  <c r="J20" i="6" s="1"/>
  <c r="J5" i="8" s="1"/>
  <c r="J14" i="6"/>
  <c r="AN19" i="6"/>
  <c r="AN20" i="6" s="1"/>
  <c r="AN5" i="8" s="1"/>
  <c r="AG13" i="7"/>
  <c r="D19" i="6"/>
  <c r="D20" i="6" s="1"/>
  <c r="D5" i="8" s="1"/>
  <c r="D14" i="6"/>
  <c r="AJ17" i="4"/>
  <c r="AJ19" i="4" s="1"/>
  <c r="AJ9" i="4"/>
  <c r="L16" i="6"/>
  <c r="L4" i="8" s="1"/>
  <c r="F9" i="4"/>
  <c r="F17" i="4"/>
  <c r="F19" i="4" s="1"/>
  <c r="I8" i="6"/>
  <c r="Q19" i="7"/>
  <c r="Q13" i="6"/>
  <c r="Q12" i="6"/>
  <c r="Q11" i="6"/>
  <c r="Q7" i="6"/>
  <c r="Q6" i="6"/>
  <c r="Q17" i="5"/>
  <c r="Q13" i="7" s="1"/>
  <c r="Q5" i="6"/>
  <c r="Q7" i="4"/>
  <c r="Q16" i="5"/>
  <c r="Q11" i="7"/>
  <c r="U19" i="6"/>
  <c r="U20" i="6" s="1"/>
  <c r="U5" i="8" s="1"/>
  <c r="AG8" i="6"/>
  <c r="O33" i="14"/>
  <c r="Y19" i="6"/>
  <c r="Y20" i="6" s="1"/>
  <c r="Y5" i="8" s="1"/>
  <c r="AR19" i="7"/>
  <c r="AR5" i="6"/>
  <c r="AR13" i="6"/>
  <c r="AR16" i="5"/>
  <c r="AR7" i="6"/>
  <c r="AR11" i="6"/>
  <c r="AR17" i="5"/>
  <c r="AR13" i="7" s="1"/>
  <c r="AR6" i="6"/>
  <c r="AR7" i="4"/>
  <c r="AR11" i="7"/>
  <c r="O30" i="14"/>
  <c r="C35" i="14"/>
  <c r="O35" i="14" s="1"/>
  <c r="AO17" i="4"/>
  <c r="AO19" i="4" s="1"/>
  <c r="AO9" i="4"/>
  <c r="V8" i="6"/>
  <c r="J8" i="6"/>
  <c r="AF8" i="6"/>
  <c r="Y17" i="4"/>
  <c r="Y19" i="4" s="1"/>
  <c r="Y9" i="4"/>
  <c r="X9" i="4"/>
  <c r="X17" i="4"/>
  <c r="X19" i="4" s="1"/>
  <c r="AL17" i="4"/>
  <c r="AL19" i="4" s="1"/>
  <c r="AL9" i="4"/>
  <c r="O29" i="14"/>
  <c r="V13" i="7"/>
  <c r="R19" i="6"/>
  <c r="R20" i="6" s="1"/>
  <c r="R5" i="8" s="1"/>
  <c r="R14" i="6"/>
  <c r="V9" i="4"/>
  <c r="V17" i="4"/>
  <c r="V19" i="4" s="1"/>
  <c r="H17" i="4"/>
  <c r="H19" i="4" s="1"/>
  <c r="H9" i="4"/>
  <c r="K8" i="6"/>
  <c r="T9" i="4"/>
  <c r="T17" i="4"/>
  <c r="T19" i="4" s="1"/>
  <c r="AH8" i="6"/>
  <c r="X8" i="6"/>
  <c r="AO8" i="6"/>
  <c r="W8" i="6"/>
  <c r="E9" i="4"/>
  <c r="E17" i="4"/>
  <c r="E19" i="4" s="1"/>
  <c r="T8" i="6"/>
  <c r="W12" i="6"/>
  <c r="W14" i="6" s="1"/>
  <c r="Y8" i="6"/>
  <c r="AJ19" i="6"/>
  <c r="AJ20" i="6" s="1"/>
  <c r="AJ5" i="8" s="1"/>
  <c r="S9" i="4"/>
  <c r="S17" i="4"/>
  <c r="S19" i="4" s="1"/>
  <c r="F8" i="6"/>
  <c r="AH9" i="4"/>
  <c r="AH17" i="4"/>
  <c r="AH19" i="4" s="1"/>
  <c r="AO12" i="6"/>
  <c r="AO14" i="6" s="1"/>
  <c r="AA12" i="6"/>
  <c r="AA14" i="6" s="1"/>
  <c r="AM8" i="6"/>
  <c r="AI9" i="4"/>
  <c r="AI17" i="4"/>
  <c r="AI19" i="4" s="1"/>
  <c r="H19" i="6"/>
  <c r="H20" i="6" s="1"/>
  <c r="H5" i="8" s="1"/>
  <c r="H14" i="6"/>
  <c r="AN17" i="4"/>
  <c r="AN19" i="4" s="1"/>
  <c r="AN9" i="4"/>
  <c r="W19" i="6"/>
  <c r="W20" i="6" s="1"/>
  <c r="W5" i="8" s="1"/>
  <c r="F13" i="7"/>
  <c r="X12" i="6"/>
  <c r="X14" i="6" s="1"/>
  <c r="AO19" i="6"/>
  <c r="AO20" i="6" s="1"/>
  <c r="AO5" i="8" s="1"/>
  <c r="V12" i="6"/>
  <c r="V14" i="6" s="1"/>
  <c r="I19" i="6"/>
  <c r="I20" i="6" s="1"/>
  <c r="I5" i="8" s="1"/>
  <c r="I14" i="6"/>
  <c r="AA19" i="6"/>
  <c r="AA20" i="6" s="1"/>
  <c r="AA5" i="8" s="1"/>
  <c r="AM12" i="6"/>
  <c r="AM14" i="6" s="1"/>
  <c r="W9" i="4"/>
  <c r="W17" i="4"/>
  <c r="W19" i="4" s="1"/>
  <c r="AM9" i="4"/>
  <c r="AM17" i="4"/>
  <c r="AM19" i="4" s="1"/>
  <c r="AL8" i="6"/>
  <c r="Y12" i="6"/>
  <c r="Y14" i="6" s="1"/>
  <c r="S13" i="7"/>
  <c r="F19" i="6"/>
  <c r="F20" i="6" s="1"/>
  <c r="F5" i="8" s="1"/>
  <c r="F14" i="6"/>
  <c r="AH13" i="7"/>
  <c r="I17" i="4"/>
  <c r="I19" i="4" s="1"/>
  <c r="I9" i="4"/>
  <c r="AM19" i="6"/>
  <c r="AM20" i="6" s="1"/>
  <c r="AM5" i="8" s="1"/>
  <c r="I38" i="13"/>
  <c r="AG12" i="6"/>
  <c r="AG14" i="6" s="1"/>
  <c r="AI19" i="6"/>
  <c r="AI20" i="6" s="1"/>
  <c r="AI5" i="8" s="1"/>
  <c r="AI14" i="6"/>
  <c r="T13" i="7"/>
  <c r="N19" i="7"/>
  <c r="N7" i="6"/>
  <c r="N16" i="5"/>
  <c r="N7" i="4"/>
  <c r="N11" i="6"/>
  <c r="N6" i="6"/>
  <c r="N12" i="6"/>
  <c r="N17" i="5"/>
  <c r="N13" i="7" s="1"/>
  <c r="N13" i="6"/>
  <c r="N5" i="6"/>
  <c r="O16" i="5"/>
  <c r="N11" i="7"/>
  <c r="AL12" i="6"/>
  <c r="AL14" i="6" s="1"/>
  <c r="Z19" i="6"/>
  <c r="Z20" i="6" s="1"/>
  <c r="Z5" i="8" s="1"/>
  <c r="S8" i="6"/>
  <c r="AA9" i="4"/>
  <c r="AA17" i="4"/>
  <c r="AA19" i="4" s="1"/>
  <c r="AG9" i="4"/>
  <c r="AG17" i="4"/>
  <c r="AG19" i="4" s="1"/>
  <c r="AK19" i="6"/>
  <c r="AK20" i="6" s="1"/>
  <c r="AK5" i="8" s="1"/>
  <c r="AK14" i="6"/>
  <c r="AQ16" i="6"/>
  <c r="AQ4" i="8" s="1"/>
  <c r="C34" i="14"/>
  <c r="O12" i="14"/>
  <c r="H8" i="6"/>
  <c r="AL19" i="6"/>
  <c r="AL20" i="6" s="1"/>
  <c r="AL5" i="8" s="1"/>
  <c r="D17" i="4"/>
  <c r="D19" i="4" s="1"/>
  <c r="D9" i="4"/>
  <c r="D12" i="4" s="1"/>
  <c r="D20" i="4" s="1"/>
  <c r="Z17" i="4"/>
  <c r="Z19" i="4" s="1"/>
  <c r="Z9" i="4"/>
  <c r="AD16" i="5"/>
  <c r="AD7" i="6"/>
  <c r="AD6" i="6"/>
  <c r="AD17" i="5"/>
  <c r="AD13" i="7" s="1"/>
  <c r="AD13" i="6"/>
  <c r="AD11" i="6"/>
  <c r="AD19" i="7"/>
  <c r="AD7" i="4"/>
  <c r="AD12" i="6"/>
  <c r="AD5" i="6"/>
  <c r="AD11" i="7"/>
  <c r="AF17" i="4"/>
  <c r="AF19" i="4" s="1"/>
  <c r="AF9" i="4"/>
  <c r="J17" i="4"/>
  <c r="J19" i="4" s="1"/>
  <c r="J9" i="4"/>
  <c r="O16" i="6" l="1"/>
  <c r="O4" i="8" s="1"/>
  <c r="O6" i="8" s="1"/>
  <c r="O16" i="8" s="1"/>
  <c r="AC16" i="6"/>
  <c r="AC4" i="8" s="1"/>
  <c r="AA16" i="6"/>
  <c r="AA4" i="8" s="1"/>
  <c r="D16" i="6"/>
  <c r="D4" i="8" s="1"/>
  <c r="D7" i="9" s="1"/>
  <c r="AL12" i="4"/>
  <c r="AL20" i="4" s="1"/>
  <c r="AB16" i="6"/>
  <c r="AB4" i="8" s="1"/>
  <c r="AB6" i="8" s="1"/>
  <c r="AB16" i="8" s="1"/>
  <c r="S16" i="6"/>
  <c r="S4" i="8" s="1"/>
  <c r="R16" i="6"/>
  <c r="R4" i="8" s="1"/>
  <c r="Q8" i="6"/>
  <c r="E16" i="6"/>
  <c r="E4" i="8" s="1"/>
  <c r="E7" i="9" s="1"/>
  <c r="Z16" i="6"/>
  <c r="Z4" i="8" s="1"/>
  <c r="C18" i="8"/>
  <c r="AJ16" i="6"/>
  <c r="AJ4" i="8" s="1"/>
  <c r="AE8" i="6"/>
  <c r="AF16" i="6"/>
  <c r="AF4" i="8" s="1"/>
  <c r="AF6" i="8" s="1"/>
  <c r="AF16" i="8" s="1"/>
  <c r="C16" i="8"/>
  <c r="K16" i="6"/>
  <c r="K4" i="8" s="1"/>
  <c r="L7" i="9" s="1"/>
  <c r="C6" i="8"/>
  <c r="U16" i="6"/>
  <c r="U4" i="8" s="1"/>
  <c r="U6" i="8" s="1"/>
  <c r="C7" i="9"/>
  <c r="AR12" i="6"/>
  <c r="AR14" i="6" s="1"/>
  <c r="AN16" i="6"/>
  <c r="AN4" i="8" s="1"/>
  <c r="AN6" i="8" s="1"/>
  <c r="AN16" i="8" s="1"/>
  <c r="AI12" i="4"/>
  <c r="AI20" i="4" s="1"/>
  <c r="AI21" i="4" s="1"/>
  <c r="AI10" i="7" s="1"/>
  <c r="AI20" i="7" s="1"/>
  <c r="AI21" i="7" s="1"/>
  <c r="AI22" i="7" s="1"/>
  <c r="AO12" i="4"/>
  <c r="AO20" i="4" s="1"/>
  <c r="AO21" i="4" s="1"/>
  <c r="AO10" i="7" s="1"/>
  <c r="AO20" i="7" s="1"/>
  <c r="T16" i="6"/>
  <c r="T4" i="8" s="1"/>
  <c r="T7" i="9" s="1"/>
  <c r="V12" i="4"/>
  <c r="V20" i="4" s="1"/>
  <c r="V21" i="4" s="1"/>
  <c r="V10" i="7" s="1"/>
  <c r="V20" i="7" s="1"/>
  <c r="V21" i="7" s="1"/>
  <c r="V22" i="7" s="1"/>
  <c r="AR8" i="6"/>
  <c r="AI16" i="6"/>
  <c r="AI4" i="8" s="1"/>
  <c r="AI6" i="8" s="1"/>
  <c r="AI16" i="8" s="1"/>
  <c r="I12" i="4"/>
  <c r="I20" i="4" s="1"/>
  <c r="I21" i="4" s="1"/>
  <c r="I10" i="7" s="1"/>
  <c r="I20" i="7" s="1"/>
  <c r="I21" i="7" s="1"/>
  <c r="I22" i="7" s="1"/>
  <c r="N8" i="6"/>
  <c r="F12" i="4"/>
  <c r="F20" i="4" s="1"/>
  <c r="F21" i="4" s="1"/>
  <c r="F10" i="7" s="1"/>
  <c r="F20" i="7" s="1"/>
  <c r="F21" i="7" s="1"/>
  <c r="F22" i="7" s="1"/>
  <c r="Z12" i="4"/>
  <c r="Z20" i="4" s="1"/>
  <c r="Z21" i="4" s="1"/>
  <c r="Z10" i="7" s="1"/>
  <c r="Z20" i="7" s="1"/>
  <c r="Z21" i="7" s="1"/>
  <c r="Z22" i="7" s="1"/>
  <c r="AH16" i="6"/>
  <c r="AH4" i="8" s="1"/>
  <c r="AN12" i="4"/>
  <c r="AN20" i="4" s="1"/>
  <c r="AN21" i="4" s="1"/>
  <c r="AN10" i="7" s="1"/>
  <c r="AN20" i="7" s="1"/>
  <c r="T12" i="4"/>
  <c r="T20" i="4" s="1"/>
  <c r="T21" i="4" s="1"/>
  <c r="T10" i="7" s="1"/>
  <c r="T20" i="7" s="1"/>
  <c r="X12" i="4"/>
  <c r="X20" i="4" s="1"/>
  <c r="AD8" i="6"/>
  <c r="R6" i="8"/>
  <c r="R16" i="8" s="1"/>
  <c r="AC21" i="7"/>
  <c r="AC22" i="7" s="1"/>
  <c r="Z6" i="8"/>
  <c r="Z16" i="8" s="1"/>
  <c r="AA7" i="9"/>
  <c r="AA6" i="8"/>
  <c r="Y16" i="6"/>
  <c r="Y4" i="8" s="1"/>
  <c r="AP12" i="4"/>
  <c r="AP20" i="4" s="1"/>
  <c r="AP21" i="4" s="1"/>
  <c r="AP10" i="7" s="1"/>
  <c r="AP20" i="7" s="1"/>
  <c r="I16" i="6"/>
  <c r="I4" i="8" s="1"/>
  <c r="L21" i="7"/>
  <c r="L22" i="7" s="1"/>
  <c r="M21" i="7"/>
  <c r="M22" i="7" s="1"/>
  <c r="AQ21" i="7"/>
  <c r="AQ22" i="7" s="1"/>
  <c r="AQ7" i="9"/>
  <c r="AQ6" i="8"/>
  <c r="AQ16" i="8" s="1"/>
  <c r="D21" i="4"/>
  <c r="D10" i="7" s="1"/>
  <c r="D20" i="7" s="1"/>
  <c r="V16" i="6"/>
  <c r="V4" i="8" s="1"/>
  <c r="P17" i="4"/>
  <c r="P19" i="4" s="1"/>
  <c r="P9" i="4"/>
  <c r="P12" i="4" s="1"/>
  <c r="P20" i="4" s="1"/>
  <c r="J16" i="6"/>
  <c r="J4" i="8" s="1"/>
  <c r="AE9" i="4"/>
  <c r="AF12" i="4" s="1"/>
  <c r="AF20" i="4" s="1"/>
  <c r="AF21" i="4" s="1"/>
  <c r="AF10" i="7" s="1"/>
  <c r="AF20" i="7" s="1"/>
  <c r="AE17" i="4"/>
  <c r="AE19" i="4" s="1"/>
  <c r="G14" i="6"/>
  <c r="G19" i="6"/>
  <c r="G20" i="6" s="1"/>
  <c r="G5" i="8" s="1"/>
  <c r="AM16" i="6"/>
  <c r="AM4" i="8" s="1"/>
  <c r="L6" i="8"/>
  <c r="L16" i="8" s="1"/>
  <c r="AL16" i="6"/>
  <c r="AL4" i="8" s="1"/>
  <c r="AC7" i="9"/>
  <c r="AC6" i="8"/>
  <c r="AK16" i="6"/>
  <c r="AK4" i="8" s="1"/>
  <c r="G17" i="4"/>
  <c r="G19" i="4" s="1"/>
  <c r="G9" i="4"/>
  <c r="G12" i="4" s="1"/>
  <c r="G20" i="4" s="1"/>
  <c r="P8" i="6"/>
  <c r="Q17" i="4"/>
  <c r="Q19" i="4" s="1"/>
  <c r="Q9" i="4"/>
  <c r="AD19" i="6"/>
  <c r="AD20" i="6" s="1"/>
  <c r="AD5" i="8" s="1"/>
  <c r="AD14" i="6"/>
  <c r="AO16" i="6"/>
  <c r="AO4" i="8" s="1"/>
  <c r="M7" i="9"/>
  <c r="M6" i="8"/>
  <c r="C8" i="8"/>
  <c r="C24" i="7"/>
  <c r="D16" i="8"/>
  <c r="D6" i="8"/>
  <c r="D18" i="8"/>
  <c r="W16" i="6"/>
  <c r="W4" i="8" s="1"/>
  <c r="AJ12" i="4"/>
  <c r="AJ20" i="4" s="1"/>
  <c r="AJ21" i="4" s="1"/>
  <c r="AJ10" i="7" s="1"/>
  <c r="AJ20" i="7" s="1"/>
  <c r="N19" i="6"/>
  <c r="N20" i="6" s="1"/>
  <c r="N5" i="8" s="1"/>
  <c r="N14" i="6"/>
  <c r="AE19" i="6"/>
  <c r="AE20" i="6" s="1"/>
  <c r="AE5" i="8" s="1"/>
  <c r="AG12" i="4"/>
  <c r="AG20" i="4" s="1"/>
  <c r="AG21" i="4" s="1"/>
  <c r="AG10" i="7" s="1"/>
  <c r="AG20" i="7" s="1"/>
  <c r="AH12" i="4"/>
  <c r="AH20" i="4" s="1"/>
  <c r="AH21" i="4" s="1"/>
  <c r="AH10" i="7" s="1"/>
  <c r="AH20" i="7" s="1"/>
  <c r="X16" i="6"/>
  <c r="X4" i="8" s="1"/>
  <c r="N17" i="4"/>
  <c r="N19" i="4" s="1"/>
  <c r="N9" i="4"/>
  <c r="F16" i="6"/>
  <c r="F4" i="8" s="1"/>
  <c r="AL21" i="4"/>
  <c r="AL10" i="7" s="1"/>
  <c r="AL20" i="7" s="1"/>
  <c r="AR17" i="4"/>
  <c r="AR19" i="4" s="1"/>
  <c r="AR9" i="4"/>
  <c r="AR12" i="4" s="1"/>
  <c r="AR20" i="4" s="1"/>
  <c r="U12" i="4"/>
  <c r="U20" i="4" s="1"/>
  <c r="U21" i="4" s="1"/>
  <c r="U10" i="7" s="1"/>
  <c r="U20" i="7" s="1"/>
  <c r="AE12" i="6"/>
  <c r="AE14" i="6" s="1"/>
  <c r="H16" i="6"/>
  <c r="H4" i="8" s="1"/>
  <c r="AA12" i="4"/>
  <c r="AA20" i="4" s="1"/>
  <c r="AA21" i="4" s="1"/>
  <c r="AA10" i="7" s="1"/>
  <c r="AA20" i="7" s="1"/>
  <c r="AM12" i="4"/>
  <c r="AM20" i="4" s="1"/>
  <c r="AM21" i="4" s="1"/>
  <c r="AM10" i="7" s="1"/>
  <c r="AM20" i="7" s="1"/>
  <c r="X21" i="4"/>
  <c r="X10" i="7" s="1"/>
  <c r="X20" i="7" s="1"/>
  <c r="AB12" i="4"/>
  <c r="AB20" i="4" s="1"/>
  <c r="AB21" i="4" s="1"/>
  <c r="AB10" i="7" s="1"/>
  <c r="AB20" i="7" s="1"/>
  <c r="Q19" i="6"/>
  <c r="Q20" i="6" s="1"/>
  <c r="Q5" i="8" s="1"/>
  <c r="Q14" i="6"/>
  <c r="Q16" i="6" s="1"/>
  <c r="Q4" i="8" s="1"/>
  <c r="I44" i="13"/>
  <c r="C45" i="13"/>
  <c r="AD17" i="4"/>
  <c r="AD19" i="4" s="1"/>
  <c r="AD9" i="4"/>
  <c r="AD12" i="4" s="1"/>
  <c r="AD20" i="4" s="1"/>
  <c r="S7" i="9"/>
  <c r="S6" i="8"/>
  <c r="AG16" i="6"/>
  <c r="AG4" i="8" s="1"/>
  <c r="K12" i="4"/>
  <c r="K20" i="4" s="1"/>
  <c r="K21" i="4" s="1"/>
  <c r="K10" i="7" s="1"/>
  <c r="K20" i="7" s="1"/>
  <c r="G8" i="6"/>
  <c r="P14" i="6"/>
  <c r="P19" i="6"/>
  <c r="P20" i="6" s="1"/>
  <c r="P5" i="8" s="1"/>
  <c r="R12" i="4"/>
  <c r="R20" i="4" s="1"/>
  <c r="R21" i="4" s="1"/>
  <c r="R10" i="7" s="1"/>
  <c r="R20" i="7" s="1"/>
  <c r="E12" i="4"/>
  <c r="E20" i="4" s="1"/>
  <c r="E21" i="4" s="1"/>
  <c r="E10" i="7" s="1"/>
  <c r="E20" i="7" s="1"/>
  <c r="S12" i="4"/>
  <c r="S20" i="4" s="1"/>
  <c r="S21" i="4" s="1"/>
  <c r="S10" i="7" s="1"/>
  <c r="S20" i="7" s="1"/>
  <c r="J12" i="4"/>
  <c r="J20" i="4" s="1"/>
  <c r="J21" i="4" s="1"/>
  <c r="J10" i="7" s="1"/>
  <c r="J20" i="7" s="1"/>
  <c r="C36" i="14"/>
  <c r="O34" i="14"/>
  <c r="W12" i="4"/>
  <c r="W20" i="4" s="1"/>
  <c r="W21" i="4" s="1"/>
  <c r="W10" i="7" s="1"/>
  <c r="W20" i="7" s="1"/>
  <c r="Y12" i="4"/>
  <c r="Y20" i="4" s="1"/>
  <c r="Y21" i="4" s="1"/>
  <c r="Y10" i="7" s="1"/>
  <c r="Y20" i="7" s="1"/>
  <c r="AR19" i="6"/>
  <c r="AR20" i="6" s="1"/>
  <c r="AR5" i="8" s="1"/>
  <c r="AK12" i="4"/>
  <c r="AK20" i="4" s="1"/>
  <c r="AK21" i="4" s="1"/>
  <c r="AK10" i="7" s="1"/>
  <c r="AK20" i="7" s="1"/>
  <c r="E17" i="8" l="1"/>
  <c r="E16" i="8"/>
  <c r="E18" i="8"/>
  <c r="D17" i="8"/>
  <c r="AJ6" i="8"/>
  <c r="AJ16" i="8" s="1"/>
  <c r="AJ7" i="9"/>
  <c r="AB7" i="9"/>
  <c r="G21" i="4"/>
  <c r="G10" i="7" s="1"/>
  <c r="G20" i="7" s="1"/>
  <c r="G21" i="7" s="1"/>
  <c r="G22" i="7" s="1"/>
  <c r="E6" i="8"/>
  <c r="Z7" i="9"/>
  <c r="AI7" i="9"/>
  <c r="AE16" i="6"/>
  <c r="AE4" i="8" s="1"/>
  <c r="AE6" i="8" s="1"/>
  <c r="AE16" i="8" s="1"/>
  <c r="AR16" i="6"/>
  <c r="AR4" i="8" s="1"/>
  <c r="AR6" i="8" s="1"/>
  <c r="AR16" i="8" s="1"/>
  <c r="K6" i="8"/>
  <c r="K16" i="8" s="1"/>
  <c r="AR21" i="4"/>
  <c r="AR10" i="7" s="1"/>
  <c r="AR20" i="7" s="1"/>
  <c r="AR21" i="7" s="1"/>
  <c r="AR22" i="7" s="1"/>
  <c r="C9" i="8"/>
  <c r="C11" i="8" s="1"/>
  <c r="K7" i="9"/>
  <c r="T6" i="8"/>
  <c r="T16" i="8" s="1"/>
  <c r="AH6" i="8"/>
  <c r="AH16" i="8" s="1"/>
  <c r="U7" i="9"/>
  <c r="P21" i="4"/>
  <c r="P10" i="7" s="1"/>
  <c r="P20" i="7" s="1"/>
  <c r="P21" i="7" s="1"/>
  <c r="P22" i="7" s="1"/>
  <c r="AD16" i="6"/>
  <c r="AD4" i="8" s="1"/>
  <c r="Q12" i="4"/>
  <c r="Q20" i="4" s="1"/>
  <c r="Q21" i="4"/>
  <c r="Q10" i="7" s="1"/>
  <c r="Q20" i="7" s="1"/>
  <c r="Q21" i="7" s="1"/>
  <c r="Q22" i="7" s="1"/>
  <c r="N16" i="6"/>
  <c r="N4" i="8" s="1"/>
  <c r="O7" i="9" s="1"/>
  <c r="P16" i="6"/>
  <c r="P4" i="8" s="1"/>
  <c r="P6" i="8" s="1"/>
  <c r="P16" i="8" s="1"/>
  <c r="AA21" i="7"/>
  <c r="AA22" i="7" s="1"/>
  <c r="E21" i="7"/>
  <c r="E22" i="7" s="1"/>
  <c r="AF21" i="7"/>
  <c r="AF22" i="7" s="1"/>
  <c r="R21" i="7"/>
  <c r="R22" i="7" s="1"/>
  <c r="AI8" i="8"/>
  <c r="AI9" i="8" s="1"/>
  <c r="AI24" i="7"/>
  <c r="L8" i="8"/>
  <c r="L9" i="8" s="1"/>
  <c r="L24" i="7"/>
  <c r="Z8" i="8"/>
  <c r="Z9" i="8" s="1"/>
  <c r="Z24" i="7"/>
  <c r="Y21" i="7"/>
  <c r="Y22" i="7" s="1"/>
  <c r="J21" i="7"/>
  <c r="J22" i="7" s="1"/>
  <c r="AK21" i="7"/>
  <c r="AK22" i="7" s="1"/>
  <c r="Q6" i="8"/>
  <c r="Q16" i="8" s="1"/>
  <c r="R7" i="9"/>
  <c r="I8" i="8"/>
  <c r="I24" i="7"/>
  <c r="AC8" i="8"/>
  <c r="AC9" i="8" s="1"/>
  <c r="AC24" i="7"/>
  <c r="AQ8" i="8"/>
  <c r="AQ9" i="8" s="1"/>
  <c r="AQ24" i="7"/>
  <c r="F8" i="8"/>
  <c r="F24" i="7"/>
  <c r="AH21" i="7"/>
  <c r="AH22" i="7" s="1"/>
  <c r="S21" i="7"/>
  <c r="S22" i="7" s="1"/>
  <c r="AM21" i="7"/>
  <c r="AM22" i="7" s="1"/>
  <c r="V8" i="8"/>
  <c r="V24" i="7"/>
  <c r="AG7" i="9"/>
  <c r="AG6" i="8"/>
  <c r="AL21" i="7"/>
  <c r="AL22" i="7" s="1"/>
  <c r="K21" i="7"/>
  <c r="K22" i="7" s="1"/>
  <c r="O36" i="14"/>
  <c r="C37" i="14"/>
  <c r="Y7" i="9"/>
  <c r="Y6" i="8"/>
  <c r="Y16" i="8" s="1"/>
  <c r="W21" i="7"/>
  <c r="W22" i="7" s="1"/>
  <c r="AJ21" i="7"/>
  <c r="AJ22" i="7" s="1"/>
  <c r="AO21" i="7"/>
  <c r="AO22" i="7" s="1"/>
  <c r="M8" i="8"/>
  <c r="M9" i="8" s="1"/>
  <c r="M24" i="7"/>
  <c r="AK7" i="9"/>
  <c r="AK6" i="8"/>
  <c r="AE12" i="4"/>
  <c r="AE20" i="4" s="1"/>
  <c r="AE21" i="4" s="1"/>
  <c r="AE10" i="7" s="1"/>
  <c r="AE20" i="7" s="1"/>
  <c r="I7" i="9"/>
  <c r="I6" i="8"/>
  <c r="I16" i="8" s="1"/>
  <c r="T21" i="7"/>
  <c r="T22" i="7" s="1"/>
  <c r="F7" i="9"/>
  <c r="F6" i="8"/>
  <c r="W7" i="9"/>
  <c r="W6" i="8"/>
  <c r="N12" i="4"/>
  <c r="N20" i="4" s="1"/>
  <c r="N21" i="4" s="1"/>
  <c r="N10" i="7" s="1"/>
  <c r="N20" i="7" s="1"/>
  <c r="O12" i="4"/>
  <c r="O20" i="4" s="1"/>
  <c r="O21" i="4" s="1"/>
  <c r="O10" i="7" s="1"/>
  <c r="O20" i="7" s="1"/>
  <c r="AO7" i="9"/>
  <c r="AO6" i="8"/>
  <c r="AP7" i="9"/>
  <c r="AC16" i="8"/>
  <c r="J6" i="8"/>
  <c r="J7" i="9"/>
  <c r="AP21" i="7"/>
  <c r="AP22" i="7" s="1"/>
  <c r="AG21" i="7"/>
  <c r="AG22" i="7" s="1"/>
  <c r="AB21" i="7"/>
  <c r="AB22" i="7" s="1"/>
  <c r="H6" i="8"/>
  <c r="AA16" i="8"/>
  <c r="AM7" i="9"/>
  <c r="AM6" i="8"/>
  <c r="M16" i="8"/>
  <c r="AH7" i="9"/>
  <c r="AD21" i="4"/>
  <c r="AD10" i="7" s="1"/>
  <c r="AD20" i="7" s="1"/>
  <c r="U16" i="8"/>
  <c r="S16" i="8"/>
  <c r="X6" i="8"/>
  <c r="X16" i="8"/>
  <c r="X7" i="9"/>
  <c r="AN7" i="9"/>
  <c r="AL7" i="9"/>
  <c r="AL6" i="8"/>
  <c r="H12" i="4"/>
  <c r="H20" i="4" s="1"/>
  <c r="H21" i="4" s="1"/>
  <c r="H10" i="7" s="1"/>
  <c r="H20" i="7" s="1"/>
  <c r="U21" i="7"/>
  <c r="U22" i="7" s="1"/>
  <c r="D21" i="7"/>
  <c r="D22" i="7" s="1"/>
  <c r="X21" i="7"/>
  <c r="X22" i="7" s="1"/>
  <c r="AN21" i="7"/>
  <c r="AN22" i="7" s="1"/>
  <c r="G16" i="6"/>
  <c r="G4" i="8" s="1"/>
  <c r="H7" i="9" s="1"/>
  <c r="I45" i="13"/>
  <c r="C46" i="13"/>
  <c r="V6" i="8"/>
  <c r="V16" i="8" s="1"/>
  <c r="V7" i="9"/>
  <c r="AF7" i="9" l="1"/>
  <c r="AR7" i="9"/>
  <c r="AE7" i="9"/>
  <c r="AD6" i="8"/>
  <c r="N6" i="8"/>
  <c r="N16" i="8" s="1"/>
  <c r="AD7" i="9"/>
  <c r="N7" i="9"/>
  <c r="C12" i="8"/>
  <c r="C13" i="8" s="1"/>
  <c r="C5" i="9" s="1"/>
  <c r="C8" i="9" s="1"/>
  <c r="C14" i="9" s="1"/>
  <c r="C15" i="9" s="1"/>
  <c r="V9" i="8"/>
  <c r="V11" i="8" s="1"/>
  <c r="V12" i="8" s="1"/>
  <c r="V13" i="8" s="1"/>
  <c r="Q7" i="9"/>
  <c r="P7" i="9"/>
  <c r="F9" i="8"/>
  <c r="I9" i="8"/>
  <c r="Q8" i="8"/>
  <c r="Q9" i="8" s="1"/>
  <c r="Q24" i="7"/>
  <c r="AB8" i="8"/>
  <c r="AB9" i="8" s="1"/>
  <c r="AB24" i="7"/>
  <c r="J8" i="8"/>
  <c r="J9" i="8" s="1"/>
  <c r="J24" i="7"/>
  <c r="Y8" i="8"/>
  <c r="Y9" i="8" s="1"/>
  <c r="Y24" i="7"/>
  <c r="X8" i="8"/>
  <c r="X9" i="8" s="1"/>
  <c r="X24" i="7"/>
  <c r="K8" i="8"/>
  <c r="K9" i="8" s="1"/>
  <c r="K24" i="7"/>
  <c r="P8" i="8"/>
  <c r="P9" i="8" s="1"/>
  <c r="P24" i="7"/>
  <c r="U8" i="8"/>
  <c r="U9" i="8" s="1"/>
  <c r="U24" i="7"/>
  <c r="AQ11" i="8"/>
  <c r="AQ17" i="8"/>
  <c r="AL8" i="8"/>
  <c r="AL9" i="8" s="1"/>
  <c r="AL24" i="7"/>
  <c r="T8" i="8"/>
  <c r="T9" i="8" s="1"/>
  <c r="T24" i="7"/>
  <c r="L11" i="8"/>
  <c r="L17" i="8"/>
  <c r="W8" i="8"/>
  <c r="W9" i="8" s="1"/>
  <c r="W24" i="7"/>
  <c r="AI11" i="8"/>
  <c r="AI17" i="8"/>
  <c r="G8" i="8"/>
  <c r="G24" i="7"/>
  <c r="AR8" i="8"/>
  <c r="AR9" i="8" s="1"/>
  <c r="AR24" i="7"/>
  <c r="AK8" i="8"/>
  <c r="AK24" i="7"/>
  <c r="AG8" i="8"/>
  <c r="AG9" i="8" s="1"/>
  <c r="AG24" i="7"/>
  <c r="AN8" i="8"/>
  <c r="AN9" i="8" s="1"/>
  <c r="AN24" i="7"/>
  <c r="D8" i="8"/>
  <c r="D9" i="8" s="1"/>
  <c r="D11" i="8" s="1"/>
  <c r="D24" i="7"/>
  <c r="AF8" i="8"/>
  <c r="AF9" i="8" s="1"/>
  <c r="AF24" i="7"/>
  <c r="S8" i="8"/>
  <c r="S9" i="8" s="1"/>
  <c r="S24" i="7"/>
  <c r="H21" i="7"/>
  <c r="H22" i="7" s="1"/>
  <c r="AD21" i="7"/>
  <c r="AD22" i="7" s="1"/>
  <c r="W16" i="8"/>
  <c r="C38" i="14"/>
  <c r="D38" i="14" s="1"/>
  <c r="E38" i="14" s="1"/>
  <c r="F38" i="14" s="1"/>
  <c r="G38" i="14" s="1"/>
  <c r="H38" i="14" s="1"/>
  <c r="I38" i="14" s="1"/>
  <c r="J38" i="14" s="1"/>
  <c r="K38" i="14" s="1"/>
  <c r="L38" i="14" s="1"/>
  <c r="M38" i="14" s="1"/>
  <c r="N38" i="14" s="1"/>
  <c r="O38" i="14" s="1"/>
  <c r="O37" i="14"/>
  <c r="AE21" i="7"/>
  <c r="AE22" i="7" s="1"/>
  <c r="AJ8" i="8"/>
  <c r="AJ9" i="8" s="1"/>
  <c r="AJ24" i="7"/>
  <c r="AM8" i="8"/>
  <c r="AM9" i="8" s="1"/>
  <c r="AM24" i="7"/>
  <c r="R8" i="8"/>
  <c r="R9" i="8" s="1"/>
  <c r="R24" i="7"/>
  <c r="AC11" i="8"/>
  <c r="AC17" i="8"/>
  <c r="I46" i="13"/>
  <c r="C47" i="13"/>
  <c r="D47" i="13" s="1"/>
  <c r="E47" i="13" s="1"/>
  <c r="F47" i="13" s="1"/>
  <c r="G47" i="13" s="1"/>
  <c r="H47" i="13" s="1"/>
  <c r="I47" i="13" s="1"/>
  <c r="J16" i="8"/>
  <c r="AO8" i="8"/>
  <c r="AO9" i="8" s="1"/>
  <c r="AO24" i="7"/>
  <c r="AM16" i="8"/>
  <c r="M11" i="8"/>
  <c r="M17" i="8"/>
  <c r="AK9" i="8"/>
  <c r="AD16" i="8"/>
  <c r="H16" i="8"/>
  <c r="Z11" i="8"/>
  <c r="Z17" i="8"/>
  <c r="AO16" i="8"/>
  <c r="F16" i="8"/>
  <c r="AK16" i="8"/>
  <c r="AH8" i="8"/>
  <c r="AH9" i="8" s="1"/>
  <c r="AH24" i="7"/>
  <c r="E8" i="8"/>
  <c r="E9" i="8" s="1"/>
  <c r="E11" i="8" s="1"/>
  <c r="E24" i="7"/>
  <c r="AP8" i="8"/>
  <c r="AP9" i="8" s="1"/>
  <c r="AP24" i="7"/>
  <c r="O21" i="7"/>
  <c r="O22" i="7" s="1"/>
  <c r="G7" i="9"/>
  <c r="G6" i="8"/>
  <c r="G16" i="8" s="1"/>
  <c r="AL16" i="8"/>
  <c r="N21" i="7"/>
  <c r="N22" i="7" s="1"/>
  <c r="AG16" i="8"/>
  <c r="AA8" i="8"/>
  <c r="AA9" i="8" s="1"/>
  <c r="AA24" i="7"/>
  <c r="V17" i="8" l="1"/>
  <c r="I11" i="8"/>
  <c r="I12" i="8" s="1"/>
  <c r="I13" i="8" s="1"/>
  <c r="I17" i="8"/>
  <c r="G9" i="8"/>
  <c r="F11" i="8"/>
  <c r="F12" i="8" s="1"/>
  <c r="F13" i="8" s="1"/>
  <c r="F17" i="8"/>
  <c r="O8" i="8"/>
  <c r="O9" i="8" s="1"/>
  <c r="O24" i="7"/>
  <c r="I5" i="9"/>
  <c r="I8" i="9" s="1"/>
  <c r="I14" i="9" s="1"/>
  <c r="I18" i="8"/>
  <c r="F5" i="9"/>
  <c r="F8" i="9" s="1"/>
  <c r="F14" i="9" s="1"/>
  <c r="F18" i="8"/>
  <c r="W11" i="8"/>
  <c r="W17" i="8"/>
  <c r="X11" i="8"/>
  <c r="X17" i="8"/>
  <c r="AM11" i="8"/>
  <c r="AM17" i="8"/>
  <c r="H8" i="8"/>
  <c r="H9" i="8" s="1"/>
  <c r="H24" i="7"/>
  <c r="P11" i="8"/>
  <c r="P17" i="8"/>
  <c r="AG11" i="8"/>
  <c r="AG17" i="8"/>
  <c r="AE8" i="8"/>
  <c r="AE9" i="8" s="1"/>
  <c r="AE24" i="7"/>
  <c r="N8" i="8"/>
  <c r="N9" i="8" s="1"/>
  <c r="N24" i="7"/>
  <c r="AO11" i="8"/>
  <c r="AO17" i="8"/>
  <c r="R11" i="8"/>
  <c r="R17" i="8"/>
  <c r="AF11" i="8"/>
  <c r="AF17" i="8"/>
  <c r="AN11" i="8"/>
  <c r="AN17" i="8"/>
  <c r="J11" i="8"/>
  <c r="J17" i="8"/>
  <c r="T11" i="8"/>
  <c r="T17" i="8"/>
  <c r="L12" i="8"/>
  <c r="L13" i="8" s="1"/>
  <c r="E12" i="8"/>
  <c r="E13" i="8" s="1"/>
  <c r="E5" i="9" s="1"/>
  <c r="E8" i="9" s="1"/>
  <c r="E14" i="9" s="1"/>
  <c r="V5" i="9"/>
  <c r="V8" i="9" s="1"/>
  <c r="V14" i="9" s="1"/>
  <c r="V18" i="8"/>
  <c r="AL11" i="8"/>
  <c r="AL17" i="8"/>
  <c r="Z12" i="8"/>
  <c r="Z13" i="8" s="1"/>
  <c r="D12" i="8"/>
  <c r="D13" i="8"/>
  <c r="D5" i="9" s="1"/>
  <c r="D8" i="9" s="1"/>
  <c r="D14" i="9" s="1"/>
  <c r="D15" i="9" s="1"/>
  <c r="AD8" i="8"/>
  <c r="AD9" i="8" s="1"/>
  <c r="AD24" i="7"/>
  <c r="AA11" i="8"/>
  <c r="AA17" i="8"/>
  <c r="AP11" i="8"/>
  <c r="AP17" i="8"/>
  <c r="AK11" i="8"/>
  <c r="AK17" i="8"/>
  <c r="AH11" i="8"/>
  <c r="AH17" i="8"/>
  <c r="AI12" i="8"/>
  <c r="AI13" i="8" s="1"/>
  <c r="AQ12" i="8"/>
  <c r="AQ13" i="8" s="1"/>
  <c r="AB11" i="8"/>
  <c r="AB17" i="8"/>
  <c r="AJ11" i="8"/>
  <c r="AJ17" i="8"/>
  <c r="Y11" i="8"/>
  <c r="Y17" i="8"/>
  <c r="M12" i="8"/>
  <c r="M13" i="8" s="1"/>
  <c r="Q11" i="8"/>
  <c r="Q17" i="8"/>
  <c r="K11" i="8"/>
  <c r="K17" i="8"/>
  <c r="AR11" i="8"/>
  <c r="AR17" i="8"/>
  <c r="AC12" i="8"/>
  <c r="AC13" i="8" s="1"/>
  <c r="S11" i="8"/>
  <c r="S17" i="8"/>
  <c r="U11" i="8"/>
  <c r="U17" i="8"/>
  <c r="G11" i="8" l="1"/>
  <c r="G12" i="8" s="1"/>
  <c r="G13" i="8" s="1"/>
  <c r="G5" i="9" s="1"/>
  <c r="G8" i="9" s="1"/>
  <c r="G14" i="9" s="1"/>
  <c r="G17" i="8"/>
  <c r="L5" i="9"/>
  <c r="L8" i="9" s="1"/>
  <c r="L14" i="9" s="1"/>
  <c r="L18" i="8"/>
  <c r="E15" i="9"/>
  <c r="F15" i="9" s="1"/>
  <c r="AQ5" i="9"/>
  <c r="AQ8" i="9" s="1"/>
  <c r="AQ14" i="9" s="1"/>
  <c r="AQ18" i="8"/>
  <c r="AC5" i="9"/>
  <c r="AC8" i="9" s="1"/>
  <c r="AC14" i="9" s="1"/>
  <c r="AC18" i="8"/>
  <c r="S12" i="8"/>
  <c r="S13" i="8"/>
  <c r="AK12" i="8"/>
  <c r="AK13" i="8" s="1"/>
  <c r="U12" i="8"/>
  <c r="U13" i="8" s="1"/>
  <c r="R12" i="8"/>
  <c r="R13" i="8" s="1"/>
  <c r="AF12" i="8"/>
  <c r="AF13" i="8" s="1"/>
  <c r="AM12" i="8"/>
  <c r="AM13" i="8" s="1"/>
  <c r="AJ12" i="8"/>
  <c r="AJ13" i="8" s="1"/>
  <c r="AA12" i="8"/>
  <c r="AA13" i="8" s="1"/>
  <c r="AO12" i="8"/>
  <c r="AO13" i="8" s="1"/>
  <c r="X12" i="8"/>
  <c r="X13" i="8" s="1"/>
  <c r="AD11" i="8"/>
  <c r="AD17" i="8"/>
  <c r="T12" i="8"/>
  <c r="T13" i="8"/>
  <c r="W12" i="8"/>
  <c r="W13" i="8" s="1"/>
  <c r="K12" i="8"/>
  <c r="K13" i="8" s="1"/>
  <c r="J12" i="8"/>
  <c r="J13" i="8" s="1"/>
  <c r="AR12" i="8"/>
  <c r="AR13" i="8" s="1"/>
  <c r="N11" i="8"/>
  <c r="N17" i="8"/>
  <c r="Y12" i="8"/>
  <c r="Y13" i="8" s="1"/>
  <c r="AG12" i="8"/>
  <c r="AG13" i="8" s="1"/>
  <c r="H11" i="8"/>
  <c r="H17" i="8"/>
  <c r="AP12" i="8"/>
  <c r="AP13" i="8"/>
  <c r="AB12" i="8"/>
  <c r="AB13" i="8" s="1"/>
  <c r="AE11" i="8"/>
  <c r="AE17" i="8"/>
  <c r="Q12" i="8"/>
  <c r="Q13" i="8" s="1"/>
  <c r="AI5" i="9"/>
  <c r="AI8" i="9" s="1"/>
  <c r="AI14" i="9" s="1"/>
  <c r="AI18" i="8"/>
  <c r="Z5" i="9"/>
  <c r="Z8" i="9" s="1"/>
  <c r="Z14" i="9" s="1"/>
  <c r="Z18" i="8"/>
  <c r="M5" i="9"/>
  <c r="M8" i="9" s="1"/>
  <c r="M14" i="9" s="1"/>
  <c r="M18" i="8"/>
  <c r="AH12" i="8"/>
  <c r="AH13" i="8" s="1"/>
  <c r="AL12" i="8"/>
  <c r="AL13" i="8"/>
  <c r="AN12" i="8"/>
  <c r="AN13" i="8" s="1"/>
  <c r="P12" i="8"/>
  <c r="P13" i="8" s="1"/>
  <c r="O11" i="8"/>
  <c r="O17" i="8"/>
  <c r="G15" i="9" l="1"/>
  <c r="G18" i="8"/>
  <c r="R5" i="9"/>
  <c r="R8" i="9" s="1"/>
  <c r="R14" i="9" s="1"/>
  <c r="R18" i="8"/>
  <c r="K5" i="9"/>
  <c r="K8" i="9" s="1"/>
  <c r="K14" i="9" s="1"/>
  <c r="K18" i="8"/>
  <c r="W5" i="9"/>
  <c r="W8" i="9" s="1"/>
  <c r="W14" i="9" s="1"/>
  <c r="W18" i="8"/>
  <c r="AB5" i="9"/>
  <c r="AB8" i="9" s="1"/>
  <c r="AB14" i="9" s="1"/>
  <c r="AB18" i="8"/>
  <c r="AG5" i="9"/>
  <c r="AG8" i="9" s="1"/>
  <c r="AG14" i="9" s="1"/>
  <c r="B8" i="10" s="1"/>
  <c r="AG18" i="8"/>
  <c r="Y5" i="9"/>
  <c r="Y8" i="9" s="1"/>
  <c r="Y14" i="9" s="1"/>
  <c r="Y18" i="8"/>
  <c r="AR5" i="9"/>
  <c r="AR8" i="9" s="1"/>
  <c r="AR14" i="9" s="1"/>
  <c r="AR18" i="8"/>
  <c r="J5" i="9"/>
  <c r="J8" i="9" s="1"/>
  <c r="J14" i="9" s="1"/>
  <c r="J18" i="8"/>
  <c r="Q5" i="9"/>
  <c r="Q8" i="9" s="1"/>
  <c r="Q14" i="9" s="1"/>
  <c r="Q18" i="8"/>
  <c r="U5" i="9"/>
  <c r="U8" i="9" s="1"/>
  <c r="U14" i="9" s="1"/>
  <c r="U18" i="8"/>
  <c r="AK5" i="9"/>
  <c r="AK8" i="9" s="1"/>
  <c r="AK14" i="9" s="1"/>
  <c r="AK18" i="8"/>
  <c r="AN5" i="9"/>
  <c r="AN8" i="9" s="1"/>
  <c r="AN14" i="9" s="1"/>
  <c r="AN18" i="8"/>
  <c r="X5" i="9"/>
  <c r="X8" i="9" s="1"/>
  <c r="X14" i="9" s="1"/>
  <c r="X18" i="8"/>
  <c r="AO5" i="9"/>
  <c r="AO8" i="9" s="1"/>
  <c r="AO14" i="9" s="1"/>
  <c r="AO18" i="8"/>
  <c r="AA5" i="9"/>
  <c r="AA8" i="9" s="1"/>
  <c r="AA14" i="9" s="1"/>
  <c r="AA18" i="8"/>
  <c r="AM5" i="9"/>
  <c r="AM8" i="9" s="1"/>
  <c r="AM14" i="9" s="1"/>
  <c r="AM18" i="8"/>
  <c r="AF5" i="9"/>
  <c r="AF8" i="9" s="1"/>
  <c r="AF14" i="9" s="1"/>
  <c r="AF18" i="8"/>
  <c r="AH5" i="9"/>
  <c r="AH8" i="9" s="1"/>
  <c r="AH14" i="9" s="1"/>
  <c r="AH18" i="8"/>
  <c r="S5" i="9"/>
  <c r="S8" i="9" s="1"/>
  <c r="S14" i="9" s="1"/>
  <c r="S18" i="8"/>
  <c r="O12" i="8"/>
  <c r="O13" i="8" s="1"/>
  <c r="T5" i="9"/>
  <c r="T8" i="9" s="1"/>
  <c r="T14" i="9" s="1"/>
  <c r="T18" i="8"/>
  <c r="P5" i="9"/>
  <c r="P8" i="9" s="1"/>
  <c r="P14" i="9" s="1"/>
  <c r="P18" i="8"/>
  <c r="AD12" i="8"/>
  <c r="AD13" i="8" s="1"/>
  <c r="AJ5" i="9"/>
  <c r="AJ8" i="9" s="1"/>
  <c r="AJ14" i="9" s="1"/>
  <c r="AJ18" i="8"/>
  <c r="H12" i="8"/>
  <c r="H13" i="8" s="1"/>
  <c r="AL5" i="9"/>
  <c r="AL8" i="9" s="1"/>
  <c r="AL14" i="9" s="1"/>
  <c r="AL18" i="8"/>
  <c r="AP5" i="9"/>
  <c r="AP8" i="9" s="1"/>
  <c r="AP14" i="9" s="1"/>
  <c r="AP18" i="8"/>
  <c r="AE12" i="8"/>
  <c r="AE13" i="8" s="1"/>
  <c r="N12" i="8"/>
  <c r="N13" i="8" s="1"/>
  <c r="B10" i="10" l="1"/>
  <c r="O5" i="9"/>
  <c r="O8" i="9" s="1"/>
  <c r="O14" i="9" s="1"/>
  <c r="O18" i="8"/>
  <c r="N5" i="9"/>
  <c r="N8" i="9" s="1"/>
  <c r="N14" i="9" s="1"/>
  <c r="N18" i="8"/>
  <c r="H5" i="9"/>
  <c r="H8" i="9" s="1"/>
  <c r="H14" i="9" s="1"/>
  <c r="H18" i="8"/>
  <c r="AD5" i="9"/>
  <c r="AD8" i="9" s="1"/>
  <c r="AD14" i="9" s="1"/>
  <c r="AD18" i="8"/>
  <c r="AE5" i="9"/>
  <c r="AE8" i="9" s="1"/>
  <c r="AE14" i="9" s="1"/>
  <c r="AE18" i="8"/>
  <c r="B9" i="10"/>
  <c r="B6" i="10"/>
  <c r="B7" i="10" l="1"/>
  <c r="B5" i="10"/>
  <c r="H15" i="9"/>
  <c r="I15" i="9" l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AR15" i="9" s="1"/>
  <c r="B14" i="10"/>
  <c r="G5" i="2" s="1"/>
  <c r="B13" i="10"/>
  <c r="F5" i="2" s="1"/>
  <c r="B15" i="10" l="1"/>
  <c r="B16" i="10" s="1"/>
</calcChain>
</file>

<file path=xl/sharedStrings.xml><?xml version="1.0" encoding="utf-8"?>
<sst xmlns="http://schemas.openxmlformats.org/spreadsheetml/2006/main" count="1443" uniqueCount="944">
  <si>
    <t>VISIT VIETNAM — FINANCIAL MODEL v6 — HƯỚNG DẪN TOÀN DIỆN</t>
  </si>
  <si>
    <t>v6.1 | 2026-03-21 | Revenue timing + cascading relationships + sensitivity + 55 named ranges</t>
  </si>
  <si>
    <t>1. DANH SÁCH CÁC SHEET (14 sheets)</t>
  </si>
  <si>
    <t>Sheet</t>
  </si>
  <si>
    <t>Mục đích</t>
  </si>
  <si>
    <t>Ghi chú quan trọng</t>
  </si>
  <si>
    <t>Guide</t>
  </si>
  <si>
    <t>Hướng dẫn toàn diện: thuật ngữ, công thức, cách dùng</t>
  </si>
  <si>
    <t>Đọc trước khi dùng mô hình</t>
  </si>
  <si>
    <t>Assumptions</t>
  </si>
  <si>
    <t>55 named ranges — TẤT CẢ đầu vào tập trung tại đây</t>
  </si>
  <si>
    <t>Chỉ sửa ô vàng (nền vàng, chữ xanh)</t>
  </si>
  <si>
    <t>Initial Investment</t>
  </si>
  <si>
    <t>10 hạng mục CAPEX → named range capex_total = 5,280 Tr VND</t>
  </si>
  <si>
    <t>Khấu hao 5 năm đường thẳng</t>
  </si>
  <si>
    <t>HR Plan</t>
  </si>
  <si>
    <t>4 bộ phận × 42 kỳ. BizOps tự scale theo số DN</t>
  </si>
  <si>
    <t>Lương = hc × salary × (1+esc)^yr × (1+bhxh)</t>
  </si>
  <si>
    <t>Market Sizing</t>
  </si>
  <si>
    <t>S-curve tăng trưởng DN + 6 hàng tham chiếu thời gian</t>
  </si>
  <si>
    <t>Year fraction tính từ base_year + start_month</t>
  </si>
  <si>
    <t>Revenue Schedule</t>
  </si>
  <si>
    <t>6 nguồn DT. Tất cả gated bởi months_to_first_revenue</t>
  </si>
  <si>
    <t>Cost Schedule</t>
  </si>
  <si>
    <t>CAPEX + OPEX (10 mục + dự phòng). Cloud scales theo GMV</t>
  </si>
  <si>
    <t>Marketing giảm hiệu quả theo DN, Support economies of scale</t>
  </si>
  <si>
    <t>P&amp;L</t>
  </si>
  <si>
    <t>DT → Giá vốn → LN gộp → OPEX → EBITDA → KH → Thuế TNDN → LN ròng</t>
  </si>
  <si>
    <t>CIT 20% chỉ khi EBIT &gt; 0</t>
  </si>
  <si>
    <t>Cash Flow</t>
  </si>
  <si>
    <t>ĐTHĐ + ĐTĐT → DTTD + Lũy kế. Vốn lưu động qua ar_days</t>
  </si>
  <si>
    <t>OCF + ICF = FCF</t>
  </si>
  <si>
    <t>DCF &amp; Returns</t>
  </si>
  <si>
    <t>FCF theo năm, NPV, IRR, ROI, đốt tiền max</t>
  </si>
  <si>
    <t>NPV = NPV(discount_rate, FCF)</t>
  </si>
  <si>
    <t>Sensitivity</t>
  </si>
  <si>
    <t>235 ô NPV tính sẵn: 1-at-a-time + 3 bảng 2 chiều</t>
  </si>
  <si>
    <t>Tất cả dùng named ranges, tự cập nhật</t>
  </si>
  <si>
    <t>Scenarios</t>
  </si>
  <si>
    <t>5 kịch bản + giải thích yếu tố ảnh hưởng + mô tả chi tiết</t>
  </si>
  <si>
    <t>Copy giá trị vào Assumptions để thử</t>
  </si>
  <si>
    <t>Budget 2025</t>
  </si>
  <si>
    <t>Ngân sách tháng 7-12/2025 chi tiết</t>
  </si>
  <si>
    <t>Dùng cho phê duyệt ngân sách</t>
  </si>
  <si>
    <t>Budget 2026</t>
  </si>
  <si>
    <t>Ngân sách tháng 1-12/2026 chi tiết</t>
  </si>
  <si>
    <t>2. CÁCH SỬ DỤNG (8 bước)</t>
  </si>
  <si>
    <t>Bước</t>
  </si>
  <si>
    <t>Hành động</t>
  </si>
  <si>
    <t>Chi tiết</t>
  </si>
  <si>
    <t>Bước 1</t>
  </si>
  <si>
    <t>Mở sheet Assumptions</t>
  </si>
  <si>
    <t>Đây là nơi DUY NHẤT bạn cần sửa</t>
  </si>
  <si>
    <t>Bước 2</t>
  </si>
  <si>
    <t>Sửa ô vàng (nền vàng, chữ xanh)</t>
  </si>
  <si>
    <t>Ô trắng = công thức, KHÔNG sửa</t>
  </si>
  <si>
    <t>Bước 3</t>
  </si>
  <si>
    <t>Đặt months_to_first_revenue</t>
  </si>
  <si>
    <t>0 = DT ngay tháng đầu, 3 = 3 tháng setup, 6 = nửa năm</t>
  </si>
  <si>
    <t>Bước 4</t>
  </si>
  <si>
    <t>Kiểm tra P&amp;L</t>
  </si>
  <si>
    <t>Xem các năm nào lỗ, năm nào lãi</t>
  </si>
  <si>
    <t>Bước 5</t>
  </si>
  <si>
    <t>Kiểm tra Cash Flow</t>
  </si>
  <si>
    <t>Xem dòng tiền lũy kế, đốt tiền max</t>
  </si>
  <si>
    <t>Bước 6</t>
  </si>
  <si>
    <t>Kiểm tra DCF &amp; Returns</t>
  </si>
  <si>
    <t>NPV dương = dự án tạo giá trị, IRR &gt; WACC = đáng đầu tư</t>
  </si>
  <si>
    <t>Bước 7</t>
  </si>
  <si>
    <t>Xem Sensitivity</t>
  </si>
  <si>
    <t>Biết tham số nào ảnh hưởng NPV nhiều nhất</t>
  </si>
  <si>
    <t>Bước 8</t>
  </si>
  <si>
    <t>Thử kịch bản</t>
  </si>
  <si>
    <t>Copy giá trị từ Scenarios vào Assumptions → xem kết quả</t>
  </si>
  <si>
    <t>3. QUY ƯỚC Ô (Cell Color Convention)</t>
  </si>
  <si>
    <t>Màu nền / chữ</t>
  </si>
  <si>
    <t>Ý nghĩa</t>
  </si>
  <si>
    <t>Nền VÀNG + chữ XANH</t>
  </si>
  <si>
    <t>Đầu vào (placeholder) — giá trị bạn có thể thay đổi</t>
  </si>
  <si>
    <t>SỬA giá trị tại đây</t>
  </si>
  <si>
    <t>Nền XANH LÁ + chữ ĐEN ĐẬM</t>
  </si>
  <si>
    <t>Tổng / Subtotal — công thức SUM hoặc tổng hợp</t>
  </si>
  <si>
    <t>KHÔNG sửa</t>
  </si>
  <si>
    <t>Nền XANH ĐẬM + chữ TRẮNG</t>
  </si>
  <si>
    <t>Tiêu đề cột hoặc mục</t>
  </si>
  <si>
    <t>Nền TRẮNG + chữ ĐEN</t>
  </si>
  <si>
    <t>Công thức tính toán — tự cập nhật</t>
  </si>
  <si>
    <t>Nền XANH NHẠT + chữ ĐẬM</t>
  </si>
  <si>
    <t>Tiêu đề phần (section header)</t>
  </si>
  <si>
    <t>Nền VÀNG NHẠT + chữ NÂU</t>
  </si>
  <si>
    <t>Tham số quan hệ cascading</t>
  </si>
  <si>
    <t>SỬA được</t>
  </si>
  <si>
    <t>4. DANH SÁCH NAMED RANGES (55 tham số)</t>
  </si>
  <si>
    <t>Named Range</t>
  </si>
  <si>
    <t>Mô tả + Giá trị mặc định</t>
  </si>
  <si>
    <t>Công thức sử dụng (ví dụ)</t>
  </si>
  <si>
    <t>THỜI GIAN</t>
  </si>
  <si>
    <t>base_year</t>
  </si>
  <si>
    <t>Năm gốc = 2025</t>
  </si>
  <si>
    <t>Year frac = base_year + (start_month-1+idx)/12</t>
  </si>
  <si>
    <t>start_month</t>
  </si>
  <si>
    <t>Tháng bắt đầu = 7 (Tháng 7)</t>
  </si>
  <si>
    <t>Cùng base_year tính year fraction</t>
  </si>
  <si>
    <t>months_to_first_revenue</t>
  </si>
  <si>
    <t>Tháng setup trước DT = 3 (DT từ tháng 10/2025)</t>
  </si>
  <si>
    <t>IF(idx &gt;= months_to_first_revenue, revenue, 0)</t>
  </si>
  <si>
    <t>THỊ TRƯỜNG</t>
  </si>
  <si>
    <t>TAM_enterprises</t>
  </si>
  <si>
    <t>Tổng DN du lịch VN = 40,000</t>
  </si>
  <si>
    <t>Tham khảo, không dùng trực tiếp</t>
  </si>
  <si>
    <t>SAM_enterprises</t>
  </si>
  <si>
    <t>DN phục vụ được = 15,000</t>
  </si>
  <si>
    <t>Tham khảo, adoption_max &lt; SAM</t>
  </si>
  <si>
    <t>ecom_market_base</t>
  </si>
  <si>
    <t>TMĐT du lịch gốc = 82,500 Tỷ VND</t>
  </si>
  <si>
    <t>ecom × (1+growth)^yr = thị trường tương lai</t>
  </si>
  <si>
    <t>ecom_growth_rate</t>
  </si>
  <si>
    <t>Tăng trưởng TMĐT = 8%/năm</t>
  </si>
  <si>
    <t>ecom_market_base × (1+rate)^years</t>
  </si>
  <si>
    <t>ĐƯỜNG CONG S</t>
  </si>
  <si>
    <t>adoption_max</t>
  </si>
  <si>
    <t>Trần DN = 1,200 (#1 driver)</t>
  </si>
  <si>
    <t>max/(1+EXP(-steepness*(year-midpoint)))</t>
  </si>
  <si>
    <t>adoption_midpoint</t>
  </si>
  <si>
    <t>Năm uốn = 2028</t>
  </si>
  <si>
    <t>Điểm tăng nhanh nhất trên S-curve</t>
  </si>
  <si>
    <t>adoption_steepness</t>
  </si>
  <si>
    <t>Hệ số dốc = 0.9</t>
  </si>
  <si>
    <t>Cao hơn = tăng nhanh hơn quanh midpoint</t>
  </si>
  <si>
    <t>pilot_count</t>
  </si>
  <si>
    <t>DN thí điểm = 15</t>
  </si>
  <si>
    <t>churn_rate</t>
  </si>
  <si>
    <t>Tỷ lệ rời bỏ = 20%/năm (#3 driver)</t>
  </si>
  <si>
    <t>churned = gross × churn / div</t>
  </si>
  <si>
    <t>GIÁ DỊCH VỤ</t>
  </si>
  <si>
    <t>cert_fee_yr1</t>
  </si>
  <si>
    <t>Phí chứng nhận = 25 Tr/DN/năm</t>
  </si>
  <si>
    <t>net × cert × (1+esc)^yr / div</t>
  </si>
  <si>
    <t>cert_fee_escalation</t>
  </si>
  <si>
    <t>Tăng phí = 5%/năm</t>
  </si>
  <si>
    <t>Compound: (1+0.05)^5 = tăng 28% sau 5 năm</t>
  </si>
  <si>
    <t>tx_take_rate</t>
  </si>
  <si>
    <t>Hoa hồng GD = 2% GMV</t>
  </si>
  <si>
    <t>ecom × market_share × take_rate × 1000</t>
  </si>
  <si>
    <t>platform_market_share</t>
  </si>
  <si>
    <t>Thị phần GMV = 0.5% (#2 driver)</t>
  </si>
  <si>
    <t>Chỉ áp dụng khi net_ent ≥ stage2_gate</t>
  </si>
  <si>
    <t>daas_price</t>
  </si>
  <si>
    <t>Giá DaaS = 30 Tr/triệu VCR</t>
  </si>
  <si>
    <t>VCR_millions × daas_price</t>
  </si>
  <si>
    <t>ad_cpm</t>
  </si>
  <si>
    <t>CPM quảng cáo = 150K VND</t>
  </si>
  <si>
    <t>impressions × ent × CPM / 1000</t>
  </si>
  <si>
    <t>ad_impressions_base</t>
  </si>
  <si>
    <t>Lượt QC/tháng = 500K</t>
  </si>
  <si>
    <t>Nhân với số DN và số tháng</t>
  </si>
  <si>
    <t>training_fee</t>
  </si>
  <si>
    <t>Phí đào tạo = 15 Tr/phiên</t>
  </si>
  <si>
    <t>net × training_pct × fee / div</t>
  </si>
  <si>
    <t>audit_fee</t>
  </si>
  <si>
    <t>Phí kiểm toán = 10 Tr</t>
  </si>
  <si>
    <t>net × audit_fee / div</t>
  </si>
  <si>
    <t>training_pct</t>
  </si>
  <si>
    <t>% DN mua ĐT = 30%</t>
  </si>
  <si>
    <t>Tỷ lệ cross-sell</t>
  </si>
  <si>
    <t>CHI PHÍ</t>
  </si>
  <si>
    <t>capex_maintenance_pct</t>
  </si>
  <si>
    <t>Bảo trì = 18% CAPEX/năm</t>
  </si>
  <si>
    <t>capex_total × 0.18 / div (từ 2026)</t>
  </si>
  <si>
    <t>opex_marketing</t>
  </si>
  <si>
    <t>Marketing gốc = 7,000 Tr/năm</t>
  </si>
  <si>
    <t>mkt × (1+growth)^yr × efficiency_factor / div</t>
  </si>
  <si>
    <t>marketing_growth</t>
  </si>
  <si>
    <t>Tăng marketing = 15%/năm</t>
  </si>
  <si>
    <t>Compound growth applied annually</t>
  </si>
  <si>
    <t>opex_cloud_base</t>
  </si>
  <si>
    <t>Cloud gốc = 3,250 Tr/năm</t>
  </si>
  <si>
    <t>cloud/div + VCR×per_1M + GMV×gmv_factor</t>
  </si>
  <si>
    <t>cloud_per_1M_vcr</t>
  </si>
  <si>
    <t>Cloud biến đổi = 8 Tr/triệu VCR</t>
  </si>
  <si>
    <t>Tỷ lệ theo traffic</t>
  </si>
  <si>
    <t>vcr_per_enterprise</t>
  </si>
  <si>
    <t>VCR/DN/tháng = 10,000 bản ghi</t>
  </si>
  <si>
    <t>net_ent × vcr × months / 1M = VCR_millions</t>
  </si>
  <si>
    <t>opex_external</t>
  </si>
  <si>
    <t>Đối ngoại = 400 Tr/năm</t>
  </si>
  <si>
    <t>Chia đều theo kỳ: 400/div</t>
  </si>
  <si>
    <t>opex_legal</t>
  </si>
  <si>
    <t>Pháp lý = 240 Tr/năm</t>
  </si>
  <si>
    <t>Chia đều theo kỳ: 240/div</t>
  </si>
  <si>
    <t>opex_branding</t>
  </si>
  <si>
    <t>Thương hiệu = 4,000 Tr/năm</t>
  </si>
  <si>
    <t>Chia đều: 4000/div</t>
  </si>
  <si>
    <t>opex_security</t>
  </si>
  <si>
    <t>Bảo mật = 250 Tr/năm</t>
  </si>
  <si>
    <t>Chia đều: 250/div</t>
  </si>
  <si>
    <t>opex_pilot_eval</t>
  </si>
  <si>
    <t>Thí điểm = 200 Tr (chỉ giai đoạn setup)</t>
  </si>
  <si>
    <t>Chỉ khi idx &lt; months_to_first_revenue</t>
  </si>
  <si>
    <t>payment_proc_pct</t>
  </si>
  <si>
    <t>Phí cổng TT = 2.5%</t>
  </si>
  <si>
    <t>COGS = tx_revenue × 2.5%</t>
  </si>
  <si>
    <t>opex_support_per_ent</t>
  </si>
  <si>
    <t>Hỗ trợ KH = 2 Tr/DN/năm</t>
  </si>
  <si>
    <t>net × 2 × economy_factor / div</t>
  </si>
  <si>
    <t>opex_partner_mgmt</t>
  </si>
  <si>
    <t>Đối tác = 500 Tr/năm</t>
  </si>
  <si>
    <t>Chia đều: 500/div</t>
  </si>
  <si>
    <t>opex_contingency_pct</t>
  </si>
  <si>
    <t>Dự phòng = 10% OPEX</t>
  </si>
  <si>
    <t>Buffer: OPEX_sub × 10%</t>
  </si>
  <si>
    <t>NHÂN SỰ</t>
  </si>
  <si>
    <t>salary_mgmt</t>
  </si>
  <si>
    <t>Lương QL = 45 Tr/tháng</t>
  </si>
  <si>
    <t>hc × 45 × months × (1+esc)^yr × (1+bhxh)</t>
  </si>
  <si>
    <t>salary_dev</t>
  </si>
  <si>
    <t>Lương PT = 35 Tr/tháng</t>
  </si>
  <si>
    <t>Tương tự salary_mgmt</t>
  </si>
  <si>
    <t>salary_bizops</t>
  </si>
  <si>
    <t>Lương VH = 20 Tr/tháng</t>
  </si>
  <si>
    <t>BizOps hc scales theo DN</t>
  </si>
  <si>
    <t>salary_data</t>
  </si>
  <si>
    <t>Lương DL = 40 Tr/tháng</t>
  </si>
  <si>
    <t>salary_escalation</t>
  </si>
  <si>
    <t>Tăng lương = 10%/năm</t>
  </si>
  <si>
    <t>(1+0.10)^years = compound</t>
  </si>
  <si>
    <t>bhxh_rate</t>
  </si>
  <si>
    <t>BHXH phần DN = 21.5%</t>
  </si>
  <si>
    <t>BHXH 17.5% + BHYT 3% + BHTN 1%</t>
  </si>
  <si>
    <t>recruit_cost_pct</t>
  </si>
  <si>
    <t>Phí tuyển = 20% lương năm</t>
  </si>
  <si>
    <t>new_hire × 30 × 12 × 20%</t>
  </si>
  <si>
    <t>TÀI CHÍNH</t>
  </si>
  <si>
    <t>cit_rate</t>
  </si>
  <si>
    <t>Thuế TNDN = 20%</t>
  </si>
  <si>
    <t>IF(EBIT&gt;0, -EBIT×20%, 0)</t>
  </si>
  <si>
    <t>discount_rate</t>
  </si>
  <si>
    <t>WACC = 15%</t>
  </si>
  <si>
    <t>NPV(15%, FCF_array)</t>
  </si>
  <si>
    <t>depreciation_years</t>
  </si>
  <si>
    <t>Khấu hao = 5 năm</t>
  </si>
  <si>
    <t>capex_total / 5 / div per period</t>
  </si>
  <si>
    <t>ar_days</t>
  </si>
  <si>
    <t>Phải thu = 45 ngày</t>
  </si>
  <si>
    <t>Working capital = ΔRevenue × 45/365</t>
  </si>
  <si>
    <t>ap_days</t>
  </si>
  <si>
    <t>Phải trả = 30 ngày</t>
  </si>
  <si>
    <t>Hiện chưa dùng trong model</t>
  </si>
  <si>
    <t>stage2_gate</t>
  </si>
  <si>
    <t>Ngưỡng GĐ2 = 300 DN</t>
  </si>
  <si>
    <t>IF(net ≥ 300, Stage2_revenue, 0)</t>
  </si>
  <si>
    <t>QUAN HỆ CASCADING</t>
  </si>
  <si>
    <t>cloud_gmv_factor</t>
  </si>
  <si>
    <t>Cloud/Bn GMV = 0.5 Tr</t>
  </si>
  <si>
    <t>Cloud += ecom × share × 0.5</t>
  </si>
  <si>
    <t>mkt_efficiency_per_100</t>
  </si>
  <si>
    <t>Giảm mkt/100 DN = 2%</t>
  </si>
  <si>
    <t>mkt × MAX(0.5, 1 - ent×2%/100)</t>
  </si>
  <si>
    <t>support_scale_threshold</t>
  </si>
  <si>
    <t>Ngưỡng economies = 500 DN</t>
  </si>
  <si>
    <t>IF(ent&gt;500, cost×0.7, cost)</t>
  </si>
  <si>
    <t>support_discount</t>
  </si>
  <si>
    <t>Giảm support = 30%</t>
  </si>
  <si>
    <t>Khi &gt; 500 DN: support × (1-0.3)</t>
  </si>
  <si>
    <t>hr_bizops_per_100_ent</t>
  </si>
  <si>
    <t>BizOps/100 DN = 2.0</t>
  </si>
  <si>
    <t>MAX(floor, ent × 2 / 100)</t>
  </si>
  <si>
    <t>cloud_elasticity</t>
  </si>
  <si>
    <t>Elasticity cloud = 1.2</t>
  </si>
  <si>
    <t>VCR × (ent/100)^0.2 = super-linear</t>
  </si>
  <si>
    <t>bizops_floor</t>
  </si>
  <si>
    <t>Sàn BizOps = 2 người</t>
  </si>
  <si>
    <t>MIN headcount trước khi scaling</t>
  </si>
  <si>
    <t>THỜI GIAN DOANH THU</t>
  </si>
  <si>
    <t>Tháng setup = 3</t>
  </si>
  <si>
    <t>0=DT ngay, 3=Th10/2025, 6=Th1/2026</t>
  </si>
  <si>
    <t>5. CÔNG THỨC QUAN TRỌNG (Key Formulas)</t>
  </si>
  <si>
    <t>Công thức</t>
  </si>
  <si>
    <t>Vị trí</t>
  </si>
  <si>
    <t>Giải thích</t>
  </si>
  <si>
    <t>S-curve: MAX(pilot, max/(1+EXP(-k*(t-mid))))</t>
  </si>
  <si>
    <t>DN theo đường cong logistic. t = year fraction</t>
  </si>
  <si>
    <t>Year frac: base_year+(start_month-1+idx)/12</t>
  </si>
  <si>
    <t>Chuyển period index → năm thập phân</t>
  </si>
  <si>
    <t>Revenue gate: IF(idx&gt;=months_to_first_revenue,1,0)</t>
  </si>
  <si>
    <t>Tắt DT trước tháng bắt đầu</t>
  </si>
  <si>
    <t>Cert: flag × net × cert_fee × (1+esc)^yr / div</t>
  </si>
  <si>
    <t>Phí chứng nhận, escalate hàng năm</t>
  </si>
  <si>
    <t>Tx: IF(AND(flag,net≥gate), ecom×share×rate×1000, 0)</t>
  </si>
  <si>
    <t>Phí GD chỉ khi ≥300 DN + đã có DT</t>
  </si>
  <si>
    <t>Salary: hc × named_sal × months × (1+esc)^yr × (1+bhxh)</t>
  </si>
  <si>
    <t>Lương all-in: gốc + tăng + bảo hiểm</t>
  </si>
  <si>
    <t>BizOps hc: MAX(floor, ROUND(net×ratio/100, 0))</t>
  </si>
  <si>
    <t>Tự scale theo số doanh nghiệp</t>
  </si>
  <si>
    <t>Cloud: base/div + VCR×per_1M×elasticity + GMV×factor</t>
  </si>
  <si>
    <t>3 thành phần: cố định + biến đổi + GMV</t>
  </si>
  <si>
    <t>Marketing: mkt×(1+growth)^yr/div × MAX(0.5,1-ent×eff)</t>
  </si>
  <si>
    <t>Tăng trưởng + giảm hiệu quả theo DN</t>
  </si>
  <si>
    <t>Support: flag × net × cost × economy_factor / div</t>
  </si>
  <si>
    <t>Chỉ khi có DT, economies of scale &gt; 500 DN</t>
  </si>
  <si>
    <t>Pilot: IF(idx&lt;months_to_first_revenue, cost/div, 0)</t>
  </si>
  <si>
    <t>Chỉ trong giai đoạn setup</t>
  </si>
  <si>
    <t>D&amp;A: -capex_total / depreciation_years / div</t>
  </si>
  <si>
    <t>CIT: IF(EBIT&gt;0, -EBIT×cit_rate, 0)</t>
  </si>
  <si>
    <t>Thuế 20% chỉ khi có lãi</t>
  </si>
  <si>
    <t>Working capital: -ΔRevenue × ar_days / 365</t>
  </si>
  <si>
    <t>Tăng DT → cần thêm vốn lưu động</t>
  </si>
  <si>
    <t>NPV: NPV(discount_rate, FCF_Y1:Y5) + FCF_Y0</t>
  </si>
  <si>
    <t>Giá trị quy về hiện tại</t>
  </si>
  <si>
    <t>IRR: IFERROR(IRR(FCF_Y0:Y5), 'N/A')</t>
  </si>
  <si>
    <t>Tỷ suất khi NPV = 0</t>
  </si>
  <si>
    <t>6. THUẬT NGỮ (Glossary — 30 terms)</t>
  </si>
  <si>
    <t>Thuật ngữ</t>
  </si>
  <si>
    <t>Tên đầy đủ / Ý nghĩa</t>
  </si>
  <si>
    <t>Trong mô hình này</t>
  </si>
  <si>
    <t>NPV</t>
  </si>
  <si>
    <t>Giá trị hiện tại ròng (Net Present Value)</t>
  </si>
  <si>
    <t>Tổng dòng tiền chiết khấu. Dương = tạo giá trị cho NĐT.</t>
  </si>
  <si>
    <t>IRR</t>
  </si>
  <si>
    <t>Tỷ suất hoàn vốn nội bộ (Internal Rate of Return)</t>
  </si>
  <si>
    <t>WACC khi NPV = 0. IRR &gt; WACC → đáng đầu tư.</t>
  </si>
  <si>
    <t>WACC</t>
  </si>
  <si>
    <t>Chi phí vốn bình quân (Weighted Avg Cost of Capital)</t>
  </si>
  <si>
    <t>ROI</t>
  </si>
  <si>
    <t>Lợi nhuận trên đầu tư (Return on Investment)</t>
  </si>
  <si>
    <t>EBITDA</t>
  </si>
  <si>
    <t>LN trước lãi, thuế, khấu hao, TSCĐ</t>
  </si>
  <si>
    <t>LN hoạt động trước phi tiền mặt. Đo hiệu quả core biz.</t>
  </si>
  <si>
    <t>EBIT</t>
  </si>
  <si>
    <t>LN trước lãi và thuế (Earnings Before Interest &amp; Tax)</t>
  </si>
  <si>
    <t>CIT</t>
  </si>
  <si>
    <t>Thuế thu nhập doanh nghiệp (Corporate Income Tax)</t>
  </si>
  <si>
    <t>20% theo luật VN. Chỉ áp dụng khi EBIT &gt; 0.</t>
  </si>
  <si>
    <t>FCF</t>
  </si>
  <si>
    <t>Dòng tiền tự do (Free Cash Flow)</t>
  </si>
  <si>
    <t>OCF</t>
  </si>
  <si>
    <t>Dòng tiền hoạt động (Operating Cash Flow)</t>
  </si>
  <si>
    <t>ICF</t>
  </si>
  <si>
    <t>Dòng tiền đầu tư (Investing Cash Flow)</t>
  </si>
  <si>
    <t>D&amp;A</t>
  </si>
  <si>
    <t>Khấu hao (Depreciation &amp; Amortization)</t>
  </si>
  <si>
    <t>Chi phí phi tiền mặt. Cộng lại vào OCF.</t>
  </si>
  <si>
    <t>CAPEX</t>
  </si>
  <si>
    <t>Chi phí đầu tư (Capital Expenditure)</t>
  </si>
  <si>
    <t>5,280 Tr VND. Khấu hao 5 năm.</t>
  </si>
  <si>
    <t>OPEX</t>
  </si>
  <si>
    <t>Chi phí hoạt động (Operating Expenditure)</t>
  </si>
  <si>
    <t>HR + Marketing + Cloud + Pháp lý + ...</t>
  </si>
  <si>
    <t>COGS</t>
  </si>
  <si>
    <t>Giá vốn (Cost of Goods Sold)</t>
  </si>
  <si>
    <t>BHXH</t>
  </si>
  <si>
    <t>Bảo hiểm xã hội (Social Insurance)</t>
  </si>
  <si>
    <t>DN đóng 21.5%: BHXH 17.5% + BHYT 3% + BHTN 1%</t>
  </si>
  <si>
    <t>TAM</t>
  </si>
  <si>
    <t>Tổng thị trường (Total Addressable Market)</t>
  </si>
  <si>
    <t>40,000 DN du lịch VN</t>
  </si>
  <si>
    <t>SAM</t>
  </si>
  <si>
    <t>Thị trường phục vụ được (Serviceable Addressable)</t>
  </si>
  <si>
    <t>15,000 DN hoạt động số</t>
  </si>
  <si>
    <t>SOM</t>
  </si>
  <si>
    <t>Thị trường chiếm được (Serviceable Obtainable)</t>
  </si>
  <si>
    <t>GMV</t>
  </si>
  <si>
    <t>Tổng giá trị giao dịch (Gross Merchandise Value)</t>
  </si>
  <si>
    <t>TMĐT du lịch qua nền tảng VV</t>
  </si>
  <si>
    <t>VCR</t>
  </si>
  <si>
    <t>Bản ghi du khách (Visitor Certified Records)</t>
  </si>
  <si>
    <t>Dữ liệu/DN. Cơ sở tính DaaS.</t>
  </si>
  <si>
    <t>S-curve</t>
  </si>
  <si>
    <t>Đường cong logistic</t>
  </si>
  <si>
    <t>Tăng trưởng: chậm → nhanh → chậm. Midpoint = năm nhanh nhất.</t>
  </si>
  <si>
    <t>Stage 1</t>
  </si>
  <si>
    <t>Giai đoạn chứng nhận (2025-2027)</t>
  </si>
  <si>
    <t>DT: cert + training + audit. Không cần GMV.</t>
  </si>
  <si>
    <t>Stage 2</t>
  </si>
  <si>
    <t>Giai đoạn giao dịch (2028-2030)</t>
  </si>
  <si>
    <t>DT: tx + DaaS + ads. Cần ≥ 300 DN.</t>
  </si>
  <si>
    <t>Gate</t>
  </si>
  <si>
    <t>Ngưỡng kích hoạt GĐ2</t>
  </si>
  <si>
    <t>Churn</t>
  </si>
  <si>
    <t>Tỷ lệ rời bỏ (Non-renewal rate)</t>
  </si>
  <si>
    <t>20%/năm. Giảm net_enterprises.</t>
  </si>
  <si>
    <t>Tên Excel cho 1 ô</t>
  </si>
  <si>
    <t>VD: cert_fee_yr1 → Assumptions!$B$26</t>
  </si>
  <si>
    <t>Placeholder</t>
  </si>
  <si>
    <t>Ô vàng + chữ xanh</t>
  </si>
  <si>
    <t>Đầu vào chỉnh được. Sửa → mô hình tự cập nhật.</t>
  </si>
  <si>
    <t>Period Index</t>
  </si>
  <si>
    <t>Chỉ số kỳ (0-41)</t>
  </si>
  <si>
    <t>0 = Th7/2025, 5 = Th12/2025, 41 = Q4/2030</t>
  </si>
  <si>
    <t>Year Fraction</t>
  </si>
  <si>
    <t>Năm thập phân</t>
  </si>
  <si>
    <t>2025.500 = giữa năm 2025 (Th7)</t>
  </si>
  <si>
    <t>Cascading</t>
  </si>
  <si>
    <t>Quan hệ liên hoàn giữa giả định</t>
  </si>
  <si>
    <t>↑ market_share → ↑ GMV → ↑ cloud cost</t>
  </si>
  <si>
    <t>7. ĐIỀU KHIỂN THỜI GIAN DOANH THU</t>
  </si>
  <si>
    <t>Giá trị</t>
  </si>
  <si>
    <t>Kết quả</t>
  </si>
  <si>
    <t>Tương ứng thực tế</t>
  </si>
  <si>
    <t>months_to_first_revenue = 0</t>
  </si>
  <si>
    <t>Doanh thu từ tháng 7/2025 (ngay khi bắt đầu)</t>
  </si>
  <si>
    <t>Không thực tế — cần thời gian phát triển</t>
  </si>
  <si>
    <t>months_to_first_revenue = 3</t>
  </si>
  <si>
    <t>Doanh thu từ tháng 10/2025 (MẶC ĐỊNH)</t>
  </si>
  <si>
    <t>3 tháng setup (Jul-Sep), DT từ Oct</t>
  </si>
  <si>
    <t>months_to_first_revenue = 6</t>
  </si>
  <si>
    <t>Doanh thu từ tháng 1/2026</t>
  </si>
  <si>
    <t>6 tháng phát triển, DT năm sau</t>
  </si>
  <si>
    <t>months_to_first_revenue = 12</t>
  </si>
  <si>
    <t>Doanh thu từ tháng 7/2026</t>
  </si>
  <si>
    <t>1 năm full phát triển</t>
  </si>
  <si>
    <t>Khi thay đổi months_to_first_revenue, các sheet sau TỰ ĐỘNG cập nhật:</t>
  </si>
  <si>
    <t>• Revenue Schedule: Tất cả 6 nguồn DT = 0 trước tháng bắt đầu</t>
  </si>
  <si>
    <t>• Cost Schedule: Support = 0 trước khi có khách hàng</t>
  </si>
  <si>
    <t>• Cost Schedule: Pilot eval chỉ trong giai đoạn setup (trước DT)</t>
  </si>
  <si>
    <t>• P&amp;L: Cập nhật theo Revenue → EBIT → Thuế</t>
  </si>
  <si>
    <t>• Cash Flow: FCF thay đổi → NPV/IRR thay đổi</t>
  </si>
  <si>
    <t>• Sensitivity: 235 ô NPV tự tính lại</t>
  </si>
  <si>
    <t>8. SƠ ĐỒ QUAN HỆ CASCADING</t>
  </si>
  <si>
    <t>Khi thay đổi...</t>
  </si>
  <si>
    <t>...dẫn đến...</t>
  </si>
  <si>
    <t>...ảnh hưởng cuối cùng</t>
  </si>
  <si>
    <t>adoption_max ↑</t>
  </si>
  <si>
    <t>→ net_enterprises ↑</t>
  </si>
  <si>
    <t>→ Revenue ↑ (cert, training, audit) + HR BizOps ↑ + Cloud ↑ + Support ↑</t>
  </si>
  <si>
    <t>platform_market_share ↑</t>
  </si>
  <si>
    <t>→ GMV ↑</t>
  </si>
  <si>
    <t>→ Tx revenue ↑ + Cloud cost ↑ (GMV factor) + COGS ↑ (payment)</t>
  </si>
  <si>
    <t>churn_rate ↑</t>
  </si>
  <si>
    <t>→ net_enterprises ↓</t>
  </si>
  <si>
    <t>→ All revenue ↓ + Marketing pressure ↑ + Cost/DN ↑</t>
  </si>
  <si>
    <t>cert_fee_yr1 ↑</t>
  </si>
  <si>
    <t>→ Stage 1 revenue ↑</t>
  </si>
  <si>
    <t>→ But may increase churn (price sensitivity)</t>
  </si>
  <si>
    <t>discount_rate ↑</t>
  </si>
  <si>
    <t>→ NPV ↓</t>
  </si>
  <si>
    <t>→ Future CFs worth less. No operational impact.</t>
  </si>
  <si>
    <t>VISIT VIETNAM — FINANCIAL MODEL v6 — ASSUMPTIONS</t>
  </si>
  <si>
    <t>TIMING</t>
  </si>
  <si>
    <t>Parameter</t>
  </si>
  <si>
    <t>Value</t>
  </si>
  <si>
    <t>Unit</t>
  </si>
  <si>
    <t>Notes</t>
  </si>
  <si>
    <t>Base year</t>
  </si>
  <si>
    <t>Year</t>
  </si>
  <si>
    <t>Project start year</t>
  </si>
  <si>
    <t>Start month</t>
  </si>
  <si>
    <t>Month</t>
  </si>
  <si>
    <t>July=7</t>
  </si>
  <si>
    <t>MARKET DATA</t>
  </si>
  <si>
    <t>Total tourism enterprises</t>
  </si>
  <si>
    <t>GSO/VNAT</t>
  </si>
  <si>
    <t>Serviceable enterprises</t>
  </si>
  <si>
    <t>Digitally active</t>
  </si>
  <si>
    <t>E-commerce tourism market (base yr)</t>
  </si>
  <si>
    <t>Bn VND</t>
  </si>
  <si>
    <t>e-Conomy SEA</t>
  </si>
  <si>
    <t>E-tourism YoY growth</t>
  </si>
  <si>
    <t>%</t>
  </si>
  <si>
    <t>Historical</t>
  </si>
  <si>
    <t>ADOPTION S-CURVE</t>
  </si>
  <si>
    <t>Maximum enterprises (ceiling)</t>
  </si>
  <si>
    <t>Midpoint year</t>
  </si>
  <si>
    <t>Inflection point</t>
  </si>
  <si>
    <t>Steepness factor</t>
  </si>
  <si>
    <t>Starting enterprises</t>
  </si>
  <si>
    <t>Pilot partners</t>
  </si>
  <si>
    <t>Annual non-renewal rate</t>
  </si>
  <si>
    <t>PRICING</t>
  </si>
  <si>
    <t>Certification fee/enterprise/yr</t>
  </si>
  <si>
    <t>M VND</t>
  </si>
  <si>
    <t>Cert fee annual increase</t>
  </si>
  <si>
    <t>Transaction fee (% of GMV)</t>
  </si>
  <si>
    <t>Platform commission</t>
  </si>
  <si>
    <t>% e-tourism GMV via VV</t>
  </si>
  <si>
    <t>DaaS price per M VCR</t>
  </si>
  <si>
    <t>Advertising CPM</t>
  </si>
  <si>
    <t>K VND</t>
  </si>
  <si>
    <t>B2B benchmark</t>
  </si>
  <si>
    <t>Monthly impressions (K)</t>
  </si>
  <si>
    <t>K</t>
  </si>
  <si>
    <t>Scales w/ enterprises</t>
  </si>
  <si>
    <t>Training fee per engagement</t>
  </si>
  <si>
    <t>NEW stream</t>
  </si>
  <si>
    <t>Audit fee per certification</t>
  </si>
  <si>
    <t>% enterprises buying training</t>
  </si>
  <si>
    <t>Estimated</t>
  </si>
  <si>
    <t>COST PARAMETERS</t>
  </si>
  <si>
    <t>Maintenance (% of CAPEX/yr)</t>
  </si>
  <si>
    <t>Industry 15-20%</t>
  </si>
  <si>
    <t>Marketing (annual base)</t>
  </si>
  <si>
    <t>Marketing annual growth</t>
  </si>
  <si>
    <t>Cloud base (annual)</t>
  </si>
  <si>
    <t>From original data</t>
  </si>
  <si>
    <t>Cloud cost per M VCR</t>
  </si>
  <si>
    <t>VCR per enterprise/month</t>
  </si>
  <si>
    <t>records</t>
  </si>
  <si>
    <t>Traffic estimate</t>
  </si>
  <si>
    <t>External affairs (annual)</t>
  </si>
  <si>
    <t>Current data</t>
  </si>
  <si>
    <t>Legal &amp; compliance (annual)</t>
  </si>
  <si>
    <t>Branding &amp; events (annual)</t>
  </si>
  <si>
    <t>Security/pentest (annual)</t>
  </si>
  <si>
    <t>Pilot evaluation (Y1 only)</t>
  </si>
  <si>
    <t>One-time</t>
  </si>
  <si>
    <t>Payment gateway fee</t>
  </si>
  <si>
    <t>COGS on tx revenue</t>
  </si>
  <si>
    <t>Support cost per enterprise/yr</t>
  </si>
  <si>
    <t>Scales w/ count</t>
  </si>
  <si>
    <t>Partner management (annual)</t>
  </si>
  <si>
    <t>Relationship mgmt</t>
  </si>
  <si>
    <t>Contingency (% total OPEX)</t>
  </si>
  <si>
    <t>Buffer</t>
  </si>
  <si>
    <t>HR PARAMETERS</t>
  </si>
  <si>
    <t>Avg monthly — Management</t>
  </si>
  <si>
    <t>Director/PM</t>
  </si>
  <si>
    <t>Avg monthly — Development</t>
  </si>
  <si>
    <t>Engineers</t>
  </si>
  <si>
    <t>Avg monthly — BizOps</t>
  </si>
  <si>
    <t>BD/support</t>
  </si>
  <si>
    <t>Avg monthly — Data/Analytics</t>
  </si>
  <si>
    <t>Data eng</t>
  </si>
  <si>
    <t>Annual salary increase</t>
  </si>
  <si>
    <t>VN market</t>
  </si>
  <si>
    <t>Social insurance (employer)</t>
  </si>
  <si>
    <t>BHXH+BHYT+BHTN</t>
  </si>
  <si>
    <t>Recruitment fee (% Y1 sal)</t>
  </si>
  <si>
    <t>Headhunter</t>
  </si>
  <si>
    <t>FINANCIAL PARAMETERS</t>
  </si>
  <si>
    <t>Corporate income tax</t>
  </si>
  <si>
    <t>Vietnamese law</t>
  </si>
  <si>
    <t>Discount rate (WACC)</t>
  </si>
  <si>
    <t>Depreciation period</t>
  </si>
  <si>
    <t>Years</t>
  </si>
  <si>
    <t>Straight-line</t>
  </si>
  <si>
    <t>Accounts receivable days</t>
  </si>
  <si>
    <t>Days</t>
  </si>
  <si>
    <t>Collection period</t>
  </si>
  <si>
    <t>Accounts payable days</t>
  </si>
  <si>
    <t>Payment terms</t>
  </si>
  <si>
    <t>Stage 2 gate (min enterprises)</t>
  </si>
  <si>
    <t>Activate tx fees</t>
  </si>
  <si>
    <t>CASCADING RELATIONSHIPS (how assumptions affect each other)</t>
  </si>
  <si>
    <t>Cascade logic</t>
  </si>
  <si>
    <t>Cloud cost per Bn VND GMV processed</t>
  </si>
  <si>
    <t>Tr VND/Bn</t>
  </si>
  <si>
    <t>↑ market_share → ↑ GMV → ↑ cloud cost. Formula: GMV × this factor</t>
  </si>
  <si>
    <t>Marketing cost reduction per 100 enterprises</t>
  </si>
  <si>
    <t>%/100 ent</t>
  </si>
  <si>
    <t>↑ adoption → ↓ marketing/ent. Formula: marketing × MAX(0.5, 1 - ent×factor/100)</t>
  </si>
  <si>
    <t>Enterprises threshold for economies of scale</t>
  </si>
  <si>
    <t>enterprises</t>
  </si>
  <si>
    <t>When net_ent &gt; threshold → support cost drops by support_discount</t>
  </si>
  <si>
    <t>Support cost reduction after threshold</t>
  </si>
  <si>
    <t>ratio</t>
  </si>
  <si>
    <t>↑ ent past threshold → support/ent × (1 - discount). Economies of scale.</t>
  </si>
  <si>
    <t>BizOps staff needed per 100 enterprises (floor)</t>
  </si>
  <si>
    <t>people/100</t>
  </si>
  <si>
    <t>↑ adoption → ↑ BizOps needed. Floor = MAX(manual_hc, ent×ratio/100)</t>
  </si>
  <si>
    <t>Cloud cost elasticity to enterprise count</t>
  </si>
  <si>
    <t>factor</t>
  </si>
  <si>
    <t>VCR cost scales by ent^elasticity instead of linear. &gt;1 = super-linear.</t>
  </si>
  <si>
    <t>BizOps minimum floor headcount</t>
  </si>
  <si>
    <t>people</t>
  </si>
  <si>
    <t>MIN BizOps before scaling kicks in</t>
  </si>
  <si>
    <t>IMPACT MAP — How market_share cascades to costs</t>
  </si>
  <si>
    <t>→ HR BizOps headcount ↑ (hr_bizops_per_100_ent)</t>
  </si>
  <si>
    <t>→ HR Cost ↑</t>
  </si>
  <si>
    <t>→ VCR volume ↑ (vcr_per_enterprise × net_ent)</t>
  </si>
  <si>
    <t>→ Cloud Cost ↑ (cloud_per_1M_vcr)</t>
  </si>
  <si>
    <t>→ Support demand ↑ (opex_support_per_ent × net_ent)</t>
  </si>
  <si>
    <t>→ OPEX ↑</t>
  </si>
  <si>
    <t>→ Marketing efficiency ↑ (cost/ent decreases)</t>
  </si>
  <si>
    <t>→ Per-unit OPEX ↓</t>
  </si>
  <si>
    <t>→ Cert/Training/Audit revenue ↑</t>
  </si>
  <si>
    <t>→ Revenue ↑</t>
  </si>
  <si>
    <t>→ GMV through platform ↑</t>
  </si>
  <si>
    <t>→ Transaction fees ↑ (tx_take_rate × GMV)</t>
  </si>
  <si>
    <t>→ Cloud processing load ↑ (cloud_gmv_factor × GMV)</t>
  </si>
  <si>
    <t>→ Cloud Cost ↑</t>
  </si>
  <si>
    <t>→ Payment processing fees ↑ (payment_proc_pct × tx_rev)</t>
  </si>
  <si>
    <t>→ COGS ↑</t>
  </si>
  <si>
    <t>→ DaaS &amp; Ads potential ↑</t>
  </si>
  <si>
    <t>→ All enterprise-linked revenue ↓</t>
  </si>
  <si>
    <t>→ Revenue ↓</t>
  </si>
  <si>
    <t>→ Need more new sales to replace</t>
  </si>
  <si>
    <t>→ Marketing cost pressure ↑</t>
  </si>
  <si>
    <t>→ Support &amp; HR needs more stable</t>
  </si>
  <si>
    <t>→ Cost stays high vs falling revenue</t>
  </si>
  <si>
    <t>REVENUE TIMING</t>
  </si>
  <si>
    <t>Months before first revenue</t>
  </si>
  <si>
    <t>months</t>
  </si>
  <si>
    <t>0=revenue from day 1, 3=3 months setup (Oct 2025), 6=Jan 2026</t>
  </si>
  <si>
    <t>Revenue active flag formula</t>
  </si>
  <si>
    <t>Used in Revenue/Cost sheets</t>
  </si>
  <si>
    <t>IF(period_idx &gt;= months_to_first_revenue, 1, 0) — auto gate for all revenue</t>
  </si>
  <si>
    <t>INITIAL INVESTMENT — CAPEX BREAKDOWN (M VND)</t>
  </si>
  <si>
    <t>CAPEX Item</t>
  </si>
  <si>
    <t>Amount (M VND)</t>
  </si>
  <si>
    <t>Timing</t>
  </si>
  <si>
    <t>Cloud infrastructure setup</t>
  </si>
  <si>
    <t>H2 2025</t>
  </si>
  <si>
    <t>AWS/GCP initial</t>
  </si>
  <si>
    <t>Backend development</t>
  </si>
  <si>
    <t>API, DB, core</t>
  </si>
  <si>
    <t>Frontend + mobile</t>
  </si>
  <si>
    <t>Web + mobile</t>
  </si>
  <si>
    <t>Data platform</t>
  </si>
  <si>
    <t>Pipeline, analytics</t>
  </si>
  <si>
    <t>Security infrastructure</t>
  </si>
  <si>
    <t>Pentest, auth</t>
  </si>
  <si>
    <t>UX/UI design</t>
  </si>
  <si>
    <t>Design system</t>
  </si>
  <si>
    <t>3rd-party integrations</t>
  </si>
  <si>
    <t>Payment, OTA APIs</t>
  </si>
  <si>
    <t>DevOps &amp; CI/CD</t>
  </si>
  <si>
    <t>Deploy pipeline</t>
  </si>
  <si>
    <t>QA &amp; testing</t>
  </si>
  <si>
    <t>Auto + load test</t>
  </si>
  <si>
    <t>CAPEX contingency (10%)</t>
  </si>
  <si>
    <t>TOTAL INITIAL CAPEX</t>
  </si>
  <si>
    <t>DEPRECIATION SCHEDULE</t>
  </si>
  <si>
    <t>Annual D&amp;A</t>
  </si>
  <si>
    <t>Accum D&amp;A</t>
  </si>
  <si>
    <t>Net Book Value</t>
  </si>
  <si>
    <t>2025</t>
  </si>
  <si>
    <t>2026</t>
  </si>
  <si>
    <t>2027</t>
  </si>
  <si>
    <t>2028</t>
  </si>
  <si>
    <t>2029</t>
  </si>
  <si>
    <t>2030</t>
  </si>
  <si>
    <t>HR PLAN — HEADCOUNT &amp; COST</t>
  </si>
  <si>
    <t>Dept / Item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</si>
  <si>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</si>
  <si>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</si>
  <si>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</si>
  <si>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</si>
  <si>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</si>
  <si>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</si>
  <si>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</si>
  <si>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</si>
  <si>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</si>
  <si>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</si>
  <si>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</si>
  <si>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</si>
  <si>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</si>
  <si>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</si>
  <si>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</si>
  <si>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</si>
  <si>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</si>
  <si>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</si>
  <si>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</si>
  <si>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</si>
  <si>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</si>
  <si>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</si>
  <si>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</si>
  <si>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</si>
  <si>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</si>
  <si>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</si>
  <si>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</si>
  <si>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</si>
  <si>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</si>
  <si>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</si>
  <si>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</si>
  <si>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</si>
  <si>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</si>
  <si>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</si>
  <si>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</si>
  <si>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</si>
  <si>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</si>
  <si>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</si>
  <si>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</si>
  <si>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</si>
  <si>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</si>
  <si>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</si>
  <si>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HEADCOUNT</t>
  </si>
  <si>
    <t>Management</t>
  </si>
  <si>
    <t>Development</t>
  </si>
  <si>
    <t>Biz Ops (scaled)</t>
  </si>
  <si>
    <t>Data &amp; Analytics</t>
  </si>
  <si>
    <t>TOTAL HEADCOUNT</t>
  </si>
  <si>
    <t>NEW HIRES</t>
  </si>
  <si>
    <t>New hires</t>
  </si>
  <si>
    <t>SALARY COST (M VND)</t>
  </si>
  <si>
    <t>Management cost</t>
  </si>
  <si>
    <t>Development cost</t>
  </si>
  <si>
    <t>Biz Ops cost</t>
  </si>
  <si>
    <t>Data &amp; Analytics cost</t>
  </si>
  <si>
    <t>TOTAL SALARY</t>
  </si>
  <si>
    <t>Recruitment</t>
  </si>
  <si>
    <t>TOTAL HR COST</t>
  </si>
  <si>
    <t>MARKET SIZING &amp; ADOPTION</t>
  </si>
  <si>
    <t>Period index</t>
  </si>
  <si>
    <t>idx</t>
  </si>
  <si>
    <t>Year fraction</t>
  </si>
  <si>
    <t>year</t>
  </si>
  <si>
    <t>Years from base</t>
  </si>
  <si>
    <t>yrs</t>
  </si>
  <si>
    <t>Period divisor</t>
  </si>
  <si>
    <t>div</t>
  </si>
  <si>
    <t>Months in period</t>
  </si>
  <si>
    <t>mon</t>
  </si>
  <si>
    <t>Metric</t>
  </si>
  <si>
    <t>E-commerce tourism market</t>
  </si>
  <si>
    <t>S-CURVE ADOPTION</t>
  </si>
  <si>
    <t>Gross enterprises</t>
  </si>
  <si>
    <t>cnt</t>
  </si>
  <si>
    <t>Churned</t>
  </si>
  <si>
    <t>Net active enterprises</t>
  </si>
  <si>
    <t>New enterprises</t>
  </si>
  <si>
    <t>VCR (M records)</t>
  </si>
  <si>
    <t>M</t>
  </si>
  <si>
    <t>REVENUE SCHEDULE (M VND)</t>
  </si>
  <si>
    <t>Item</t>
  </si>
  <si>
    <t>STAGE 1</t>
  </si>
  <si>
    <t xml:space="preserve">  Certification fees</t>
  </si>
  <si>
    <t xml:space="preserve">  Training</t>
  </si>
  <si>
    <t xml:space="preserve">  Audit fees</t>
  </si>
  <si>
    <t>Subtotal Stage 1</t>
  </si>
  <si>
    <t>STAGE 2 (gated)</t>
  </si>
  <si>
    <t xml:space="preserve">  Transaction fees</t>
  </si>
  <si>
    <t xml:space="preserve">  DaaS</t>
  </si>
  <si>
    <t xml:space="preserve">  Advertising</t>
  </si>
  <si>
    <t>Subtotal Stage 2</t>
  </si>
  <si>
    <t>TOTAL REVENUE</t>
  </si>
  <si>
    <t xml:space="preserve">  Payment processing</t>
  </si>
  <si>
    <t>TOTAL COGS</t>
  </si>
  <si>
    <t>COST SCHEDULE (M VND)</t>
  </si>
  <si>
    <t xml:space="preserve">  Platform dev</t>
  </si>
  <si>
    <t xml:space="preserve">  Maintenance</t>
  </si>
  <si>
    <t>TOTAL CAPEX</t>
  </si>
  <si>
    <t xml:space="preserve">  HR (from HR Plan)</t>
  </si>
  <si>
    <t xml:space="preserve">  Marketing</t>
  </si>
  <si>
    <t xml:space="preserve">  Branding &amp; events</t>
  </si>
  <si>
    <t xml:space="preserve">  Cloud &amp; infra</t>
  </si>
  <si>
    <t xml:space="preserve">  Security</t>
  </si>
  <si>
    <t xml:space="preserve">  External affairs</t>
  </si>
  <si>
    <t xml:space="preserve">  Legal &amp; compliance</t>
  </si>
  <si>
    <t xml:space="preserve">  Pilot eval (Y1)</t>
  </si>
  <si>
    <t xml:space="preserve">  Partner mgmt</t>
  </si>
  <si>
    <t xml:space="preserve">  Customer support</t>
  </si>
  <si>
    <t>OPEX Subtotal</t>
  </si>
  <si>
    <t xml:space="preserve">  Contingency</t>
  </si>
  <si>
    <t>TOTAL OPEX</t>
  </si>
  <si>
    <t>TOTAL COSTS</t>
  </si>
  <si>
    <t>P&amp;L (M VND)</t>
  </si>
  <si>
    <t>Revenue</t>
  </si>
  <si>
    <t>GROSS PROFIT</t>
  </si>
  <si>
    <t>Depreciation</t>
  </si>
  <si>
    <t>Tax (CIT)</t>
  </si>
  <si>
    <t>NET INCOME</t>
  </si>
  <si>
    <t>MARGINS</t>
  </si>
  <si>
    <t>Gross margin</t>
  </si>
  <si>
    <t>EBITDA margin</t>
  </si>
  <si>
    <t>Net margin</t>
  </si>
  <si>
    <t>CASH FLOW (M VND)</t>
  </si>
  <si>
    <t>Operating CF</t>
  </si>
  <si>
    <t xml:space="preserve">  Net income</t>
  </si>
  <si>
    <t xml:space="preserve">  Add: D&amp;A</t>
  </si>
  <si>
    <t xml:space="preserve">  Working capital chg</t>
  </si>
  <si>
    <t>OPERATING CF</t>
  </si>
  <si>
    <t>Investing CF</t>
  </si>
  <si>
    <t xml:space="preserve">  CAPEX</t>
  </si>
  <si>
    <t>INVESTING CF</t>
  </si>
  <si>
    <t>FREE CASH FLOW</t>
  </si>
  <si>
    <t>Cumulative CF</t>
  </si>
  <si>
    <t>DCF &amp; RETURNS</t>
  </si>
  <si>
    <t>Annual FCF</t>
  </si>
  <si>
    <t>FCF (M VND)</t>
  </si>
  <si>
    <t>H2_2025</t>
  </si>
  <si>
    <t>Y2026</t>
  </si>
  <si>
    <t>Y2027</t>
  </si>
  <si>
    <t>Y2028</t>
  </si>
  <si>
    <t>Y2029</t>
  </si>
  <si>
    <t>Y2030</t>
  </si>
  <si>
    <t>Metrics</t>
  </si>
  <si>
    <t>Max cash burn</t>
  </si>
  <si>
    <t>CIT rate</t>
  </si>
  <si>
    <t>SENSITIVITY ANALYSIS — v6 (computed NPV)</t>
  </si>
  <si>
    <t>ONE-AT-A-TIME SENSITIVITY — Approximate NPV Impact (Tr VND)</t>
  </si>
  <si>
    <t>-30%</t>
  </si>
  <si>
    <t>-15%</t>
  </si>
  <si>
    <t>BASE</t>
  </si>
  <si>
    <t>+15%</t>
  </si>
  <si>
    <t>+30%</t>
  </si>
  <si>
    <t>Value @Base</t>
  </si>
  <si>
    <t>Impact ↑ or ↓</t>
  </si>
  <si>
    <t>Max enterprises (adoption_max)</t>
  </si>
  <si>
    <t>↑ adoption →  ↑ all revenue</t>
  </si>
  <si>
    <t>Market share (platform_market_share)</t>
  </si>
  <si>
    <t>↑ share → ↑ Stage 2 rev</t>
  </si>
  <si>
    <t>Churn rate</t>
  </si>
  <si>
    <t>↑ churn → ↓ net ent</t>
  </si>
  <si>
    <t>Cert fee (Tr/yr)</t>
  </si>
  <si>
    <t>↑ fee → ↑ Stage 1 rev</t>
  </si>
  <si>
    <t>Cert escalation</t>
  </si>
  <si>
    <t>↑ esc → ↑ later rev</t>
  </si>
  <si>
    <t>WACC (discount_rate)</t>
  </si>
  <si>
    <t>↑ WACC → ↓ NPV</t>
  </si>
  <si>
    <t>Marketing base</t>
  </si>
  <si>
    <t>↑ mkt → ↓ profit</t>
  </si>
  <si>
    <t>S-curve steepness</t>
  </si>
  <si>
    <t>↑ steep → faster adopt</t>
  </si>
  <si>
    <t>Stage 2 gate</t>
  </si>
  <si>
    <t>↑ gate → later Stage 2</t>
  </si>
  <si>
    <t>Cloud base cost</t>
  </si>
  <si>
    <t>↑ cloud → ↓ profit</t>
  </si>
  <si>
    <t>BHXH rate</t>
  </si>
  <si>
    <t>↑ BHXH → ↑ HR cost</t>
  </si>
  <si>
    <t>↑ tax → ↓ net income</t>
  </si>
  <si>
    <t>TWO-WAY NPV: adoption_max × platform_market_share (Tr VND)</t>
  </si>
  <si>
    <t>adoption ↓ \ mkt_share →</t>
  </si>
  <si>
    <t>TWO-WAY NPV: adoption_max × churn_rate (Tr VND)</t>
  </si>
  <si>
    <t>adoption ↓ \ churn →</t>
  </si>
  <si>
    <t>TWO-WAY NPV: platform_market_share × discount_rate (Tr VND)</t>
  </si>
  <si>
    <t>mkt_share ↓ \ WACC →</t>
  </si>
  <si>
    <t>NOTES</t>
  </si>
  <si>
    <t>• All NPV values are APPROXIMATE (simplified 5-year model using midpoint averages).</t>
  </si>
  <si>
    <t>• For exact NPV: change values in Assumptions sheet → read 'DCF &amp; Returns' NPV cell.</t>
  </si>
  <si>
    <t>• Green highlighted cells = BASE CASE (current assumptions).</t>
  </si>
  <si>
    <t>• All formulas use named ranges from Assumptions — change a param → tables recalculate.</t>
  </si>
  <si>
    <t>• HR avg headcount estimated at 33 (weighted average 2025-2030). Actual model uses period-by-period.</t>
  </si>
  <si>
    <t>• Stage 2 revenue assumed active for ~3 years (2028-2030) when enterprises exceed gate.</t>
  </si>
  <si>
    <t>SCENARIO ANALYSIS</t>
  </si>
  <si>
    <t>Copy values from a column into Assumptions.</t>
  </si>
  <si>
    <t>WORST</t>
  </si>
  <si>
    <t>BEAR</t>
  </si>
  <si>
    <t>BULL</t>
  </si>
  <si>
    <t>BEST</t>
  </si>
  <si>
    <t>🔑 KEY DRIVERS — WHAT AFFECTS NPV/IRR THE MOST</t>
  </si>
  <si>
    <t>The model's NPV and IRR are most sensitive to these 3 factors, in order of impact:</t>
  </si>
  <si>
    <t>1. ADOPTION MAX (adoption_max) — #1 DRIVER</t>
  </si>
  <si>
    <t xml:space="preserve">  This is the S-curve ceiling: maximum enterprises that will ever certify.</t>
  </si>
  <si>
    <t xml:space="preserve">  Every revenue stream depends on enterprise count. Cert fees, training, audit — all linear to enterprises.</t>
  </si>
  <si>
    <t xml:space="preserve">  Stage 2 (transaction fees, DaaS, ads) also depends on crossing the gate threshold.</t>
  </si>
  <si>
    <t xml:space="preserve">  Doubling adoption_max roughly doubles total revenue while costs only grow ~30-40%.</t>
  </si>
  <si>
    <t xml:space="preserve">  → Worst: 200 = project never gains traction. Best: 3,500 = becomes the standard.</t>
  </si>
  <si>
    <t>2. PLATFORM MARKET SHARE (platform_market_share) — #2 DRIVER</t>
  </si>
  <si>
    <t xml:space="preserve">  % of Vietnam's e-tourism GMV that flows through the VV platform.</t>
  </si>
  <si>
    <t xml:space="preserve">  Vietnam e-tourism = ~82,500 Bn VND (2025), growing 8%/yr → ~121,000 Bn by 2030.</t>
  </si>
  <si>
    <t xml:space="preserve">  Even 0.1% difference = 121 Bn VND difference in GMV → 2.4 Bn in tx fees at 2% take rate.</t>
  </si>
  <si>
    <t xml:space="preserve">  This only activates in Stage 2 (after hitting gate), so impact shows in later years.</t>
  </si>
  <si>
    <t xml:space="preserve">  → Worst: 0.1% = niche player. Best: 2% = dominant platform (similar to v2's broken assumption).</t>
  </si>
  <si>
    <t>3. CHURN RATE (churn_rate) — #3 DRIVER</t>
  </si>
  <si>
    <t xml:space="preserve">  % of certified enterprises that don't renew each year.</t>
  </si>
  <si>
    <t xml:space="preserve">  High churn means constantly replacing lost enterprises — growth slows, costs don't drop.</t>
  </si>
  <si>
    <t xml:space="preserve">  At 35% churn: need 35 new signups/yr per 100 just to stay flat. Very expensive.</t>
  </si>
  <si>
    <t xml:space="preserve">  At 10% churn: compound growth accelerates, LTV per enterprise increases.</t>
  </si>
  <si>
    <t xml:space="preserve">  → Worst: 35% = certification has low perceived value. Best: 10% = sticky, high-value.</t>
  </si>
  <si>
    <t>📖 DETAILED SCENARIO NARRATIVES</t>
  </si>
  <si>
    <t>WORST CASE — 'Failed Launch'</t>
  </si>
  <si>
    <t xml:space="preserve">  Only 200 enterprises adopt over 5 years. Market sees no value in certification.</t>
  </si>
  <si>
    <t xml:space="preserve">  Stage 2 never activates (200 &lt; 300 gate). Revenue = cert fees only, from tiny base.</t>
  </si>
  <si>
    <t xml:space="preserve">  High churn 35% means even the few adopters leave. High marketing spend with no return.</t>
  </si>
  <si>
    <t xml:space="preserve">  Discount rate 20% reflects extreme risk. Project is a net loss.</t>
  </si>
  <si>
    <t xml:space="preserve">  Likely outcome: Project shut down after 2-3 years. Total loss = initial CAPEX + operating losses.</t>
  </si>
  <si>
    <t>BEAR CASE — 'Slow Burn'</t>
  </si>
  <si>
    <t xml:space="preserve">  600 enterprises over 5 years. Certification gains some recognition but growth is slow.</t>
  </si>
  <si>
    <t xml:space="preserve">  Stage 2 activates late (600 &gt; 300 gate) but with only 0.3% market share, modest tx revenue.</t>
  </si>
  <si>
    <t xml:space="preserve">  25% churn means 1 in 4 enterprises don't renew — need strong sales to maintain.</t>
  </si>
  <si>
    <t xml:space="preserve">  Model may break even operationally by 2029-2030 but NPV is near zero or slightly negative.</t>
  </si>
  <si>
    <t xml:space="preserve">  Likely outcome: Survives but requires ongoing subsidy. Marginal returns.</t>
  </si>
  <si>
    <t>BASE CASE — 'Realistic Growth' (Current Assumptions)</t>
  </si>
  <si>
    <t xml:space="preserve">  1,200 enterprises by 2030 (3% of SAM). Certification becomes recognized in the market.</t>
  </si>
  <si>
    <t xml:space="preserve">  Stage 2 activates in 2027-2028 with 0.5% market share — meaningful but not dominant.</t>
  </si>
  <si>
    <t xml:space="preserve">  20% churn is realistic for B2B subscription services in Vietnam.</t>
  </si>
  <si>
    <t xml:space="preserve">  WACC 15% reflects startup risk in a developing market.</t>
  </si>
  <si>
    <t xml:space="preserve">  Breakeven expected around 2027-2028. Positive cumulative CF by 2029-2030.</t>
  </si>
  <si>
    <t xml:space="preserve">  Likely outcome: Viable business generating moderate returns.</t>
  </si>
  <si>
    <t>BULL CASE — 'Strong Adoption'</t>
  </si>
  <si>
    <t xml:space="preserve">  2,000 enterprises = 5% of SAM. VV certification becomes a market differentiator.</t>
  </si>
  <si>
    <t xml:space="preserve">  Stage 2 activates early with 1% market share. Transaction revenue becomes significant.</t>
  </si>
  <si>
    <t xml:space="preserve">  15% churn shows certification has real value. Enterprises renew because it drives business.</t>
  </si>
  <si>
    <t xml:space="preserve">  Lower WACC 12% reflects proven business model.</t>
  </si>
  <si>
    <t xml:space="preserve">  Strong returns with meaningful IRR. Could attract follow-on investment.</t>
  </si>
  <si>
    <t xml:space="preserve">  Likely outcome: Attractive business. Consider geographic expansion.</t>
  </si>
  <si>
    <t>BEST CASE — 'Market Leader'</t>
  </si>
  <si>
    <t xml:space="preserve">  3,500 enterprises = 8.75% of SAM. VV becomes THE certification standard for Vietnam tourism.</t>
  </si>
  <si>
    <t xml:space="preserve">  2% market share in e-tourism = dominant platform position.</t>
  </si>
  <si>
    <t xml:space="preserve">  10% churn = extremely sticky product. Enterprises can't afford NOT to have it.</t>
  </si>
  <si>
    <t xml:space="preserve">  Government adoption or mandated certification would push toward this scenario.</t>
  </si>
  <si>
    <t xml:space="preserve">  Outstanding returns. Platform effects create a moat.</t>
  </si>
  <si>
    <t xml:space="preserve">  Likely outcome: IPO-ready or acquisition target. Regional expansion to SE Asia.</t>
  </si>
  <si>
    <t>📊 SECONDARY DRIVERS (moderate impact)</t>
  </si>
  <si>
    <t>4. Cert fee level (cert_fee_yr1) — direct impact on Stage 1 revenue</t>
  </si>
  <si>
    <t xml:space="preserve">   ↳ 15M vs 40M = 2.67x revenue difference, but too high → increases churn</t>
  </si>
  <si>
    <t>5. Cert fee escalation — compound effect over 5 years</t>
  </si>
  <si>
    <t xml:space="preserve">   ↳ 0% vs 12% = at 1000 ent, difference of 2.3B/yr by 2030</t>
  </si>
  <si>
    <t>6. Marketing spend — indirect: drives adoption speed, but is a cost</t>
  </si>
  <si>
    <t xml:space="preserve">   ↳ 5000M vs 8000M/yr = 3B/yr cost difference. Must justify with faster adoption</t>
  </si>
  <si>
    <t>7. Discount rate — changes present value of future cash flows</t>
  </si>
  <si>
    <t xml:space="preserve">   ↳ 10% vs 20% = can flip NPV from positive to negative on same cash flows</t>
  </si>
  <si>
    <t>8. Stage 2 gate — when transaction revenue kicks in</t>
  </si>
  <si>
    <t xml:space="preserve">   ↳ 150 vs 500 gate = 1-2 year difference in Stage 2 activation</t>
  </si>
  <si>
    <t>BUDGET 2025 (M VND)</t>
  </si>
  <si>
    <t>Jul</t>
  </si>
  <si>
    <t>Aug</t>
  </si>
  <si>
    <t>Sep</t>
  </si>
  <si>
    <t>Oct</t>
  </si>
  <si>
    <t>Nov</t>
  </si>
  <si>
    <t>Dec</t>
  </si>
  <si>
    <t>TOTAL</t>
  </si>
  <si>
    <t>REVENUE</t>
  </si>
  <si>
    <t xml:space="preserve">  Cert fees</t>
  </si>
  <si>
    <t xml:space="preserve">  Audit</t>
  </si>
  <si>
    <t xml:space="preserve">  Cloud setup</t>
  </si>
  <si>
    <t xml:space="preserve">  Backend dev</t>
  </si>
  <si>
    <t xml:space="preserve">  Frontend+mobile</t>
  </si>
  <si>
    <t xml:space="preserve">  Data platform</t>
  </si>
  <si>
    <t xml:space="preserve">  UX/UI design</t>
  </si>
  <si>
    <t xml:space="preserve">  Integrations</t>
  </si>
  <si>
    <t xml:space="preserve">  DevOps</t>
  </si>
  <si>
    <t xml:space="preserve">  QA testing</t>
  </si>
  <si>
    <t xml:space="preserve">  HR — Mgmt(2)</t>
  </si>
  <si>
    <t xml:space="preserve">  HR — Dev(12)</t>
  </si>
  <si>
    <t xml:space="preserve">  HR — BizOps(2)</t>
  </si>
  <si>
    <t xml:space="preserve">  Recruitment</t>
  </si>
  <si>
    <t xml:space="preserve">  Branding</t>
  </si>
  <si>
    <t xml:space="preserve">  Cloud</t>
  </si>
  <si>
    <t xml:space="preserve">  External</t>
  </si>
  <si>
    <t xml:space="preserve">  Legal</t>
  </si>
  <si>
    <t xml:space="preserve">  Pilot eval</t>
  </si>
  <si>
    <t>SUMMARY</t>
  </si>
  <si>
    <t>TOTAL BUDGET</t>
  </si>
  <si>
    <t>NET (Rev-Budget)</t>
  </si>
  <si>
    <t>Cumulative</t>
  </si>
  <si>
    <t>BUDGET 2026 (M VND)</t>
  </si>
  <si>
    <t>Jan</t>
  </si>
  <si>
    <t>Feb</t>
  </si>
  <si>
    <t>Mar</t>
  </si>
  <si>
    <t>Apr</t>
  </si>
  <si>
    <t>May</t>
  </si>
  <si>
    <t>Jun</t>
  </si>
  <si>
    <t xml:space="preserve">  HR — BizOps(6)</t>
  </si>
  <si>
    <t xml:space="preserve">  HR — Data(2)</t>
  </si>
  <si>
    <t>=MAX(pilot_count, S_curve_result)</t>
  </si>
  <si>
    <t>=(@CF lũy kế +@ max burn) /@ max burn</t>
  </si>
  <si>
    <t>=@EBITDA -@ Khấu hao. Basis cho tính thuế.</t>
  </si>
  <si>
    <t>=@OCF +@ ICF. Tiền thực có sau mọi chi tiêu.</t>
  </si>
  <si>
    <t>=@Lãi ròng +@ Khấu hao -@ ΔVốn lưu động</t>
  </si>
  <si>
    <t>=-@CAPEX. Tiền đổ vào tài sản.</t>
  </si>
  <si>
    <t>=payment_proc_pct *@ tx_revenue. chi phí trực tiếp.</t>
  </si>
  <si>
    <t>Revenue timing control + cascading relationships + 55 named ranges</t>
  </si>
  <si>
    <t>S-curve asymptote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</si>
</sst>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#,##0.0"/>
    <numFmt numFmtId="168" formatCode="#,##0.000"/>
  </numFmts>
  <fonts count="4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1"/>
      <name val="Calibri"/>
    </font>
    <font>
      <sz val="11"/>
      <color rgb="FFCC0000"/>
      <name val="Calibri"/>
    </font>
    <font>
      <sz val="11"/>
      <color rgb="FF00B050"/>
      <name val="Calibri"/>
    </font>
    <font>
      <b/>
      <sz val="11"/>
      <color rgb="FF1F4E79"/>
      <name val="Calibri"/>
    </font>
    <font>
      <b/>
      <sz val="10"/>
      <color rgb="FF333333"/>
      <name val="Calibri"/>
    </font>
    <font>
      <b/>
      <sz val="10"/>
      <color rgb="FF1F4E79"/>
      <name val="Calibri"/>
    </font>
    <font>
      <sz val="10"/>
      <color rgb="FF333333"/>
      <name val="Calibri"/>
    </font>
    <font>
      <b/>
      <sz val="10"/>
      <color rgb="FFCC0000"/>
      <name val="Calibri"/>
    </font>
    <font>
      <b/>
      <sz val="10"/>
      <color rgb="FF996600"/>
      <name val="Calibri"/>
    </font>
    <font>
      <b/>
      <sz val="10"/>
      <color rgb="FF0070C0"/>
      <name val="Calibri"/>
    </font>
    <font>
      <b/>
      <sz val="10"/>
      <color rgb="FF00B050"/>
      <name val="Calibri"/>
    </font>
    <font>
      <b/>
      <sz val="11"/>
      <color rgb="FFBF8F00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sz val="9"/>
      <color rgb="FF1F4E79"/>
      <name val="Calibri"/>
    </font>
    <font>
      <sz val="9"/>
      <color rgb="FF444444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color rgb="FFCC0000"/>
      <name val="Calibri"/>
    </font>
    <font>
      <b/>
      <sz val="11"/>
      <name val="Calibri"/>
    </font>
    <font>
      <sz val="11"/>
      <color rgb="FF00B050"/>
      <name val="Calibri"/>
    </font>
    <font>
      <sz val="9"/>
      <color rgb="FF666666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0"/>
      <color rgb="FF1F4E79"/>
      <name val="Calibri"/>
    </font>
    <font>
      <sz val="10"/>
      <color rgb="FF444444"/>
      <name val="Calibri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rgb="FFFFFFCC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9" fontId="45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0" fillId="2" borderId="1" xfId="0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/>
    <xf numFmtId="0" fontId="7" fillId="0" borderId="1" xfId="0" applyFont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3" fontId="8" fillId="5" borderId="1" xfId="0" applyNumberFormat="1" applyFont="1" applyFill="1" applyBorder="1"/>
    <xf numFmtId="3" fontId="5" fillId="0" borderId="1" xfId="0" applyNumberFormat="1" applyFont="1" applyBorder="1"/>
    <xf numFmtId="0" fontId="0" fillId="2" borderId="0" xfId="0" applyFill="1"/>
    <xf numFmtId="0" fontId="5" fillId="0" borderId="0" xfId="0" applyFont="1"/>
    <xf numFmtId="0" fontId="8" fillId="0" borderId="0" xfId="0" applyFont="1"/>
    <xf numFmtId="166" fontId="5" fillId="0" borderId="1" xfId="0" applyNumberFormat="1" applyFont="1" applyBorder="1"/>
    <xf numFmtId="167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3" fontId="9" fillId="0" borderId="1" xfId="0" applyNumberFormat="1" applyFont="1" applyBorder="1"/>
    <xf numFmtId="3" fontId="0" fillId="0" borderId="1" xfId="0" applyNumberFormat="1" applyBorder="1"/>
    <xf numFmtId="3" fontId="10" fillId="0" borderId="1" xfId="0" applyNumberFormat="1" applyFont="1" applyBorder="1"/>
    <xf numFmtId="164" fontId="9" fillId="0" borderId="1" xfId="0" applyNumberFormat="1" applyFont="1" applyBorder="1"/>
    <xf numFmtId="164" fontId="0" fillId="0" borderId="1" xfId="0" applyNumberFormat="1" applyBorder="1"/>
    <xf numFmtId="164" fontId="8" fillId="5" borderId="1" xfId="0" applyNumberFormat="1" applyFont="1" applyFill="1" applyBorder="1"/>
    <xf numFmtId="164" fontId="10" fillId="0" borderId="1" xfId="0" applyNumberFormat="1" applyFont="1" applyBorder="1"/>
    <xf numFmtId="0" fontId="3" fillId="2" borderId="1" xfId="0" applyFont="1" applyFill="1" applyBorder="1"/>
    <xf numFmtId="0" fontId="0" fillId="7" borderId="2" xfId="0" applyFill="1" applyBorder="1"/>
    <xf numFmtId="0" fontId="20" fillId="8" borderId="2" xfId="0" applyFont="1" applyFill="1" applyBorder="1" applyAlignment="1">
      <alignment horizontal="center"/>
    </xf>
    <xf numFmtId="0" fontId="21" fillId="0" borderId="2" xfId="0" applyFont="1" applyBorder="1"/>
    <xf numFmtId="165" fontId="22" fillId="9" borderId="2" xfId="0" applyNumberFormat="1" applyFont="1" applyFill="1" applyBorder="1"/>
    <xf numFmtId="0" fontId="23" fillId="0" borderId="2" xfId="0" applyFont="1" applyBorder="1"/>
    <xf numFmtId="164" fontId="22" fillId="9" borderId="2" xfId="0" applyNumberFormat="1" applyFont="1" applyFill="1" applyBorder="1"/>
    <xf numFmtId="3" fontId="22" fillId="9" borderId="2" xfId="0" applyNumberFormat="1" applyFont="1" applyFill="1" applyBorder="1"/>
    <xf numFmtId="0" fontId="24" fillId="0" borderId="2" xfId="0" applyFont="1" applyBorder="1"/>
    <xf numFmtId="0" fontId="25" fillId="0" borderId="2" xfId="0" applyFont="1" applyBorder="1"/>
    <xf numFmtId="3" fontId="21" fillId="0" borderId="2" xfId="0" applyNumberFormat="1" applyFont="1" applyBorder="1"/>
    <xf numFmtId="0" fontId="26" fillId="0" borderId="3" xfId="0" applyFont="1" applyBorder="1"/>
    <xf numFmtId="3" fontId="27" fillId="10" borderId="3" xfId="0" applyNumberFormat="1" applyFont="1" applyFill="1" applyBorder="1"/>
    <xf numFmtId="0" fontId="28" fillId="0" borderId="3" xfId="0" applyFont="1" applyBorder="1"/>
    <xf numFmtId="0" fontId="26" fillId="0" borderId="1" xfId="0" applyFont="1" applyBorder="1"/>
    <xf numFmtId="3" fontId="26" fillId="4" borderId="3" xfId="0" applyNumberFormat="1" applyFont="1" applyFill="1" applyBorder="1"/>
    <xf numFmtId="0" fontId="31" fillId="12" borderId="3" xfId="0" applyFont="1" applyFill="1" applyBorder="1" applyAlignment="1">
      <alignment horizontal="center"/>
    </xf>
    <xf numFmtId="3" fontId="32" fillId="0" borderId="3" xfId="0" applyNumberFormat="1" applyFont="1" applyBorder="1"/>
    <xf numFmtId="3" fontId="33" fillId="13" borderId="3" xfId="0" applyNumberFormat="1" applyFont="1" applyFill="1" applyBorder="1"/>
    <xf numFmtId="3" fontId="34" fillId="0" borderId="3" xfId="0" applyNumberFormat="1" applyFont="1" applyBorder="1"/>
    <xf numFmtId="168" fontId="26" fillId="0" borderId="3" xfId="0" applyNumberFormat="1" applyFont="1" applyBorder="1"/>
    <xf numFmtId="0" fontId="35" fillId="0" borderId="3" xfId="0" applyFont="1" applyBorder="1"/>
    <xf numFmtId="164" fontId="31" fillId="12" borderId="3" xfId="0" applyNumberFormat="1" applyFont="1" applyFill="1" applyBorder="1"/>
    <xf numFmtId="0" fontId="33" fillId="0" borderId="3" xfId="0" applyFont="1" applyBorder="1"/>
    <xf numFmtId="3" fontId="0" fillId="0" borderId="3" xfId="0" applyNumberFormat="1" applyBorder="1"/>
    <xf numFmtId="9" fontId="31" fillId="12" borderId="3" xfId="0" applyNumberFormat="1" applyFont="1" applyFill="1" applyBorder="1"/>
    <xf numFmtId="164" fontId="33" fillId="0" borderId="3" xfId="0" applyNumberFormat="1" applyFont="1" applyBorder="1"/>
    <xf numFmtId="0" fontId="0" fillId="0" borderId="0" xfId="0"/>
    <xf numFmtId="0" fontId="19" fillId="7" borderId="2" xfId="0" applyFont="1" applyFill="1" applyBorder="1"/>
    <xf numFmtId="0" fontId="42" fillId="0" borderId="0" xfId="0" applyFont="1"/>
    <xf numFmtId="0" fontId="36" fillId="14" borderId="6" xfId="0" applyFont="1" applyFill="1" applyBorder="1"/>
    <xf numFmtId="0" fontId="37" fillId="15" borderId="6" xfId="0" applyFont="1" applyFill="1" applyBorder="1" applyAlignment="1">
      <alignment horizontal="center"/>
    </xf>
    <xf numFmtId="0" fontId="38" fillId="0" borderId="6" xfId="0" applyFont="1" applyBorder="1"/>
    <xf numFmtId="0" fontId="0" fillId="14" borderId="6" xfId="0" applyFill="1" applyBorder="1"/>
    <xf numFmtId="3" fontId="39" fillId="16" borderId="6" xfId="0" applyNumberFormat="1" applyFont="1" applyFill="1" applyBorder="1"/>
    <xf numFmtId="0" fontId="40" fillId="0" borderId="6" xfId="0" applyFont="1" applyBorder="1"/>
    <xf numFmtId="3" fontId="38" fillId="0" borderId="6" xfId="0" applyNumberFormat="1" applyFont="1" applyBorder="1"/>
    <xf numFmtId="0" fontId="5" fillId="0" borderId="6" xfId="0" quotePrefix="1" applyFont="1" applyBorder="1"/>
    <xf numFmtId="0" fontId="4" fillId="15" borderId="7" xfId="0" applyFont="1" applyFill="1" applyBorder="1" applyAlignment="1">
      <alignment horizontal="center"/>
    </xf>
    <xf numFmtId="3" fontId="0" fillId="0" borderId="0" xfId="0" applyNumberFormat="1"/>
    <xf numFmtId="10" fontId="0" fillId="0" borderId="0" xfId="1" applyNumberFormat="1" applyFont="1"/>
    <xf numFmtId="0" fontId="6" fillId="4" borderId="1" xfId="0" applyNumberFormat="1" applyFont="1" applyFill="1" applyBorder="1"/>
    <xf numFmtId="0" fontId="41" fillId="0" borderId="0" xfId="0" applyFont="1"/>
    <xf numFmtId="0" fontId="0" fillId="0" borderId="0" xfId="0"/>
    <xf numFmtId="0" fontId="44" fillId="0" borderId="0" xfId="0" applyFont="1"/>
    <xf numFmtId="0" fontId="43" fillId="0" borderId="0" xfId="0" applyFont="1"/>
    <xf numFmtId="0" fontId="1" fillId="0" borderId="0" xfId="0" applyFont="1"/>
    <xf numFmtId="0" fontId="19" fillId="7" borderId="3" xfId="0" applyFont="1" applyFill="1" applyBorder="1"/>
    <xf numFmtId="0" fontId="0" fillId="0" borderId="4" xfId="0" applyBorder="1"/>
    <xf numFmtId="0" fontId="0" fillId="0" borderId="5" xfId="0" applyBorder="1"/>
    <xf numFmtId="0" fontId="35" fillId="0" borderId="0" xfId="0" applyFont="1"/>
    <xf numFmtId="0" fontId="29" fillId="0" borderId="0" xfId="0" applyFont="1"/>
    <xf numFmtId="0" fontId="30" fillId="11" borderId="3" xfId="0" applyFont="1" applyFill="1" applyBorder="1"/>
    <xf numFmtId="0" fontId="14" fillId="0" borderId="0" xfId="0" applyFont="1"/>
    <xf numFmtId="0" fontId="11" fillId="6" borderId="0" xfId="0" applyFont="1" applyFill="1"/>
    <xf numFmtId="0" fontId="18" fillId="0" borderId="0" xfId="0" applyFont="1"/>
    <xf numFmtId="0" fontId="17" fillId="0" borderId="0" xfId="0" applyFont="1"/>
    <xf numFmtId="0" fontId="13" fillId="0" borderId="0" xfId="0" applyFont="1"/>
    <xf numFmtId="0" fontId="12" fillId="0" borderId="0" xfId="0" applyFont="1"/>
    <xf numFmtId="0" fontId="16" fillId="0" borderId="0" xfId="0" applyFont="1"/>
    <xf numFmtId="0" fontId="3" fillId="2" borderId="3" xfId="0" applyFont="1" applyFill="1" applyBorder="1"/>
    <xf numFmtId="0" fontId="1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84"/>
  <sheetViews>
    <sheetView workbookViewId="0">
      <selection activeCell="B139" sqref="B139"/>
    </sheetView>
  </sheetViews>
  <sheetFormatPr defaultRowHeight="14.4" x14ac:dyDescent="0.3"/>
  <cols>
    <col min="1" max="1" width="30" style="52" customWidth="1"/>
    <col min="2" max="2" width="50" style="52" customWidth="1"/>
    <col min="3" max="3" width="45" style="52" customWidth="1"/>
  </cols>
  <sheetData>
    <row r="1" spans="1:3" ht="21" x14ac:dyDescent="0.4">
      <c r="A1" s="67" t="s">
        <v>0</v>
      </c>
      <c r="B1" s="68"/>
      <c r="C1" s="68"/>
    </row>
    <row r="2" spans="1:3" x14ac:dyDescent="0.3">
      <c r="A2" s="54" t="s">
        <v>1</v>
      </c>
    </row>
    <row r="4" spans="1:3" x14ac:dyDescent="0.3">
      <c r="A4" s="55" t="s">
        <v>2</v>
      </c>
    </row>
    <row r="5" spans="1:3" x14ac:dyDescent="0.3">
      <c r="A5" s="56" t="s">
        <v>3</v>
      </c>
      <c r="B5" s="56" t="s">
        <v>4</v>
      </c>
      <c r="C5" s="56" t="s">
        <v>5</v>
      </c>
    </row>
    <row r="6" spans="1:3" x14ac:dyDescent="0.3">
      <c r="A6" s="57" t="s">
        <v>6</v>
      </c>
      <c r="B6" s="57" t="s">
        <v>7</v>
      </c>
      <c r="C6" s="57" t="s">
        <v>8</v>
      </c>
    </row>
    <row r="7" spans="1:3" x14ac:dyDescent="0.3">
      <c r="A7" s="57" t="s">
        <v>9</v>
      </c>
      <c r="B7" s="57" t="s">
        <v>10</v>
      </c>
      <c r="C7" s="57" t="s">
        <v>11</v>
      </c>
    </row>
    <row r="8" spans="1:3" x14ac:dyDescent="0.3">
      <c r="A8" s="57" t="s">
        <v>12</v>
      </c>
      <c r="B8" s="57" t="s">
        <v>13</v>
      </c>
      <c r="C8" s="57" t="s">
        <v>14</v>
      </c>
    </row>
    <row r="9" spans="1:3" x14ac:dyDescent="0.3">
      <c r="A9" s="57" t="s">
        <v>15</v>
      </c>
      <c r="B9" s="57" t="s">
        <v>16</v>
      </c>
      <c r="C9" s="57" t="s">
        <v>17</v>
      </c>
    </row>
    <row r="10" spans="1:3" x14ac:dyDescent="0.3">
      <c r="A10" s="57" t="s">
        <v>18</v>
      </c>
      <c r="B10" s="57" t="s">
        <v>19</v>
      </c>
      <c r="C10" s="57" t="s">
        <v>20</v>
      </c>
    </row>
    <row r="11" spans="1:3" x14ac:dyDescent="0.3">
      <c r="A11" s="57" t="s">
        <v>21</v>
      </c>
      <c r="B11" s="57" t="s">
        <v>22</v>
      </c>
      <c r="C11" s="57"/>
    </row>
    <row r="12" spans="1:3" x14ac:dyDescent="0.3">
      <c r="A12" s="57" t="s">
        <v>23</v>
      </c>
      <c r="B12" s="57" t="s">
        <v>24</v>
      </c>
      <c r="C12" s="57" t="s">
        <v>25</v>
      </c>
    </row>
    <row r="13" spans="1:3" x14ac:dyDescent="0.3">
      <c r="A13" s="57" t="s">
        <v>26</v>
      </c>
      <c r="B13" s="57" t="s">
        <v>27</v>
      </c>
      <c r="C13" s="57" t="s">
        <v>28</v>
      </c>
    </row>
    <row r="14" spans="1:3" x14ac:dyDescent="0.3">
      <c r="A14" s="57" t="s">
        <v>29</v>
      </c>
      <c r="B14" s="57" t="s">
        <v>30</v>
      </c>
      <c r="C14" s="57" t="s">
        <v>31</v>
      </c>
    </row>
    <row r="15" spans="1:3" x14ac:dyDescent="0.3">
      <c r="A15" s="57" t="s">
        <v>32</v>
      </c>
      <c r="B15" s="57" t="s">
        <v>33</v>
      </c>
      <c r="C15" s="57" t="s">
        <v>34</v>
      </c>
    </row>
    <row r="16" spans="1:3" x14ac:dyDescent="0.3">
      <c r="A16" s="57" t="s">
        <v>35</v>
      </c>
      <c r="B16" s="57" t="s">
        <v>36</v>
      </c>
      <c r="C16" s="57" t="s">
        <v>37</v>
      </c>
    </row>
    <row r="17" spans="1:3" x14ac:dyDescent="0.3">
      <c r="A17" s="57" t="s">
        <v>38</v>
      </c>
      <c r="B17" s="57" t="s">
        <v>39</v>
      </c>
      <c r="C17" s="57" t="s">
        <v>40</v>
      </c>
    </row>
    <row r="18" spans="1:3" x14ac:dyDescent="0.3">
      <c r="A18" s="57" t="s">
        <v>41</v>
      </c>
      <c r="B18" s="57" t="s">
        <v>42</v>
      </c>
      <c r="C18" s="57" t="s">
        <v>43</v>
      </c>
    </row>
    <row r="19" spans="1:3" x14ac:dyDescent="0.3">
      <c r="A19" s="57" t="s">
        <v>44</v>
      </c>
      <c r="B19" s="57" t="s">
        <v>45</v>
      </c>
      <c r="C19" s="57" t="s">
        <v>43</v>
      </c>
    </row>
    <row r="21" spans="1:3" x14ac:dyDescent="0.3">
      <c r="A21" s="55" t="s">
        <v>46</v>
      </c>
    </row>
    <row r="22" spans="1:3" x14ac:dyDescent="0.3">
      <c r="A22" s="56" t="s">
        <v>47</v>
      </c>
      <c r="B22" s="56" t="s">
        <v>48</v>
      </c>
      <c r="C22" s="56" t="s">
        <v>49</v>
      </c>
    </row>
    <row r="23" spans="1:3" x14ac:dyDescent="0.3">
      <c r="A23" s="57" t="s">
        <v>50</v>
      </c>
      <c r="B23" s="57" t="s">
        <v>51</v>
      </c>
      <c r="C23" s="57" t="s">
        <v>52</v>
      </c>
    </row>
    <row r="24" spans="1:3" x14ac:dyDescent="0.3">
      <c r="A24" s="57" t="s">
        <v>53</v>
      </c>
      <c r="B24" s="57" t="s">
        <v>54</v>
      </c>
      <c r="C24" s="57" t="s">
        <v>55</v>
      </c>
    </row>
    <row r="25" spans="1:3" x14ac:dyDescent="0.3">
      <c r="A25" s="57" t="s">
        <v>56</v>
      </c>
      <c r="B25" s="57" t="s">
        <v>57</v>
      </c>
      <c r="C25" s="57" t="s">
        <v>58</v>
      </c>
    </row>
    <row r="26" spans="1:3" x14ac:dyDescent="0.3">
      <c r="A26" s="57" t="s">
        <v>59</v>
      </c>
      <c r="B26" s="57" t="s">
        <v>60</v>
      </c>
      <c r="C26" s="57" t="s">
        <v>61</v>
      </c>
    </row>
    <row r="27" spans="1:3" x14ac:dyDescent="0.3">
      <c r="A27" s="57" t="s">
        <v>62</v>
      </c>
      <c r="B27" s="57" t="s">
        <v>63</v>
      </c>
      <c r="C27" s="57" t="s">
        <v>64</v>
      </c>
    </row>
    <row r="28" spans="1:3" x14ac:dyDescent="0.3">
      <c r="A28" s="57" t="s">
        <v>65</v>
      </c>
      <c r="B28" s="57" t="s">
        <v>66</v>
      </c>
      <c r="C28" s="57" t="s">
        <v>67</v>
      </c>
    </row>
    <row r="29" spans="1:3" x14ac:dyDescent="0.3">
      <c r="A29" s="57" t="s">
        <v>68</v>
      </c>
      <c r="B29" s="57" t="s">
        <v>69</v>
      </c>
      <c r="C29" s="57" t="s">
        <v>70</v>
      </c>
    </row>
    <row r="30" spans="1:3" x14ac:dyDescent="0.3">
      <c r="A30" s="57" t="s">
        <v>71</v>
      </c>
      <c r="B30" s="57" t="s">
        <v>72</v>
      </c>
      <c r="C30" s="57" t="s">
        <v>73</v>
      </c>
    </row>
    <row r="32" spans="1:3" x14ac:dyDescent="0.3">
      <c r="A32" s="55" t="s">
        <v>74</v>
      </c>
    </row>
    <row r="33" spans="1:3" x14ac:dyDescent="0.3">
      <c r="A33" s="56" t="s">
        <v>75</v>
      </c>
      <c r="B33" s="56" t="s">
        <v>76</v>
      </c>
      <c r="C33" s="56" t="s">
        <v>48</v>
      </c>
    </row>
    <row r="34" spans="1:3" x14ac:dyDescent="0.3">
      <c r="A34" s="57" t="s">
        <v>77</v>
      </c>
      <c r="B34" s="57" t="s">
        <v>78</v>
      </c>
      <c r="C34" s="57" t="s">
        <v>79</v>
      </c>
    </row>
    <row r="35" spans="1:3" x14ac:dyDescent="0.3">
      <c r="A35" s="57" t="s">
        <v>80</v>
      </c>
      <c r="B35" s="57" t="s">
        <v>81</v>
      </c>
      <c r="C35" s="57" t="s">
        <v>82</v>
      </c>
    </row>
    <row r="36" spans="1:3" x14ac:dyDescent="0.3">
      <c r="A36" s="57" t="s">
        <v>83</v>
      </c>
      <c r="B36" s="57" t="s">
        <v>84</v>
      </c>
      <c r="C36" s="57" t="s">
        <v>82</v>
      </c>
    </row>
    <row r="37" spans="1:3" x14ac:dyDescent="0.3">
      <c r="A37" s="57" t="s">
        <v>85</v>
      </c>
      <c r="B37" s="57" t="s">
        <v>86</v>
      </c>
      <c r="C37" s="57" t="s">
        <v>82</v>
      </c>
    </row>
    <row r="38" spans="1:3" x14ac:dyDescent="0.3">
      <c r="A38" s="57" t="s">
        <v>87</v>
      </c>
      <c r="B38" s="57" t="s">
        <v>88</v>
      </c>
      <c r="C38" s="57" t="s">
        <v>82</v>
      </c>
    </row>
    <row r="39" spans="1:3" x14ac:dyDescent="0.3">
      <c r="A39" s="57" t="s">
        <v>89</v>
      </c>
      <c r="B39" s="57" t="s">
        <v>90</v>
      </c>
      <c r="C39" s="57" t="s">
        <v>91</v>
      </c>
    </row>
    <row r="41" spans="1:3" x14ac:dyDescent="0.3">
      <c r="A41" s="55" t="s">
        <v>92</v>
      </c>
    </row>
    <row r="42" spans="1:3" x14ac:dyDescent="0.3">
      <c r="A42" s="56" t="s">
        <v>93</v>
      </c>
      <c r="B42" s="56" t="s">
        <v>94</v>
      </c>
      <c r="C42" s="56" t="s">
        <v>95</v>
      </c>
    </row>
    <row r="43" spans="1:3" x14ac:dyDescent="0.3">
      <c r="A43" s="55" t="s">
        <v>96</v>
      </c>
      <c r="B43" s="58"/>
      <c r="C43" s="58"/>
    </row>
    <row r="44" spans="1:3" x14ac:dyDescent="0.3">
      <c r="A44" s="57" t="s">
        <v>97</v>
      </c>
      <c r="B44" s="57" t="s">
        <v>98</v>
      </c>
      <c r="C44" s="57" t="s">
        <v>99</v>
      </c>
    </row>
    <row r="45" spans="1:3" x14ac:dyDescent="0.3">
      <c r="A45" s="57" t="s">
        <v>100</v>
      </c>
      <c r="B45" s="57" t="s">
        <v>101</v>
      </c>
      <c r="C45" s="57" t="s">
        <v>102</v>
      </c>
    </row>
    <row r="46" spans="1:3" x14ac:dyDescent="0.3">
      <c r="A46" s="57" t="s">
        <v>103</v>
      </c>
      <c r="B46" s="57" t="s">
        <v>104</v>
      </c>
      <c r="C46" s="57" t="s">
        <v>105</v>
      </c>
    </row>
    <row r="47" spans="1:3" x14ac:dyDescent="0.3">
      <c r="A47" s="55" t="s">
        <v>106</v>
      </c>
      <c r="B47" s="58"/>
      <c r="C47" s="58"/>
    </row>
    <row r="48" spans="1:3" x14ac:dyDescent="0.3">
      <c r="A48" s="57" t="s">
        <v>107</v>
      </c>
      <c r="B48" s="57" t="s">
        <v>108</v>
      </c>
      <c r="C48" s="57" t="s">
        <v>109</v>
      </c>
    </row>
    <row r="49" spans="1:3" x14ac:dyDescent="0.3">
      <c r="A49" s="57" t="s">
        <v>110</v>
      </c>
      <c r="B49" s="57" t="s">
        <v>111</v>
      </c>
      <c r="C49" s="57" t="s">
        <v>112</v>
      </c>
    </row>
    <row r="50" spans="1:3" x14ac:dyDescent="0.3">
      <c r="A50" s="57" t="s">
        <v>113</v>
      </c>
      <c r="B50" s="57" t="s">
        <v>114</v>
      </c>
      <c r="C50" s="57" t="s">
        <v>115</v>
      </c>
    </row>
    <row r="51" spans="1:3" x14ac:dyDescent="0.3">
      <c r="A51" s="57" t="s">
        <v>116</v>
      </c>
      <c r="B51" s="57" t="s">
        <v>117</v>
      </c>
      <c r="C51" s="57" t="s">
        <v>118</v>
      </c>
    </row>
    <row r="52" spans="1:3" x14ac:dyDescent="0.3">
      <c r="A52" s="55" t="s">
        <v>119</v>
      </c>
      <c r="B52" s="58"/>
      <c r="C52" s="58"/>
    </row>
    <row r="53" spans="1:3" x14ac:dyDescent="0.3">
      <c r="A53" s="57" t="s">
        <v>120</v>
      </c>
      <c r="B53" s="57" t="s">
        <v>121</v>
      </c>
      <c r="C53" s="57" t="s">
        <v>122</v>
      </c>
    </row>
    <row r="54" spans="1:3" x14ac:dyDescent="0.3">
      <c r="A54" s="57" t="s">
        <v>123</v>
      </c>
      <c r="B54" s="57" t="s">
        <v>124</v>
      </c>
      <c r="C54" s="57" t="s">
        <v>125</v>
      </c>
    </row>
    <row r="55" spans="1:3" x14ac:dyDescent="0.3">
      <c r="A55" s="57" t="s">
        <v>126</v>
      </c>
      <c r="B55" s="57" t="s">
        <v>127</v>
      </c>
      <c r="C55" s="57" t="s">
        <v>128</v>
      </c>
    </row>
    <row r="56" spans="1:3" x14ac:dyDescent="0.3">
      <c r="A56" s="57" t="s">
        <v>129</v>
      </c>
      <c r="B56" s="57" t="s">
        <v>130</v>
      </c>
      <c r="C56" s="62" t="s">
        <v>935</v>
      </c>
    </row>
    <row r="57" spans="1:3" x14ac:dyDescent="0.3">
      <c r="A57" s="57" t="s">
        <v>131</v>
      </c>
      <c r="B57" s="57" t="s">
        <v>132</v>
      </c>
      <c r="C57" s="57" t="s">
        <v>133</v>
      </c>
    </row>
    <row r="58" spans="1:3" x14ac:dyDescent="0.3">
      <c r="A58" s="55" t="s">
        <v>134</v>
      </c>
      <c r="B58" s="58"/>
      <c r="C58" s="58"/>
    </row>
    <row r="59" spans="1:3" x14ac:dyDescent="0.3">
      <c r="A59" s="57" t="s">
        <v>135</v>
      </c>
      <c r="B59" s="57" t="s">
        <v>136</v>
      </c>
      <c r="C59" s="57" t="s">
        <v>137</v>
      </c>
    </row>
    <row r="60" spans="1:3" x14ac:dyDescent="0.3">
      <c r="A60" s="57" t="s">
        <v>138</v>
      </c>
      <c r="B60" s="57" t="s">
        <v>139</v>
      </c>
      <c r="C60" s="57" t="s">
        <v>140</v>
      </c>
    </row>
    <row r="61" spans="1:3" x14ac:dyDescent="0.3">
      <c r="A61" s="57" t="s">
        <v>141</v>
      </c>
      <c r="B61" s="57" t="s">
        <v>142</v>
      </c>
      <c r="C61" s="57" t="s">
        <v>143</v>
      </c>
    </row>
    <row r="62" spans="1:3" x14ac:dyDescent="0.3">
      <c r="A62" s="57" t="s">
        <v>144</v>
      </c>
      <c r="B62" s="57" t="s">
        <v>145</v>
      </c>
      <c r="C62" s="57" t="s">
        <v>146</v>
      </c>
    </row>
    <row r="63" spans="1:3" x14ac:dyDescent="0.3">
      <c r="A63" s="57" t="s">
        <v>147</v>
      </c>
      <c r="B63" s="57" t="s">
        <v>148</v>
      </c>
      <c r="C63" s="57" t="s">
        <v>149</v>
      </c>
    </row>
    <row r="64" spans="1:3" x14ac:dyDescent="0.3">
      <c r="A64" s="57" t="s">
        <v>150</v>
      </c>
      <c r="B64" s="57" t="s">
        <v>151</v>
      </c>
      <c r="C64" s="57" t="s">
        <v>152</v>
      </c>
    </row>
    <row r="65" spans="1:3" x14ac:dyDescent="0.3">
      <c r="A65" s="57" t="s">
        <v>153</v>
      </c>
      <c r="B65" s="57" t="s">
        <v>154</v>
      </c>
      <c r="C65" s="57" t="s">
        <v>155</v>
      </c>
    </row>
    <row r="66" spans="1:3" x14ac:dyDescent="0.3">
      <c r="A66" s="57" t="s">
        <v>156</v>
      </c>
      <c r="B66" s="57" t="s">
        <v>157</v>
      </c>
      <c r="C66" s="57" t="s">
        <v>158</v>
      </c>
    </row>
    <row r="67" spans="1:3" x14ac:dyDescent="0.3">
      <c r="A67" s="57" t="s">
        <v>159</v>
      </c>
      <c r="B67" s="57" t="s">
        <v>160</v>
      </c>
      <c r="C67" s="57" t="s">
        <v>161</v>
      </c>
    </row>
    <row r="68" spans="1:3" x14ac:dyDescent="0.3">
      <c r="A68" s="57" t="s">
        <v>162</v>
      </c>
      <c r="B68" s="57" t="s">
        <v>163</v>
      </c>
      <c r="C68" s="57" t="s">
        <v>164</v>
      </c>
    </row>
    <row r="69" spans="1:3" x14ac:dyDescent="0.3">
      <c r="A69" s="55" t="s">
        <v>165</v>
      </c>
      <c r="B69" s="58"/>
      <c r="C69" s="58"/>
    </row>
    <row r="70" spans="1:3" x14ac:dyDescent="0.3">
      <c r="A70" s="57" t="s">
        <v>166</v>
      </c>
      <c r="B70" s="57" t="s">
        <v>167</v>
      </c>
      <c r="C70" s="57" t="s">
        <v>168</v>
      </c>
    </row>
    <row r="71" spans="1:3" x14ac:dyDescent="0.3">
      <c r="A71" s="57" t="s">
        <v>169</v>
      </c>
      <c r="B71" s="57" t="s">
        <v>170</v>
      </c>
      <c r="C71" s="57" t="s">
        <v>171</v>
      </c>
    </row>
    <row r="72" spans="1:3" x14ac:dyDescent="0.3">
      <c r="A72" s="57" t="s">
        <v>172</v>
      </c>
      <c r="B72" s="57" t="s">
        <v>173</v>
      </c>
      <c r="C72" s="57" t="s">
        <v>174</v>
      </c>
    </row>
    <row r="73" spans="1:3" x14ac:dyDescent="0.3">
      <c r="A73" s="57" t="s">
        <v>175</v>
      </c>
      <c r="B73" s="57" t="s">
        <v>176</v>
      </c>
      <c r="C73" s="57" t="s">
        <v>177</v>
      </c>
    </row>
    <row r="74" spans="1:3" x14ac:dyDescent="0.3">
      <c r="A74" s="57" t="s">
        <v>178</v>
      </c>
      <c r="B74" s="57" t="s">
        <v>179</v>
      </c>
      <c r="C74" s="57" t="s">
        <v>180</v>
      </c>
    </row>
    <row r="75" spans="1:3" x14ac:dyDescent="0.3">
      <c r="A75" s="57" t="s">
        <v>181</v>
      </c>
      <c r="B75" s="57" t="s">
        <v>182</v>
      </c>
      <c r="C75" s="57" t="s">
        <v>183</v>
      </c>
    </row>
    <row r="76" spans="1:3" x14ac:dyDescent="0.3">
      <c r="A76" s="57" t="s">
        <v>184</v>
      </c>
      <c r="B76" s="57" t="s">
        <v>185</v>
      </c>
      <c r="C76" s="57" t="s">
        <v>186</v>
      </c>
    </row>
    <row r="77" spans="1:3" x14ac:dyDescent="0.3">
      <c r="A77" s="57" t="s">
        <v>187</v>
      </c>
      <c r="B77" s="57" t="s">
        <v>188</v>
      </c>
      <c r="C77" s="57" t="s">
        <v>189</v>
      </c>
    </row>
    <row r="78" spans="1:3" x14ac:dyDescent="0.3">
      <c r="A78" s="57" t="s">
        <v>190</v>
      </c>
      <c r="B78" s="57" t="s">
        <v>191</v>
      </c>
      <c r="C78" s="57" t="s">
        <v>192</v>
      </c>
    </row>
    <row r="79" spans="1:3" x14ac:dyDescent="0.3">
      <c r="A79" s="57" t="s">
        <v>193</v>
      </c>
      <c r="B79" s="57" t="s">
        <v>194</v>
      </c>
      <c r="C79" s="57" t="s">
        <v>195</v>
      </c>
    </row>
    <row r="80" spans="1:3" x14ac:dyDescent="0.3">
      <c r="A80" s="57" t="s">
        <v>196</v>
      </c>
      <c r="B80" s="57" t="s">
        <v>197</v>
      </c>
      <c r="C80" s="57" t="s">
        <v>198</v>
      </c>
    </row>
    <row r="81" spans="1:3" x14ac:dyDescent="0.3">
      <c r="A81" s="57" t="s">
        <v>199</v>
      </c>
      <c r="B81" s="57" t="s">
        <v>200</v>
      </c>
      <c r="C81" s="57" t="s">
        <v>201</v>
      </c>
    </row>
    <row r="82" spans="1:3" x14ac:dyDescent="0.3">
      <c r="A82" s="57" t="s">
        <v>202</v>
      </c>
      <c r="B82" s="57" t="s">
        <v>203</v>
      </c>
      <c r="C82" s="57" t="s">
        <v>204</v>
      </c>
    </row>
    <row r="83" spans="1:3" x14ac:dyDescent="0.3">
      <c r="A83" s="57" t="s">
        <v>205</v>
      </c>
      <c r="B83" s="57" t="s">
        <v>206</v>
      </c>
      <c r="C83" s="57" t="s">
        <v>207</v>
      </c>
    </row>
    <row r="84" spans="1:3" x14ac:dyDescent="0.3">
      <c r="A84" s="57" t="s">
        <v>208</v>
      </c>
      <c r="B84" s="57" t="s">
        <v>209</v>
      </c>
      <c r="C84" s="57" t="s">
        <v>210</v>
      </c>
    </row>
    <row r="85" spans="1:3" x14ac:dyDescent="0.3">
      <c r="A85" s="55" t="s">
        <v>211</v>
      </c>
      <c r="B85" s="58"/>
      <c r="C85" s="58"/>
    </row>
    <row r="86" spans="1:3" x14ac:dyDescent="0.3">
      <c r="A86" s="57" t="s">
        <v>212</v>
      </c>
      <c r="B86" s="57" t="s">
        <v>213</v>
      </c>
      <c r="C86" s="57" t="s">
        <v>214</v>
      </c>
    </row>
    <row r="87" spans="1:3" x14ac:dyDescent="0.3">
      <c r="A87" s="57" t="s">
        <v>215</v>
      </c>
      <c r="B87" s="57" t="s">
        <v>216</v>
      </c>
      <c r="C87" s="57" t="s">
        <v>217</v>
      </c>
    </row>
    <row r="88" spans="1:3" x14ac:dyDescent="0.3">
      <c r="A88" s="57" t="s">
        <v>218</v>
      </c>
      <c r="B88" s="57" t="s">
        <v>219</v>
      </c>
      <c r="C88" s="57" t="s">
        <v>220</v>
      </c>
    </row>
    <row r="89" spans="1:3" x14ac:dyDescent="0.3">
      <c r="A89" s="57" t="s">
        <v>221</v>
      </c>
      <c r="B89" s="57" t="s">
        <v>222</v>
      </c>
      <c r="C89" s="57" t="s">
        <v>217</v>
      </c>
    </row>
    <row r="90" spans="1:3" x14ac:dyDescent="0.3">
      <c r="A90" s="57" t="s">
        <v>223</v>
      </c>
      <c r="B90" s="57" t="s">
        <v>224</v>
      </c>
      <c r="C90" s="57" t="s">
        <v>225</v>
      </c>
    </row>
    <row r="91" spans="1:3" x14ac:dyDescent="0.3">
      <c r="A91" s="57" t="s">
        <v>226</v>
      </c>
      <c r="B91" s="57" t="s">
        <v>227</v>
      </c>
      <c r="C91" s="57" t="s">
        <v>228</v>
      </c>
    </row>
    <row r="92" spans="1:3" x14ac:dyDescent="0.3">
      <c r="A92" s="57" t="s">
        <v>229</v>
      </c>
      <c r="B92" s="57" t="s">
        <v>230</v>
      </c>
      <c r="C92" s="57" t="s">
        <v>231</v>
      </c>
    </row>
    <row r="93" spans="1:3" x14ac:dyDescent="0.3">
      <c r="A93" s="55" t="s">
        <v>232</v>
      </c>
      <c r="B93" s="58"/>
      <c r="C93" s="58"/>
    </row>
    <row r="94" spans="1:3" x14ac:dyDescent="0.3">
      <c r="A94" s="57" t="s">
        <v>233</v>
      </c>
      <c r="B94" s="57" t="s">
        <v>234</v>
      </c>
      <c r="C94" s="57" t="s">
        <v>235</v>
      </c>
    </row>
    <row r="95" spans="1:3" x14ac:dyDescent="0.3">
      <c r="A95" s="57" t="s">
        <v>236</v>
      </c>
      <c r="B95" s="57" t="s">
        <v>237</v>
      </c>
      <c r="C95" s="57" t="s">
        <v>238</v>
      </c>
    </row>
    <row r="96" spans="1:3" x14ac:dyDescent="0.3">
      <c r="A96" s="57" t="s">
        <v>239</v>
      </c>
      <c r="B96" s="57" t="s">
        <v>240</v>
      </c>
      <c r="C96" s="57" t="s">
        <v>241</v>
      </c>
    </row>
    <row r="97" spans="1:3" x14ac:dyDescent="0.3">
      <c r="A97" s="57" t="s">
        <v>242</v>
      </c>
      <c r="B97" s="57" t="s">
        <v>243</v>
      </c>
      <c r="C97" s="57" t="s">
        <v>244</v>
      </c>
    </row>
    <row r="98" spans="1:3" x14ac:dyDescent="0.3">
      <c r="A98" s="57" t="s">
        <v>245</v>
      </c>
      <c r="B98" s="57" t="s">
        <v>246</v>
      </c>
      <c r="C98" s="57" t="s">
        <v>247</v>
      </c>
    </row>
    <row r="99" spans="1:3" x14ac:dyDescent="0.3">
      <c r="A99" s="57" t="s">
        <v>248</v>
      </c>
      <c r="B99" s="57" t="s">
        <v>249</v>
      </c>
      <c r="C99" s="57" t="s">
        <v>250</v>
      </c>
    </row>
    <row r="100" spans="1:3" x14ac:dyDescent="0.3">
      <c r="A100" s="55" t="s">
        <v>251</v>
      </c>
      <c r="B100" s="58"/>
      <c r="C100" s="58"/>
    </row>
    <row r="101" spans="1:3" x14ac:dyDescent="0.3">
      <c r="A101" s="57" t="s">
        <v>252</v>
      </c>
      <c r="B101" s="57" t="s">
        <v>253</v>
      </c>
      <c r="C101" s="57" t="s">
        <v>254</v>
      </c>
    </row>
    <row r="102" spans="1:3" x14ac:dyDescent="0.3">
      <c r="A102" s="57" t="s">
        <v>255</v>
      </c>
      <c r="B102" s="57" t="s">
        <v>256</v>
      </c>
      <c r="C102" s="57" t="s">
        <v>257</v>
      </c>
    </row>
    <row r="103" spans="1:3" x14ac:dyDescent="0.3">
      <c r="A103" s="57" t="s">
        <v>258</v>
      </c>
      <c r="B103" s="57" t="s">
        <v>259</v>
      </c>
      <c r="C103" s="57" t="s">
        <v>260</v>
      </c>
    </row>
    <row r="104" spans="1:3" x14ac:dyDescent="0.3">
      <c r="A104" s="57" t="s">
        <v>261</v>
      </c>
      <c r="B104" s="57" t="s">
        <v>262</v>
      </c>
      <c r="C104" s="57" t="s">
        <v>263</v>
      </c>
    </row>
    <row r="105" spans="1:3" x14ac:dyDescent="0.3">
      <c r="A105" s="57" t="s">
        <v>264</v>
      </c>
      <c r="B105" s="57" t="s">
        <v>265</v>
      </c>
      <c r="C105" s="57" t="s">
        <v>266</v>
      </c>
    </row>
    <row r="106" spans="1:3" x14ac:dyDescent="0.3">
      <c r="A106" s="57" t="s">
        <v>267</v>
      </c>
      <c r="B106" s="57" t="s">
        <v>268</v>
      </c>
      <c r="C106" s="57" t="s">
        <v>269</v>
      </c>
    </row>
    <row r="107" spans="1:3" x14ac:dyDescent="0.3">
      <c r="A107" s="57" t="s">
        <v>270</v>
      </c>
      <c r="B107" s="57" t="s">
        <v>271</v>
      </c>
      <c r="C107" s="57" t="s">
        <v>272</v>
      </c>
    </row>
    <row r="108" spans="1:3" x14ac:dyDescent="0.3">
      <c r="A108" s="55" t="s">
        <v>273</v>
      </c>
      <c r="B108" s="58"/>
      <c r="C108" s="58"/>
    </row>
    <row r="109" spans="1:3" x14ac:dyDescent="0.3">
      <c r="A109" s="57" t="s">
        <v>103</v>
      </c>
      <c r="B109" s="57" t="s">
        <v>274</v>
      </c>
      <c r="C109" s="57" t="s">
        <v>275</v>
      </c>
    </row>
    <row r="111" spans="1:3" x14ac:dyDescent="0.3">
      <c r="A111" s="55" t="s">
        <v>276</v>
      </c>
    </row>
    <row r="112" spans="1:3" x14ac:dyDescent="0.3">
      <c r="A112" s="56" t="s">
        <v>277</v>
      </c>
      <c r="B112" s="56" t="s">
        <v>278</v>
      </c>
      <c r="C112" s="56" t="s">
        <v>279</v>
      </c>
    </row>
    <row r="113" spans="1:3" x14ac:dyDescent="0.3">
      <c r="A113" s="57" t="s">
        <v>280</v>
      </c>
      <c r="B113" s="57" t="s">
        <v>18</v>
      </c>
      <c r="C113" s="57" t="s">
        <v>281</v>
      </c>
    </row>
    <row r="114" spans="1:3" x14ac:dyDescent="0.3">
      <c r="A114" s="57" t="s">
        <v>282</v>
      </c>
      <c r="B114" s="57" t="s">
        <v>18</v>
      </c>
      <c r="C114" s="57" t="s">
        <v>283</v>
      </c>
    </row>
    <row r="115" spans="1:3" x14ac:dyDescent="0.3">
      <c r="A115" s="57" t="s">
        <v>284</v>
      </c>
      <c r="B115" s="57" t="s">
        <v>21</v>
      </c>
      <c r="C115" s="57" t="s">
        <v>285</v>
      </c>
    </row>
    <row r="116" spans="1:3" x14ac:dyDescent="0.3">
      <c r="A116" s="57" t="s">
        <v>286</v>
      </c>
      <c r="B116" s="57" t="s">
        <v>21</v>
      </c>
      <c r="C116" s="57" t="s">
        <v>287</v>
      </c>
    </row>
    <row r="117" spans="1:3" x14ac:dyDescent="0.3">
      <c r="A117" s="57" t="s">
        <v>288</v>
      </c>
      <c r="B117" s="57" t="s">
        <v>21</v>
      </c>
      <c r="C117" s="57" t="s">
        <v>289</v>
      </c>
    </row>
    <row r="118" spans="1:3" x14ac:dyDescent="0.3">
      <c r="A118" s="57" t="s">
        <v>290</v>
      </c>
      <c r="B118" s="57" t="s">
        <v>15</v>
      </c>
      <c r="C118" s="57" t="s">
        <v>291</v>
      </c>
    </row>
    <row r="119" spans="1:3" x14ac:dyDescent="0.3">
      <c r="A119" s="57" t="s">
        <v>292</v>
      </c>
      <c r="B119" s="57" t="s">
        <v>15</v>
      </c>
      <c r="C119" s="57" t="s">
        <v>293</v>
      </c>
    </row>
    <row r="120" spans="1:3" x14ac:dyDescent="0.3">
      <c r="A120" s="57" t="s">
        <v>294</v>
      </c>
      <c r="B120" s="57" t="s">
        <v>23</v>
      </c>
      <c r="C120" s="57" t="s">
        <v>295</v>
      </c>
    </row>
    <row r="121" spans="1:3" x14ac:dyDescent="0.3">
      <c r="A121" s="57" t="s">
        <v>296</v>
      </c>
      <c r="B121" s="57" t="s">
        <v>23</v>
      </c>
      <c r="C121" s="57" t="s">
        <v>297</v>
      </c>
    </row>
    <row r="122" spans="1:3" x14ac:dyDescent="0.3">
      <c r="A122" s="57" t="s">
        <v>298</v>
      </c>
      <c r="B122" s="57" t="s">
        <v>23</v>
      </c>
      <c r="C122" s="57" t="s">
        <v>299</v>
      </c>
    </row>
    <row r="123" spans="1:3" x14ac:dyDescent="0.3">
      <c r="A123" s="57" t="s">
        <v>300</v>
      </c>
      <c r="B123" s="57" t="s">
        <v>23</v>
      </c>
      <c r="C123" s="57" t="s">
        <v>301</v>
      </c>
    </row>
    <row r="124" spans="1:3" x14ac:dyDescent="0.3">
      <c r="A124" s="57" t="s">
        <v>302</v>
      </c>
      <c r="B124" s="57" t="s">
        <v>26</v>
      </c>
      <c r="C124" s="57" t="s">
        <v>14</v>
      </c>
    </row>
    <row r="125" spans="1:3" x14ac:dyDescent="0.3">
      <c r="A125" s="57" t="s">
        <v>303</v>
      </c>
      <c r="B125" s="57" t="s">
        <v>26</v>
      </c>
      <c r="C125" s="57" t="s">
        <v>304</v>
      </c>
    </row>
    <row r="126" spans="1:3" x14ac:dyDescent="0.3">
      <c r="A126" s="57" t="s">
        <v>305</v>
      </c>
      <c r="B126" s="57" t="s">
        <v>29</v>
      </c>
      <c r="C126" s="57" t="s">
        <v>306</v>
      </c>
    </row>
    <row r="127" spans="1:3" x14ac:dyDescent="0.3">
      <c r="A127" s="57" t="s">
        <v>307</v>
      </c>
      <c r="B127" s="57" t="s">
        <v>32</v>
      </c>
      <c r="C127" s="57" t="s">
        <v>308</v>
      </c>
    </row>
    <row r="128" spans="1:3" x14ac:dyDescent="0.3">
      <c r="A128" s="57" t="s">
        <v>309</v>
      </c>
      <c r="B128" s="57" t="s">
        <v>32</v>
      </c>
      <c r="C128" s="57" t="s">
        <v>310</v>
      </c>
    </row>
    <row r="130" spans="1:3" x14ac:dyDescent="0.3">
      <c r="A130" s="55" t="s">
        <v>311</v>
      </c>
    </row>
    <row r="131" spans="1:3" x14ac:dyDescent="0.3">
      <c r="A131" s="56" t="s">
        <v>312</v>
      </c>
      <c r="B131" s="56" t="s">
        <v>313</v>
      </c>
      <c r="C131" s="56" t="s">
        <v>314</v>
      </c>
    </row>
    <row r="132" spans="1:3" x14ac:dyDescent="0.3">
      <c r="A132" s="57" t="s">
        <v>315</v>
      </c>
      <c r="B132" s="57" t="s">
        <v>316</v>
      </c>
      <c r="C132" s="57" t="s">
        <v>317</v>
      </c>
    </row>
    <row r="133" spans="1:3" x14ac:dyDescent="0.3">
      <c r="A133" s="57" t="s">
        <v>318</v>
      </c>
      <c r="B133" s="57" t="s">
        <v>319</v>
      </c>
      <c r="C133" s="57" t="s">
        <v>320</v>
      </c>
    </row>
    <row r="134" spans="1:3" x14ac:dyDescent="0.3">
      <c r="A134" s="57" t="s">
        <v>321</v>
      </c>
      <c r="B134" s="57" t="s">
        <v>322</v>
      </c>
      <c r="C134" s="57"/>
    </row>
    <row r="135" spans="1:3" x14ac:dyDescent="0.3">
      <c r="A135" s="57" t="s">
        <v>323</v>
      </c>
      <c r="B135" s="57" t="s">
        <v>324</v>
      </c>
      <c r="C135" s="62" t="s">
        <v>936</v>
      </c>
    </row>
    <row r="136" spans="1:3" x14ac:dyDescent="0.3">
      <c r="A136" s="57" t="s">
        <v>325</v>
      </c>
      <c r="B136" s="57" t="s">
        <v>326</v>
      </c>
      <c r="C136" s="57" t="s">
        <v>327</v>
      </c>
    </row>
    <row r="137" spans="1:3" x14ac:dyDescent="0.3">
      <c r="A137" s="57" t="s">
        <v>328</v>
      </c>
      <c r="B137" s="57" t="s">
        <v>329</v>
      </c>
      <c r="C137" s="62" t="s">
        <v>937</v>
      </c>
    </row>
    <row r="138" spans="1:3" x14ac:dyDescent="0.3">
      <c r="A138" s="57" t="s">
        <v>330</v>
      </c>
      <c r="B138" s="57" t="s">
        <v>331</v>
      </c>
      <c r="C138" s="57" t="s">
        <v>332</v>
      </c>
    </row>
    <row r="139" spans="1:3" x14ac:dyDescent="0.3">
      <c r="A139" s="57" t="s">
        <v>333</v>
      </c>
      <c r="B139" s="57" t="s">
        <v>334</v>
      </c>
      <c r="C139" s="62" t="s">
        <v>938</v>
      </c>
    </row>
    <row r="140" spans="1:3" x14ac:dyDescent="0.3">
      <c r="A140" s="57" t="s">
        <v>335</v>
      </c>
      <c r="B140" s="57" t="s">
        <v>336</v>
      </c>
      <c r="C140" s="62" t="s">
        <v>939</v>
      </c>
    </row>
    <row r="141" spans="1:3" x14ac:dyDescent="0.3">
      <c r="A141" s="57" t="s">
        <v>337</v>
      </c>
      <c r="B141" s="57" t="s">
        <v>338</v>
      </c>
      <c r="C141" s="62" t="s">
        <v>940</v>
      </c>
    </row>
    <row r="142" spans="1:3" x14ac:dyDescent="0.3">
      <c r="A142" s="57" t="s">
        <v>339</v>
      </c>
      <c r="B142" s="57" t="s">
        <v>340</v>
      </c>
      <c r="C142" s="57" t="s">
        <v>341</v>
      </c>
    </row>
    <row r="143" spans="1:3" x14ac:dyDescent="0.3">
      <c r="A143" s="57" t="s">
        <v>342</v>
      </c>
      <c r="B143" s="57" t="s">
        <v>343</v>
      </c>
      <c r="C143" s="57" t="s">
        <v>344</v>
      </c>
    </row>
    <row r="144" spans="1:3" x14ac:dyDescent="0.3">
      <c r="A144" s="57" t="s">
        <v>345</v>
      </c>
      <c r="B144" s="57" t="s">
        <v>346</v>
      </c>
      <c r="C144" s="57" t="s">
        <v>347</v>
      </c>
    </row>
    <row r="145" spans="1:3" x14ac:dyDescent="0.3">
      <c r="A145" s="57" t="s">
        <v>348</v>
      </c>
      <c r="B145" s="57" t="s">
        <v>349</v>
      </c>
      <c r="C145" s="62" t="s">
        <v>941</v>
      </c>
    </row>
    <row r="146" spans="1:3" x14ac:dyDescent="0.3">
      <c r="A146" s="57" t="s">
        <v>350</v>
      </c>
      <c r="B146" s="57" t="s">
        <v>351</v>
      </c>
      <c r="C146" s="57" t="s">
        <v>352</v>
      </c>
    </row>
    <row r="147" spans="1:3" x14ac:dyDescent="0.3">
      <c r="A147" s="57" t="s">
        <v>353</v>
      </c>
      <c r="B147" s="57" t="s">
        <v>354</v>
      </c>
      <c r="C147" s="57" t="s">
        <v>355</v>
      </c>
    </row>
    <row r="148" spans="1:3" x14ac:dyDescent="0.3">
      <c r="A148" s="57" t="s">
        <v>356</v>
      </c>
      <c r="B148" s="57" t="s">
        <v>357</v>
      </c>
      <c r="C148" s="57" t="s">
        <v>358</v>
      </c>
    </row>
    <row r="149" spans="1:3" x14ac:dyDescent="0.3">
      <c r="A149" s="57" t="s">
        <v>359</v>
      </c>
      <c r="B149" s="57" t="s">
        <v>360</v>
      </c>
      <c r="C149" s="57"/>
    </row>
    <row r="150" spans="1:3" x14ac:dyDescent="0.3">
      <c r="A150" s="57" t="s">
        <v>361</v>
      </c>
      <c r="B150" s="57" t="s">
        <v>362</v>
      </c>
      <c r="C150" s="57" t="s">
        <v>363</v>
      </c>
    </row>
    <row r="151" spans="1:3" x14ac:dyDescent="0.3">
      <c r="A151" s="57" t="s">
        <v>364</v>
      </c>
      <c r="B151" s="57" t="s">
        <v>365</v>
      </c>
      <c r="C151" s="57" t="s">
        <v>366</v>
      </c>
    </row>
    <row r="152" spans="1:3" x14ac:dyDescent="0.3">
      <c r="A152" s="57" t="s">
        <v>367</v>
      </c>
      <c r="B152" s="57" t="s">
        <v>368</v>
      </c>
      <c r="C152" s="57" t="s">
        <v>369</v>
      </c>
    </row>
    <row r="153" spans="1:3" x14ac:dyDescent="0.3">
      <c r="A153" s="57" t="s">
        <v>370</v>
      </c>
      <c r="B153" s="57" t="s">
        <v>371</v>
      </c>
      <c r="C153" s="57" t="s">
        <v>372</v>
      </c>
    </row>
    <row r="154" spans="1:3" x14ac:dyDescent="0.3">
      <c r="A154" s="57" t="s">
        <v>373</v>
      </c>
      <c r="B154" s="57" t="s">
        <v>374</v>
      </c>
      <c r="C154" s="57" t="s">
        <v>375</v>
      </c>
    </row>
    <row r="155" spans="1:3" x14ac:dyDescent="0.3">
      <c r="A155" s="57" t="s">
        <v>376</v>
      </c>
      <c r="B155" s="57" t="s">
        <v>377</v>
      </c>
      <c r="C155" s="57"/>
    </row>
    <row r="156" spans="1:3" x14ac:dyDescent="0.3">
      <c r="A156" s="57" t="s">
        <v>378</v>
      </c>
      <c r="B156" s="57" t="s">
        <v>379</v>
      </c>
      <c r="C156" s="57" t="s">
        <v>380</v>
      </c>
    </row>
    <row r="157" spans="1:3" x14ac:dyDescent="0.3">
      <c r="A157" s="57" t="s">
        <v>93</v>
      </c>
      <c r="B157" s="57" t="s">
        <v>381</v>
      </c>
      <c r="C157" s="57" t="s">
        <v>382</v>
      </c>
    </row>
    <row r="158" spans="1:3" x14ac:dyDescent="0.3">
      <c r="A158" s="57" t="s">
        <v>383</v>
      </c>
      <c r="B158" s="57" t="s">
        <v>384</v>
      </c>
      <c r="C158" s="57" t="s">
        <v>385</v>
      </c>
    </row>
    <row r="159" spans="1:3" x14ac:dyDescent="0.3">
      <c r="A159" s="57" t="s">
        <v>386</v>
      </c>
      <c r="B159" s="57" t="s">
        <v>387</v>
      </c>
      <c r="C159" s="57" t="s">
        <v>388</v>
      </c>
    </row>
    <row r="160" spans="1:3" x14ac:dyDescent="0.3">
      <c r="A160" s="57" t="s">
        <v>389</v>
      </c>
      <c r="B160" s="57" t="s">
        <v>390</v>
      </c>
      <c r="C160" s="57" t="s">
        <v>391</v>
      </c>
    </row>
    <row r="161" spans="1:3" x14ac:dyDescent="0.3">
      <c r="A161" s="57" t="s">
        <v>392</v>
      </c>
      <c r="B161" s="57" t="s">
        <v>393</v>
      </c>
      <c r="C161" s="57" t="s">
        <v>394</v>
      </c>
    </row>
    <row r="163" spans="1:3" x14ac:dyDescent="0.3">
      <c r="A163" s="55" t="s">
        <v>395</v>
      </c>
    </row>
    <row r="164" spans="1:3" x14ac:dyDescent="0.3">
      <c r="A164" s="56" t="s">
        <v>396</v>
      </c>
      <c r="B164" s="56" t="s">
        <v>397</v>
      </c>
      <c r="C164" s="56" t="s">
        <v>398</v>
      </c>
    </row>
    <row r="165" spans="1:3" x14ac:dyDescent="0.3">
      <c r="A165" s="57" t="s">
        <v>399</v>
      </c>
      <c r="B165" s="57" t="s">
        <v>400</v>
      </c>
      <c r="C165" s="57" t="s">
        <v>401</v>
      </c>
    </row>
    <row r="166" spans="1:3" x14ac:dyDescent="0.3">
      <c r="A166" s="57" t="s">
        <v>402</v>
      </c>
      <c r="B166" s="57" t="s">
        <v>403</v>
      </c>
      <c r="C166" s="57" t="s">
        <v>404</v>
      </c>
    </row>
    <row r="167" spans="1:3" x14ac:dyDescent="0.3">
      <c r="A167" s="57" t="s">
        <v>405</v>
      </c>
      <c r="B167" s="57" t="s">
        <v>406</v>
      </c>
      <c r="C167" s="57" t="s">
        <v>407</v>
      </c>
    </row>
    <row r="168" spans="1:3" x14ac:dyDescent="0.3">
      <c r="A168" s="57" t="s">
        <v>408</v>
      </c>
      <c r="B168" s="57" t="s">
        <v>409</v>
      </c>
      <c r="C168" s="57" t="s">
        <v>410</v>
      </c>
    </row>
    <row r="170" spans="1:3" x14ac:dyDescent="0.3">
      <c r="A170" s="70" t="s">
        <v>411</v>
      </c>
      <c r="B170" s="68"/>
      <c r="C170" s="68"/>
    </row>
    <row r="171" spans="1:3" x14ac:dyDescent="0.3">
      <c r="A171" s="69" t="s">
        <v>412</v>
      </c>
      <c r="B171" s="68"/>
      <c r="C171" s="68"/>
    </row>
    <row r="172" spans="1:3" x14ac:dyDescent="0.3">
      <c r="A172" s="69" t="s">
        <v>413</v>
      </c>
      <c r="B172" s="68"/>
      <c r="C172" s="68"/>
    </row>
    <row r="173" spans="1:3" x14ac:dyDescent="0.3">
      <c r="A173" s="69" t="s">
        <v>414</v>
      </c>
      <c r="B173" s="68"/>
      <c r="C173" s="68"/>
    </row>
    <row r="174" spans="1:3" x14ac:dyDescent="0.3">
      <c r="A174" s="69" t="s">
        <v>415</v>
      </c>
      <c r="B174" s="68"/>
      <c r="C174" s="68"/>
    </row>
    <row r="175" spans="1:3" x14ac:dyDescent="0.3">
      <c r="A175" s="69" t="s">
        <v>416</v>
      </c>
      <c r="B175" s="68"/>
      <c r="C175" s="68"/>
    </row>
    <row r="176" spans="1:3" x14ac:dyDescent="0.3">
      <c r="A176" s="69" t="s">
        <v>417</v>
      </c>
      <c r="B176" s="68"/>
      <c r="C176" s="68"/>
    </row>
    <row r="178" spans="1:3" x14ac:dyDescent="0.3">
      <c r="A178" s="55" t="s">
        <v>418</v>
      </c>
    </row>
    <row r="179" spans="1:3" x14ac:dyDescent="0.3">
      <c r="A179" s="56" t="s">
        <v>419</v>
      </c>
      <c r="B179" s="56" t="s">
        <v>420</v>
      </c>
      <c r="C179" s="56" t="s">
        <v>421</v>
      </c>
    </row>
    <row r="180" spans="1:3" x14ac:dyDescent="0.3">
      <c r="A180" s="57" t="s">
        <v>422</v>
      </c>
      <c r="B180" s="57" t="s">
        <v>423</v>
      </c>
      <c r="C180" s="57" t="s">
        <v>424</v>
      </c>
    </row>
    <row r="181" spans="1:3" x14ac:dyDescent="0.3">
      <c r="A181" s="57" t="s">
        <v>425</v>
      </c>
      <c r="B181" s="57" t="s">
        <v>426</v>
      </c>
      <c r="C181" s="57" t="s">
        <v>427</v>
      </c>
    </row>
    <row r="182" spans="1:3" x14ac:dyDescent="0.3">
      <c r="A182" s="57" t="s">
        <v>428</v>
      </c>
      <c r="B182" s="57" t="s">
        <v>429</v>
      </c>
      <c r="C182" s="57" t="s">
        <v>430</v>
      </c>
    </row>
    <row r="183" spans="1:3" x14ac:dyDescent="0.3">
      <c r="A183" s="57" t="s">
        <v>431</v>
      </c>
      <c r="B183" s="57" t="s">
        <v>432</v>
      </c>
      <c r="C183" s="57" t="s">
        <v>433</v>
      </c>
    </row>
    <row r="184" spans="1:3" x14ac:dyDescent="0.3">
      <c r="A184" s="57" t="s">
        <v>434</v>
      </c>
      <c r="B184" s="57" t="s">
        <v>435</v>
      </c>
      <c r="C184" s="57" t="s">
        <v>436</v>
      </c>
    </row>
  </sheetData>
  <mergeCells count="8">
    <mergeCell ref="A1:C1"/>
    <mergeCell ref="A173:C173"/>
    <mergeCell ref="A174:C174"/>
    <mergeCell ref="A176:C176"/>
    <mergeCell ref="A172:C172"/>
    <mergeCell ref="A171:C171"/>
    <mergeCell ref="A175:C175"/>
    <mergeCell ref="A170:C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G104"/>
  <sheetViews>
    <sheetView workbookViewId="0">
      <pane ySplit="5" topLeftCell="A81" activePane="bottomLeft" state="frozen"/>
      <selection pane="bottomLeft" activeCell="C91" sqref="C91"/>
    </sheetView>
  </sheetViews>
  <sheetFormatPr defaultRowHeight="14.4" x14ac:dyDescent="0.3"/>
  <cols>
    <col min="1" max="1" width="42" style="52" customWidth="1"/>
    <col min="2" max="2" width="18" style="52" customWidth="1"/>
    <col min="3" max="3" width="42.5546875" style="52" bestFit="1" customWidth="1"/>
    <col min="4" max="4" width="45" style="52" customWidth="1"/>
  </cols>
  <sheetData>
    <row r="1" spans="1:7" ht="18" customHeight="1" x14ac:dyDescent="0.35">
      <c r="A1" s="71" t="s">
        <v>437</v>
      </c>
      <c r="B1" s="68"/>
      <c r="C1" s="68"/>
      <c r="D1" s="68"/>
    </row>
    <row r="2" spans="1:7" x14ac:dyDescent="0.3">
      <c r="A2" s="1" t="s">
        <v>942</v>
      </c>
    </row>
    <row r="4" spans="1:7" x14ac:dyDescent="0.3">
      <c r="A4" s="55" t="s">
        <v>589</v>
      </c>
      <c r="B4" s="58"/>
      <c r="C4" s="58"/>
      <c r="D4" s="58"/>
      <c r="F4" s="63" t="s">
        <v>315</v>
      </c>
      <c r="G4" s="63" t="s">
        <v>318</v>
      </c>
    </row>
    <row r="5" spans="1:7" x14ac:dyDescent="0.3">
      <c r="A5" s="56" t="s">
        <v>439</v>
      </c>
      <c r="B5" s="56" t="s">
        <v>440</v>
      </c>
      <c r="C5" s="56" t="s">
        <v>441</v>
      </c>
      <c r="D5" s="56" t="s">
        <v>442</v>
      </c>
      <c r="F5" s="64">
        <f>'DCF &amp; Returns'!B13</f>
        <v>9539.2161279607935</v>
      </c>
      <c r="G5" s="65">
        <f>'DCF &amp; Returns'!B14</f>
        <v>0.23616640466396954</v>
      </c>
    </row>
    <row r="6" spans="1:7" x14ac:dyDescent="0.3">
      <c r="A6" s="57" t="s">
        <v>590</v>
      </c>
      <c r="B6" s="59">
        <v>10</v>
      </c>
      <c r="C6" s="57" t="s">
        <v>591</v>
      </c>
      <c r="D6" s="60" t="s">
        <v>592</v>
      </c>
    </row>
    <row r="7" spans="1:7" x14ac:dyDescent="0.3">
      <c r="A7" s="57" t="s">
        <v>593</v>
      </c>
      <c r="B7" s="60" t="s">
        <v>594</v>
      </c>
      <c r="D7" s="60" t="s">
        <v>595</v>
      </c>
    </row>
    <row r="8" spans="1:7" s="52" customFormat="1" x14ac:dyDescent="0.3">
      <c r="A8" s="57"/>
      <c r="B8" s="60"/>
      <c r="D8" s="60"/>
    </row>
    <row r="9" spans="1:7" x14ac:dyDescent="0.3">
      <c r="A9" s="25" t="s">
        <v>438</v>
      </c>
      <c r="B9" s="2"/>
      <c r="C9" s="2"/>
      <c r="D9" s="2"/>
    </row>
    <row r="10" spans="1:7" x14ac:dyDescent="0.3">
      <c r="A10" s="3" t="s">
        <v>439</v>
      </c>
      <c r="B10" s="3" t="s">
        <v>440</v>
      </c>
      <c r="C10" s="3" t="s">
        <v>441</v>
      </c>
      <c r="D10" s="3" t="s">
        <v>442</v>
      </c>
    </row>
    <row r="11" spans="1:7" x14ac:dyDescent="0.3">
      <c r="A11" s="4" t="s">
        <v>443</v>
      </c>
      <c r="B11" s="66">
        <v>2025</v>
      </c>
      <c r="C11" s="4" t="s">
        <v>444</v>
      </c>
      <c r="D11" s="6" t="s">
        <v>445</v>
      </c>
    </row>
    <row r="12" spans="1:7" x14ac:dyDescent="0.3">
      <c r="A12" s="4" t="s">
        <v>446</v>
      </c>
      <c r="B12" s="5">
        <v>7</v>
      </c>
      <c r="C12" s="4" t="s">
        <v>447</v>
      </c>
      <c r="D12" s="6" t="s">
        <v>448</v>
      </c>
    </row>
    <row r="14" spans="1:7" x14ac:dyDescent="0.3">
      <c r="A14" s="25" t="s">
        <v>449</v>
      </c>
      <c r="B14" s="2"/>
      <c r="C14" s="2"/>
      <c r="D14" s="2"/>
    </row>
    <row r="15" spans="1:7" x14ac:dyDescent="0.3">
      <c r="A15" s="3" t="s">
        <v>439</v>
      </c>
      <c r="B15" s="3" t="s">
        <v>440</v>
      </c>
      <c r="C15" s="3" t="s">
        <v>441</v>
      </c>
      <c r="D15" s="3" t="s">
        <v>442</v>
      </c>
    </row>
    <row r="16" spans="1:7" x14ac:dyDescent="0.3">
      <c r="A16" s="4" t="s">
        <v>450</v>
      </c>
      <c r="B16" s="5">
        <v>40000</v>
      </c>
      <c r="C16" s="4"/>
      <c r="D16" s="6" t="s">
        <v>451</v>
      </c>
    </row>
    <row r="17" spans="1:4" x14ac:dyDescent="0.3">
      <c r="A17" s="4" t="s">
        <v>452</v>
      </c>
      <c r="B17" s="5">
        <v>15000</v>
      </c>
      <c r="C17" s="4"/>
      <c r="D17" s="6" t="s">
        <v>453</v>
      </c>
    </row>
    <row r="18" spans="1:4" x14ac:dyDescent="0.3">
      <c r="A18" s="4" t="s">
        <v>454</v>
      </c>
      <c r="B18" s="5">
        <v>82500</v>
      </c>
      <c r="C18" s="4" t="s">
        <v>455</v>
      </c>
      <c r="D18" s="6" t="s">
        <v>456</v>
      </c>
    </row>
    <row r="19" spans="1:4" x14ac:dyDescent="0.3">
      <c r="A19" s="4" t="s">
        <v>457</v>
      </c>
      <c r="B19" s="7">
        <v>0.08</v>
      </c>
      <c r="C19" s="4" t="s">
        <v>458</v>
      </c>
      <c r="D19" s="6" t="s">
        <v>459</v>
      </c>
    </row>
    <row r="21" spans="1:4" x14ac:dyDescent="0.3">
      <c r="A21" s="25" t="s">
        <v>460</v>
      </c>
      <c r="B21" s="2"/>
      <c r="C21" s="2"/>
      <c r="D21" s="2"/>
    </row>
    <row r="22" spans="1:4" x14ac:dyDescent="0.3">
      <c r="A22" s="3" t="s">
        <v>439</v>
      </c>
      <c r="B22" s="3" t="s">
        <v>440</v>
      </c>
      <c r="C22" s="3" t="s">
        <v>441</v>
      </c>
      <c r="D22" s="3" t="s">
        <v>442</v>
      </c>
    </row>
    <row r="23" spans="1:4" x14ac:dyDescent="0.3">
      <c r="A23" s="4" t="s">
        <v>461</v>
      </c>
      <c r="B23" s="5">
        <v>1200</v>
      </c>
      <c r="C23" s="4"/>
      <c r="D23" s="6" t="s">
        <v>943</v>
      </c>
    </row>
    <row r="24" spans="1:4" x14ac:dyDescent="0.3">
      <c r="A24" s="4" t="s">
        <v>462</v>
      </c>
      <c r="B24" s="66">
        <v>2028</v>
      </c>
      <c r="C24" s="4" t="s">
        <v>444</v>
      </c>
      <c r="D24" s="6" t="s">
        <v>463</v>
      </c>
    </row>
    <row r="25" spans="1:4" x14ac:dyDescent="0.3">
      <c r="A25" s="4" t="s">
        <v>464</v>
      </c>
      <c r="B25" s="8">
        <v>0.9</v>
      </c>
      <c r="C25" s="4"/>
      <c r="D25" s="6"/>
    </row>
    <row r="26" spans="1:4" x14ac:dyDescent="0.3">
      <c r="A26" s="4" t="s">
        <v>465</v>
      </c>
      <c r="B26" s="5">
        <v>15</v>
      </c>
      <c r="C26" s="4"/>
      <c r="D26" s="6" t="s">
        <v>466</v>
      </c>
    </row>
    <row r="27" spans="1:4" x14ac:dyDescent="0.3">
      <c r="A27" s="4" t="s">
        <v>467</v>
      </c>
      <c r="B27" s="7">
        <v>0.2</v>
      </c>
      <c r="C27" s="4" t="s">
        <v>458</v>
      </c>
      <c r="D27" s="6"/>
    </row>
    <row r="29" spans="1:4" x14ac:dyDescent="0.3">
      <c r="A29" s="25" t="s">
        <v>468</v>
      </c>
      <c r="B29" s="2"/>
      <c r="C29" s="2"/>
      <c r="D29" s="2"/>
    </row>
    <row r="30" spans="1:4" x14ac:dyDescent="0.3">
      <c r="A30" s="3" t="s">
        <v>439</v>
      </c>
      <c r="B30" s="3" t="s">
        <v>440</v>
      </c>
      <c r="C30" s="3" t="s">
        <v>441</v>
      </c>
      <c r="D30" s="3" t="s">
        <v>442</v>
      </c>
    </row>
    <row r="31" spans="1:4" x14ac:dyDescent="0.3">
      <c r="A31" s="4" t="s">
        <v>469</v>
      </c>
      <c r="B31" s="5">
        <v>25</v>
      </c>
      <c r="C31" s="4" t="s">
        <v>470</v>
      </c>
      <c r="D31" s="6"/>
    </row>
    <row r="32" spans="1:4" x14ac:dyDescent="0.3">
      <c r="A32" s="4" t="s">
        <v>471</v>
      </c>
      <c r="B32" s="7">
        <v>0.05</v>
      </c>
      <c r="C32" s="4" t="s">
        <v>458</v>
      </c>
      <c r="D32" s="6"/>
    </row>
    <row r="33" spans="1:4" x14ac:dyDescent="0.3">
      <c r="A33" s="4" t="s">
        <v>472</v>
      </c>
      <c r="B33" s="7">
        <v>0.02</v>
      </c>
      <c r="C33" s="4" t="s">
        <v>458</v>
      </c>
      <c r="D33" s="6" t="s">
        <v>473</v>
      </c>
    </row>
    <row r="34" spans="1:4" x14ac:dyDescent="0.3">
      <c r="A34" s="4" t="s">
        <v>474</v>
      </c>
      <c r="B34" s="7">
        <v>0.02</v>
      </c>
      <c r="C34" s="4" t="s">
        <v>458</v>
      </c>
      <c r="D34" s="6"/>
    </row>
    <row r="35" spans="1:4" x14ac:dyDescent="0.3">
      <c r="A35" s="4" t="s">
        <v>475</v>
      </c>
      <c r="B35" s="5">
        <v>30</v>
      </c>
      <c r="C35" s="4" t="s">
        <v>470</v>
      </c>
      <c r="D35" s="6"/>
    </row>
    <row r="36" spans="1:4" x14ac:dyDescent="0.3">
      <c r="A36" s="4" t="s">
        <v>476</v>
      </c>
      <c r="B36" s="5">
        <v>150</v>
      </c>
      <c r="C36" s="4" t="s">
        <v>477</v>
      </c>
      <c r="D36" s="6" t="s">
        <v>478</v>
      </c>
    </row>
    <row r="37" spans="1:4" x14ac:dyDescent="0.3">
      <c r="A37" s="4" t="s">
        <v>479</v>
      </c>
      <c r="B37" s="5">
        <v>500</v>
      </c>
      <c r="C37" s="4" t="s">
        <v>480</v>
      </c>
      <c r="D37" s="6" t="s">
        <v>481</v>
      </c>
    </row>
    <row r="38" spans="1:4" x14ac:dyDescent="0.3">
      <c r="A38" s="4" t="s">
        <v>482</v>
      </c>
      <c r="B38" s="5">
        <v>15</v>
      </c>
      <c r="C38" s="4" t="s">
        <v>470</v>
      </c>
      <c r="D38" s="6" t="s">
        <v>483</v>
      </c>
    </row>
    <row r="39" spans="1:4" x14ac:dyDescent="0.3">
      <c r="A39" s="4" t="s">
        <v>484</v>
      </c>
      <c r="B39" s="5">
        <v>10</v>
      </c>
      <c r="C39" s="4" t="s">
        <v>470</v>
      </c>
      <c r="D39" s="6" t="s">
        <v>483</v>
      </c>
    </row>
    <row r="40" spans="1:4" x14ac:dyDescent="0.3">
      <c r="A40" s="4" t="s">
        <v>485</v>
      </c>
      <c r="B40" s="7">
        <v>0.3</v>
      </c>
      <c r="C40" s="4" t="s">
        <v>458</v>
      </c>
      <c r="D40" s="6" t="s">
        <v>486</v>
      </c>
    </row>
    <row r="42" spans="1:4" x14ac:dyDescent="0.3">
      <c r="A42" s="25" t="s">
        <v>487</v>
      </c>
      <c r="B42" s="2"/>
      <c r="C42" s="2"/>
      <c r="D42" s="2"/>
    </row>
    <row r="43" spans="1:4" x14ac:dyDescent="0.3">
      <c r="A43" s="3" t="s">
        <v>439</v>
      </c>
      <c r="B43" s="3" t="s">
        <v>440</v>
      </c>
      <c r="C43" s="3" t="s">
        <v>441</v>
      </c>
      <c r="D43" s="3" t="s">
        <v>442</v>
      </c>
    </row>
    <row r="44" spans="1:4" x14ac:dyDescent="0.3">
      <c r="A44" s="4" t="s">
        <v>488</v>
      </c>
      <c r="B44" s="7">
        <v>0.18</v>
      </c>
      <c r="C44" s="4" t="s">
        <v>458</v>
      </c>
      <c r="D44" s="6" t="s">
        <v>489</v>
      </c>
    </row>
    <row r="45" spans="1:4" x14ac:dyDescent="0.3">
      <c r="A45" s="4" t="s">
        <v>490</v>
      </c>
      <c r="B45" s="5">
        <v>7000</v>
      </c>
      <c r="C45" s="4" t="s">
        <v>470</v>
      </c>
      <c r="D45" s="6"/>
    </row>
    <row r="46" spans="1:4" x14ac:dyDescent="0.3">
      <c r="A46" s="4" t="s">
        <v>491</v>
      </c>
      <c r="B46" s="7">
        <v>0.15</v>
      </c>
      <c r="C46" s="4" t="s">
        <v>458</v>
      </c>
      <c r="D46" s="6"/>
    </row>
    <row r="47" spans="1:4" x14ac:dyDescent="0.3">
      <c r="A47" s="4" t="s">
        <v>492</v>
      </c>
      <c r="B47" s="5">
        <v>3250</v>
      </c>
      <c r="C47" s="4" t="s">
        <v>470</v>
      </c>
      <c r="D47" s="6" t="s">
        <v>493</v>
      </c>
    </row>
    <row r="48" spans="1:4" x14ac:dyDescent="0.3">
      <c r="A48" s="4" t="s">
        <v>494</v>
      </c>
      <c r="B48" s="5">
        <v>8</v>
      </c>
      <c r="C48" s="4" t="s">
        <v>470</v>
      </c>
      <c r="D48" s="6"/>
    </row>
    <row r="49" spans="1:4" x14ac:dyDescent="0.3">
      <c r="A49" s="4" t="s">
        <v>495</v>
      </c>
      <c r="B49" s="5">
        <v>10000</v>
      </c>
      <c r="C49" s="4" t="s">
        <v>496</v>
      </c>
      <c r="D49" s="6" t="s">
        <v>497</v>
      </c>
    </row>
    <row r="50" spans="1:4" x14ac:dyDescent="0.3">
      <c r="A50" s="4" t="s">
        <v>498</v>
      </c>
      <c r="B50" s="5">
        <v>400</v>
      </c>
      <c r="C50" s="4" t="s">
        <v>470</v>
      </c>
      <c r="D50" s="6" t="s">
        <v>499</v>
      </c>
    </row>
    <row r="51" spans="1:4" x14ac:dyDescent="0.3">
      <c r="A51" s="4" t="s">
        <v>500</v>
      </c>
      <c r="B51" s="5">
        <v>240</v>
      </c>
      <c r="C51" s="4" t="s">
        <v>470</v>
      </c>
      <c r="D51" s="6" t="s">
        <v>499</v>
      </c>
    </row>
    <row r="52" spans="1:4" x14ac:dyDescent="0.3">
      <c r="A52" s="4" t="s">
        <v>501</v>
      </c>
      <c r="B52" s="5">
        <v>4000</v>
      </c>
      <c r="C52" s="4" t="s">
        <v>470</v>
      </c>
      <c r="D52" s="6" t="s">
        <v>499</v>
      </c>
    </row>
    <row r="53" spans="1:4" x14ac:dyDescent="0.3">
      <c r="A53" s="4" t="s">
        <v>502</v>
      </c>
      <c r="B53" s="5">
        <v>250</v>
      </c>
      <c r="C53" s="4" t="s">
        <v>470</v>
      </c>
      <c r="D53" s="6" t="s">
        <v>499</v>
      </c>
    </row>
    <row r="54" spans="1:4" x14ac:dyDescent="0.3">
      <c r="A54" s="4" t="s">
        <v>503</v>
      </c>
      <c r="B54" s="5">
        <v>200</v>
      </c>
      <c r="C54" s="4" t="s">
        <v>470</v>
      </c>
      <c r="D54" s="6" t="s">
        <v>504</v>
      </c>
    </row>
    <row r="55" spans="1:4" x14ac:dyDescent="0.3">
      <c r="A55" s="4" t="s">
        <v>505</v>
      </c>
      <c r="B55" s="7">
        <v>2.5000000000000001E-2</v>
      </c>
      <c r="C55" s="4" t="s">
        <v>458</v>
      </c>
      <c r="D55" s="6" t="s">
        <v>506</v>
      </c>
    </row>
    <row r="56" spans="1:4" x14ac:dyDescent="0.3">
      <c r="A56" s="4" t="s">
        <v>507</v>
      </c>
      <c r="B56" s="5">
        <v>2</v>
      </c>
      <c r="C56" s="4" t="s">
        <v>470</v>
      </c>
      <c r="D56" s="6" t="s">
        <v>508</v>
      </c>
    </row>
    <row r="57" spans="1:4" x14ac:dyDescent="0.3">
      <c r="A57" s="4" t="s">
        <v>509</v>
      </c>
      <c r="B57" s="5">
        <v>500</v>
      </c>
      <c r="C57" s="4" t="s">
        <v>470</v>
      </c>
      <c r="D57" s="6" t="s">
        <v>510</v>
      </c>
    </row>
    <row r="58" spans="1:4" x14ac:dyDescent="0.3">
      <c r="A58" s="4" t="s">
        <v>511</v>
      </c>
      <c r="B58" s="7">
        <v>0.1</v>
      </c>
      <c r="C58" s="4" t="s">
        <v>458</v>
      </c>
      <c r="D58" s="6" t="s">
        <v>512</v>
      </c>
    </row>
    <row r="60" spans="1:4" x14ac:dyDescent="0.3">
      <c r="A60" s="25" t="s">
        <v>513</v>
      </c>
      <c r="B60" s="2"/>
      <c r="C60" s="2"/>
      <c r="D60" s="2"/>
    </row>
    <row r="61" spans="1:4" x14ac:dyDescent="0.3">
      <c r="A61" s="3" t="s">
        <v>439</v>
      </c>
      <c r="B61" s="3" t="s">
        <v>440</v>
      </c>
      <c r="C61" s="3" t="s">
        <v>441</v>
      </c>
      <c r="D61" s="3" t="s">
        <v>442</v>
      </c>
    </row>
    <row r="62" spans="1:4" x14ac:dyDescent="0.3">
      <c r="A62" s="4" t="s">
        <v>514</v>
      </c>
      <c r="B62" s="5">
        <v>45</v>
      </c>
      <c r="C62" s="4" t="s">
        <v>470</v>
      </c>
      <c r="D62" s="6" t="s">
        <v>515</v>
      </c>
    </row>
    <row r="63" spans="1:4" x14ac:dyDescent="0.3">
      <c r="A63" s="4" t="s">
        <v>516</v>
      </c>
      <c r="B63" s="5">
        <v>35</v>
      </c>
      <c r="C63" s="4" t="s">
        <v>470</v>
      </c>
      <c r="D63" s="6" t="s">
        <v>517</v>
      </c>
    </row>
    <row r="64" spans="1:4" x14ac:dyDescent="0.3">
      <c r="A64" s="4" t="s">
        <v>518</v>
      </c>
      <c r="B64" s="5">
        <v>20</v>
      </c>
      <c r="C64" s="4" t="s">
        <v>470</v>
      </c>
      <c r="D64" s="6" t="s">
        <v>519</v>
      </c>
    </row>
    <row r="65" spans="1:4" x14ac:dyDescent="0.3">
      <c r="A65" s="4" t="s">
        <v>520</v>
      </c>
      <c r="B65" s="5">
        <v>40</v>
      </c>
      <c r="C65" s="4" t="s">
        <v>470</v>
      </c>
      <c r="D65" s="6" t="s">
        <v>521</v>
      </c>
    </row>
    <row r="66" spans="1:4" x14ac:dyDescent="0.3">
      <c r="A66" s="4" t="s">
        <v>522</v>
      </c>
      <c r="B66" s="7">
        <v>0.1</v>
      </c>
      <c r="C66" s="4" t="s">
        <v>458</v>
      </c>
      <c r="D66" s="6" t="s">
        <v>523</v>
      </c>
    </row>
    <row r="67" spans="1:4" x14ac:dyDescent="0.3">
      <c r="A67" s="4" t="s">
        <v>524</v>
      </c>
      <c r="B67" s="7">
        <v>0.215</v>
      </c>
      <c r="C67" s="4" t="s">
        <v>458</v>
      </c>
      <c r="D67" s="6" t="s">
        <v>525</v>
      </c>
    </row>
    <row r="68" spans="1:4" x14ac:dyDescent="0.3">
      <c r="A68" s="4" t="s">
        <v>526</v>
      </c>
      <c r="B68" s="7">
        <v>0.2</v>
      </c>
      <c r="C68" s="4" t="s">
        <v>458</v>
      </c>
      <c r="D68" s="6" t="s">
        <v>527</v>
      </c>
    </row>
    <row r="70" spans="1:4" x14ac:dyDescent="0.3">
      <c r="A70" s="25" t="s">
        <v>528</v>
      </c>
      <c r="B70" s="2"/>
      <c r="C70" s="2"/>
      <c r="D70" s="2"/>
    </row>
    <row r="71" spans="1:4" x14ac:dyDescent="0.3">
      <c r="A71" s="3" t="s">
        <v>439</v>
      </c>
      <c r="B71" s="3" t="s">
        <v>440</v>
      </c>
      <c r="C71" s="3" t="s">
        <v>441</v>
      </c>
      <c r="D71" s="3" t="s">
        <v>442</v>
      </c>
    </row>
    <row r="72" spans="1:4" x14ac:dyDescent="0.3">
      <c r="A72" s="4" t="s">
        <v>529</v>
      </c>
      <c r="B72" s="7">
        <v>0.2</v>
      </c>
      <c r="C72" s="4" t="s">
        <v>458</v>
      </c>
      <c r="D72" s="6" t="s">
        <v>530</v>
      </c>
    </row>
    <row r="73" spans="1:4" x14ac:dyDescent="0.3">
      <c r="A73" s="4" t="s">
        <v>531</v>
      </c>
      <c r="B73" s="7">
        <v>0.15</v>
      </c>
      <c r="C73" s="4" t="s">
        <v>458</v>
      </c>
      <c r="D73" s="6"/>
    </row>
    <row r="74" spans="1:4" x14ac:dyDescent="0.3">
      <c r="A74" s="4" t="s">
        <v>532</v>
      </c>
      <c r="B74" s="5">
        <v>5</v>
      </c>
      <c r="C74" s="4" t="s">
        <v>533</v>
      </c>
      <c r="D74" s="6" t="s">
        <v>534</v>
      </c>
    </row>
    <row r="75" spans="1:4" x14ac:dyDescent="0.3">
      <c r="A75" s="4" t="s">
        <v>535</v>
      </c>
      <c r="B75" s="5">
        <v>45</v>
      </c>
      <c r="C75" s="4" t="s">
        <v>536</v>
      </c>
      <c r="D75" s="6" t="s">
        <v>537</v>
      </c>
    </row>
    <row r="76" spans="1:4" x14ac:dyDescent="0.3">
      <c r="A76" s="4" t="s">
        <v>538</v>
      </c>
      <c r="B76" s="5">
        <v>30</v>
      </c>
      <c r="C76" s="4" t="s">
        <v>536</v>
      </c>
      <c r="D76" s="6" t="s">
        <v>539</v>
      </c>
    </row>
    <row r="77" spans="1:4" x14ac:dyDescent="0.3">
      <c r="A77" s="4" t="s">
        <v>540</v>
      </c>
      <c r="B77" s="5">
        <v>300</v>
      </c>
      <c r="C77" s="4"/>
      <c r="D77" s="6" t="s">
        <v>541</v>
      </c>
    </row>
    <row r="80" spans="1:4" x14ac:dyDescent="0.3">
      <c r="A80" s="53" t="s">
        <v>542</v>
      </c>
      <c r="B80" s="26"/>
      <c r="C80" s="26"/>
      <c r="D80" s="26"/>
    </row>
    <row r="81" spans="1:4" x14ac:dyDescent="0.3">
      <c r="A81" s="27" t="s">
        <v>439</v>
      </c>
      <c r="B81" s="27" t="s">
        <v>440</v>
      </c>
      <c r="C81" s="27" t="s">
        <v>441</v>
      </c>
      <c r="D81" s="27" t="s">
        <v>543</v>
      </c>
    </row>
    <row r="82" spans="1:4" x14ac:dyDescent="0.3">
      <c r="A82" s="28" t="s">
        <v>544</v>
      </c>
      <c r="B82" s="29">
        <v>0.5</v>
      </c>
      <c r="C82" s="28" t="s">
        <v>545</v>
      </c>
      <c r="D82" s="30" t="s">
        <v>546</v>
      </c>
    </row>
    <row r="83" spans="1:4" x14ac:dyDescent="0.3">
      <c r="A83" s="28" t="s">
        <v>547</v>
      </c>
      <c r="B83" s="31">
        <v>0.02</v>
      </c>
      <c r="C83" s="28" t="s">
        <v>548</v>
      </c>
      <c r="D83" s="30" t="s">
        <v>549</v>
      </c>
    </row>
    <row r="84" spans="1:4" x14ac:dyDescent="0.3">
      <c r="A84" s="28" t="s">
        <v>550</v>
      </c>
      <c r="B84" s="32">
        <v>500</v>
      </c>
      <c r="C84" s="28" t="s">
        <v>551</v>
      </c>
      <c r="D84" s="30" t="s">
        <v>552</v>
      </c>
    </row>
    <row r="85" spans="1:4" x14ac:dyDescent="0.3">
      <c r="A85" s="28" t="s">
        <v>553</v>
      </c>
      <c r="B85" s="31">
        <v>0.3</v>
      </c>
      <c r="C85" s="28" t="s">
        <v>554</v>
      </c>
      <c r="D85" s="30" t="s">
        <v>555</v>
      </c>
    </row>
    <row r="86" spans="1:4" x14ac:dyDescent="0.3">
      <c r="A86" s="28" t="s">
        <v>556</v>
      </c>
      <c r="B86" s="29">
        <v>2</v>
      </c>
      <c r="C86" s="28" t="s">
        <v>557</v>
      </c>
      <c r="D86" s="30" t="s">
        <v>558</v>
      </c>
    </row>
    <row r="87" spans="1:4" x14ac:dyDescent="0.3">
      <c r="A87" s="28" t="s">
        <v>559</v>
      </c>
      <c r="B87" s="29">
        <v>1.2</v>
      </c>
      <c r="C87" s="28" t="s">
        <v>560</v>
      </c>
      <c r="D87" s="30" t="s">
        <v>561</v>
      </c>
    </row>
    <row r="88" spans="1:4" x14ac:dyDescent="0.3">
      <c r="A88" s="36" t="s">
        <v>562</v>
      </c>
      <c r="B88" s="37">
        <v>2</v>
      </c>
      <c r="C88" s="36" t="s">
        <v>563</v>
      </c>
      <c r="D88" s="38" t="s">
        <v>564</v>
      </c>
    </row>
    <row r="90" spans="1:4" x14ac:dyDescent="0.3">
      <c r="A90" s="72" t="s">
        <v>565</v>
      </c>
      <c r="B90" s="73"/>
      <c r="C90" s="73"/>
      <c r="D90" s="74"/>
    </row>
    <row r="91" spans="1:4" x14ac:dyDescent="0.3">
      <c r="A91" s="33" t="s">
        <v>422</v>
      </c>
      <c r="B91" s="33" t="s">
        <v>423</v>
      </c>
      <c r="C91" s="33" t="s">
        <v>566</v>
      </c>
      <c r="D91" s="33" t="s">
        <v>567</v>
      </c>
    </row>
    <row r="92" spans="1:4" x14ac:dyDescent="0.3">
      <c r="A92" s="34"/>
      <c r="B92" s="34"/>
      <c r="C92" s="34" t="s">
        <v>568</v>
      </c>
      <c r="D92" s="34" t="s">
        <v>569</v>
      </c>
    </row>
    <row r="93" spans="1:4" x14ac:dyDescent="0.3">
      <c r="A93" s="34"/>
      <c r="B93" s="34"/>
      <c r="C93" s="34" t="s">
        <v>570</v>
      </c>
      <c r="D93" s="34" t="s">
        <v>571</v>
      </c>
    </row>
    <row r="94" spans="1:4" x14ac:dyDescent="0.3">
      <c r="A94" s="34"/>
      <c r="B94" s="34"/>
      <c r="C94" s="34" t="s">
        <v>572</v>
      </c>
      <c r="D94" s="34" t="s">
        <v>573</v>
      </c>
    </row>
    <row r="95" spans="1:4" x14ac:dyDescent="0.3">
      <c r="A95" s="34"/>
      <c r="B95" s="34"/>
      <c r="C95" s="34" t="s">
        <v>574</v>
      </c>
      <c r="D95" s="34" t="s">
        <v>575</v>
      </c>
    </row>
    <row r="96" spans="1:4" x14ac:dyDescent="0.3">
      <c r="A96" s="34"/>
      <c r="B96" s="34"/>
      <c r="C96" s="34"/>
      <c r="D96" s="34"/>
    </row>
    <row r="97" spans="1:4" x14ac:dyDescent="0.3">
      <c r="A97" s="33" t="s">
        <v>425</v>
      </c>
      <c r="B97" s="33" t="s">
        <v>576</v>
      </c>
      <c r="C97" s="33" t="s">
        <v>577</v>
      </c>
      <c r="D97" s="33" t="s">
        <v>575</v>
      </c>
    </row>
    <row r="98" spans="1:4" x14ac:dyDescent="0.3">
      <c r="A98" s="34"/>
      <c r="B98" s="34"/>
      <c r="C98" s="34" t="s">
        <v>578</v>
      </c>
      <c r="D98" s="34" t="s">
        <v>579</v>
      </c>
    </row>
    <row r="99" spans="1:4" x14ac:dyDescent="0.3">
      <c r="A99" s="34"/>
      <c r="B99" s="34"/>
      <c r="C99" s="34" t="s">
        <v>580</v>
      </c>
      <c r="D99" s="34" t="s">
        <v>581</v>
      </c>
    </row>
    <row r="100" spans="1:4" x14ac:dyDescent="0.3">
      <c r="A100" s="34"/>
      <c r="B100" s="34"/>
      <c r="C100" s="34" t="s">
        <v>582</v>
      </c>
      <c r="D100" s="34" t="s">
        <v>575</v>
      </c>
    </row>
    <row r="101" spans="1:4" x14ac:dyDescent="0.3">
      <c r="A101" s="34"/>
      <c r="B101" s="34"/>
      <c r="C101" s="34"/>
      <c r="D101" s="34"/>
    </row>
    <row r="102" spans="1:4" x14ac:dyDescent="0.3">
      <c r="A102" s="33" t="s">
        <v>428</v>
      </c>
      <c r="B102" s="33" t="s">
        <v>429</v>
      </c>
      <c r="C102" s="33" t="s">
        <v>583</v>
      </c>
      <c r="D102" s="33" t="s">
        <v>584</v>
      </c>
    </row>
    <row r="103" spans="1:4" x14ac:dyDescent="0.3">
      <c r="A103" s="34"/>
      <c r="B103" s="34"/>
      <c r="C103" s="34" t="s">
        <v>585</v>
      </c>
      <c r="D103" s="34" t="s">
        <v>586</v>
      </c>
    </row>
    <row r="104" spans="1:4" x14ac:dyDescent="0.3">
      <c r="A104" s="34"/>
      <c r="B104" s="34"/>
      <c r="C104" s="34" t="s">
        <v>587</v>
      </c>
      <c r="D104" s="34" t="s">
        <v>588</v>
      </c>
    </row>
  </sheetData>
  <mergeCells count="2">
    <mergeCell ref="A1:D1"/>
    <mergeCell ref="A90:D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4"/>
  <sheetViews>
    <sheetView workbookViewId="0">
      <selection activeCell="B19" sqref="B19"/>
    </sheetView>
  </sheetViews>
  <sheetFormatPr defaultRowHeight="14.4" x14ac:dyDescent="0.3"/>
  <cols>
    <col min="1" max="1" width="40" style="52" customWidth="1"/>
    <col min="2" max="2" width="18" style="52" customWidth="1"/>
    <col min="3" max="3" width="12" style="52" customWidth="1"/>
    <col min="4" max="4" width="40" style="52" customWidth="1"/>
  </cols>
  <sheetData>
    <row r="1" spans="1:4" x14ac:dyDescent="0.3">
      <c r="A1" s="25" t="s">
        <v>596</v>
      </c>
    </row>
    <row r="3" spans="1:4" x14ac:dyDescent="0.3">
      <c r="A3" s="3" t="s">
        <v>597</v>
      </c>
      <c r="B3" s="3" t="s">
        <v>598</v>
      </c>
      <c r="C3" s="3" t="s">
        <v>599</v>
      </c>
      <c r="D3" s="3" t="s">
        <v>442</v>
      </c>
    </row>
    <row r="4" spans="1:4" x14ac:dyDescent="0.3">
      <c r="A4" s="4" t="s">
        <v>600</v>
      </c>
      <c r="B4" s="5">
        <v>800</v>
      </c>
      <c r="C4" s="4" t="s">
        <v>601</v>
      </c>
      <c r="D4" s="6" t="s">
        <v>602</v>
      </c>
    </row>
    <row r="5" spans="1:4" x14ac:dyDescent="0.3">
      <c r="A5" s="4" t="s">
        <v>603</v>
      </c>
      <c r="B5" s="5">
        <v>1200</v>
      </c>
      <c r="C5" s="4" t="s">
        <v>601</v>
      </c>
      <c r="D5" s="6" t="s">
        <v>604</v>
      </c>
    </row>
    <row r="6" spans="1:4" x14ac:dyDescent="0.3">
      <c r="A6" s="4" t="s">
        <v>605</v>
      </c>
      <c r="B6" s="5">
        <v>900</v>
      </c>
      <c r="C6" s="4" t="s">
        <v>601</v>
      </c>
      <c r="D6" s="6" t="s">
        <v>606</v>
      </c>
    </row>
    <row r="7" spans="1:4" x14ac:dyDescent="0.3">
      <c r="A7" s="4" t="s">
        <v>607</v>
      </c>
      <c r="B7" s="5">
        <v>600</v>
      </c>
      <c r="C7" s="4" t="s">
        <v>601</v>
      </c>
      <c r="D7" s="6" t="s">
        <v>608</v>
      </c>
    </row>
    <row r="8" spans="1:4" x14ac:dyDescent="0.3">
      <c r="A8" s="4" t="s">
        <v>609</v>
      </c>
      <c r="B8" s="5">
        <v>250</v>
      </c>
      <c r="C8" s="4" t="s">
        <v>601</v>
      </c>
      <c r="D8" s="6" t="s">
        <v>610</v>
      </c>
    </row>
    <row r="9" spans="1:4" x14ac:dyDescent="0.3">
      <c r="A9" s="4" t="s">
        <v>611</v>
      </c>
      <c r="B9" s="5">
        <v>350</v>
      </c>
      <c r="C9" s="4" t="s">
        <v>601</v>
      </c>
      <c r="D9" s="6" t="s">
        <v>612</v>
      </c>
    </row>
    <row r="10" spans="1:4" x14ac:dyDescent="0.3">
      <c r="A10" s="4" t="s">
        <v>613</v>
      </c>
      <c r="B10" s="5">
        <v>400</v>
      </c>
      <c r="C10" s="4" t="s">
        <v>601</v>
      </c>
      <c r="D10" s="6" t="s">
        <v>614</v>
      </c>
    </row>
    <row r="11" spans="1:4" x14ac:dyDescent="0.3">
      <c r="A11" s="4" t="s">
        <v>615</v>
      </c>
      <c r="B11" s="5">
        <v>280</v>
      </c>
      <c r="C11" s="4" t="s">
        <v>601</v>
      </c>
      <c r="D11" s="6" t="s">
        <v>616</v>
      </c>
    </row>
    <row r="12" spans="1:4" x14ac:dyDescent="0.3">
      <c r="A12" s="4" t="s">
        <v>617</v>
      </c>
      <c r="B12" s="5">
        <v>200</v>
      </c>
      <c r="C12" s="4" t="s">
        <v>601</v>
      </c>
      <c r="D12" s="6" t="s">
        <v>618</v>
      </c>
    </row>
    <row r="13" spans="1:4" x14ac:dyDescent="0.3">
      <c r="A13" s="4" t="s">
        <v>619</v>
      </c>
      <c r="B13" s="5">
        <v>300</v>
      </c>
      <c r="C13" s="4" t="s">
        <v>601</v>
      </c>
      <c r="D13" s="6" t="s">
        <v>512</v>
      </c>
    </row>
    <row r="15" spans="1:4" x14ac:dyDescent="0.3">
      <c r="A15" s="4" t="s">
        <v>620</v>
      </c>
      <c r="B15" s="9">
        <f>SUM(B4:B13)</f>
        <v>5280</v>
      </c>
    </row>
    <row r="17" spans="1:4" x14ac:dyDescent="0.3">
      <c r="A17" s="25" t="s">
        <v>621</v>
      </c>
    </row>
    <row r="18" spans="1:4" x14ac:dyDescent="0.3">
      <c r="A18" s="3" t="s">
        <v>444</v>
      </c>
      <c r="B18" s="3" t="s">
        <v>622</v>
      </c>
      <c r="C18" s="3" t="s">
        <v>623</v>
      </c>
      <c r="D18" s="3" t="s">
        <v>624</v>
      </c>
    </row>
    <row r="19" spans="1:4" x14ac:dyDescent="0.3">
      <c r="A19" s="4" t="s">
        <v>625</v>
      </c>
      <c r="B19" s="10">
        <f>capex_total/depreciation_years</f>
        <v>1056</v>
      </c>
      <c r="C19" s="10">
        <f>B19</f>
        <v>1056</v>
      </c>
      <c r="D19" s="10">
        <f t="shared" ref="D19:D24" si="0">capex_total-C19</f>
        <v>4224</v>
      </c>
    </row>
    <row r="20" spans="1:4" x14ac:dyDescent="0.3">
      <c r="A20" s="4" t="s">
        <v>626</v>
      </c>
      <c r="B20" s="10">
        <f>capex_total/depreciation_years</f>
        <v>1056</v>
      </c>
      <c r="C20" s="10">
        <f>C19+B20</f>
        <v>2112</v>
      </c>
      <c r="D20" s="10">
        <f t="shared" si="0"/>
        <v>3168</v>
      </c>
    </row>
    <row r="21" spans="1:4" x14ac:dyDescent="0.3">
      <c r="A21" s="4" t="s">
        <v>627</v>
      </c>
      <c r="B21" s="10">
        <f>capex_total/depreciation_years</f>
        <v>1056</v>
      </c>
      <c r="C21" s="10">
        <f>C20+B21</f>
        <v>3168</v>
      </c>
      <c r="D21" s="10">
        <f t="shared" si="0"/>
        <v>2112</v>
      </c>
    </row>
    <row r="22" spans="1:4" x14ac:dyDescent="0.3">
      <c r="A22" s="4" t="s">
        <v>628</v>
      </c>
      <c r="B22" s="10">
        <f>capex_total/depreciation_years</f>
        <v>1056</v>
      </c>
      <c r="C22" s="10">
        <f>C21+B22</f>
        <v>4224</v>
      </c>
      <c r="D22" s="10">
        <f t="shared" si="0"/>
        <v>1056</v>
      </c>
    </row>
    <row r="23" spans="1:4" x14ac:dyDescent="0.3">
      <c r="A23" s="4" t="s">
        <v>629</v>
      </c>
      <c r="B23" s="10">
        <f>capex_total/depreciation_years</f>
        <v>1056</v>
      </c>
      <c r="C23" s="10">
        <f>C22+B23</f>
        <v>5280</v>
      </c>
      <c r="D23" s="10">
        <f t="shared" si="0"/>
        <v>0</v>
      </c>
    </row>
    <row r="24" spans="1:4" x14ac:dyDescent="0.3">
      <c r="A24" s="4" t="s">
        <v>630</v>
      </c>
      <c r="B24" s="10">
        <f>0</f>
        <v>0</v>
      </c>
      <c r="C24" s="10">
        <f>C23+B24</f>
        <v>5280</v>
      </c>
      <c r="D24" s="10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R21"/>
  <sheetViews>
    <sheetView workbookViewId="0">
      <selection activeCell="C7" sqref="C7"/>
    </sheetView>
  </sheetViews>
  <sheetFormatPr defaultRowHeight="14.4" x14ac:dyDescent="0.3"/>
  <cols>
    <col min="1" max="1" width="30" style="52" customWidth="1"/>
    <col min="2" max="2" width="14" style="52" customWidth="1"/>
    <col min="3" max="44" width="11" style="52" customWidth="1"/>
  </cols>
  <sheetData>
    <row r="1" spans="1:44" x14ac:dyDescent="0.3">
      <c r="A1" s="25" t="s">
        <v>631</v>
      </c>
    </row>
    <row r="3" spans="1:44" x14ac:dyDescent="0.3">
      <c r="A3" s="3" t="s">
        <v>632</v>
      </c>
      <c r="B3" s="3" t="s">
        <v>441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K3" s="3" t="s">
        <v>641</v>
      </c>
      <c r="L3" s="3" t="s">
        <v>642</v>
      </c>
      <c r="M3" s="3" t="s">
        <v>643</v>
      </c>
      <c r="N3" s="3" t="s">
        <v>644</v>
      </c>
      <c r="O3" s="3" t="s">
        <v>645</v>
      </c>
      <c r="P3" s="3" t="s">
        <v>646</v>
      </c>
      <c r="Q3" s="3" t="s">
        <v>647</v>
      </c>
      <c r="R3" s="3" t="s">
        <v>648</v>
      </c>
      <c r="S3" s="3" t="s">
        <v>649</v>
      </c>
      <c r="T3" s="3" t="s">
        <v>650</v>
      </c>
      <c r="U3" s="3" t="s">
        <v>651</v>
      </c>
      <c r="V3" s="3" t="s">
        <v>652</v>
      </c>
      <c r="W3" s="3" t="s">
        <v>653</v>
      </c>
      <c r="X3" s="3" t="s">
        <v>654</v>
      </c>
      <c r="Y3" s="3" t="s">
        <v>655</v>
      </c>
      <c r="Z3" s="3" t="s">
        <v>656</v>
      </c>
      <c r="AA3" s="3" t="s">
        <v>657</v>
      </c>
      <c r="AB3" s="3" t="s">
        <v>658</v>
      </c>
      <c r="AC3" s="3" t="s">
        <v>659</v>
      </c>
      <c r="AD3" s="3" t="s">
        <v>660</v>
      </c>
      <c r="AE3" s="3" t="s">
        <v>661</v>
      </c>
      <c r="AF3" s="3" t="s">
        <v>662</v>
      </c>
      <c r="AG3" s="3" t="s">
        <v>663</v>
      </c>
      <c r="AH3" s="3" t="s">
        <v>664</v>
      </c>
      <c r="AI3" s="3" t="s">
        <v>665</v>
      </c>
      <c r="AJ3" s="3" t="s">
        <v>666</v>
      </c>
      <c r="AK3" s="3" t="s">
        <v>667</v>
      </c>
      <c r="AL3" s="3" t="s">
        <v>668</v>
      </c>
      <c r="AM3" s="3" t="s">
        <v>669</v>
      </c>
      <c r="AN3" s="3" t="s">
        <v>670</v>
      </c>
      <c r="AO3" s="3" t="s">
        <v>671</v>
      </c>
      <c r="AP3" s="3" t="s">
        <v>672</v>
      </c>
      <c r="AQ3" s="3" t="s">
        <v>673</v>
      </c>
      <c r="AR3" s="3" t="s">
        <v>674</v>
      </c>
    </row>
    <row r="4" spans="1:44" x14ac:dyDescent="0.3">
      <c r="A4" s="25" t="s">
        <v>675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676</v>
      </c>
      <c r="B5" s="12" t="s">
        <v>563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3</v>
      </c>
      <c r="AA5" s="5">
        <v>3</v>
      </c>
      <c r="AB5" s="5">
        <v>3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 s="5">
        <v>3</v>
      </c>
      <c r="AJ5" s="5">
        <v>3</v>
      </c>
      <c r="AK5" s="5">
        <v>4</v>
      </c>
      <c r="AL5" s="5">
        <v>4</v>
      </c>
      <c r="AM5" s="5">
        <v>4</v>
      </c>
      <c r="AN5" s="5">
        <v>4</v>
      </c>
      <c r="AO5" s="5">
        <v>4</v>
      </c>
      <c r="AP5" s="5">
        <v>4</v>
      </c>
      <c r="AQ5" s="5">
        <v>4</v>
      </c>
      <c r="AR5" s="5">
        <v>4</v>
      </c>
    </row>
    <row r="6" spans="1:44" x14ac:dyDescent="0.3">
      <c r="A6" s="4" t="s">
        <v>677</v>
      </c>
      <c r="B6" s="12" t="s">
        <v>563</v>
      </c>
      <c r="C6" s="5">
        <v>12</v>
      </c>
      <c r="D6" s="5">
        <v>12</v>
      </c>
      <c r="E6" s="5">
        <v>12</v>
      </c>
      <c r="F6" s="5">
        <v>12</v>
      </c>
      <c r="G6" s="5">
        <v>12</v>
      </c>
      <c r="H6" s="5">
        <v>12</v>
      </c>
      <c r="I6" s="5">
        <v>12</v>
      </c>
      <c r="J6" s="5">
        <v>12</v>
      </c>
      <c r="K6" s="5">
        <v>12</v>
      </c>
      <c r="L6" s="5">
        <v>12</v>
      </c>
      <c r="M6" s="5">
        <v>12</v>
      </c>
      <c r="N6" s="5">
        <v>12</v>
      </c>
      <c r="O6" s="5">
        <v>12</v>
      </c>
      <c r="P6" s="5">
        <v>12</v>
      </c>
      <c r="Q6" s="5">
        <v>12</v>
      </c>
      <c r="R6" s="5">
        <v>12</v>
      </c>
      <c r="S6" s="5">
        <v>12</v>
      </c>
      <c r="T6" s="5">
        <v>12</v>
      </c>
      <c r="U6" s="5">
        <v>14</v>
      </c>
      <c r="V6" s="5">
        <v>14</v>
      </c>
      <c r="W6" s="5">
        <v>14</v>
      </c>
      <c r="X6" s="5">
        <v>14</v>
      </c>
      <c r="Y6" s="5">
        <v>14</v>
      </c>
      <c r="Z6" s="5">
        <v>14</v>
      </c>
      <c r="AA6" s="5">
        <v>14</v>
      </c>
      <c r="AB6" s="5">
        <v>14</v>
      </c>
      <c r="AC6" s="5">
        <v>14</v>
      </c>
      <c r="AD6" s="5">
        <v>14</v>
      </c>
      <c r="AE6" s="5">
        <v>14</v>
      </c>
      <c r="AF6" s="5">
        <v>14</v>
      </c>
      <c r="AG6" s="5">
        <v>16</v>
      </c>
      <c r="AH6" s="5">
        <v>16</v>
      </c>
      <c r="AI6" s="5">
        <v>16</v>
      </c>
      <c r="AJ6" s="5">
        <v>16</v>
      </c>
      <c r="AK6" s="5">
        <v>18</v>
      </c>
      <c r="AL6" s="5">
        <v>18</v>
      </c>
      <c r="AM6" s="5">
        <v>18</v>
      </c>
      <c r="AN6" s="5">
        <v>18</v>
      </c>
      <c r="AO6" s="5">
        <v>20</v>
      </c>
      <c r="AP6" s="5">
        <v>20</v>
      </c>
      <c r="AQ6" s="5">
        <v>20</v>
      </c>
      <c r="AR6" s="5">
        <v>20</v>
      </c>
    </row>
    <row r="7" spans="1:44" x14ac:dyDescent="0.3">
      <c r="A7" s="39" t="s">
        <v>678</v>
      </c>
      <c r="B7" s="12" t="s">
        <v>563</v>
      </c>
      <c r="C7" s="40">
        <f>MAX(bizops_floor,ROUND('Market Sizing'!C15*hr_bizops_per_100_ent/100,0))</f>
        <v>2</v>
      </c>
      <c r="D7" s="40">
        <f>MAX(bizops_floor,ROUND('Market Sizing'!D15*hr_bizops_per_100_ent/100,0))</f>
        <v>2</v>
      </c>
      <c r="E7" s="40">
        <f>MAX(bizops_floor,ROUND('Market Sizing'!E15*hr_bizops_per_100_ent/100,0))</f>
        <v>3</v>
      </c>
      <c r="F7" s="40">
        <f>MAX(bizops_floor,ROUND('Market Sizing'!F15*hr_bizops_per_100_ent/100,0))</f>
        <v>3</v>
      </c>
      <c r="G7" s="40">
        <f>MAX(bizops_floor,ROUND('Market Sizing'!G15*hr_bizops_per_100_ent/100,0))</f>
        <v>3</v>
      </c>
      <c r="H7" s="40">
        <f>MAX(bizops_floor,ROUND('Market Sizing'!H15*hr_bizops_per_100_ent/100,0))</f>
        <v>3</v>
      </c>
      <c r="I7" s="40">
        <f>MAX(bizops_floor,ROUND('Market Sizing'!I15*hr_bizops_per_100_ent/100,0))</f>
        <v>3</v>
      </c>
      <c r="J7" s="40">
        <f>MAX(bizops_floor,ROUND('Market Sizing'!J15*hr_bizops_per_100_ent/100,0))</f>
        <v>4</v>
      </c>
      <c r="K7" s="40">
        <f>MAX(bizops_floor,ROUND('Market Sizing'!K15*hr_bizops_per_100_ent/100,0))</f>
        <v>4</v>
      </c>
      <c r="L7" s="40">
        <f>MAX(bizops_floor,ROUND('Market Sizing'!L15*hr_bizops_per_100_ent/100,0))</f>
        <v>4</v>
      </c>
      <c r="M7" s="40">
        <f>MAX(bizops_floor,ROUND('Market Sizing'!M15*hr_bizops_per_100_ent/100,0))</f>
        <v>4</v>
      </c>
      <c r="N7" s="40">
        <f>MAX(bizops_floor,ROUND('Market Sizing'!N15*hr_bizops_per_100_ent/100,0))</f>
        <v>5</v>
      </c>
      <c r="O7" s="40">
        <f>MAX(bizops_floor,ROUND('Market Sizing'!O15*hr_bizops_per_100_ent/100,0))</f>
        <v>5</v>
      </c>
      <c r="P7" s="40">
        <f>MAX(bizops_floor,ROUND('Market Sizing'!P15*hr_bizops_per_100_ent/100,0))</f>
        <v>5</v>
      </c>
      <c r="Q7" s="40">
        <f>MAX(bizops_floor,ROUND('Market Sizing'!Q15*hr_bizops_per_100_ent/100,0))</f>
        <v>5</v>
      </c>
      <c r="R7" s="40">
        <f>MAX(bizops_floor,ROUND('Market Sizing'!R15*hr_bizops_per_100_ent/100,0))</f>
        <v>6</v>
      </c>
      <c r="S7" s="40">
        <f>MAX(bizops_floor,ROUND('Market Sizing'!S15*hr_bizops_per_100_ent/100,0))</f>
        <v>6</v>
      </c>
      <c r="T7" s="40">
        <f>MAX(bizops_floor,ROUND('Market Sizing'!T15*hr_bizops_per_100_ent/100,0))</f>
        <v>6</v>
      </c>
      <c r="U7" s="40">
        <f>MAX(bizops_floor,ROUND('Market Sizing'!U15*hr_bizops_per_100_ent/100,0))</f>
        <v>7</v>
      </c>
      <c r="V7" s="40">
        <f>MAX(bizops_floor,ROUND('Market Sizing'!V15*hr_bizops_per_100_ent/100,0))</f>
        <v>7</v>
      </c>
      <c r="W7" s="40">
        <f>MAX(bizops_floor,ROUND('Market Sizing'!W15*hr_bizops_per_100_ent/100,0))</f>
        <v>8</v>
      </c>
      <c r="X7" s="40">
        <f>MAX(bizops_floor,ROUND('Market Sizing'!X15*hr_bizops_per_100_ent/100,0))</f>
        <v>8</v>
      </c>
      <c r="Y7" s="40">
        <f>MAX(bizops_floor,ROUND('Market Sizing'!Y15*hr_bizops_per_100_ent/100,0))</f>
        <v>8</v>
      </c>
      <c r="Z7" s="40">
        <f>MAX(bizops_floor,ROUND('Market Sizing'!Z15*hr_bizops_per_100_ent/100,0))</f>
        <v>9</v>
      </c>
      <c r="AA7" s="40">
        <f>MAX(bizops_floor,ROUND('Market Sizing'!AA15*hr_bizops_per_100_ent/100,0))</f>
        <v>9</v>
      </c>
      <c r="AB7" s="40">
        <f>MAX(bizops_floor,ROUND('Market Sizing'!AB15*hr_bizops_per_100_ent/100,0))</f>
        <v>10</v>
      </c>
      <c r="AC7" s="40">
        <f>MAX(bizops_floor,ROUND('Market Sizing'!AC15*hr_bizops_per_100_ent/100,0))</f>
        <v>10</v>
      </c>
      <c r="AD7" s="40">
        <f>MAX(bizops_floor,ROUND('Market Sizing'!AD15*hr_bizops_per_100_ent/100,0))</f>
        <v>10</v>
      </c>
      <c r="AE7" s="40">
        <f>MAX(bizops_floor,ROUND('Market Sizing'!AE15*hr_bizops_per_100_ent/100,0))</f>
        <v>11</v>
      </c>
      <c r="AF7" s="40">
        <f>MAX(bizops_floor,ROUND('Market Sizing'!AF15*hr_bizops_per_100_ent/100,0))</f>
        <v>11</v>
      </c>
      <c r="AG7" s="40">
        <f>MAX(bizops_floor,ROUND('Market Sizing'!AG15*hr_bizops_per_100_ent/100,0))</f>
        <v>12</v>
      </c>
      <c r="AH7" s="40">
        <f>MAX(bizops_floor,ROUND('Market Sizing'!AH15*hr_bizops_per_100_ent/100,0))</f>
        <v>13</v>
      </c>
      <c r="AI7" s="40">
        <f>MAX(bizops_floor,ROUND('Market Sizing'!AI15*hr_bizops_per_100_ent/100,0))</f>
        <v>14</v>
      </c>
      <c r="AJ7" s="40">
        <f>MAX(bizops_floor,ROUND('Market Sizing'!AJ15*hr_bizops_per_100_ent/100,0))</f>
        <v>15</v>
      </c>
      <c r="AK7" s="40">
        <f>MAX(bizops_floor,ROUND('Market Sizing'!AK15*hr_bizops_per_100_ent/100,0))</f>
        <v>16</v>
      </c>
      <c r="AL7" s="40">
        <f>MAX(bizops_floor,ROUND('Market Sizing'!AL15*hr_bizops_per_100_ent/100,0))</f>
        <v>17</v>
      </c>
      <c r="AM7" s="40">
        <f>MAX(bizops_floor,ROUND('Market Sizing'!AM15*hr_bizops_per_100_ent/100,0))</f>
        <v>18</v>
      </c>
      <c r="AN7" s="40">
        <f>MAX(bizops_floor,ROUND('Market Sizing'!AN15*hr_bizops_per_100_ent/100,0))</f>
        <v>19</v>
      </c>
      <c r="AO7" s="40">
        <f>MAX(bizops_floor,ROUND('Market Sizing'!AO15*hr_bizops_per_100_ent/100,0))</f>
        <v>20</v>
      </c>
      <c r="AP7" s="40">
        <f>MAX(bizops_floor,ROUND('Market Sizing'!AP15*hr_bizops_per_100_ent/100,0))</f>
        <v>20</v>
      </c>
      <c r="AQ7" s="40">
        <f>MAX(bizops_floor,ROUND('Market Sizing'!AQ15*hr_bizops_per_100_ent/100,0))</f>
        <v>21</v>
      </c>
      <c r="AR7" s="40">
        <f>MAX(bizops_floor,ROUND('Market Sizing'!AR15*hr_bizops_per_100_ent/100,0))</f>
        <v>21</v>
      </c>
    </row>
    <row r="8" spans="1:44" x14ac:dyDescent="0.3">
      <c r="A8" s="4" t="s">
        <v>679</v>
      </c>
      <c r="B8" s="12" t="s">
        <v>563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2</v>
      </c>
      <c r="U8" s="5">
        <v>3</v>
      </c>
      <c r="V8" s="5">
        <v>3</v>
      </c>
      <c r="W8" s="5">
        <v>3</v>
      </c>
      <c r="X8" s="5">
        <v>3</v>
      </c>
      <c r="Y8" s="5">
        <v>3</v>
      </c>
      <c r="Z8" s="5">
        <v>3</v>
      </c>
      <c r="AA8" s="5">
        <v>3</v>
      </c>
      <c r="AB8" s="5">
        <v>3</v>
      </c>
      <c r="AC8" s="5">
        <v>3</v>
      </c>
      <c r="AD8" s="5">
        <v>3</v>
      </c>
      <c r="AE8" s="5">
        <v>3</v>
      </c>
      <c r="AF8" s="5">
        <v>3</v>
      </c>
      <c r="AG8" s="5">
        <v>4</v>
      </c>
      <c r="AH8" s="5">
        <v>4</v>
      </c>
      <c r="AI8" s="5">
        <v>4</v>
      </c>
      <c r="AJ8" s="5">
        <v>4</v>
      </c>
      <c r="AK8" s="5">
        <v>5</v>
      </c>
      <c r="AL8" s="5">
        <v>5</v>
      </c>
      <c r="AM8" s="5">
        <v>5</v>
      </c>
      <c r="AN8" s="5">
        <v>5</v>
      </c>
      <c r="AO8" s="5">
        <v>6</v>
      </c>
      <c r="AP8" s="5">
        <v>6</v>
      </c>
      <c r="AQ8" s="5">
        <v>6</v>
      </c>
      <c r="AR8" s="5">
        <v>6</v>
      </c>
    </row>
    <row r="9" spans="1:44" x14ac:dyDescent="0.3">
      <c r="A9" s="4" t="s">
        <v>680</v>
      </c>
      <c r="B9" s="13" t="s">
        <v>563</v>
      </c>
      <c r="C9" s="9">
        <f t="shared" ref="C9:AR9" si="0">C5+C6+C7+C8</f>
        <v>16</v>
      </c>
      <c r="D9" s="9">
        <f t="shared" si="0"/>
        <v>16</v>
      </c>
      <c r="E9" s="9">
        <f t="shared" si="0"/>
        <v>17</v>
      </c>
      <c r="F9" s="9">
        <f t="shared" si="0"/>
        <v>17</v>
      </c>
      <c r="G9" s="9">
        <f t="shared" si="0"/>
        <v>17</v>
      </c>
      <c r="H9" s="9">
        <f t="shared" si="0"/>
        <v>17</v>
      </c>
      <c r="I9" s="9">
        <f t="shared" si="0"/>
        <v>19</v>
      </c>
      <c r="J9" s="9">
        <f t="shared" si="0"/>
        <v>20</v>
      </c>
      <c r="K9" s="9">
        <f t="shared" si="0"/>
        <v>20</v>
      </c>
      <c r="L9" s="9">
        <f t="shared" si="0"/>
        <v>20</v>
      </c>
      <c r="M9" s="9">
        <f t="shared" si="0"/>
        <v>20</v>
      </c>
      <c r="N9" s="9">
        <f t="shared" si="0"/>
        <v>21</v>
      </c>
      <c r="O9" s="9">
        <f t="shared" si="0"/>
        <v>21</v>
      </c>
      <c r="P9" s="9">
        <f t="shared" si="0"/>
        <v>21</v>
      </c>
      <c r="Q9" s="9">
        <f t="shared" si="0"/>
        <v>21</v>
      </c>
      <c r="R9" s="9">
        <f t="shared" si="0"/>
        <v>22</v>
      </c>
      <c r="S9" s="9">
        <f t="shared" si="0"/>
        <v>22</v>
      </c>
      <c r="T9" s="9">
        <f t="shared" si="0"/>
        <v>22</v>
      </c>
      <c r="U9" s="9">
        <f t="shared" si="0"/>
        <v>27</v>
      </c>
      <c r="V9" s="9">
        <f t="shared" si="0"/>
        <v>27</v>
      </c>
      <c r="W9" s="9">
        <f t="shared" si="0"/>
        <v>28</v>
      </c>
      <c r="X9" s="9">
        <f t="shared" si="0"/>
        <v>28</v>
      </c>
      <c r="Y9" s="9">
        <f t="shared" si="0"/>
        <v>28</v>
      </c>
      <c r="Z9" s="9">
        <f t="shared" si="0"/>
        <v>29</v>
      </c>
      <c r="AA9" s="9">
        <f t="shared" si="0"/>
        <v>29</v>
      </c>
      <c r="AB9" s="9">
        <f t="shared" si="0"/>
        <v>30</v>
      </c>
      <c r="AC9" s="9">
        <f t="shared" si="0"/>
        <v>30</v>
      </c>
      <c r="AD9" s="9">
        <f t="shared" si="0"/>
        <v>30</v>
      </c>
      <c r="AE9" s="9">
        <f t="shared" si="0"/>
        <v>31</v>
      </c>
      <c r="AF9" s="9">
        <f t="shared" si="0"/>
        <v>31</v>
      </c>
      <c r="AG9" s="9">
        <f t="shared" si="0"/>
        <v>35</v>
      </c>
      <c r="AH9" s="9">
        <f t="shared" si="0"/>
        <v>36</v>
      </c>
      <c r="AI9" s="9">
        <f t="shared" si="0"/>
        <v>37</v>
      </c>
      <c r="AJ9" s="9">
        <f t="shared" si="0"/>
        <v>38</v>
      </c>
      <c r="AK9" s="9">
        <f t="shared" si="0"/>
        <v>43</v>
      </c>
      <c r="AL9" s="9">
        <f t="shared" si="0"/>
        <v>44</v>
      </c>
      <c r="AM9" s="9">
        <f t="shared" si="0"/>
        <v>45</v>
      </c>
      <c r="AN9" s="9">
        <f t="shared" si="0"/>
        <v>46</v>
      </c>
      <c r="AO9" s="9">
        <f t="shared" si="0"/>
        <v>50</v>
      </c>
      <c r="AP9" s="9">
        <f t="shared" si="0"/>
        <v>50</v>
      </c>
      <c r="AQ9" s="9">
        <f t="shared" si="0"/>
        <v>51</v>
      </c>
      <c r="AR9" s="9">
        <f t="shared" si="0"/>
        <v>51</v>
      </c>
    </row>
    <row r="11" spans="1:44" x14ac:dyDescent="0.3">
      <c r="A11" s="25" t="s">
        <v>681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x14ac:dyDescent="0.3">
      <c r="A12" s="4" t="s">
        <v>682</v>
      </c>
      <c r="B12" s="12" t="s">
        <v>563</v>
      </c>
      <c r="C12" s="10">
        <f>C9</f>
        <v>16</v>
      </c>
      <c r="D12" s="10">
        <f t="shared" ref="D12:AR12" si="1">MAX(0,D9-C9)</f>
        <v>0</v>
      </c>
      <c r="E12" s="10">
        <f t="shared" si="1"/>
        <v>1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2</v>
      </c>
      <c r="J12" s="10">
        <f t="shared" si="1"/>
        <v>1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1</v>
      </c>
      <c r="O12" s="10">
        <f t="shared" si="1"/>
        <v>0</v>
      </c>
      <c r="P12" s="10">
        <f t="shared" si="1"/>
        <v>0</v>
      </c>
      <c r="Q12" s="10">
        <f t="shared" si="1"/>
        <v>0</v>
      </c>
      <c r="R12" s="10">
        <f t="shared" si="1"/>
        <v>1</v>
      </c>
      <c r="S12" s="10">
        <f t="shared" si="1"/>
        <v>0</v>
      </c>
      <c r="T12" s="10">
        <f t="shared" si="1"/>
        <v>0</v>
      </c>
      <c r="U12" s="10">
        <f t="shared" si="1"/>
        <v>5</v>
      </c>
      <c r="V12" s="10">
        <f t="shared" si="1"/>
        <v>0</v>
      </c>
      <c r="W12" s="10">
        <f t="shared" si="1"/>
        <v>1</v>
      </c>
      <c r="X12" s="10">
        <f t="shared" si="1"/>
        <v>0</v>
      </c>
      <c r="Y12" s="10">
        <f t="shared" si="1"/>
        <v>0</v>
      </c>
      <c r="Z12" s="10">
        <f t="shared" si="1"/>
        <v>1</v>
      </c>
      <c r="AA12" s="10">
        <f t="shared" si="1"/>
        <v>0</v>
      </c>
      <c r="AB12" s="10">
        <f t="shared" si="1"/>
        <v>1</v>
      </c>
      <c r="AC12" s="10">
        <f t="shared" si="1"/>
        <v>0</v>
      </c>
      <c r="AD12" s="10">
        <f t="shared" si="1"/>
        <v>0</v>
      </c>
      <c r="AE12" s="10">
        <f t="shared" si="1"/>
        <v>1</v>
      </c>
      <c r="AF12" s="10">
        <f t="shared" si="1"/>
        <v>0</v>
      </c>
      <c r="AG12" s="10">
        <f t="shared" si="1"/>
        <v>4</v>
      </c>
      <c r="AH12" s="10">
        <f t="shared" si="1"/>
        <v>1</v>
      </c>
      <c r="AI12" s="10">
        <f t="shared" si="1"/>
        <v>1</v>
      </c>
      <c r="AJ12" s="10">
        <f t="shared" si="1"/>
        <v>1</v>
      </c>
      <c r="AK12" s="10">
        <f t="shared" si="1"/>
        <v>5</v>
      </c>
      <c r="AL12" s="10">
        <f t="shared" si="1"/>
        <v>1</v>
      </c>
      <c r="AM12" s="10">
        <f t="shared" si="1"/>
        <v>1</v>
      </c>
      <c r="AN12" s="10">
        <f t="shared" si="1"/>
        <v>1</v>
      </c>
      <c r="AO12" s="10">
        <f t="shared" si="1"/>
        <v>4</v>
      </c>
      <c r="AP12" s="10">
        <f t="shared" si="1"/>
        <v>0</v>
      </c>
      <c r="AQ12" s="10">
        <f t="shared" si="1"/>
        <v>1</v>
      </c>
      <c r="AR12" s="10">
        <f t="shared" si="1"/>
        <v>0</v>
      </c>
    </row>
    <row r="14" spans="1:44" x14ac:dyDescent="0.3">
      <c r="A14" s="25" t="s">
        <v>683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x14ac:dyDescent="0.3">
      <c r="A15" s="4" t="s">
        <v>684</v>
      </c>
      <c r="B15" s="12" t="s">
        <v>470</v>
      </c>
      <c r="C15" s="10">
        <f t="shared" ref="C15:H15" si="2">C5*salary_mgmt*1*(1+salary_escalation)^0*(1+bhxh_rate)</f>
        <v>109.35000000000001</v>
      </c>
      <c r="D15" s="10">
        <f t="shared" si="2"/>
        <v>109.35000000000001</v>
      </c>
      <c r="E15" s="10">
        <f t="shared" si="2"/>
        <v>109.35000000000001</v>
      </c>
      <c r="F15" s="10">
        <f t="shared" si="2"/>
        <v>109.35000000000001</v>
      </c>
      <c r="G15" s="10">
        <f t="shared" si="2"/>
        <v>109.35000000000001</v>
      </c>
      <c r="H15" s="10">
        <f t="shared" si="2"/>
        <v>109.35000000000001</v>
      </c>
      <c r="I15" s="10">
        <f t="shared" ref="I15:T15" si="3">I5*salary_mgmt*1*(1+salary_escalation)^1*(1+bhxh_rate)</f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10">
        <f t="shared" si="3"/>
        <v>120.28500000000003</v>
      </c>
      <c r="P15" s="10">
        <f t="shared" si="3"/>
        <v>120.28500000000003</v>
      </c>
      <c r="Q15" s="10">
        <f t="shared" si="3"/>
        <v>120.28500000000003</v>
      </c>
      <c r="R15" s="10">
        <f t="shared" si="3"/>
        <v>120.28500000000003</v>
      </c>
      <c r="S15" s="10">
        <f t="shared" si="3"/>
        <v>120.28500000000003</v>
      </c>
      <c r="T15" s="10">
        <f t="shared" si="3"/>
        <v>120.28500000000003</v>
      </c>
      <c r="U15" s="10">
        <f t="shared" ref="U15:AF15" si="4">U5*salary_mgmt*1*(1+salary_escalation)^2*(1+bhxh_rate)</f>
        <v>198.47025000000005</v>
      </c>
      <c r="V15" s="10">
        <f t="shared" si="4"/>
        <v>198.47025000000005</v>
      </c>
      <c r="W15" s="10">
        <f t="shared" si="4"/>
        <v>198.47025000000005</v>
      </c>
      <c r="X15" s="10">
        <f t="shared" si="4"/>
        <v>198.47025000000005</v>
      </c>
      <c r="Y15" s="10">
        <f t="shared" si="4"/>
        <v>198.47025000000005</v>
      </c>
      <c r="Z15" s="10">
        <f t="shared" si="4"/>
        <v>198.47025000000005</v>
      </c>
      <c r="AA15" s="10">
        <f t="shared" si="4"/>
        <v>198.47025000000005</v>
      </c>
      <c r="AB15" s="10">
        <f t="shared" si="4"/>
        <v>198.47025000000005</v>
      </c>
      <c r="AC15" s="10">
        <f t="shared" si="4"/>
        <v>198.47025000000005</v>
      </c>
      <c r="AD15" s="10">
        <f t="shared" si="4"/>
        <v>198.47025000000005</v>
      </c>
      <c r="AE15" s="10">
        <f t="shared" si="4"/>
        <v>198.47025000000005</v>
      </c>
      <c r="AF15" s="10">
        <f t="shared" si="4"/>
        <v>198.47025000000005</v>
      </c>
      <c r="AG15" s="10">
        <f>AG5*salary_mgmt*3*(1+salary_escalation)^3*(1+bhxh_rate)</f>
        <v>654.95182500000021</v>
      </c>
      <c r="AH15" s="10">
        <f>AH5*salary_mgmt*3*(1+salary_escalation)^3*(1+bhxh_rate)</f>
        <v>654.95182500000021</v>
      </c>
      <c r="AI15" s="10">
        <f>AI5*salary_mgmt*3*(1+salary_escalation)^3*(1+bhxh_rate)</f>
        <v>654.95182500000021</v>
      </c>
      <c r="AJ15" s="10">
        <f>AJ5*salary_mgmt*3*(1+salary_escalation)^3*(1+bhxh_rate)</f>
        <v>654.95182500000021</v>
      </c>
      <c r="AK15" s="10">
        <f>AK5*salary_mgmt*3*(1+salary_escalation)^4*(1+bhxh_rate)</f>
        <v>960.59601000000043</v>
      </c>
      <c r="AL15" s="10">
        <f>AL5*salary_mgmt*3*(1+salary_escalation)^4*(1+bhxh_rate)</f>
        <v>960.59601000000043</v>
      </c>
      <c r="AM15" s="10">
        <f>AM5*salary_mgmt*3*(1+salary_escalation)^4*(1+bhxh_rate)</f>
        <v>960.59601000000043</v>
      </c>
      <c r="AN15" s="10">
        <f>AN5*salary_mgmt*3*(1+salary_escalation)^4*(1+bhxh_rate)</f>
        <v>960.59601000000043</v>
      </c>
      <c r="AO15" s="10">
        <f>AO5*salary_mgmt*3*(1+salary_escalation)^5*(1+bhxh_rate)</f>
        <v>1056.6556110000004</v>
      </c>
      <c r="AP15" s="10">
        <f>AP5*salary_mgmt*3*(1+salary_escalation)^5*(1+bhxh_rate)</f>
        <v>1056.6556110000004</v>
      </c>
      <c r="AQ15" s="10">
        <f>AQ5*salary_mgmt*3*(1+salary_escalation)^5*(1+bhxh_rate)</f>
        <v>1056.6556110000004</v>
      </c>
      <c r="AR15" s="10">
        <f>AR5*salary_mgmt*3*(1+salary_escalation)^5*(1+bhxh_rate)</f>
        <v>1056.6556110000004</v>
      </c>
    </row>
    <row r="16" spans="1:44" x14ac:dyDescent="0.3">
      <c r="A16" s="4" t="s">
        <v>685</v>
      </c>
      <c r="B16" s="12" t="s">
        <v>470</v>
      </c>
      <c r="C16" s="10">
        <f t="shared" ref="C16:H16" si="5">C6*salary_dev*1*(1+salary_escalation)^0*(1+bhxh_rate)</f>
        <v>510.3</v>
      </c>
      <c r="D16" s="10">
        <f t="shared" si="5"/>
        <v>510.3</v>
      </c>
      <c r="E16" s="10">
        <f t="shared" si="5"/>
        <v>510.3</v>
      </c>
      <c r="F16" s="10">
        <f t="shared" si="5"/>
        <v>510.3</v>
      </c>
      <c r="G16" s="10">
        <f t="shared" si="5"/>
        <v>510.3</v>
      </c>
      <c r="H16" s="10">
        <f t="shared" si="5"/>
        <v>510.3</v>
      </c>
      <c r="I16" s="10">
        <f t="shared" ref="I16:T16" si="6">I6*salary_dev*1*(1+salary_escalation)^1*(1+bhxh_rate)</f>
        <v>561.33000000000015</v>
      </c>
      <c r="J16" s="10">
        <f t="shared" si="6"/>
        <v>561.33000000000015</v>
      </c>
      <c r="K16" s="10">
        <f t="shared" si="6"/>
        <v>561.33000000000015</v>
      </c>
      <c r="L16" s="10">
        <f t="shared" si="6"/>
        <v>561.33000000000015</v>
      </c>
      <c r="M16" s="10">
        <f t="shared" si="6"/>
        <v>561.33000000000015</v>
      </c>
      <c r="N16" s="10">
        <f t="shared" si="6"/>
        <v>561.33000000000015</v>
      </c>
      <c r="O16" s="10">
        <f t="shared" si="6"/>
        <v>561.33000000000015</v>
      </c>
      <c r="P16" s="10">
        <f t="shared" si="6"/>
        <v>561.33000000000015</v>
      </c>
      <c r="Q16" s="10">
        <f t="shared" si="6"/>
        <v>561.33000000000015</v>
      </c>
      <c r="R16" s="10">
        <f t="shared" si="6"/>
        <v>561.33000000000015</v>
      </c>
      <c r="S16" s="10">
        <f t="shared" si="6"/>
        <v>561.33000000000015</v>
      </c>
      <c r="T16" s="10">
        <f t="shared" si="6"/>
        <v>561.33000000000015</v>
      </c>
      <c r="U16" s="10">
        <f t="shared" ref="U16:AF16" si="7">U6*salary_dev*1*(1+salary_escalation)^2*(1+bhxh_rate)</f>
        <v>720.37350000000015</v>
      </c>
      <c r="V16" s="10">
        <f t="shared" si="7"/>
        <v>720.37350000000015</v>
      </c>
      <c r="W16" s="10">
        <f t="shared" si="7"/>
        <v>720.37350000000015</v>
      </c>
      <c r="X16" s="10">
        <f t="shared" si="7"/>
        <v>720.37350000000015</v>
      </c>
      <c r="Y16" s="10">
        <f t="shared" si="7"/>
        <v>720.37350000000015</v>
      </c>
      <c r="Z16" s="10">
        <f t="shared" si="7"/>
        <v>720.37350000000015</v>
      </c>
      <c r="AA16" s="10">
        <f t="shared" si="7"/>
        <v>720.37350000000015</v>
      </c>
      <c r="AB16" s="10">
        <f t="shared" si="7"/>
        <v>720.37350000000015</v>
      </c>
      <c r="AC16" s="10">
        <f t="shared" si="7"/>
        <v>720.37350000000015</v>
      </c>
      <c r="AD16" s="10">
        <f t="shared" si="7"/>
        <v>720.37350000000015</v>
      </c>
      <c r="AE16" s="10">
        <f t="shared" si="7"/>
        <v>720.37350000000015</v>
      </c>
      <c r="AF16" s="10">
        <f t="shared" si="7"/>
        <v>720.37350000000015</v>
      </c>
      <c r="AG16" s="10">
        <f>AG6*salary_dev*3*(1+salary_escalation)^3*(1+bhxh_rate)</f>
        <v>2716.8372000000013</v>
      </c>
      <c r="AH16" s="10">
        <f>AH6*salary_dev*3*(1+salary_escalation)^3*(1+bhxh_rate)</f>
        <v>2716.8372000000013</v>
      </c>
      <c r="AI16" s="10">
        <f>AI6*salary_dev*3*(1+salary_escalation)^3*(1+bhxh_rate)</f>
        <v>2716.8372000000013</v>
      </c>
      <c r="AJ16" s="10">
        <f>AJ6*salary_dev*3*(1+salary_escalation)^3*(1+bhxh_rate)</f>
        <v>2716.8372000000013</v>
      </c>
      <c r="AK16" s="10">
        <f>AK6*salary_dev*3*(1+salary_escalation)^4*(1+bhxh_rate)</f>
        <v>3362.0860350000012</v>
      </c>
      <c r="AL16" s="10">
        <f>AL6*salary_dev*3*(1+salary_escalation)^4*(1+bhxh_rate)</f>
        <v>3362.0860350000012</v>
      </c>
      <c r="AM16" s="10">
        <f>AM6*salary_dev*3*(1+salary_escalation)^4*(1+bhxh_rate)</f>
        <v>3362.0860350000012</v>
      </c>
      <c r="AN16" s="10">
        <f>AN6*salary_dev*3*(1+salary_escalation)^4*(1+bhxh_rate)</f>
        <v>3362.0860350000012</v>
      </c>
      <c r="AO16" s="10">
        <f>AO6*salary_dev*3*(1+salary_escalation)^5*(1+bhxh_rate)</f>
        <v>4109.2162650000018</v>
      </c>
      <c r="AP16" s="10">
        <f>AP6*salary_dev*3*(1+salary_escalation)^5*(1+bhxh_rate)</f>
        <v>4109.2162650000018</v>
      </c>
      <c r="AQ16" s="10">
        <f>AQ6*salary_dev*3*(1+salary_escalation)^5*(1+bhxh_rate)</f>
        <v>4109.2162650000018</v>
      </c>
      <c r="AR16" s="10">
        <f>AR6*salary_dev*3*(1+salary_escalation)^5*(1+bhxh_rate)</f>
        <v>4109.2162650000018</v>
      </c>
    </row>
    <row r="17" spans="1:44" x14ac:dyDescent="0.3">
      <c r="A17" s="4" t="s">
        <v>686</v>
      </c>
      <c r="B17" s="12" t="s">
        <v>470</v>
      </c>
      <c r="C17" s="10">
        <f t="shared" ref="C17:H17" si="8">C7*salary_bizops*1*(1+salary_escalation)^0*(1+bhxh_rate)</f>
        <v>48.6</v>
      </c>
      <c r="D17" s="10">
        <f t="shared" si="8"/>
        <v>48.6</v>
      </c>
      <c r="E17" s="10">
        <f t="shared" si="8"/>
        <v>72.900000000000006</v>
      </c>
      <c r="F17" s="10">
        <f t="shared" si="8"/>
        <v>72.900000000000006</v>
      </c>
      <c r="G17" s="10">
        <f t="shared" si="8"/>
        <v>72.900000000000006</v>
      </c>
      <c r="H17" s="10">
        <f t="shared" si="8"/>
        <v>72.900000000000006</v>
      </c>
      <c r="I17" s="10">
        <f t="shared" ref="I17:T17" si="9">I7*salary_bizops*1*(1+salary_escalation)^1*(1+bhxh_rate)</f>
        <v>80.190000000000012</v>
      </c>
      <c r="J17" s="10">
        <f t="shared" si="9"/>
        <v>106.92</v>
      </c>
      <c r="K17" s="10">
        <f t="shared" si="9"/>
        <v>106.92</v>
      </c>
      <c r="L17" s="10">
        <f t="shared" si="9"/>
        <v>106.92</v>
      </c>
      <c r="M17" s="10">
        <f t="shared" si="9"/>
        <v>106.92</v>
      </c>
      <c r="N17" s="10">
        <f t="shared" si="9"/>
        <v>133.65000000000003</v>
      </c>
      <c r="O17" s="10">
        <f t="shared" si="9"/>
        <v>133.65000000000003</v>
      </c>
      <c r="P17" s="10">
        <f t="shared" si="9"/>
        <v>133.65000000000003</v>
      </c>
      <c r="Q17" s="10">
        <f t="shared" si="9"/>
        <v>133.65000000000003</v>
      </c>
      <c r="R17" s="10">
        <f t="shared" si="9"/>
        <v>160.38000000000002</v>
      </c>
      <c r="S17" s="10">
        <f t="shared" si="9"/>
        <v>160.38000000000002</v>
      </c>
      <c r="T17" s="10">
        <f t="shared" si="9"/>
        <v>160.38000000000002</v>
      </c>
      <c r="U17" s="10">
        <f t="shared" ref="U17:AF17" si="10">U7*salary_bizops*1*(1+salary_escalation)^2*(1+bhxh_rate)</f>
        <v>205.82100000000005</v>
      </c>
      <c r="V17" s="10">
        <f t="shared" si="10"/>
        <v>205.82100000000005</v>
      </c>
      <c r="W17" s="10">
        <f t="shared" si="10"/>
        <v>235.22400000000005</v>
      </c>
      <c r="X17" s="10">
        <f t="shared" si="10"/>
        <v>235.22400000000005</v>
      </c>
      <c r="Y17" s="10">
        <f t="shared" si="10"/>
        <v>235.22400000000005</v>
      </c>
      <c r="Z17" s="10">
        <f t="shared" si="10"/>
        <v>264.62700000000007</v>
      </c>
      <c r="AA17" s="10">
        <f t="shared" si="10"/>
        <v>264.62700000000007</v>
      </c>
      <c r="AB17" s="10">
        <f t="shared" si="10"/>
        <v>294.03000000000003</v>
      </c>
      <c r="AC17" s="10">
        <f t="shared" si="10"/>
        <v>294.03000000000003</v>
      </c>
      <c r="AD17" s="10">
        <f t="shared" si="10"/>
        <v>294.03000000000003</v>
      </c>
      <c r="AE17" s="10">
        <f t="shared" si="10"/>
        <v>323.43300000000005</v>
      </c>
      <c r="AF17" s="10">
        <f t="shared" si="10"/>
        <v>323.43300000000005</v>
      </c>
      <c r="AG17" s="10">
        <f>AG7*salary_bizops*3*(1+salary_escalation)^3*(1+bhxh_rate)</f>
        <v>1164.3588000000004</v>
      </c>
      <c r="AH17" s="10">
        <f>AH7*salary_bizops*3*(1+salary_escalation)^3*(1+bhxh_rate)</f>
        <v>1261.3887000000004</v>
      </c>
      <c r="AI17" s="10">
        <f>AI7*salary_bizops*3*(1+salary_escalation)^3*(1+bhxh_rate)</f>
        <v>1358.4186000000007</v>
      </c>
      <c r="AJ17" s="10">
        <f>AJ7*salary_bizops*3*(1+salary_escalation)^3*(1+bhxh_rate)</f>
        <v>1455.4485000000004</v>
      </c>
      <c r="AK17" s="10">
        <f>AK7*salary_bizops*3*(1+salary_escalation)^4*(1+bhxh_rate)</f>
        <v>1707.7262400000004</v>
      </c>
      <c r="AL17" s="10">
        <f>AL7*salary_bizops*3*(1+salary_escalation)^4*(1+bhxh_rate)</f>
        <v>1814.4591300000006</v>
      </c>
      <c r="AM17" s="10">
        <f>AM7*salary_bizops*3*(1+salary_escalation)^4*(1+bhxh_rate)</f>
        <v>1921.1920200000009</v>
      </c>
      <c r="AN17" s="10">
        <f>AN7*salary_bizops*3*(1+salary_escalation)^4*(1+bhxh_rate)</f>
        <v>2027.9249100000009</v>
      </c>
      <c r="AO17" s="10">
        <f>AO7*salary_bizops*3*(1+salary_escalation)^5*(1+bhxh_rate)</f>
        <v>2348.1235800000009</v>
      </c>
      <c r="AP17" s="10">
        <f>AP7*salary_bizops*3*(1+salary_escalation)^5*(1+bhxh_rate)</f>
        <v>2348.1235800000009</v>
      </c>
      <c r="AQ17" s="10">
        <f>AQ7*salary_bizops*3*(1+salary_escalation)^5*(1+bhxh_rate)</f>
        <v>2465.5297590000009</v>
      </c>
      <c r="AR17" s="10">
        <f>AR7*salary_bizops*3*(1+salary_escalation)^5*(1+bhxh_rate)</f>
        <v>2465.5297590000009</v>
      </c>
    </row>
    <row r="18" spans="1:44" x14ac:dyDescent="0.3">
      <c r="A18" s="4" t="s">
        <v>687</v>
      </c>
      <c r="B18" s="12" t="s">
        <v>470</v>
      </c>
      <c r="C18" s="10">
        <f t="shared" ref="C18:H18" si="11">C8*salary_data*1*(1+salary_escalation)^0*(1+bhxh_rate)</f>
        <v>0</v>
      </c>
      <c r="D18" s="10">
        <f t="shared" si="11"/>
        <v>0</v>
      </c>
      <c r="E18" s="10">
        <f t="shared" si="11"/>
        <v>0</v>
      </c>
      <c r="F18" s="10">
        <f t="shared" si="11"/>
        <v>0</v>
      </c>
      <c r="G18" s="10">
        <f t="shared" si="11"/>
        <v>0</v>
      </c>
      <c r="H18" s="10">
        <f t="shared" si="11"/>
        <v>0</v>
      </c>
      <c r="I18" s="10">
        <f t="shared" ref="I18:T18" si="12">I8*salary_data*1*(1+salary_escalation)^1*(1+bhxh_rate)</f>
        <v>106.92</v>
      </c>
      <c r="J18" s="10">
        <f t="shared" si="12"/>
        <v>106.92</v>
      </c>
      <c r="K18" s="10">
        <f t="shared" si="12"/>
        <v>106.92</v>
      </c>
      <c r="L18" s="10">
        <f t="shared" si="12"/>
        <v>106.92</v>
      </c>
      <c r="M18" s="10">
        <f t="shared" si="12"/>
        <v>106.92</v>
      </c>
      <c r="N18" s="10">
        <f t="shared" si="12"/>
        <v>106.92</v>
      </c>
      <c r="O18" s="10">
        <f t="shared" si="12"/>
        <v>106.92</v>
      </c>
      <c r="P18" s="10">
        <f t="shared" si="12"/>
        <v>106.92</v>
      </c>
      <c r="Q18" s="10">
        <f t="shared" si="12"/>
        <v>106.92</v>
      </c>
      <c r="R18" s="10">
        <f t="shared" si="12"/>
        <v>106.92</v>
      </c>
      <c r="S18" s="10">
        <f t="shared" si="12"/>
        <v>106.92</v>
      </c>
      <c r="T18" s="10">
        <f t="shared" si="12"/>
        <v>106.92</v>
      </c>
      <c r="U18" s="10">
        <f t="shared" ref="U18:AF18" si="13">U8*salary_data*1*(1+salary_escalation)^2*(1+bhxh_rate)</f>
        <v>176.41800000000003</v>
      </c>
      <c r="V18" s="10">
        <f t="shared" si="13"/>
        <v>176.41800000000003</v>
      </c>
      <c r="W18" s="10">
        <f t="shared" si="13"/>
        <v>176.41800000000003</v>
      </c>
      <c r="X18" s="10">
        <f t="shared" si="13"/>
        <v>176.41800000000003</v>
      </c>
      <c r="Y18" s="10">
        <f t="shared" si="13"/>
        <v>176.41800000000003</v>
      </c>
      <c r="Z18" s="10">
        <f t="shared" si="13"/>
        <v>176.41800000000003</v>
      </c>
      <c r="AA18" s="10">
        <f t="shared" si="13"/>
        <v>176.41800000000003</v>
      </c>
      <c r="AB18" s="10">
        <f t="shared" si="13"/>
        <v>176.41800000000003</v>
      </c>
      <c r="AC18" s="10">
        <f t="shared" si="13"/>
        <v>176.41800000000003</v>
      </c>
      <c r="AD18" s="10">
        <f t="shared" si="13"/>
        <v>176.41800000000003</v>
      </c>
      <c r="AE18" s="10">
        <f t="shared" si="13"/>
        <v>176.41800000000003</v>
      </c>
      <c r="AF18" s="10">
        <f t="shared" si="13"/>
        <v>176.41800000000003</v>
      </c>
      <c r="AG18" s="10">
        <f>AG8*salary_data*3*(1+salary_escalation)^3*(1+bhxh_rate)</f>
        <v>776.23920000000032</v>
      </c>
      <c r="AH18" s="10">
        <f>AH8*salary_data*3*(1+salary_escalation)^3*(1+bhxh_rate)</f>
        <v>776.23920000000032</v>
      </c>
      <c r="AI18" s="10">
        <f>AI8*salary_data*3*(1+salary_escalation)^3*(1+bhxh_rate)</f>
        <v>776.23920000000032</v>
      </c>
      <c r="AJ18" s="10">
        <f>AJ8*salary_data*3*(1+salary_escalation)^3*(1+bhxh_rate)</f>
        <v>776.23920000000032</v>
      </c>
      <c r="AK18" s="10">
        <f>AK8*salary_data*3*(1+salary_escalation)^4*(1+bhxh_rate)</f>
        <v>1067.3289000000004</v>
      </c>
      <c r="AL18" s="10">
        <f>AL8*salary_data*3*(1+salary_escalation)^4*(1+bhxh_rate)</f>
        <v>1067.3289000000004</v>
      </c>
      <c r="AM18" s="10">
        <f>AM8*salary_data*3*(1+salary_escalation)^4*(1+bhxh_rate)</f>
        <v>1067.3289000000004</v>
      </c>
      <c r="AN18" s="10">
        <f>AN8*salary_data*3*(1+salary_escalation)^4*(1+bhxh_rate)</f>
        <v>1067.3289000000004</v>
      </c>
      <c r="AO18" s="10">
        <f>AO8*salary_data*3*(1+salary_escalation)^5*(1+bhxh_rate)</f>
        <v>1408.8741480000006</v>
      </c>
      <c r="AP18" s="10">
        <f>AP8*salary_data*3*(1+salary_escalation)^5*(1+bhxh_rate)</f>
        <v>1408.8741480000006</v>
      </c>
      <c r="AQ18" s="10">
        <f>AQ8*salary_data*3*(1+salary_escalation)^5*(1+bhxh_rate)</f>
        <v>1408.8741480000006</v>
      </c>
      <c r="AR18" s="10">
        <f>AR8*salary_data*3*(1+salary_escalation)^5*(1+bhxh_rate)</f>
        <v>1408.8741480000006</v>
      </c>
    </row>
    <row r="19" spans="1:44" x14ac:dyDescent="0.3">
      <c r="A19" s="4" t="s">
        <v>688</v>
      </c>
      <c r="B19" s="13" t="s">
        <v>470</v>
      </c>
      <c r="C19" s="9">
        <f t="shared" ref="C19:AR19" si="14">C15+C16+C17+C18</f>
        <v>668.25</v>
      </c>
      <c r="D19" s="9">
        <f t="shared" si="14"/>
        <v>668.25</v>
      </c>
      <c r="E19" s="9">
        <f t="shared" si="14"/>
        <v>692.55</v>
      </c>
      <c r="F19" s="9">
        <f t="shared" si="14"/>
        <v>692.55</v>
      </c>
      <c r="G19" s="9">
        <f t="shared" si="14"/>
        <v>692.55</v>
      </c>
      <c r="H19" s="9">
        <f t="shared" si="14"/>
        <v>692.55</v>
      </c>
      <c r="I19" s="9">
        <f t="shared" si="14"/>
        <v>868.72500000000025</v>
      </c>
      <c r="J19" s="9">
        <f t="shared" si="14"/>
        <v>895.45500000000015</v>
      </c>
      <c r="K19" s="9">
        <f t="shared" si="14"/>
        <v>895.45500000000015</v>
      </c>
      <c r="L19" s="9">
        <f t="shared" si="14"/>
        <v>895.45500000000015</v>
      </c>
      <c r="M19" s="9">
        <f t="shared" si="14"/>
        <v>895.45500000000015</v>
      </c>
      <c r="N19" s="9">
        <f t="shared" si="14"/>
        <v>922.18500000000029</v>
      </c>
      <c r="O19" s="9">
        <f t="shared" si="14"/>
        <v>922.18500000000029</v>
      </c>
      <c r="P19" s="9">
        <f t="shared" si="14"/>
        <v>922.18500000000029</v>
      </c>
      <c r="Q19" s="9">
        <f t="shared" si="14"/>
        <v>922.18500000000029</v>
      </c>
      <c r="R19" s="9">
        <f t="shared" si="14"/>
        <v>948.91500000000019</v>
      </c>
      <c r="S19" s="9">
        <f t="shared" si="14"/>
        <v>948.91500000000019</v>
      </c>
      <c r="T19" s="9">
        <f t="shared" si="14"/>
        <v>948.91500000000019</v>
      </c>
      <c r="U19" s="9">
        <f t="shared" si="14"/>
        <v>1301.0827500000005</v>
      </c>
      <c r="V19" s="9">
        <f t="shared" si="14"/>
        <v>1301.0827500000005</v>
      </c>
      <c r="W19" s="9">
        <f t="shared" si="14"/>
        <v>1330.4857500000003</v>
      </c>
      <c r="X19" s="9">
        <f t="shared" si="14"/>
        <v>1330.4857500000003</v>
      </c>
      <c r="Y19" s="9">
        <f t="shared" si="14"/>
        <v>1330.4857500000003</v>
      </c>
      <c r="Z19" s="9">
        <f t="shared" si="14"/>
        <v>1359.8887500000005</v>
      </c>
      <c r="AA19" s="9">
        <f t="shared" si="14"/>
        <v>1359.8887500000005</v>
      </c>
      <c r="AB19" s="9">
        <f t="shared" si="14"/>
        <v>1389.2917500000003</v>
      </c>
      <c r="AC19" s="9">
        <f t="shared" si="14"/>
        <v>1389.2917500000003</v>
      </c>
      <c r="AD19" s="9">
        <f t="shared" si="14"/>
        <v>1389.2917500000003</v>
      </c>
      <c r="AE19" s="9">
        <f t="shared" si="14"/>
        <v>1418.6947500000003</v>
      </c>
      <c r="AF19" s="9">
        <f t="shared" si="14"/>
        <v>1418.6947500000003</v>
      </c>
      <c r="AG19" s="9">
        <f t="shared" si="14"/>
        <v>5312.3870250000018</v>
      </c>
      <c r="AH19" s="9">
        <f t="shared" si="14"/>
        <v>5409.4169250000014</v>
      </c>
      <c r="AI19" s="9">
        <f t="shared" si="14"/>
        <v>5506.4468250000018</v>
      </c>
      <c r="AJ19" s="9">
        <f t="shared" si="14"/>
        <v>5603.4767250000023</v>
      </c>
      <c r="AK19" s="9">
        <f t="shared" si="14"/>
        <v>7097.7371850000018</v>
      </c>
      <c r="AL19" s="9">
        <f t="shared" si="14"/>
        <v>7204.4700750000029</v>
      </c>
      <c r="AM19" s="9">
        <f t="shared" si="14"/>
        <v>7311.2029650000022</v>
      </c>
      <c r="AN19" s="9">
        <f t="shared" si="14"/>
        <v>7417.9358550000024</v>
      </c>
      <c r="AO19" s="9">
        <f t="shared" si="14"/>
        <v>8922.8696040000032</v>
      </c>
      <c r="AP19" s="9">
        <f t="shared" si="14"/>
        <v>8922.8696040000032</v>
      </c>
      <c r="AQ19" s="9">
        <f t="shared" si="14"/>
        <v>9040.2757830000028</v>
      </c>
      <c r="AR19" s="9">
        <f t="shared" si="14"/>
        <v>9040.2757830000028</v>
      </c>
    </row>
    <row r="20" spans="1:44" x14ac:dyDescent="0.3">
      <c r="A20" s="4" t="s">
        <v>689</v>
      </c>
      <c r="B20" s="12" t="s">
        <v>470</v>
      </c>
      <c r="C20" s="10">
        <f t="shared" ref="C20:AR20" si="15">C12*30*12*recruit_cost_pct</f>
        <v>1152</v>
      </c>
      <c r="D20" s="10">
        <f t="shared" si="15"/>
        <v>0</v>
      </c>
      <c r="E20" s="10">
        <f t="shared" si="15"/>
        <v>72</v>
      </c>
      <c r="F20" s="10">
        <f t="shared" si="15"/>
        <v>0</v>
      </c>
      <c r="G20" s="10">
        <f t="shared" si="15"/>
        <v>0</v>
      </c>
      <c r="H20" s="10">
        <f t="shared" si="15"/>
        <v>0</v>
      </c>
      <c r="I20" s="10">
        <f t="shared" si="15"/>
        <v>144</v>
      </c>
      <c r="J20" s="10">
        <f t="shared" si="15"/>
        <v>72</v>
      </c>
      <c r="K20" s="10">
        <f t="shared" si="15"/>
        <v>0</v>
      </c>
      <c r="L20" s="10">
        <f t="shared" si="15"/>
        <v>0</v>
      </c>
      <c r="M20" s="10">
        <f t="shared" si="15"/>
        <v>0</v>
      </c>
      <c r="N20" s="10">
        <f t="shared" si="15"/>
        <v>72</v>
      </c>
      <c r="O20" s="10">
        <f t="shared" si="15"/>
        <v>0</v>
      </c>
      <c r="P20" s="10">
        <f t="shared" si="15"/>
        <v>0</v>
      </c>
      <c r="Q20" s="10">
        <f t="shared" si="15"/>
        <v>0</v>
      </c>
      <c r="R20" s="10">
        <f t="shared" si="15"/>
        <v>72</v>
      </c>
      <c r="S20" s="10">
        <f t="shared" si="15"/>
        <v>0</v>
      </c>
      <c r="T20" s="10">
        <f t="shared" si="15"/>
        <v>0</v>
      </c>
      <c r="U20" s="10">
        <f t="shared" si="15"/>
        <v>360</v>
      </c>
      <c r="V20" s="10">
        <f t="shared" si="15"/>
        <v>0</v>
      </c>
      <c r="W20" s="10">
        <f t="shared" si="15"/>
        <v>72</v>
      </c>
      <c r="X20" s="10">
        <f t="shared" si="15"/>
        <v>0</v>
      </c>
      <c r="Y20" s="10">
        <f t="shared" si="15"/>
        <v>0</v>
      </c>
      <c r="Z20" s="10">
        <f t="shared" si="15"/>
        <v>72</v>
      </c>
      <c r="AA20" s="10">
        <f t="shared" si="15"/>
        <v>0</v>
      </c>
      <c r="AB20" s="10">
        <f t="shared" si="15"/>
        <v>72</v>
      </c>
      <c r="AC20" s="10">
        <f t="shared" si="15"/>
        <v>0</v>
      </c>
      <c r="AD20" s="10">
        <f t="shared" si="15"/>
        <v>0</v>
      </c>
      <c r="AE20" s="10">
        <f t="shared" si="15"/>
        <v>72</v>
      </c>
      <c r="AF20" s="10">
        <f t="shared" si="15"/>
        <v>0</v>
      </c>
      <c r="AG20" s="10">
        <f t="shared" si="15"/>
        <v>288</v>
      </c>
      <c r="AH20" s="10">
        <f t="shared" si="15"/>
        <v>72</v>
      </c>
      <c r="AI20" s="10">
        <f t="shared" si="15"/>
        <v>72</v>
      </c>
      <c r="AJ20" s="10">
        <f t="shared" si="15"/>
        <v>72</v>
      </c>
      <c r="AK20" s="10">
        <f t="shared" si="15"/>
        <v>360</v>
      </c>
      <c r="AL20" s="10">
        <f t="shared" si="15"/>
        <v>72</v>
      </c>
      <c r="AM20" s="10">
        <f t="shared" si="15"/>
        <v>72</v>
      </c>
      <c r="AN20" s="10">
        <f t="shared" si="15"/>
        <v>72</v>
      </c>
      <c r="AO20" s="10">
        <f t="shared" si="15"/>
        <v>288</v>
      </c>
      <c r="AP20" s="10">
        <f t="shared" si="15"/>
        <v>0</v>
      </c>
      <c r="AQ20" s="10">
        <f t="shared" si="15"/>
        <v>72</v>
      </c>
      <c r="AR20" s="10">
        <f t="shared" si="15"/>
        <v>0</v>
      </c>
    </row>
    <row r="21" spans="1:44" x14ac:dyDescent="0.3">
      <c r="A21" s="4" t="s">
        <v>690</v>
      </c>
      <c r="B21" s="13" t="s">
        <v>470</v>
      </c>
      <c r="C21" s="9">
        <f t="shared" ref="C21:AR21" si="16">C19+C20</f>
        <v>1820.25</v>
      </c>
      <c r="D21" s="9">
        <f t="shared" si="16"/>
        <v>668.25</v>
      </c>
      <c r="E21" s="9">
        <f t="shared" si="16"/>
        <v>764.55</v>
      </c>
      <c r="F21" s="9">
        <f t="shared" si="16"/>
        <v>692.55</v>
      </c>
      <c r="G21" s="9">
        <f t="shared" si="16"/>
        <v>692.55</v>
      </c>
      <c r="H21" s="9">
        <f t="shared" si="16"/>
        <v>692.55</v>
      </c>
      <c r="I21" s="9">
        <f t="shared" si="16"/>
        <v>1012.7250000000003</v>
      </c>
      <c r="J21" s="9">
        <f t="shared" si="16"/>
        <v>967.45500000000015</v>
      </c>
      <c r="K21" s="9">
        <f t="shared" si="16"/>
        <v>895.45500000000015</v>
      </c>
      <c r="L21" s="9">
        <f t="shared" si="16"/>
        <v>895.45500000000015</v>
      </c>
      <c r="M21" s="9">
        <f t="shared" si="16"/>
        <v>895.45500000000015</v>
      </c>
      <c r="N21" s="9">
        <f t="shared" si="16"/>
        <v>994.18500000000029</v>
      </c>
      <c r="O21" s="9">
        <f t="shared" si="16"/>
        <v>922.18500000000029</v>
      </c>
      <c r="P21" s="9">
        <f t="shared" si="16"/>
        <v>922.18500000000029</v>
      </c>
      <c r="Q21" s="9">
        <f t="shared" si="16"/>
        <v>922.18500000000029</v>
      </c>
      <c r="R21" s="9">
        <f t="shared" si="16"/>
        <v>1020.9150000000002</v>
      </c>
      <c r="S21" s="9">
        <f t="shared" si="16"/>
        <v>948.91500000000019</v>
      </c>
      <c r="T21" s="9">
        <f t="shared" si="16"/>
        <v>948.91500000000019</v>
      </c>
      <c r="U21" s="9">
        <f t="shared" si="16"/>
        <v>1661.0827500000005</v>
      </c>
      <c r="V21" s="9">
        <f t="shared" si="16"/>
        <v>1301.0827500000005</v>
      </c>
      <c r="W21" s="9">
        <f t="shared" si="16"/>
        <v>1402.4857500000003</v>
      </c>
      <c r="X21" s="9">
        <f t="shared" si="16"/>
        <v>1330.4857500000003</v>
      </c>
      <c r="Y21" s="9">
        <f t="shared" si="16"/>
        <v>1330.4857500000003</v>
      </c>
      <c r="Z21" s="9">
        <f t="shared" si="16"/>
        <v>1431.8887500000005</v>
      </c>
      <c r="AA21" s="9">
        <f t="shared" si="16"/>
        <v>1359.8887500000005</v>
      </c>
      <c r="AB21" s="9">
        <f t="shared" si="16"/>
        <v>1461.2917500000003</v>
      </c>
      <c r="AC21" s="9">
        <f t="shared" si="16"/>
        <v>1389.2917500000003</v>
      </c>
      <c r="AD21" s="9">
        <f t="shared" si="16"/>
        <v>1389.2917500000003</v>
      </c>
      <c r="AE21" s="9">
        <f t="shared" si="16"/>
        <v>1490.6947500000003</v>
      </c>
      <c r="AF21" s="9">
        <f t="shared" si="16"/>
        <v>1418.6947500000003</v>
      </c>
      <c r="AG21" s="9">
        <f t="shared" si="16"/>
        <v>5600.3870250000018</v>
      </c>
      <c r="AH21" s="9">
        <f t="shared" si="16"/>
        <v>5481.4169250000014</v>
      </c>
      <c r="AI21" s="9">
        <f t="shared" si="16"/>
        <v>5578.4468250000018</v>
      </c>
      <c r="AJ21" s="9">
        <f t="shared" si="16"/>
        <v>5675.4767250000023</v>
      </c>
      <c r="AK21" s="9">
        <f t="shared" si="16"/>
        <v>7457.7371850000018</v>
      </c>
      <c r="AL21" s="9">
        <f t="shared" si="16"/>
        <v>7276.4700750000029</v>
      </c>
      <c r="AM21" s="9">
        <f t="shared" si="16"/>
        <v>7383.2029650000022</v>
      </c>
      <c r="AN21" s="9">
        <f t="shared" si="16"/>
        <v>7489.9358550000024</v>
      </c>
      <c r="AO21" s="9">
        <f t="shared" si="16"/>
        <v>9210.8696040000032</v>
      </c>
      <c r="AP21" s="9">
        <f t="shared" si="16"/>
        <v>8922.8696040000032</v>
      </c>
      <c r="AQ21" s="9">
        <f t="shared" si="16"/>
        <v>9112.2757830000028</v>
      </c>
      <c r="AR21" s="9">
        <f t="shared" si="16"/>
        <v>9040.2757830000028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R17"/>
  <sheetViews>
    <sheetView workbookViewId="0"/>
  </sheetViews>
  <sheetFormatPr defaultRowHeight="14.4" x14ac:dyDescent="0.3"/>
  <cols>
    <col min="1" max="1" width="35" style="52" customWidth="1"/>
    <col min="2" max="2" width="10" style="52" customWidth="1"/>
    <col min="3" max="44" width="11" style="52" customWidth="1"/>
  </cols>
  <sheetData>
    <row r="1" spans="1:44" x14ac:dyDescent="0.3">
      <c r="A1" s="25" t="s">
        <v>691</v>
      </c>
    </row>
    <row r="3" spans="1:44" x14ac:dyDescent="0.3">
      <c r="A3" s="4" t="s">
        <v>692</v>
      </c>
      <c r="B3" s="12" t="s">
        <v>693</v>
      </c>
      <c r="C3" s="10">
        <v>0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</row>
    <row r="4" spans="1:44" x14ac:dyDescent="0.3">
      <c r="A4" s="4" t="s">
        <v>694</v>
      </c>
      <c r="B4" s="12" t="s">
        <v>695</v>
      </c>
      <c r="C4" s="14">
        <f t="shared" ref="C4:AF4" si="0">base_year+(start_month-1+C3)/12</f>
        <v>2025.5</v>
      </c>
      <c r="D4" s="14">
        <f t="shared" si="0"/>
        <v>2025.5833333333333</v>
      </c>
      <c r="E4" s="14">
        <f t="shared" si="0"/>
        <v>2025.6666666666667</v>
      </c>
      <c r="F4" s="14">
        <f t="shared" si="0"/>
        <v>2025.75</v>
      </c>
      <c r="G4" s="14">
        <f t="shared" si="0"/>
        <v>2025.8333333333333</v>
      </c>
      <c r="H4" s="14">
        <f t="shared" si="0"/>
        <v>2025.9166666666667</v>
      </c>
      <c r="I4" s="14">
        <f t="shared" si="0"/>
        <v>2026</v>
      </c>
      <c r="J4" s="14">
        <f t="shared" si="0"/>
        <v>2026.0833333333333</v>
      </c>
      <c r="K4" s="14">
        <f t="shared" si="0"/>
        <v>2026.1666666666667</v>
      </c>
      <c r="L4" s="14">
        <f t="shared" si="0"/>
        <v>2026.25</v>
      </c>
      <c r="M4" s="14">
        <f t="shared" si="0"/>
        <v>2026.3333333333333</v>
      </c>
      <c r="N4" s="14">
        <f t="shared" si="0"/>
        <v>2026.4166666666667</v>
      </c>
      <c r="O4" s="14">
        <f t="shared" si="0"/>
        <v>2026.5</v>
      </c>
      <c r="P4" s="14">
        <f t="shared" si="0"/>
        <v>2026.5833333333333</v>
      </c>
      <c r="Q4" s="14">
        <f t="shared" si="0"/>
        <v>2026.6666666666667</v>
      </c>
      <c r="R4" s="14">
        <f t="shared" si="0"/>
        <v>2026.75</v>
      </c>
      <c r="S4" s="14">
        <f t="shared" si="0"/>
        <v>2026.8333333333333</v>
      </c>
      <c r="T4" s="14">
        <f t="shared" si="0"/>
        <v>2026.9166666666667</v>
      </c>
      <c r="U4" s="14">
        <f t="shared" si="0"/>
        <v>2027</v>
      </c>
      <c r="V4" s="14">
        <f t="shared" si="0"/>
        <v>2027.0833333333333</v>
      </c>
      <c r="W4" s="14">
        <f t="shared" si="0"/>
        <v>2027.1666666666667</v>
      </c>
      <c r="X4" s="14">
        <f t="shared" si="0"/>
        <v>2027.25</v>
      </c>
      <c r="Y4" s="14">
        <f t="shared" si="0"/>
        <v>2027.3333333333333</v>
      </c>
      <c r="Z4" s="14">
        <f t="shared" si="0"/>
        <v>2027.4166666666667</v>
      </c>
      <c r="AA4" s="14">
        <f t="shared" si="0"/>
        <v>2027.5</v>
      </c>
      <c r="AB4" s="14">
        <f t="shared" si="0"/>
        <v>2027.5833333333333</v>
      </c>
      <c r="AC4" s="14">
        <f t="shared" si="0"/>
        <v>2027.6666666666667</v>
      </c>
      <c r="AD4" s="14">
        <f t="shared" si="0"/>
        <v>2027.75</v>
      </c>
      <c r="AE4" s="14">
        <f t="shared" si="0"/>
        <v>2027.8333333333333</v>
      </c>
      <c r="AF4" s="14">
        <f t="shared" si="0"/>
        <v>2027.9166666666667</v>
      </c>
      <c r="AG4" s="14">
        <f>2028+(1-0.5)/12</f>
        <v>2028.0416666666667</v>
      </c>
      <c r="AH4" s="14">
        <f>2028+(4-0.5)/12</f>
        <v>2028.2916666666667</v>
      </c>
      <c r="AI4" s="14">
        <f>2028+(7-0.5)/12</f>
        <v>2028.5416666666667</v>
      </c>
      <c r="AJ4" s="14">
        <f>2028+(10-0.5)/12</f>
        <v>2028.7916666666667</v>
      </c>
      <c r="AK4" s="14">
        <f>2028+(13-0.5)/12</f>
        <v>2029.0416666666667</v>
      </c>
      <c r="AL4" s="14">
        <f>2028+(16-0.5)/12</f>
        <v>2029.2916666666667</v>
      </c>
      <c r="AM4" s="14">
        <f>2028+(19-0.5)/12</f>
        <v>2029.5416666666667</v>
      </c>
      <c r="AN4" s="14">
        <f>2028+(22-0.5)/12</f>
        <v>2029.7916666666667</v>
      </c>
      <c r="AO4" s="14">
        <f>2028+(25-0.5)/12</f>
        <v>2030.0416666666667</v>
      </c>
      <c r="AP4" s="14">
        <f>2028+(28-0.5)/12</f>
        <v>2030.2916666666667</v>
      </c>
      <c r="AQ4" s="14">
        <f>2028+(31-0.5)/12</f>
        <v>2030.5416666666667</v>
      </c>
      <c r="AR4" s="14">
        <f>2028+(34-0.5)/12</f>
        <v>2030.7916666666667</v>
      </c>
    </row>
    <row r="5" spans="1:44" x14ac:dyDescent="0.3">
      <c r="A5" s="4" t="s">
        <v>696</v>
      </c>
      <c r="B5" s="12" t="s">
        <v>697</v>
      </c>
      <c r="C5" s="10">
        <f t="shared" ref="C5:AR5" si="1">FLOOR(C4-base_year,1)</f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1</v>
      </c>
      <c r="J5" s="10">
        <f t="shared" si="1"/>
        <v>1</v>
      </c>
      <c r="K5" s="10">
        <f t="shared" si="1"/>
        <v>1</v>
      </c>
      <c r="L5" s="10">
        <f t="shared" si="1"/>
        <v>1</v>
      </c>
      <c r="M5" s="10">
        <f t="shared" si="1"/>
        <v>1</v>
      </c>
      <c r="N5" s="10">
        <f t="shared" si="1"/>
        <v>1</v>
      </c>
      <c r="O5" s="10">
        <f t="shared" si="1"/>
        <v>1</v>
      </c>
      <c r="P5" s="10">
        <f t="shared" si="1"/>
        <v>1</v>
      </c>
      <c r="Q5" s="10">
        <f t="shared" si="1"/>
        <v>1</v>
      </c>
      <c r="R5" s="10">
        <f t="shared" si="1"/>
        <v>1</v>
      </c>
      <c r="S5" s="10">
        <f t="shared" si="1"/>
        <v>1</v>
      </c>
      <c r="T5" s="10">
        <f t="shared" si="1"/>
        <v>1</v>
      </c>
      <c r="U5" s="10">
        <f t="shared" si="1"/>
        <v>2</v>
      </c>
      <c r="V5" s="10">
        <f t="shared" si="1"/>
        <v>2</v>
      </c>
      <c r="W5" s="10">
        <f t="shared" si="1"/>
        <v>2</v>
      </c>
      <c r="X5" s="10">
        <f t="shared" si="1"/>
        <v>2</v>
      </c>
      <c r="Y5" s="10">
        <f t="shared" si="1"/>
        <v>2</v>
      </c>
      <c r="Z5" s="10">
        <f t="shared" si="1"/>
        <v>2</v>
      </c>
      <c r="AA5" s="10">
        <f t="shared" si="1"/>
        <v>2</v>
      </c>
      <c r="AB5" s="10">
        <f t="shared" si="1"/>
        <v>2</v>
      </c>
      <c r="AC5" s="10">
        <f t="shared" si="1"/>
        <v>2</v>
      </c>
      <c r="AD5" s="10">
        <f t="shared" si="1"/>
        <v>2</v>
      </c>
      <c r="AE5" s="10">
        <f t="shared" si="1"/>
        <v>2</v>
      </c>
      <c r="AF5" s="10">
        <f t="shared" si="1"/>
        <v>2</v>
      </c>
      <c r="AG5" s="10">
        <f t="shared" si="1"/>
        <v>3</v>
      </c>
      <c r="AH5" s="10">
        <f t="shared" si="1"/>
        <v>3</v>
      </c>
      <c r="AI5" s="10">
        <f t="shared" si="1"/>
        <v>3</v>
      </c>
      <c r="AJ5" s="10">
        <f t="shared" si="1"/>
        <v>3</v>
      </c>
      <c r="AK5" s="10">
        <f t="shared" si="1"/>
        <v>4</v>
      </c>
      <c r="AL5" s="10">
        <f t="shared" si="1"/>
        <v>4</v>
      </c>
      <c r="AM5" s="10">
        <f t="shared" si="1"/>
        <v>4</v>
      </c>
      <c r="AN5" s="10">
        <f t="shared" si="1"/>
        <v>4</v>
      </c>
      <c r="AO5" s="10">
        <f t="shared" si="1"/>
        <v>5</v>
      </c>
      <c r="AP5" s="10">
        <f t="shared" si="1"/>
        <v>5</v>
      </c>
      <c r="AQ5" s="10">
        <f t="shared" si="1"/>
        <v>5</v>
      </c>
      <c r="AR5" s="10">
        <f t="shared" si="1"/>
        <v>5</v>
      </c>
    </row>
    <row r="6" spans="1:44" x14ac:dyDescent="0.3">
      <c r="A6" s="4" t="s">
        <v>698</v>
      </c>
      <c r="B6" s="12" t="s">
        <v>699</v>
      </c>
      <c r="C6" s="10">
        <v>12</v>
      </c>
      <c r="D6" s="10">
        <v>12</v>
      </c>
      <c r="E6" s="10">
        <v>12</v>
      </c>
      <c r="F6" s="10">
        <v>12</v>
      </c>
      <c r="G6" s="10">
        <v>12</v>
      </c>
      <c r="H6" s="10">
        <v>12</v>
      </c>
      <c r="I6" s="10">
        <v>12</v>
      </c>
      <c r="J6" s="10">
        <v>12</v>
      </c>
      <c r="K6" s="10">
        <v>12</v>
      </c>
      <c r="L6" s="10">
        <v>12</v>
      </c>
      <c r="M6" s="10">
        <v>12</v>
      </c>
      <c r="N6" s="10">
        <v>12</v>
      </c>
      <c r="O6" s="10">
        <v>12</v>
      </c>
      <c r="P6" s="10">
        <v>12</v>
      </c>
      <c r="Q6" s="10">
        <v>12</v>
      </c>
      <c r="R6" s="10">
        <v>12</v>
      </c>
      <c r="S6" s="10">
        <v>12</v>
      </c>
      <c r="T6" s="10">
        <v>12</v>
      </c>
      <c r="U6" s="10">
        <v>12</v>
      </c>
      <c r="V6" s="10">
        <v>12</v>
      </c>
      <c r="W6" s="10">
        <v>12</v>
      </c>
      <c r="X6" s="10">
        <v>12</v>
      </c>
      <c r="Y6" s="10">
        <v>12</v>
      </c>
      <c r="Z6" s="10">
        <v>12</v>
      </c>
      <c r="AA6" s="10">
        <v>12</v>
      </c>
      <c r="AB6" s="10">
        <v>12</v>
      </c>
      <c r="AC6" s="10">
        <v>12</v>
      </c>
      <c r="AD6" s="10">
        <v>12</v>
      </c>
      <c r="AE6" s="10">
        <v>12</v>
      </c>
      <c r="AF6" s="10">
        <v>12</v>
      </c>
      <c r="AG6" s="10">
        <v>4</v>
      </c>
      <c r="AH6" s="10">
        <v>4</v>
      </c>
      <c r="AI6" s="10">
        <v>4</v>
      </c>
      <c r="AJ6" s="10">
        <v>4</v>
      </c>
      <c r="AK6" s="10">
        <v>4</v>
      </c>
      <c r="AL6" s="10">
        <v>4</v>
      </c>
      <c r="AM6" s="10">
        <v>4</v>
      </c>
      <c r="AN6" s="10">
        <v>4</v>
      </c>
      <c r="AO6" s="10">
        <v>4</v>
      </c>
      <c r="AP6" s="10">
        <v>4</v>
      </c>
      <c r="AQ6" s="10">
        <v>4</v>
      </c>
      <c r="AR6" s="10">
        <v>4</v>
      </c>
    </row>
    <row r="7" spans="1:44" x14ac:dyDescent="0.3">
      <c r="A7" s="4" t="s">
        <v>700</v>
      </c>
      <c r="B7" s="12" t="s">
        <v>701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3</v>
      </c>
      <c r="AH7" s="10">
        <v>3</v>
      </c>
      <c r="AI7" s="10">
        <v>3</v>
      </c>
      <c r="AJ7" s="10">
        <v>3</v>
      </c>
      <c r="AK7" s="10">
        <v>3</v>
      </c>
      <c r="AL7" s="10">
        <v>3</v>
      </c>
      <c r="AM7" s="10">
        <v>3</v>
      </c>
      <c r="AN7" s="10">
        <v>3</v>
      </c>
      <c r="AO7" s="10">
        <v>3</v>
      </c>
      <c r="AP7" s="10">
        <v>3</v>
      </c>
      <c r="AQ7" s="10">
        <v>3</v>
      </c>
      <c r="AR7" s="10">
        <v>3</v>
      </c>
    </row>
    <row r="9" spans="1:44" x14ac:dyDescent="0.3">
      <c r="A9" s="3" t="s">
        <v>702</v>
      </c>
      <c r="B9" s="3" t="s">
        <v>441</v>
      </c>
      <c r="C9" s="3" t="s">
        <v>633</v>
      </c>
      <c r="D9" s="3" t="s">
        <v>634</v>
      </c>
      <c r="E9" s="3" t="s">
        <v>635</v>
      </c>
      <c r="F9" s="3" t="s">
        <v>636</v>
      </c>
      <c r="G9" s="3" t="s">
        <v>637</v>
      </c>
      <c r="H9" s="3" t="s">
        <v>638</v>
      </c>
      <c r="I9" s="3" t="s">
        <v>639</v>
      </c>
      <c r="J9" s="3" t="s">
        <v>640</v>
      </c>
      <c r="K9" s="3" t="s">
        <v>641</v>
      </c>
      <c r="L9" s="3" t="s">
        <v>642</v>
      </c>
      <c r="M9" s="3" t="s">
        <v>643</v>
      </c>
      <c r="N9" s="3" t="s">
        <v>644</v>
      </c>
      <c r="O9" s="3" t="s">
        <v>645</v>
      </c>
      <c r="P9" s="3" t="s">
        <v>646</v>
      </c>
      <c r="Q9" s="3" t="s">
        <v>647</v>
      </c>
      <c r="R9" s="3" t="s">
        <v>648</v>
      </c>
      <c r="S9" s="3" t="s">
        <v>649</v>
      </c>
      <c r="T9" s="3" t="s">
        <v>650</v>
      </c>
      <c r="U9" s="3" t="s">
        <v>651</v>
      </c>
      <c r="V9" s="3" t="s">
        <v>652</v>
      </c>
      <c r="W9" s="3" t="s">
        <v>653</v>
      </c>
      <c r="X9" s="3" t="s">
        <v>654</v>
      </c>
      <c r="Y9" s="3" t="s">
        <v>655</v>
      </c>
      <c r="Z9" s="3" t="s">
        <v>656</v>
      </c>
      <c r="AA9" s="3" t="s">
        <v>657</v>
      </c>
      <c r="AB9" s="3" t="s">
        <v>658</v>
      </c>
      <c r="AC9" s="3" t="s">
        <v>659</v>
      </c>
      <c r="AD9" s="3" t="s">
        <v>660</v>
      </c>
      <c r="AE9" s="3" t="s">
        <v>661</v>
      </c>
      <c r="AF9" s="3" t="s">
        <v>662</v>
      </c>
      <c r="AG9" s="3" t="s">
        <v>663</v>
      </c>
      <c r="AH9" s="3" t="s">
        <v>664</v>
      </c>
      <c r="AI9" s="3" t="s">
        <v>665</v>
      </c>
      <c r="AJ9" s="3" t="s">
        <v>666</v>
      </c>
      <c r="AK9" s="3" t="s">
        <v>667</v>
      </c>
      <c r="AL9" s="3" t="s">
        <v>668</v>
      </c>
      <c r="AM9" s="3" t="s">
        <v>669</v>
      </c>
      <c r="AN9" s="3" t="s">
        <v>670</v>
      </c>
      <c r="AO9" s="3" t="s">
        <v>671</v>
      </c>
      <c r="AP9" s="3" t="s">
        <v>672</v>
      </c>
      <c r="AQ9" s="3" t="s">
        <v>673</v>
      </c>
      <c r="AR9" s="3" t="s">
        <v>674</v>
      </c>
    </row>
    <row r="10" spans="1:44" x14ac:dyDescent="0.3">
      <c r="A10" s="4" t="s">
        <v>703</v>
      </c>
      <c r="B10" s="12" t="s">
        <v>455</v>
      </c>
      <c r="C10" s="15">
        <f t="shared" ref="C10:AR10" si="2">ecom_market_base*(1+ecom_growth_rate)^C5/C6</f>
        <v>6875</v>
      </c>
      <c r="D10" s="15">
        <f t="shared" si="2"/>
        <v>6875</v>
      </c>
      <c r="E10" s="15">
        <f t="shared" si="2"/>
        <v>6875</v>
      </c>
      <c r="F10" s="15">
        <f t="shared" si="2"/>
        <v>6875</v>
      </c>
      <c r="G10" s="15">
        <f t="shared" si="2"/>
        <v>6875</v>
      </c>
      <c r="H10" s="15">
        <f t="shared" si="2"/>
        <v>6875</v>
      </c>
      <c r="I10" s="15">
        <f t="shared" si="2"/>
        <v>7425</v>
      </c>
      <c r="J10" s="15">
        <f t="shared" si="2"/>
        <v>7425</v>
      </c>
      <c r="K10" s="15">
        <f t="shared" si="2"/>
        <v>7425</v>
      </c>
      <c r="L10" s="15">
        <f t="shared" si="2"/>
        <v>7425</v>
      </c>
      <c r="M10" s="15">
        <f t="shared" si="2"/>
        <v>7425</v>
      </c>
      <c r="N10" s="15">
        <f t="shared" si="2"/>
        <v>7425</v>
      </c>
      <c r="O10" s="15">
        <f t="shared" si="2"/>
        <v>7425</v>
      </c>
      <c r="P10" s="15">
        <f t="shared" si="2"/>
        <v>7425</v>
      </c>
      <c r="Q10" s="15">
        <f t="shared" si="2"/>
        <v>7425</v>
      </c>
      <c r="R10" s="15">
        <f t="shared" si="2"/>
        <v>7425</v>
      </c>
      <c r="S10" s="15">
        <f t="shared" si="2"/>
        <v>7425</v>
      </c>
      <c r="T10" s="15">
        <f t="shared" si="2"/>
        <v>7425</v>
      </c>
      <c r="U10" s="15">
        <f t="shared" si="2"/>
        <v>8019.0000000000009</v>
      </c>
      <c r="V10" s="15">
        <f t="shared" si="2"/>
        <v>8019.0000000000009</v>
      </c>
      <c r="W10" s="15">
        <f t="shared" si="2"/>
        <v>8019.0000000000009</v>
      </c>
      <c r="X10" s="15">
        <f t="shared" si="2"/>
        <v>8019.0000000000009</v>
      </c>
      <c r="Y10" s="15">
        <f t="shared" si="2"/>
        <v>8019.0000000000009</v>
      </c>
      <c r="Z10" s="15">
        <f t="shared" si="2"/>
        <v>8019.0000000000009</v>
      </c>
      <c r="AA10" s="15">
        <f t="shared" si="2"/>
        <v>8019.0000000000009</v>
      </c>
      <c r="AB10" s="15">
        <f t="shared" si="2"/>
        <v>8019.0000000000009</v>
      </c>
      <c r="AC10" s="15">
        <f t="shared" si="2"/>
        <v>8019.0000000000009</v>
      </c>
      <c r="AD10" s="15">
        <f t="shared" si="2"/>
        <v>8019.0000000000009</v>
      </c>
      <c r="AE10" s="15">
        <f t="shared" si="2"/>
        <v>8019.0000000000009</v>
      </c>
      <c r="AF10" s="15">
        <f t="shared" si="2"/>
        <v>8019.0000000000009</v>
      </c>
      <c r="AG10" s="15">
        <f t="shared" si="2"/>
        <v>25981.560000000005</v>
      </c>
      <c r="AH10" s="15">
        <f t="shared" si="2"/>
        <v>25981.560000000005</v>
      </c>
      <c r="AI10" s="15">
        <f t="shared" si="2"/>
        <v>25981.560000000005</v>
      </c>
      <c r="AJ10" s="15">
        <f t="shared" si="2"/>
        <v>25981.560000000005</v>
      </c>
      <c r="AK10" s="15">
        <f t="shared" si="2"/>
        <v>28060.084800000008</v>
      </c>
      <c r="AL10" s="15">
        <f t="shared" si="2"/>
        <v>28060.084800000008</v>
      </c>
      <c r="AM10" s="15">
        <f t="shared" si="2"/>
        <v>28060.084800000008</v>
      </c>
      <c r="AN10" s="15">
        <f t="shared" si="2"/>
        <v>28060.084800000008</v>
      </c>
      <c r="AO10" s="15">
        <f t="shared" si="2"/>
        <v>30304.891584000008</v>
      </c>
      <c r="AP10" s="15">
        <f t="shared" si="2"/>
        <v>30304.891584000008</v>
      </c>
      <c r="AQ10" s="15">
        <f t="shared" si="2"/>
        <v>30304.891584000008</v>
      </c>
      <c r="AR10" s="15">
        <f t="shared" si="2"/>
        <v>30304.891584000008</v>
      </c>
    </row>
    <row r="12" spans="1:44" x14ac:dyDescent="0.3">
      <c r="A12" s="25" t="s">
        <v>704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x14ac:dyDescent="0.3">
      <c r="A13" s="4" t="s">
        <v>705</v>
      </c>
      <c r="B13" s="12" t="s">
        <v>706</v>
      </c>
      <c r="C13" s="10">
        <f t="shared" ref="C13:AR13" si="3">MAX(pilot_count,adoption_max/(1+EXP(-adoption_steepness*(C4-adoption_midpoint))))</f>
        <v>114.41935787893139</v>
      </c>
      <c r="D13" s="10">
        <f t="shared" si="3"/>
        <v>122.42168302694898</v>
      </c>
      <c r="E13" s="10">
        <f t="shared" si="3"/>
        <v>130.91618543474348</v>
      </c>
      <c r="F13" s="10">
        <f t="shared" si="3"/>
        <v>139.92356299336726</v>
      </c>
      <c r="G13" s="10">
        <f t="shared" si="3"/>
        <v>149.46402982489076</v>
      </c>
      <c r="H13" s="10">
        <f t="shared" si="3"/>
        <v>159.55708823740451</v>
      </c>
      <c r="I13" s="10">
        <f t="shared" si="3"/>
        <v>170.22127788058535</v>
      </c>
      <c r="J13" s="10">
        <f t="shared" si="3"/>
        <v>181.4739030108785</v>
      </c>
      <c r="K13" s="10">
        <f t="shared" si="3"/>
        <v>193.33073949191336</v>
      </c>
      <c r="L13" s="10">
        <f t="shared" si="3"/>
        <v>205.80572397048107</v>
      </c>
      <c r="M13" s="10">
        <f t="shared" si="3"/>
        <v>218.91062856761542</v>
      </c>
      <c r="N13" s="10">
        <f t="shared" si="3"/>
        <v>232.65472538864464</v>
      </c>
      <c r="O13" s="10">
        <f t="shared" si="3"/>
        <v>247.04444616113679</v>
      </c>
      <c r="P13" s="10">
        <f t="shared" si="3"/>
        <v>262.08304331714737</v>
      </c>
      <c r="Q13" s="10">
        <f t="shared" si="3"/>
        <v>277.77025980119333</v>
      </c>
      <c r="R13" s="10">
        <f t="shared" si="3"/>
        <v>294.10201575884605</v>
      </c>
      <c r="S13" s="10">
        <f t="shared" si="3"/>
        <v>311.0701209813995</v>
      </c>
      <c r="T13" s="10">
        <f t="shared" si="3"/>
        <v>328.66202248708129</v>
      </c>
      <c r="U13" s="10">
        <f t="shared" si="3"/>
        <v>346.8605968499952</v>
      </c>
      <c r="V13" s="10">
        <f t="shared" si="3"/>
        <v>365.6439967829042</v>
      </c>
      <c r="W13" s="10">
        <f t="shared" si="3"/>
        <v>384.98556098954623</v>
      </c>
      <c r="X13" s="10">
        <f t="shared" si="3"/>
        <v>404.85379539590093</v>
      </c>
      <c r="Y13" s="10">
        <f t="shared" si="3"/>
        <v>425.21243252902673</v>
      </c>
      <c r="Z13" s="10">
        <f t="shared" si="3"/>
        <v>446.02057404557956</v>
      </c>
      <c r="AA13" s="10">
        <f t="shared" si="3"/>
        <v>467.23291926093361</v>
      </c>
      <c r="AB13" s="10">
        <f t="shared" si="3"/>
        <v>488.8000800550966</v>
      </c>
      <c r="AC13" s="10">
        <f t="shared" si="3"/>
        <v>510.66897982602916</v>
      </c>
      <c r="AD13" s="10">
        <f t="shared" si="3"/>
        <v>532.78333134645607</v>
      </c>
      <c r="AE13" s="10">
        <f t="shared" si="3"/>
        <v>555.08418558748019</v>
      </c>
      <c r="AF13" s="10">
        <f t="shared" si="3"/>
        <v>577.51054094577808</v>
      </c>
      <c r="AG13" s="10">
        <f t="shared" si="3"/>
        <v>611.24868182601335</v>
      </c>
      <c r="AH13" s="10">
        <f t="shared" si="3"/>
        <v>678.30089708053993</v>
      </c>
      <c r="AI13" s="10">
        <f t="shared" si="3"/>
        <v>743.42078357652088</v>
      </c>
      <c r="AJ13" s="10">
        <f t="shared" si="3"/>
        <v>805.1439994869512</v>
      </c>
      <c r="AK13" s="10">
        <f t="shared" si="3"/>
        <v>862.31327108504399</v>
      </c>
      <c r="AL13" s="10">
        <f t="shared" si="3"/>
        <v>914.14401725557593</v>
      </c>
      <c r="AM13" s="10">
        <f t="shared" si="3"/>
        <v>960.23139894189626</v>
      </c>
      <c r="AN13" s="10">
        <f t="shared" si="3"/>
        <v>1000.5098271508404</v>
      </c>
      <c r="AO13" s="10">
        <f t="shared" si="3"/>
        <v>1035.1833221550921</v>
      </c>
      <c r="AP13" s="10">
        <f t="shared" si="3"/>
        <v>1064.6455124605363</v>
      </c>
      <c r="AQ13" s="10">
        <f t="shared" si="3"/>
        <v>1089.4037876854309</v>
      </c>
      <c r="AR13" s="10">
        <f t="shared" si="3"/>
        <v>1110.016180467278</v>
      </c>
    </row>
    <row r="14" spans="1:44" x14ac:dyDescent="0.3">
      <c r="A14" s="4" t="s">
        <v>707</v>
      </c>
      <c r="B14" s="12" t="s">
        <v>706</v>
      </c>
      <c r="C14" s="10">
        <f>0</f>
        <v>0</v>
      </c>
      <c r="D14" s="10">
        <f t="shared" ref="D14:AR14" si="4">ROUND(D13*churn_rate/D6,0)</f>
        <v>2</v>
      </c>
      <c r="E14" s="10">
        <f t="shared" si="4"/>
        <v>2</v>
      </c>
      <c r="F14" s="10">
        <f t="shared" si="4"/>
        <v>2</v>
      </c>
      <c r="G14" s="10">
        <f t="shared" si="4"/>
        <v>2</v>
      </c>
      <c r="H14" s="10">
        <f t="shared" si="4"/>
        <v>3</v>
      </c>
      <c r="I14" s="10">
        <f t="shared" si="4"/>
        <v>3</v>
      </c>
      <c r="J14" s="10">
        <f t="shared" si="4"/>
        <v>3</v>
      </c>
      <c r="K14" s="10">
        <f t="shared" si="4"/>
        <v>3</v>
      </c>
      <c r="L14" s="10">
        <f t="shared" si="4"/>
        <v>3</v>
      </c>
      <c r="M14" s="10">
        <f t="shared" si="4"/>
        <v>4</v>
      </c>
      <c r="N14" s="10">
        <f t="shared" si="4"/>
        <v>4</v>
      </c>
      <c r="O14" s="10">
        <f t="shared" si="4"/>
        <v>4</v>
      </c>
      <c r="P14" s="10">
        <f t="shared" si="4"/>
        <v>4</v>
      </c>
      <c r="Q14" s="10">
        <f t="shared" si="4"/>
        <v>5</v>
      </c>
      <c r="R14" s="10">
        <f t="shared" si="4"/>
        <v>5</v>
      </c>
      <c r="S14" s="10">
        <f t="shared" si="4"/>
        <v>5</v>
      </c>
      <c r="T14" s="10">
        <f t="shared" si="4"/>
        <v>5</v>
      </c>
      <c r="U14" s="10">
        <f t="shared" si="4"/>
        <v>6</v>
      </c>
      <c r="V14" s="10">
        <f t="shared" si="4"/>
        <v>6</v>
      </c>
      <c r="W14" s="10">
        <f t="shared" si="4"/>
        <v>6</v>
      </c>
      <c r="X14" s="10">
        <f t="shared" si="4"/>
        <v>7</v>
      </c>
      <c r="Y14" s="10">
        <f t="shared" si="4"/>
        <v>7</v>
      </c>
      <c r="Z14" s="10">
        <f t="shared" si="4"/>
        <v>7</v>
      </c>
      <c r="AA14" s="10">
        <f t="shared" si="4"/>
        <v>8</v>
      </c>
      <c r="AB14" s="10">
        <f t="shared" si="4"/>
        <v>8</v>
      </c>
      <c r="AC14" s="10">
        <f t="shared" si="4"/>
        <v>9</v>
      </c>
      <c r="AD14" s="10">
        <f t="shared" si="4"/>
        <v>9</v>
      </c>
      <c r="AE14" s="10">
        <f t="shared" si="4"/>
        <v>9</v>
      </c>
      <c r="AF14" s="10">
        <f t="shared" si="4"/>
        <v>10</v>
      </c>
      <c r="AG14" s="10">
        <f t="shared" si="4"/>
        <v>31</v>
      </c>
      <c r="AH14" s="10">
        <f t="shared" si="4"/>
        <v>34</v>
      </c>
      <c r="AI14" s="10">
        <f t="shared" si="4"/>
        <v>37</v>
      </c>
      <c r="AJ14" s="10">
        <f t="shared" si="4"/>
        <v>40</v>
      </c>
      <c r="AK14" s="10">
        <f t="shared" si="4"/>
        <v>43</v>
      </c>
      <c r="AL14" s="10">
        <f t="shared" si="4"/>
        <v>46</v>
      </c>
      <c r="AM14" s="10">
        <f t="shared" si="4"/>
        <v>48</v>
      </c>
      <c r="AN14" s="10">
        <f t="shared" si="4"/>
        <v>50</v>
      </c>
      <c r="AO14" s="10">
        <f t="shared" si="4"/>
        <v>52</v>
      </c>
      <c r="AP14" s="10">
        <f t="shared" si="4"/>
        <v>53</v>
      </c>
      <c r="AQ14" s="10">
        <f t="shared" si="4"/>
        <v>54</v>
      </c>
      <c r="AR14" s="10">
        <f t="shared" si="4"/>
        <v>56</v>
      </c>
    </row>
    <row r="15" spans="1:44" x14ac:dyDescent="0.3">
      <c r="A15" s="4" t="s">
        <v>708</v>
      </c>
      <c r="B15" s="12" t="s">
        <v>706</v>
      </c>
      <c r="C15" s="9">
        <f t="shared" ref="C15:AR15" si="5">C13-C14</f>
        <v>114.41935787893139</v>
      </c>
      <c r="D15" s="9">
        <f t="shared" si="5"/>
        <v>120.42168302694898</v>
      </c>
      <c r="E15" s="9">
        <f t="shared" si="5"/>
        <v>128.91618543474348</v>
      </c>
      <c r="F15" s="9">
        <f t="shared" si="5"/>
        <v>137.92356299336726</v>
      </c>
      <c r="G15" s="9">
        <f t="shared" si="5"/>
        <v>147.46402982489076</v>
      </c>
      <c r="H15" s="9">
        <f t="shared" si="5"/>
        <v>156.55708823740451</v>
      </c>
      <c r="I15" s="9">
        <f t="shared" si="5"/>
        <v>167.22127788058535</v>
      </c>
      <c r="J15" s="9">
        <f t="shared" si="5"/>
        <v>178.4739030108785</v>
      </c>
      <c r="K15" s="9">
        <f t="shared" si="5"/>
        <v>190.33073949191336</v>
      </c>
      <c r="L15" s="9">
        <f t="shared" si="5"/>
        <v>202.80572397048107</v>
      </c>
      <c r="M15" s="9">
        <f t="shared" si="5"/>
        <v>214.91062856761542</v>
      </c>
      <c r="N15" s="9">
        <f t="shared" si="5"/>
        <v>228.65472538864464</v>
      </c>
      <c r="O15" s="9">
        <f t="shared" si="5"/>
        <v>243.04444616113679</v>
      </c>
      <c r="P15" s="9">
        <f t="shared" si="5"/>
        <v>258.08304331714737</v>
      </c>
      <c r="Q15" s="9">
        <f t="shared" si="5"/>
        <v>272.77025980119333</v>
      </c>
      <c r="R15" s="9">
        <f t="shared" si="5"/>
        <v>289.10201575884605</v>
      </c>
      <c r="S15" s="9">
        <f t="shared" si="5"/>
        <v>306.0701209813995</v>
      </c>
      <c r="T15" s="9">
        <f t="shared" si="5"/>
        <v>323.66202248708129</v>
      </c>
      <c r="U15" s="9">
        <f t="shared" si="5"/>
        <v>340.8605968499952</v>
      </c>
      <c r="V15" s="9">
        <f t="shared" si="5"/>
        <v>359.6439967829042</v>
      </c>
      <c r="W15" s="9">
        <f t="shared" si="5"/>
        <v>378.98556098954623</v>
      </c>
      <c r="X15" s="9">
        <f t="shared" si="5"/>
        <v>397.85379539590093</v>
      </c>
      <c r="Y15" s="9">
        <f t="shared" si="5"/>
        <v>418.21243252902673</v>
      </c>
      <c r="Z15" s="9">
        <f t="shared" si="5"/>
        <v>439.02057404557956</v>
      </c>
      <c r="AA15" s="9">
        <f t="shared" si="5"/>
        <v>459.23291926093361</v>
      </c>
      <c r="AB15" s="9">
        <f t="shared" si="5"/>
        <v>480.8000800550966</v>
      </c>
      <c r="AC15" s="9">
        <f t="shared" si="5"/>
        <v>501.66897982602916</v>
      </c>
      <c r="AD15" s="9">
        <f t="shared" si="5"/>
        <v>523.78333134645607</v>
      </c>
      <c r="AE15" s="9">
        <f t="shared" si="5"/>
        <v>546.08418558748019</v>
      </c>
      <c r="AF15" s="9">
        <f t="shared" si="5"/>
        <v>567.51054094577808</v>
      </c>
      <c r="AG15" s="9">
        <f t="shared" si="5"/>
        <v>580.24868182601335</v>
      </c>
      <c r="AH15" s="9">
        <f t="shared" si="5"/>
        <v>644.30089708053993</v>
      </c>
      <c r="AI15" s="9">
        <f t="shared" si="5"/>
        <v>706.42078357652088</v>
      </c>
      <c r="AJ15" s="9">
        <f t="shared" si="5"/>
        <v>765.1439994869512</v>
      </c>
      <c r="AK15" s="9">
        <f t="shared" si="5"/>
        <v>819.31327108504399</v>
      </c>
      <c r="AL15" s="9">
        <f t="shared" si="5"/>
        <v>868.14401725557593</v>
      </c>
      <c r="AM15" s="9">
        <f t="shared" si="5"/>
        <v>912.23139894189626</v>
      </c>
      <c r="AN15" s="9">
        <f t="shared" si="5"/>
        <v>950.50982715084035</v>
      </c>
      <c r="AO15" s="9">
        <f t="shared" si="5"/>
        <v>983.18332215509213</v>
      </c>
      <c r="AP15" s="9">
        <f t="shared" si="5"/>
        <v>1011.6455124605363</v>
      </c>
      <c r="AQ15" s="9">
        <f t="shared" si="5"/>
        <v>1035.4037876854309</v>
      </c>
      <c r="AR15" s="9">
        <f t="shared" si="5"/>
        <v>1054.016180467278</v>
      </c>
    </row>
    <row r="16" spans="1:44" x14ac:dyDescent="0.3">
      <c r="A16" s="4" t="s">
        <v>709</v>
      </c>
      <c r="B16" s="12" t="s">
        <v>706</v>
      </c>
      <c r="C16" s="10">
        <f>C15</f>
        <v>114.41935787893139</v>
      </c>
      <c r="D16" s="10">
        <f t="shared" ref="D16:AR16" si="6">MAX(0,D15-C15)</f>
        <v>6.0023251480175901</v>
      </c>
      <c r="E16" s="10">
        <f t="shared" si="6"/>
        <v>8.4945024077944993</v>
      </c>
      <c r="F16" s="10">
        <f t="shared" si="6"/>
        <v>9.007377558623773</v>
      </c>
      <c r="G16" s="10">
        <f t="shared" si="6"/>
        <v>9.5404668315235028</v>
      </c>
      <c r="H16" s="10">
        <f t="shared" si="6"/>
        <v>9.0930584125137557</v>
      </c>
      <c r="I16" s="10">
        <f t="shared" si="6"/>
        <v>10.664189643180833</v>
      </c>
      <c r="J16" s="10">
        <f t="shared" si="6"/>
        <v>11.252625130293154</v>
      </c>
      <c r="K16" s="10">
        <f t="shared" si="6"/>
        <v>11.856836481034861</v>
      </c>
      <c r="L16" s="10">
        <f t="shared" si="6"/>
        <v>12.474984478567706</v>
      </c>
      <c r="M16" s="10">
        <f t="shared" si="6"/>
        <v>12.10490459713435</v>
      </c>
      <c r="N16" s="10">
        <f t="shared" si="6"/>
        <v>13.744096821029217</v>
      </c>
      <c r="O16" s="10">
        <f t="shared" si="6"/>
        <v>14.389720772492154</v>
      </c>
      <c r="P16" s="10">
        <f t="shared" si="6"/>
        <v>15.038597156010582</v>
      </c>
      <c r="Q16" s="10">
        <f t="shared" si="6"/>
        <v>14.687216484045962</v>
      </c>
      <c r="R16" s="10">
        <f t="shared" si="6"/>
        <v>16.331755957652717</v>
      </c>
      <c r="S16" s="10">
        <f t="shared" si="6"/>
        <v>16.968105222553447</v>
      </c>
      <c r="T16" s="10">
        <f t="shared" si="6"/>
        <v>17.59190150568179</v>
      </c>
      <c r="U16" s="10">
        <f t="shared" si="6"/>
        <v>17.198574362913917</v>
      </c>
      <c r="V16" s="10">
        <f t="shared" si="6"/>
        <v>18.783399932908992</v>
      </c>
      <c r="W16" s="10">
        <f t="shared" si="6"/>
        <v>19.341564206642033</v>
      </c>
      <c r="X16" s="10">
        <f t="shared" si="6"/>
        <v>18.868234406354702</v>
      </c>
      <c r="Y16" s="10">
        <f t="shared" si="6"/>
        <v>20.358637133125796</v>
      </c>
      <c r="Z16" s="10">
        <f t="shared" si="6"/>
        <v>20.808141516552837</v>
      </c>
      <c r="AA16" s="10">
        <f t="shared" si="6"/>
        <v>20.212345215354048</v>
      </c>
      <c r="AB16" s="10">
        <f t="shared" si="6"/>
        <v>21.567160794162987</v>
      </c>
      <c r="AC16" s="10">
        <f t="shared" si="6"/>
        <v>20.868899770932558</v>
      </c>
      <c r="AD16" s="10">
        <f t="shared" si="6"/>
        <v>22.114351520426908</v>
      </c>
      <c r="AE16" s="10">
        <f t="shared" si="6"/>
        <v>22.300854241024126</v>
      </c>
      <c r="AF16" s="10">
        <f t="shared" si="6"/>
        <v>21.426355358297883</v>
      </c>
      <c r="AG16" s="10">
        <f t="shared" si="6"/>
        <v>12.738140880235278</v>
      </c>
      <c r="AH16" s="10">
        <f t="shared" si="6"/>
        <v>64.052215254526573</v>
      </c>
      <c r="AI16" s="10">
        <f t="shared" si="6"/>
        <v>62.11988649598095</v>
      </c>
      <c r="AJ16" s="10">
        <f t="shared" si="6"/>
        <v>58.723215910430326</v>
      </c>
      <c r="AK16" s="10">
        <f t="shared" si="6"/>
        <v>54.169271598092791</v>
      </c>
      <c r="AL16" s="10">
        <f t="shared" si="6"/>
        <v>48.830746170531938</v>
      </c>
      <c r="AM16" s="10">
        <f t="shared" si="6"/>
        <v>44.087381686320327</v>
      </c>
      <c r="AN16" s="10">
        <f t="shared" si="6"/>
        <v>38.278428208944092</v>
      </c>
      <c r="AO16" s="10">
        <f t="shared" si="6"/>
        <v>32.673495004251777</v>
      </c>
      <c r="AP16" s="10">
        <f t="shared" si="6"/>
        <v>28.46219030544421</v>
      </c>
      <c r="AQ16" s="10">
        <f t="shared" si="6"/>
        <v>23.758275224894533</v>
      </c>
      <c r="AR16" s="10">
        <f t="shared" si="6"/>
        <v>18.61239278184712</v>
      </c>
    </row>
    <row r="17" spans="1:44" x14ac:dyDescent="0.3">
      <c r="A17" s="4" t="s">
        <v>710</v>
      </c>
      <c r="B17" s="12" t="s">
        <v>711</v>
      </c>
      <c r="C17" s="16">
        <f t="shared" ref="C17:AR17" si="7">C15*vcr_per_enterprise*C7/1000000</f>
        <v>1.144193578789314</v>
      </c>
      <c r="D17" s="16">
        <f t="shared" si="7"/>
        <v>1.20421683026949</v>
      </c>
      <c r="E17" s="16">
        <f t="shared" si="7"/>
        <v>1.2891618543474348</v>
      </c>
      <c r="F17" s="16">
        <f t="shared" si="7"/>
        <v>1.3792356299336725</v>
      </c>
      <c r="G17" s="16">
        <f t="shared" si="7"/>
        <v>1.4746402982489075</v>
      </c>
      <c r="H17" s="16">
        <f t="shared" si="7"/>
        <v>1.5655708823740453</v>
      </c>
      <c r="I17" s="16">
        <f t="shared" si="7"/>
        <v>1.6722127788058536</v>
      </c>
      <c r="J17" s="16">
        <f t="shared" si="7"/>
        <v>1.7847390301087851</v>
      </c>
      <c r="K17" s="16">
        <f t="shared" si="7"/>
        <v>1.9033073949191335</v>
      </c>
      <c r="L17" s="16">
        <f t="shared" si="7"/>
        <v>2.0280572397048107</v>
      </c>
      <c r="M17" s="16">
        <f t="shared" si="7"/>
        <v>2.1491062856761545</v>
      </c>
      <c r="N17" s="16">
        <f t="shared" si="7"/>
        <v>2.2865472538864462</v>
      </c>
      <c r="O17" s="16">
        <f t="shared" si="7"/>
        <v>2.4304444616113678</v>
      </c>
      <c r="P17" s="16">
        <f t="shared" si="7"/>
        <v>2.580830433171474</v>
      </c>
      <c r="Q17" s="16">
        <f t="shared" si="7"/>
        <v>2.7277025980119332</v>
      </c>
      <c r="R17" s="16">
        <f t="shared" si="7"/>
        <v>2.8910201575884606</v>
      </c>
      <c r="S17" s="16">
        <f t="shared" si="7"/>
        <v>3.060701209813995</v>
      </c>
      <c r="T17" s="16">
        <f t="shared" si="7"/>
        <v>3.2366202248708129</v>
      </c>
      <c r="U17" s="16">
        <f t="shared" si="7"/>
        <v>3.4086059684999519</v>
      </c>
      <c r="V17" s="16">
        <f t="shared" si="7"/>
        <v>3.596439967829042</v>
      </c>
      <c r="W17" s="16">
        <f t="shared" si="7"/>
        <v>3.7898556098954623</v>
      </c>
      <c r="X17" s="16">
        <f t="shared" si="7"/>
        <v>3.9785379539590093</v>
      </c>
      <c r="Y17" s="16">
        <f t="shared" si="7"/>
        <v>4.1821243252902676</v>
      </c>
      <c r="Z17" s="16">
        <f t="shared" si="7"/>
        <v>4.3902057404557961</v>
      </c>
      <c r="AA17" s="16">
        <f t="shared" si="7"/>
        <v>4.5923291926093359</v>
      </c>
      <c r="AB17" s="16">
        <f t="shared" si="7"/>
        <v>4.8080008005509658</v>
      </c>
      <c r="AC17" s="16">
        <f t="shared" si="7"/>
        <v>5.016689798260292</v>
      </c>
      <c r="AD17" s="16">
        <f t="shared" si="7"/>
        <v>5.2378333134645603</v>
      </c>
      <c r="AE17" s="16">
        <f t="shared" si="7"/>
        <v>5.4608418558748024</v>
      </c>
      <c r="AF17" s="16">
        <f t="shared" si="7"/>
        <v>5.6751054094577809</v>
      </c>
      <c r="AG17" s="16">
        <f t="shared" si="7"/>
        <v>17.407460454780399</v>
      </c>
      <c r="AH17" s="16">
        <f t="shared" si="7"/>
        <v>19.329026912416197</v>
      </c>
      <c r="AI17" s="16">
        <f t="shared" si="7"/>
        <v>21.192623507295629</v>
      </c>
      <c r="AJ17" s="16">
        <f t="shared" si="7"/>
        <v>22.954319984608535</v>
      </c>
      <c r="AK17" s="16">
        <f t="shared" si="7"/>
        <v>24.579398132551319</v>
      </c>
      <c r="AL17" s="16">
        <f t="shared" si="7"/>
        <v>26.044320517667277</v>
      </c>
      <c r="AM17" s="16">
        <f t="shared" si="7"/>
        <v>27.366941968256892</v>
      </c>
      <c r="AN17" s="16">
        <f t="shared" si="7"/>
        <v>28.515294814525209</v>
      </c>
      <c r="AO17" s="16">
        <f t="shared" si="7"/>
        <v>29.495499664652765</v>
      </c>
      <c r="AP17" s="16">
        <f t="shared" si="7"/>
        <v>30.349365373816088</v>
      </c>
      <c r="AQ17" s="16">
        <f t="shared" si="7"/>
        <v>31.062113630562923</v>
      </c>
      <c r="AR17" s="16">
        <f t="shared" si="7"/>
        <v>31.62048541401834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R20"/>
  <sheetViews>
    <sheetView workbookViewId="0"/>
  </sheetViews>
  <sheetFormatPr defaultRowHeight="14.4" x14ac:dyDescent="0.3"/>
  <cols>
    <col min="1" max="1" width="38" style="52" customWidth="1"/>
    <col min="2" max="2" width="10" style="52" customWidth="1"/>
    <col min="3" max="44" width="11" style="52" customWidth="1"/>
  </cols>
  <sheetData>
    <row r="1" spans="1:44" x14ac:dyDescent="0.3">
      <c r="A1" s="25" t="s">
        <v>712</v>
      </c>
    </row>
    <row r="3" spans="1:44" x14ac:dyDescent="0.3">
      <c r="A3" s="3" t="s">
        <v>713</v>
      </c>
      <c r="B3" s="3" t="s">
        <v>441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K3" s="3" t="s">
        <v>641</v>
      </c>
      <c r="L3" s="3" t="s">
        <v>642</v>
      </c>
      <c r="M3" s="3" t="s">
        <v>643</v>
      </c>
      <c r="N3" s="3" t="s">
        <v>644</v>
      </c>
      <c r="O3" s="3" t="s">
        <v>645</v>
      </c>
      <c r="P3" s="3" t="s">
        <v>646</v>
      </c>
      <c r="Q3" s="3" t="s">
        <v>647</v>
      </c>
      <c r="R3" s="3" t="s">
        <v>648</v>
      </c>
      <c r="S3" s="3" t="s">
        <v>649</v>
      </c>
      <c r="T3" s="3" t="s">
        <v>650</v>
      </c>
      <c r="U3" s="3" t="s">
        <v>651</v>
      </c>
      <c r="V3" s="3" t="s">
        <v>652</v>
      </c>
      <c r="W3" s="3" t="s">
        <v>653</v>
      </c>
      <c r="X3" s="3" t="s">
        <v>654</v>
      </c>
      <c r="Y3" s="3" t="s">
        <v>655</v>
      </c>
      <c r="Z3" s="3" t="s">
        <v>656</v>
      </c>
      <c r="AA3" s="3" t="s">
        <v>657</v>
      </c>
      <c r="AB3" s="3" t="s">
        <v>658</v>
      </c>
      <c r="AC3" s="3" t="s">
        <v>659</v>
      </c>
      <c r="AD3" s="3" t="s">
        <v>660</v>
      </c>
      <c r="AE3" s="3" t="s">
        <v>661</v>
      </c>
      <c r="AF3" s="3" t="s">
        <v>662</v>
      </c>
      <c r="AG3" s="3" t="s">
        <v>663</v>
      </c>
      <c r="AH3" s="3" t="s">
        <v>664</v>
      </c>
      <c r="AI3" s="3" t="s">
        <v>665</v>
      </c>
      <c r="AJ3" s="3" t="s">
        <v>666</v>
      </c>
      <c r="AK3" s="3" t="s">
        <v>667</v>
      </c>
      <c r="AL3" s="3" t="s">
        <v>668</v>
      </c>
      <c r="AM3" s="3" t="s">
        <v>669</v>
      </c>
      <c r="AN3" s="3" t="s">
        <v>670</v>
      </c>
      <c r="AO3" s="3" t="s">
        <v>671</v>
      </c>
      <c r="AP3" s="3" t="s">
        <v>672</v>
      </c>
      <c r="AQ3" s="3" t="s">
        <v>673</v>
      </c>
      <c r="AR3" s="3" t="s">
        <v>674</v>
      </c>
    </row>
    <row r="4" spans="1:44" x14ac:dyDescent="0.3">
      <c r="A4" s="25" t="s">
        <v>714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715</v>
      </c>
      <c r="B5" s="4" t="s">
        <v>470</v>
      </c>
      <c r="C5" s="61">
        <f>IF('Market Sizing'!C3&gt;=months_to_first_revenue,1,0)*'Market Sizing'!C15*cert_fee_yr1*(1+cert_fee_escalation)^'Market Sizing'!C5/'Market Sizing'!C6</f>
        <v>0</v>
      </c>
      <c r="D5" s="61">
        <f>IF('Market Sizing'!D3&gt;=months_to_first_revenue,1,0)*'Market Sizing'!D15*cert_fee_yr1*(1+cert_fee_escalation)^'Market Sizing'!D5/'Market Sizing'!D6</f>
        <v>0</v>
      </c>
      <c r="E5" s="61">
        <f>IF('Market Sizing'!E3&gt;=months_to_first_revenue,1,0)*'Market Sizing'!E15*cert_fee_yr1*(1+cert_fee_escalation)^'Market Sizing'!E5/'Market Sizing'!E6</f>
        <v>0</v>
      </c>
      <c r="F5" s="61">
        <f>IF('Market Sizing'!F3&gt;=months_to_first_revenue,1,0)*'Market Sizing'!F15*cert_fee_yr1*(1+cert_fee_escalation)^'Market Sizing'!F5/'Market Sizing'!F6</f>
        <v>0</v>
      </c>
      <c r="G5" s="61">
        <f>IF('Market Sizing'!G3&gt;=months_to_first_revenue,1,0)*'Market Sizing'!G15*cert_fee_yr1*(1+cert_fee_escalation)^'Market Sizing'!G5/'Market Sizing'!G6</f>
        <v>0</v>
      </c>
      <c r="H5" s="61">
        <f>IF('Market Sizing'!H3&gt;=months_to_first_revenue,1,0)*'Market Sizing'!H15*cert_fee_yr1*(1+cert_fee_escalation)^'Market Sizing'!H5/'Market Sizing'!H6</f>
        <v>0</v>
      </c>
      <c r="I5" s="61">
        <f>IF('Market Sizing'!I3&gt;=months_to_first_revenue,1,0)*'Market Sizing'!I15*cert_fee_yr1*(1+cert_fee_escalation)^'Market Sizing'!I5/'Market Sizing'!I6</f>
        <v>0</v>
      </c>
      <c r="J5" s="61">
        <f>IF('Market Sizing'!J3&gt;=months_to_first_revenue,1,0)*'Market Sizing'!J15*cert_fee_yr1*(1+cert_fee_escalation)^'Market Sizing'!J5/'Market Sizing'!J6</f>
        <v>0</v>
      </c>
      <c r="K5" s="61">
        <f>IF('Market Sizing'!K3&gt;=months_to_first_revenue,1,0)*'Market Sizing'!K15*cert_fee_yr1*(1+cert_fee_escalation)^'Market Sizing'!K5/'Market Sizing'!K6</f>
        <v>0</v>
      </c>
      <c r="L5" s="61">
        <f>IF('Market Sizing'!L3&gt;=months_to_first_revenue,1,0)*'Market Sizing'!L15*cert_fee_yr1*(1+cert_fee_escalation)^'Market Sizing'!L5/'Market Sizing'!L6</f>
        <v>0</v>
      </c>
      <c r="M5" s="61">
        <f>IF('Market Sizing'!M3&gt;=months_to_first_revenue,1,0)*'Market Sizing'!M15*cert_fee_yr1*(1+cert_fee_escalation)^'Market Sizing'!M5/'Market Sizing'!M6</f>
        <v>470.11699999165876</v>
      </c>
      <c r="N5" s="61">
        <f>IF('Market Sizing'!N3&gt;=months_to_first_revenue,1,0)*'Market Sizing'!N15*cert_fee_yr1*(1+cert_fee_escalation)^'Market Sizing'!N5/'Market Sizing'!N6</f>
        <v>500.18221178766015</v>
      </c>
      <c r="O5" s="61">
        <f>IF('Market Sizing'!O3&gt;=months_to_first_revenue,1,0)*'Market Sizing'!O15*cert_fee_yr1*(1+cert_fee_escalation)^'Market Sizing'!O5/'Market Sizing'!O6</f>
        <v>531.6597259774868</v>
      </c>
      <c r="P5" s="61">
        <f>IF('Market Sizing'!P3&gt;=months_to_first_revenue,1,0)*'Market Sizing'!P15*cert_fee_yr1*(1+cert_fee_escalation)^'Market Sizing'!P5/'Market Sizing'!P6</f>
        <v>564.55665725625988</v>
      </c>
      <c r="Q5" s="61">
        <f>IF('Market Sizing'!Q3&gt;=months_to_first_revenue,1,0)*'Market Sizing'!Q15*cert_fee_yr1*(1+cert_fee_escalation)^'Market Sizing'!Q5/'Market Sizing'!Q6</f>
        <v>596.68494331511044</v>
      </c>
      <c r="R5" s="61">
        <f>IF('Market Sizing'!R3&gt;=months_to_first_revenue,1,0)*'Market Sizing'!R15*cert_fee_yr1*(1+cert_fee_escalation)^'Market Sizing'!R5/'Market Sizing'!R6</f>
        <v>632.4106594724758</v>
      </c>
      <c r="S5" s="61">
        <f>IF('Market Sizing'!S3&gt;=months_to_first_revenue,1,0)*'Market Sizing'!S15*cert_fee_yr1*(1+cert_fee_escalation)^'Market Sizing'!S5/'Market Sizing'!S6</f>
        <v>669.52838964681143</v>
      </c>
      <c r="T5" s="61">
        <f>IF('Market Sizing'!T3&gt;=months_to_first_revenue,1,0)*'Market Sizing'!T15*cert_fee_yr1*(1+cert_fee_escalation)^'Market Sizing'!T5/'Market Sizing'!T6</f>
        <v>708.01067419049048</v>
      </c>
      <c r="U5" s="61">
        <f>IF('Market Sizing'!U3&gt;=months_to_first_revenue,1,0)*'Market Sizing'!U15*cert_fee_yr1*(1+cert_fee_escalation)^'Market Sizing'!U5/'Market Sizing'!U6</f>
        <v>782.91418338983283</v>
      </c>
      <c r="V5" s="61">
        <f>IF('Market Sizing'!V3&gt;=months_to_first_revenue,1,0)*'Market Sizing'!V15*cert_fee_yr1*(1+cert_fee_escalation)^'Market Sizing'!V5/'Market Sizing'!V6</f>
        <v>826.05730511073307</v>
      </c>
      <c r="W5" s="61">
        <f>IF('Market Sizing'!W3&gt;=months_to_first_revenue,1,0)*'Market Sizing'!W15*cert_fee_yr1*(1+cert_fee_escalation)^'Market Sizing'!W5/'Market Sizing'!W6</f>
        <v>870.48246039786397</v>
      </c>
      <c r="X5" s="61">
        <f>IF('Market Sizing'!X3&gt;=months_to_first_revenue,1,0)*'Market Sizing'!X15*cert_fee_yr1*(1+cert_fee_escalation)^'Market Sizing'!X5/'Market Sizing'!X6</f>
        <v>913.82043629996008</v>
      </c>
      <c r="Y5" s="61">
        <f>IF('Market Sizing'!Y3&gt;=months_to_first_revenue,1,0)*'Market Sizing'!Y15*cert_fee_yr1*(1+cert_fee_escalation)^'Market Sizing'!Y5/'Market Sizing'!Y6</f>
        <v>960.58168096510826</v>
      </c>
      <c r="Z5" s="61">
        <f>IF('Market Sizing'!Z3&gt;=months_to_first_revenue,1,0)*'Market Sizing'!Z15*cert_fee_yr1*(1+cert_fee_escalation)^'Market Sizing'!Z5/'Market Sizing'!Z6</f>
        <v>1008.3753810109406</v>
      </c>
      <c r="AA5" s="61">
        <f>IF('Market Sizing'!AA3&gt;=months_to_first_revenue,1,0)*'Market Sizing'!AA15*cert_fee_yr1*(1+cert_fee_escalation)^'Market Sizing'!AA5/'Market Sizing'!AA6</f>
        <v>1054.8006114274569</v>
      </c>
      <c r="AB5" s="61">
        <f>IF('Market Sizing'!AB3&gt;=months_to_first_revenue,1,0)*'Market Sizing'!AB15*cert_fee_yr1*(1+cert_fee_escalation)^'Market Sizing'!AB5/'Market Sizing'!AB6</f>
        <v>1104.33768387655</v>
      </c>
      <c r="AC5" s="61">
        <f>IF('Market Sizing'!AC3&gt;=months_to_first_revenue,1,0)*'Market Sizing'!AC15*cert_fee_yr1*(1+cert_fee_escalation)^'Market Sizing'!AC5/'Market Sizing'!AC6</f>
        <v>1152.2709380379108</v>
      </c>
      <c r="AD5" s="61">
        <f>IF('Market Sizing'!AD3&gt;=months_to_first_revenue,1,0)*'Market Sizing'!AD15*cert_fee_yr1*(1+cert_fee_escalation)^'Market Sizing'!AD5/'Market Sizing'!AD6</f>
        <v>1203.0648391863913</v>
      </c>
      <c r="AE5" s="61">
        <f>IF('Market Sizing'!AE3&gt;=months_to_first_revenue,1,0)*'Market Sizing'!AE15*cert_fee_yr1*(1+cert_fee_escalation)^'Market Sizing'!AE5/'Market Sizing'!AE6</f>
        <v>1254.2871137712434</v>
      </c>
      <c r="AF5" s="61">
        <f>IF('Market Sizing'!AF3&gt;=months_to_first_revenue,1,0)*'Market Sizing'!AF15*cert_fee_yr1*(1+cert_fee_escalation)^'Market Sizing'!AF5/'Market Sizing'!AF6</f>
        <v>1303.500773734834</v>
      </c>
      <c r="AG5" s="61">
        <f>IF('Market Sizing'!AG3&gt;=months_to_first_revenue,1,0)*'Market Sizing'!AG15*cert_fee_yr1*(1+cert_fee_escalation)^'Market Sizing'!AG5/'Market Sizing'!AG6</f>
        <v>4198.189876867742</v>
      </c>
      <c r="AH5" s="61">
        <f>IF('Market Sizing'!AH3&gt;=months_to_first_revenue,1,0)*'Market Sizing'!AH15*cert_fee_yr1*(1+cert_fee_escalation)^'Market Sizing'!AH5/'Market Sizing'!AH6</f>
        <v>4661.6176623928759</v>
      </c>
      <c r="AI5" s="61">
        <f>IF('Market Sizing'!AI3&gt;=months_to_first_revenue,1,0)*'Market Sizing'!AI15*cert_fee_yr1*(1+cert_fee_escalation)^'Market Sizing'!AI5/'Market Sizing'!AI6</f>
        <v>5111.0647474235629</v>
      </c>
      <c r="AJ5" s="61">
        <f>IF('Market Sizing'!AJ3&gt;=months_to_first_revenue,1,0)*'Market Sizing'!AJ15*cert_fee_yr1*(1+cert_fee_escalation)^'Market Sizing'!AJ5/'Market Sizing'!AJ6</f>
        <v>5535.9363900380122</v>
      </c>
      <c r="AK5" s="61">
        <f>IF('Market Sizing'!AK3&gt;=months_to_first_revenue,1,0)*'Market Sizing'!AK15*cert_fee_yr1*(1+cert_fee_escalation)^'Market Sizing'!AK5/'Market Sizing'!AK6</f>
        <v>6224.2525106988451</v>
      </c>
      <c r="AL5" s="61">
        <f>IF('Market Sizing'!AL3&gt;=months_to_first_revenue,1,0)*'Market Sizing'!AL15*cert_fee_yr1*(1+cert_fee_escalation)^'Market Sizing'!AL5/'Market Sizing'!AL6</f>
        <v>6595.2154929641274</v>
      </c>
      <c r="AM5" s="61">
        <f>IF('Market Sizing'!AM3&gt;=months_to_first_revenue,1,0)*'Market Sizing'!AM15*cert_fee_yr1*(1+cert_fee_escalation)^'Market Sizing'!AM5/'Market Sizing'!AM6</f>
        <v>6930.1435428757395</v>
      </c>
      <c r="AN5" s="61">
        <f>IF('Market Sizing'!AN3&gt;=months_to_first_revenue,1,0)*'Market Sizing'!AN15*cert_fee_yr1*(1+cert_fee_escalation)^'Market Sizing'!AN5/'Market Sizing'!AN6</f>
        <v>7220.9414724266626</v>
      </c>
      <c r="AO5" s="61">
        <f>IF('Market Sizing'!AO3&gt;=months_to_first_revenue,1,0)*'Market Sizing'!AO15*cert_fee_yr1*(1+cert_fee_escalation)^'Market Sizing'!AO5/'Market Sizing'!AO6</f>
        <v>7842.6171664002632</v>
      </c>
      <c r="AP5" s="61">
        <f>IF('Market Sizing'!AP3&gt;=months_to_first_revenue,1,0)*'Market Sizing'!AP15*cert_fee_yr1*(1+cert_fee_escalation)^'Market Sizing'!AP5/'Market Sizing'!AP6</f>
        <v>8069.6532208702911</v>
      </c>
      <c r="AQ5" s="61">
        <f>IF('Market Sizing'!AQ3&gt;=months_to_first_revenue,1,0)*'Market Sizing'!AQ15*cert_fee_yr1*(1+cert_fee_escalation)^'Market Sizing'!AQ5/'Market Sizing'!AQ6</f>
        <v>8259.1672747848752</v>
      </c>
      <c r="AR5" s="61">
        <f>IF('Market Sizing'!AR3&gt;=months_to_first_revenue,1,0)*'Market Sizing'!AR15*cert_fee_yr1*(1+cert_fee_escalation)^'Market Sizing'!AR5/'Market Sizing'!AR6</f>
        <v>8407.6338606691224</v>
      </c>
    </row>
    <row r="6" spans="1:44" x14ac:dyDescent="0.3">
      <c r="A6" s="4" t="s">
        <v>716</v>
      </c>
      <c r="B6" s="4" t="s">
        <v>470</v>
      </c>
      <c r="C6" s="61">
        <f>IF('Market Sizing'!C3&gt;=months_to_first_revenue,1,0)*'Market Sizing'!C15*training_pct*training_fee/'Market Sizing'!C6</f>
        <v>0</v>
      </c>
      <c r="D6" s="61">
        <f>IF('Market Sizing'!D3&gt;=months_to_first_revenue,1,0)*'Market Sizing'!D15*training_pct*training_fee/'Market Sizing'!D6</f>
        <v>0</v>
      </c>
      <c r="E6" s="61">
        <f>IF('Market Sizing'!E3&gt;=months_to_first_revenue,1,0)*'Market Sizing'!E15*training_pct*training_fee/'Market Sizing'!E6</f>
        <v>0</v>
      </c>
      <c r="F6" s="61">
        <f>IF('Market Sizing'!F3&gt;=months_to_first_revenue,1,0)*'Market Sizing'!F15*training_pct*training_fee/'Market Sizing'!F6</f>
        <v>0</v>
      </c>
      <c r="G6" s="61">
        <f>IF('Market Sizing'!G3&gt;=months_to_first_revenue,1,0)*'Market Sizing'!G15*training_pct*training_fee/'Market Sizing'!G6</f>
        <v>0</v>
      </c>
      <c r="H6" s="61">
        <f>IF('Market Sizing'!H3&gt;=months_to_first_revenue,1,0)*'Market Sizing'!H15*training_pct*training_fee/'Market Sizing'!H6</f>
        <v>0</v>
      </c>
      <c r="I6" s="61">
        <f>IF('Market Sizing'!I3&gt;=months_to_first_revenue,1,0)*'Market Sizing'!I15*training_pct*training_fee/'Market Sizing'!I6</f>
        <v>0</v>
      </c>
      <c r="J6" s="61">
        <f>IF('Market Sizing'!J3&gt;=months_to_first_revenue,1,0)*'Market Sizing'!J15*training_pct*training_fee/'Market Sizing'!J6</f>
        <v>0</v>
      </c>
      <c r="K6" s="61">
        <f>IF('Market Sizing'!K3&gt;=months_to_first_revenue,1,0)*'Market Sizing'!K15*training_pct*training_fee/'Market Sizing'!K6</f>
        <v>0</v>
      </c>
      <c r="L6" s="61">
        <f>IF('Market Sizing'!L3&gt;=months_to_first_revenue,1,0)*'Market Sizing'!L15*training_pct*training_fee/'Market Sizing'!L6</f>
        <v>0</v>
      </c>
      <c r="M6" s="61">
        <f>IF('Market Sizing'!M3&gt;=months_to_first_revenue,1,0)*'Market Sizing'!M15*training_pct*training_fee/'Market Sizing'!M6</f>
        <v>80.591485712855771</v>
      </c>
      <c r="N6" s="61">
        <f>IF('Market Sizing'!N3&gt;=months_to_first_revenue,1,0)*'Market Sizing'!N15*training_pct*training_fee/'Market Sizing'!N6</f>
        <v>85.745522020741717</v>
      </c>
      <c r="O6" s="61">
        <f>IF('Market Sizing'!O3&gt;=months_to_first_revenue,1,0)*'Market Sizing'!O15*training_pct*training_fee/'Market Sizing'!O6</f>
        <v>91.141667310426286</v>
      </c>
      <c r="P6" s="61">
        <f>IF('Market Sizing'!P3&gt;=months_to_first_revenue,1,0)*'Market Sizing'!P15*training_pct*training_fee/'Market Sizing'!P6</f>
        <v>96.781141243930264</v>
      </c>
      <c r="Q6" s="61">
        <f>IF('Market Sizing'!Q3&gt;=months_to_first_revenue,1,0)*'Market Sizing'!Q15*training_pct*training_fee/'Market Sizing'!Q6</f>
        <v>102.2888474254475</v>
      </c>
      <c r="R6" s="61">
        <f>IF('Market Sizing'!R3&gt;=months_to_first_revenue,1,0)*'Market Sizing'!R15*training_pct*training_fee/'Market Sizing'!R6</f>
        <v>108.41325590956727</v>
      </c>
      <c r="S6" s="61">
        <f>IF('Market Sizing'!S3&gt;=months_to_first_revenue,1,0)*'Market Sizing'!S15*training_pct*training_fee/'Market Sizing'!S6</f>
        <v>114.7762953680248</v>
      </c>
      <c r="T6" s="61">
        <f>IF('Market Sizing'!T3&gt;=months_to_first_revenue,1,0)*'Market Sizing'!T15*training_pct*training_fee/'Market Sizing'!T6</f>
        <v>121.37325843265548</v>
      </c>
      <c r="U6" s="61">
        <f>IF('Market Sizing'!U3&gt;=months_to_first_revenue,1,0)*'Market Sizing'!U15*training_pct*training_fee/'Market Sizing'!U6</f>
        <v>127.8227238187482</v>
      </c>
      <c r="V6" s="61">
        <f>IF('Market Sizing'!V3&gt;=months_to_first_revenue,1,0)*'Market Sizing'!V15*training_pct*training_fee/'Market Sizing'!V6</f>
        <v>134.86649879358907</v>
      </c>
      <c r="W6" s="61">
        <f>IF('Market Sizing'!W3&gt;=months_to_first_revenue,1,0)*'Market Sizing'!W15*training_pct*training_fee/'Market Sizing'!W6</f>
        <v>142.11958537107984</v>
      </c>
      <c r="X6" s="61">
        <f>IF('Market Sizing'!X3&gt;=months_to_first_revenue,1,0)*'Market Sizing'!X15*training_pct*training_fee/'Market Sizing'!X6</f>
        <v>149.19517327346284</v>
      </c>
      <c r="Y6" s="61">
        <f>IF('Market Sizing'!Y3&gt;=months_to_first_revenue,1,0)*'Market Sizing'!Y15*training_pct*training_fee/'Market Sizing'!Y6</f>
        <v>156.82966219838502</v>
      </c>
      <c r="Z6" s="61">
        <f>IF('Market Sizing'!Z3&gt;=months_to_first_revenue,1,0)*'Market Sizing'!Z15*training_pct*training_fee/'Market Sizing'!Z6</f>
        <v>164.63271526709232</v>
      </c>
      <c r="AA6" s="61">
        <f>IF('Market Sizing'!AA3&gt;=months_to_first_revenue,1,0)*'Market Sizing'!AA15*training_pct*training_fee/'Market Sizing'!AA6</f>
        <v>172.21234472285008</v>
      </c>
      <c r="AB6" s="61">
        <f>IF('Market Sizing'!AB3&gt;=months_to_first_revenue,1,0)*'Market Sizing'!AB15*training_pct*training_fee/'Market Sizing'!AB6</f>
        <v>180.30003002066121</v>
      </c>
      <c r="AC6" s="61">
        <f>IF('Market Sizing'!AC3&gt;=months_to_first_revenue,1,0)*'Market Sizing'!AC15*training_pct*training_fee/'Market Sizing'!AC6</f>
        <v>188.12586743476092</v>
      </c>
      <c r="AD6" s="61">
        <f>IF('Market Sizing'!AD3&gt;=months_to_first_revenue,1,0)*'Market Sizing'!AD15*training_pct*training_fee/'Market Sizing'!AD6</f>
        <v>196.41874925492098</v>
      </c>
      <c r="AE6" s="61">
        <f>IF('Market Sizing'!AE3&gt;=months_to_first_revenue,1,0)*'Market Sizing'!AE15*training_pct*training_fee/'Market Sizing'!AE6</f>
        <v>204.78156959530506</v>
      </c>
      <c r="AF6" s="61">
        <f>IF('Market Sizing'!AF3&gt;=months_to_first_revenue,1,0)*'Market Sizing'!AF15*training_pct*training_fee/'Market Sizing'!AF6</f>
        <v>212.81645285466678</v>
      </c>
      <c r="AG6" s="61">
        <f>IF('Market Sizing'!AG3&gt;=months_to_first_revenue,1,0)*'Market Sizing'!AG15*training_pct*training_fee/'Market Sizing'!AG6</f>
        <v>652.77976705426499</v>
      </c>
      <c r="AH6" s="61">
        <f>IF('Market Sizing'!AH3&gt;=months_to_first_revenue,1,0)*'Market Sizing'!AH15*training_pct*training_fee/'Market Sizing'!AH6</f>
        <v>724.83850921560736</v>
      </c>
      <c r="AI6" s="61">
        <f>IF('Market Sizing'!AI3&gt;=months_to_first_revenue,1,0)*'Market Sizing'!AI15*training_pct*training_fee/'Market Sizing'!AI6</f>
        <v>794.72338152358589</v>
      </c>
      <c r="AJ6" s="61">
        <f>IF('Market Sizing'!AJ3&gt;=months_to_first_revenue,1,0)*'Market Sizing'!AJ15*training_pct*training_fee/'Market Sizing'!AJ6</f>
        <v>860.78699942282003</v>
      </c>
      <c r="AK6" s="61">
        <f>IF('Market Sizing'!AK3&gt;=months_to_first_revenue,1,0)*'Market Sizing'!AK15*training_pct*training_fee/'Market Sizing'!AK6</f>
        <v>921.72742997067439</v>
      </c>
      <c r="AL6" s="61">
        <f>IF('Market Sizing'!AL3&gt;=months_to_first_revenue,1,0)*'Market Sizing'!AL15*training_pct*training_fee/'Market Sizing'!AL6</f>
        <v>976.66201941252302</v>
      </c>
      <c r="AM6" s="61">
        <f>IF('Market Sizing'!AM3&gt;=months_to_first_revenue,1,0)*'Market Sizing'!AM15*training_pct*training_fee/'Market Sizing'!AM6</f>
        <v>1026.2603238096331</v>
      </c>
      <c r="AN6" s="61">
        <f>IF('Market Sizing'!AN3&gt;=months_to_first_revenue,1,0)*'Market Sizing'!AN15*training_pct*training_fee/'Market Sizing'!AN6</f>
        <v>1069.3235555446954</v>
      </c>
      <c r="AO6" s="61">
        <f>IF('Market Sizing'!AO3&gt;=months_to_first_revenue,1,0)*'Market Sizing'!AO15*training_pct*training_fee/'Market Sizing'!AO6</f>
        <v>1106.0812374244786</v>
      </c>
      <c r="AP6" s="61">
        <f>IF('Market Sizing'!AP3&gt;=months_to_first_revenue,1,0)*'Market Sizing'!AP15*training_pct*training_fee/'Market Sizing'!AP6</f>
        <v>1138.1012015181034</v>
      </c>
      <c r="AQ6" s="61">
        <f>IF('Market Sizing'!AQ3&gt;=months_to_first_revenue,1,0)*'Market Sizing'!AQ15*training_pct*training_fee/'Market Sizing'!AQ6</f>
        <v>1164.8292611461097</v>
      </c>
      <c r="AR6" s="61">
        <f>IF('Market Sizing'!AR3&gt;=months_to_first_revenue,1,0)*'Market Sizing'!AR15*training_pct*training_fee/'Market Sizing'!AR6</f>
        <v>1185.7682030256876</v>
      </c>
    </row>
    <row r="7" spans="1:44" x14ac:dyDescent="0.3">
      <c r="A7" s="4" t="s">
        <v>717</v>
      </c>
      <c r="B7" s="4" t="s">
        <v>470</v>
      </c>
      <c r="C7" s="61">
        <f>IF('Market Sizing'!C3&gt;=months_to_first_revenue,1,0)*'Market Sizing'!C15*audit_fee/'Market Sizing'!C6</f>
        <v>0</v>
      </c>
      <c r="D7" s="61">
        <f>IF('Market Sizing'!D3&gt;=months_to_first_revenue,1,0)*'Market Sizing'!D15*audit_fee/'Market Sizing'!D6</f>
        <v>0</v>
      </c>
      <c r="E7" s="61">
        <f>IF('Market Sizing'!E3&gt;=months_to_first_revenue,1,0)*'Market Sizing'!E15*audit_fee/'Market Sizing'!E6</f>
        <v>0</v>
      </c>
      <c r="F7" s="61">
        <f>IF('Market Sizing'!F3&gt;=months_to_first_revenue,1,0)*'Market Sizing'!F15*audit_fee/'Market Sizing'!F6</f>
        <v>0</v>
      </c>
      <c r="G7" s="61">
        <f>IF('Market Sizing'!G3&gt;=months_to_first_revenue,1,0)*'Market Sizing'!G15*audit_fee/'Market Sizing'!G6</f>
        <v>0</v>
      </c>
      <c r="H7" s="61">
        <f>IF('Market Sizing'!H3&gt;=months_to_first_revenue,1,0)*'Market Sizing'!H15*audit_fee/'Market Sizing'!H6</f>
        <v>0</v>
      </c>
      <c r="I7" s="61">
        <f>IF('Market Sizing'!I3&gt;=months_to_first_revenue,1,0)*'Market Sizing'!I15*audit_fee/'Market Sizing'!I6</f>
        <v>0</v>
      </c>
      <c r="J7" s="61">
        <f>IF('Market Sizing'!J3&gt;=months_to_first_revenue,1,0)*'Market Sizing'!J15*audit_fee/'Market Sizing'!J6</f>
        <v>0</v>
      </c>
      <c r="K7" s="61">
        <f>IF('Market Sizing'!K3&gt;=months_to_first_revenue,1,0)*'Market Sizing'!K15*audit_fee/'Market Sizing'!K6</f>
        <v>0</v>
      </c>
      <c r="L7" s="61">
        <f>IF('Market Sizing'!L3&gt;=months_to_first_revenue,1,0)*'Market Sizing'!L15*audit_fee/'Market Sizing'!L6</f>
        <v>0</v>
      </c>
      <c r="M7" s="61">
        <f>IF('Market Sizing'!M3&gt;=months_to_first_revenue,1,0)*'Market Sizing'!M15*audit_fee/'Market Sizing'!M6</f>
        <v>179.09219047301283</v>
      </c>
      <c r="N7" s="61">
        <f>IF('Market Sizing'!N3&gt;=months_to_first_revenue,1,0)*'Market Sizing'!N15*audit_fee/'Market Sizing'!N6</f>
        <v>190.54560449053722</v>
      </c>
      <c r="O7" s="61">
        <f>IF('Market Sizing'!O3&gt;=months_to_first_revenue,1,0)*'Market Sizing'!O15*audit_fee/'Market Sizing'!O6</f>
        <v>202.537038467614</v>
      </c>
      <c r="P7" s="61">
        <f>IF('Market Sizing'!P3&gt;=months_to_first_revenue,1,0)*'Market Sizing'!P15*audit_fee/'Market Sizing'!P6</f>
        <v>215.06920276428946</v>
      </c>
      <c r="Q7" s="61">
        <f>IF('Market Sizing'!Q3&gt;=months_to_first_revenue,1,0)*'Market Sizing'!Q15*audit_fee/'Market Sizing'!Q6</f>
        <v>227.30854983432778</v>
      </c>
      <c r="R7" s="61">
        <f>IF('Market Sizing'!R3&gt;=months_to_first_revenue,1,0)*'Market Sizing'!R15*audit_fee/'Market Sizing'!R6</f>
        <v>240.91834646570501</v>
      </c>
      <c r="S7" s="61">
        <f>IF('Market Sizing'!S3&gt;=months_to_first_revenue,1,0)*'Market Sizing'!S15*audit_fee/'Market Sizing'!S6</f>
        <v>255.05843415116624</v>
      </c>
      <c r="T7" s="61">
        <f>IF('Market Sizing'!T3&gt;=months_to_first_revenue,1,0)*'Market Sizing'!T15*audit_fee/'Market Sizing'!T6</f>
        <v>269.71835207256771</v>
      </c>
      <c r="U7" s="61">
        <f>IF('Market Sizing'!U3&gt;=months_to_first_revenue,1,0)*'Market Sizing'!U15*audit_fee/'Market Sizing'!U6</f>
        <v>284.05049737499598</v>
      </c>
      <c r="V7" s="61">
        <f>IF('Market Sizing'!V3&gt;=months_to_first_revenue,1,0)*'Market Sizing'!V15*audit_fee/'Market Sizing'!V6</f>
        <v>299.70333065242016</v>
      </c>
      <c r="W7" s="61">
        <f>IF('Market Sizing'!W3&gt;=months_to_first_revenue,1,0)*'Market Sizing'!W15*audit_fee/'Market Sizing'!W6</f>
        <v>315.82130082462186</v>
      </c>
      <c r="X7" s="61">
        <f>IF('Market Sizing'!X3&gt;=months_to_first_revenue,1,0)*'Market Sizing'!X15*audit_fee/'Market Sizing'!X6</f>
        <v>331.5448294965841</v>
      </c>
      <c r="Y7" s="61">
        <f>IF('Market Sizing'!Y3&gt;=months_to_first_revenue,1,0)*'Market Sizing'!Y15*audit_fee/'Market Sizing'!Y6</f>
        <v>348.51036044085566</v>
      </c>
      <c r="Z7" s="61">
        <f>IF('Market Sizing'!Z3&gt;=months_to_first_revenue,1,0)*'Market Sizing'!Z15*audit_fee/'Market Sizing'!Z6</f>
        <v>365.85047837131629</v>
      </c>
      <c r="AA7" s="61">
        <f>IF('Market Sizing'!AA3&gt;=months_to_first_revenue,1,0)*'Market Sizing'!AA15*audit_fee/'Market Sizing'!AA6</f>
        <v>382.69409938411133</v>
      </c>
      <c r="AB7" s="61">
        <f>IF('Market Sizing'!AB3&gt;=months_to_first_revenue,1,0)*'Market Sizing'!AB15*audit_fee/'Market Sizing'!AB6</f>
        <v>400.6667333792472</v>
      </c>
      <c r="AC7" s="61">
        <f>IF('Market Sizing'!AC3&gt;=months_to_first_revenue,1,0)*'Market Sizing'!AC15*audit_fee/'Market Sizing'!AC6</f>
        <v>418.05748318835759</v>
      </c>
      <c r="AD7" s="61">
        <f>IF('Market Sizing'!AD3&gt;=months_to_first_revenue,1,0)*'Market Sizing'!AD15*audit_fee/'Market Sizing'!AD6</f>
        <v>436.48610945538007</v>
      </c>
      <c r="AE7" s="61">
        <f>IF('Market Sizing'!AE3&gt;=months_to_first_revenue,1,0)*'Market Sizing'!AE15*audit_fee/'Market Sizing'!AE6</f>
        <v>455.07015465623346</v>
      </c>
      <c r="AF7" s="61">
        <f>IF('Market Sizing'!AF3&gt;=months_to_first_revenue,1,0)*'Market Sizing'!AF15*audit_fee/'Market Sizing'!AF6</f>
        <v>472.92545078814845</v>
      </c>
      <c r="AG7" s="61">
        <f>IF('Market Sizing'!AG3&gt;=months_to_first_revenue,1,0)*'Market Sizing'!AG15*audit_fee/'Market Sizing'!AG6</f>
        <v>1450.6217045650333</v>
      </c>
      <c r="AH7" s="61">
        <f>IF('Market Sizing'!AH3&gt;=months_to_first_revenue,1,0)*'Market Sizing'!AH15*audit_fee/'Market Sizing'!AH6</f>
        <v>1610.7522427013498</v>
      </c>
      <c r="AI7" s="61">
        <f>IF('Market Sizing'!AI3&gt;=months_to_first_revenue,1,0)*'Market Sizing'!AI15*audit_fee/'Market Sizing'!AI6</f>
        <v>1766.0519589413022</v>
      </c>
      <c r="AJ7" s="61">
        <f>IF('Market Sizing'!AJ3&gt;=months_to_first_revenue,1,0)*'Market Sizing'!AJ15*audit_fee/'Market Sizing'!AJ6</f>
        <v>1912.8599987173779</v>
      </c>
      <c r="AK7" s="61">
        <f>IF('Market Sizing'!AK3&gt;=months_to_first_revenue,1,0)*'Market Sizing'!AK15*audit_fee/'Market Sizing'!AK6</f>
        <v>2048.2831777126098</v>
      </c>
      <c r="AL7" s="61">
        <f>IF('Market Sizing'!AL3&gt;=months_to_first_revenue,1,0)*'Market Sizing'!AL15*audit_fee/'Market Sizing'!AL6</f>
        <v>2170.36004313894</v>
      </c>
      <c r="AM7" s="61">
        <f>IF('Market Sizing'!AM3&gt;=months_to_first_revenue,1,0)*'Market Sizing'!AM15*audit_fee/'Market Sizing'!AM6</f>
        <v>2280.5784973547406</v>
      </c>
      <c r="AN7" s="61">
        <f>IF('Market Sizing'!AN3&gt;=months_to_first_revenue,1,0)*'Market Sizing'!AN15*audit_fee/'Market Sizing'!AN6</f>
        <v>2376.2745678771007</v>
      </c>
      <c r="AO7" s="61">
        <f>IF('Market Sizing'!AO3&gt;=months_to_first_revenue,1,0)*'Market Sizing'!AO15*audit_fee/'Market Sizing'!AO6</f>
        <v>2457.9583053877304</v>
      </c>
      <c r="AP7" s="61">
        <f>IF('Market Sizing'!AP3&gt;=months_to_first_revenue,1,0)*'Market Sizing'!AP15*audit_fee/'Market Sizing'!AP6</f>
        <v>2529.1137811513408</v>
      </c>
      <c r="AQ7" s="61">
        <f>IF('Market Sizing'!AQ3&gt;=months_to_first_revenue,1,0)*'Market Sizing'!AQ15*audit_fee/'Market Sizing'!AQ6</f>
        <v>2588.5094692135772</v>
      </c>
      <c r="AR7" s="61">
        <f>IF('Market Sizing'!AR3&gt;=months_to_first_revenue,1,0)*'Market Sizing'!AR15*audit_fee/'Market Sizing'!AR6</f>
        <v>2635.040451168195</v>
      </c>
    </row>
    <row r="8" spans="1:44" x14ac:dyDescent="0.3">
      <c r="A8" s="4" t="s">
        <v>718</v>
      </c>
      <c r="C8" s="9">
        <f t="shared" ref="C8:AR8" si="0">SUM(C5:C7)</f>
        <v>0</v>
      </c>
      <c r="D8" s="9">
        <f t="shared" si="0"/>
        <v>0</v>
      </c>
      <c r="E8" s="9">
        <f t="shared" si="0"/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 t="shared" si="0"/>
        <v>0</v>
      </c>
      <c r="J8" s="9">
        <f t="shared" si="0"/>
        <v>0</v>
      </c>
      <c r="K8" s="9">
        <f t="shared" si="0"/>
        <v>0</v>
      </c>
      <c r="L8" s="9">
        <f t="shared" si="0"/>
        <v>0</v>
      </c>
      <c r="M8" s="9">
        <f t="shared" si="0"/>
        <v>729.80067617752729</v>
      </c>
      <c r="N8" s="9">
        <f t="shared" si="0"/>
        <v>776.4733382989391</v>
      </c>
      <c r="O8" s="9">
        <f t="shared" si="0"/>
        <v>825.33843175552715</v>
      </c>
      <c r="P8" s="9">
        <f t="shared" si="0"/>
        <v>876.40700126447962</v>
      </c>
      <c r="Q8" s="9">
        <f t="shared" si="0"/>
        <v>926.28234057488567</v>
      </c>
      <c r="R8" s="9">
        <f t="shared" si="0"/>
        <v>981.74226184774807</v>
      </c>
      <c r="S8" s="9">
        <f t="shared" si="0"/>
        <v>1039.3631191660024</v>
      </c>
      <c r="T8" s="9">
        <f t="shared" si="0"/>
        <v>1099.1022846957137</v>
      </c>
      <c r="U8" s="9">
        <f t="shared" si="0"/>
        <v>1194.787404583577</v>
      </c>
      <c r="V8" s="9">
        <f t="shared" si="0"/>
        <v>1260.6271345567422</v>
      </c>
      <c r="W8" s="9">
        <f t="shared" si="0"/>
        <v>1328.4233465935656</v>
      </c>
      <c r="X8" s="9">
        <f t="shared" si="0"/>
        <v>1394.5604390700069</v>
      </c>
      <c r="Y8" s="9">
        <f t="shared" si="0"/>
        <v>1465.921703604349</v>
      </c>
      <c r="Z8" s="9">
        <f t="shared" si="0"/>
        <v>1538.8585746493493</v>
      </c>
      <c r="AA8" s="9">
        <f t="shared" si="0"/>
        <v>1609.7070555344183</v>
      </c>
      <c r="AB8" s="9">
        <f t="shared" si="0"/>
        <v>1685.3044472764584</v>
      </c>
      <c r="AC8" s="9">
        <f t="shared" si="0"/>
        <v>1758.4542886610293</v>
      </c>
      <c r="AD8" s="9">
        <f t="shared" si="0"/>
        <v>1835.9696978966924</v>
      </c>
      <c r="AE8" s="9">
        <f t="shared" si="0"/>
        <v>1914.1388380227818</v>
      </c>
      <c r="AF8" s="9">
        <f t="shared" si="0"/>
        <v>1989.2426773776492</v>
      </c>
      <c r="AG8" s="9">
        <f t="shared" si="0"/>
        <v>6301.5913484870398</v>
      </c>
      <c r="AH8" s="9">
        <f t="shared" si="0"/>
        <v>6997.2084143098336</v>
      </c>
      <c r="AI8" s="9">
        <f t="shared" si="0"/>
        <v>7671.8400878884513</v>
      </c>
      <c r="AJ8" s="9">
        <f t="shared" si="0"/>
        <v>8309.583388178211</v>
      </c>
      <c r="AK8" s="9">
        <f t="shared" si="0"/>
        <v>9194.2631183821286</v>
      </c>
      <c r="AL8" s="9">
        <f t="shared" si="0"/>
        <v>9742.2375555155904</v>
      </c>
      <c r="AM8" s="9">
        <f t="shared" si="0"/>
        <v>10236.982364040112</v>
      </c>
      <c r="AN8" s="9">
        <f t="shared" si="0"/>
        <v>10666.539595848459</v>
      </c>
      <c r="AO8" s="9">
        <f t="shared" si="0"/>
        <v>11406.656709212471</v>
      </c>
      <c r="AP8" s="9">
        <f t="shared" si="0"/>
        <v>11736.868203539736</v>
      </c>
      <c r="AQ8" s="9">
        <f t="shared" si="0"/>
        <v>12012.506005144562</v>
      </c>
      <c r="AR8" s="9">
        <f t="shared" si="0"/>
        <v>12228.442514863005</v>
      </c>
    </row>
    <row r="10" spans="1:44" x14ac:dyDescent="0.3">
      <c r="A10" s="25" t="s">
        <v>719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720</v>
      </c>
      <c r="B11" s="4" t="s">
        <v>470</v>
      </c>
      <c r="C11" s="61">
        <f>IF(AND(IF('Market Sizing'!C3&gt;=months_to_first_revenue,1,0)=1,'Market Sizing'!C15&gt;=stage2_gate),'Market Sizing'!C10*platform_market_share*tx_take_rate*1000,0)</f>
        <v>0</v>
      </c>
      <c r="D11" s="61">
        <f>IF(AND(IF('Market Sizing'!D3&gt;=months_to_first_revenue,1,0)=1,'Market Sizing'!D15&gt;=stage2_gate),'Market Sizing'!D10*platform_market_share*tx_take_rate*1000,0)</f>
        <v>0</v>
      </c>
      <c r="E11" s="61">
        <f>IF(AND(IF('Market Sizing'!E3&gt;=months_to_first_revenue,1,0)=1,'Market Sizing'!E15&gt;=stage2_gate),'Market Sizing'!E10*platform_market_share*tx_take_rate*1000,0)</f>
        <v>0</v>
      </c>
      <c r="F11" s="61">
        <f>IF(AND(IF('Market Sizing'!F3&gt;=months_to_first_revenue,1,0)=1,'Market Sizing'!F15&gt;=stage2_gate),'Market Sizing'!F10*platform_market_share*tx_take_rate*1000,0)</f>
        <v>0</v>
      </c>
      <c r="G11" s="61">
        <f>IF(AND(IF('Market Sizing'!G3&gt;=months_to_first_revenue,1,0)=1,'Market Sizing'!G15&gt;=stage2_gate),'Market Sizing'!G10*platform_market_share*tx_take_rate*1000,0)</f>
        <v>0</v>
      </c>
      <c r="H11" s="61">
        <f>IF(AND(IF('Market Sizing'!H3&gt;=months_to_first_revenue,1,0)=1,'Market Sizing'!H15&gt;=stage2_gate),'Market Sizing'!H10*platform_market_share*tx_take_rate*1000,0)</f>
        <v>0</v>
      </c>
      <c r="I11" s="61">
        <f>IF(AND(IF('Market Sizing'!I3&gt;=months_to_first_revenue,1,0)=1,'Market Sizing'!I15&gt;=stage2_gate),'Market Sizing'!I10*platform_market_share*tx_take_rate*1000,0)</f>
        <v>0</v>
      </c>
      <c r="J11" s="61">
        <f>IF(AND(IF('Market Sizing'!J3&gt;=months_to_first_revenue,1,0)=1,'Market Sizing'!J15&gt;=stage2_gate),'Market Sizing'!J10*platform_market_share*tx_take_rate*1000,0)</f>
        <v>0</v>
      </c>
      <c r="K11" s="61">
        <f>IF(AND(IF('Market Sizing'!K3&gt;=months_to_first_revenue,1,0)=1,'Market Sizing'!K15&gt;=stage2_gate),'Market Sizing'!K10*platform_market_share*tx_take_rate*1000,0)</f>
        <v>0</v>
      </c>
      <c r="L11" s="61">
        <f>IF(AND(IF('Market Sizing'!L3&gt;=months_to_first_revenue,1,0)=1,'Market Sizing'!L15&gt;=stage2_gate),'Market Sizing'!L10*platform_market_share*tx_take_rate*1000,0)</f>
        <v>0</v>
      </c>
      <c r="M11" s="61">
        <f>IF(AND(IF('Market Sizing'!M3&gt;=months_to_first_revenue,1,0)=1,'Market Sizing'!M15&gt;=stage2_gate),'Market Sizing'!M10*platform_market_share*tx_take_rate*1000,0)</f>
        <v>0</v>
      </c>
      <c r="N11" s="61">
        <f>IF(AND(IF('Market Sizing'!N3&gt;=months_to_first_revenue,1,0)=1,'Market Sizing'!N15&gt;=stage2_gate),'Market Sizing'!N10*platform_market_share*tx_take_rate*1000,0)</f>
        <v>0</v>
      </c>
      <c r="O11" s="61">
        <f>IF(AND(IF('Market Sizing'!O3&gt;=months_to_first_revenue,1,0)=1,'Market Sizing'!O15&gt;=stage2_gate),'Market Sizing'!O10*platform_market_share*tx_take_rate*1000,0)</f>
        <v>0</v>
      </c>
      <c r="P11" s="61">
        <f>IF(AND(IF('Market Sizing'!P3&gt;=months_to_first_revenue,1,0)=1,'Market Sizing'!P15&gt;=stage2_gate),'Market Sizing'!P10*platform_market_share*tx_take_rate*1000,0)</f>
        <v>0</v>
      </c>
      <c r="Q11" s="61">
        <f>IF(AND(IF('Market Sizing'!Q3&gt;=months_to_first_revenue,1,0)=1,'Market Sizing'!Q15&gt;=stage2_gate),'Market Sizing'!Q10*platform_market_share*tx_take_rate*1000,0)</f>
        <v>0</v>
      </c>
      <c r="R11" s="61">
        <f>IF(AND(IF('Market Sizing'!R3&gt;=months_to_first_revenue,1,0)=1,'Market Sizing'!R15&gt;=stage2_gate),'Market Sizing'!R10*platform_market_share*tx_take_rate*1000,0)</f>
        <v>0</v>
      </c>
      <c r="S11" s="61">
        <f>IF(AND(IF('Market Sizing'!S3&gt;=months_to_first_revenue,1,0)=1,'Market Sizing'!S15&gt;=stage2_gate),'Market Sizing'!S10*platform_market_share*tx_take_rate*1000,0)</f>
        <v>2970</v>
      </c>
      <c r="T11" s="61">
        <f>IF(AND(IF('Market Sizing'!T3&gt;=months_to_first_revenue,1,0)=1,'Market Sizing'!T15&gt;=stage2_gate),'Market Sizing'!T10*platform_market_share*tx_take_rate*1000,0)</f>
        <v>2970</v>
      </c>
      <c r="U11" s="61">
        <f>IF(AND(IF('Market Sizing'!U3&gt;=months_to_first_revenue,1,0)=1,'Market Sizing'!U15&gt;=stage2_gate),'Market Sizing'!U10*platform_market_share*tx_take_rate*1000,0)</f>
        <v>3207.6000000000008</v>
      </c>
      <c r="V11" s="61">
        <f>IF(AND(IF('Market Sizing'!V3&gt;=months_to_first_revenue,1,0)=1,'Market Sizing'!V15&gt;=stage2_gate),'Market Sizing'!V10*platform_market_share*tx_take_rate*1000,0)</f>
        <v>3207.6000000000008</v>
      </c>
      <c r="W11" s="61">
        <f>IF(AND(IF('Market Sizing'!W3&gt;=months_to_first_revenue,1,0)=1,'Market Sizing'!W15&gt;=stage2_gate),'Market Sizing'!W10*platform_market_share*tx_take_rate*1000,0)</f>
        <v>3207.6000000000008</v>
      </c>
      <c r="X11" s="61">
        <f>IF(AND(IF('Market Sizing'!X3&gt;=months_to_first_revenue,1,0)=1,'Market Sizing'!X15&gt;=stage2_gate),'Market Sizing'!X10*platform_market_share*tx_take_rate*1000,0)</f>
        <v>3207.6000000000008</v>
      </c>
      <c r="Y11" s="61">
        <f>IF(AND(IF('Market Sizing'!Y3&gt;=months_to_first_revenue,1,0)=1,'Market Sizing'!Y15&gt;=stage2_gate),'Market Sizing'!Y10*platform_market_share*tx_take_rate*1000,0)</f>
        <v>3207.6000000000008</v>
      </c>
      <c r="Z11" s="61">
        <f>IF(AND(IF('Market Sizing'!Z3&gt;=months_to_first_revenue,1,0)=1,'Market Sizing'!Z15&gt;=stage2_gate),'Market Sizing'!Z10*platform_market_share*tx_take_rate*1000,0)</f>
        <v>3207.6000000000008</v>
      </c>
      <c r="AA11" s="61">
        <f>IF(AND(IF('Market Sizing'!AA3&gt;=months_to_first_revenue,1,0)=1,'Market Sizing'!AA15&gt;=stage2_gate),'Market Sizing'!AA10*platform_market_share*tx_take_rate*1000,0)</f>
        <v>3207.6000000000008</v>
      </c>
      <c r="AB11" s="61">
        <f>IF(AND(IF('Market Sizing'!AB3&gt;=months_to_first_revenue,1,0)=1,'Market Sizing'!AB15&gt;=stage2_gate),'Market Sizing'!AB10*platform_market_share*tx_take_rate*1000,0)</f>
        <v>3207.6000000000008</v>
      </c>
      <c r="AC11" s="61">
        <f>IF(AND(IF('Market Sizing'!AC3&gt;=months_to_first_revenue,1,0)=1,'Market Sizing'!AC15&gt;=stage2_gate),'Market Sizing'!AC10*platform_market_share*tx_take_rate*1000,0)</f>
        <v>3207.6000000000008</v>
      </c>
      <c r="AD11" s="61">
        <f>IF(AND(IF('Market Sizing'!AD3&gt;=months_to_first_revenue,1,0)=1,'Market Sizing'!AD15&gt;=stage2_gate),'Market Sizing'!AD10*platform_market_share*tx_take_rate*1000,0)</f>
        <v>3207.6000000000008</v>
      </c>
      <c r="AE11" s="61">
        <f>IF(AND(IF('Market Sizing'!AE3&gt;=months_to_first_revenue,1,0)=1,'Market Sizing'!AE15&gt;=stage2_gate),'Market Sizing'!AE10*platform_market_share*tx_take_rate*1000,0)</f>
        <v>3207.6000000000008</v>
      </c>
      <c r="AF11" s="61">
        <f>IF(AND(IF('Market Sizing'!AF3&gt;=months_to_first_revenue,1,0)=1,'Market Sizing'!AF15&gt;=stage2_gate),'Market Sizing'!AF10*platform_market_share*tx_take_rate*1000,0)</f>
        <v>3207.6000000000008</v>
      </c>
      <c r="AG11" s="61">
        <f>IF(AND(IF('Market Sizing'!AG3&gt;=months_to_first_revenue,1,0)=1,'Market Sizing'!AG15&gt;=stage2_gate),'Market Sizing'!AG10*platform_market_share*tx_take_rate*1000,0)</f>
        <v>10392.624000000003</v>
      </c>
      <c r="AH11" s="61">
        <f>IF(AND(IF('Market Sizing'!AH3&gt;=months_to_first_revenue,1,0)=1,'Market Sizing'!AH15&gt;=stage2_gate),'Market Sizing'!AH10*platform_market_share*tx_take_rate*1000,0)</f>
        <v>10392.624000000003</v>
      </c>
      <c r="AI11" s="61">
        <f>IF(AND(IF('Market Sizing'!AI3&gt;=months_to_first_revenue,1,0)=1,'Market Sizing'!AI15&gt;=stage2_gate),'Market Sizing'!AI10*platform_market_share*tx_take_rate*1000,0)</f>
        <v>10392.624000000003</v>
      </c>
      <c r="AJ11" s="61">
        <f>IF(AND(IF('Market Sizing'!AJ3&gt;=months_to_first_revenue,1,0)=1,'Market Sizing'!AJ15&gt;=stage2_gate),'Market Sizing'!AJ10*platform_market_share*tx_take_rate*1000,0)</f>
        <v>10392.624000000003</v>
      </c>
      <c r="AK11" s="61">
        <f>IF(AND(IF('Market Sizing'!AK3&gt;=months_to_first_revenue,1,0)=1,'Market Sizing'!AK15&gt;=stage2_gate),'Market Sizing'!AK10*platform_market_share*tx_take_rate*1000,0)</f>
        <v>11224.033920000003</v>
      </c>
      <c r="AL11" s="61">
        <f>IF(AND(IF('Market Sizing'!AL3&gt;=months_to_first_revenue,1,0)=1,'Market Sizing'!AL15&gt;=stage2_gate),'Market Sizing'!AL10*platform_market_share*tx_take_rate*1000,0)</f>
        <v>11224.033920000003</v>
      </c>
      <c r="AM11" s="61">
        <f>IF(AND(IF('Market Sizing'!AM3&gt;=months_to_first_revenue,1,0)=1,'Market Sizing'!AM15&gt;=stage2_gate),'Market Sizing'!AM10*platform_market_share*tx_take_rate*1000,0)</f>
        <v>11224.033920000003</v>
      </c>
      <c r="AN11" s="61">
        <f>IF(AND(IF('Market Sizing'!AN3&gt;=months_to_first_revenue,1,0)=1,'Market Sizing'!AN15&gt;=stage2_gate),'Market Sizing'!AN10*platform_market_share*tx_take_rate*1000,0)</f>
        <v>11224.033920000003</v>
      </c>
      <c r="AO11" s="61">
        <f>IF(AND(IF('Market Sizing'!AO3&gt;=months_to_first_revenue,1,0)=1,'Market Sizing'!AO15&gt;=stage2_gate),'Market Sizing'!AO10*platform_market_share*tx_take_rate*1000,0)</f>
        <v>12121.956633600004</v>
      </c>
      <c r="AP11" s="61">
        <f>IF(AND(IF('Market Sizing'!AP3&gt;=months_to_first_revenue,1,0)=1,'Market Sizing'!AP15&gt;=stage2_gate),'Market Sizing'!AP10*platform_market_share*tx_take_rate*1000,0)</f>
        <v>12121.956633600004</v>
      </c>
      <c r="AQ11" s="61">
        <f>IF(AND(IF('Market Sizing'!AQ3&gt;=months_to_first_revenue,1,0)=1,'Market Sizing'!AQ15&gt;=stage2_gate),'Market Sizing'!AQ10*platform_market_share*tx_take_rate*1000,0)</f>
        <v>12121.956633600004</v>
      </c>
      <c r="AR11" s="61">
        <f>IF(AND(IF('Market Sizing'!AR3&gt;=months_to_first_revenue,1,0)=1,'Market Sizing'!AR15&gt;=stage2_gate),'Market Sizing'!AR10*platform_market_share*tx_take_rate*1000,0)</f>
        <v>12121.956633600004</v>
      </c>
    </row>
    <row r="12" spans="1:44" x14ac:dyDescent="0.3">
      <c r="A12" s="4" t="s">
        <v>721</v>
      </c>
      <c r="B12" s="4" t="s">
        <v>470</v>
      </c>
      <c r="C12" s="61">
        <f>IF(AND(IF('Market Sizing'!C3&gt;=months_to_first_revenue,1,0)=1,'Market Sizing'!C15&gt;=stage2_gate),'Market Sizing'!C17*daas_price,0)</f>
        <v>0</v>
      </c>
      <c r="D12" s="61">
        <f>IF(AND(IF('Market Sizing'!D3&gt;=months_to_first_revenue,1,0)=1,'Market Sizing'!D15&gt;=stage2_gate),'Market Sizing'!D17*daas_price,0)</f>
        <v>0</v>
      </c>
      <c r="E12" s="61">
        <f>IF(AND(IF('Market Sizing'!E3&gt;=months_to_first_revenue,1,0)=1,'Market Sizing'!E15&gt;=stage2_gate),'Market Sizing'!E17*daas_price,0)</f>
        <v>0</v>
      </c>
      <c r="F12" s="61">
        <f>IF(AND(IF('Market Sizing'!F3&gt;=months_to_first_revenue,1,0)=1,'Market Sizing'!F15&gt;=stage2_gate),'Market Sizing'!F17*daas_price,0)</f>
        <v>0</v>
      </c>
      <c r="G12" s="61">
        <f>IF(AND(IF('Market Sizing'!G3&gt;=months_to_first_revenue,1,0)=1,'Market Sizing'!G15&gt;=stage2_gate),'Market Sizing'!G17*daas_price,0)</f>
        <v>0</v>
      </c>
      <c r="H12" s="61">
        <f>IF(AND(IF('Market Sizing'!H3&gt;=months_to_first_revenue,1,0)=1,'Market Sizing'!H15&gt;=stage2_gate),'Market Sizing'!H17*daas_price,0)</f>
        <v>0</v>
      </c>
      <c r="I12" s="61">
        <f>IF(AND(IF('Market Sizing'!I3&gt;=months_to_first_revenue,1,0)=1,'Market Sizing'!I15&gt;=stage2_gate),'Market Sizing'!I17*daas_price,0)</f>
        <v>0</v>
      </c>
      <c r="J12" s="61">
        <f>IF(AND(IF('Market Sizing'!J3&gt;=months_to_first_revenue,1,0)=1,'Market Sizing'!J15&gt;=stage2_gate),'Market Sizing'!J17*daas_price,0)</f>
        <v>0</v>
      </c>
      <c r="K12" s="61">
        <f>IF(AND(IF('Market Sizing'!K3&gt;=months_to_first_revenue,1,0)=1,'Market Sizing'!K15&gt;=stage2_gate),'Market Sizing'!K17*daas_price,0)</f>
        <v>0</v>
      </c>
      <c r="L12" s="61">
        <f>IF(AND(IF('Market Sizing'!L3&gt;=months_to_first_revenue,1,0)=1,'Market Sizing'!L15&gt;=stage2_gate),'Market Sizing'!L17*daas_price,0)</f>
        <v>0</v>
      </c>
      <c r="M12" s="61">
        <f>IF(AND(IF('Market Sizing'!M3&gt;=months_to_first_revenue,1,0)=1,'Market Sizing'!M15&gt;=stage2_gate),'Market Sizing'!M17*daas_price,0)</f>
        <v>0</v>
      </c>
      <c r="N12" s="61">
        <f>IF(AND(IF('Market Sizing'!N3&gt;=months_to_first_revenue,1,0)=1,'Market Sizing'!N15&gt;=stage2_gate),'Market Sizing'!N17*daas_price,0)</f>
        <v>0</v>
      </c>
      <c r="O12" s="61">
        <f>IF(AND(IF('Market Sizing'!O3&gt;=months_to_first_revenue,1,0)=1,'Market Sizing'!O15&gt;=stage2_gate),'Market Sizing'!O17*daas_price,0)</f>
        <v>0</v>
      </c>
      <c r="P12" s="61">
        <f>IF(AND(IF('Market Sizing'!P3&gt;=months_to_first_revenue,1,0)=1,'Market Sizing'!P15&gt;=stage2_gate),'Market Sizing'!P17*daas_price,0)</f>
        <v>0</v>
      </c>
      <c r="Q12" s="61">
        <f>IF(AND(IF('Market Sizing'!Q3&gt;=months_to_first_revenue,1,0)=1,'Market Sizing'!Q15&gt;=stage2_gate),'Market Sizing'!Q17*daas_price,0)</f>
        <v>0</v>
      </c>
      <c r="R12" s="61">
        <f>IF(AND(IF('Market Sizing'!R3&gt;=months_to_first_revenue,1,0)=1,'Market Sizing'!R15&gt;=stage2_gate),'Market Sizing'!R17*daas_price,0)</f>
        <v>0</v>
      </c>
      <c r="S12" s="61">
        <f>IF(AND(IF('Market Sizing'!S3&gt;=months_to_first_revenue,1,0)=1,'Market Sizing'!S15&gt;=stage2_gate),'Market Sizing'!S17*daas_price,0)</f>
        <v>91.821036294419855</v>
      </c>
      <c r="T12" s="61">
        <f>IF(AND(IF('Market Sizing'!T3&gt;=months_to_first_revenue,1,0)=1,'Market Sizing'!T15&gt;=stage2_gate),'Market Sizing'!T17*daas_price,0)</f>
        <v>97.098606746124389</v>
      </c>
      <c r="U12" s="61">
        <f>IF(AND(IF('Market Sizing'!U3&gt;=months_to_first_revenue,1,0)=1,'Market Sizing'!U15&gt;=stage2_gate),'Market Sizing'!U17*daas_price,0)</f>
        <v>102.25817905499855</v>
      </c>
      <c r="V12" s="61">
        <f>IF(AND(IF('Market Sizing'!V3&gt;=months_to_first_revenue,1,0)=1,'Market Sizing'!V15&gt;=stage2_gate),'Market Sizing'!V17*daas_price,0)</f>
        <v>107.89319903487126</v>
      </c>
      <c r="W12" s="61">
        <f>IF(AND(IF('Market Sizing'!W3&gt;=months_to_first_revenue,1,0)=1,'Market Sizing'!W15&gt;=stage2_gate),'Market Sizing'!W17*daas_price,0)</f>
        <v>113.69566829686387</v>
      </c>
      <c r="X12" s="61">
        <f>IF(AND(IF('Market Sizing'!X3&gt;=months_to_first_revenue,1,0)=1,'Market Sizing'!X15&gt;=stage2_gate),'Market Sizing'!X17*daas_price,0)</f>
        <v>119.35613861877027</v>
      </c>
      <c r="Y12" s="61">
        <f>IF(AND(IF('Market Sizing'!Y3&gt;=months_to_first_revenue,1,0)=1,'Market Sizing'!Y15&gt;=stage2_gate),'Market Sizing'!Y17*daas_price,0)</f>
        <v>125.46372975870803</v>
      </c>
      <c r="Z12" s="61">
        <f>IF(AND(IF('Market Sizing'!Z3&gt;=months_to_first_revenue,1,0)=1,'Market Sizing'!Z15&gt;=stage2_gate),'Market Sizing'!Z17*daas_price,0)</f>
        <v>131.70617221367388</v>
      </c>
      <c r="AA12" s="61">
        <f>IF(AND(IF('Market Sizing'!AA3&gt;=months_to_first_revenue,1,0)=1,'Market Sizing'!AA15&gt;=stage2_gate),'Market Sizing'!AA17*daas_price,0)</f>
        <v>137.76987577828007</v>
      </c>
      <c r="AB12" s="61">
        <f>IF(AND(IF('Market Sizing'!AB3&gt;=months_to_first_revenue,1,0)=1,'Market Sizing'!AB15&gt;=stage2_gate),'Market Sizing'!AB17*daas_price,0)</f>
        <v>144.24002401652896</v>
      </c>
      <c r="AC12" s="61">
        <f>IF(AND(IF('Market Sizing'!AC3&gt;=months_to_first_revenue,1,0)=1,'Market Sizing'!AC15&gt;=stage2_gate),'Market Sizing'!AC17*daas_price,0)</f>
        <v>150.50069394780877</v>
      </c>
      <c r="AD12" s="61">
        <f>IF(AND(IF('Market Sizing'!AD3&gt;=months_to_first_revenue,1,0)=1,'Market Sizing'!AD15&gt;=stage2_gate),'Market Sizing'!AD17*daas_price,0)</f>
        <v>157.1349994039368</v>
      </c>
      <c r="AE12" s="61">
        <f>IF(AND(IF('Market Sizing'!AE3&gt;=months_to_first_revenue,1,0)=1,'Market Sizing'!AE15&gt;=stage2_gate),'Market Sizing'!AE17*daas_price,0)</f>
        <v>163.82525567624407</v>
      </c>
      <c r="AF12" s="61">
        <f>IF(AND(IF('Market Sizing'!AF3&gt;=months_to_first_revenue,1,0)=1,'Market Sizing'!AF15&gt;=stage2_gate),'Market Sizing'!AF17*daas_price,0)</f>
        <v>170.25316228373342</v>
      </c>
      <c r="AG12" s="61">
        <f>IF(AND(IF('Market Sizing'!AG3&gt;=months_to_first_revenue,1,0)=1,'Market Sizing'!AG15&gt;=stage2_gate),'Market Sizing'!AG17*daas_price,0)</f>
        <v>522.22381364341197</v>
      </c>
      <c r="AH12" s="61">
        <f>IF(AND(IF('Market Sizing'!AH3&gt;=months_to_first_revenue,1,0)=1,'Market Sizing'!AH15&gt;=stage2_gate),'Market Sizing'!AH17*daas_price,0)</f>
        <v>579.87080737248584</v>
      </c>
      <c r="AI12" s="61">
        <f>IF(AND(IF('Market Sizing'!AI3&gt;=months_to_first_revenue,1,0)=1,'Market Sizing'!AI15&gt;=stage2_gate),'Market Sizing'!AI17*daas_price,0)</f>
        <v>635.77870521886882</v>
      </c>
      <c r="AJ12" s="61">
        <f>IF(AND(IF('Market Sizing'!AJ3&gt;=months_to_first_revenue,1,0)=1,'Market Sizing'!AJ15&gt;=stage2_gate),'Market Sizing'!AJ17*daas_price,0)</f>
        <v>688.629599538256</v>
      </c>
      <c r="AK12" s="61">
        <f>IF(AND(IF('Market Sizing'!AK3&gt;=months_to_first_revenue,1,0)=1,'Market Sizing'!AK15&gt;=stage2_gate),'Market Sizing'!AK17*daas_price,0)</f>
        <v>737.38194397653956</v>
      </c>
      <c r="AL12" s="61">
        <f>IF(AND(IF('Market Sizing'!AL3&gt;=months_to_first_revenue,1,0)=1,'Market Sizing'!AL15&gt;=stage2_gate),'Market Sizing'!AL17*daas_price,0)</f>
        <v>781.32961553001826</v>
      </c>
      <c r="AM12" s="61">
        <f>IF(AND(IF('Market Sizing'!AM3&gt;=months_to_first_revenue,1,0)=1,'Market Sizing'!AM15&gt;=stage2_gate),'Market Sizing'!AM17*daas_price,0)</f>
        <v>821.00825904770682</v>
      </c>
      <c r="AN12" s="61">
        <f>IF(AND(IF('Market Sizing'!AN3&gt;=months_to_first_revenue,1,0)=1,'Market Sizing'!AN15&gt;=stage2_gate),'Market Sizing'!AN17*daas_price,0)</f>
        <v>855.4588444357563</v>
      </c>
      <c r="AO12" s="61">
        <f>IF(AND(IF('Market Sizing'!AO3&gt;=months_to_first_revenue,1,0)=1,'Market Sizing'!AO15&gt;=stage2_gate),'Market Sizing'!AO17*daas_price,0)</f>
        <v>884.86498993958298</v>
      </c>
      <c r="AP12" s="61">
        <f>IF(AND(IF('Market Sizing'!AP3&gt;=months_to_first_revenue,1,0)=1,'Market Sizing'!AP15&gt;=stage2_gate),'Market Sizing'!AP17*daas_price,0)</f>
        <v>910.48096121448259</v>
      </c>
      <c r="AQ12" s="61">
        <f>IF(AND(IF('Market Sizing'!AQ3&gt;=months_to_first_revenue,1,0)=1,'Market Sizing'!AQ15&gt;=stage2_gate),'Market Sizing'!AQ17*daas_price,0)</f>
        <v>931.86340891688769</v>
      </c>
      <c r="AR12" s="61">
        <f>IF(AND(IF('Market Sizing'!AR3&gt;=months_to_first_revenue,1,0)=1,'Market Sizing'!AR15&gt;=stage2_gate),'Market Sizing'!AR17*daas_price,0)</f>
        <v>948.61456242055021</v>
      </c>
    </row>
    <row r="13" spans="1:44" x14ac:dyDescent="0.3">
      <c r="A13" s="4" t="s">
        <v>722</v>
      </c>
      <c r="B13" s="4" t="s">
        <v>470</v>
      </c>
      <c r="C13" s="61">
        <f>IF(AND(IF('Market Sizing'!C3&gt;=months_to_first_revenue,1,0)=1,'Market Sizing'!C15&gt;=stage2_gate),ad_impressions_base*'Market Sizing'!C7*'Market Sizing'!C15/1000*ad_cpm/1000,0)</f>
        <v>0</v>
      </c>
      <c r="D13" s="61">
        <f>IF(AND(IF('Market Sizing'!D3&gt;=months_to_first_revenue,1,0)=1,'Market Sizing'!D15&gt;=stage2_gate),ad_impressions_base*'Market Sizing'!D7*'Market Sizing'!D15/1000*ad_cpm/1000,0)</f>
        <v>0</v>
      </c>
      <c r="E13" s="61">
        <f>IF(AND(IF('Market Sizing'!E3&gt;=months_to_first_revenue,1,0)=1,'Market Sizing'!E15&gt;=stage2_gate),ad_impressions_base*'Market Sizing'!E7*'Market Sizing'!E15/1000*ad_cpm/1000,0)</f>
        <v>0</v>
      </c>
      <c r="F13" s="61">
        <f>IF(AND(IF('Market Sizing'!F3&gt;=months_to_first_revenue,1,0)=1,'Market Sizing'!F15&gt;=stage2_gate),ad_impressions_base*'Market Sizing'!F7*'Market Sizing'!F15/1000*ad_cpm/1000,0)</f>
        <v>0</v>
      </c>
      <c r="G13" s="61">
        <f>IF(AND(IF('Market Sizing'!G3&gt;=months_to_first_revenue,1,0)=1,'Market Sizing'!G15&gt;=stage2_gate),ad_impressions_base*'Market Sizing'!G7*'Market Sizing'!G15/1000*ad_cpm/1000,0)</f>
        <v>0</v>
      </c>
      <c r="H13" s="61">
        <f>IF(AND(IF('Market Sizing'!H3&gt;=months_to_first_revenue,1,0)=1,'Market Sizing'!H15&gt;=stage2_gate),ad_impressions_base*'Market Sizing'!H7*'Market Sizing'!H15/1000*ad_cpm/1000,0)</f>
        <v>0</v>
      </c>
      <c r="I13" s="61">
        <f>IF(AND(IF('Market Sizing'!I3&gt;=months_to_first_revenue,1,0)=1,'Market Sizing'!I15&gt;=stage2_gate),ad_impressions_base*'Market Sizing'!I7*'Market Sizing'!I15/1000*ad_cpm/1000,0)</f>
        <v>0</v>
      </c>
      <c r="J13" s="61">
        <f>IF(AND(IF('Market Sizing'!J3&gt;=months_to_first_revenue,1,0)=1,'Market Sizing'!J15&gt;=stage2_gate),ad_impressions_base*'Market Sizing'!J7*'Market Sizing'!J15/1000*ad_cpm/1000,0)</f>
        <v>0</v>
      </c>
      <c r="K13" s="61">
        <f>IF(AND(IF('Market Sizing'!K3&gt;=months_to_first_revenue,1,0)=1,'Market Sizing'!K15&gt;=stage2_gate),ad_impressions_base*'Market Sizing'!K7*'Market Sizing'!K15/1000*ad_cpm/1000,0)</f>
        <v>0</v>
      </c>
      <c r="L13" s="61">
        <f>IF(AND(IF('Market Sizing'!L3&gt;=months_to_first_revenue,1,0)=1,'Market Sizing'!L15&gt;=stage2_gate),ad_impressions_base*'Market Sizing'!L7*'Market Sizing'!L15/1000*ad_cpm/1000,0)</f>
        <v>0</v>
      </c>
      <c r="M13" s="61">
        <f>IF(AND(IF('Market Sizing'!M3&gt;=months_to_first_revenue,1,0)=1,'Market Sizing'!M15&gt;=stage2_gate),ad_impressions_base*'Market Sizing'!M7*'Market Sizing'!M15/1000*ad_cpm/1000,0)</f>
        <v>0</v>
      </c>
      <c r="N13" s="61">
        <f>IF(AND(IF('Market Sizing'!N3&gt;=months_to_first_revenue,1,0)=1,'Market Sizing'!N15&gt;=stage2_gate),ad_impressions_base*'Market Sizing'!N7*'Market Sizing'!N15/1000*ad_cpm/1000,0)</f>
        <v>0</v>
      </c>
      <c r="O13" s="61">
        <f>IF(AND(IF('Market Sizing'!O3&gt;=months_to_first_revenue,1,0)=1,'Market Sizing'!O15&gt;=stage2_gate),ad_impressions_base*'Market Sizing'!O7*'Market Sizing'!O15/1000*ad_cpm/1000,0)</f>
        <v>0</v>
      </c>
      <c r="P13" s="61">
        <f>IF(AND(IF('Market Sizing'!P3&gt;=months_to_first_revenue,1,0)=1,'Market Sizing'!P15&gt;=stage2_gate),ad_impressions_base*'Market Sizing'!P7*'Market Sizing'!P15/1000*ad_cpm/1000,0)</f>
        <v>0</v>
      </c>
      <c r="Q13" s="61">
        <f>IF(AND(IF('Market Sizing'!Q3&gt;=months_to_first_revenue,1,0)=1,'Market Sizing'!Q15&gt;=stage2_gate),ad_impressions_base*'Market Sizing'!Q7*'Market Sizing'!Q15/1000*ad_cpm/1000,0)</f>
        <v>0</v>
      </c>
      <c r="R13" s="61">
        <f>IF(AND(IF('Market Sizing'!R3&gt;=months_to_first_revenue,1,0)=1,'Market Sizing'!R15&gt;=stage2_gate),ad_impressions_base*'Market Sizing'!R7*'Market Sizing'!R15/1000*ad_cpm/1000,0)</f>
        <v>0</v>
      </c>
      <c r="S13" s="61">
        <f>IF(AND(IF('Market Sizing'!S3&gt;=months_to_first_revenue,1,0)=1,'Market Sizing'!S15&gt;=stage2_gate),ad_impressions_base*'Market Sizing'!S7*'Market Sizing'!S15/1000*ad_cpm/1000,0)</f>
        <v>22.95525907360496</v>
      </c>
      <c r="T13" s="61">
        <f>IF(AND(IF('Market Sizing'!T3&gt;=months_to_first_revenue,1,0)=1,'Market Sizing'!T15&gt;=stage2_gate),ad_impressions_base*'Market Sizing'!T7*'Market Sizing'!T15/1000*ad_cpm/1000,0)</f>
        <v>24.274651686531094</v>
      </c>
      <c r="U13" s="61">
        <f>IF(AND(IF('Market Sizing'!U3&gt;=months_to_first_revenue,1,0)=1,'Market Sizing'!U15&gt;=stage2_gate),ad_impressions_base*'Market Sizing'!U7*'Market Sizing'!U15/1000*ad_cpm/1000,0)</f>
        <v>25.564544763749641</v>
      </c>
      <c r="V13" s="61">
        <f>IF(AND(IF('Market Sizing'!V3&gt;=months_to_first_revenue,1,0)=1,'Market Sizing'!V15&gt;=stage2_gate),ad_impressions_base*'Market Sizing'!V7*'Market Sizing'!V15/1000*ad_cpm/1000,0)</f>
        <v>26.973299758717815</v>
      </c>
      <c r="W13" s="61">
        <f>IF(AND(IF('Market Sizing'!W3&gt;=months_to_first_revenue,1,0)=1,'Market Sizing'!W15&gt;=stage2_gate),ad_impressions_base*'Market Sizing'!W7*'Market Sizing'!W15/1000*ad_cpm/1000,0)</f>
        <v>28.423917074215964</v>
      </c>
      <c r="X13" s="61">
        <f>IF(AND(IF('Market Sizing'!X3&gt;=months_to_first_revenue,1,0)=1,'Market Sizing'!X15&gt;=stage2_gate),ad_impressions_base*'Market Sizing'!X7*'Market Sizing'!X15/1000*ad_cpm/1000,0)</f>
        <v>29.839034654692565</v>
      </c>
      <c r="Y13" s="61">
        <f>IF(AND(IF('Market Sizing'!Y3&gt;=months_to_first_revenue,1,0)=1,'Market Sizing'!Y15&gt;=stage2_gate),ad_impressions_base*'Market Sizing'!Y7*'Market Sizing'!Y15/1000*ad_cpm/1000,0)</f>
        <v>31.365932439677007</v>
      </c>
      <c r="Z13" s="61">
        <f>IF(AND(IF('Market Sizing'!Z3&gt;=months_to_first_revenue,1,0)=1,'Market Sizing'!Z15&gt;=stage2_gate),ad_impressions_base*'Market Sizing'!Z7*'Market Sizing'!Z15/1000*ad_cpm/1000,0)</f>
        <v>32.92654305341847</v>
      </c>
      <c r="AA13" s="61">
        <f>IF(AND(IF('Market Sizing'!AA3&gt;=months_to_first_revenue,1,0)=1,'Market Sizing'!AA15&gt;=stage2_gate),ad_impressions_base*'Market Sizing'!AA7*'Market Sizing'!AA15/1000*ad_cpm/1000,0)</f>
        <v>34.442468944570024</v>
      </c>
      <c r="AB13" s="61">
        <f>IF(AND(IF('Market Sizing'!AB3&gt;=months_to_first_revenue,1,0)=1,'Market Sizing'!AB15&gt;=stage2_gate),ad_impressions_base*'Market Sizing'!AB7*'Market Sizing'!AB15/1000*ad_cpm/1000,0)</f>
        <v>36.060006004132241</v>
      </c>
      <c r="AC13" s="61">
        <f>IF(AND(IF('Market Sizing'!AC3&gt;=months_to_first_revenue,1,0)=1,'Market Sizing'!AC15&gt;=stage2_gate),ad_impressions_base*'Market Sizing'!AC7*'Market Sizing'!AC15/1000*ad_cpm/1000,0)</f>
        <v>37.625173486952193</v>
      </c>
      <c r="AD13" s="61">
        <f>IF(AND(IF('Market Sizing'!AD3&gt;=months_to_first_revenue,1,0)=1,'Market Sizing'!AD15&gt;=stage2_gate),ad_impressions_base*'Market Sizing'!AD7*'Market Sizing'!AD15/1000*ad_cpm/1000,0)</f>
        <v>39.283749850984208</v>
      </c>
      <c r="AE13" s="61">
        <f>IF(AND(IF('Market Sizing'!AE3&gt;=months_to_first_revenue,1,0)=1,'Market Sizing'!AE15&gt;=stage2_gate),ad_impressions_base*'Market Sizing'!AE7*'Market Sizing'!AE15/1000*ad_cpm/1000,0)</f>
        <v>40.956313919061017</v>
      </c>
      <c r="AF13" s="61">
        <f>IF(AND(IF('Market Sizing'!AF3&gt;=months_to_first_revenue,1,0)=1,'Market Sizing'!AF15&gt;=stage2_gate),ad_impressions_base*'Market Sizing'!AF7*'Market Sizing'!AF15/1000*ad_cpm/1000,0)</f>
        <v>42.563290570933354</v>
      </c>
      <c r="AG13" s="61">
        <f>IF(AND(IF('Market Sizing'!AG3&gt;=months_to_first_revenue,1,0)=1,'Market Sizing'!AG15&gt;=stage2_gate),ad_impressions_base*'Market Sizing'!AG7*'Market Sizing'!AG15/1000*ad_cpm/1000,0)</f>
        <v>130.55595341085299</v>
      </c>
      <c r="AH13" s="61">
        <f>IF(AND(IF('Market Sizing'!AH3&gt;=months_to_first_revenue,1,0)=1,'Market Sizing'!AH15&gt;=stage2_gate),ad_impressions_base*'Market Sizing'!AH7*'Market Sizing'!AH15/1000*ad_cpm/1000,0)</f>
        <v>144.96770184312149</v>
      </c>
      <c r="AI13" s="61">
        <f>IF(AND(IF('Market Sizing'!AI3&gt;=months_to_first_revenue,1,0)=1,'Market Sizing'!AI15&gt;=stage2_gate),ad_impressions_base*'Market Sizing'!AI7*'Market Sizing'!AI15/1000*ad_cpm/1000,0)</f>
        <v>158.94467630471723</v>
      </c>
      <c r="AJ13" s="61">
        <f>IF(AND(IF('Market Sizing'!AJ3&gt;=months_to_first_revenue,1,0)=1,'Market Sizing'!AJ15&gt;=stage2_gate),ad_impressions_base*'Market Sizing'!AJ7*'Market Sizing'!AJ15/1000*ad_cpm/1000,0)</f>
        <v>172.157399884564</v>
      </c>
      <c r="AK13" s="61">
        <f>IF(AND(IF('Market Sizing'!AK3&gt;=months_to_first_revenue,1,0)=1,'Market Sizing'!AK15&gt;=stage2_gate),ad_impressions_base*'Market Sizing'!AK7*'Market Sizing'!AK15/1000*ad_cpm/1000,0)</f>
        <v>184.34548599413492</v>
      </c>
      <c r="AL13" s="61">
        <f>IF(AND(IF('Market Sizing'!AL3&gt;=months_to_first_revenue,1,0)=1,'Market Sizing'!AL15&gt;=stage2_gate),ad_impressions_base*'Market Sizing'!AL7*'Market Sizing'!AL15/1000*ad_cpm/1000,0)</f>
        <v>195.33240388250456</v>
      </c>
      <c r="AM13" s="61">
        <f>IF(AND(IF('Market Sizing'!AM3&gt;=months_to_first_revenue,1,0)=1,'Market Sizing'!AM15&gt;=stage2_gate),ad_impressions_base*'Market Sizing'!AM7*'Market Sizing'!AM15/1000*ad_cpm/1000,0)</f>
        <v>205.25206476192665</v>
      </c>
      <c r="AN13" s="61">
        <f>IF(AND(IF('Market Sizing'!AN3&gt;=months_to_first_revenue,1,0)=1,'Market Sizing'!AN15&gt;=stage2_gate),ad_impressions_base*'Market Sizing'!AN7*'Market Sizing'!AN15/1000*ad_cpm/1000,0)</f>
        <v>213.86471110893908</v>
      </c>
      <c r="AO13" s="61">
        <f>IF(AND(IF('Market Sizing'!AO3&gt;=months_to_first_revenue,1,0)=1,'Market Sizing'!AO15&gt;=stage2_gate),ad_impressions_base*'Market Sizing'!AO7*'Market Sizing'!AO15/1000*ad_cpm/1000,0)</f>
        <v>221.21624748489572</v>
      </c>
      <c r="AP13" s="61">
        <f>IF(AND(IF('Market Sizing'!AP3&gt;=months_to_first_revenue,1,0)=1,'Market Sizing'!AP15&gt;=stage2_gate),ad_impressions_base*'Market Sizing'!AP7*'Market Sizing'!AP15/1000*ad_cpm/1000,0)</f>
        <v>227.62024030362068</v>
      </c>
      <c r="AQ13" s="61">
        <f>IF(AND(IF('Market Sizing'!AQ3&gt;=months_to_first_revenue,1,0)=1,'Market Sizing'!AQ15&gt;=stage2_gate),ad_impressions_base*'Market Sizing'!AQ7*'Market Sizing'!AQ15/1000*ad_cpm/1000,0)</f>
        <v>232.96585222922195</v>
      </c>
      <c r="AR13" s="61">
        <f>IF(AND(IF('Market Sizing'!AR3&gt;=months_to_first_revenue,1,0)=1,'Market Sizing'!AR15&gt;=stage2_gate),ad_impressions_base*'Market Sizing'!AR7*'Market Sizing'!AR15/1000*ad_cpm/1000,0)</f>
        <v>237.15364060513753</v>
      </c>
    </row>
    <row r="14" spans="1:44" x14ac:dyDescent="0.3">
      <c r="A14" s="4" t="s">
        <v>723</v>
      </c>
      <c r="C14" s="9">
        <f t="shared" ref="C14:AR14" si="1">SUM(C11:C13)</f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  <c r="N14" s="9">
        <f t="shared" si="1"/>
        <v>0</v>
      </c>
      <c r="O14" s="9">
        <f t="shared" si="1"/>
        <v>0</v>
      </c>
      <c r="P14" s="9">
        <f t="shared" si="1"/>
        <v>0</v>
      </c>
      <c r="Q14" s="9">
        <f t="shared" si="1"/>
        <v>0</v>
      </c>
      <c r="R14" s="9">
        <f t="shared" si="1"/>
        <v>0</v>
      </c>
      <c r="S14" s="9">
        <f t="shared" si="1"/>
        <v>3084.7762953680249</v>
      </c>
      <c r="T14" s="9">
        <f t="shared" si="1"/>
        <v>3091.3732584326553</v>
      </c>
      <c r="U14" s="9">
        <f t="shared" si="1"/>
        <v>3335.4227238187491</v>
      </c>
      <c r="V14" s="9">
        <f t="shared" si="1"/>
        <v>3342.4664987935903</v>
      </c>
      <c r="W14" s="9">
        <f t="shared" si="1"/>
        <v>3349.7195853710805</v>
      </c>
      <c r="X14" s="9">
        <f t="shared" si="1"/>
        <v>3356.7951732734637</v>
      </c>
      <c r="Y14" s="9">
        <f t="shared" si="1"/>
        <v>3364.4296621983858</v>
      </c>
      <c r="Z14" s="9">
        <f t="shared" si="1"/>
        <v>3372.2327152670928</v>
      </c>
      <c r="AA14" s="9">
        <f t="shared" si="1"/>
        <v>3379.8123447228509</v>
      </c>
      <c r="AB14" s="9">
        <f t="shared" si="1"/>
        <v>3387.9000300206621</v>
      </c>
      <c r="AC14" s="9">
        <f t="shared" si="1"/>
        <v>3395.7258674347618</v>
      </c>
      <c r="AD14" s="9">
        <f t="shared" si="1"/>
        <v>3404.0187492549221</v>
      </c>
      <c r="AE14" s="9">
        <f t="shared" si="1"/>
        <v>3412.3815695953058</v>
      </c>
      <c r="AF14" s="9">
        <f t="shared" si="1"/>
        <v>3420.4164528546676</v>
      </c>
      <c r="AG14" s="9">
        <f t="shared" si="1"/>
        <v>11045.403767054268</v>
      </c>
      <c r="AH14" s="9">
        <f t="shared" si="1"/>
        <v>11117.462509215611</v>
      </c>
      <c r="AI14" s="9">
        <f t="shared" si="1"/>
        <v>11187.34738152359</v>
      </c>
      <c r="AJ14" s="9">
        <f t="shared" si="1"/>
        <v>11253.410999422822</v>
      </c>
      <c r="AK14" s="9">
        <f t="shared" si="1"/>
        <v>12145.761349970679</v>
      </c>
      <c r="AL14" s="9">
        <f t="shared" si="1"/>
        <v>12200.695939412526</v>
      </c>
      <c r="AM14" s="9">
        <f t="shared" si="1"/>
        <v>12250.294243809636</v>
      </c>
      <c r="AN14" s="9">
        <f t="shared" si="1"/>
        <v>12293.357475544699</v>
      </c>
      <c r="AO14" s="9">
        <f t="shared" si="1"/>
        <v>13228.037871024482</v>
      </c>
      <c r="AP14" s="9">
        <f t="shared" si="1"/>
        <v>13260.057835118107</v>
      </c>
      <c r="AQ14" s="9">
        <f t="shared" si="1"/>
        <v>13286.785894746114</v>
      </c>
      <c r="AR14" s="9">
        <f t="shared" si="1"/>
        <v>13307.724836625694</v>
      </c>
    </row>
    <row r="16" spans="1:44" x14ac:dyDescent="0.3">
      <c r="A16" s="4" t="s">
        <v>724</v>
      </c>
      <c r="C16" s="9">
        <f t="shared" ref="C16:AR16" si="2">C8+C14</f>
        <v>0</v>
      </c>
      <c r="D16" s="9">
        <f t="shared" si="2"/>
        <v>0</v>
      </c>
      <c r="E16" s="9">
        <f t="shared" si="2"/>
        <v>0</v>
      </c>
      <c r="F16" s="9">
        <f t="shared" si="2"/>
        <v>0</v>
      </c>
      <c r="G16" s="9">
        <f t="shared" si="2"/>
        <v>0</v>
      </c>
      <c r="H16" s="9">
        <f t="shared" si="2"/>
        <v>0</v>
      </c>
      <c r="I16" s="9">
        <f t="shared" si="2"/>
        <v>0</v>
      </c>
      <c r="J16" s="9">
        <f t="shared" si="2"/>
        <v>0</v>
      </c>
      <c r="K16" s="9">
        <f t="shared" si="2"/>
        <v>0</v>
      </c>
      <c r="L16" s="9">
        <f t="shared" si="2"/>
        <v>0</v>
      </c>
      <c r="M16" s="9">
        <f t="shared" si="2"/>
        <v>729.80067617752729</v>
      </c>
      <c r="N16" s="9">
        <f t="shared" si="2"/>
        <v>776.4733382989391</v>
      </c>
      <c r="O16" s="9">
        <f t="shared" si="2"/>
        <v>825.33843175552715</v>
      </c>
      <c r="P16" s="9">
        <f t="shared" si="2"/>
        <v>876.40700126447962</v>
      </c>
      <c r="Q16" s="9">
        <f t="shared" si="2"/>
        <v>926.28234057488567</v>
      </c>
      <c r="R16" s="9">
        <f t="shared" si="2"/>
        <v>981.74226184774807</v>
      </c>
      <c r="S16" s="9">
        <f t="shared" si="2"/>
        <v>4124.1394145340273</v>
      </c>
      <c r="T16" s="9">
        <f t="shared" si="2"/>
        <v>4190.4755431283693</v>
      </c>
      <c r="U16" s="9">
        <f t="shared" si="2"/>
        <v>4530.2101284023265</v>
      </c>
      <c r="V16" s="9">
        <f t="shared" si="2"/>
        <v>4603.0936333503323</v>
      </c>
      <c r="W16" s="9">
        <f t="shared" si="2"/>
        <v>4678.1429319646459</v>
      </c>
      <c r="X16" s="9">
        <f t="shared" si="2"/>
        <v>4751.3556123434701</v>
      </c>
      <c r="Y16" s="9">
        <f t="shared" si="2"/>
        <v>4830.351365802735</v>
      </c>
      <c r="Z16" s="9">
        <f t="shared" si="2"/>
        <v>4911.0912899164423</v>
      </c>
      <c r="AA16" s="9">
        <f t="shared" si="2"/>
        <v>4989.5194002572689</v>
      </c>
      <c r="AB16" s="9">
        <f t="shared" si="2"/>
        <v>5073.2044772971203</v>
      </c>
      <c r="AC16" s="9">
        <f t="shared" si="2"/>
        <v>5154.1801560957911</v>
      </c>
      <c r="AD16" s="9">
        <f t="shared" si="2"/>
        <v>5239.9884471516143</v>
      </c>
      <c r="AE16" s="9">
        <f t="shared" si="2"/>
        <v>5326.5204076180871</v>
      </c>
      <c r="AF16" s="9">
        <f t="shared" si="2"/>
        <v>5409.6591302323168</v>
      </c>
      <c r="AG16" s="9">
        <f t="shared" si="2"/>
        <v>17346.995115541307</v>
      </c>
      <c r="AH16" s="9">
        <f t="shared" si="2"/>
        <v>18114.670923525446</v>
      </c>
      <c r="AI16" s="9">
        <f t="shared" si="2"/>
        <v>18859.187469412042</v>
      </c>
      <c r="AJ16" s="9">
        <f t="shared" si="2"/>
        <v>19562.994387601033</v>
      </c>
      <c r="AK16" s="9">
        <f t="shared" si="2"/>
        <v>21340.024468352807</v>
      </c>
      <c r="AL16" s="9">
        <f t="shared" si="2"/>
        <v>21942.933494928118</v>
      </c>
      <c r="AM16" s="9">
        <f t="shared" si="2"/>
        <v>22487.276607849748</v>
      </c>
      <c r="AN16" s="9">
        <f t="shared" si="2"/>
        <v>22959.897071393156</v>
      </c>
      <c r="AO16" s="9">
        <f t="shared" si="2"/>
        <v>24634.694580236952</v>
      </c>
      <c r="AP16" s="9">
        <f t="shared" si="2"/>
        <v>24996.926038657843</v>
      </c>
      <c r="AQ16" s="9">
        <f t="shared" si="2"/>
        <v>25299.291899890675</v>
      </c>
      <c r="AR16" s="9">
        <f t="shared" si="2"/>
        <v>25536.167351488701</v>
      </c>
    </row>
    <row r="18" spans="1:44" x14ac:dyDescent="0.3">
      <c r="A18" s="25" t="s">
        <v>348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x14ac:dyDescent="0.3">
      <c r="A19" s="4" t="s">
        <v>725</v>
      </c>
      <c r="B19" s="4" t="s">
        <v>470</v>
      </c>
      <c r="C19" s="10">
        <f t="shared" ref="C19:AR19" si="3">C11*payment_proc_pct</f>
        <v>0</v>
      </c>
      <c r="D19" s="10">
        <f t="shared" si="3"/>
        <v>0</v>
      </c>
      <c r="E19" s="10">
        <f t="shared" si="3"/>
        <v>0</v>
      </c>
      <c r="F19" s="10">
        <f t="shared" si="3"/>
        <v>0</v>
      </c>
      <c r="G19" s="10">
        <f t="shared" si="3"/>
        <v>0</v>
      </c>
      <c r="H19" s="10">
        <f t="shared" si="3"/>
        <v>0</v>
      </c>
      <c r="I19" s="10">
        <f t="shared" si="3"/>
        <v>0</v>
      </c>
      <c r="J19" s="10">
        <f t="shared" si="3"/>
        <v>0</v>
      </c>
      <c r="K19" s="10">
        <f t="shared" si="3"/>
        <v>0</v>
      </c>
      <c r="L19" s="10">
        <f t="shared" si="3"/>
        <v>0</v>
      </c>
      <c r="M19" s="10">
        <f t="shared" si="3"/>
        <v>0</v>
      </c>
      <c r="N19" s="10">
        <f t="shared" si="3"/>
        <v>0</v>
      </c>
      <c r="O19" s="10">
        <f t="shared" si="3"/>
        <v>0</v>
      </c>
      <c r="P19" s="10">
        <f t="shared" si="3"/>
        <v>0</v>
      </c>
      <c r="Q19" s="10">
        <f t="shared" si="3"/>
        <v>0</v>
      </c>
      <c r="R19" s="10">
        <f t="shared" si="3"/>
        <v>0</v>
      </c>
      <c r="S19" s="10">
        <f t="shared" si="3"/>
        <v>74.25</v>
      </c>
      <c r="T19" s="10">
        <f t="shared" si="3"/>
        <v>74.25</v>
      </c>
      <c r="U19" s="10">
        <f t="shared" si="3"/>
        <v>80.190000000000026</v>
      </c>
      <c r="V19" s="10">
        <f t="shared" si="3"/>
        <v>80.190000000000026</v>
      </c>
      <c r="W19" s="10">
        <f t="shared" si="3"/>
        <v>80.190000000000026</v>
      </c>
      <c r="X19" s="10">
        <f t="shared" si="3"/>
        <v>80.190000000000026</v>
      </c>
      <c r="Y19" s="10">
        <f t="shared" si="3"/>
        <v>80.190000000000026</v>
      </c>
      <c r="Z19" s="10">
        <f t="shared" si="3"/>
        <v>80.190000000000026</v>
      </c>
      <c r="AA19" s="10">
        <f t="shared" si="3"/>
        <v>80.190000000000026</v>
      </c>
      <c r="AB19" s="10">
        <f t="shared" si="3"/>
        <v>80.190000000000026</v>
      </c>
      <c r="AC19" s="10">
        <f t="shared" si="3"/>
        <v>80.190000000000026</v>
      </c>
      <c r="AD19" s="10">
        <f t="shared" si="3"/>
        <v>80.190000000000026</v>
      </c>
      <c r="AE19" s="10">
        <f t="shared" si="3"/>
        <v>80.190000000000026</v>
      </c>
      <c r="AF19" s="10">
        <f t="shared" si="3"/>
        <v>80.190000000000026</v>
      </c>
      <c r="AG19" s="10">
        <f t="shared" si="3"/>
        <v>259.81560000000007</v>
      </c>
      <c r="AH19" s="10">
        <f t="shared" si="3"/>
        <v>259.81560000000007</v>
      </c>
      <c r="AI19" s="10">
        <f t="shared" si="3"/>
        <v>259.81560000000007</v>
      </c>
      <c r="AJ19" s="10">
        <f t="shared" si="3"/>
        <v>259.81560000000007</v>
      </c>
      <c r="AK19" s="10">
        <f t="shared" si="3"/>
        <v>280.6008480000001</v>
      </c>
      <c r="AL19" s="10">
        <f t="shared" si="3"/>
        <v>280.6008480000001</v>
      </c>
      <c r="AM19" s="10">
        <f t="shared" si="3"/>
        <v>280.6008480000001</v>
      </c>
      <c r="AN19" s="10">
        <f t="shared" si="3"/>
        <v>280.6008480000001</v>
      </c>
      <c r="AO19" s="10">
        <f t="shared" si="3"/>
        <v>303.04891584000012</v>
      </c>
      <c r="AP19" s="10">
        <f t="shared" si="3"/>
        <v>303.04891584000012</v>
      </c>
      <c r="AQ19" s="10">
        <f t="shared" si="3"/>
        <v>303.04891584000012</v>
      </c>
      <c r="AR19" s="10">
        <f t="shared" si="3"/>
        <v>303.04891584000012</v>
      </c>
    </row>
    <row r="20" spans="1:44" x14ac:dyDescent="0.3">
      <c r="A20" s="4" t="s">
        <v>726</v>
      </c>
      <c r="C20" s="9">
        <f t="shared" ref="C20:AR20" si="4">C19</f>
        <v>0</v>
      </c>
      <c r="D20" s="9">
        <f t="shared" si="4"/>
        <v>0</v>
      </c>
      <c r="E20" s="9">
        <f t="shared" si="4"/>
        <v>0</v>
      </c>
      <c r="F20" s="9">
        <f t="shared" si="4"/>
        <v>0</v>
      </c>
      <c r="G20" s="9">
        <f t="shared" si="4"/>
        <v>0</v>
      </c>
      <c r="H20" s="9">
        <f t="shared" si="4"/>
        <v>0</v>
      </c>
      <c r="I20" s="9">
        <f t="shared" si="4"/>
        <v>0</v>
      </c>
      <c r="J20" s="9">
        <f t="shared" si="4"/>
        <v>0</v>
      </c>
      <c r="K20" s="9">
        <f t="shared" si="4"/>
        <v>0</v>
      </c>
      <c r="L20" s="9">
        <f t="shared" si="4"/>
        <v>0</v>
      </c>
      <c r="M20" s="9">
        <f t="shared" si="4"/>
        <v>0</v>
      </c>
      <c r="N20" s="9">
        <f t="shared" si="4"/>
        <v>0</v>
      </c>
      <c r="O20" s="9">
        <f t="shared" si="4"/>
        <v>0</v>
      </c>
      <c r="P20" s="9">
        <f t="shared" si="4"/>
        <v>0</v>
      </c>
      <c r="Q20" s="9">
        <f t="shared" si="4"/>
        <v>0</v>
      </c>
      <c r="R20" s="9">
        <f t="shared" si="4"/>
        <v>0</v>
      </c>
      <c r="S20" s="9">
        <f t="shared" si="4"/>
        <v>74.25</v>
      </c>
      <c r="T20" s="9">
        <f t="shared" si="4"/>
        <v>74.25</v>
      </c>
      <c r="U20" s="9">
        <f t="shared" si="4"/>
        <v>80.190000000000026</v>
      </c>
      <c r="V20" s="9">
        <f t="shared" si="4"/>
        <v>80.190000000000026</v>
      </c>
      <c r="W20" s="9">
        <f t="shared" si="4"/>
        <v>80.190000000000026</v>
      </c>
      <c r="X20" s="9">
        <f t="shared" si="4"/>
        <v>80.190000000000026</v>
      </c>
      <c r="Y20" s="9">
        <f t="shared" si="4"/>
        <v>80.190000000000026</v>
      </c>
      <c r="Z20" s="9">
        <f t="shared" si="4"/>
        <v>80.190000000000026</v>
      </c>
      <c r="AA20" s="9">
        <f t="shared" si="4"/>
        <v>80.190000000000026</v>
      </c>
      <c r="AB20" s="9">
        <f t="shared" si="4"/>
        <v>80.190000000000026</v>
      </c>
      <c r="AC20" s="9">
        <f t="shared" si="4"/>
        <v>80.190000000000026</v>
      </c>
      <c r="AD20" s="9">
        <f t="shared" si="4"/>
        <v>80.190000000000026</v>
      </c>
      <c r="AE20" s="9">
        <f t="shared" si="4"/>
        <v>80.190000000000026</v>
      </c>
      <c r="AF20" s="9">
        <f t="shared" si="4"/>
        <v>80.190000000000026</v>
      </c>
      <c r="AG20" s="9">
        <f t="shared" si="4"/>
        <v>259.81560000000007</v>
      </c>
      <c r="AH20" s="9">
        <f t="shared" si="4"/>
        <v>259.81560000000007</v>
      </c>
      <c r="AI20" s="9">
        <f t="shared" si="4"/>
        <v>259.81560000000007</v>
      </c>
      <c r="AJ20" s="9">
        <f t="shared" si="4"/>
        <v>259.81560000000007</v>
      </c>
      <c r="AK20" s="9">
        <f t="shared" si="4"/>
        <v>280.6008480000001</v>
      </c>
      <c r="AL20" s="9">
        <f t="shared" si="4"/>
        <v>280.6008480000001</v>
      </c>
      <c r="AM20" s="9">
        <f t="shared" si="4"/>
        <v>280.6008480000001</v>
      </c>
      <c r="AN20" s="9">
        <f t="shared" si="4"/>
        <v>280.6008480000001</v>
      </c>
      <c r="AO20" s="9">
        <f t="shared" si="4"/>
        <v>303.04891584000012</v>
      </c>
      <c r="AP20" s="9">
        <f t="shared" si="4"/>
        <v>303.04891584000012</v>
      </c>
      <c r="AQ20" s="9">
        <f t="shared" si="4"/>
        <v>303.04891584000012</v>
      </c>
      <c r="AR20" s="9">
        <f t="shared" si="4"/>
        <v>303.04891584000012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AR24"/>
  <sheetViews>
    <sheetView workbookViewId="0"/>
  </sheetViews>
  <sheetFormatPr defaultRowHeight="14.4" x14ac:dyDescent="0.3"/>
  <cols>
    <col min="1" max="1" width="38" style="52" customWidth="1"/>
    <col min="2" max="2" width="10" style="52" customWidth="1"/>
    <col min="3" max="44" width="11" style="52" customWidth="1"/>
  </cols>
  <sheetData>
    <row r="1" spans="1:44" x14ac:dyDescent="0.3">
      <c r="A1" s="25" t="s">
        <v>727</v>
      </c>
    </row>
    <row r="3" spans="1:44" x14ac:dyDescent="0.3">
      <c r="A3" s="3" t="s">
        <v>713</v>
      </c>
      <c r="B3" s="3" t="s">
        <v>441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K3" s="3" t="s">
        <v>641</v>
      </c>
      <c r="L3" s="3" t="s">
        <v>642</v>
      </c>
      <c r="M3" s="3" t="s">
        <v>643</v>
      </c>
      <c r="N3" s="3" t="s">
        <v>644</v>
      </c>
      <c r="O3" s="3" t="s">
        <v>645</v>
      </c>
      <c r="P3" s="3" t="s">
        <v>646</v>
      </c>
      <c r="Q3" s="3" t="s">
        <v>647</v>
      </c>
      <c r="R3" s="3" t="s">
        <v>648</v>
      </c>
      <c r="S3" s="3" t="s">
        <v>649</v>
      </c>
      <c r="T3" s="3" t="s">
        <v>650</v>
      </c>
      <c r="U3" s="3" t="s">
        <v>651</v>
      </c>
      <c r="V3" s="3" t="s">
        <v>652</v>
      </c>
      <c r="W3" s="3" t="s">
        <v>653</v>
      </c>
      <c r="X3" s="3" t="s">
        <v>654</v>
      </c>
      <c r="Y3" s="3" t="s">
        <v>655</v>
      </c>
      <c r="Z3" s="3" t="s">
        <v>656</v>
      </c>
      <c r="AA3" s="3" t="s">
        <v>657</v>
      </c>
      <c r="AB3" s="3" t="s">
        <v>658</v>
      </c>
      <c r="AC3" s="3" t="s">
        <v>659</v>
      </c>
      <c r="AD3" s="3" t="s">
        <v>660</v>
      </c>
      <c r="AE3" s="3" t="s">
        <v>661</v>
      </c>
      <c r="AF3" s="3" t="s">
        <v>662</v>
      </c>
      <c r="AG3" s="3" t="s">
        <v>663</v>
      </c>
      <c r="AH3" s="3" t="s">
        <v>664</v>
      </c>
      <c r="AI3" s="3" t="s">
        <v>665</v>
      </c>
      <c r="AJ3" s="3" t="s">
        <v>666</v>
      </c>
      <c r="AK3" s="3" t="s">
        <v>667</v>
      </c>
      <c r="AL3" s="3" t="s">
        <v>668</v>
      </c>
      <c r="AM3" s="3" t="s">
        <v>669</v>
      </c>
      <c r="AN3" s="3" t="s">
        <v>670</v>
      </c>
      <c r="AO3" s="3" t="s">
        <v>671</v>
      </c>
      <c r="AP3" s="3" t="s">
        <v>672</v>
      </c>
      <c r="AQ3" s="3" t="s">
        <v>673</v>
      </c>
      <c r="AR3" s="3" t="s">
        <v>674</v>
      </c>
    </row>
    <row r="4" spans="1:44" x14ac:dyDescent="0.3">
      <c r="A4" s="25" t="s">
        <v>342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728</v>
      </c>
      <c r="B5" s="4" t="s">
        <v>470</v>
      </c>
      <c r="C5" s="10">
        <f t="shared" ref="C5:H5" si="0">capex_total/6</f>
        <v>880</v>
      </c>
      <c r="D5" s="10">
        <f t="shared" si="0"/>
        <v>880</v>
      </c>
      <c r="E5" s="10">
        <f t="shared" si="0"/>
        <v>880</v>
      </c>
      <c r="F5" s="10">
        <f t="shared" si="0"/>
        <v>880</v>
      </c>
      <c r="G5" s="10">
        <f t="shared" si="0"/>
        <v>880</v>
      </c>
      <c r="H5" s="10">
        <f t="shared" si="0"/>
        <v>880</v>
      </c>
      <c r="I5" s="10">
        <f>0</f>
        <v>0</v>
      </c>
      <c r="J5" s="10">
        <f>0</f>
        <v>0</v>
      </c>
      <c r="K5" s="10">
        <f>0</f>
        <v>0</v>
      </c>
      <c r="L5" s="10">
        <f>0</f>
        <v>0</v>
      </c>
      <c r="M5" s="10">
        <f>0</f>
        <v>0</v>
      </c>
      <c r="N5" s="10">
        <f>0</f>
        <v>0</v>
      </c>
      <c r="O5" s="10">
        <f>0</f>
        <v>0</v>
      </c>
      <c r="P5" s="10">
        <f>0</f>
        <v>0</v>
      </c>
      <c r="Q5" s="10">
        <f>0</f>
        <v>0</v>
      </c>
      <c r="R5" s="10">
        <f>0</f>
        <v>0</v>
      </c>
      <c r="S5" s="10">
        <f>0</f>
        <v>0</v>
      </c>
      <c r="T5" s="10">
        <f>0</f>
        <v>0</v>
      </c>
      <c r="U5" s="10">
        <f>0</f>
        <v>0</v>
      </c>
      <c r="V5" s="10">
        <f>0</f>
        <v>0</v>
      </c>
      <c r="W5" s="10">
        <f>0</f>
        <v>0</v>
      </c>
      <c r="X5" s="10">
        <f>0</f>
        <v>0</v>
      </c>
      <c r="Y5" s="10">
        <f>0</f>
        <v>0</v>
      </c>
      <c r="Z5" s="10">
        <f>0</f>
        <v>0</v>
      </c>
      <c r="AA5" s="10">
        <f>0</f>
        <v>0</v>
      </c>
      <c r="AB5" s="10">
        <f>0</f>
        <v>0</v>
      </c>
      <c r="AC5" s="10">
        <f>0</f>
        <v>0</v>
      </c>
      <c r="AD5" s="10">
        <f>0</f>
        <v>0</v>
      </c>
      <c r="AE5" s="10">
        <f>0</f>
        <v>0</v>
      </c>
      <c r="AF5" s="10">
        <f>0</f>
        <v>0</v>
      </c>
      <c r="AG5" s="10">
        <f>0</f>
        <v>0</v>
      </c>
      <c r="AH5" s="10">
        <f>0</f>
        <v>0</v>
      </c>
      <c r="AI5" s="10">
        <f>0</f>
        <v>0</v>
      </c>
      <c r="AJ5" s="10">
        <f>0</f>
        <v>0</v>
      </c>
      <c r="AK5" s="10">
        <f>0</f>
        <v>0</v>
      </c>
      <c r="AL5" s="10">
        <f>0</f>
        <v>0</v>
      </c>
      <c r="AM5" s="10">
        <f>0</f>
        <v>0</v>
      </c>
      <c r="AN5" s="10">
        <f>0</f>
        <v>0</v>
      </c>
      <c r="AO5" s="10">
        <f>0</f>
        <v>0</v>
      </c>
      <c r="AP5" s="10">
        <f>0</f>
        <v>0</v>
      </c>
      <c r="AQ5" s="10">
        <f>0</f>
        <v>0</v>
      </c>
      <c r="AR5" s="10">
        <f>0</f>
        <v>0</v>
      </c>
    </row>
    <row r="6" spans="1:44" x14ac:dyDescent="0.3">
      <c r="A6" s="4" t="s">
        <v>729</v>
      </c>
      <c r="B6" s="4" t="s">
        <v>470</v>
      </c>
      <c r="C6" s="10">
        <f>0</f>
        <v>0</v>
      </c>
      <c r="D6" s="10">
        <f>0</f>
        <v>0</v>
      </c>
      <c r="E6" s="10">
        <f>0</f>
        <v>0</v>
      </c>
      <c r="F6" s="10">
        <f>0</f>
        <v>0</v>
      </c>
      <c r="G6" s="10">
        <f>0</f>
        <v>0</v>
      </c>
      <c r="H6" s="10">
        <f>0</f>
        <v>0</v>
      </c>
      <c r="I6" s="10">
        <f>capex_total*capex_maintenance_pct/'Market Sizing'!I6</f>
        <v>79.2</v>
      </c>
      <c r="J6" s="10">
        <f>capex_total*capex_maintenance_pct/'Market Sizing'!J6</f>
        <v>79.2</v>
      </c>
      <c r="K6" s="10">
        <f>capex_total*capex_maintenance_pct/'Market Sizing'!K6</f>
        <v>79.2</v>
      </c>
      <c r="L6" s="10">
        <f>capex_total*capex_maintenance_pct/'Market Sizing'!L6</f>
        <v>79.2</v>
      </c>
      <c r="M6" s="10">
        <f>capex_total*capex_maintenance_pct/'Market Sizing'!M6</f>
        <v>79.2</v>
      </c>
      <c r="N6" s="10">
        <f>capex_total*capex_maintenance_pct/'Market Sizing'!N6</f>
        <v>79.2</v>
      </c>
      <c r="O6" s="10">
        <f>capex_total*capex_maintenance_pct/'Market Sizing'!O6</f>
        <v>79.2</v>
      </c>
      <c r="P6" s="10">
        <f>capex_total*capex_maintenance_pct/'Market Sizing'!P6</f>
        <v>79.2</v>
      </c>
      <c r="Q6" s="10">
        <f>capex_total*capex_maintenance_pct/'Market Sizing'!Q6</f>
        <v>79.2</v>
      </c>
      <c r="R6" s="10">
        <f>capex_total*capex_maintenance_pct/'Market Sizing'!R6</f>
        <v>79.2</v>
      </c>
      <c r="S6" s="10">
        <f>capex_total*capex_maintenance_pct/'Market Sizing'!S6</f>
        <v>79.2</v>
      </c>
      <c r="T6" s="10">
        <f>capex_total*capex_maintenance_pct/'Market Sizing'!T6</f>
        <v>79.2</v>
      </c>
      <c r="U6" s="10">
        <f>capex_total*capex_maintenance_pct/'Market Sizing'!U6</f>
        <v>79.2</v>
      </c>
      <c r="V6" s="10">
        <f>capex_total*capex_maintenance_pct/'Market Sizing'!V6</f>
        <v>79.2</v>
      </c>
      <c r="W6" s="10">
        <f>capex_total*capex_maintenance_pct/'Market Sizing'!W6</f>
        <v>79.2</v>
      </c>
      <c r="X6" s="10">
        <f>capex_total*capex_maintenance_pct/'Market Sizing'!X6</f>
        <v>79.2</v>
      </c>
      <c r="Y6" s="10">
        <f>capex_total*capex_maintenance_pct/'Market Sizing'!Y6</f>
        <v>79.2</v>
      </c>
      <c r="Z6" s="10">
        <f>capex_total*capex_maintenance_pct/'Market Sizing'!Z6</f>
        <v>79.2</v>
      </c>
      <c r="AA6" s="10">
        <f>capex_total*capex_maintenance_pct/'Market Sizing'!AA6</f>
        <v>79.2</v>
      </c>
      <c r="AB6" s="10">
        <f>capex_total*capex_maintenance_pct/'Market Sizing'!AB6</f>
        <v>79.2</v>
      </c>
      <c r="AC6" s="10">
        <f>capex_total*capex_maintenance_pct/'Market Sizing'!AC6</f>
        <v>79.2</v>
      </c>
      <c r="AD6" s="10">
        <f>capex_total*capex_maintenance_pct/'Market Sizing'!AD6</f>
        <v>79.2</v>
      </c>
      <c r="AE6" s="10">
        <f>capex_total*capex_maintenance_pct/'Market Sizing'!AE6</f>
        <v>79.2</v>
      </c>
      <c r="AF6" s="10">
        <f>capex_total*capex_maintenance_pct/'Market Sizing'!AF6</f>
        <v>79.2</v>
      </c>
      <c r="AG6" s="10">
        <f>capex_total*capex_maintenance_pct/'Market Sizing'!AG6</f>
        <v>237.6</v>
      </c>
      <c r="AH6" s="10">
        <f>capex_total*capex_maintenance_pct/'Market Sizing'!AH6</f>
        <v>237.6</v>
      </c>
      <c r="AI6" s="10">
        <f>capex_total*capex_maintenance_pct/'Market Sizing'!AI6</f>
        <v>237.6</v>
      </c>
      <c r="AJ6" s="10">
        <f>capex_total*capex_maintenance_pct/'Market Sizing'!AJ6</f>
        <v>237.6</v>
      </c>
      <c r="AK6" s="10">
        <f>capex_total*capex_maintenance_pct/'Market Sizing'!AK6</f>
        <v>237.6</v>
      </c>
      <c r="AL6" s="10">
        <f>capex_total*capex_maintenance_pct/'Market Sizing'!AL6</f>
        <v>237.6</v>
      </c>
      <c r="AM6" s="10">
        <f>capex_total*capex_maintenance_pct/'Market Sizing'!AM6</f>
        <v>237.6</v>
      </c>
      <c r="AN6" s="10">
        <f>capex_total*capex_maintenance_pct/'Market Sizing'!AN6</f>
        <v>237.6</v>
      </c>
      <c r="AO6" s="10">
        <f>capex_total*capex_maintenance_pct/'Market Sizing'!AO6</f>
        <v>237.6</v>
      </c>
      <c r="AP6" s="10">
        <f>capex_total*capex_maintenance_pct/'Market Sizing'!AP6</f>
        <v>237.6</v>
      </c>
      <c r="AQ6" s="10">
        <f>capex_total*capex_maintenance_pct/'Market Sizing'!AQ6</f>
        <v>237.6</v>
      </c>
      <c r="AR6" s="10">
        <f>capex_total*capex_maintenance_pct/'Market Sizing'!AR6</f>
        <v>237.6</v>
      </c>
    </row>
    <row r="7" spans="1:44" x14ac:dyDescent="0.3">
      <c r="A7" s="4" t="s">
        <v>730</v>
      </c>
      <c r="C7" s="9">
        <f t="shared" ref="C7:AR7" si="1">C5+C6</f>
        <v>880</v>
      </c>
      <c r="D7" s="9">
        <f t="shared" si="1"/>
        <v>880</v>
      </c>
      <c r="E7" s="9">
        <f t="shared" si="1"/>
        <v>880</v>
      </c>
      <c r="F7" s="9">
        <f t="shared" si="1"/>
        <v>880</v>
      </c>
      <c r="G7" s="9">
        <f t="shared" si="1"/>
        <v>880</v>
      </c>
      <c r="H7" s="9">
        <f t="shared" si="1"/>
        <v>880</v>
      </c>
      <c r="I7" s="9">
        <f t="shared" si="1"/>
        <v>79.2</v>
      </c>
      <c r="J7" s="9">
        <f t="shared" si="1"/>
        <v>79.2</v>
      </c>
      <c r="K7" s="9">
        <f t="shared" si="1"/>
        <v>79.2</v>
      </c>
      <c r="L7" s="9">
        <f t="shared" si="1"/>
        <v>79.2</v>
      </c>
      <c r="M7" s="9">
        <f t="shared" si="1"/>
        <v>79.2</v>
      </c>
      <c r="N7" s="9">
        <f t="shared" si="1"/>
        <v>79.2</v>
      </c>
      <c r="O7" s="9">
        <f t="shared" si="1"/>
        <v>79.2</v>
      </c>
      <c r="P7" s="9">
        <f t="shared" si="1"/>
        <v>79.2</v>
      </c>
      <c r="Q7" s="9">
        <f t="shared" si="1"/>
        <v>79.2</v>
      </c>
      <c r="R7" s="9">
        <f t="shared" si="1"/>
        <v>79.2</v>
      </c>
      <c r="S7" s="9">
        <f t="shared" si="1"/>
        <v>79.2</v>
      </c>
      <c r="T7" s="9">
        <f t="shared" si="1"/>
        <v>79.2</v>
      </c>
      <c r="U7" s="9">
        <f t="shared" si="1"/>
        <v>79.2</v>
      </c>
      <c r="V7" s="9">
        <f t="shared" si="1"/>
        <v>79.2</v>
      </c>
      <c r="W7" s="9">
        <f t="shared" si="1"/>
        <v>79.2</v>
      </c>
      <c r="X7" s="9">
        <f t="shared" si="1"/>
        <v>79.2</v>
      </c>
      <c r="Y7" s="9">
        <f t="shared" si="1"/>
        <v>79.2</v>
      </c>
      <c r="Z7" s="9">
        <f t="shared" si="1"/>
        <v>79.2</v>
      </c>
      <c r="AA7" s="9">
        <f t="shared" si="1"/>
        <v>79.2</v>
      </c>
      <c r="AB7" s="9">
        <f t="shared" si="1"/>
        <v>79.2</v>
      </c>
      <c r="AC7" s="9">
        <f t="shared" si="1"/>
        <v>79.2</v>
      </c>
      <c r="AD7" s="9">
        <f t="shared" si="1"/>
        <v>79.2</v>
      </c>
      <c r="AE7" s="9">
        <f t="shared" si="1"/>
        <v>79.2</v>
      </c>
      <c r="AF7" s="9">
        <f t="shared" si="1"/>
        <v>79.2</v>
      </c>
      <c r="AG7" s="9">
        <f t="shared" si="1"/>
        <v>237.6</v>
      </c>
      <c r="AH7" s="9">
        <f t="shared" si="1"/>
        <v>237.6</v>
      </c>
      <c r="AI7" s="9">
        <f t="shared" si="1"/>
        <v>237.6</v>
      </c>
      <c r="AJ7" s="9">
        <f t="shared" si="1"/>
        <v>237.6</v>
      </c>
      <c r="AK7" s="9">
        <f t="shared" si="1"/>
        <v>237.6</v>
      </c>
      <c r="AL7" s="9">
        <f t="shared" si="1"/>
        <v>237.6</v>
      </c>
      <c r="AM7" s="9">
        <f t="shared" si="1"/>
        <v>237.6</v>
      </c>
      <c r="AN7" s="9">
        <f t="shared" si="1"/>
        <v>237.6</v>
      </c>
      <c r="AO7" s="9">
        <f t="shared" si="1"/>
        <v>237.6</v>
      </c>
      <c r="AP7" s="9">
        <f t="shared" si="1"/>
        <v>237.6</v>
      </c>
      <c r="AQ7" s="9">
        <f t="shared" si="1"/>
        <v>237.6</v>
      </c>
      <c r="AR7" s="9">
        <f t="shared" si="1"/>
        <v>237.6</v>
      </c>
    </row>
    <row r="9" spans="1:44" x14ac:dyDescent="0.3">
      <c r="A9" s="25" t="s">
        <v>345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 x14ac:dyDescent="0.3">
      <c r="A10" s="4" t="s">
        <v>731</v>
      </c>
      <c r="B10" s="4" t="s">
        <v>470</v>
      </c>
      <c r="C10" s="10">
        <f>'HR Plan'!C21</f>
        <v>1820.25</v>
      </c>
      <c r="D10" s="10">
        <f>'HR Plan'!D21</f>
        <v>668.25</v>
      </c>
      <c r="E10" s="10">
        <f>'HR Plan'!E21</f>
        <v>764.55</v>
      </c>
      <c r="F10" s="10">
        <f>'HR Plan'!F21</f>
        <v>692.55</v>
      </c>
      <c r="G10" s="10">
        <f>'HR Plan'!G21</f>
        <v>692.55</v>
      </c>
      <c r="H10" s="10">
        <f>'HR Plan'!H21</f>
        <v>692.55</v>
      </c>
      <c r="I10" s="10">
        <f>'HR Plan'!I21</f>
        <v>1012.7250000000003</v>
      </c>
      <c r="J10" s="10">
        <f>'HR Plan'!J21</f>
        <v>967.45500000000015</v>
      </c>
      <c r="K10" s="10">
        <f>'HR Plan'!K21</f>
        <v>895.45500000000015</v>
      </c>
      <c r="L10" s="10">
        <f>'HR Plan'!L21</f>
        <v>895.45500000000015</v>
      </c>
      <c r="M10" s="10">
        <f>'HR Plan'!M21</f>
        <v>895.45500000000015</v>
      </c>
      <c r="N10" s="10">
        <f>'HR Plan'!N21</f>
        <v>994.18500000000029</v>
      </c>
      <c r="O10" s="10">
        <f>'HR Plan'!O21</f>
        <v>922.18500000000029</v>
      </c>
      <c r="P10" s="10">
        <f>'HR Plan'!P21</f>
        <v>922.18500000000029</v>
      </c>
      <c r="Q10" s="10">
        <f>'HR Plan'!Q21</f>
        <v>922.18500000000029</v>
      </c>
      <c r="R10" s="10">
        <f>'HR Plan'!R21</f>
        <v>1020.9150000000002</v>
      </c>
      <c r="S10" s="10">
        <f>'HR Plan'!S21</f>
        <v>948.91500000000019</v>
      </c>
      <c r="T10" s="10">
        <f>'HR Plan'!T21</f>
        <v>948.91500000000019</v>
      </c>
      <c r="U10" s="10">
        <f>'HR Plan'!U21</f>
        <v>1661.0827500000005</v>
      </c>
      <c r="V10" s="10">
        <f>'HR Plan'!V21</f>
        <v>1301.0827500000005</v>
      </c>
      <c r="W10" s="10">
        <f>'HR Plan'!W21</f>
        <v>1402.4857500000003</v>
      </c>
      <c r="X10" s="10">
        <f>'HR Plan'!X21</f>
        <v>1330.4857500000003</v>
      </c>
      <c r="Y10" s="10">
        <f>'HR Plan'!Y21</f>
        <v>1330.4857500000003</v>
      </c>
      <c r="Z10" s="10">
        <f>'HR Plan'!Z21</f>
        <v>1431.8887500000005</v>
      </c>
      <c r="AA10" s="10">
        <f>'HR Plan'!AA21</f>
        <v>1359.8887500000005</v>
      </c>
      <c r="AB10" s="10">
        <f>'HR Plan'!AB21</f>
        <v>1461.2917500000003</v>
      </c>
      <c r="AC10" s="10">
        <f>'HR Plan'!AC21</f>
        <v>1389.2917500000003</v>
      </c>
      <c r="AD10" s="10">
        <f>'HR Plan'!AD21</f>
        <v>1389.2917500000003</v>
      </c>
      <c r="AE10" s="10">
        <f>'HR Plan'!AE21</f>
        <v>1490.6947500000003</v>
      </c>
      <c r="AF10" s="10">
        <f>'HR Plan'!AF21</f>
        <v>1418.6947500000003</v>
      </c>
      <c r="AG10" s="10">
        <f>'HR Plan'!AG21</f>
        <v>5600.3870250000018</v>
      </c>
      <c r="AH10" s="10">
        <f>'HR Plan'!AH21</f>
        <v>5481.4169250000014</v>
      </c>
      <c r="AI10" s="10">
        <f>'HR Plan'!AI21</f>
        <v>5578.4468250000018</v>
      </c>
      <c r="AJ10" s="10">
        <f>'HR Plan'!AJ21</f>
        <v>5675.4767250000023</v>
      </c>
      <c r="AK10" s="10">
        <f>'HR Plan'!AK21</f>
        <v>7457.7371850000018</v>
      </c>
      <c r="AL10" s="10">
        <f>'HR Plan'!AL21</f>
        <v>7276.4700750000029</v>
      </c>
      <c r="AM10" s="10">
        <f>'HR Plan'!AM21</f>
        <v>7383.2029650000022</v>
      </c>
      <c r="AN10" s="10">
        <f>'HR Plan'!AN21</f>
        <v>7489.9358550000024</v>
      </c>
      <c r="AO10" s="10">
        <f>'HR Plan'!AO21</f>
        <v>9210.8696040000032</v>
      </c>
      <c r="AP10" s="10">
        <f>'HR Plan'!AP21</f>
        <v>8922.8696040000032</v>
      </c>
      <c r="AQ10" s="10">
        <f>'HR Plan'!AQ21</f>
        <v>9112.2757830000028</v>
      </c>
      <c r="AR10" s="10">
        <f>'HR Plan'!AR21</f>
        <v>9040.2757830000028</v>
      </c>
    </row>
    <row r="11" spans="1:44" x14ac:dyDescent="0.3">
      <c r="A11" s="4" t="s">
        <v>732</v>
      </c>
      <c r="B11" s="4" t="s">
        <v>470</v>
      </c>
      <c r="C11" s="35">
        <f>opex_marketing*(1+marketing_growth)^'Market Sizing'!C5/'Market Sizing'!C6*MAX(0.5,1-'Market Sizing'!C15*mkt_efficiency_per_100/100)</f>
        <v>569.98440824745808</v>
      </c>
      <c r="D11" s="35">
        <f>opex_marketing*(1+marketing_growth)^'Market Sizing'!D5/'Market Sizing'!D6*MAX(0.5,1-'Market Sizing'!D15*mkt_efficiency_per_100/100)</f>
        <v>569.28413698018937</v>
      </c>
      <c r="E11" s="35">
        <f>opex_marketing*(1+marketing_growth)^'Market Sizing'!E5/'Market Sizing'!E6*MAX(0.5,1-'Market Sizing'!E15*mkt_efficiency_per_100/100)</f>
        <v>568.29311169927996</v>
      </c>
      <c r="F11" s="35">
        <f>opex_marketing*(1+marketing_growth)^'Market Sizing'!F5/'Market Sizing'!F6*MAX(0.5,1-'Market Sizing'!F15*mkt_efficiency_per_100/100)</f>
        <v>567.24225098410716</v>
      </c>
      <c r="G11" s="35">
        <f>opex_marketing*(1+marketing_growth)^'Market Sizing'!G5/'Market Sizing'!G6*MAX(0.5,1-'Market Sizing'!G15*mkt_efficiency_per_100/100)</f>
        <v>566.12919652042945</v>
      </c>
      <c r="H11" s="35">
        <f>opex_marketing*(1+marketing_growth)^'Market Sizing'!H5/'Market Sizing'!H6*MAX(0.5,1-'Market Sizing'!H15*mkt_efficiency_per_100/100)</f>
        <v>565.06833970563616</v>
      </c>
      <c r="I11" s="35">
        <f>opex_marketing*(1+marketing_growth)^'Market Sizing'!I5/'Market Sizing'!I6*MAX(0.5,1-'Market Sizing'!I15*mkt_efficiency_per_100/100)</f>
        <v>648.39781188435472</v>
      </c>
      <c r="J11" s="35">
        <f>opex_marketing*(1+marketing_growth)^'Market Sizing'!J5/'Market Sizing'!J6*MAX(0.5,1-'Market Sizing'!J15*mkt_efficiency_per_100/100)</f>
        <v>646.88808467937372</v>
      </c>
      <c r="K11" s="35">
        <f>opex_marketing*(1+marketing_growth)^'Market Sizing'!K5/'Market Sizing'!K6*MAX(0.5,1-'Market Sizing'!K15*mkt_efficiency_per_100/100)</f>
        <v>645.29729245150156</v>
      </c>
      <c r="L11" s="35">
        <f>opex_marketing*(1+marketing_growth)^'Market Sizing'!L5/'Market Sizing'!L6*MAX(0.5,1-'Market Sizing'!L15*mkt_efficiency_per_100/100)</f>
        <v>643.62356536729374</v>
      </c>
      <c r="M11" s="35">
        <f>opex_marketing*(1+marketing_growth)^'Market Sizing'!M5/'Market Sizing'!M6*MAX(0.5,1-'Market Sizing'!M15*mkt_efficiency_per_100/100)</f>
        <v>641.99949066717818</v>
      </c>
      <c r="N11" s="35">
        <f>opex_marketing*(1+marketing_growth)^'Market Sizing'!N5/'Market Sizing'!N6*MAX(0.5,1-'Market Sizing'!N15*mkt_efficiency_per_100/100)</f>
        <v>640.15549101035674</v>
      </c>
      <c r="O11" s="35">
        <f>opex_marketing*(1+marketing_growth)^'Market Sizing'!O5/'Market Sizing'!O6*MAX(0.5,1-'Market Sizing'!O15*mkt_efficiency_per_100/100)</f>
        <v>638.22487014004741</v>
      </c>
      <c r="P11" s="35">
        <f>opex_marketing*(1+marketing_growth)^'Market Sizing'!P5/'Market Sizing'!P6*MAX(0.5,1-'Market Sizing'!P15*mkt_efficiency_per_100/100)</f>
        <v>636.20719168828271</v>
      </c>
      <c r="Q11" s="35">
        <f>opex_marketing*(1+marketing_growth)^'Market Sizing'!Q5/'Market Sizing'!Q6*MAX(0.5,1-'Market Sizing'!Q15*mkt_efficiency_per_100/100)</f>
        <v>634.23665681000648</v>
      </c>
      <c r="R11" s="35">
        <f>opex_marketing*(1+marketing_growth)^'Market Sizing'!R5/'Market Sizing'!R6*MAX(0.5,1-'Market Sizing'!R15*mkt_efficiency_per_100/100)</f>
        <v>632.04547955235478</v>
      </c>
      <c r="S11" s="35">
        <f>opex_marketing*(1+marketing_growth)^'Market Sizing'!S5/'Market Sizing'!S6*MAX(0.5,1-'Market Sizing'!S15*mkt_efficiency_per_100/100)</f>
        <v>629.76892543499548</v>
      </c>
      <c r="T11" s="35">
        <f>opex_marketing*(1+marketing_growth)^'Market Sizing'!T5/'Market Sizing'!T6*MAX(0.5,1-'Market Sizing'!T15*mkt_efficiency_per_100/100)</f>
        <v>627.40867864964991</v>
      </c>
      <c r="U11" s="35">
        <f>opex_marketing*(1+marketing_growth)^'Market Sizing'!U5/'Market Sizing'!U6*MAX(0.5,1-'Market Sizing'!U15*mkt_efficiency_per_100/100)</f>
        <v>718.86638374435267</v>
      </c>
      <c r="V11" s="35">
        <f>opex_marketing*(1+marketing_growth)^'Market Sizing'!V5/'Market Sizing'!V6*MAX(0.5,1-'Market Sizing'!V15*mkt_efficiency_per_100/100)</f>
        <v>715.96826166303754</v>
      </c>
      <c r="W11" s="35">
        <f>opex_marketing*(1+marketing_growth)^'Market Sizing'!W5/'Market Sizing'!W6*MAX(0.5,1-'Market Sizing'!W15*mkt_efficiency_per_100/100)</f>
        <v>712.98401948565436</v>
      </c>
      <c r="X11" s="35">
        <f>opex_marketing*(1+marketing_growth)^'Market Sizing'!X5/'Market Sizing'!X6*MAX(0.5,1-'Market Sizing'!X15*mkt_efficiency_per_100/100)</f>
        <v>710.07280815204058</v>
      </c>
      <c r="Y11" s="35">
        <f>opex_marketing*(1+marketing_growth)^'Market Sizing'!Y5/'Market Sizing'!Y6*MAX(0.5,1-'Market Sizing'!Y15*mkt_efficiency_per_100/100)</f>
        <v>706.93164009770874</v>
      </c>
      <c r="Z11" s="35">
        <f>opex_marketing*(1+marketing_growth)^'Market Sizing'!Z5/'Market Sizing'!Z6*MAX(0.5,1-'Market Sizing'!Z15*mkt_efficiency_per_100/100)</f>
        <v>703.72111726288392</v>
      </c>
      <c r="AA11" s="35">
        <f>opex_marketing*(1+marketing_growth)^'Market Sizing'!AA5/'Market Sizing'!AA6*MAX(0.5,1-'Market Sizing'!AA15*mkt_efficiency_per_100/100)</f>
        <v>700.60252083236492</v>
      </c>
      <c r="AB11" s="35">
        <f>opex_marketing*(1+marketing_growth)^'Market Sizing'!AB5/'Market Sizing'!AB6*MAX(0.5,1-'Market Sizing'!AB15*mkt_efficiency_per_100/100)</f>
        <v>697.27488764816553</v>
      </c>
      <c r="AC11" s="35">
        <f>opex_marketing*(1+marketing_growth)^'Market Sizing'!AC5/'Market Sizing'!AC6*MAX(0.5,1-'Market Sizing'!AC15*mkt_efficiency_per_100/100)</f>
        <v>694.05499032100875</v>
      </c>
      <c r="AD11" s="35">
        <f>opex_marketing*(1+marketing_growth)^'Market Sizing'!AD5/'Market Sizing'!AD6*MAX(0.5,1-'Market Sizing'!AD15*mkt_efficiency_per_100/100)</f>
        <v>690.64293016766953</v>
      </c>
      <c r="AE11" s="35">
        <f>opex_marketing*(1+marketing_growth)^'Market Sizing'!AE5/'Market Sizing'!AE6*MAX(0.5,1-'Market Sizing'!AE15*mkt_efficiency_per_100/100)</f>
        <v>687.20209419873152</v>
      </c>
      <c r="AF11" s="35">
        <f>opex_marketing*(1+marketing_growth)^'Market Sizing'!AF5/'Market Sizing'!AF6*MAX(0.5,1-'Market Sizing'!AF15*mkt_efficiency_per_100/100)</f>
        <v>683.8961861199075</v>
      </c>
      <c r="AG11" s="35">
        <f>opex_marketing*(1+marketing_growth)^'Market Sizing'!AG5/'Market Sizing'!AG6*MAX(0.5,1-'Market Sizing'!AG15*mkt_efficiency_per_100/100)</f>
        <v>2352.6612501097511</v>
      </c>
      <c r="AH11" s="35">
        <f>opex_marketing*(1+marketing_growth)^'Market Sizing'!AH5/'Market Sizing'!AH6*MAX(0.5,1-'Market Sizing'!AH15*mkt_efficiency_per_100/100)</f>
        <v>2318.5658556034214</v>
      </c>
      <c r="AI11" s="35">
        <f>opex_marketing*(1+marketing_growth)^'Market Sizing'!AI5/'Market Sizing'!AI6*MAX(0.5,1-'Market Sizing'!AI15*mkt_efficiency_per_100/100)</f>
        <v>2285.4990517723199</v>
      </c>
      <c r="AJ11" s="35">
        <f>opex_marketing*(1+marketing_growth)^'Market Sizing'!AJ5/'Market Sizing'!AJ6*MAX(0.5,1-'Market Sizing'!AJ15*mkt_efficiency_per_100/100)</f>
        <v>2254.2403169230984</v>
      </c>
      <c r="AK11" s="35">
        <f>opex_marketing*(1+marketing_growth)^'Market Sizing'!AK5/'Market Sizing'!AK6*MAX(0.5,1-'Market Sizing'!AK15*mkt_efficiency_per_100/100)</f>
        <v>2559.2165263575089</v>
      </c>
      <c r="AL11" s="35">
        <f>opex_marketing*(1+marketing_growth)^'Market Sizing'!AL5/'Market Sizing'!AL6*MAX(0.5,1-'Market Sizing'!AL15*mkt_efficiency_per_100/100)</f>
        <v>2529.3246782719602</v>
      </c>
      <c r="AM11" s="35">
        <f>opex_marketing*(1+marketing_growth)^'Market Sizing'!AM5/'Market Sizing'!AM6*MAX(0.5,1-'Market Sizing'!AM15*mkt_efficiency_per_100/100)</f>
        <v>2502.3364911315321</v>
      </c>
      <c r="AN11" s="35">
        <f>opex_marketing*(1+marketing_growth)^'Market Sizing'!AN5/'Market Sizing'!AN6*MAX(0.5,1-'Market Sizing'!AN15*mkt_efficiency_per_100/100)</f>
        <v>2478.9042675693649</v>
      </c>
      <c r="AO11" s="35">
        <f>opex_marketing*(1+marketing_growth)^'Market Sizing'!AO5/'Market Sizing'!AO6*MAX(0.5,1-'Market Sizing'!AO15*mkt_efficiency_per_100/100)</f>
        <v>2827.7385835486284</v>
      </c>
      <c r="AP11" s="35">
        <f>opex_marketing*(1+marketing_growth)^'Market Sizing'!AP5/'Market Sizing'!AP6*MAX(0.5,1-'Market Sizing'!AP15*mkt_efficiency_per_100/100)</f>
        <v>2807.7019126836317</v>
      </c>
      <c r="AQ11" s="35">
        <f>opex_marketing*(1+marketing_growth)^'Market Sizing'!AQ5/'Market Sizing'!AQ6*MAX(0.5,1-'Market Sizing'!AQ15*mkt_efficiency_per_100/100)</f>
        <v>2790.9766805109639</v>
      </c>
      <c r="AR11" s="35">
        <f>opex_marketing*(1+marketing_growth)^'Market Sizing'!AR5/'Market Sizing'!AR6*MAX(0.5,1-'Market Sizing'!AR15*mkt_efficiency_per_100/100)</f>
        <v>2777.8740210115443</v>
      </c>
    </row>
    <row r="12" spans="1:44" x14ac:dyDescent="0.3">
      <c r="A12" s="4" t="s">
        <v>733</v>
      </c>
      <c r="B12" s="4" t="s">
        <v>470</v>
      </c>
      <c r="C12" s="10">
        <f>opex_branding/'Market Sizing'!C6</f>
        <v>333.33333333333331</v>
      </c>
      <c r="D12" s="10">
        <f>opex_branding/'Market Sizing'!D6</f>
        <v>333.33333333333331</v>
      </c>
      <c r="E12" s="10">
        <f>opex_branding/'Market Sizing'!E6</f>
        <v>333.33333333333331</v>
      </c>
      <c r="F12" s="10">
        <f>opex_branding/'Market Sizing'!F6</f>
        <v>333.33333333333331</v>
      </c>
      <c r="G12" s="10">
        <f>opex_branding/'Market Sizing'!G6</f>
        <v>333.33333333333331</v>
      </c>
      <c r="H12" s="10">
        <f>opex_branding/'Market Sizing'!H6</f>
        <v>333.33333333333331</v>
      </c>
      <c r="I12" s="10">
        <f>opex_branding/'Market Sizing'!I6</f>
        <v>333.33333333333331</v>
      </c>
      <c r="J12" s="10">
        <f>opex_branding/'Market Sizing'!J6</f>
        <v>333.33333333333331</v>
      </c>
      <c r="K12" s="10">
        <f>opex_branding/'Market Sizing'!K6</f>
        <v>333.33333333333331</v>
      </c>
      <c r="L12" s="10">
        <f>opex_branding/'Market Sizing'!L6</f>
        <v>333.33333333333331</v>
      </c>
      <c r="M12" s="10">
        <f>opex_branding/'Market Sizing'!M6</f>
        <v>333.33333333333331</v>
      </c>
      <c r="N12" s="10">
        <f>opex_branding/'Market Sizing'!N6</f>
        <v>333.33333333333331</v>
      </c>
      <c r="O12" s="10">
        <f>opex_branding/'Market Sizing'!O6</f>
        <v>333.33333333333331</v>
      </c>
      <c r="P12" s="10">
        <f>opex_branding/'Market Sizing'!P6</f>
        <v>333.33333333333331</v>
      </c>
      <c r="Q12" s="10">
        <f>opex_branding/'Market Sizing'!Q6</f>
        <v>333.33333333333331</v>
      </c>
      <c r="R12" s="10">
        <f>opex_branding/'Market Sizing'!R6</f>
        <v>333.33333333333331</v>
      </c>
      <c r="S12" s="10">
        <f>opex_branding/'Market Sizing'!S6</f>
        <v>333.33333333333331</v>
      </c>
      <c r="T12" s="10">
        <f>opex_branding/'Market Sizing'!T6</f>
        <v>333.33333333333331</v>
      </c>
      <c r="U12" s="10">
        <f>opex_branding/'Market Sizing'!U6</f>
        <v>333.33333333333331</v>
      </c>
      <c r="V12" s="10">
        <f>opex_branding/'Market Sizing'!V6</f>
        <v>333.33333333333331</v>
      </c>
      <c r="W12" s="10">
        <f>opex_branding/'Market Sizing'!W6</f>
        <v>333.33333333333331</v>
      </c>
      <c r="X12" s="10">
        <f>opex_branding/'Market Sizing'!X6</f>
        <v>333.33333333333331</v>
      </c>
      <c r="Y12" s="10">
        <f>opex_branding/'Market Sizing'!Y6</f>
        <v>333.33333333333331</v>
      </c>
      <c r="Z12" s="10">
        <f>opex_branding/'Market Sizing'!Z6</f>
        <v>333.33333333333331</v>
      </c>
      <c r="AA12" s="10">
        <f>opex_branding/'Market Sizing'!AA6</f>
        <v>333.33333333333331</v>
      </c>
      <c r="AB12" s="10">
        <f>opex_branding/'Market Sizing'!AB6</f>
        <v>333.33333333333331</v>
      </c>
      <c r="AC12" s="10">
        <f>opex_branding/'Market Sizing'!AC6</f>
        <v>333.33333333333331</v>
      </c>
      <c r="AD12" s="10">
        <f>opex_branding/'Market Sizing'!AD6</f>
        <v>333.33333333333331</v>
      </c>
      <c r="AE12" s="10">
        <f>opex_branding/'Market Sizing'!AE6</f>
        <v>333.33333333333331</v>
      </c>
      <c r="AF12" s="10">
        <f>opex_branding/'Market Sizing'!AF6</f>
        <v>333.33333333333331</v>
      </c>
      <c r="AG12" s="10">
        <f>opex_branding/'Market Sizing'!AG6</f>
        <v>1000</v>
      </c>
      <c r="AH12" s="10">
        <f>opex_branding/'Market Sizing'!AH6</f>
        <v>1000</v>
      </c>
      <c r="AI12" s="10">
        <f>opex_branding/'Market Sizing'!AI6</f>
        <v>1000</v>
      </c>
      <c r="AJ12" s="10">
        <f>opex_branding/'Market Sizing'!AJ6</f>
        <v>1000</v>
      </c>
      <c r="AK12" s="10">
        <f>opex_branding/'Market Sizing'!AK6</f>
        <v>1000</v>
      </c>
      <c r="AL12" s="10">
        <f>opex_branding/'Market Sizing'!AL6</f>
        <v>1000</v>
      </c>
      <c r="AM12" s="10">
        <f>opex_branding/'Market Sizing'!AM6</f>
        <v>1000</v>
      </c>
      <c r="AN12" s="10">
        <f>opex_branding/'Market Sizing'!AN6</f>
        <v>1000</v>
      </c>
      <c r="AO12" s="10">
        <f>opex_branding/'Market Sizing'!AO6</f>
        <v>1000</v>
      </c>
      <c r="AP12" s="10">
        <f>opex_branding/'Market Sizing'!AP6</f>
        <v>1000</v>
      </c>
      <c r="AQ12" s="10">
        <f>opex_branding/'Market Sizing'!AQ6</f>
        <v>1000</v>
      </c>
      <c r="AR12" s="10">
        <f>opex_branding/'Market Sizing'!AR6</f>
        <v>1000</v>
      </c>
    </row>
    <row r="13" spans="1:44" x14ac:dyDescent="0.3">
      <c r="A13" s="4" t="s">
        <v>734</v>
      </c>
      <c r="B13" s="4" t="s">
        <v>470</v>
      </c>
      <c r="C13" s="35">
        <f>opex_cloud_base/'Market Sizing'!C6+'Market Sizing'!C17*cloud_per_1M_vcr*('Market Sizing'!C15/100)^(cloud_elasticity-1)+'Market Sizing'!C10*platform_market_share*cloud_gmv_factor</f>
        <v>348.98683042130813</v>
      </c>
      <c r="D13" s="35">
        <f>opex_cloud_base/'Market Sizing'!D6+'Market Sizing'!D17*cloud_per_1M_vcr*('Market Sizing'!D15/100)^(cloud_elasticity-1)+'Market Sizing'!D10*platform_market_share*cloud_gmv_factor</f>
        <v>349.58185099716462</v>
      </c>
      <c r="E13" s="35">
        <f>opex_cloud_base/'Market Sizing'!E6+'Market Sizing'!E17*cloud_per_1M_vcr*('Market Sizing'!E15/100)^(cloud_elasticity-1)+'Market Sizing'!E10*platform_market_share*cloud_gmv_factor</f>
        <v>350.43406247752449</v>
      </c>
      <c r="F13" s="35">
        <f>opex_cloud_base/'Market Sizing'!F6+'Market Sizing'!F17*cloud_per_1M_vcr*('Market Sizing'!F15/100)^(cloud_elasticity-1)+'Market Sizing'!F10*platform_market_share*cloud_gmv_factor</f>
        <v>351.35007309056385</v>
      </c>
      <c r="G13" s="35">
        <f>opex_cloud_base/'Market Sizing'!G6+'Market Sizing'!G17*cloud_per_1M_vcr*('Market Sizing'!G15/100)^(cloud_elasticity-1)+'Market Sizing'!G10*platform_market_share*cloud_gmv_factor</f>
        <v>352.33342492232754</v>
      </c>
      <c r="H13" s="35">
        <f>opex_cloud_base/'Market Sizing'!H6+'Market Sizing'!H17*cloud_per_1M_vcr*('Market Sizing'!H15/100)^(cloud_elasticity-1)+'Market Sizing'!H10*platform_market_share*cloud_gmv_factor</f>
        <v>353.28259841791822</v>
      </c>
      <c r="I13" s="35">
        <f>opex_cloud_base/'Market Sizing'!I6+'Market Sizing'!I17*cloud_per_1M_vcr*('Market Sizing'!I15/100)^(cloud_elasticity-1)+'Market Sizing'!I10*platform_market_share*cloud_gmv_factor</f>
        <v>359.90987397899892</v>
      </c>
      <c r="J13" s="35">
        <f>opex_cloud_base/'Market Sizing'!J6+'Market Sizing'!J17*cloud_per_1M_vcr*('Market Sizing'!J15/100)^(cloud_elasticity-1)+'Market Sizing'!J10*platform_market_share*cloud_gmv_factor</f>
        <v>361.11503610738464</v>
      </c>
      <c r="K13" s="35">
        <f>opex_cloud_base/'Market Sizing'!K6+'Market Sizing'!K17*cloud_per_1M_vcr*('Market Sizing'!K15/100)^(cloud_elasticity-1)+'Market Sizing'!K10*platform_market_share*cloud_gmv_factor</f>
        <v>362.40145191141045</v>
      </c>
      <c r="L13" s="35">
        <f>opex_cloud_base/'Market Sizing'!L6+'Market Sizing'!L17*cloud_per_1M_vcr*('Market Sizing'!L15/100)^(cloud_elasticity-1)+'Market Sizing'!L10*platform_market_share*cloud_gmv_factor</f>
        <v>363.77234077597188</v>
      </c>
      <c r="M13" s="35">
        <f>opex_cloud_base/'Market Sizing'!M6+'Market Sizing'!M17*cloud_per_1M_vcr*('Market Sizing'!M15/100)^(cloud_elasticity-1)+'Market Sizing'!M10*platform_market_share*cloud_gmv_factor</f>
        <v>365.11879989699611</v>
      </c>
      <c r="N13" s="35">
        <f>opex_cloud_base/'Market Sizing'!N6+'Market Sizing'!N17*cloud_per_1M_vcr*('Market Sizing'!N15/100)^(cloud_elasticity-1)+'Market Sizing'!N10*platform_market_share*cloud_gmv_factor</f>
        <v>366.66605470618555</v>
      </c>
      <c r="O13" s="35">
        <f>opex_cloud_base/'Market Sizing'!O6+'Market Sizing'!O17*cloud_per_1M_vcr*('Market Sizing'!O15/100)^(cloud_elasticity-1)+'Market Sizing'!O10*platform_market_share*cloud_gmv_factor</f>
        <v>368.30603958182729</v>
      </c>
      <c r="P13" s="35">
        <f>opex_cloud_base/'Market Sizing'!P6+'Market Sizing'!P17*cloud_per_1M_vcr*('Market Sizing'!P15/100)^(cloud_elasticity-1)+'Market Sizing'!P10*platform_market_share*cloud_gmv_factor</f>
        <v>370.04084900690356</v>
      </c>
      <c r="Q13" s="35">
        <f>opex_cloud_base/'Market Sizing'!Q6+'Market Sizing'!Q17*cloud_per_1M_vcr*('Market Sizing'!Q15/100)^(cloud_elasticity-1)+'Market Sizing'!Q10*platform_market_share*cloud_gmv_factor</f>
        <v>371.7547698807079</v>
      </c>
      <c r="R13" s="35">
        <f>opex_cloud_base/'Market Sizing'!R6+'Market Sizing'!R17*cloud_per_1M_vcr*('Market Sizing'!R15/100)^(cloud_elasticity-1)+'Market Sizing'!R10*platform_market_share*cloud_gmv_factor</f>
        <v>373.68236513972664</v>
      </c>
      <c r="S13" s="35">
        <f>opex_cloud_base/'Market Sizing'!S6+'Market Sizing'!S17*cloud_per_1M_vcr*('Market Sizing'!S15/100)^(cloud_elasticity-1)+'Market Sizing'!S10*platform_market_share*cloud_gmv_factor</f>
        <v>375.70826365268334</v>
      </c>
      <c r="T13" s="35">
        <f>opex_cloud_base/'Market Sizing'!T6+'Market Sizing'!T17*cloud_per_1M_vcr*('Market Sizing'!T15/100)^(cloud_elasticity-1)+'Market Sizing'!T10*platform_market_share*cloud_gmv_factor</f>
        <v>377.83248687001139</v>
      </c>
      <c r="U13" s="35">
        <f>opex_cloud_base/'Market Sizing'!U6+'Market Sizing'!U17*cloud_per_1M_vcr*('Market Sizing'!U15/100)^(cloud_elasticity-1)+'Market Sizing'!U10*platform_market_share*cloud_gmv_factor</f>
        <v>385.8716774908421</v>
      </c>
      <c r="V13" s="35">
        <f>opex_cloud_base/'Market Sizing'!V6+'Market Sizing'!V17*cloud_per_1M_vcr*('Market Sizing'!V15/100)^(cloud_elasticity-1)+'Market Sizing'!V10*platform_market_share*cloud_gmv_factor</f>
        <v>388.18860960143866</v>
      </c>
      <c r="W13" s="35">
        <f>opex_cloud_base/'Market Sizing'!W6+'Market Sizing'!W17*cloud_per_1M_vcr*('Market Sizing'!W15/100)^(cloud_elasticity-1)+'Market Sizing'!W10*platform_market_share*cloud_gmv_factor</f>
        <v>390.59981507960754</v>
      </c>
      <c r="X13" s="35">
        <f>opex_cloud_base/'Market Sizing'!X6+'Market Sizing'!X17*cloud_per_1M_vcr*('Market Sizing'!X15/100)^(cloud_elasticity-1)+'Market Sizing'!X10*platform_market_share*cloud_gmv_factor</f>
        <v>392.97586689760328</v>
      </c>
      <c r="Y13" s="35">
        <f>opex_cloud_base/'Market Sizing'!Y6+'Market Sizing'!Y17*cloud_per_1M_vcr*('Market Sizing'!Y15/100)^(cloud_elasticity-1)+'Market Sizing'!Y10*platform_market_share*cloud_gmv_factor</f>
        <v>395.56498468132168</v>
      </c>
      <c r="Z13" s="35">
        <f>opex_cloud_base/'Market Sizing'!Z6+'Market Sizing'!Z17*cloud_per_1M_vcr*('Market Sizing'!Z15/100)^(cloud_elasticity-1)+'Market Sizing'!Z10*platform_market_share*cloud_gmv_factor</f>
        <v>398.23744631348268</v>
      </c>
      <c r="AA13" s="35">
        <f>opex_cloud_base/'Market Sizing'!AA6+'Market Sizing'!AA17*cloud_per_1M_vcr*('Market Sizing'!AA15/100)^(cloud_elasticity-1)+'Market Sizing'!AA10*platform_market_share*cloud_gmv_factor</f>
        <v>400.85777553035791</v>
      </c>
      <c r="AB13" s="35">
        <f>opex_cloud_base/'Market Sizing'!AB6+'Market Sizing'!AB17*cloud_per_1M_vcr*('Market Sizing'!AB15/100)^(cloud_elasticity-1)+'Market Sizing'!AB10*platform_market_share*cloud_gmv_factor</f>
        <v>403.6792799382311</v>
      </c>
      <c r="AC13" s="35">
        <f>opex_cloud_base/'Market Sizing'!AC6+'Market Sizing'!AC17*cloud_per_1M_vcr*('Market Sizing'!AC15/100)^(cloud_elasticity-1)+'Market Sizing'!AC10*platform_market_share*cloud_gmv_factor</f>
        <v>406.43365664933401</v>
      </c>
      <c r="AD13" s="35">
        <f>opex_cloud_base/'Market Sizing'!AD6+'Market Sizing'!AD17*cloud_per_1M_vcr*('Market Sizing'!AD15/100)^(cloud_elasticity-1)+'Market Sizing'!AD10*platform_market_share*cloud_gmv_factor</f>
        <v>409.37751662851099</v>
      </c>
      <c r="AE13" s="35">
        <f>opex_cloud_base/'Market Sizing'!AE6+'Market Sizing'!AE17*cloud_per_1M_vcr*('Market Sizing'!AE15/100)^(cloud_elasticity-1)+'Market Sizing'!AE10*platform_market_share*cloud_gmv_factor</f>
        <v>412.37148839711</v>
      </c>
      <c r="AF13" s="35">
        <f>opex_cloud_base/'Market Sizing'!AF6+'Market Sizing'!AF17*cloud_per_1M_vcr*('Market Sizing'!AF15/100)^(cloud_elasticity-1)+'Market Sizing'!AF10*platform_market_share*cloud_gmv_factor</f>
        <v>415.27119917415263</v>
      </c>
      <c r="AG13" s="35">
        <f>opex_cloud_base/'Market Sizing'!AG6+'Market Sizing'!AG17*cloud_per_1M_vcr*('Market Sizing'!AG15/100)^(cloud_elasticity-1)+'Market Sizing'!AG10*platform_market_share*cloud_gmv_factor</f>
        <v>1270.2622866834156</v>
      </c>
      <c r="AH13" s="35">
        <f>opex_cloud_base/'Market Sizing'!AH6+'Market Sizing'!AH17*cloud_per_1M_vcr*('Market Sizing'!AH15/100)^(cloud_elasticity-1)+'Market Sizing'!AH10*platform_market_share*cloud_gmv_factor</f>
        <v>1296.7646259131234</v>
      </c>
      <c r="AI13" s="35">
        <f>opex_cloud_base/'Market Sizing'!AI6+'Market Sizing'!AI17*cloud_per_1M_vcr*('Market Sizing'!AI15/100)^(cloud_elasticity-1)+'Market Sizing'!AI10*platform_market_share*cloud_gmv_factor</f>
        <v>1322.9769668015881</v>
      </c>
      <c r="AJ13" s="35">
        <f>opex_cloud_base/'Market Sizing'!AJ6+'Market Sizing'!AJ17*cloud_per_1M_vcr*('Market Sizing'!AJ15/100)^(cloud_elasticity-1)+'Market Sizing'!AJ10*platform_market_share*cloud_gmv_factor</f>
        <v>1348.1846972950602</v>
      </c>
      <c r="AK13" s="35">
        <f>opex_cloud_base/'Market Sizing'!AK6+'Market Sizing'!AK17*cloud_per_1M_vcr*('Market Sizing'!AK15/100)^(cloud_elasticity-1)+'Market Sizing'!AK10*platform_market_share*cloud_gmv_factor</f>
        <v>1392.5694044627874</v>
      </c>
      <c r="AL13" s="35">
        <f>opex_cloud_base/'Market Sizing'!AL6+'Market Sizing'!AL17*cloud_per_1M_vcr*('Market Sizing'!AL15/100)^(cloud_elasticity-1)+'Market Sizing'!AL10*platform_market_share*cloud_gmv_factor</f>
        <v>1414.112926592386</v>
      </c>
      <c r="AM13" s="35">
        <f>opex_cloud_base/'Market Sizing'!AM6+'Market Sizing'!AM17*cloud_per_1M_vcr*('Market Sizing'!AM15/100)^(cloud_elasticity-1)+'Market Sizing'!AM10*platform_market_share*cloud_gmv_factor</f>
        <v>1433.7734923385124</v>
      </c>
      <c r="AN13" s="35">
        <f>opex_cloud_base/'Market Sizing'!AN6+'Market Sizing'!AN17*cloud_per_1M_vcr*('Market Sizing'!AN15/100)^(cloud_elasticity-1)+'Market Sizing'!AN10*platform_market_share*cloud_gmv_factor</f>
        <v>1450.9987687335999</v>
      </c>
      <c r="AO13" s="35">
        <f>opex_cloud_base/'Market Sizing'!AO6+'Market Sizing'!AO17*cloud_per_1M_vcr*('Market Sizing'!AO15/100)^(cloud_elasticity-1)+'Market Sizing'!AO10*platform_market_share*cloud_gmv_factor</f>
        <v>1488.2602889623072</v>
      </c>
      <c r="AP13" s="35">
        <f>opex_cloud_base/'Market Sizing'!AP6+'Market Sizing'!AP17*cloud_per_1M_vcr*('Market Sizing'!AP15/100)^(cloud_elasticity-1)+'Market Sizing'!AP10*platform_market_share*cloud_gmv_factor</f>
        <v>1501.2450384839153</v>
      </c>
      <c r="AQ13" s="35">
        <f>opex_cloud_base/'Market Sizing'!AQ6+'Market Sizing'!AQ17*cloud_per_1M_vcr*('Market Sizing'!AQ15/100)^(cloud_elasticity-1)+'Market Sizing'!AQ10*platform_market_share*cloud_gmv_factor</f>
        <v>1512.1399949201386</v>
      </c>
      <c r="AR13" s="35">
        <f>opex_cloud_base/'Market Sizing'!AR6+'Market Sizing'!AR17*cloud_per_1M_vcr*('Market Sizing'!AR15/100)^(cloud_elasticity-1)+'Market Sizing'!AR10*platform_market_share*cloud_gmv_factor</f>
        <v>1520.7102337904244</v>
      </c>
    </row>
    <row r="14" spans="1:44" x14ac:dyDescent="0.3">
      <c r="A14" s="4" t="s">
        <v>735</v>
      </c>
      <c r="B14" s="4" t="s">
        <v>470</v>
      </c>
      <c r="C14" s="10">
        <f>opex_security/'Market Sizing'!C6</f>
        <v>20.833333333333332</v>
      </c>
      <c r="D14" s="10">
        <f>opex_security/'Market Sizing'!D6</f>
        <v>20.833333333333332</v>
      </c>
      <c r="E14" s="10">
        <f>opex_security/'Market Sizing'!E6</f>
        <v>20.833333333333332</v>
      </c>
      <c r="F14" s="10">
        <f>opex_security/'Market Sizing'!F6</f>
        <v>20.833333333333332</v>
      </c>
      <c r="G14" s="10">
        <f>opex_security/'Market Sizing'!G6</f>
        <v>20.833333333333332</v>
      </c>
      <c r="H14" s="10">
        <f>opex_security/'Market Sizing'!H6</f>
        <v>20.833333333333332</v>
      </c>
      <c r="I14" s="10">
        <f>opex_security/'Market Sizing'!I6</f>
        <v>20.833333333333332</v>
      </c>
      <c r="J14" s="10">
        <f>opex_security/'Market Sizing'!J6</f>
        <v>20.833333333333332</v>
      </c>
      <c r="K14" s="10">
        <f>opex_security/'Market Sizing'!K6</f>
        <v>20.833333333333332</v>
      </c>
      <c r="L14" s="10">
        <f>opex_security/'Market Sizing'!L6</f>
        <v>20.833333333333332</v>
      </c>
      <c r="M14" s="10">
        <f>opex_security/'Market Sizing'!M6</f>
        <v>20.833333333333332</v>
      </c>
      <c r="N14" s="10">
        <f>opex_security/'Market Sizing'!N6</f>
        <v>20.833333333333332</v>
      </c>
      <c r="O14" s="10">
        <f>opex_security/'Market Sizing'!O6</f>
        <v>20.833333333333332</v>
      </c>
      <c r="P14" s="10">
        <f>opex_security/'Market Sizing'!P6</f>
        <v>20.833333333333332</v>
      </c>
      <c r="Q14" s="10">
        <f>opex_security/'Market Sizing'!Q6</f>
        <v>20.833333333333332</v>
      </c>
      <c r="R14" s="10">
        <f>opex_security/'Market Sizing'!R6</f>
        <v>20.833333333333332</v>
      </c>
      <c r="S14" s="10">
        <f>opex_security/'Market Sizing'!S6</f>
        <v>20.833333333333332</v>
      </c>
      <c r="T14" s="10">
        <f>opex_security/'Market Sizing'!T6</f>
        <v>20.833333333333332</v>
      </c>
      <c r="U14" s="10">
        <f>opex_security/'Market Sizing'!U6</f>
        <v>20.833333333333332</v>
      </c>
      <c r="V14" s="10">
        <f>opex_security/'Market Sizing'!V6</f>
        <v>20.833333333333332</v>
      </c>
      <c r="W14" s="10">
        <f>opex_security/'Market Sizing'!W6</f>
        <v>20.833333333333332</v>
      </c>
      <c r="X14" s="10">
        <f>opex_security/'Market Sizing'!X6</f>
        <v>20.833333333333332</v>
      </c>
      <c r="Y14" s="10">
        <f>opex_security/'Market Sizing'!Y6</f>
        <v>20.833333333333332</v>
      </c>
      <c r="Z14" s="10">
        <f>opex_security/'Market Sizing'!Z6</f>
        <v>20.833333333333332</v>
      </c>
      <c r="AA14" s="10">
        <f>opex_security/'Market Sizing'!AA6</f>
        <v>20.833333333333332</v>
      </c>
      <c r="AB14" s="10">
        <f>opex_security/'Market Sizing'!AB6</f>
        <v>20.833333333333332</v>
      </c>
      <c r="AC14" s="10">
        <f>opex_security/'Market Sizing'!AC6</f>
        <v>20.833333333333332</v>
      </c>
      <c r="AD14" s="10">
        <f>opex_security/'Market Sizing'!AD6</f>
        <v>20.833333333333332</v>
      </c>
      <c r="AE14" s="10">
        <f>opex_security/'Market Sizing'!AE6</f>
        <v>20.833333333333332</v>
      </c>
      <c r="AF14" s="10">
        <f>opex_security/'Market Sizing'!AF6</f>
        <v>20.833333333333332</v>
      </c>
      <c r="AG14" s="10">
        <f>opex_security/'Market Sizing'!AG6</f>
        <v>62.5</v>
      </c>
      <c r="AH14" s="10">
        <f>opex_security/'Market Sizing'!AH6</f>
        <v>62.5</v>
      </c>
      <c r="AI14" s="10">
        <f>opex_security/'Market Sizing'!AI6</f>
        <v>62.5</v>
      </c>
      <c r="AJ14" s="10">
        <f>opex_security/'Market Sizing'!AJ6</f>
        <v>62.5</v>
      </c>
      <c r="AK14" s="10">
        <f>opex_security/'Market Sizing'!AK6</f>
        <v>62.5</v>
      </c>
      <c r="AL14" s="10">
        <f>opex_security/'Market Sizing'!AL6</f>
        <v>62.5</v>
      </c>
      <c r="AM14" s="10">
        <f>opex_security/'Market Sizing'!AM6</f>
        <v>62.5</v>
      </c>
      <c r="AN14" s="10">
        <f>opex_security/'Market Sizing'!AN6</f>
        <v>62.5</v>
      </c>
      <c r="AO14" s="10">
        <f>opex_security/'Market Sizing'!AO6</f>
        <v>62.5</v>
      </c>
      <c r="AP14" s="10">
        <f>opex_security/'Market Sizing'!AP6</f>
        <v>62.5</v>
      </c>
      <c r="AQ14" s="10">
        <f>opex_security/'Market Sizing'!AQ6</f>
        <v>62.5</v>
      </c>
      <c r="AR14" s="10">
        <f>opex_security/'Market Sizing'!AR6</f>
        <v>62.5</v>
      </c>
    </row>
    <row r="15" spans="1:44" x14ac:dyDescent="0.3">
      <c r="A15" s="4" t="s">
        <v>736</v>
      </c>
      <c r="B15" s="4" t="s">
        <v>470</v>
      </c>
      <c r="C15" s="10">
        <f>opex_external/'Market Sizing'!C6</f>
        <v>33.333333333333336</v>
      </c>
      <c r="D15" s="10">
        <f>opex_external/'Market Sizing'!D6</f>
        <v>33.333333333333336</v>
      </c>
      <c r="E15" s="10">
        <f>opex_external/'Market Sizing'!E6</f>
        <v>33.333333333333336</v>
      </c>
      <c r="F15" s="10">
        <f>opex_external/'Market Sizing'!F6</f>
        <v>33.333333333333336</v>
      </c>
      <c r="G15" s="10">
        <f>opex_external/'Market Sizing'!G6</f>
        <v>33.333333333333336</v>
      </c>
      <c r="H15" s="10">
        <f>opex_external/'Market Sizing'!H6</f>
        <v>33.333333333333336</v>
      </c>
      <c r="I15" s="10">
        <f>opex_external/'Market Sizing'!I6</f>
        <v>33.333333333333336</v>
      </c>
      <c r="J15" s="10">
        <f>opex_external/'Market Sizing'!J6</f>
        <v>33.333333333333336</v>
      </c>
      <c r="K15" s="10">
        <f>opex_external/'Market Sizing'!K6</f>
        <v>33.333333333333336</v>
      </c>
      <c r="L15" s="10">
        <f>opex_external/'Market Sizing'!L6</f>
        <v>33.333333333333336</v>
      </c>
      <c r="M15" s="10">
        <f>opex_external/'Market Sizing'!M6</f>
        <v>33.333333333333336</v>
      </c>
      <c r="N15" s="10">
        <f>opex_external/'Market Sizing'!N6</f>
        <v>33.333333333333336</v>
      </c>
      <c r="O15" s="10">
        <f>opex_external/'Market Sizing'!O6</f>
        <v>33.333333333333336</v>
      </c>
      <c r="P15" s="10">
        <f>opex_external/'Market Sizing'!P6</f>
        <v>33.333333333333336</v>
      </c>
      <c r="Q15" s="10">
        <f>opex_external/'Market Sizing'!Q6</f>
        <v>33.333333333333336</v>
      </c>
      <c r="R15" s="10">
        <f>opex_external/'Market Sizing'!R6</f>
        <v>33.333333333333336</v>
      </c>
      <c r="S15" s="10">
        <f>opex_external/'Market Sizing'!S6</f>
        <v>33.333333333333336</v>
      </c>
      <c r="T15" s="10">
        <f>opex_external/'Market Sizing'!T6</f>
        <v>33.333333333333336</v>
      </c>
      <c r="U15" s="10">
        <f>opex_external/'Market Sizing'!U6</f>
        <v>33.333333333333336</v>
      </c>
      <c r="V15" s="10">
        <f>opex_external/'Market Sizing'!V6</f>
        <v>33.333333333333336</v>
      </c>
      <c r="W15" s="10">
        <f>opex_external/'Market Sizing'!W6</f>
        <v>33.333333333333336</v>
      </c>
      <c r="X15" s="10">
        <f>opex_external/'Market Sizing'!X6</f>
        <v>33.333333333333336</v>
      </c>
      <c r="Y15" s="10">
        <f>opex_external/'Market Sizing'!Y6</f>
        <v>33.333333333333336</v>
      </c>
      <c r="Z15" s="10">
        <f>opex_external/'Market Sizing'!Z6</f>
        <v>33.333333333333336</v>
      </c>
      <c r="AA15" s="10">
        <f>opex_external/'Market Sizing'!AA6</f>
        <v>33.333333333333336</v>
      </c>
      <c r="AB15" s="10">
        <f>opex_external/'Market Sizing'!AB6</f>
        <v>33.333333333333336</v>
      </c>
      <c r="AC15" s="10">
        <f>opex_external/'Market Sizing'!AC6</f>
        <v>33.333333333333336</v>
      </c>
      <c r="AD15" s="10">
        <f>opex_external/'Market Sizing'!AD6</f>
        <v>33.333333333333336</v>
      </c>
      <c r="AE15" s="10">
        <f>opex_external/'Market Sizing'!AE6</f>
        <v>33.333333333333336</v>
      </c>
      <c r="AF15" s="10">
        <f>opex_external/'Market Sizing'!AF6</f>
        <v>33.333333333333336</v>
      </c>
      <c r="AG15" s="10">
        <f>opex_external/'Market Sizing'!AG6</f>
        <v>100</v>
      </c>
      <c r="AH15" s="10">
        <f>opex_external/'Market Sizing'!AH6</f>
        <v>100</v>
      </c>
      <c r="AI15" s="10">
        <f>opex_external/'Market Sizing'!AI6</f>
        <v>100</v>
      </c>
      <c r="AJ15" s="10">
        <f>opex_external/'Market Sizing'!AJ6</f>
        <v>100</v>
      </c>
      <c r="AK15" s="10">
        <f>opex_external/'Market Sizing'!AK6</f>
        <v>100</v>
      </c>
      <c r="AL15" s="10">
        <f>opex_external/'Market Sizing'!AL6</f>
        <v>100</v>
      </c>
      <c r="AM15" s="10">
        <f>opex_external/'Market Sizing'!AM6</f>
        <v>100</v>
      </c>
      <c r="AN15" s="10">
        <f>opex_external/'Market Sizing'!AN6</f>
        <v>100</v>
      </c>
      <c r="AO15" s="10">
        <f>opex_external/'Market Sizing'!AO6</f>
        <v>100</v>
      </c>
      <c r="AP15" s="10">
        <f>opex_external/'Market Sizing'!AP6</f>
        <v>100</v>
      </c>
      <c r="AQ15" s="10">
        <f>opex_external/'Market Sizing'!AQ6</f>
        <v>100</v>
      </c>
      <c r="AR15" s="10">
        <f>opex_external/'Market Sizing'!AR6</f>
        <v>100</v>
      </c>
    </row>
    <row r="16" spans="1:44" x14ac:dyDescent="0.3">
      <c r="A16" s="4" t="s">
        <v>737</v>
      </c>
      <c r="B16" s="4" t="s">
        <v>470</v>
      </c>
      <c r="C16" s="10">
        <f>opex_legal/'Market Sizing'!C6</f>
        <v>20</v>
      </c>
      <c r="D16" s="10">
        <f>opex_legal/'Market Sizing'!D6</f>
        <v>20</v>
      </c>
      <c r="E16" s="10">
        <f>opex_legal/'Market Sizing'!E6</f>
        <v>20</v>
      </c>
      <c r="F16" s="10">
        <f>opex_legal/'Market Sizing'!F6</f>
        <v>20</v>
      </c>
      <c r="G16" s="10">
        <f>opex_legal/'Market Sizing'!G6</f>
        <v>20</v>
      </c>
      <c r="H16" s="10">
        <f>opex_legal/'Market Sizing'!H6</f>
        <v>20</v>
      </c>
      <c r="I16" s="10">
        <f>opex_legal/'Market Sizing'!I6</f>
        <v>20</v>
      </c>
      <c r="J16" s="10">
        <f>opex_legal/'Market Sizing'!J6</f>
        <v>20</v>
      </c>
      <c r="K16" s="10">
        <f>opex_legal/'Market Sizing'!K6</f>
        <v>20</v>
      </c>
      <c r="L16" s="10">
        <f>opex_legal/'Market Sizing'!L6</f>
        <v>20</v>
      </c>
      <c r="M16" s="10">
        <f>opex_legal/'Market Sizing'!M6</f>
        <v>20</v>
      </c>
      <c r="N16" s="10">
        <f>opex_legal/'Market Sizing'!N6</f>
        <v>20</v>
      </c>
      <c r="O16" s="10">
        <f>opex_legal/'Market Sizing'!O6</f>
        <v>20</v>
      </c>
      <c r="P16" s="10">
        <f>opex_legal/'Market Sizing'!P6</f>
        <v>20</v>
      </c>
      <c r="Q16" s="10">
        <f>opex_legal/'Market Sizing'!Q6</f>
        <v>20</v>
      </c>
      <c r="R16" s="10">
        <f>opex_legal/'Market Sizing'!R6</f>
        <v>20</v>
      </c>
      <c r="S16" s="10">
        <f>opex_legal/'Market Sizing'!S6</f>
        <v>20</v>
      </c>
      <c r="T16" s="10">
        <f>opex_legal/'Market Sizing'!T6</f>
        <v>20</v>
      </c>
      <c r="U16" s="10">
        <f>opex_legal/'Market Sizing'!U6</f>
        <v>20</v>
      </c>
      <c r="V16" s="10">
        <f>opex_legal/'Market Sizing'!V6</f>
        <v>20</v>
      </c>
      <c r="W16" s="10">
        <f>opex_legal/'Market Sizing'!W6</f>
        <v>20</v>
      </c>
      <c r="X16" s="10">
        <f>opex_legal/'Market Sizing'!X6</f>
        <v>20</v>
      </c>
      <c r="Y16" s="10">
        <f>opex_legal/'Market Sizing'!Y6</f>
        <v>20</v>
      </c>
      <c r="Z16" s="10">
        <f>opex_legal/'Market Sizing'!Z6</f>
        <v>20</v>
      </c>
      <c r="AA16" s="10">
        <f>opex_legal/'Market Sizing'!AA6</f>
        <v>20</v>
      </c>
      <c r="AB16" s="10">
        <f>opex_legal/'Market Sizing'!AB6</f>
        <v>20</v>
      </c>
      <c r="AC16" s="10">
        <f>opex_legal/'Market Sizing'!AC6</f>
        <v>20</v>
      </c>
      <c r="AD16" s="10">
        <f>opex_legal/'Market Sizing'!AD6</f>
        <v>20</v>
      </c>
      <c r="AE16" s="10">
        <f>opex_legal/'Market Sizing'!AE6</f>
        <v>20</v>
      </c>
      <c r="AF16" s="10">
        <f>opex_legal/'Market Sizing'!AF6</f>
        <v>20</v>
      </c>
      <c r="AG16" s="10">
        <f>opex_legal/'Market Sizing'!AG6</f>
        <v>60</v>
      </c>
      <c r="AH16" s="10">
        <f>opex_legal/'Market Sizing'!AH6</f>
        <v>60</v>
      </c>
      <c r="AI16" s="10">
        <f>opex_legal/'Market Sizing'!AI6</f>
        <v>60</v>
      </c>
      <c r="AJ16" s="10">
        <f>opex_legal/'Market Sizing'!AJ6</f>
        <v>60</v>
      </c>
      <c r="AK16" s="10">
        <f>opex_legal/'Market Sizing'!AK6</f>
        <v>60</v>
      </c>
      <c r="AL16" s="10">
        <f>opex_legal/'Market Sizing'!AL6</f>
        <v>60</v>
      </c>
      <c r="AM16" s="10">
        <f>opex_legal/'Market Sizing'!AM6</f>
        <v>60</v>
      </c>
      <c r="AN16" s="10">
        <f>opex_legal/'Market Sizing'!AN6</f>
        <v>60</v>
      </c>
      <c r="AO16" s="10">
        <f>opex_legal/'Market Sizing'!AO6</f>
        <v>60</v>
      </c>
      <c r="AP16" s="10">
        <f>opex_legal/'Market Sizing'!AP6</f>
        <v>60</v>
      </c>
      <c r="AQ16" s="10">
        <f>opex_legal/'Market Sizing'!AQ6</f>
        <v>60</v>
      </c>
      <c r="AR16" s="10">
        <f>opex_legal/'Market Sizing'!AR6</f>
        <v>60</v>
      </c>
    </row>
    <row r="17" spans="1:44" x14ac:dyDescent="0.3">
      <c r="A17" s="4" t="s">
        <v>738</v>
      </c>
      <c r="B17" s="4" t="s">
        <v>470</v>
      </c>
      <c r="C17" s="61">
        <f>IF('Market Sizing'!C3&lt;months_to_first_revenue,opex_pilot_eval/'Market Sizing'!C6,0)</f>
        <v>16.666666666666668</v>
      </c>
      <c r="D17" s="61">
        <f>IF('Market Sizing'!D3&lt;months_to_first_revenue,opex_pilot_eval/'Market Sizing'!D6,0)</f>
        <v>16.666666666666668</v>
      </c>
      <c r="E17" s="61">
        <f>IF('Market Sizing'!E3&lt;months_to_first_revenue,opex_pilot_eval/'Market Sizing'!E6,0)</f>
        <v>16.666666666666668</v>
      </c>
      <c r="F17" s="61">
        <f>IF('Market Sizing'!F3&lt;months_to_first_revenue,opex_pilot_eval/'Market Sizing'!F6,0)</f>
        <v>16.666666666666668</v>
      </c>
      <c r="G17" s="61">
        <f>IF('Market Sizing'!G3&lt;months_to_first_revenue,opex_pilot_eval/'Market Sizing'!G6,0)</f>
        <v>16.666666666666668</v>
      </c>
      <c r="H17" s="61">
        <f>IF('Market Sizing'!H3&lt;months_to_first_revenue,opex_pilot_eval/'Market Sizing'!H6,0)</f>
        <v>16.666666666666668</v>
      </c>
      <c r="I17" s="61">
        <f>IF('Market Sizing'!I3&lt;months_to_first_revenue,opex_pilot_eval/'Market Sizing'!I6,0)</f>
        <v>16.666666666666668</v>
      </c>
      <c r="J17" s="61">
        <f>IF('Market Sizing'!J3&lt;months_to_first_revenue,opex_pilot_eval/'Market Sizing'!J6,0)</f>
        <v>16.666666666666668</v>
      </c>
      <c r="K17" s="61">
        <f>IF('Market Sizing'!K3&lt;months_to_first_revenue,opex_pilot_eval/'Market Sizing'!K6,0)</f>
        <v>16.666666666666668</v>
      </c>
      <c r="L17" s="61">
        <f>IF('Market Sizing'!L3&lt;months_to_first_revenue,opex_pilot_eval/'Market Sizing'!L6,0)</f>
        <v>16.666666666666668</v>
      </c>
      <c r="M17" s="61">
        <f>IF('Market Sizing'!M3&lt;months_to_first_revenue,opex_pilot_eval/'Market Sizing'!M6,0)</f>
        <v>0</v>
      </c>
      <c r="N17" s="61">
        <f>IF('Market Sizing'!N3&lt;months_to_first_revenue,opex_pilot_eval/'Market Sizing'!N6,0)</f>
        <v>0</v>
      </c>
      <c r="O17" s="61">
        <f>IF('Market Sizing'!O3&lt;months_to_first_revenue,opex_pilot_eval/'Market Sizing'!O6,0)</f>
        <v>0</v>
      </c>
      <c r="P17" s="61">
        <f>IF('Market Sizing'!P3&lt;months_to_first_revenue,opex_pilot_eval/'Market Sizing'!P6,0)</f>
        <v>0</v>
      </c>
      <c r="Q17" s="61">
        <f>IF('Market Sizing'!Q3&lt;months_to_first_revenue,opex_pilot_eval/'Market Sizing'!Q6,0)</f>
        <v>0</v>
      </c>
      <c r="R17" s="61">
        <f>IF('Market Sizing'!R3&lt;months_to_first_revenue,opex_pilot_eval/'Market Sizing'!R6,0)</f>
        <v>0</v>
      </c>
      <c r="S17" s="61">
        <f>IF('Market Sizing'!S3&lt;months_to_first_revenue,opex_pilot_eval/'Market Sizing'!S6,0)</f>
        <v>0</v>
      </c>
      <c r="T17" s="61">
        <f>IF('Market Sizing'!T3&lt;months_to_first_revenue,opex_pilot_eval/'Market Sizing'!T6,0)</f>
        <v>0</v>
      </c>
      <c r="U17" s="61">
        <f>IF('Market Sizing'!U3&lt;months_to_first_revenue,opex_pilot_eval/'Market Sizing'!U6,0)</f>
        <v>0</v>
      </c>
      <c r="V17" s="61">
        <f>IF('Market Sizing'!V3&lt;months_to_first_revenue,opex_pilot_eval/'Market Sizing'!V6,0)</f>
        <v>0</v>
      </c>
      <c r="W17" s="61">
        <f>IF('Market Sizing'!W3&lt;months_to_first_revenue,opex_pilot_eval/'Market Sizing'!W6,0)</f>
        <v>0</v>
      </c>
      <c r="X17" s="61">
        <f>IF('Market Sizing'!X3&lt;months_to_first_revenue,opex_pilot_eval/'Market Sizing'!X6,0)</f>
        <v>0</v>
      </c>
      <c r="Y17" s="61">
        <f>IF('Market Sizing'!Y3&lt;months_to_first_revenue,opex_pilot_eval/'Market Sizing'!Y6,0)</f>
        <v>0</v>
      </c>
      <c r="Z17" s="61">
        <f>IF('Market Sizing'!Z3&lt;months_to_first_revenue,opex_pilot_eval/'Market Sizing'!Z6,0)</f>
        <v>0</v>
      </c>
      <c r="AA17" s="61">
        <f>IF('Market Sizing'!AA3&lt;months_to_first_revenue,opex_pilot_eval/'Market Sizing'!AA6,0)</f>
        <v>0</v>
      </c>
      <c r="AB17" s="61">
        <f>IF('Market Sizing'!AB3&lt;months_to_first_revenue,opex_pilot_eval/'Market Sizing'!AB6,0)</f>
        <v>0</v>
      </c>
      <c r="AC17" s="61">
        <f>IF('Market Sizing'!AC3&lt;months_to_first_revenue,opex_pilot_eval/'Market Sizing'!AC6,0)</f>
        <v>0</v>
      </c>
      <c r="AD17" s="61">
        <f>IF('Market Sizing'!AD3&lt;months_to_first_revenue,opex_pilot_eval/'Market Sizing'!AD6,0)</f>
        <v>0</v>
      </c>
      <c r="AE17" s="61">
        <f>IF('Market Sizing'!AE3&lt;months_to_first_revenue,opex_pilot_eval/'Market Sizing'!AE6,0)</f>
        <v>0</v>
      </c>
      <c r="AF17" s="61">
        <f>IF('Market Sizing'!AF3&lt;months_to_first_revenue,opex_pilot_eval/'Market Sizing'!AF6,0)</f>
        <v>0</v>
      </c>
      <c r="AG17" s="61">
        <f>IF('Market Sizing'!AG3&lt;months_to_first_revenue,opex_pilot_eval/'Market Sizing'!AG6,0)</f>
        <v>0</v>
      </c>
      <c r="AH17" s="61">
        <f>IF('Market Sizing'!AH3&lt;months_to_first_revenue,opex_pilot_eval/'Market Sizing'!AH6,0)</f>
        <v>0</v>
      </c>
      <c r="AI17" s="61">
        <f>IF('Market Sizing'!AI3&lt;months_to_first_revenue,opex_pilot_eval/'Market Sizing'!AI6,0)</f>
        <v>0</v>
      </c>
      <c r="AJ17" s="61">
        <f>IF('Market Sizing'!AJ3&lt;months_to_first_revenue,opex_pilot_eval/'Market Sizing'!AJ6,0)</f>
        <v>0</v>
      </c>
      <c r="AK17" s="61">
        <f>IF('Market Sizing'!AK3&lt;months_to_first_revenue,opex_pilot_eval/'Market Sizing'!AK6,0)</f>
        <v>0</v>
      </c>
      <c r="AL17" s="61">
        <f>IF('Market Sizing'!AL3&lt;months_to_first_revenue,opex_pilot_eval/'Market Sizing'!AL6,0)</f>
        <v>0</v>
      </c>
      <c r="AM17" s="61">
        <f>IF('Market Sizing'!AM3&lt;months_to_first_revenue,opex_pilot_eval/'Market Sizing'!AM6,0)</f>
        <v>0</v>
      </c>
      <c r="AN17" s="61">
        <f>IF('Market Sizing'!AN3&lt;months_to_first_revenue,opex_pilot_eval/'Market Sizing'!AN6,0)</f>
        <v>0</v>
      </c>
      <c r="AO17" s="61">
        <f>IF('Market Sizing'!AO3&lt;months_to_first_revenue,opex_pilot_eval/'Market Sizing'!AO6,0)</f>
        <v>0</v>
      </c>
      <c r="AP17" s="61">
        <f>IF('Market Sizing'!AP3&lt;months_to_first_revenue,opex_pilot_eval/'Market Sizing'!AP6,0)</f>
        <v>0</v>
      </c>
      <c r="AQ17" s="61">
        <f>IF('Market Sizing'!AQ3&lt;months_to_first_revenue,opex_pilot_eval/'Market Sizing'!AQ6,0)</f>
        <v>0</v>
      </c>
      <c r="AR17" s="61">
        <f>IF('Market Sizing'!AR3&lt;months_to_first_revenue,opex_pilot_eval/'Market Sizing'!AR6,0)</f>
        <v>0</v>
      </c>
    </row>
    <row r="18" spans="1:44" x14ac:dyDescent="0.3">
      <c r="A18" s="4" t="s">
        <v>739</v>
      </c>
      <c r="B18" s="4" t="s">
        <v>470</v>
      </c>
      <c r="C18" s="10">
        <f>opex_partner_mgmt/'Market Sizing'!C6</f>
        <v>41.666666666666664</v>
      </c>
      <c r="D18" s="10">
        <f>opex_partner_mgmt/'Market Sizing'!D6</f>
        <v>41.666666666666664</v>
      </c>
      <c r="E18" s="10">
        <f>opex_partner_mgmt/'Market Sizing'!E6</f>
        <v>41.666666666666664</v>
      </c>
      <c r="F18" s="10">
        <f>opex_partner_mgmt/'Market Sizing'!F6</f>
        <v>41.666666666666664</v>
      </c>
      <c r="G18" s="10">
        <f>opex_partner_mgmt/'Market Sizing'!G6</f>
        <v>41.666666666666664</v>
      </c>
      <c r="H18" s="10">
        <f>opex_partner_mgmt/'Market Sizing'!H6</f>
        <v>41.666666666666664</v>
      </c>
      <c r="I18" s="10">
        <f>opex_partner_mgmt/'Market Sizing'!I6</f>
        <v>41.666666666666664</v>
      </c>
      <c r="J18" s="10">
        <f>opex_partner_mgmt/'Market Sizing'!J6</f>
        <v>41.666666666666664</v>
      </c>
      <c r="K18" s="10">
        <f>opex_partner_mgmt/'Market Sizing'!K6</f>
        <v>41.666666666666664</v>
      </c>
      <c r="L18" s="10">
        <f>opex_partner_mgmt/'Market Sizing'!L6</f>
        <v>41.666666666666664</v>
      </c>
      <c r="M18" s="10">
        <f>opex_partner_mgmt/'Market Sizing'!M6</f>
        <v>41.666666666666664</v>
      </c>
      <c r="N18" s="10">
        <f>opex_partner_mgmt/'Market Sizing'!N6</f>
        <v>41.666666666666664</v>
      </c>
      <c r="O18" s="10">
        <f>opex_partner_mgmt/'Market Sizing'!O6</f>
        <v>41.666666666666664</v>
      </c>
      <c r="P18" s="10">
        <f>opex_partner_mgmt/'Market Sizing'!P6</f>
        <v>41.666666666666664</v>
      </c>
      <c r="Q18" s="10">
        <f>opex_partner_mgmt/'Market Sizing'!Q6</f>
        <v>41.666666666666664</v>
      </c>
      <c r="R18" s="10">
        <f>opex_partner_mgmt/'Market Sizing'!R6</f>
        <v>41.666666666666664</v>
      </c>
      <c r="S18" s="10">
        <f>opex_partner_mgmt/'Market Sizing'!S6</f>
        <v>41.666666666666664</v>
      </c>
      <c r="T18" s="10">
        <f>opex_partner_mgmt/'Market Sizing'!T6</f>
        <v>41.666666666666664</v>
      </c>
      <c r="U18" s="10">
        <f>opex_partner_mgmt/'Market Sizing'!U6</f>
        <v>41.666666666666664</v>
      </c>
      <c r="V18" s="10">
        <f>opex_partner_mgmt/'Market Sizing'!V6</f>
        <v>41.666666666666664</v>
      </c>
      <c r="W18" s="10">
        <f>opex_partner_mgmt/'Market Sizing'!W6</f>
        <v>41.666666666666664</v>
      </c>
      <c r="X18" s="10">
        <f>opex_partner_mgmt/'Market Sizing'!X6</f>
        <v>41.666666666666664</v>
      </c>
      <c r="Y18" s="10">
        <f>opex_partner_mgmt/'Market Sizing'!Y6</f>
        <v>41.666666666666664</v>
      </c>
      <c r="Z18" s="10">
        <f>opex_partner_mgmt/'Market Sizing'!Z6</f>
        <v>41.666666666666664</v>
      </c>
      <c r="AA18" s="10">
        <f>opex_partner_mgmt/'Market Sizing'!AA6</f>
        <v>41.666666666666664</v>
      </c>
      <c r="AB18" s="10">
        <f>opex_partner_mgmt/'Market Sizing'!AB6</f>
        <v>41.666666666666664</v>
      </c>
      <c r="AC18" s="10">
        <f>opex_partner_mgmt/'Market Sizing'!AC6</f>
        <v>41.666666666666664</v>
      </c>
      <c r="AD18" s="10">
        <f>opex_partner_mgmt/'Market Sizing'!AD6</f>
        <v>41.666666666666664</v>
      </c>
      <c r="AE18" s="10">
        <f>opex_partner_mgmt/'Market Sizing'!AE6</f>
        <v>41.666666666666664</v>
      </c>
      <c r="AF18" s="10">
        <f>opex_partner_mgmt/'Market Sizing'!AF6</f>
        <v>41.666666666666664</v>
      </c>
      <c r="AG18" s="10">
        <f>opex_partner_mgmt/'Market Sizing'!AG6</f>
        <v>125</v>
      </c>
      <c r="AH18" s="10">
        <f>opex_partner_mgmt/'Market Sizing'!AH6</f>
        <v>125</v>
      </c>
      <c r="AI18" s="10">
        <f>opex_partner_mgmt/'Market Sizing'!AI6</f>
        <v>125</v>
      </c>
      <c r="AJ18" s="10">
        <f>opex_partner_mgmt/'Market Sizing'!AJ6</f>
        <v>125</v>
      </c>
      <c r="AK18" s="10">
        <f>opex_partner_mgmt/'Market Sizing'!AK6</f>
        <v>125</v>
      </c>
      <c r="AL18" s="10">
        <f>opex_partner_mgmt/'Market Sizing'!AL6</f>
        <v>125</v>
      </c>
      <c r="AM18" s="10">
        <f>opex_partner_mgmt/'Market Sizing'!AM6</f>
        <v>125</v>
      </c>
      <c r="AN18" s="10">
        <f>opex_partner_mgmt/'Market Sizing'!AN6</f>
        <v>125</v>
      </c>
      <c r="AO18" s="10">
        <f>opex_partner_mgmt/'Market Sizing'!AO6</f>
        <v>125</v>
      </c>
      <c r="AP18" s="10">
        <f>opex_partner_mgmt/'Market Sizing'!AP6</f>
        <v>125</v>
      </c>
      <c r="AQ18" s="10">
        <f>opex_partner_mgmt/'Market Sizing'!AQ6</f>
        <v>125</v>
      </c>
      <c r="AR18" s="10">
        <f>opex_partner_mgmt/'Market Sizing'!AR6</f>
        <v>125</v>
      </c>
    </row>
    <row r="19" spans="1:44" x14ac:dyDescent="0.3">
      <c r="A19" s="4" t="s">
        <v>740</v>
      </c>
      <c r="B19" s="4" t="s">
        <v>470</v>
      </c>
      <c r="C19" s="61">
        <f>IF('Market Sizing'!C3&gt;=months_to_first_revenue,1,0)*'Market Sizing'!C15*opex_support_per_ent*IF('Market Sizing'!C15&gt;support_scale_threshold,1-support_discount,1)/'Market Sizing'!C6</f>
        <v>0</v>
      </c>
      <c r="D19" s="61">
        <f>IF('Market Sizing'!D3&gt;=months_to_first_revenue,1,0)*'Market Sizing'!D15*opex_support_per_ent*IF('Market Sizing'!D15&gt;support_scale_threshold,1-support_discount,1)/'Market Sizing'!D6</f>
        <v>0</v>
      </c>
      <c r="E19" s="61">
        <f>IF('Market Sizing'!E3&gt;=months_to_first_revenue,1,0)*'Market Sizing'!E15*opex_support_per_ent*IF('Market Sizing'!E15&gt;support_scale_threshold,1-support_discount,1)/'Market Sizing'!E6</f>
        <v>0</v>
      </c>
      <c r="F19" s="61">
        <f>IF('Market Sizing'!F3&gt;=months_to_first_revenue,1,0)*'Market Sizing'!F15*opex_support_per_ent*IF('Market Sizing'!F15&gt;support_scale_threshold,1-support_discount,1)/'Market Sizing'!F6</f>
        <v>0</v>
      </c>
      <c r="G19" s="61">
        <f>IF('Market Sizing'!G3&gt;=months_to_first_revenue,1,0)*'Market Sizing'!G15*opex_support_per_ent*IF('Market Sizing'!G15&gt;support_scale_threshold,1-support_discount,1)/'Market Sizing'!G6</f>
        <v>0</v>
      </c>
      <c r="H19" s="61">
        <f>IF('Market Sizing'!H3&gt;=months_to_first_revenue,1,0)*'Market Sizing'!H15*opex_support_per_ent*IF('Market Sizing'!H15&gt;support_scale_threshold,1-support_discount,1)/'Market Sizing'!H6</f>
        <v>0</v>
      </c>
      <c r="I19" s="61">
        <f>IF('Market Sizing'!I3&gt;=months_to_first_revenue,1,0)*'Market Sizing'!I15*opex_support_per_ent*IF('Market Sizing'!I15&gt;support_scale_threshold,1-support_discount,1)/'Market Sizing'!I6</f>
        <v>0</v>
      </c>
      <c r="J19" s="61">
        <f>IF('Market Sizing'!J3&gt;=months_to_first_revenue,1,0)*'Market Sizing'!J15*opex_support_per_ent*IF('Market Sizing'!J15&gt;support_scale_threshold,1-support_discount,1)/'Market Sizing'!J6</f>
        <v>0</v>
      </c>
      <c r="K19" s="61">
        <f>IF('Market Sizing'!K3&gt;=months_to_first_revenue,1,0)*'Market Sizing'!K15*opex_support_per_ent*IF('Market Sizing'!K15&gt;support_scale_threshold,1-support_discount,1)/'Market Sizing'!K6</f>
        <v>0</v>
      </c>
      <c r="L19" s="61">
        <f>IF('Market Sizing'!L3&gt;=months_to_first_revenue,1,0)*'Market Sizing'!L15*opex_support_per_ent*IF('Market Sizing'!L15&gt;support_scale_threshold,1-support_discount,1)/'Market Sizing'!L6</f>
        <v>0</v>
      </c>
      <c r="M19" s="61">
        <f>IF('Market Sizing'!M3&gt;=months_to_first_revenue,1,0)*'Market Sizing'!M15*opex_support_per_ent*IF('Market Sizing'!M15&gt;support_scale_threshold,1-support_discount,1)/'Market Sizing'!M6</f>
        <v>35.81843809460257</v>
      </c>
      <c r="N19" s="61">
        <f>IF('Market Sizing'!N3&gt;=months_to_first_revenue,1,0)*'Market Sizing'!N15*opex_support_per_ent*IF('Market Sizing'!N15&gt;support_scale_threshold,1-support_discount,1)/'Market Sizing'!N6</f>
        <v>38.109120898107442</v>
      </c>
      <c r="O19" s="61">
        <f>IF('Market Sizing'!O3&gt;=months_to_first_revenue,1,0)*'Market Sizing'!O15*opex_support_per_ent*IF('Market Sizing'!O15&gt;support_scale_threshold,1-support_discount,1)/'Market Sizing'!O6</f>
        <v>40.507407693522801</v>
      </c>
      <c r="P19" s="61">
        <f>IF('Market Sizing'!P3&gt;=months_to_first_revenue,1,0)*'Market Sizing'!P15*opex_support_per_ent*IF('Market Sizing'!P15&gt;support_scale_threshold,1-support_discount,1)/'Market Sizing'!P6</f>
        <v>43.013840552857893</v>
      </c>
      <c r="Q19" s="61">
        <f>IF('Market Sizing'!Q3&gt;=months_to_first_revenue,1,0)*'Market Sizing'!Q15*opex_support_per_ent*IF('Market Sizing'!Q15&gt;support_scale_threshold,1-support_discount,1)/'Market Sizing'!Q6</f>
        <v>45.461709966865556</v>
      </c>
      <c r="R19" s="61">
        <f>IF('Market Sizing'!R3&gt;=months_to_first_revenue,1,0)*'Market Sizing'!R15*opex_support_per_ent*IF('Market Sizing'!R15&gt;support_scale_threshold,1-support_discount,1)/'Market Sizing'!R6</f>
        <v>48.183669293141008</v>
      </c>
      <c r="S19" s="61">
        <f>IF('Market Sizing'!S3&gt;=months_to_first_revenue,1,0)*'Market Sizing'!S15*opex_support_per_ent*IF('Market Sizing'!S15&gt;support_scale_threshold,1-support_discount,1)/'Market Sizing'!S6</f>
        <v>51.011686830233252</v>
      </c>
      <c r="T19" s="61">
        <f>IF('Market Sizing'!T3&gt;=months_to_first_revenue,1,0)*'Market Sizing'!T15*opex_support_per_ent*IF('Market Sizing'!T15&gt;support_scale_threshold,1-support_discount,1)/'Market Sizing'!T6</f>
        <v>53.943670414513548</v>
      </c>
      <c r="U19" s="61">
        <f>IF('Market Sizing'!U3&gt;=months_to_first_revenue,1,0)*'Market Sizing'!U15*opex_support_per_ent*IF('Market Sizing'!U15&gt;support_scale_threshold,1-support_discount,1)/'Market Sizing'!U6</f>
        <v>56.810099474999198</v>
      </c>
      <c r="V19" s="61">
        <f>IF('Market Sizing'!V3&gt;=months_to_first_revenue,1,0)*'Market Sizing'!V15*opex_support_per_ent*IF('Market Sizing'!V15&gt;support_scale_threshold,1-support_discount,1)/'Market Sizing'!V6</f>
        <v>59.940666130484033</v>
      </c>
      <c r="W19" s="61">
        <f>IF('Market Sizing'!W3&gt;=months_to_first_revenue,1,0)*'Market Sizing'!W15*opex_support_per_ent*IF('Market Sizing'!W15&gt;support_scale_threshold,1-support_discount,1)/'Market Sizing'!W6</f>
        <v>63.164260164924372</v>
      </c>
      <c r="X19" s="61">
        <f>IF('Market Sizing'!X3&gt;=months_to_first_revenue,1,0)*'Market Sizing'!X15*opex_support_per_ent*IF('Market Sizing'!X15&gt;support_scale_threshold,1-support_discount,1)/'Market Sizing'!X6</f>
        <v>66.308965899316817</v>
      </c>
      <c r="Y19" s="61">
        <f>IF('Market Sizing'!Y3&gt;=months_to_first_revenue,1,0)*'Market Sizing'!Y15*opex_support_per_ent*IF('Market Sizing'!Y15&gt;support_scale_threshold,1-support_discount,1)/'Market Sizing'!Y6</f>
        <v>69.702072088171121</v>
      </c>
      <c r="Z19" s="61">
        <f>IF('Market Sizing'!Z3&gt;=months_to_first_revenue,1,0)*'Market Sizing'!Z15*opex_support_per_ent*IF('Market Sizing'!Z15&gt;support_scale_threshold,1-support_discount,1)/'Market Sizing'!Z6</f>
        <v>73.170095674263266</v>
      </c>
      <c r="AA19" s="61">
        <f>IF('Market Sizing'!AA3&gt;=months_to_first_revenue,1,0)*'Market Sizing'!AA15*opex_support_per_ent*IF('Market Sizing'!AA15&gt;support_scale_threshold,1-support_discount,1)/'Market Sizing'!AA6</f>
        <v>76.538819876822274</v>
      </c>
      <c r="AB19" s="61">
        <f>IF('Market Sizing'!AB3&gt;=months_to_first_revenue,1,0)*'Market Sizing'!AB15*opex_support_per_ent*IF('Market Sizing'!AB15&gt;support_scale_threshold,1-support_discount,1)/'Market Sizing'!AB6</f>
        <v>80.133346675849438</v>
      </c>
      <c r="AC19" s="61">
        <f>IF('Market Sizing'!AC3&gt;=months_to_first_revenue,1,0)*'Market Sizing'!AC15*opex_support_per_ent*IF('Market Sizing'!AC15&gt;support_scale_threshold,1-support_discount,1)/'Market Sizing'!AC6</f>
        <v>58.528047646370062</v>
      </c>
      <c r="AD19" s="61">
        <f>IF('Market Sizing'!AD3&gt;=months_to_first_revenue,1,0)*'Market Sizing'!AD15*opex_support_per_ent*IF('Market Sizing'!AD15&gt;support_scale_threshold,1-support_discount,1)/'Market Sizing'!AD6</f>
        <v>61.108055323753206</v>
      </c>
      <c r="AE19" s="61">
        <f>IF('Market Sizing'!AE3&gt;=months_to_first_revenue,1,0)*'Market Sizing'!AE15*opex_support_per_ent*IF('Market Sizing'!AE15&gt;support_scale_threshold,1-support_discount,1)/'Market Sizing'!AE6</f>
        <v>63.709821651872687</v>
      </c>
      <c r="AF19" s="61">
        <f>IF('Market Sizing'!AF3&gt;=months_to_first_revenue,1,0)*'Market Sizing'!AF15*opex_support_per_ent*IF('Market Sizing'!AF15&gt;support_scale_threshold,1-support_discount,1)/'Market Sizing'!AF6</f>
        <v>66.209563110340767</v>
      </c>
      <c r="AG19" s="61">
        <f>IF('Market Sizing'!AG3&gt;=months_to_first_revenue,1,0)*'Market Sizing'!AG15*opex_support_per_ent*IF('Market Sizing'!AG15&gt;support_scale_threshold,1-support_discount,1)/'Market Sizing'!AG6</f>
        <v>203.08703863910466</v>
      </c>
      <c r="AH19" s="61">
        <f>IF('Market Sizing'!AH3&gt;=months_to_first_revenue,1,0)*'Market Sizing'!AH15*opex_support_per_ent*IF('Market Sizing'!AH15&gt;support_scale_threshold,1-support_discount,1)/'Market Sizing'!AH6</f>
        <v>225.50531397818895</v>
      </c>
      <c r="AI19" s="61">
        <f>IF('Market Sizing'!AI3&gt;=months_to_first_revenue,1,0)*'Market Sizing'!AI15*opex_support_per_ent*IF('Market Sizing'!AI15&gt;support_scale_threshold,1-support_discount,1)/'Market Sizing'!AI6</f>
        <v>247.2472742517823</v>
      </c>
      <c r="AJ19" s="61">
        <f>IF('Market Sizing'!AJ3&gt;=months_to_first_revenue,1,0)*'Market Sizing'!AJ15*opex_support_per_ent*IF('Market Sizing'!AJ15&gt;support_scale_threshold,1-support_discount,1)/'Market Sizing'!AJ6</f>
        <v>267.80039982043292</v>
      </c>
      <c r="AK19" s="61">
        <f>IF('Market Sizing'!AK3&gt;=months_to_first_revenue,1,0)*'Market Sizing'!AK15*opex_support_per_ent*IF('Market Sizing'!AK15&gt;support_scale_threshold,1-support_discount,1)/'Market Sizing'!AK6</f>
        <v>286.7596448797654</v>
      </c>
      <c r="AL19" s="61">
        <f>IF('Market Sizing'!AL3&gt;=months_to_first_revenue,1,0)*'Market Sizing'!AL15*opex_support_per_ent*IF('Market Sizing'!AL15&gt;support_scale_threshold,1-support_discount,1)/'Market Sizing'!AL6</f>
        <v>303.85040603945157</v>
      </c>
      <c r="AM19" s="61">
        <f>IF('Market Sizing'!AM3&gt;=months_to_first_revenue,1,0)*'Market Sizing'!AM15*opex_support_per_ent*IF('Market Sizing'!AM15&gt;support_scale_threshold,1-support_discount,1)/'Market Sizing'!AM6</f>
        <v>319.28098962966368</v>
      </c>
      <c r="AN19" s="61">
        <f>IF('Market Sizing'!AN3&gt;=months_to_first_revenue,1,0)*'Market Sizing'!AN15*opex_support_per_ent*IF('Market Sizing'!AN15&gt;support_scale_threshold,1-support_discount,1)/'Market Sizing'!AN6</f>
        <v>332.67843950279411</v>
      </c>
      <c r="AO19" s="61">
        <f>IF('Market Sizing'!AO3&gt;=months_to_first_revenue,1,0)*'Market Sizing'!AO15*opex_support_per_ent*IF('Market Sizing'!AO15&gt;support_scale_threshold,1-support_discount,1)/'Market Sizing'!AO6</f>
        <v>344.11416275428223</v>
      </c>
      <c r="AP19" s="61">
        <f>IF('Market Sizing'!AP3&gt;=months_to_first_revenue,1,0)*'Market Sizing'!AP15*opex_support_per_ent*IF('Market Sizing'!AP15&gt;support_scale_threshold,1-support_discount,1)/'Market Sizing'!AP6</f>
        <v>354.07592936118772</v>
      </c>
      <c r="AQ19" s="61">
        <f>IF('Market Sizing'!AQ3&gt;=months_to_first_revenue,1,0)*'Market Sizing'!AQ15*opex_support_per_ent*IF('Market Sizing'!AQ15&gt;support_scale_threshold,1-support_discount,1)/'Market Sizing'!AQ6</f>
        <v>362.39132568990078</v>
      </c>
      <c r="AR19" s="61">
        <f>IF('Market Sizing'!AR3&gt;=months_to_first_revenue,1,0)*'Market Sizing'!AR15*opex_support_per_ent*IF('Market Sizing'!AR15&gt;support_scale_threshold,1-support_discount,1)/'Market Sizing'!AR6</f>
        <v>368.90566316354727</v>
      </c>
    </row>
    <row r="20" spans="1:44" x14ac:dyDescent="0.3">
      <c r="A20" s="4" t="s">
        <v>741</v>
      </c>
      <c r="C20" s="9">
        <f t="shared" ref="C20:AR20" si="2">SUM(C10:C19)</f>
        <v>3205.0545720021</v>
      </c>
      <c r="D20" s="9">
        <f t="shared" si="2"/>
        <v>2052.9493213106871</v>
      </c>
      <c r="E20" s="9">
        <f t="shared" si="2"/>
        <v>2149.1105075101373</v>
      </c>
      <c r="F20" s="9">
        <f t="shared" si="2"/>
        <v>2076.9756574080043</v>
      </c>
      <c r="G20" s="9">
        <f t="shared" si="2"/>
        <v>2076.8459547760899</v>
      </c>
      <c r="H20" s="9">
        <f t="shared" si="2"/>
        <v>2076.7342714568877</v>
      </c>
      <c r="I20" s="9">
        <f t="shared" si="2"/>
        <v>2486.8660191966874</v>
      </c>
      <c r="J20" s="9">
        <f t="shared" si="2"/>
        <v>2441.2914541200917</v>
      </c>
      <c r="K20" s="9">
        <f t="shared" si="2"/>
        <v>2368.9870776962453</v>
      </c>
      <c r="L20" s="9">
        <f t="shared" si="2"/>
        <v>2368.684239476599</v>
      </c>
      <c r="M20" s="9">
        <f t="shared" si="2"/>
        <v>2387.5583953254441</v>
      </c>
      <c r="N20" s="9">
        <f t="shared" si="2"/>
        <v>2488.2823332813168</v>
      </c>
      <c r="O20" s="9">
        <f t="shared" si="2"/>
        <v>2418.3899840820645</v>
      </c>
      <c r="P20" s="9">
        <f t="shared" si="2"/>
        <v>2420.613547914711</v>
      </c>
      <c r="Q20" s="9">
        <f t="shared" si="2"/>
        <v>2422.8048033242467</v>
      </c>
      <c r="R20" s="9">
        <f t="shared" si="2"/>
        <v>2523.9931806518894</v>
      </c>
      <c r="S20" s="9">
        <f t="shared" si="2"/>
        <v>2454.570542584579</v>
      </c>
      <c r="T20" s="9">
        <f t="shared" si="2"/>
        <v>2457.2665026008417</v>
      </c>
      <c r="U20" s="9">
        <f t="shared" si="2"/>
        <v>3271.7975773768617</v>
      </c>
      <c r="V20" s="9">
        <f t="shared" si="2"/>
        <v>2914.3469540616279</v>
      </c>
      <c r="W20" s="9">
        <f t="shared" si="2"/>
        <v>3018.4005113968533</v>
      </c>
      <c r="X20" s="9">
        <f t="shared" si="2"/>
        <v>2949.0100576156278</v>
      </c>
      <c r="Y20" s="9">
        <f t="shared" si="2"/>
        <v>2951.8511135338686</v>
      </c>
      <c r="Z20" s="9">
        <f t="shared" si="2"/>
        <v>3056.1840759172978</v>
      </c>
      <c r="AA20" s="9">
        <f t="shared" si="2"/>
        <v>2987.0545329062129</v>
      </c>
      <c r="AB20" s="9">
        <f t="shared" si="2"/>
        <v>3091.5459309289131</v>
      </c>
      <c r="AC20" s="9">
        <f t="shared" si="2"/>
        <v>2997.4751112833796</v>
      </c>
      <c r="AD20" s="9">
        <f t="shared" si="2"/>
        <v>2999.586918786601</v>
      </c>
      <c r="AE20" s="9">
        <f t="shared" si="2"/>
        <v>3103.1448209143814</v>
      </c>
      <c r="AF20" s="9">
        <f t="shared" si="2"/>
        <v>3033.2383650710681</v>
      </c>
      <c r="AG20" s="9">
        <f t="shared" si="2"/>
        <v>10773.897600432274</v>
      </c>
      <c r="AH20" s="9">
        <f t="shared" si="2"/>
        <v>10669.752720494735</v>
      </c>
      <c r="AI20" s="9">
        <f t="shared" si="2"/>
        <v>10781.670117825694</v>
      </c>
      <c r="AJ20" s="9">
        <f t="shared" si="2"/>
        <v>10893.202139038594</v>
      </c>
      <c r="AK20" s="9">
        <f t="shared" si="2"/>
        <v>13043.782760700062</v>
      </c>
      <c r="AL20" s="9">
        <f t="shared" si="2"/>
        <v>12871.258085903801</v>
      </c>
      <c r="AM20" s="9">
        <f t="shared" si="2"/>
        <v>12986.09393809971</v>
      </c>
      <c r="AN20" s="9">
        <f t="shared" si="2"/>
        <v>13100.01733080576</v>
      </c>
      <c r="AO20" s="9">
        <f t="shared" si="2"/>
        <v>15218.482639265219</v>
      </c>
      <c r="AP20" s="9">
        <f t="shared" si="2"/>
        <v>14933.392484528738</v>
      </c>
      <c r="AQ20" s="9">
        <f t="shared" si="2"/>
        <v>15125.283784121006</v>
      </c>
      <c r="AR20" s="9">
        <f t="shared" si="2"/>
        <v>15055.265700965519</v>
      </c>
    </row>
    <row r="21" spans="1:44" x14ac:dyDescent="0.3">
      <c r="A21" s="4" t="s">
        <v>742</v>
      </c>
      <c r="B21" s="4" t="s">
        <v>470</v>
      </c>
      <c r="C21" s="10">
        <f t="shared" ref="C21:AR21" si="3">C20*opex_contingency_pct</f>
        <v>320.50545720021</v>
      </c>
      <c r="D21" s="10">
        <f t="shared" si="3"/>
        <v>205.29493213106872</v>
      </c>
      <c r="E21" s="10">
        <f t="shared" si="3"/>
        <v>214.91105075101373</v>
      </c>
      <c r="F21" s="10">
        <f t="shared" si="3"/>
        <v>207.69756574080043</v>
      </c>
      <c r="G21" s="10">
        <f t="shared" si="3"/>
        <v>207.68459547760901</v>
      </c>
      <c r="H21" s="10">
        <f t="shared" si="3"/>
        <v>207.67342714568878</v>
      </c>
      <c r="I21" s="10">
        <f t="shared" si="3"/>
        <v>248.68660191966876</v>
      </c>
      <c r="J21" s="10">
        <f t="shared" si="3"/>
        <v>244.12914541200917</v>
      </c>
      <c r="K21" s="10">
        <f t="shared" si="3"/>
        <v>236.89870776962454</v>
      </c>
      <c r="L21" s="10">
        <f t="shared" si="3"/>
        <v>236.86842394765992</v>
      </c>
      <c r="M21" s="10">
        <f t="shared" si="3"/>
        <v>238.75583953254443</v>
      </c>
      <c r="N21" s="10">
        <f t="shared" si="3"/>
        <v>248.82823332813169</v>
      </c>
      <c r="O21" s="10">
        <f t="shared" si="3"/>
        <v>241.83899840820646</v>
      </c>
      <c r="P21" s="10">
        <f t="shared" si="3"/>
        <v>242.0613547914711</v>
      </c>
      <c r="Q21" s="10">
        <f t="shared" si="3"/>
        <v>242.28048033242467</v>
      </c>
      <c r="R21" s="10">
        <f t="shared" si="3"/>
        <v>252.39931806518894</v>
      </c>
      <c r="S21" s="10">
        <f t="shared" si="3"/>
        <v>245.4570542584579</v>
      </c>
      <c r="T21" s="10">
        <f t="shared" si="3"/>
        <v>245.72665026008417</v>
      </c>
      <c r="U21" s="10">
        <f t="shared" si="3"/>
        <v>327.1797577376862</v>
      </c>
      <c r="V21" s="10">
        <f t="shared" si="3"/>
        <v>291.4346954061628</v>
      </c>
      <c r="W21" s="10">
        <f t="shared" si="3"/>
        <v>301.84005113968533</v>
      </c>
      <c r="X21" s="10">
        <f t="shared" si="3"/>
        <v>294.90100576156277</v>
      </c>
      <c r="Y21" s="10">
        <f t="shared" si="3"/>
        <v>295.18511135338684</v>
      </c>
      <c r="Z21" s="10">
        <f t="shared" si="3"/>
        <v>305.61840759172981</v>
      </c>
      <c r="AA21" s="10">
        <f t="shared" si="3"/>
        <v>298.70545329062128</v>
      </c>
      <c r="AB21" s="10">
        <f t="shared" si="3"/>
        <v>309.15459309289133</v>
      </c>
      <c r="AC21" s="10">
        <f t="shared" si="3"/>
        <v>299.74751112833798</v>
      </c>
      <c r="AD21" s="10">
        <f t="shared" si="3"/>
        <v>299.95869187866009</v>
      </c>
      <c r="AE21" s="10">
        <f t="shared" si="3"/>
        <v>310.31448209143815</v>
      </c>
      <c r="AF21" s="10">
        <f t="shared" si="3"/>
        <v>303.32383650710682</v>
      </c>
      <c r="AG21" s="10">
        <f t="shared" si="3"/>
        <v>1077.3897600432274</v>
      </c>
      <c r="AH21" s="10">
        <f t="shared" si="3"/>
        <v>1066.9752720494735</v>
      </c>
      <c r="AI21" s="10">
        <f t="shared" si="3"/>
        <v>1078.1670117825695</v>
      </c>
      <c r="AJ21" s="10">
        <f t="shared" si="3"/>
        <v>1089.3202139038594</v>
      </c>
      <c r="AK21" s="10">
        <f t="shared" si="3"/>
        <v>1304.3782760700062</v>
      </c>
      <c r="AL21" s="10">
        <f t="shared" si="3"/>
        <v>1287.1258085903801</v>
      </c>
      <c r="AM21" s="10">
        <f t="shared" si="3"/>
        <v>1298.6093938099712</v>
      </c>
      <c r="AN21" s="10">
        <f t="shared" si="3"/>
        <v>1310.0017330805761</v>
      </c>
      <c r="AO21" s="10">
        <f t="shared" si="3"/>
        <v>1521.8482639265221</v>
      </c>
      <c r="AP21" s="10">
        <f t="shared" si="3"/>
        <v>1493.339248452874</v>
      </c>
      <c r="AQ21" s="10">
        <f t="shared" si="3"/>
        <v>1512.5283784121007</v>
      </c>
      <c r="AR21" s="10">
        <f t="shared" si="3"/>
        <v>1505.5265700965519</v>
      </c>
    </row>
    <row r="22" spans="1:44" x14ac:dyDescent="0.3">
      <c r="A22" s="4" t="s">
        <v>743</v>
      </c>
      <c r="C22" s="9">
        <f t="shared" ref="C22:AR22" si="4">C20+C21</f>
        <v>3525.56002920231</v>
      </c>
      <c r="D22" s="9">
        <f t="shared" si="4"/>
        <v>2258.244253441756</v>
      </c>
      <c r="E22" s="9">
        <f t="shared" si="4"/>
        <v>2364.0215582611509</v>
      </c>
      <c r="F22" s="9">
        <f t="shared" si="4"/>
        <v>2284.6732231488049</v>
      </c>
      <c r="G22" s="9">
        <f t="shared" si="4"/>
        <v>2284.5305502536989</v>
      </c>
      <c r="H22" s="9">
        <f t="shared" si="4"/>
        <v>2284.4076986025766</v>
      </c>
      <c r="I22" s="9">
        <f t="shared" si="4"/>
        <v>2735.552621116356</v>
      </c>
      <c r="J22" s="9">
        <f t="shared" si="4"/>
        <v>2685.4205995321008</v>
      </c>
      <c r="K22" s="9">
        <f t="shared" si="4"/>
        <v>2605.88578546587</v>
      </c>
      <c r="L22" s="9">
        <f t="shared" si="4"/>
        <v>2605.5526634242588</v>
      </c>
      <c r="M22" s="9">
        <f t="shared" si="4"/>
        <v>2626.3142348579886</v>
      </c>
      <c r="N22" s="9">
        <f t="shared" si="4"/>
        <v>2737.1105666094486</v>
      </c>
      <c r="O22" s="9">
        <f t="shared" si="4"/>
        <v>2660.2289824902709</v>
      </c>
      <c r="P22" s="9">
        <f t="shared" si="4"/>
        <v>2662.6749027061824</v>
      </c>
      <c r="Q22" s="9">
        <f t="shared" si="4"/>
        <v>2665.0852836566714</v>
      </c>
      <c r="R22" s="9">
        <f t="shared" si="4"/>
        <v>2776.3924987170785</v>
      </c>
      <c r="S22" s="9">
        <f t="shared" si="4"/>
        <v>2700.0275968430369</v>
      </c>
      <c r="T22" s="9">
        <f t="shared" si="4"/>
        <v>2702.9931528609259</v>
      </c>
      <c r="U22" s="9">
        <f t="shared" si="4"/>
        <v>3598.9773351145477</v>
      </c>
      <c r="V22" s="9">
        <f t="shared" si="4"/>
        <v>3205.7816494677909</v>
      </c>
      <c r="W22" s="9">
        <f t="shared" si="4"/>
        <v>3320.2405625365386</v>
      </c>
      <c r="X22" s="9">
        <f t="shared" si="4"/>
        <v>3243.9110633771907</v>
      </c>
      <c r="Y22" s="9">
        <f t="shared" si="4"/>
        <v>3247.0362248872552</v>
      </c>
      <c r="Z22" s="9">
        <f t="shared" si="4"/>
        <v>3361.8024835090278</v>
      </c>
      <c r="AA22" s="9">
        <f t="shared" si="4"/>
        <v>3285.7599861968342</v>
      </c>
      <c r="AB22" s="9">
        <f t="shared" si="4"/>
        <v>3400.7005240218045</v>
      </c>
      <c r="AC22" s="9">
        <f t="shared" si="4"/>
        <v>3297.2226224117176</v>
      </c>
      <c r="AD22" s="9">
        <f t="shared" si="4"/>
        <v>3299.5456106652609</v>
      </c>
      <c r="AE22" s="9">
        <f t="shared" si="4"/>
        <v>3413.4593030058195</v>
      </c>
      <c r="AF22" s="9">
        <f t="shared" si="4"/>
        <v>3336.5622015781751</v>
      </c>
      <c r="AG22" s="9">
        <f t="shared" si="4"/>
        <v>11851.2873604755</v>
      </c>
      <c r="AH22" s="9">
        <f t="shared" si="4"/>
        <v>11736.727992544209</v>
      </c>
      <c r="AI22" s="9">
        <f t="shared" si="4"/>
        <v>11859.837129608262</v>
      </c>
      <c r="AJ22" s="9">
        <f t="shared" si="4"/>
        <v>11982.522352942455</v>
      </c>
      <c r="AK22" s="9">
        <f t="shared" si="4"/>
        <v>14348.161036770069</v>
      </c>
      <c r="AL22" s="9">
        <f t="shared" si="4"/>
        <v>14158.383894494182</v>
      </c>
      <c r="AM22" s="9">
        <f t="shared" si="4"/>
        <v>14284.703331909681</v>
      </c>
      <c r="AN22" s="9">
        <f t="shared" si="4"/>
        <v>14410.019063886337</v>
      </c>
      <c r="AO22" s="9">
        <f t="shared" si="4"/>
        <v>16740.330903191742</v>
      </c>
      <c r="AP22" s="9">
        <f t="shared" si="4"/>
        <v>16426.731732981614</v>
      </c>
      <c r="AQ22" s="9">
        <f t="shared" si="4"/>
        <v>16637.812162533108</v>
      </c>
      <c r="AR22" s="9">
        <f t="shared" si="4"/>
        <v>16560.79227106207</v>
      </c>
    </row>
    <row r="24" spans="1:44" x14ac:dyDescent="0.3">
      <c r="A24" s="4" t="s">
        <v>744</v>
      </c>
      <c r="C24" s="9">
        <f t="shared" ref="C24:AR24" si="5">C7+C22</f>
        <v>4405.56002920231</v>
      </c>
      <c r="D24" s="9">
        <f t="shared" si="5"/>
        <v>3138.244253441756</v>
      </c>
      <c r="E24" s="9">
        <f t="shared" si="5"/>
        <v>3244.0215582611509</v>
      </c>
      <c r="F24" s="9">
        <f t="shared" si="5"/>
        <v>3164.6732231488049</v>
      </c>
      <c r="G24" s="9">
        <f t="shared" si="5"/>
        <v>3164.5305502536989</v>
      </c>
      <c r="H24" s="9">
        <f t="shared" si="5"/>
        <v>3164.4076986025766</v>
      </c>
      <c r="I24" s="9">
        <f t="shared" si="5"/>
        <v>2814.7526211163558</v>
      </c>
      <c r="J24" s="9">
        <f t="shared" si="5"/>
        <v>2764.6205995321006</v>
      </c>
      <c r="K24" s="9">
        <f t="shared" si="5"/>
        <v>2685.0857854658698</v>
      </c>
      <c r="L24" s="9">
        <f t="shared" si="5"/>
        <v>2684.7526634242586</v>
      </c>
      <c r="M24" s="9">
        <f t="shared" si="5"/>
        <v>2705.5142348579884</v>
      </c>
      <c r="N24" s="9">
        <f t="shared" si="5"/>
        <v>2816.3105666094484</v>
      </c>
      <c r="O24" s="9">
        <f t="shared" si="5"/>
        <v>2739.4289824902708</v>
      </c>
      <c r="P24" s="9">
        <f t="shared" si="5"/>
        <v>2741.8749027061822</v>
      </c>
      <c r="Q24" s="9">
        <f t="shared" si="5"/>
        <v>2744.2852836566713</v>
      </c>
      <c r="R24" s="9">
        <f t="shared" si="5"/>
        <v>2855.5924987170783</v>
      </c>
      <c r="S24" s="9">
        <f t="shared" si="5"/>
        <v>2779.2275968430367</v>
      </c>
      <c r="T24" s="9">
        <f t="shared" si="5"/>
        <v>2782.1931528609257</v>
      </c>
      <c r="U24" s="9">
        <f t="shared" si="5"/>
        <v>3678.1773351145475</v>
      </c>
      <c r="V24" s="9">
        <f t="shared" si="5"/>
        <v>3284.9816494677907</v>
      </c>
      <c r="W24" s="9">
        <f t="shared" si="5"/>
        <v>3399.4405625365384</v>
      </c>
      <c r="X24" s="9">
        <f t="shared" si="5"/>
        <v>3323.1110633771905</v>
      </c>
      <c r="Y24" s="9">
        <f t="shared" si="5"/>
        <v>3326.236224887255</v>
      </c>
      <c r="Z24" s="9">
        <f t="shared" si="5"/>
        <v>3441.0024835090276</v>
      </c>
      <c r="AA24" s="9">
        <f t="shared" si="5"/>
        <v>3364.9599861968341</v>
      </c>
      <c r="AB24" s="9">
        <f t="shared" si="5"/>
        <v>3479.9005240218044</v>
      </c>
      <c r="AC24" s="9">
        <f t="shared" si="5"/>
        <v>3376.4226224117174</v>
      </c>
      <c r="AD24" s="9">
        <f t="shared" si="5"/>
        <v>3378.7456106652608</v>
      </c>
      <c r="AE24" s="9">
        <f t="shared" si="5"/>
        <v>3492.6593030058193</v>
      </c>
      <c r="AF24" s="9">
        <f t="shared" si="5"/>
        <v>3415.7622015781749</v>
      </c>
      <c r="AG24" s="9">
        <f t="shared" si="5"/>
        <v>12088.887360475501</v>
      </c>
      <c r="AH24" s="9">
        <f t="shared" si="5"/>
        <v>11974.327992544209</v>
      </c>
      <c r="AI24" s="9">
        <f t="shared" si="5"/>
        <v>12097.437129608263</v>
      </c>
      <c r="AJ24" s="9">
        <f t="shared" si="5"/>
        <v>12220.122352942455</v>
      </c>
      <c r="AK24" s="9">
        <f t="shared" si="5"/>
        <v>14585.761036770069</v>
      </c>
      <c r="AL24" s="9">
        <f t="shared" si="5"/>
        <v>14395.983894494182</v>
      </c>
      <c r="AM24" s="9">
        <f t="shared" si="5"/>
        <v>14522.303331909681</v>
      </c>
      <c r="AN24" s="9">
        <f t="shared" si="5"/>
        <v>14647.619063886337</v>
      </c>
      <c r="AO24" s="9">
        <f t="shared" si="5"/>
        <v>16977.93090319174</v>
      </c>
      <c r="AP24" s="9">
        <f t="shared" si="5"/>
        <v>16664.331732981613</v>
      </c>
      <c r="AQ24" s="9">
        <f t="shared" si="5"/>
        <v>16875.412162533106</v>
      </c>
      <c r="AR24" s="9">
        <f t="shared" si="5"/>
        <v>16798.392271062068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R18"/>
  <sheetViews>
    <sheetView workbookViewId="0"/>
  </sheetViews>
  <sheetFormatPr defaultRowHeight="14.4" x14ac:dyDescent="0.3"/>
  <cols>
    <col min="1" max="1" width="38" style="52" customWidth="1"/>
    <col min="2" max="2" width="10" style="52" customWidth="1"/>
    <col min="3" max="44" width="11" style="52" customWidth="1"/>
  </cols>
  <sheetData>
    <row r="1" spans="1:44" x14ac:dyDescent="0.3">
      <c r="A1" s="25" t="s">
        <v>745</v>
      </c>
    </row>
    <row r="3" spans="1:44" x14ac:dyDescent="0.3">
      <c r="A3" s="3" t="s">
        <v>713</v>
      </c>
      <c r="B3" s="3" t="s">
        <v>441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K3" s="3" t="s">
        <v>641</v>
      </c>
      <c r="L3" s="3" t="s">
        <v>642</v>
      </c>
      <c r="M3" s="3" t="s">
        <v>643</v>
      </c>
      <c r="N3" s="3" t="s">
        <v>644</v>
      </c>
      <c r="O3" s="3" t="s">
        <v>645</v>
      </c>
      <c r="P3" s="3" t="s">
        <v>646</v>
      </c>
      <c r="Q3" s="3" t="s">
        <v>647</v>
      </c>
      <c r="R3" s="3" t="s">
        <v>648</v>
      </c>
      <c r="S3" s="3" t="s">
        <v>649</v>
      </c>
      <c r="T3" s="3" t="s">
        <v>650</v>
      </c>
      <c r="U3" s="3" t="s">
        <v>651</v>
      </c>
      <c r="V3" s="3" t="s">
        <v>652</v>
      </c>
      <c r="W3" s="3" t="s">
        <v>653</v>
      </c>
      <c r="X3" s="3" t="s">
        <v>654</v>
      </c>
      <c r="Y3" s="3" t="s">
        <v>655</v>
      </c>
      <c r="Z3" s="3" t="s">
        <v>656</v>
      </c>
      <c r="AA3" s="3" t="s">
        <v>657</v>
      </c>
      <c r="AB3" s="3" t="s">
        <v>658</v>
      </c>
      <c r="AC3" s="3" t="s">
        <v>659</v>
      </c>
      <c r="AD3" s="3" t="s">
        <v>660</v>
      </c>
      <c r="AE3" s="3" t="s">
        <v>661</v>
      </c>
      <c r="AF3" s="3" t="s">
        <v>662</v>
      </c>
      <c r="AG3" s="3" t="s">
        <v>663</v>
      </c>
      <c r="AH3" s="3" t="s">
        <v>664</v>
      </c>
      <c r="AI3" s="3" t="s">
        <v>665</v>
      </c>
      <c r="AJ3" s="3" t="s">
        <v>666</v>
      </c>
      <c r="AK3" s="3" t="s">
        <v>667</v>
      </c>
      <c r="AL3" s="3" t="s">
        <v>668</v>
      </c>
      <c r="AM3" s="3" t="s">
        <v>669</v>
      </c>
      <c r="AN3" s="3" t="s">
        <v>670</v>
      </c>
      <c r="AO3" s="3" t="s">
        <v>671</v>
      </c>
      <c r="AP3" s="3" t="s">
        <v>672</v>
      </c>
      <c r="AQ3" s="3" t="s">
        <v>673</v>
      </c>
      <c r="AR3" s="3" t="s">
        <v>674</v>
      </c>
    </row>
    <row r="4" spans="1:44" x14ac:dyDescent="0.3">
      <c r="A4" s="4" t="s">
        <v>746</v>
      </c>
      <c r="C4" s="10">
        <f>'Revenue Schedule'!C16</f>
        <v>0</v>
      </c>
      <c r="D4" s="10">
        <f>'Revenue Schedule'!D16</f>
        <v>0</v>
      </c>
      <c r="E4" s="10">
        <f>'Revenue Schedule'!E16</f>
        <v>0</v>
      </c>
      <c r="F4" s="10">
        <f>'Revenue Schedule'!F16</f>
        <v>0</v>
      </c>
      <c r="G4" s="10">
        <f>'Revenue Schedule'!G16</f>
        <v>0</v>
      </c>
      <c r="H4" s="10">
        <f>'Revenue Schedule'!H16</f>
        <v>0</v>
      </c>
      <c r="I4" s="10">
        <f>'Revenue Schedule'!I16</f>
        <v>0</v>
      </c>
      <c r="J4" s="10">
        <f>'Revenue Schedule'!J16</f>
        <v>0</v>
      </c>
      <c r="K4" s="10">
        <f>'Revenue Schedule'!K16</f>
        <v>0</v>
      </c>
      <c r="L4" s="10">
        <f>'Revenue Schedule'!L16</f>
        <v>0</v>
      </c>
      <c r="M4" s="10">
        <f>'Revenue Schedule'!M16</f>
        <v>729.80067617752729</v>
      </c>
      <c r="N4" s="10">
        <f>'Revenue Schedule'!N16</f>
        <v>776.4733382989391</v>
      </c>
      <c r="O4" s="10">
        <f>'Revenue Schedule'!O16</f>
        <v>825.33843175552715</v>
      </c>
      <c r="P4" s="10">
        <f>'Revenue Schedule'!P16</f>
        <v>876.40700126447962</v>
      </c>
      <c r="Q4" s="10">
        <f>'Revenue Schedule'!Q16</f>
        <v>926.28234057488567</v>
      </c>
      <c r="R4" s="10">
        <f>'Revenue Schedule'!R16</f>
        <v>981.74226184774807</v>
      </c>
      <c r="S4" s="10">
        <f>'Revenue Schedule'!S16</f>
        <v>4124.1394145340273</v>
      </c>
      <c r="T4" s="10">
        <f>'Revenue Schedule'!T16</f>
        <v>4190.4755431283693</v>
      </c>
      <c r="U4" s="10">
        <f>'Revenue Schedule'!U16</f>
        <v>4530.2101284023265</v>
      </c>
      <c r="V4" s="10">
        <f>'Revenue Schedule'!V16</f>
        <v>4603.0936333503323</v>
      </c>
      <c r="W4" s="10">
        <f>'Revenue Schedule'!W16</f>
        <v>4678.1429319646459</v>
      </c>
      <c r="X4" s="10">
        <f>'Revenue Schedule'!X16</f>
        <v>4751.3556123434701</v>
      </c>
      <c r="Y4" s="10">
        <f>'Revenue Schedule'!Y16</f>
        <v>4830.351365802735</v>
      </c>
      <c r="Z4" s="10">
        <f>'Revenue Schedule'!Z16</f>
        <v>4911.0912899164423</v>
      </c>
      <c r="AA4" s="10">
        <f>'Revenue Schedule'!AA16</f>
        <v>4989.5194002572689</v>
      </c>
      <c r="AB4" s="10">
        <f>'Revenue Schedule'!AB16</f>
        <v>5073.2044772971203</v>
      </c>
      <c r="AC4" s="10">
        <f>'Revenue Schedule'!AC16</f>
        <v>5154.1801560957911</v>
      </c>
      <c r="AD4" s="10">
        <f>'Revenue Schedule'!AD16</f>
        <v>5239.9884471516143</v>
      </c>
      <c r="AE4" s="10">
        <f>'Revenue Schedule'!AE16</f>
        <v>5326.5204076180871</v>
      </c>
      <c r="AF4" s="10">
        <f>'Revenue Schedule'!AF16</f>
        <v>5409.6591302323168</v>
      </c>
      <c r="AG4" s="10">
        <f>'Revenue Schedule'!AG16</f>
        <v>17346.995115541307</v>
      </c>
      <c r="AH4" s="10">
        <f>'Revenue Schedule'!AH16</f>
        <v>18114.670923525446</v>
      </c>
      <c r="AI4" s="10">
        <f>'Revenue Schedule'!AI16</f>
        <v>18859.187469412042</v>
      </c>
      <c r="AJ4" s="10">
        <f>'Revenue Schedule'!AJ16</f>
        <v>19562.994387601033</v>
      </c>
      <c r="AK4" s="10">
        <f>'Revenue Schedule'!AK16</f>
        <v>21340.024468352807</v>
      </c>
      <c r="AL4" s="10">
        <f>'Revenue Schedule'!AL16</f>
        <v>21942.933494928118</v>
      </c>
      <c r="AM4" s="10">
        <f>'Revenue Schedule'!AM16</f>
        <v>22487.276607849748</v>
      </c>
      <c r="AN4" s="10">
        <f>'Revenue Schedule'!AN16</f>
        <v>22959.897071393156</v>
      </c>
      <c r="AO4" s="10">
        <f>'Revenue Schedule'!AO16</f>
        <v>24634.694580236952</v>
      </c>
      <c r="AP4" s="10">
        <f>'Revenue Schedule'!AP16</f>
        <v>24996.926038657843</v>
      </c>
      <c r="AQ4" s="10">
        <f>'Revenue Schedule'!AQ16</f>
        <v>25299.291899890675</v>
      </c>
      <c r="AR4" s="10">
        <f>'Revenue Schedule'!AR16</f>
        <v>25536.167351488701</v>
      </c>
    </row>
    <row r="5" spans="1:44" x14ac:dyDescent="0.3">
      <c r="A5" s="4" t="s">
        <v>348</v>
      </c>
      <c r="C5" s="10">
        <f>-'Revenue Schedule'!C20</f>
        <v>0</v>
      </c>
      <c r="D5" s="10">
        <f>-'Revenue Schedule'!D20</f>
        <v>0</v>
      </c>
      <c r="E5" s="10">
        <f>-'Revenue Schedule'!E20</f>
        <v>0</v>
      </c>
      <c r="F5" s="10">
        <f>-'Revenue Schedule'!F20</f>
        <v>0</v>
      </c>
      <c r="G5" s="10">
        <f>-'Revenue Schedule'!G20</f>
        <v>0</v>
      </c>
      <c r="H5" s="10">
        <f>-'Revenue Schedule'!H20</f>
        <v>0</v>
      </c>
      <c r="I5" s="10">
        <f>-'Revenue Schedule'!I20</f>
        <v>0</v>
      </c>
      <c r="J5" s="10">
        <f>-'Revenue Schedule'!J20</f>
        <v>0</v>
      </c>
      <c r="K5" s="10">
        <f>-'Revenue Schedule'!K20</f>
        <v>0</v>
      </c>
      <c r="L5" s="10">
        <f>-'Revenue Schedule'!L20</f>
        <v>0</v>
      </c>
      <c r="M5" s="10">
        <f>-'Revenue Schedule'!M20</f>
        <v>0</v>
      </c>
      <c r="N5" s="10">
        <f>-'Revenue Schedule'!N20</f>
        <v>0</v>
      </c>
      <c r="O5" s="10">
        <f>-'Revenue Schedule'!O20</f>
        <v>0</v>
      </c>
      <c r="P5" s="10">
        <f>-'Revenue Schedule'!P20</f>
        <v>0</v>
      </c>
      <c r="Q5" s="10">
        <f>-'Revenue Schedule'!Q20</f>
        <v>0</v>
      </c>
      <c r="R5" s="10">
        <f>-'Revenue Schedule'!R20</f>
        <v>0</v>
      </c>
      <c r="S5" s="10">
        <f>-'Revenue Schedule'!S20</f>
        <v>-74.25</v>
      </c>
      <c r="T5" s="10">
        <f>-'Revenue Schedule'!T20</f>
        <v>-74.25</v>
      </c>
      <c r="U5" s="10">
        <f>-'Revenue Schedule'!U20</f>
        <v>-80.190000000000026</v>
      </c>
      <c r="V5" s="10">
        <f>-'Revenue Schedule'!V20</f>
        <v>-80.190000000000026</v>
      </c>
      <c r="W5" s="10">
        <f>-'Revenue Schedule'!W20</f>
        <v>-80.190000000000026</v>
      </c>
      <c r="X5" s="10">
        <f>-'Revenue Schedule'!X20</f>
        <v>-80.190000000000026</v>
      </c>
      <c r="Y5" s="10">
        <f>-'Revenue Schedule'!Y20</f>
        <v>-80.190000000000026</v>
      </c>
      <c r="Z5" s="10">
        <f>-'Revenue Schedule'!Z20</f>
        <v>-80.190000000000026</v>
      </c>
      <c r="AA5" s="10">
        <f>-'Revenue Schedule'!AA20</f>
        <v>-80.190000000000026</v>
      </c>
      <c r="AB5" s="10">
        <f>-'Revenue Schedule'!AB20</f>
        <v>-80.190000000000026</v>
      </c>
      <c r="AC5" s="10">
        <f>-'Revenue Schedule'!AC20</f>
        <v>-80.190000000000026</v>
      </c>
      <c r="AD5" s="10">
        <f>-'Revenue Schedule'!AD20</f>
        <v>-80.190000000000026</v>
      </c>
      <c r="AE5" s="10">
        <f>-'Revenue Schedule'!AE20</f>
        <v>-80.190000000000026</v>
      </c>
      <c r="AF5" s="10">
        <f>-'Revenue Schedule'!AF20</f>
        <v>-80.190000000000026</v>
      </c>
      <c r="AG5" s="10">
        <f>-'Revenue Schedule'!AG20</f>
        <v>-259.81560000000007</v>
      </c>
      <c r="AH5" s="10">
        <f>-'Revenue Schedule'!AH20</f>
        <v>-259.81560000000007</v>
      </c>
      <c r="AI5" s="10">
        <f>-'Revenue Schedule'!AI20</f>
        <v>-259.81560000000007</v>
      </c>
      <c r="AJ5" s="10">
        <f>-'Revenue Schedule'!AJ20</f>
        <v>-259.81560000000007</v>
      </c>
      <c r="AK5" s="10">
        <f>-'Revenue Schedule'!AK20</f>
        <v>-280.6008480000001</v>
      </c>
      <c r="AL5" s="10">
        <f>-'Revenue Schedule'!AL20</f>
        <v>-280.6008480000001</v>
      </c>
      <c r="AM5" s="10">
        <f>-'Revenue Schedule'!AM20</f>
        <v>-280.6008480000001</v>
      </c>
      <c r="AN5" s="10">
        <f>-'Revenue Schedule'!AN20</f>
        <v>-280.6008480000001</v>
      </c>
      <c r="AO5" s="10">
        <f>-'Revenue Schedule'!AO20</f>
        <v>-303.04891584000012</v>
      </c>
      <c r="AP5" s="10">
        <f>-'Revenue Schedule'!AP20</f>
        <v>-303.04891584000012</v>
      </c>
      <c r="AQ5" s="10">
        <f>-'Revenue Schedule'!AQ20</f>
        <v>-303.04891584000012</v>
      </c>
      <c r="AR5" s="10">
        <f>-'Revenue Schedule'!AR20</f>
        <v>-303.04891584000012</v>
      </c>
    </row>
    <row r="6" spans="1:44" x14ac:dyDescent="0.3">
      <c r="A6" s="4" t="s">
        <v>747</v>
      </c>
      <c r="C6" s="9">
        <f t="shared" ref="C6:AR6" si="0">C4+C5</f>
        <v>0</v>
      </c>
      <c r="D6" s="9">
        <f t="shared" si="0"/>
        <v>0</v>
      </c>
      <c r="E6" s="9">
        <f t="shared" si="0"/>
        <v>0</v>
      </c>
      <c r="F6" s="9">
        <f t="shared" si="0"/>
        <v>0</v>
      </c>
      <c r="G6" s="9">
        <f t="shared" si="0"/>
        <v>0</v>
      </c>
      <c r="H6" s="9">
        <f t="shared" si="0"/>
        <v>0</v>
      </c>
      <c r="I6" s="9">
        <f t="shared" si="0"/>
        <v>0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729.80067617752729</v>
      </c>
      <c r="N6" s="9">
        <f t="shared" si="0"/>
        <v>776.4733382989391</v>
      </c>
      <c r="O6" s="9">
        <f t="shared" si="0"/>
        <v>825.33843175552715</v>
      </c>
      <c r="P6" s="9">
        <f t="shared" si="0"/>
        <v>876.40700126447962</v>
      </c>
      <c r="Q6" s="9">
        <f t="shared" si="0"/>
        <v>926.28234057488567</v>
      </c>
      <c r="R6" s="9">
        <f t="shared" si="0"/>
        <v>981.74226184774807</v>
      </c>
      <c r="S6" s="9">
        <f t="shared" si="0"/>
        <v>4049.8894145340273</v>
      </c>
      <c r="T6" s="9">
        <f t="shared" si="0"/>
        <v>4116.2255431283693</v>
      </c>
      <c r="U6" s="9">
        <f t="shared" si="0"/>
        <v>4450.0201284023269</v>
      </c>
      <c r="V6" s="9">
        <f t="shared" si="0"/>
        <v>4522.9036333503327</v>
      </c>
      <c r="W6" s="9">
        <f t="shared" si="0"/>
        <v>4597.9529319646463</v>
      </c>
      <c r="X6" s="9">
        <f t="shared" si="0"/>
        <v>4671.1656123434705</v>
      </c>
      <c r="Y6" s="9">
        <f t="shared" si="0"/>
        <v>4750.1613658027354</v>
      </c>
      <c r="Z6" s="9">
        <f t="shared" si="0"/>
        <v>4830.9012899164427</v>
      </c>
      <c r="AA6" s="9">
        <f t="shared" si="0"/>
        <v>4909.3294002572693</v>
      </c>
      <c r="AB6" s="9">
        <f t="shared" si="0"/>
        <v>4993.0144772971207</v>
      </c>
      <c r="AC6" s="9">
        <f t="shared" si="0"/>
        <v>5073.9901560957915</v>
      </c>
      <c r="AD6" s="9">
        <f t="shared" si="0"/>
        <v>5159.7984471516147</v>
      </c>
      <c r="AE6" s="9">
        <f t="shared" si="0"/>
        <v>5246.3304076180875</v>
      </c>
      <c r="AF6" s="9">
        <f t="shared" si="0"/>
        <v>5329.4691302323172</v>
      </c>
      <c r="AG6" s="9">
        <f t="shared" si="0"/>
        <v>17087.179515541306</v>
      </c>
      <c r="AH6" s="9">
        <f t="shared" si="0"/>
        <v>17854.855323525444</v>
      </c>
      <c r="AI6" s="9">
        <f t="shared" si="0"/>
        <v>18599.37186941204</v>
      </c>
      <c r="AJ6" s="9">
        <f t="shared" si="0"/>
        <v>19303.178787601031</v>
      </c>
      <c r="AK6" s="9">
        <f t="shared" si="0"/>
        <v>21059.423620352805</v>
      </c>
      <c r="AL6" s="9">
        <f t="shared" si="0"/>
        <v>21662.332646928116</v>
      </c>
      <c r="AM6" s="9">
        <f t="shared" si="0"/>
        <v>22206.675759849746</v>
      </c>
      <c r="AN6" s="9">
        <f t="shared" si="0"/>
        <v>22679.296223393154</v>
      </c>
      <c r="AO6" s="9">
        <f t="shared" si="0"/>
        <v>24331.64566439695</v>
      </c>
      <c r="AP6" s="9">
        <f t="shared" si="0"/>
        <v>24693.877122817841</v>
      </c>
      <c r="AQ6" s="9">
        <f t="shared" si="0"/>
        <v>24996.242984050674</v>
      </c>
      <c r="AR6" s="9">
        <f t="shared" si="0"/>
        <v>25233.118435648699</v>
      </c>
    </row>
    <row r="8" spans="1:44" x14ac:dyDescent="0.3">
      <c r="A8" s="4" t="s">
        <v>345</v>
      </c>
      <c r="C8" s="10">
        <f>-'Cost Schedule'!C22</f>
        <v>-3525.56002920231</v>
      </c>
      <c r="D8" s="10">
        <f>-'Cost Schedule'!D22</f>
        <v>-2258.244253441756</v>
      </c>
      <c r="E8" s="10">
        <f>-'Cost Schedule'!E22</f>
        <v>-2364.0215582611509</v>
      </c>
      <c r="F8" s="10">
        <f>-'Cost Schedule'!F22</f>
        <v>-2284.6732231488049</v>
      </c>
      <c r="G8" s="10">
        <f>-'Cost Schedule'!G22</f>
        <v>-2284.5305502536989</v>
      </c>
      <c r="H8" s="10">
        <f>-'Cost Schedule'!H22</f>
        <v>-2284.4076986025766</v>
      </c>
      <c r="I8" s="10">
        <f>-'Cost Schedule'!I22</f>
        <v>-2735.552621116356</v>
      </c>
      <c r="J8" s="10">
        <f>-'Cost Schedule'!J22</f>
        <v>-2685.4205995321008</v>
      </c>
      <c r="K8" s="10">
        <f>-'Cost Schedule'!K22</f>
        <v>-2605.88578546587</v>
      </c>
      <c r="L8" s="10">
        <f>-'Cost Schedule'!L22</f>
        <v>-2605.5526634242588</v>
      </c>
      <c r="M8" s="10">
        <f>-'Cost Schedule'!M22</f>
        <v>-2626.3142348579886</v>
      </c>
      <c r="N8" s="10">
        <f>-'Cost Schedule'!N22</f>
        <v>-2737.1105666094486</v>
      </c>
      <c r="O8" s="10">
        <f>-'Cost Schedule'!O22</f>
        <v>-2660.2289824902709</v>
      </c>
      <c r="P8" s="10">
        <f>-'Cost Schedule'!P22</f>
        <v>-2662.6749027061824</v>
      </c>
      <c r="Q8" s="10">
        <f>-'Cost Schedule'!Q22</f>
        <v>-2665.0852836566714</v>
      </c>
      <c r="R8" s="10">
        <f>-'Cost Schedule'!R22</f>
        <v>-2776.3924987170785</v>
      </c>
      <c r="S8" s="10">
        <f>-'Cost Schedule'!S22</f>
        <v>-2700.0275968430369</v>
      </c>
      <c r="T8" s="10">
        <f>-'Cost Schedule'!T22</f>
        <v>-2702.9931528609259</v>
      </c>
      <c r="U8" s="10">
        <f>-'Cost Schedule'!U22</f>
        <v>-3598.9773351145477</v>
      </c>
      <c r="V8" s="10">
        <f>-'Cost Schedule'!V22</f>
        <v>-3205.7816494677909</v>
      </c>
      <c r="W8" s="10">
        <f>-'Cost Schedule'!W22</f>
        <v>-3320.2405625365386</v>
      </c>
      <c r="X8" s="10">
        <f>-'Cost Schedule'!X22</f>
        <v>-3243.9110633771907</v>
      </c>
      <c r="Y8" s="10">
        <f>-'Cost Schedule'!Y22</f>
        <v>-3247.0362248872552</v>
      </c>
      <c r="Z8" s="10">
        <f>-'Cost Schedule'!Z22</f>
        <v>-3361.8024835090278</v>
      </c>
      <c r="AA8" s="10">
        <f>-'Cost Schedule'!AA22</f>
        <v>-3285.7599861968342</v>
      </c>
      <c r="AB8" s="10">
        <f>-'Cost Schedule'!AB22</f>
        <v>-3400.7005240218045</v>
      </c>
      <c r="AC8" s="10">
        <f>-'Cost Schedule'!AC22</f>
        <v>-3297.2226224117176</v>
      </c>
      <c r="AD8" s="10">
        <f>-'Cost Schedule'!AD22</f>
        <v>-3299.5456106652609</v>
      </c>
      <c r="AE8" s="10">
        <f>-'Cost Schedule'!AE22</f>
        <v>-3413.4593030058195</v>
      </c>
      <c r="AF8" s="10">
        <f>-'Cost Schedule'!AF22</f>
        <v>-3336.5622015781751</v>
      </c>
      <c r="AG8" s="10">
        <f>-'Cost Schedule'!AG22</f>
        <v>-11851.2873604755</v>
      </c>
      <c r="AH8" s="10">
        <f>-'Cost Schedule'!AH22</f>
        <v>-11736.727992544209</v>
      </c>
      <c r="AI8" s="10">
        <f>-'Cost Schedule'!AI22</f>
        <v>-11859.837129608262</v>
      </c>
      <c r="AJ8" s="10">
        <f>-'Cost Schedule'!AJ22</f>
        <v>-11982.522352942455</v>
      </c>
      <c r="AK8" s="10">
        <f>-'Cost Schedule'!AK22</f>
        <v>-14348.161036770069</v>
      </c>
      <c r="AL8" s="10">
        <f>-'Cost Schedule'!AL22</f>
        <v>-14158.383894494182</v>
      </c>
      <c r="AM8" s="10">
        <f>-'Cost Schedule'!AM22</f>
        <v>-14284.703331909681</v>
      </c>
      <c r="AN8" s="10">
        <f>-'Cost Schedule'!AN22</f>
        <v>-14410.019063886337</v>
      </c>
      <c r="AO8" s="10">
        <f>-'Cost Schedule'!AO22</f>
        <v>-16740.330903191742</v>
      </c>
      <c r="AP8" s="10">
        <f>-'Cost Schedule'!AP22</f>
        <v>-16426.731732981614</v>
      </c>
      <c r="AQ8" s="10">
        <f>-'Cost Schedule'!AQ22</f>
        <v>-16637.812162533108</v>
      </c>
      <c r="AR8" s="10">
        <f>-'Cost Schedule'!AR22</f>
        <v>-16560.79227106207</v>
      </c>
    </row>
    <row r="9" spans="1:44" x14ac:dyDescent="0.3">
      <c r="A9" s="4" t="s">
        <v>325</v>
      </c>
      <c r="C9" s="9">
        <f t="shared" ref="C9:AR9" si="1">C6+C8</f>
        <v>-3525.56002920231</v>
      </c>
      <c r="D9" s="9">
        <f t="shared" si="1"/>
        <v>-2258.244253441756</v>
      </c>
      <c r="E9" s="9">
        <f t="shared" si="1"/>
        <v>-2364.0215582611509</v>
      </c>
      <c r="F9" s="9">
        <f t="shared" si="1"/>
        <v>-2284.6732231488049</v>
      </c>
      <c r="G9" s="9">
        <f t="shared" si="1"/>
        <v>-2284.5305502536989</v>
      </c>
      <c r="H9" s="9">
        <f t="shared" si="1"/>
        <v>-2284.4076986025766</v>
      </c>
      <c r="I9" s="9">
        <f t="shared" si="1"/>
        <v>-2735.552621116356</v>
      </c>
      <c r="J9" s="9">
        <f t="shared" si="1"/>
        <v>-2685.4205995321008</v>
      </c>
      <c r="K9" s="9">
        <f t="shared" si="1"/>
        <v>-2605.88578546587</v>
      </c>
      <c r="L9" s="9">
        <f t="shared" si="1"/>
        <v>-2605.5526634242588</v>
      </c>
      <c r="M9" s="9">
        <f t="shared" si="1"/>
        <v>-1896.5135586804613</v>
      </c>
      <c r="N9" s="9">
        <f t="shared" si="1"/>
        <v>-1960.6372283105095</v>
      </c>
      <c r="O9" s="9">
        <f t="shared" si="1"/>
        <v>-1834.8905507347438</v>
      </c>
      <c r="P9" s="9">
        <f t="shared" si="1"/>
        <v>-1786.2679014417026</v>
      </c>
      <c r="Q9" s="9">
        <f t="shared" si="1"/>
        <v>-1738.8029430817858</v>
      </c>
      <c r="R9" s="9">
        <f t="shared" si="1"/>
        <v>-1794.6502368693305</v>
      </c>
      <c r="S9" s="9">
        <f t="shared" si="1"/>
        <v>1349.8618176909904</v>
      </c>
      <c r="T9" s="9">
        <f t="shared" si="1"/>
        <v>1413.2323902674434</v>
      </c>
      <c r="U9" s="9">
        <f t="shared" si="1"/>
        <v>851.0427932877792</v>
      </c>
      <c r="V9" s="9">
        <f t="shared" si="1"/>
        <v>1317.1219838825418</v>
      </c>
      <c r="W9" s="9">
        <f t="shared" si="1"/>
        <v>1277.7123694281076</v>
      </c>
      <c r="X9" s="9">
        <f t="shared" si="1"/>
        <v>1427.2545489662798</v>
      </c>
      <c r="Y9" s="9">
        <f t="shared" si="1"/>
        <v>1503.1251409154802</v>
      </c>
      <c r="Z9" s="9">
        <f t="shared" si="1"/>
        <v>1469.0988064074149</v>
      </c>
      <c r="AA9" s="9">
        <f t="shared" si="1"/>
        <v>1623.5694140604351</v>
      </c>
      <c r="AB9" s="9">
        <f t="shared" si="1"/>
        <v>1592.3139532753162</v>
      </c>
      <c r="AC9" s="9">
        <f t="shared" si="1"/>
        <v>1776.7675336840739</v>
      </c>
      <c r="AD9" s="9">
        <f t="shared" si="1"/>
        <v>1860.2528364863538</v>
      </c>
      <c r="AE9" s="9">
        <f t="shared" si="1"/>
        <v>1832.871104612268</v>
      </c>
      <c r="AF9" s="9">
        <f t="shared" si="1"/>
        <v>1992.9069286541421</v>
      </c>
      <c r="AG9" s="9">
        <f t="shared" si="1"/>
        <v>5235.8921550658051</v>
      </c>
      <c r="AH9" s="9">
        <f t="shared" si="1"/>
        <v>6118.127330981235</v>
      </c>
      <c r="AI9" s="9">
        <f t="shared" si="1"/>
        <v>6739.5347398037775</v>
      </c>
      <c r="AJ9" s="9">
        <f t="shared" si="1"/>
        <v>7320.6564346585765</v>
      </c>
      <c r="AK9" s="9">
        <f t="shared" si="1"/>
        <v>6711.2625835827366</v>
      </c>
      <c r="AL9" s="9">
        <f t="shared" si="1"/>
        <v>7503.9487524339347</v>
      </c>
      <c r="AM9" s="9">
        <f t="shared" si="1"/>
        <v>7921.9724279400652</v>
      </c>
      <c r="AN9" s="9">
        <f t="shared" si="1"/>
        <v>8269.277159506817</v>
      </c>
      <c r="AO9" s="9">
        <f t="shared" si="1"/>
        <v>7591.3147612052089</v>
      </c>
      <c r="AP9" s="9">
        <f t="shared" si="1"/>
        <v>8267.145389836227</v>
      </c>
      <c r="AQ9" s="9">
        <f t="shared" si="1"/>
        <v>8358.4308215175661</v>
      </c>
      <c r="AR9" s="9">
        <f t="shared" si="1"/>
        <v>8672.3261645866296</v>
      </c>
    </row>
    <row r="10" spans="1:44" x14ac:dyDescent="0.3">
      <c r="A10" s="4" t="s">
        <v>748</v>
      </c>
      <c r="C10" s="10">
        <f>-capex_total/depreciation_years/'Market Sizing'!C6</f>
        <v>-88</v>
      </c>
      <c r="D10" s="10">
        <f>-capex_total/depreciation_years/'Market Sizing'!D6</f>
        <v>-88</v>
      </c>
      <c r="E10" s="10">
        <f>-capex_total/depreciation_years/'Market Sizing'!E6</f>
        <v>-88</v>
      </c>
      <c r="F10" s="10">
        <f>-capex_total/depreciation_years/'Market Sizing'!F6</f>
        <v>-88</v>
      </c>
      <c r="G10" s="10">
        <f>-capex_total/depreciation_years/'Market Sizing'!G6</f>
        <v>-88</v>
      </c>
      <c r="H10" s="10">
        <f>-capex_total/depreciation_years/'Market Sizing'!H6</f>
        <v>-88</v>
      </c>
      <c r="I10" s="10">
        <f>-capex_total/depreciation_years/'Market Sizing'!I6</f>
        <v>-88</v>
      </c>
      <c r="J10" s="10">
        <f>-capex_total/depreciation_years/'Market Sizing'!J6</f>
        <v>-88</v>
      </c>
      <c r="K10" s="10">
        <f>-capex_total/depreciation_years/'Market Sizing'!K6</f>
        <v>-88</v>
      </c>
      <c r="L10" s="10">
        <f>-capex_total/depreciation_years/'Market Sizing'!L6</f>
        <v>-88</v>
      </c>
      <c r="M10" s="10">
        <f>-capex_total/depreciation_years/'Market Sizing'!M6</f>
        <v>-88</v>
      </c>
      <c r="N10" s="10">
        <f>-capex_total/depreciation_years/'Market Sizing'!N6</f>
        <v>-88</v>
      </c>
      <c r="O10" s="10">
        <f>-capex_total/depreciation_years/'Market Sizing'!O6</f>
        <v>-88</v>
      </c>
      <c r="P10" s="10">
        <f>-capex_total/depreciation_years/'Market Sizing'!P6</f>
        <v>-88</v>
      </c>
      <c r="Q10" s="10">
        <f>-capex_total/depreciation_years/'Market Sizing'!Q6</f>
        <v>-88</v>
      </c>
      <c r="R10" s="10">
        <f>-capex_total/depreciation_years/'Market Sizing'!R6</f>
        <v>-88</v>
      </c>
      <c r="S10" s="10">
        <f>-capex_total/depreciation_years/'Market Sizing'!S6</f>
        <v>-88</v>
      </c>
      <c r="T10" s="10">
        <f>-capex_total/depreciation_years/'Market Sizing'!T6</f>
        <v>-88</v>
      </c>
      <c r="U10" s="10">
        <f>-capex_total/depreciation_years/'Market Sizing'!U6</f>
        <v>-88</v>
      </c>
      <c r="V10" s="10">
        <f>-capex_total/depreciation_years/'Market Sizing'!V6</f>
        <v>-88</v>
      </c>
      <c r="W10" s="10">
        <f>-capex_total/depreciation_years/'Market Sizing'!W6</f>
        <v>-88</v>
      </c>
      <c r="X10" s="10">
        <f>-capex_total/depreciation_years/'Market Sizing'!X6</f>
        <v>-88</v>
      </c>
      <c r="Y10" s="10">
        <f>-capex_total/depreciation_years/'Market Sizing'!Y6</f>
        <v>-88</v>
      </c>
      <c r="Z10" s="10">
        <f>-capex_total/depreciation_years/'Market Sizing'!Z6</f>
        <v>-88</v>
      </c>
      <c r="AA10" s="10">
        <f>-capex_total/depreciation_years/'Market Sizing'!AA6</f>
        <v>-88</v>
      </c>
      <c r="AB10" s="10">
        <f>-capex_total/depreciation_years/'Market Sizing'!AB6</f>
        <v>-88</v>
      </c>
      <c r="AC10" s="10">
        <f>-capex_total/depreciation_years/'Market Sizing'!AC6</f>
        <v>-88</v>
      </c>
      <c r="AD10" s="10">
        <f>-capex_total/depreciation_years/'Market Sizing'!AD6</f>
        <v>-88</v>
      </c>
      <c r="AE10" s="10">
        <f>-capex_total/depreciation_years/'Market Sizing'!AE6</f>
        <v>-88</v>
      </c>
      <c r="AF10" s="10">
        <f>-capex_total/depreciation_years/'Market Sizing'!AF6</f>
        <v>-88</v>
      </c>
      <c r="AG10" s="10">
        <f>-capex_total/depreciation_years/'Market Sizing'!AG6</f>
        <v>-264</v>
      </c>
      <c r="AH10" s="10">
        <f>-capex_total/depreciation_years/'Market Sizing'!AH6</f>
        <v>-264</v>
      </c>
      <c r="AI10" s="10">
        <f>-capex_total/depreciation_years/'Market Sizing'!AI6</f>
        <v>-264</v>
      </c>
      <c r="AJ10" s="10">
        <f>-capex_total/depreciation_years/'Market Sizing'!AJ6</f>
        <v>-264</v>
      </c>
      <c r="AK10" s="10">
        <f>-capex_total/depreciation_years/'Market Sizing'!AK6</f>
        <v>-264</v>
      </c>
      <c r="AL10" s="10">
        <f>-capex_total/depreciation_years/'Market Sizing'!AL6</f>
        <v>-264</v>
      </c>
      <c r="AM10" s="10">
        <f>-capex_total/depreciation_years/'Market Sizing'!AM6</f>
        <v>-264</v>
      </c>
      <c r="AN10" s="10">
        <f>-capex_total/depreciation_years/'Market Sizing'!AN6</f>
        <v>-264</v>
      </c>
      <c r="AO10" s="10">
        <f>0</f>
        <v>0</v>
      </c>
      <c r="AP10" s="10">
        <f>0</f>
        <v>0</v>
      </c>
      <c r="AQ10" s="10">
        <f>0</f>
        <v>0</v>
      </c>
      <c r="AR10" s="10">
        <f>0</f>
        <v>0</v>
      </c>
    </row>
    <row r="11" spans="1:44" x14ac:dyDescent="0.3">
      <c r="A11" s="4" t="s">
        <v>328</v>
      </c>
      <c r="C11" s="9">
        <f t="shared" ref="C11:AR11" si="2">C9+C10</f>
        <v>-3613.56002920231</v>
      </c>
      <c r="D11" s="9">
        <f t="shared" si="2"/>
        <v>-2346.244253441756</v>
      </c>
      <c r="E11" s="9">
        <f t="shared" si="2"/>
        <v>-2452.0215582611509</v>
      </c>
      <c r="F11" s="9">
        <f t="shared" si="2"/>
        <v>-2372.6732231488049</v>
      </c>
      <c r="G11" s="9">
        <f t="shared" si="2"/>
        <v>-2372.5305502536989</v>
      </c>
      <c r="H11" s="9">
        <f t="shared" si="2"/>
        <v>-2372.4076986025766</v>
      </c>
      <c r="I11" s="9">
        <f t="shared" si="2"/>
        <v>-2823.552621116356</v>
      </c>
      <c r="J11" s="9">
        <f t="shared" si="2"/>
        <v>-2773.4205995321008</v>
      </c>
      <c r="K11" s="9">
        <f t="shared" si="2"/>
        <v>-2693.88578546587</v>
      </c>
      <c r="L11" s="9">
        <f t="shared" si="2"/>
        <v>-2693.5526634242588</v>
      </c>
      <c r="M11" s="9">
        <f t="shared" si="2"/>
        <v>-1984.5135586804613</v>
      </c>
      <c r="N11" s="9">
        <f t="shared" si="2"/>
        <v>-2048.6372283105093</v>
      </c>
      <c r="O11" s="9">
        <f t="shared" si="2"/>
        <v>-1922.8905507347438</v>
      </c>
      <c r="P11" s="9">
        <f t="shared" si="2"/>
        <v>-1874.2679014417026</v>
      </c>
      <c r="Q11" s="9">
        <f t="shared" si="2"/>
        <v>-1826.8029430817858</v>
      </c>
      <c r="R11" s="9">
        <f t="shared" si="2"/>
        <v>-1882.6502368693305</v>
      </c>
      <c r="S11" s="9">
        <f t="shared" si="2"/>
        <v>1261.8618176909904</v>
      </c>
      <c r="T11" s="9">
        <f t="shared" si="2"/>
        <v>1325.2323902674434</v>
      </c>
      <c r="U11" s="9">
        <f t="shared" si="2"/>
        <v>763.0427932877792</v>
      </c>
      <c r="V11" s="9">
        <f t="shared" si="2"/>
        <v>1229.1219838825418</v>
      </c>
      <c r="W11" s="9">
        <f t="shared" si="2"/>
        <v>1189.7123694281076</v>
      </c>
      <c r="X11" s="9">
        <f t="shared" si="2"/>
        <v>1339.2545489662798</v>
      </c>
      <c r="Y11" s="9">
        <f t="shared" si="2"/>
        <v>1415.1251409154802</v>
      </c>
      <c r="Z11" s="9">
        <f t="shared" si="2"/>
        <v>1381.0988064074149</v>
      </c>
      <c r="AA11" s="9">
        <f t="shared" si="2"/>
        <v>1535.5694140604351</v>
      </c>
      <c r="AB11" s="9">
        <f t="shared" si="2"/>
        <v>1504.3139532753162</v>
      </c>
      <c r="AC11" s="9">
        <f t="shared" si="2"/>
        <v>1688.7675336840739</v>
      </c>
      <c r="AD11" s="9">
        <f t="shared" si="2"/>
        <v>1772.2528364863538</v>
      </c>
      <c r="AE11" s="9">
        <f t="shared" si="2"/>
        <v>1744.871104612268</v>
      </c>
      <c r="AF11" s="9">
        <f t="shared" si="2"/>
        <v>1904.9069286541421</v>
      </c>
      <c r="AG11" s="9">
        <f t="shared" si="2"/>
        <v>4971.8921550658051</v>
      </c>
      <c r="AH11" s="9">
        <f t="shared" si="2"/>
        <v>5854.127330981235</v>
      </c>
      <c r="AI11" s="9">
        <f t="shared" si="2"/>
        <v>6475.5347398037775</v>
      </c>
      <c r="AJ11" s="9">
        <f t="shared" si="2"/>
        <v>7056.6564346585765</v>
      </c>
      <c r="AK11" s="9">
        <f t="shared" si="2"/>
        <v>6447.2625835827366</v>
      </c>
      <c r="AL11" s="9">
        <f t="shared" si="2"/>
        <v>7239.9487524339347</v>
      </c>
      <c r="AM11" s="9">
        <f t="shared" si="2"/>
        <v>7657.9724279400652</v>
      </c>
      <c r="AN11" s="9">
        <f t="shared" si="2"/>
        <v>8005.277159506817</v>
      </c>
      <c r="AO11" s="9">
        <f t="shared" si="2"/>
        <v>7591.3147612052089</v>
      </c>
      <c r="AP11" s="9">
        <f t="shared" si="2"/>
        <v>8267.145389836227</v>
      </c>
      <c r="AQ11" s="9">
        <f t="shared" si="2"/>
        <v>8358.4308215175661</v>
      </c>
      <c r="AR11" s="9">
        <f t="shared" si="2"/>
        <v>8672.3261645866296</v>
      </c>
    </row>
    <row r="12" spans="1:44" x14ac:dyDescent="0.3">
      <c r="A12" s="4" t="s">
        <v>749</v>
      </c>
      <c r="C12" s="10">
        <f t="shared" ref="C12:AR12" si="3">IF(C11&gt;0,-C11*cit_rate,0)</f>
        <v>0</v>
      </c>
      <c r="D12" s="10">
        <f t="shared" si="3"/>
        <v>0</v>
      </c>
      <c r="E12" s="10">
        <f t="shared" si="3"/>
        <v>0</v>
      </c>
      <c r="F12" s="10">
        <f t="shared" si="3"/>
        <v>0</v>
      </c>
      <c r="G12" s="10">
        <f t="shared" si="3"/>
        <v>0</v>
      </c>
      <c r="H12" s="10">
        <f t="shared" si="3"/>
        <v>0</v>
      </c>
      <c r="I12" s="10">
        <f t="shared" si="3"/>
        <v>0</v>
      </c>
      <c r="J12" s="10">
        <f t="shared" si="3"/>
        <v>0</v>
      </c>
      <c r="K12" s="10">
        <f t="shared" si="3"/>
        <v>0</v>
      </c>
      <c r="L12" s="10">
        <f t="shared" si="3"/>
        <v>0</v>
      </c>
      <c r="M12" s="10">
        <f t="shared" si="3"/>
        <v>0</v>
      </c>
      <c r="N12" s="10">
        <f t="shared" si="3"/>
        <v>0</v>
      </c>
      <c r="O12" s="10">
        <f t="shared" si="3"/>
        <v>0</v>
      </c>
      <c r="P12" s="10">
        <f t="shared" si="3"/>
        <v>0</v>
      </c>
      <c r="Q12" s="10">
        <f t="shared" si="3"/>
        <v>0</v>
      </c>
      <c r="R12" s="10">
        <f t="shared" si="3"/>
        <v>0</v>
      </c>
      <c r="S12" s="10">
        <f t="shared" si="3"/>
        <v>-252.3723635381981</v>
      </c>
      <c r="T12" s="10">
        <f t="shared" si="3"/>
        <v>-265.04647805348867</v>
      </c>
      <c r="U12" s="10">
        <f t="shared" si="3"/>
        <v>-152.60855865755585</v>
      </c>
      <c r="V12" s="10">
        <f t="shared" si="3"/>
        <v>-245.82439677650837</v>
      </c>
      <c r="W12" s="10">
        <f t="shared" si="3"/>
        <v>-237.94247388562155</v>
      </c>
      <c r="X12" s="10">
        <f t="shared" si="3"/>
        <v>-267.85090979325599</v>
      </c>
      <c r="Y12" s="10">
        <f t="shared" si="3"/>
        <v>-283.02502818309603</v>
      </c>
      <c r="Z12" s="10">
        <f t="shared" si="3"/>
        <v>-276.21976128148299</v>
      </c>
      <c r="AA12" s="10">
        <f t="shared" si="3"/>
        <v>-307.11388281208701</v>
      </c>
      <c r="AB12" s="10">
        <f t="shared" si="3"/>
        <v>-300.86279065506324</v>
      </c>
      <c r="AC12" s="10">
        <f t="shared" si="3"/>
        <v>-337.75350673681481</v>
      </c>
      <c r="AD12" s="10">
        <f t="shared" si="3"/>
        <v>-354.45056729727077</v>
      </c>
      <c r="AE12" s="10">
        <f t="shared" si="3"/>
        <v>-348.97422092245364</v>
      </c>
      <c r="AF12" s="10">
        <f t="shared" si="3"/>
        <v>-380.98138573082844</v>
      </c>
      <c r="AG12" s="10">
        <f t="shared" si="3"/>
        <v>-994.37843101316105</v>
      </c>
      <c r="AH12" s="10">
        <f t="shared" si="3"/>
        <v>-1170.8254661962471</v>
      </c>
      <c r="AI12" s="10">
        <f t="shared" si="3"/>
        <v>-1295.1069479607556</v>
      </c>
      <c r="AJ12" s="10">
        <f t="shared" si="3"/>
        <v>-1411.3312869317153</v>
      </c>
      <c r="AK12" s="10">
        <f t="shared" si="3"/>
        <v>-1289.4525167165475</v>
      </c>
      <c r="AL12" s="10">
        <f t="shared" si="3"/>
        <v>-1447.989750486787</v>
      </c>
      <c r="AM12" s="10">
        <f t="shared" si="3"/>
        <v>-1531.5944855880132</v>
      </c>
      <c r="AN12" s="10">
        <f t="shared" si="3"/>
        <v>-1601.0554319013636</v>
      </c>
      <c r="AO12" s="10">
        <f t="shared" si="3"/>
        <v>-1518.2629522410418</v>
      </c>
      <c r="AP12" s="10">
        <f t="shared" si="3"/>
        <v>-1653.4290779672456</v>
      </c>
      <c r="AQ12" s="10">
        <f t="shared" si="3"/>
        <v>-1671.6861643035134</v>
      </c>
      <c r="AR12" s="10">
        <f t="shared" si="3"/>
        <v>-1734.4652329173259</v>
      </c>
    </row>
    <row r="13" spans="1:44" x14ac:dyDescent="0.3">
      <c r="A13" s="4" t="s">
        <v>750</v>
      </c>
      <c r="C13" s="9">
        <f t="shared" ref="C13:AR13" si="4">C11+C12</f>
        <v>-3613.56002920231</v>
      </c>
      <c r="D13" s="9">
        <f t="shared" si="4"/>
        <v>-2346.244253441756</v>
      </c>
      <c r="E13" s="9">
        <f t="shared" si="4"/>
        <v>-2452.0215582611509</v>
      </c>
      <c r="F13" s="9">
        <f t="shared" si="4"/>
        <v>-2372.6732231488049</v>
      </c>
      <c r="G13" s="9">
        <f t="shared" si="4"/>
        <v>-2372.5305502536989</v>
      </c>
      <c r="H13" s="9">
        <f t="shared" si="4"/>
        <v>-2372.4076986025766</v>
      </c>
      <c r="I13" s="9">
        <f t="shared" si="4"/>
        <v>-2823.552621116356</v>
      </c>
      <c r="J13" s="9">
        <f t="shared" si="4"/>
        <v>-2773.4205995321008</v>
      </c>
      <c r="K13" s="9">
        <f t="shared" si="4"/>
        <v>-2693.88578546587</v>
      </c>
      <c r="L13" s="9">
        <f t="shared" si="4"/>
        <v>-2693.5526634242588</v>
      </c>
      <c r="M13" s="9">
        <f t="shared" si="4"/>
        <v>-1984.5135586804613</v>
      </c>
      <c r="N13" s="9">
        <f t="shared" si="4"/>
        <v>-2048.6372283105093</v>
      </c>
      <c r="O13" s="9">
        <f t="shared" si="4"/>
        <v>-1922.8905507347438</v>
      </c>
      <c r="P13" s="9">
        <f t="shared" si="4"/>
        <v>-1874.2679014417026</v>
      </c>
      <c r="Q13" s="9">
        <f t="shared" si="4"/>
        <v>-1826.8029430817858</v>
      </c>
      <c r="R13" s="9">
        <f t="shared" si="4"/>
        <v>-1882.6502368693305</v>
      </c>
      <c r="S13" s="9">
        <f t="shared" si="4"/>
        <v>1009.4894541527923</v>
      </c>
      <c r="T13" s="9">
        <f t="shared" si="4"/>
        <v>1060.1859122139547</v>
      </c>
      <c r="U13" s="9">
        <f t="shared" si="4"/>
        <v>610.43423463022339</v>
      </c>
      <c r="V13" s="9">
        <f t="shared" si="4"/>
        <v>983.29758710603346</v>
      </c>
      <c r="W13" s="9">
        <f t="shared" si="4"/>
        <v>951.7698955424861</v>
      </c>
      <c r="X13" s="9">
        <f t="shared" si="4"/>
        <v>1071.4036391730237</v>
      </c>
      <c r="Y13" s="9">
        <f t="shared" si="4"/>
        <v>1132.1001127323841</v>
      </c>
      <c r="Z13" s="9">
        <f t="shared" si="4"/>
        <v>1104.879045125932</v>
      </c>
      <c r="AA13" s="9">
        <f t="shared" si="4"/>
        <v>1228.4555312483481</v>
      </c>
      <c r="AB13" s="9">
        <f t="shared" si="4"/>
        <v>1203.4511626202529</v>
      </c>
      <c r="AC13" s="9">
        <f t="shared" si="4"/>
        <v>1351.014026947259</v>
      </c>
      <c r="AD13" s="9">
        <f t="shared" si="4"/>
        <v>1417.8022691890831</v>
      </c>
      <c r="AE13" s="9">
        <f t="shared" si="4"/>
        <v>1395.8968836898143</v>
      </c>
      <c r="AF13" s="9">
        <f t="shared" si="4"/>
        <v>1523.9255429233137</v>
      </c>
      <c r="AG13" s="9">
        <f t="shared" si="4"/>
        <v>3977.5137240526442</v>
      </c>
      <c r="AH13" s="9">
        <f t="shared" si="4"/>
        <v>4683.3018647849876</v>
      </c>
      <c r="AI13" s="9">
        <f t="shared" si="4"/>
        <v>5180.4277918430216</v>
      </c>
      <c r="AJ13" s="9">
        <f t="shared" si="4"/>
        <v>5645.3251477268614</v>
      </c>
      <c r="AK13" s="9">
        <f t="shared" si="4"/>
        <v>5157.8100668661891</v>
      </c>
      <c r="AL13" s="9">
        <f t="shared" si="4"/>
        <v>5791.959001947148</v>
      </c>
      <c r="AM13" s="9">
        <f t="shared" si="4"/>
        <v>6126.3779423520518</v>
      </c>
      <c r="AN13" s="9">
        <f t="shared" si="4"/>
        <v>6404.2217276054535</v>
      </c>
      <c r="AO13" s="9">
        <f t="shared" si="4"/>
        <v>6073.0518089641673</v>
      </c>
      <c r="AP13" s="9">
        <f t="shared" si="4"/>
        <v>6613.7163118689814</v>
      </c>
      <c r="AQ13" s="9">
        <f t="shared" si="4"/>
        <v>6686.7446572140525</v>
      </c>
      <c r="AR13" s="9">
        <f t="shared" si="4"/>
        <v>6937.8609316693037</v>
      </c>
    </row>
    <row r="15" spans="1:44" x14ac:dyDescent="0.3">
      <c r="A15" s="25" t="s">
        <v>751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x14ac:dyDescent="0.3">
      <c r="A16" s="4" t="s">
        <v>752</v>
      </c>
      <c r="C16" s="17">
        <f t="shared" ref="C16:AR16" si="5">IF(C4=0,0,C6/C4)</f>
        <v>0</v>
      </c>
      <c r="D16" s="17">
        <f t="shared" si="5"/>
        <v>0</v>
      </c>
      <c r="E16" s="17">
        <f t="shared" si="5"/>
        <v>0</v>
      </c>
      <c r="F16" s="17">
        <f t="shared" si="5"/>
        <v>0</v>
      </c>
      <c r="G16" s="17">
        <f t="shared" si="5"/>
        <v>0</v>
      </c>
      <c r="H16" s="17">
        <f t="shared" si="5"/>
        <v>0</v>
      </c>
      <c r="I16" s="17">
        <f t="shared" si="5"/>
        <v>0</v>
      </c>
      <c r="J16" s="17">
        <f t="shared" si="5"/>
        <v>0</v>
      </c>
      <c r="K16" s="17">
        <f t="shared" si="5"/>
        <v>0</v>
      </c>
      <c r="L16" s="17">
        <f t="shared" si="5"/>
        <v>0</v>
      </c>
      <c r="M16" s="17">
        <f t="shared" si="5"/>
        <v>1</v>
      </c>
      <c r="N16" s="17">
        <f t="shared" si="5"/>
        <v>1</v>
      </c>
      <c r="O16" s="17">
        <f t="shared" si="5"/>
        <v>1</v>
      </c>
      <c r="P16" s="17">
        <f t="shared" si="5"/>
        <v>1</v>
      </c>
      <c r="Q16" s="17">
        <f t="shared" si="5"/>
        <v>1</v>
      </c>
      <c r="R16" s="17">
        <f t="shared" si="5"/>
        <v>1</v>
      </c>
      <c r="S16" s="17">
        <f t="shared" si="5"/>
        <v>0.98199624393435081</v>
      </c>
      <c r="T16" s="17">
        <f t="shared" si="5"/>
        <v>0.98228124726279409</v>
      </c>
      <c r="U16" s="17">
        <f t="shared" si="5"/>
        <v>0.98229883433060972</v>
      </c>
      <c r="V16" s="17">
        <f t="shared" si="5"/>
        <v>0.98257910735966636</v>
      </c>
      <c r="W16" s="17">
        <f t="shared" si="5"/>
        <v>0.9828585827397277</v>
      </c>
      <c r="X16" s="17">
        <f t="shared" si="5"/>
        <v>0.9831227113812161</v>
      </c>
      <c r="Y16" s="17">
        <f t="shared" si="5"/>
        <v>0.98339872321344612</v>
      </c>
      <c r="Z16" s="17">
        <f t="shared" si="5"/>
        <v>0.98367165355597286</v>
      </c>
      <c r="AA16" s="17">
        <f t="shared" si="5"/>
        <v>0.98392831181378615</v>
      </c>
      <c r="AB16" s="17">
        <f t="shared" si="5"/>
        <v>0.98419342244948838</v>
      </c>
      <c r="AC16" s="17">
        <f t="shared" si="5"/>
        <v>0.9844417545426386</v>
      </c>
      <c r="AD16" s="17">
        <f t="shared" si="5"/>
        <v>0.98469653114529487</v>
      </c>
      <c r="AE16" s="17">
        <f t="shared" si="5"/>
        <v>0.98494514357153118</v>
      </c>
      <c r="AF16" s="17">
        <f t="shared" si="5"/>
        <v>0.9851765151796994</v>
      </c>
      <c r="AG16" s="17">
        <f t="shared" si="5"/>
        <v>0.9850224434681929</v>
      </c>
      <c r="AH16" s="17">
        <f t="shared" si="5"/>
        <v>0.98565717251520257</v>
      </c>
      <c r="AI16" s="17">
        <f t="shared" si="5"/>
        <v>0.98622339374793322</v>
      </c>
      <c r="AJ16" s="17">
        <f t="shared" si="5"/>
        <v>0.98671902701333536</v>
      </c>
      <c r="AK16" s="17">
        <f t="shared" si="5"/>
        <v>0.98685095940653056</v>
      </c>
      <c r="AL16" s="17">
        <f t="shared" si="5"/>
        <v>0.98721224543359898</v>
      </c>
      <c r="AM16" s="17">
        <f t="shared" si="5"/>
        <v>0.98752179497351622</v>
      </c>
      <c r="AN16" s="17">
        <f t="shared" si="5"/>
        <v>0.98777865392307806</v>
      </c>
      <c r="AO16" s="17">
        <f t="shared" si="5"/>
        <v>0.98769828808500348</v>
      </c>
      <c r="AP16" s="17">
        <f t="shared" si="5"/>
        <v>0.98787655268606489</v>
      </c>
      <c r="AQ16" s="17">
        <f t="shared" si="5"/>
        <v>0.98802144672510339</v>
      </c>
      <c r="AR16" s="17">
        <f t="shared" si="5"/>
        <v>0.98813256070620425</v>
      </c>
    </row>
    <row r="17" spans="1:44" x14ac:dyDescent="0.3">
      <c r="A17" s="4" t="s">
        <v>753</v>
      </c>
      <c r="C17" s="17">
        <f t="shared" ref="C17:AR17" si="6">IF(C4=0,0,C9/C4)</f>
        <v>0</v>
      </c>
      <c r="D17" s="17">
        <f t="shared" si="6"/>
        <v>0</v>
      </c>
      <c r="E17" s="17">
        <f t="shared" si="6"/>
        <v>0</v>
      </c>
      <c r="F17" s="17">
        <f t="shared" si="6"/>
        <v>0</v>
      </c>
      <c r="G17" s="17">
        <f t="shared" si="6"/>
        <v>0</v>
      </c>
      <c r="H17" s="17">
        <f t="shared" si="6"/>
        <v>0</v>
      </c>
      <c r="I17" s="17">
        <f t="shared" si="6"/>
        <v>0</v>
      </c>
      <c r="J17" s="17">
        <f t="shared" si="6"/>
        <v>0</v>
      </c>
      <c r="K17" s="17">
        <f t="shared" si="6"/>
        <v>0</v>
      </c>
      <c r="L17" s="17">
        <f t="shared" si="6"/>
        <v>0</v>
      </c>
      <c r="M17" s="17">
        <f t="shared" si="6"/>
        <v>-2.5986733372375306</v>
      </c>
      <c r="N17" s="17">
        <f t="shared" si="6"/>
        <v>-2.5250541539594655</v>
      </c>
      <c r="O17" s="17">
        <f t="shared" si="6"/>
        <v>-2.2231977575936455</v>
      </c>
      <c r="P17" s="17">
        <f t="shared" si="6"/>
        <v>-2.038171647264885</v>
      </c>
      <c r="Q17" s="17">
        <f t="shared" si="6"/>
        <v>-1.8771845979516562</v>
      </c>
      <c r="R17" s="17">
        <f t="shared" si="6"/>
        <v>-1.8280258542518066</v>
      </c>
      <c r="S17" s="17">
        <f t="shared" si="6"/>
        <v>0.32730751364366928</v>
      </c>
      <c r="T17" s="17">
        <f t="shared" si="6"/>
        <v>0.33724869068497293</v>
      </c>
      <c r="U17" s="17">
        <f t="shared" si="6"/>
        <v>0.18785945224750916</v>
      </c>
      <c r="V17" s="17">
        <f t="shared" si="6"/>
        <v>0.28613842967254244</v>
      </c>
      <c r="W17" s="17">
        <f t="shared" si="6"/>
        <v>0.27312384166328069</v>
      </c>
      <c r="X17" s="17">
        <f t="shared" si="6"/>
        <v>0.30038891327318001</v>
      </c>
      <c r="Y17" s="17">
        <f t="shared" si="6"/>
        <v>0.31118339579954807</v>
      </c>
      <c r="Z17" s="17">
        <f t="shared" si="6"/>
        <v>0.29913897333242412</v>
      </c>
      <c r="AA17" s="17">
        <f t="shared" si="6"/>
        <v>0.32539595175774261</v>
      </c>
      <c r="AB17" s="17">
        <f t="shared" si="6"/>
        <v>0.31386748955241445</v>
      </c>
      <c r="AC17" s="17">
        <f t="shared" si="6"/>
        <v>0.34472359907379468</v>
      </c>
      <c r="AD17" s="17">
        <f t="shared" si="6"/>
        <v>0.35501086600630993</v>
      </c>
      <c r="AE17" s="17">
        <f t="shared" si="6"/>
        <v>0.34410289726682775</v>
      </c>
      <c r="AF17" s="17">
        <f t="shared" si="6"/>
        <v>0.36839787511132094</v>
      </c>
      <c r="AG17" s="17">
        <f t="shared" si="6"/>
        <v>0.30183280275296376</v>
      </c>
      <c r="AH17" s="17">
        <f t="shared" si="6"/>
        <v>0.3377443265080598</v>
      </c>
      <c r="AI17" s="17">
        <f t="shared" si="6"/>
        <v>0.35736082218466281</v>
      </c>
      <c r="AJ17" s="17">
        <f t="shared" si="6"/>
        <v>0.3742094021812114</v>
      </c>
      <c r="AK17" s="17">
        <f t="shared" si="6"/>
        <v>0.31449179421211626</v>
      </c>
      <c r="AL17" s="17">
        <f t="shared" si="6"/>
        <v>0.34197564123176122</v>
      </c>
      <c r="AM17" s="17">
        <f t="shared" si="6"/>
        <v>0.35228687608950843</v>
      </c>
      <c r="AN17" s="17">
        <f t="shared" si="6"/>
        <v>0.36016176961916385</v>
      </c>
      <c r="AO17" s="17">
        <f t="shared" si="6"/>
        <v>0.30815542431345178</v>
      </c>
      <c r="AP17" s="17">
        <f t="shared" si="6"/>
        <v>0.33072648121017179</v>
      </c>
      <c r="AQ17" s="17">
        <f t="shared" si="6"/>
        <v>0.33038200652381439</v>
      </c>
      <c r="AR17" s="17">
        <f t="shared" si="6"/>
        <v>0.33960954458113124</v>
      </c>
    </row>
    <row r="18" spans="1:44" x14ac:dyDescent="0.3">
      <c r="A18" s="4" t="s">
        <v>754</v>
      </c>
      <c r="C18" s="17">
        <f t="shared" ref="C18:AR18" si="7">IF(C4=0,0,C13/C4)</f>
        <v>0</v>
      </c>
      <c r="D18" s="17">
        <f t="shared" si="7"/>
        <v>0</v>
      </c>
      <c r="E18" s="17">
        <f t="shared" si="7"/>
        <v>0</v>
      </c>
      <c r="F18" s="17">
        <f t="shared" si="7"/>
        <v>0</v>
      </c>
      <c r="G18" s="17">
        <f t="shared" si="7"/>
        <v>0</v>
      </c>
      <c r="H18" s="17">
        <f t="shared" si="7"/>
        <v>0</v>
      </c>
      <c r="I18" s="17">
        <f t="shared" si="7"/>
        <v>0</v>
      </c>
      <c r="J18" s="17">
        <f t="shared" si="7"/>
        <v>0</v>
      </c>
      <c r="K18" s="17">
        <f t="shared" si="7"/>
        <v>0</v>
      </c>
      <c r="L18" s="17">
        <f t="shared" si="7"/>
        <v>0</v>
      </c>
      <c r="M18" s="17">
        <f t="shared" si="7"/>
        <v>-2.7192542066071197</v>
      </c>
      <c r="N18" s="17">
        <f t="shared" si="7"/>
        <v>-2.6383870858960417</v>
      </c>
      <c r="O18" s="17">
        <f t="shared" si="7"/>
        <v>-2.3298206853698553</v>
      </c>
      <c r="P18" s="17">
        <f t="shared" si="7"/>
        <v>-2.1385816164607423</v>
      </c>
      <c r="Q18" s="17">
        <f t="shared" si="7"/>
        <v>-1.9721880284881639</v>
      </c>
      <c r="R18" s="17">
        <f t="shared" si="7"/>
        <v>-1.917662415108802</v>
      </c>
      <c r="S18" s="17">
        <f t="shared" si="7"/>
        <v>0.24477578294157912</v>
      </c>
      <c r="T18" s="17">
        <f t="shared" si="7"/>
        <v>0.25299894995270167</v>
      </c>
      <c r="U18" s="17">
        <f t="shared" si="7"/>
        <v>0.13474744378921466</v>
      </c>
      <c r="V18" s="17">
        <f t="shared" si="7"/>
        <v>0.21361668161208935</v>
      </c>
      <c r="W18" s="17">
        <f t="shared" si="7"/>
        <v>0.20345036681954867</v>
      </c>
      <c r="X18" s="17">
        <f t="shared" si="7"/>
        <v>0.2254943065910793</v>
      </c>
      <c r="Y18" s="17">
        <f t="shared" si="7"/>
        <v>0.23437220752661445</v>
      </c>
      <c r="Z18" s="17">
        <f t="shared" si="7"/>
        <v>0.22497627918147098</v>
      </c>
      <c r="AA18" s="17">
        <f t="shared" si="7"/>
        <v>0.24620718604381148</v>
      </c>
      <c r="AB18" s="17">
        <f t="shared" si="7"/>
        <v>0.2372171608705633</v>
      </c>
      <c r="AC18" s="17">
        <f t="shared" si="7"/>
        <v>0.26212006294530271</v>
      </c>
      <c r="AD18" s="17">
        <f t="shared" si="7"/>
        <v>0.27057354868020383</v>
      </c>
      <c r="AE18" s="17">
        <f t="shared" si="7"/>
        <v>0.26206543425486123</v>
      </c>
      <c r="AF18" s="17">
        <f t="shared" si="7"/>
        <v>0.28170454112473237</v>
      </c>
      <c r="AG18" s="17">
        <f t="shared" si="7"/>
        <v>0.22929122292132076</v>
      </c>
      <c r="AH18" s="17">
        <f t="shared" si="7"/>
        <v>0.25853640314838972</v>
      </c>
      <c r="AI18" s="17">
        <f t="shared" si="7"/>
        <v>0.27468987199184608</v>
      </c>
      <c r="AJ18" s="17">
        <f t="shared" si="7"/>
        <v>0.28857162844686246</v>
      </c>
      <c r="AK18" s="17">
        <f t="shared" si="7"/>
        <v>0.24169653950093667</v>
      </c>
      <c r="AL18" s="17">
        <f t="shared" si="7"/>
        <v>0.2639555464763132</v>
      </c>
      <c r="AM18" s="17">
        <f t="shared" si="7"/>
        <v>0.27243752319093573</v>
      </c>
      <c r="AN18" s="17">
        <f t="shared" si="7"/>
        <v>0.27893076818644724</v>
      </c>
      <c r="AO18" s="17">
        <f t="shared" si="7"/>
        <v>0.24652433945076144</v>
      </c>
      <c r="AP18" s="17">
        <f t="shared" si="7"/>
        <v>0.26458118496813743</v>
      </c>
      <c r="AQ18" s="17">
        <f t="shared" si="7"/>
        <v>0.2643056052190515</v>
      </c>
      <c r="AR18" s="17">
        <f t="shared" si="7"/>
        <v>0.271687635664905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R15"/>
  <sheetViews>
    <sheetView workbookViewId="0">
      <selection activeCell="A5" sqref="A5"/>
    </sheetView>
  </sheetViews>
  <sheetFormatPr defaultRowHeight="14.4" x14ac:dyDescent="0.3"/>
  <cols>
    <col min="1" max="1" width="38" style="52" customWidth="1"/>
    <col min="2" max="2" width="10" style="52" customWidth="1"/>
    <col min="3" max="44" width="11" style="52" customWidth="1"/>
  </cols>
  <sheetData>
    <row r="1" spans="1:44" x14ac:dyDescent="0.3">
      <c r="A1" s="25" t="s">
        <v>755</v>
      </c>
    </row>
    <row r="3" spans="1:44" x14ac:dyDescent="0.3">
      <c r="A3" s="3" t="s">
        <v>713</v>
      </c>
      <c r="B3" s="3" t="s">
        <v>441</v>
      </c>
      <c r="C3" s="3" t="s">
        <v>633</v>
      </c>
      <c r="D3" s="3" t="s">
        <v>634</v>
      </c>
      <c r="E3" s="3" t="s">
        <v>635</v>
      </c>
      <c r="F3" s="3" t="s">
        <v>636</v>
      </c>
      <c r="G3" s="3" t="s">
        <v>637</v>
      </c>
      <c r="H3" s="3" t="s">
        <v>638</v>
      </c>
      <c r="I3" s="3" t="s">
        <v>639</v>
      </c>
      <c r="J3" s="3" t="s">
        <v>640</v>
      </c>
      <c r="K3" s="3" t="s">
        <v>641</v>
      </c>
      <c r="L3" s="3" t="s">
        <v>642</v>
      </c>
      <c r="M3" s="3" t="s">
        <v>643</v>
      </c>
      <c r="N3" s="3" t="s">
        <v>644</v>
      </c>
      <c r="O3" s="3" t="s">
        <v>645</v>
      </c>
      <c r="P3" s="3" t="s">
        <v>646</v>
      </c>
      <c r="Q3" s="3" t="s">
        <v>647</v>
      </c>
      <c r="R3" s="3" t="s">
        <v>648</v>
      </c>
      <c r="S3" s="3" t="s">
        <v>649</v>
      </c>
      <c r="T3" s="3" t="s">
        <v>650</v>
      </c>
      <c r="U3" s="3" t="s">
        <v>651</v>
      </c>
      <c r="V3" s="3" t="s">
        <v>652</v>
      </c>
      <c r="W3" s="3" t="s">
        <v>653</v>
      </c>
      <c r="X3" s="3" t="s">
        <v>654</v>
      </c>
      <c r="Y3" s="3" t="s">
        <v>655</v>
      </c>
      <c r="Z3" s="3" t="s">
        <v>656</v>
      </c>
      <c r="AA3" s="3" t="s">
        <v>657</v>
      </c>
      <c r="AB3" s="3" t="s">
        <v>658</v>
      </c>
      <c r="AC3" s="3" t="s">
        <v>659</v>
      </c>
      <c r="AD3" s="3" t="s">
        <v>660</v>
      </c>
      <c r="AE3" s="3" t="s">
        <v>661</v>
      </c>
      <c r="AF3" s="3" t="s">
        <v>662</v>
      </c>
      <c r="AG3" s="3" t="s">
        <v>663</v>
      </c>
      <c r="AH3" s="3" t="s">
        <v>664</v>
      </c>
      <c r="AI3" s="3" t="s">
        <v>665</v>
      </c>
      <c r="AJ3" s="3" t="s">
        <v>666</v>
      </c>
      <c r="AK3" s="3" t="s">
        <v>667</v>
      </c>
      <c r="AL3" s="3" t="s">
        <v>668</v>
      </c>
      <c r="AM3" s="3" t="s">
        <v>669</v>
      </c>
      <c r="AN3" s="3" t="s">
        <v>670</v>
      </c>
      <c r="AO3" s="3" t="s">
        <v>671</v>
      </c>
      <c r="AP3" s="3" t="s">
        <v>672</v>
      </c>
      <c r="AQ3" s="3" t="s">
        <v>673</v>
      </c>
      <c r="AR3" s="3" t="s">
        <v>674</v>
      </c>
    </row>
    <row r="4" spans="1:44" x14ac:dyDescent="0.3">
      <c r="A4" s="25" t="s">
        <v>756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757</v>
      </c>
      <c r="C5" s="10">
        <f>'P&amp;L'!C13</f>
        <v>-3613.56002920231</v>
      </c>
      <c r="D5" s="10">
        <f>'P&amp;L'!D13</f>
        <v>-2346.244253441756</v>
      </c>
      <c r="E5" s="10">
        <f>'P&amp;L'!E13</f>
        <v>-2452.0215582611509</v>
      </c>
      <c r="F5" s="10">
        <f>'P&amp;L'!F13</f>
        <v>-2372.6732231488049</v>
      </c>
      <c r="G5" s="10">
        <f>'P&amp;L'!G13</f>
        <v>-2372.5305502536989</v>
      </c>
      <c r="H5" s="10">
        <f>'P&amp;L'!H13</f>
        <v>-2372.4076986025766</v>
      </c>
      <c r="I5" s="10">
        <f>'P&amp;L'!I13</f>
        <v>-2823.552621116356</v>
      </c>
      <c r="J5" s="10">
        <f>'P&amp;L'!J13</f>
        <v>-2773.4205995321008</v>
      </c>
      <c r="K5" s="10">
        <f>'P&amp;L'!K13</f>
        <v>-2693.88578546587</v>
      </c>
      <c r="L5" s="10">
        <f>'P&amp;L'!L13</f>
        <v>-2693.5526634242588</v>
      </c>
      <c r="M5" s="10">
        <f>'P&amp;L'!M13</f>
        <v>-1984.5135586804613</v>
      </c>
      <c r="N5" s="10">
        <f>'P&amp;L'!N13</f>
        <v>-2048.6372283105093</v>
      </c>
      <c r="O5" s="10">
        <f>'P&amp;L'!O13</f>
        <v>-1922.8905507347438</v>
      </c>
      <c r="P5" s="10">
        <f>'P&amp;L'!P13</f>
        <v>-1874.2679014417026</v>
      </c>
      <c r="Q5" s="10">
        <f>'P&amp;L'!Q13</f>
        <v>-1826.8029430817858</v>
      </c>
      <c r="R5" s="10">
        <f>'P&amp;L'!R13</f>
        <v>-1882.6502368693305</v>
      </c>
      <c r="S5" s="10">
        <f>'P&amp;L'!S13</f>
        <v>1009.4894541527923</v>
      </c>
      <c r="T5" s="10">
        <f>'P&amp;L'!T13</f>
        <v>1060.1859122139547</v>
      </c>
      <c r="U5" s="10">
        <f>'P&amp;L'!U13</f>
        <v>610.43423463022339</v>
      </c>
      <c r="V5" s="10">
        <f>'P&amp;L'!V13</f>
        <v>983.29758710603346</v>
      </c>
      <c r="W5" s="10">
        <f>'P&amp;L'!W13</f>
        <v>951.7698955424861</v>
      </c>
      <c r="X5" s="10">
        <f>'P&amp;L'!X13</f>
        <v>1071.4036391730237</v>
      </c>
      <c r="Y5" s="10">
        <f>'P&amp;L'!Y13</f>
        <v>1132.1001127323841</v>
      </c>
      <c r="Z5" s="10">
        <f>'P&amp;L'!Z13</f>
        <v>1104.879045125932</v>
      </c>
      <c r="AA5" s="10">
        <f>'P&amp;L'!AA13</f>
        <v>1228.4555312483481</v>
      </c>
      <c r="AB5" s="10">
        <f>'P&amp;L'!AB13</f>
        <v>1203.4511626202529</v>
      </c>
      <c r="AC5" s="10">
        <f>'P&amp;L'!AC13</f>
        <v>1351.014026947259</v>
      </c>
      <c r="AD5" s="10">
        <f>'P&amp;L'!AD13</f>
        <v>1417.8022691890831</v>
      </c>
      <c r="AE5" s="10">
        <f>'P&amp;L'!AE13</f>
        <v>1395.8968836898143</v>
      </c>
      <c r="AF5" s="10">
        <f>'P&amp;L'!AF13</f>
        <v>1523.9255429233137</v>
      </c>
      <c r="AG5" s="10">
        <f>'P&amp;L'!AG13</f>
        <v>3977.5137240526442</v>
      </c>
      <c r="AH5" s="10">
        <f>'P&amp;L'!AH13</f>
        <v>4683.3018647849876</v>
      </c>
      <c r="AI5" s="10">
        <f>'P&amp;L'!AI13</f>
        <v>5180.4277918430216</v>
      </c>
      <c r="AJ5" s="10">
        <f>'P&amp;L'!AJ13</f>
        <v>5645.3251477268614</v>
      </c>
      <c r="AK5" s="10">
        <f>'P&amp;L'!AK13</f>
        <v>5157.8100668661891</v>
      </c>
      <c r="AL5" s="10">
        <f>'P&amp;L'!AL13</f>
        <v>5791.959001947148</v>
      </c>
      <c r="AM5" s="10">
        <f>'P&amp;L'!AM13</f>
        <v>6126.3779423520518</v>
      </c>
      <c r="AN5" s="10">
        <f>'P&amp;L'!AN13</f>
        <v>6404.2217276054535</v>
      </c>
      <c r="AO5" s="10">
        <f>'P&amp;L'!AO13</f>
        <v>6073.0518089641673</v>
      </c>
      <c r="AP5" s="10">
        <f>'P&amp;L'!AP13</f>
        <v>6613.7163118689814</v>
      </c>
      <c r="AQ5" s="10">
        <f>'P&amp;L'!AQ13</f>
        <v>6686.7446572140525</v>
      </c>
      <c r="AR5" s="10">
        <f>'P&amp;L'!AR13</f>
        <v>6937.8609316693037</v>
      </c>
    </row>
    <row r="6" spans="1:44" x14ac:dyDescent="0.3">
      <c r="A6" s="4" t="s">
        <v>758</v>
      </c>
      <c r="C6" s="10">
        <f>-'P&amp;L'!C10</f>
        <v>88</v>
      </c>
      <c r="D6" s="10">
        <f>-'P&amp;L'!D10</f>
        <v>88</v>
      </c>
      <c r="E6" s="10">
        <f>-'P&amp;L'!E10</f>
        <v>88</v>
      </c>
      <c r="F6" s="10">
        <f>-'P&amp;L'!F10</f>
        <v>88</v>
      </c>
      <c r="G6" s="10">
        <f>-'P&amp;L'!G10</f>
        <v>88</v>
      </c>
      <c r="H6" s="10">
        <f>-'P&amp;L'!H10</f>
        <v>88</v>
      </c>
      <c r="I6" s="10">
        <f>-'P&amp;L'!I10</f>
        <v>88</v>
      </c>
      <c r="J6" s="10">
        <f>-'P&amp;L'!J10</f>
        <v>88</v>
      </c>
      <c r="K6" s="10">
        <f>-'P&amp;L'!K10</f>
        <v>88</v>
      </c>
      <c r="L6" s="10">
        <f>-'P&amp;L'!L10</f>
        <v>88</v>
      </c>
      <c r="M6" s="10">
        <f>-'P&amp;L'!M10</f>
        <v>88</v>
      </c>
      <c r="N6" s="10">
        <f>-'P&amp;L'!N10</f>
        <v>88</v>
      </c>
      <c r="O6" s="10">
        <f>-'P&amp;L'!O10</f>
        <v>88</v>
      </c>
      <c r="P6" s="10">
        <f>-'P&amp;L'!P10</f>
        <v>88</v>
      </c>
      <c r="Q6" s="10">
        <f>-'P&amp;L'!Q10</f>
        <v>88</v>
      </c>
      <c r="R6" s="10">
        <f>-'P&amp;L'!R10</f>
        <v>88</v>
      </c>
      <c r="S6" s="10">
        <f>-'P&amp;L'!S10</f>
        <v>88</v>
      </c>
      <c r="T6" s="10">
        <f>-'P&amp;L'!T10</f>
        <v>88</v>
      </c>
      <c r="U6" s="10">
        <f>-'P&amp;L'!U10</f>
        <v>88</v>
      </c>
      <c r="V6" s="10">
        <f>-'P&amp;L'!V10</f>
        <v>88</v>
      </c>
      <c r="W6" s="10">
        <f>-'P&amp;L'!W10</f>
        <v>88</v>
      </c>
      <c r="X6" s="10">
        <f>-'P&amp;L'!X10</f>
        <v>88</v>
      </c>
      <c r="Y6" s="10">
        <f>-'P&amp;L'!Y10</f>
        <v>88</v>
      </c>
      <c r="Z6" s="10">
        <f>-'P&amp;L'!Z10</f>
        <v>88</v>
      </c>
      <c r="AA6" s="10">
        <f>-'P&amp;L'!AA10</f>
        <v>88</v>
      </c>
      <c r="AB6" s="10">
        <f>-'P&amp;L'!AB10</f>
        <v>88</v>
      </c>
      <c r="AC6" s="10">
        <f>-'P&amp;L'!AC10</f>
        <v>88</v>
      </c>
      <c r="AD6" s="10">
        <f>-'P&amp;L'!AD10</f>
        <v>88</v>
      </c>
      <c r="AE6" s="10">
        <f>-'P&amp;L'!AE10</f>
        <v>88</v>
      </c>
      <c r="AF6" s="10">
        <f>-'P&amp;L'!AF10</f>
        <v>88</v>
      </c>
      <c r="AG6" s="10">
        <f>-'P&amp;L'!AG10</f>
        <v>264</v>
      </c>
      <c r="AH6" s="10">
        <f>-'P&amp;L'!AH10</f>
        <v>264</v>
      </c>
      <c r="AI6" s="10">
        <f>-'P&amp;L'!AI10</f>
        <v>264</v>
      </c>
      <c r="AJ6" s="10">
        <f>-'P&amp;L'!AJ10</f>
        <v>264</v>
      </c>
      <c r="AK6" s="10">
        <f>-'P&amp;L'!AK10</f>
        <v>264</v>
      </c>
      <c r="AL6" s="10">
        <f>-'P&amp;L'!AL10</f>
        <v>264</v>
      </c>
      <c r="AM6" s="10">
        <f>-'P&amp;L'!AM10</f>
        <v>264</v>
      </c>
      <c r="AN6" s="10">
        <f>-'P&amp;L'!AN10</f>
        <v>264</v>
      </c>
      <c r="AO6" s="10">
        <f>-'P&amp;L'!AO10</f>
        <v>0</v>
      </c>
      <c r="AP6" s="10">
        <f>-'P&amp;L'!AP10</f>
        <v>0</v>
      </c>
      <c r="AQ6" s="10">
        <f>-'P&amp;L'!AQ10</f>
        <v>0</v>
      </c>
      <c r="AR6" s="10">
        <f>-'P&amp;L'!AR10</f>
        <v>0</v>
      </c>
    </row>
    <row r="7" spans="1:44" x14ac:dyDescent="0.3">
      <c r="A7" s="4" t="s">
        <v>759</v>
      </c>
      <c r="C7" s="10">
        <f>-'P&amp;L'!C4*ar_days/365</f>
        <v>0</v>
      </c>
      <c r="D7" s="10">
        <f>-('P&amp;L'!D4-'P&amp;L'!C4)*ar_days/365</f>
        <v>0</v>
      </c>
      <c r="E7" s="10">
        <f>-('P&amp;L'!E4-'P&amp;L'!D4)*ar_days/365</f>
        <v>0</v>
      </c>
      <c r="F7" s="10">
        <f>-('P&amp;L'!F4-'P&amp;L'!E4)*ar_days/365</f>
        <v>0</v>
      </c>
      <c r="G7" s="10">
        <f>-('P&amp;L'!G4-'P&amp;L'!F4)*ar_days/365</f>
        <v>0</v>
      </c>
      <c r="H7" s="10">
        <f>-('P&amp;L'!H4-'P&amp;L'!G4)*ar_days/365</f>
        <v>0</v>
      </c>
      <c r="I7" s="10">
        <f>-('P&amp;L'!I4-'P&amp;L'!H4)*ar_days/365</f>
        <v>0</v>
      </c>
      <c r="J7" s="10">
        <f>-('P&amp;L'!J4-'P&amp;L'!I4)*ar_days/365</f>
        <v>0</v>
      </c>
      <c r="K7" s="10">
        <f>-('P&amp;L'!K4-'P&amp;L'!J4)*ar_days/365</f>
        <v>0</v>
      </c>
      <c r="L7" s="10">
        <f>-('P&amp;L'!L4-'P&amp;L'!K4)*ar_days/365</f>
        <v>0</v>
      </c>
      <c r="M7" s="10">
        <f>-('P&amp;L'!M4-'P&amp;L'!L4)*ar_days/365</f>
        <v>-89.975425830106104</v>
      </c>
      <c r="N7" s="10">
        <f>-('P&amp;L'!N4-'P&amp;L'!M4)*ar_days/365</f>
        <v>-5.7541638231877572</v>
      </c>
      <c r="O7" s="10">
        <f>-('P&amp;L'!O4-'P&amp;L'!N4)*ar_days/365</f>
        <v>-6.0244635768396231</v>
      </c>
      <c r="P7" s="10">
        <f>-('P&amp;L'!P4-'P&amp;L'!O4)*ar_days/365</f>
        <v>-6.2961250079530435</v>
      </c>
      <c r="Q7" s="10">
        <f>-('P&amp;L'!Q4-'P&amp;L'!P4)*ar_days/365</f>
        <v>-6.1490144355295131</v>
      </c>
      <c r="R7" s="10">
        <f>-('P&amp;L'!R4-'P&amp;L'!Q4)*ar_days/365</f>
        <v>-6.8375245404898859</v>
      </c>
      <c r="S7" s="10">
        <f>-('P&amp;L'!S4-'P&amp;L'!R4)*ar_days/365</f>
        <v>-387.41882704351389</v>
      </c>
      <c r="T7" s="10">
        <f>-('P&amp;L'!T4-'P&amp;L'!S4)*ar_days/365</f>
        <v>-8.1784268130010656</v>
      </c>
      <c r="U7" s="10">
        <f>-('P&amp;L'!U4-'P&amp;L'!T4)*ar_days/365</f>
        <v>-41.885085855693355</v>
      </c>
      <c r="V7" s="10">
        <f>-('P&amp;L'!V4-'P&amp;L'!U4)*ar_days/365</f>
        <v>-8.9856375963294806</v>
      </c>
      <c r="W7" s="10">
        <f>-('P&amp;L'!W4-'P&amp;L'!V4)*ar_days/365</f>
        <v>-9.2526532538194797</v>
      </c>
      <c r="X7" s="10">
        <f>-('P&amp;L'!X4-'P&amp;L'!W4)*ar_days/365</f>
        <v>-9.0262208686221594</v>
      </c>
      <c r="Y7" s="10">
        <f>-('P&amp;L'!Y4-'P&amp;L'!X4)*ar_days/365</f>
        <v>-9.739202481279241</v>
      </c>
      <c r="Z7" s="10">
        <f>-('P&amp;L'!Z4-'P&amp;L'!Y4)*ar_days/365</f>
        <v>-9.9542372194981574</v>
      </c>
      <c r="AA7" s="10">
        <f>-('P&amp;L'!AA4-'P&amp;L'!Z4)*ar_days/365</f>
        <v>-9.6692190831156086</v>
      </c>
      <c r="AB7" s="10">
        <f>-('P&amp;L'!AB4-'P&amp;L'!AA4)*ar_days/365</f>
        <v>-10.317338265187162</v>
      </c>
      <c r="AC7" s="10">
        <f>-('P&amp;L'!AC4-'P&amp;L'!AB4)*ar_days/365</f>
        <v>-9.9833028655895433</v>
      </c>
      <c r="AD7" s="10">
        <f>-('P&amp;L'!AD4-'P&amp;L'!AC4)*ar_days/365</f>
        <v>-10.579104376745331</v>
      </c>
      <c r="AE7" s="10">
        <f>-('P&amp;L'!AE4-'P&amp;L'!AD4)*ar_days/365</f>
        <v>-10.668323893126784</v>
      </c>
      <c r="AF7" s="10">
        <f>-('P&amp;L'!AF4-'P&amp;L'!AE4)*ar_days/365</f>
        <v>-10.249979500384478</v>
      </c>
      <c r="AG7" s="10">
        <f>-('P&amp;L'!AG4-'P&amp;L'!AF4)*ar_days/365</f>
        <v>-1471.7263543531631</v>
      </c>
      <c r="AH7" s="10">
        <f>-('P&amp;L'!AH4-'P&amp;L'!AG4)*ar_days/365</f>
        <v>-94.644962628181446</v>
      </c>
      <c r="AI7" s="10">
        <f>-('P&amp;L'!AI4-'P&amp;L'!AH4)*ar_days/365</f>
        <v>-91.789711136703602</v>
      </c>
      <c r="AJ7" s="10">
        <f>-('P&amp;L'!AJ4-'P&amp;L'!AI4)*ar_days/365</f>
        <v>-86.770715941108534</v>
      </c>
      <c r="AK7" s="10">
        <f>-('P&amp;L'!AK4-'P&amp;L'!AJ4)*ar_days/365</f>
        <v>-219.08590036665711</v>
      </c>
      <c r="AL7" s="10">
        <f>-('P&amp;L'!AL4-'P&amp;L'!AK4)*ar_days/365</f>
        <v>-74.331249851750684</v>
      </c>
      <c r="AM7" s="10">
        <f>-('P&amp;L'!AM4-'P&amp;L'!AL4)*ar_days/365</f>
        <v>-67.110794743762554</v>
      </c>
      <c r="AN7" s="10">
        <f>-('P&amp;L'!AN4-'P&amp;L'!AM4)*ar_days/365</f>
        <v>-58.268276327269454</v>
      </c>
      <c r="AO7" s="10">
        <f>-('P&amp;L'!AO4-'P&amp;L'!AN4)*ar_days/365</f>
        <v>-206.48188465197487</v>
      </c>
      <c r="AP7" s="10">
        <f>-('P&amp;L'!AP4-'P&amp;L'!AO4)*ar_days/365</f>
        <v>-44.658672956000224</v>
      </c>
      <c r="AQ7" s="10">
        <f>-('P&amp;L'!AQ4-'P&amp;L'!AP4)*ar_days/365</f>
        <v>-37.277982891719098</v>
      </c>
      <c r="AR7" s="10">
        <f>-('P&amp;L'!AR4-'P&amp;L'!AQ4)*ar_days/365</f>
        <v>-29.203822799756555</v>
      </c>
    </row>
    <row r="8" spans="1:44" x14ac:dyDescent="0.3">
      <c r="A8" s="4" t="s">
        <v>760</v>
      </c>
      <c r="C8" s="9">
        <f t="shared" ref="C8:AR8" si="0">C5+C6+C7</f>
        <v>-3525.56002920231</v>
      </c>
      <c r="D8" s="9">
        <f t="shared" si="0"/>
        <v>-2258.244253441756</v>
      </c>
      <c r="E8" s="9">
        <f t="shared" si="0"/>
        <v>-2364.0215582611509</v>
      </c>
      <c r="F8" s="9">
        <f t="shared" si="0"/>
        <v>-2284.6732231488049</v>
      </c>
      <c r="G8" s="9">
        <f t="shared" si="0"/>
        <v>-2284.5305502536989</v>
      </c>
      <c r="H8" s="9">
        <f t="shared" si="0"/>
        <v>-2284.4076986025766</v>
      </c>
      <c r="I8" s="9">
        <f t="shared" si="0"/>
        <v>-2735.552621116356</v>
      </c>
      <c r="J8" s="9">
        <f t="shared" si="0"/>
        <v>-2685.4205995321008</v>
      </c>
      <c r="K8" s="9">
        <f t="shared" si="0"/>
        <v>-2605.88578546587</v>
      </c>
      <c r="L8" s="9">
        <f t="shared" si="0"/>
        <v>-2605.5526634242588</v>
      </c>
      <c r="M8" s="9">
        <f t="shared" si="0"/>
        <v>-1986.4889845105674</v>
      </c>
      <c r="N8" s="9">
        <f t="shared" si="0"/>
        <v>-1966.3913921336971</v>
      </c>
      <c r="O8" s="9">
        <f t="shared" si="0"/>
        <v>-1840.9150143115835</v>
      </c>
      <c r="P8" s="9">
        <f t="shared" si="0"/>
        <v>-1792.5640264496558</v>
      </c>
      <c r="Q8" s="9">
        <f t="shared" si="0"/>
        <v>-1744.9519575173153</v>
      </c>
      <c r="R8" s="9">
        <f t="shared" si="0"/>
        <v>-1801.4877614098205</v>
      </c>
      <c r="S8" s="9">
        <f t="shared" si="0"/>
        <v>710.07062710927858</v>
      </c>
      <c r="T8" s="9">
        <f t="shared" si="0"/>
        <v>1140.0074854009536</v>
      </c>
      <c r="U8" s="9">
        <f t="shared" si="0"/>
        <v>656.54914877453007</v>
      </c>
      <c r="V8" s="9">
        <f t="shared" si="0"/>
        <v>1062.3119495097039</v>
      </c>
      <c r="W8" s="9">
        <f t="shared" si="0"/>
        <v>1030.5172422886667</v>
      </c>
      <c r="X8" s="9">
        <f t="shared" si="0"/>
        <v>1150.3774183044015</v>
      </c>
      <c r="Y8" s="9">
        <f t="shared" si="0"/>
        <v>1210.3609102511048</v>
      </c>
      <c r="Z8" s="9">
        <f t="shared" si="0"/>
        <v>1182.9248079064339</v>
      </c>
      <c r="AA8" s="9">
        <f t="shared" si="0"/>
        <v>1306.7863121652324</v>
      </c>
      <c r="AB8" s="9">
        <f t="shared" si="0"/>
        <v>1281.1338243550658</v>
      </c>
      <c r="AC8" s="9">
        <f t="shared" si="0"/>
        <v>1429.0307240816694</v>
      </c>
      <c r="AD8" s="9">
        <f t="shared" si="0"/>
        <v>1495.2231648123377</v>
      </c>
      <c r="AE8" s="9">
        <f t="shared" si="0"/>
        <v>1473.2285597966875</v>
      </c>
      <c r="AF8" s="9">
        <f t="shared" si="0"/>
        <v>1601.6755634229294</v>
      </c>
      <c r="AG8" s="9">
        <f t="shared" si="0"/>
        <v>2769.7873696994807</v>
      </c>
      <c r="AH8" s="9">
        <f t="shared" si="0"/>
        <v>4852.6569021568066</v>
      </c>
      <c r="AI8" s="9">
        <f t="shared" si="0"/>
        <v>5352.6380807063179</v>
      </c>
      <c r="AJ8" s="9">
        <f t="shared" si="0"/>
        <v>5822.554431785753</v>
      </c>
      <c r="AK8" s="9">
        <f t="shared" si="0"/>
        <v>5202.7241664995317</v>
      </c>
      <c r="AL8" s="9">
        <f t="shared" si="0"/>
        <v>5981.6277520953972</v>
      </c>
      <c r="AM8" s="9">
        <f t="shared" si="0"/>
        <v>6323.2671476082896</v>
      </c>
      <c r="AN8" s="9">
        <f t="shared" si="0"/>
        <v>6609.9534512781838</v>
      </c>
      <c r="AO8" s="9">
        <f t="shared" si="0"/>
        <v>5866.5699243121926</v>
      </c>
      <c r="AP8" s="9">
        <f t="shared" si="0"/>
        <v>6569.057638912981</v>
      </c>
      <c r="AQ8" s="9">
        <f t="shared" si="0"/>
        <v>6649.4666743223333</v>
      </c>
      <c r="AR8" s="9">
        <f t="shared" si="0"/>
        <v>6908.6571088695473</v>
      </c>
    </row>
    <row r="10" spans="1:44" x14ac:dyDescent="0.3">
      <c r="A10" s="25" t="s">
        <v>761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762</v>
      </c>
      <c r="C11" s="10">
        <f>-'Cost Schedule'!C7</f>
        <v>-880</v>
      </c>
      <c r="D11" s="10">
        <f>-'Cost Schedule'!D7</f>
        <v>-880</v>
      </c>
      <c r="E11" s="10">
        <f>-'Cost Schedule'!E7</f>
        <v>-880</v>
      </c>
      <c r="F11" s="10">
        <f>-'Cost Schedule'!F7</f>
        <v>-880</v>
      </c>
      <c r="G11" s="10">
        <f>-'Cost Schedule'!G7</f>
        <v>-880</v>
      </c>
      <c r="H11" s="10">
        <f>-'Cost Schedule'!H7</f>
        <v>-880</v>
      </c>
      <c r="I11" s="10">
        <f>-'Cost Schedule'!I7</f>
        <v>-79.2</v>
      </c>
      <c r="J11" s="10">
        <f>-'Cost Schedule'!J7</f>
        <v>-79.2</v>
      </c>
      <c r="K11" s="10">
        <f>-'Cost Schedule'!K7</f>
        <v>-79.2</v>
      </c>
      <c r="L11" s="10">
        <f>-'Cost Schedule'!L7</f>
        <v>-79.2</v>
      </c>
      <c r="M11" s="10">
        <f>-'Cost Schedule'!M7</f>
        <v>-79.2</v>
      </c>
      <c r="N11" s="10">
        <f>-'Cost Schedule'!N7</f>
        <v>-79.2</v>
      </c>
      <c r="O11" s="10">
        <f>-'Cost Schedule'!O7</f>
        <v>-79.2</v>
      </c>
      <c r="P11" s="10">
        <f>-'Cost Schedule'!P7</f>
        <v>-79.2</v>
      </c>
      <c r="Q11" s="10">
        <f>-'Cost Schedule'!Q7</f>
        <v>-79.2</v>
      </c>
      <c r="R11" s="10">
        <f>-'Cost Schedule'!R7</f>
        <v>-79.2</v>
      </c>
      <c r="S11" s="10">
        <f>-'Cost Schedule'!S7</f>
        <v>-79.2</v>
      </c>
      <c r="T11" s="10">
        <f>-'Cost Schedule'!T7</f>
        <v>-79.2</v>
      </c>
      <c r="U11" s="10">
        <f>-'Cost Schedule'!U7</f>
        <v>-79.2</v>
      </c>
      <c r="V11" s="10">
        <f>-'Cost Schedule'!V7</f>
        <v>-79.2</v>
      </c>
      <c r="W11" s="10">
        <f>-'Cost Schedule'!W7</f>
        <v>-79.2</v>
      </c>
      <c r="X11" s="10">
        <f>-'Cost Schedule'!X7</f>
        <v>-79.2</v>
      </c>
      <c r="Y11" s="10">
        <f>-'Cost Schedule'!Y7</f>
        <v>-79.2</v>
      </c>
      <c r="Z11" s="10">
        <f>-'Cost Schedule'!Z7</f>
        <v>-79.2</v>
      </c>
      <c r="AA11" s="10">
        <f>-'Cost Schedule'!AA7</f>
        <v>-79.2</v>
      </c>
      <c r="AB11" s="10">
        <f>-'Cost Schedule'!AB7</f>
        <v>-79.2</v>
      </c>
      <c r="AC11" s="10">
        <f>-'Cost Schedule'!AC7</f>
        <v>-79.2</v>
      </c>
      <c r="AD11" s="10">
        <f>-'Cost Schedule'!AD7</f>
        <v>-79.2</v>
      </c>
      <c r="AE11" s="10">
        <f>-'Cost Schedule'!AE7</f>
        <v>-79.2</v>
      </c>
      <c r="AF11" s="10">
        <f>-'Cost Schedule'!AF7</f>
        <v>-79.2</v>
      </c>
      <c r="AG11" s="10">
        <f>-'Cost Schedule'!AG7</f>
        <v>-237.6</v>
      </c>
      <c r="AH11" s="10">
        <f>-'Cost Schedule'!AH7</f>
        <v>-237.6</v>
      </c>
      <c r="AI11" s="10">
        <f>-'Cost Schedule'!AI7</f>
        <v>-237.6</v>
      </c>
      <c r="AJ11" s="10">
        <f>-'Cost Schedule'!AJ7</f>
        <v>-237.6</v>
      </c>
      <c r="AK11" s="10">
        <f>-'Cost Schedule'!AK7</f>
        <v>-237.6</v>
      </c>
      <c r="AL11" s="10">
        <f>-'Cost Schedule'!AL7</f>
        <v>-237.6</v>
      </c>
      <c r="AM11" s="10">
        <f>-'Cost Schedule'!AM7</f>
        <v>-237.6</v>
      </c>
      <c r="AN11" s="10">
        <f>-'Cost Schedule'!AN7</f>
        <v>-237.6</v>
      </c>
      <c r="AO11" s="10">
        <f>-'Cost Schedule'!AO7</f>
        <v>-237.6</v>
      </c>
      <c r="AP11" s="10">
        <f>-'Cost Schedule'!AP7</f>
        <v>-237.6</v>
      </c>
      <c r="AQ11" s="10">
        <f>-'Cost Schedule'!AQ7</f>
        <v>-237.6</v>
      </c>
      <c r="AR11" s="10">
        <f>-'Cost Schedule'!AR7</f>
        <v>-237.6</v>
      </c>
    </row>
    <row r="12" spans="1:44" x14ac:dyDescent="0.3">
      <c r="A12" s="4" t="s">
        <v>763</v>
      </c>
      <c r="C12" s="9">
        <f t="shared" ref="C12:AR12" si="1">C11</f>
        <v>-880</v>
      </c>
      <c r="D12" s="9">
        <f t="shared" si="1"/>
        <v>-880</v>
      </c>
      <c r="E12" s="9">
        <f t="shared" si="1"/>
        <v>-880</v>
      </c>
      <c r="F12" s="9">
        <f t="shared" si="1"/>
        <v>-880</v>
      </c>
      <c r="G12" s="9">
        <f t="shared" si="1"/>
        <v>-880</v>
      </c>
      <c r="H12" s="9">
        <f t="shared" si="1"/>
        <v>-880</v>
      </c>
      <c r="I12" s="9">
        <f t="shared" si="1"/>
        <v>-79.2</v>
      </c>
      <c r="J12" s="9">
        <f t="shared" si="1"/>
        <v>-79.2</v>
      </c>
      <c r="K12" s="9">
        <f t="shared" si="1"/>
        <v>-79.2</v>
      </c>
      <c r="L12" s="9">
        <f t="shared" si="1"/>
        <v>-79.2</v>
      </c>
      <c r="M12" s="9">
        <f t="shared" si="1"/>
        <v>-79.2</v>
      </c>
      <c r="N12" s="9">
        <f t="shared" si="1"/>
        <v>-79.2</v>
      </c>
      <c r="O12" s="9">
        <f t="shared" si="1"/>
        <v>-79.2</v>
      </c>
      <c r="P12" s="9">
        <f t="shared" si="1"/>
        <v>-79.2</v>
      </c>
      <c r="Q12" s="9">
        <f t="shared" si="1"/>
        <v>-79.2</v>
      </c>
      <c r="R12" s="9">
        <f t="shared" si="1"/>
        <v>-79.2</v>
      </c>
      <c r="S12" s="9">
        <f t="shared" si="1"/>
        <v>-79.2</v>
      </c>
      <c r="T12" s="9">
        <f t="shared" si="1"/>
        <v>-79.2</v>
      </c>
      <c r="U12" s="9">
        <f t="shared" si="1"/>
        <v>-79.2</v>
      </c>
      <c r="V12" s="9">
        <f t="shared" si="1"/>
        <v>-79.2</v>
      </c>
      <c r="W12" s="9">
        <f t="shared" si="1"/>
        <v>-79.2</v>
      </c>
      <c r="X12" s="9">
        <f t="shared" si="1"/>
        <v>-79.2</v>
      </c>
      <c r="Y12" s="9">
        <f t="shared" si="1"/>
        <v>-79.2</v>
      </c>
      <c r="Z12" s="9">
        <f t="shared" si="1"/>
        <v>-79.2</v>
      </c>
      <c r="AA12" s="9">
        <f t="shared" si="1"/>
        <v>-79.2</v>
      </c>
      <c r="AB12" s="9">
        <f t="shared" si="1"/>
        <v>-79.2</v>
      </c>
      <c r="AC12" s="9">
        <f t="shared" si="1"/>
        <v>-79.2</v>
      </c>
      <c r="AD12" s="9">
        <f t="shared" si="1"/>
        <v>-79.2</v>
      </c>
      <c r="AE12" s="9">
        <f t="shared" si="1"/>
        <v>-79.2</v>
      </c>
      <c r="AF12" s="9">
        <f t="shared" si="1"/>
        <v>-79.2</v>
      </c>
      <c r="AG12" s="9">
        <f t="shared" si="1"/>
        <v>-237.6</v>
      </c>
      <c r="AH12" s="9">
        <f t="shared" si="1"/>
        <v>-237.6</v>
      </c>
      <c r="AI12" s="9">
        <f t="shared" si="1"/>
        <v>-237.6</v>
      </c>
      <c r="AJ12" s="9">
        <f t="shared" si="1"/>
        <v>-237.6</v>
      </c>
      <c r="AK12" s="9">
        <f t="shared" si="1"/>
        <v>-237.6</v>
      </c>
      <c r="AL12" s="9">
        <f t="shared" si="1"/>
        <v>-237.6</v>
      </c>
      <c r="AM12" s="9">
        <f t="shared" si="1"/>
        <v>-237.6</v>
      </c>
      <c r="AN12" s="9">
        <f t="shared" si="1"/>
        <v>-237.6</v>
      </c>
      <c r="AO12" s="9">
        <f t="shared" si="1"/>
        <v>-237.6</v>
      </c>
      <c r="AP12" s="9">
        <f t="shared" si="1"/>
        <v>-237.6</v>
      </c>
      <c r="AQ12" s="9">
        <f t="shared" si="1"/>
        <v>-237.6</v>
      </c>
      <c r="AR12" s="9">
        <f t="shared" si="1"/>
        <v>-237.6</v>
      </c>
    </row>
    <row r="14" spans="1:44" x14ac:dyDescent="0.3">
      <c r="A14" s="4" t="s">
        <v>764</v>
      </c>
      <c r="C14" s="9">
        <f t="shared" ref="C14:AR14" si="2">C8+C12</f>
        <v>-4405.56002920231</v>
      </c>
      <c r="D14" s="9">
        <f t="shared" si="2"/>
        <v>-3138.244253441756</v>
      </c>
      <c r="E14" s="9">
        <f t="shared" si="2"/>
        <v>-3244.0215582611509</v>
      </c>
      <c r="F14" s="9">
        <f t="shared" si="2"/>
        <v>-3164.6732231488049</v>
      </c>
      <c r="G14" s="9">
        <f t="shared" si="2"/>
        <v>-3164.5305502536989</v>
      </c>
      <c r="H14" s="9">
        <f t="shared" si="2"/>
        <v>-3164.4076986025766</v>
      </c>
      <c r="I14" s="9">
        <f t="shared" si="2"/>
        <v>-2814.7526211163558</v>
      </c>
      <c r="J14" s="9">
        <f t="shared" si="2"/>
        <v>-2764.6205995321006</v>
      </c>
      <c r="K14" s="9">
        <f t="shared" si="2"/>
        <v>-2685.0857854658698</v>
      </c>
      <c r="L14" s="9">
        <f t="shared" si="2"/>
        <v>-2684.7526634242586</v>
      </c>
      <c r="M14" s="9">
        <f t="shared" si="2"/>
        <v>-2065.6889845105675</v>
      </c>
      <c r="N14" s="9">
        <f t="shared" si="2"/>
        <v>-2045.5913921336971</v>
      </c>
      <c r="O14" s="9">
        <f t="shared" si="2"/>
        <v>-1920.1150143115835</v>
      </c>
      <c r="P14" s="9">
        <f t="shared" si="2"/>
        <v>-1871.7640264496558</v>
      </c>
      <c r="Q14" s="9">
        <f t="shared" si="2"/>
        <v>-1824.1519575173154</v>
      </c>
      <c r="R14" s="9">
        <f t="shared" si="2"/>
        <v>-1880.6877614098205</v>
      </c>
      <c r="S14" s="9">
        <f t="shared" si="2"/>
        <v>630.87062710927853</v>
      </c>
      <c r="T14" s="9">
        <f t="shared" si="2"/>
        <v>1060.8074854009535</v>
      </c>
      <c r="U14" s="9">
        <f t="shared" si="2"/>
        <v>577.34914877453002</v>
      </c>
      <c r="V14" s="9">
        <f t="shared" si="2"/>
        <v>983.11194950970389</v>
      </c>
      <c r="W14" s="9">
        <f t="shared" si="2"/>
        <v>951.31724228866665</v>
      </c>
      <c r="X14" s="9">
        <f t="shared" si="2"/>
        <v>1071.1774183044015</v>
      </c>
      <c r="Y14" s="9">
        <f t="shared" si="2"/>
        <v>1131.1609102511047</v>
      </c>
      <c r="Z14" s="9">
        <f t="shared" si="2"/>
        <v>1103.7248079064339</v>
      </c>
      <c r="AA14" s="9">
        <f t="shared" si="2"/>
        <v>1227.5863121652324</v>
      </c>
      <c r="AB14" s="9">
        <f t="shared" si="2"/>
        <v>1201.9338243550658</v>
      </c>
      <c r="AC14" s="9">
        <f t="shared" si="2"/>
        <v>1349.8307240816694</v>
      </c>
      <c r="AD14" s="9">
        <f t="shared" si="2"/>
        <v>1416.0231648123377</v>
      </c>
      <c r="AE14" s="9">
        <f t="shared" si="2"/>
        <v>1394.0285597966874</v>
      </c>
      <c r="AF14" s="9">
        <f t="shared" si="2"/>
        <v>1522.4755634229293</v>
      </c>
      <c r="AG14" s="9">
        <f t="shared" si="2"/>
        <v>2532.1873696994808</v>
      </c>
      <c r="AH14" s="9">
        <f t="shared" si="2"/>
        <v>4615.0569021568062</v>
      </c>
      <c r="AI14" s="9">
        <f t="shared" si="2"/>
        <v>5115.0380807063175</v>
      </c>
      <c r="AJ14" s="9">
        <f t="shared" si="2"/>
        <v>5584.9544317857526</v>
      </c>
      <c r="AK14" s="9">
        <f t="shared" si="2"/>
        <v>4965.1241664995314</v>
      </c>
      <c r="AL14" s="9">
        <f t="shared" si="2"/>
        <v>5744.0277520953969</v>
      </c>
      <c r="AM14" s="9">
        <f t="shared" si="2"/>
        <v>6085.6671476082893</v>
      </c>
      <c r="AN14" s="9">
        <f t="shared" si="2"/>
        <v>6372.3534512781835</v>
      </c>
      <c r="AO14" s="9">
        <f t="shared" si="2"/>
        <v>5628.9699243121922</v>
      </c>
      <c r="AP14" s="9">
        <f t="shared" si="2"/>
        <v>6331.4576389129807</v>
      </c>
      <c r="AQ14" s="9">
        <f t="shared" si="2"/>
        <v>6411.866674322333</v>
      </c>
      <c r="AR14" s="9">
        <f t="shared" si="2"/>
        <v>6671.0571088695469</v>
      </c>
    </row>
    <row r="15" spans="1:44" x14ac:dyDescent="0.3">
      <c r="A15" s="4" t="s">
        <v>765</v>
      </c>
      <c r="C15" s="10">
        <f>C14</f>
        <v>-4405.56002920231</v>
      </c>
      <c r="D15" s="10">
        <f t="shared" ref="D15:AR15" si="3">C15+D14</f>
        <v>-7543.804282644066</v>
      </c>
      <c r="E15" s="10">
        <f t="shared" si="3"/>
        <v>-10787.825840905218</v>
      </c>
      <c r="F15" s="10">
        <f t="shared" si="3"/>
        <v>-13952.499064054024</v>
      </c>
      <c r="G15" s="10">
        <f t="shared" si="3"/>
        <v>-17117.029614307721</v>
      </c>
      <c r="H15" s="10">
        <f t="shared" si="3"/>
        <v>-20281.437312910297</v>
      </c>
      <c r="I15" s="10">
        <f t="shared" si="3"/>
        <v>-23096.189934026654</v>
      </c>
      <c r="J15" s="10">
        <f t="shared" si="3"/>
        <v>-25860.810533558753</v>
      </c>
      <c r="K15" s="10">
        <f t="shared" si="3"/>
        <v>-28545.896319024621</v>
      </c>
      <c r="L15" s="10">
        <f t="shared" si="3"/>
        <v>-31230.648982448882</v>
      </c>
      <c r="M15" s="10">
        <f t="shared" si="3"/>
        <v>-33296.337966959451</v>
      </c>
      <c r="N15" s="10">
        <f t="shared" si="3"/>
        <v>-35341.929359093148</v>
      </c>
      <c r="O15" s="10">
        <f t="shared" si="3"/>
        <v>-37262.044373404729</v>
      </c>
      <c r="P15" s="10">
        <f t="shared" si="3"/>
        <v>-39133.808399854388</v>
      </c>
      <c r="Q15" s="10">
        <f t="shared" si="3"/>
        <v>-40957.960357371703</v>
      </c>
      <c r="R15" s="10">
        <f t="shared" si="3"/>
        <v>-42838.648118781522</v>
      </c>
      <c r="S15" s="10">
        <f t="shared" si="3"/>
        <v>-42207.777491672241</v>
      </c>
      <c r="T15" s="10">
        <f t="shared" si="3"/>
        <v>-41146.970006271287</v>
      </c>
      <c r="U15" s="10">
        <f t="shared" si="3"/>
        <v>-40569.62085749676</v>
      </c>
      <c r="V15" s="10">
        <f t="shared" si="3"/>
        <v>-39586.50890798706</v>
      </c>
      <c r="W15" s="10">
        <f t="shared" si="3"/>
        <v>-38635.191665698396</v>
      </c>
      <c r="X15" s="10">
        <f t="shared" si="3"/>
        <v>-37564.014247393992</v>
      </c>
      <c r="Y15" s="10">
        <f t="shared" si="3"/>
        <v>-36432.853337142886</v>
      </c>
      <c r="Z15" s="10">
        <f t="shared" si="3"/>
        <v>-35329.128529236448</v>
      </c>
      <c r="AA15" s="10">
        <f t="shared" si="3"/>
        <v>-34101.542217071219</v>
      </c>
      <c r="AB15" s="10">
        <f t="shared" si="3"/>
        <v>-32899.608392716153</v>
      </c>
      <c r="AC15" s="10">
        <f t="shared" si="3"/>
        <v>-31549.777668634484</v>
      </c>
      <c r="AD15" s="10">
        <f t="shared" si="3"/>
        <v>-30133.754503822147</v>
      </c>
      <c r="AE15" s="10">
        <f t="shared" si="3"/>
        <v>-28739.72594402546</v>
      </c>
      <c r="AF15" s="10">
        <f t="shared" si="3"/>
        <v>-27217.250380602531</v>
      </c>
      <c r="AG15" s="10">
        <f t="shared" si="3"/>
        <v>-24685.06301090305</v>
      </c>
      <c r="AH15" s="10">
        <f t="shared" si="3"/>
        <v>-20070.006108746245</v>
      </c>
      <c r="AI15" s="10">
        <f t="shared" si="3"/>
        <v>-14954.968028039928</v>
      </c>
      <c r="AJ15" s="10">
        <f t="shared" si="3"/>
        <v>-9370.0135962541754</v>
      </c>
      <c r="AK15" s="10">
        <f t="shared" si="3"/>
        <v>-4404.889429754644</v>
      </c>
      <c r="AL15" s="10">
        <f t="shared" si="3"/>
        <v>1339.1383223407529</v>
      </c>
      <c r="AM15" s="10">
        <f t="shared" si="3"/>
        <v>7424.8054699490422</v>
      </c>
      <c r="AN15" s="10">
        <f t="shared" si="3"/>
        <v>13797.158921227227</v>
      </c>
      <c r="AO15" s="10">
        <f t="shared" si="3"/>
        <v>19426.128845539417</v>
      </c>
      <c r="AP15" s="10">
        <f t="shared" si="3"/>
        <v>25757.586484452397</v>
      </c>
      <c r="AQ15" s="10">
        <f t="shared" si="3"/>
        <v>32169.45315877473</v>
      </c>
      <c r="AR15" s="10">
        <f t="shared" si="3"/>
        <v>38840.510267644277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B18"/>
  <sheetViews>
    <sheetView workbookViewId="0">
      <selection activeCell="B16" sqref="B16"/>
    </sheetView>
  </sheetViews>
  <sheetFormatPr defaultRowHeight="14.4" x14ac:dyDescent="0.3"/>
  <cols>
    <col min="1" max="1" width="38" style="52" customWidth="1"/>
    <col min="2" max="2" width="18" style="52" customWidth="1"/>
  </cols>
  <sheetData>
    <row r="1" spans="1:2" x14ac:dyDescent="0.3">
      <c r="A1" s="25" t="s">
        <v>766</v>
      </c>
    </row>
    <row r="3" spans="1:2" x14ac:dyDescent="0.3">
      <c r="A3" s="25" t="s">
        <v>767</v>
      </c>
    </row>
    <row r="4" spans="1:2" x14ac:dyDescent="0.3">
      <c r="A4" s="3" t="s">
        <v>444</v>
      </c>
      <c r="B4" s="3" t="s">
        <v>768</v>
      </c>
    </row>
    <row r="5" spans="1:2" x14ac:dyDescent="0.3">
      <c r="A5" s="4" t="s">
        <v>769</v>
      </c>
      <c r="B5" s="10">
        <f>SUM('Cash Flow'!C14:H14)</f>
        <v>-20281.437312910297</v>
      </c>
    </row>
    <row r="6" spans="1:2" x14ac:dyDescent="0.3">
      <c r="A6" s="4" t="s">
        <v>770</v>
      </c>
      <c r="B6" s="10">
        <f>SUM('Cash Flow'!I14:T14)</f>
        <v>-20865.53269336099</v>
      </c>
    </row>
    <row r="7" spans="1:2" x14ac:dyDescent="0.3">
      <c r="A7" s="4" t="s">
        <v>771</v>
      </c>
      <c r="B7" s="10">
        <f>SUM('Cash Flow'!U14:AF14)</f>
        <v>13929.719625668764</v>
      </c>
    </row>
    <row r="8" spans="1:2" x14ac:dyDescent="0.3">
      <c r="A8" s="4" t="s">
        <v>772</v>
      </c>
      <c r="B8" s="10">
        <f>SUM('Cash Flow'!AG14:AJ14)</f>
        <v>17847.236784348359</v>
      </c>
    </row>
    <row r="9" spans="1:2" x14ac:dyDescent="0.3">
      <c r="A9" s="4" t="s">
        <v>773</v>
      </c>
      <c r="B9" s="10">
        <f>SUM('Cash Flow'!AK14:AN14)</f>
        <v>23167.172517481402</v>
      </c>
    </row>
    <row r="10" spans="1:2" x14ac:dyDescent="0.3">
      <c r="A10" s="4" t="s">
        <v>774</v>
      </c>
      <c r="B10" s="10">
        <f>SUM('Cash Flow'!AO14:AR14)</f>
        <v>25043.351346417054</v>
      </c>
    </row>
    <row r="12" spans="1:2" x14ac:dyDescent="0.3">
      <c r="A12" s="25" t="s">
        <v>775</v>
      </c>
    </row>
    <row r="13" spans="1:2" x14ac:dyDescent="0.3">
      <c r="A13" s="4" t="s">
        <v>315</v>
      </c>
      <c r="B13" s="10">
        <f>NPV(discount_rate,B6:B10)+B5</f>
        <v>9539.2161279607935</v>
      </c>
    </row>
    <row r="14" spans="1:2" x14ac:dyDescent="0.3">
      <c r="A14" s="4" t="s">
        <v>318</v>
      </c>
      <c r="B14" s="17">
        <f>IFERROR(IRR(B5:B10),"N/A")</f>
        <v>0.23616640466396954</v>
      </c>
    </row>
    <row r="15" spans="1:2" x14ac:dyDescent="0.3">
      <c r="A15" s="4" t="s">
        <v>776</v>
      </c>
      <c r="B15" s="10">
        <f>-MIN('Cash Flow'!C15:'Cash Flow'!AR15)</f>
        <v>42838.648118781522</v>
      </c>
    </row>
    <row r="16" spans="1:2" x14ac:dyDescent="0.3">
      <c r="A16" s="4" t="s">
        <v>323</v>
      </c>
      <c r="B16" s="17">
        <f>IF(B15=0,0,('Cash Flow'!AR15+B15)/B15)</f>
        <v>1.9066698407463432</v>
      </c>
    </row>
    <row r="17" spans="1:2" x14ac:dyDescent="0.3">
      <c r="A17" s="4" t="s">
        <v>777</v>
      </c>
      <c r="B17" s="17">
        <f>cit_rate</f>
        <v>0.2</v>
      </c>
    </row>
    <row r="18" spans="1:2" x14ac:dyDescent="0.3">
      <c r="A18" s="4" t="s">
        <v>321</v>
      </c>
      <c r="B18" s="17">
        <f>discount_rate</f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66"/>
  </sheetPr>
  <dimension ref="A1:K62"/>
  <sheetViews>
    <sheetView tabSelected="1" workbookViewId="0">
      <selection activeCell="A5" sqref="A5"/>
    </sheetView>
  </sheetViews>
  <sheetFormatPr defaultRowHeight="14.4" x14ac:dyDescent="0.3"/>
  <cols>
    <col min="1" max="1" width="38" style="52" customWidth="1"/>
    <col min="2" max="11" width="14" style="52" customWidth="1"/>
  </cols>
  <sheetData>
    <row r="1" spans="1:9" ht="18" customHeight="1" x14ac:dyDescent="0.35">
      <c r="A1" s="76" t="s">
        <v>778</v>
      </c>
      <c r="B1" s="68"/>
      <c r="C1" s="68"/>
      <c r="D1" s="68"/>
      <c r="E1" s="68"/>
      <c r="F1" s="68"/>
      <c r="G1" s="68"/>
      <c r="H1" s="68"/>
      <c r="I1" s="68"/>
    </row>
    <row r="3" spans="1:9" x14ac:dyDescent="0.3">
      <c r="A3" s="77" t="s">
        <v>779</v>
      </c>
      <c r="B3" s="73"/>
      <c r="C3" s="73"/>
      <c r="D3" s="73"/>
      <c r="E3" s="73"/>
      <c r="F3" s="73"/>
      <c r="G3" s="73"/>
      <c r="H3" s="73"/>
      <c r="I3" s="74"/>
    </row>
    <row r="4" spans="1:9" x14ac:dyDescent="0.3">
      <c r="A4" s="41" t="s">
        <v>439</v>
      </c>
      <c r="B4" s="41" t="s">
        <v>780</v>
      </c>
      <c r="C4" s="41" t="s">
        <v>781</v>
      </c>
      <c r="D4" s="41" t="s">
        <v>782</v>
      </c>
      <c r="E4" s="41" t="s">
        <v>783</v>
      </c>
      <c r="F4" s="41" t="s">
        <v>784</v>
      </c>
      <c r="G4" s="41" t="s">
        <v>785</v>
      </c>
      <c r="H4" s="41" t="s">
        <v>786</v>
      </c>
    </row>
    <row r="5" spans="1:9" x14ac:dyDescent="0.3">
      <c r="A5" s="36" t="s">
        <v>787</v>
      </c>
      <c r="B5" s="42">
        <f>((((adoption_max*0.7/(1+EXP(-adoption_steepness*(2028-adoption_midpoint)))*(1-churn_rate))*(cert_fee_yr1*(1+cert_fee_escalation)^2.5+training_pct*training_fee+audit_fee)*5)+(IF((adoption_max*0.7/(1+EXP(-adoption_steepness*(2028-adoption_midpoint)))*(1-churn_rate))&gt;=stage2_gate,ecom_market_base*(1+ecom_growth_rate)^4*platform_market_share*tx_take_rate*1000*3,0))-((IF((adoption_max*0.7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0.7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8811.5280204102</v>
      </c>
      <c r="C5" s="42">
        <f>((((adoption_max*0.85/(1+EXP(-adoption_steepness*(2028-adoption_midpoint)))*(1-churn_rate))*(cert_fee_yr1*(1+cert_fee_escalation)^2.5+training_pct*training_fee+audit_fee)*5)+(IF((adoption_max*0.85/(1+EXP(-adoption_steepness*(2028-adoption_midpoint)))*(1-churn_rate))&gt;=stage2_gate,ecom_market_base*(1+ecom_growth_rate)^4*platform_market_share*tx_take_rate*1000*3,0))-((IF((adoption_max*0.85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0.85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17296.475306421809</v>
      </c>
      <c r="D5" s="43">
        <f>((((adoption_max*1/(1+EXP(-adoption_steepness*(2028-adoption_midpoint)))*(1-churn_rate))*(cert_fee_yr1*(1+cert_fee_escalation)^2.5+training_pct*training_fee+audit_fee)*5)+(IF((adoption_max*1/(1+EXP(-adoption_steepness*(2028-adoption_midpoint)))*(1-churn_rate))&gt;=stage2_gate,ecom_market_base*(1+ecom_growth_rate)^4*platform_market_share*tx_take_rate*1000*3,0))-((IF((adoption_max*1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5" s="44">
        <f>((((adoption_max*1.15/(1+EXP(-adoption_steepness*(2028-adoption_midpoint)))*(1-churn_rate))*(cert_fee_yr1*(1+cert_fee_escalation)^2.5+training_pct*training_fee+audit_fee)*5)+(IF((adoption_max*1.15/(1+EXP(-adoption_steepness*(2028-adoption_midpoint)))*(1-churn_rate))&gt;=stage2_gate,ecom_market_base*(1+ecom_growth_rate)^4*platform_market_share*tx_take_rate*1000*3,0))-((IF((adoption_max*1.15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1.15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34266.369878445061</v>
      </c>
      <c r="F5" s="44">
        <f>((((adoption_max*1.3/(1+EXP(-adoption_steepness*(2028-adoption_midpoint)))*(1-churn_rate))*(cert_fee_yr1*(1+cert_fee_escalation)^2.5+training_pct*training_fee+audit_fee)*5)+(IF((adoption_max*1.3/(1+EXP(-adoption_steepness*(2028-adoption_midpoint)))*(1-churn_rate))&gt;=stage2_gate,ecom_market_base*(1+ecom_growth_rate)^4*platform_market_share*tx_take_rate*1000*3,0))-((IF((adoption_max*1.3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*1.3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42751.31716445669</v>
      </c>
      <c r="G5" s="45">
        <f>adoption_max</f>
        <v>1200</v>
      </c>
      <c r="H5" s="46" t="s">
        <v>788</v>
      </c>
    </row>
    <row r="6" spans="1:9" x14ac:dyDescent="0.3">
      <c r="A6" s="36" t="s">
        <v>789</v>
      </c>
      <c r="B6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0.7*tx_take_rate*1000*3,0))-((IF((adoption_max/(1+EXP(-adoption_steepness*(2028-adoption_midpoint)))*(1-churn_rate))&gt;=stage2_gate,ecom_market_base*(1+ecom_growth_rate)^4*platform_market_share*0.7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3558.484671909664</v>
      </c>
      <c r="C6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0.85*tx_take_rate*1000*3,0))-((IF((adoption_max/(1+EXP(-adoption_steepness*(2028-adoption_midpoint)))*(1-churn_rate))&gt;=stage2_gate,ecom_market_base*(1+ecom_growth_rate)^4*platform_market_share*0.85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14669.953632171542</v>
      </c>
      <c r="D6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*tx_take_rate*1000*3,0))-((IF((adoption_max/(1+EXP(-adoption_steepness*(2028-adoption_midpoint)))*(1-churn_rate))&gt;=stage2_gate,ecom_market_base*(1+ecom_growth_rate)^4*platform_market_share*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6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1.15*tx_take_rate*1000*3,0))-((IF((adoption_max/(1+EXP(-adoption_steepness*(2028-adoption_midpoint)))*(1-churn_rate))&gt;=stage2_gate,ecom_market_base*(1+ecom_growth_rate)^4*platform_market_share*1.15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36892.891552695313</v>
      </c>
      <c r="F6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1.3*tx_take_rate*1000*3,0))-((IF((adoption_max/(1+EXP(-adoption_steepness*(2028-adoption_midpoint)))*(1-churn_rate))&gt;=stage2_gate,ecom_market_base*(1+ecom_growth_rate)^4*platform_market_share*1.3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48004.360512957195</v>
      </c>
      <c r="G6" s="45">
        <f>platform_market_share</f>
        <v>0.02</v>
      </c>
      <c r="H6" s="46" t="s">
        <v>790</v>
      </c>
    </row>
    <row r="7" spans="1:9" x14ac:dyDescent="0.3">
      <c r="A7" s="36" t="s">
        <v>791</v>
      </c>
      <c r="B7" s="42">
        <f>((((adoption_max/(1+EXP(-adoption_steepness*(2028-adoption_midpoint)))*(1-churn_rate*0.7))*(cert_fee_yr1*(1+cert_fee_escalation)^2.5+training_pct*training_fee+audit_fee)*5)+(IF((adoption_max/(1+EXP(-adoption_steepness*(2028-adoption_midpoint)))*(1-churn_rate*0.7))&gt;=stage2_gate,ecom_market_base*(1+ecom_growth_rate)^4*platform_market_share*tx_take_rate*1000*3,0))-((IF((adoption_max/(1+EXP(-adoption_steepness*(2028-adoption_midpoint)))*(1-churn_rate*0.7)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0.7))*vcr_per_enterprise*12*cloud_per_1M_vcr/1000000*5)+((opex_branding+opex_external+opex_legal+opex_security+opex_partner_mgmt)*5)+(capex_total*capex_maintenance_pct*4)))*(1-cit_rate))/(1+discount_rate)^2.5</f>
        <v>30023.896235439268</v>
      </c>
      <c r="C7" s="42">
        <f>((((adoption_max/(1+EXP(-adoption_steepness*(2028-adoption_midpoint)))*(1-churn_rate*0.85))*(cert_fee_yr1*(1+cert_fee_escalation)^2.5+training_pct*training_fee+audit_fee)*5)+(IF((adoption_max/(1+EXP(-adoption_steepness*(2028-adoption_midpoint)))*(1-churn_rate*0.85))&gt;=stage2_gate,ecom_market_base*(1+ecom_growth_rate)^4*platform_market_share*tx_take_rate*1000*3,0))-((IF((adoption_max/(1+EXP(-adoption_steepness*(2028-adoption_midpoint)))*(1-churn_rate*0.85)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0.85))*vcr_per_enterprise*12*cloud_per_1M_vcr/1000000*5)+((opex_branding+opex_external+opex_legal+opex_security+opex_partner_mgmt)*5)+(capex_total*capex_maintenance_pct*4)))*(1-cit_rate))/(1+discount_rate)^2.5</f>
        <v>27902.659413936351</v>
      </c>
      <c r="D7" s="43">
        <f>((((adoption_max/(1+EXP(-adoption_steepness*(2028-adoption_midpoint)))*(1-churn_rate*1))*(cert_fee_yr1*(1+cert_fee_escalation)^2.5+training_pct*training_fee+audit_fee)*5)+(IF((adoption_max/(1+EXP(-adoption_steepness*(2028-adoption_midpoint)))*(1-churn_rate*1))&gt;=stage2_gate,ecom_market_base*(1+ecom_growth_rate)^4*platform_market_share*tx_take_rate*1000*3,0))-((IF((adoption_max/(1+EXP(-adoption_steepness*(2028-adoption_midpoint)))*(1-churn_rate*1)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1))*vcr_per_enterprise*12*cloud_per_1M_vcr/1000000*5)+((opex_branding+opex_external+opex_legal+opex_security+opex_partner_mgmt)*5)+(capex_total*capex_maintenance_pct*4)))*(1-cit_rate))/(1+discount_rate)^2.5</f>
        <v>25781.422592433435</v>
      </c>
      <c r="E7" s="44">
        <f>((((adoption_max/(1+EXP(-adoption_steepness*(2028-adoption_midpoint)))*(1-churn_rate*1.15))*(cert_fee_yr1*(1+cert_fee_escalation)^2.5+training_pct*training_fee+audit_fee)*5)+(IF((adoption_max/(1+EXP(-adoption_steepness*(2028-adoption_midpoint)))*(1-churn_rate*1.15))&gt;=stage2_gate,ecom_market_base*(1+ecom_growth_rate)^4*platform_market_share*tx_take_rate*1000*3,0))-((IF((adoption_max/(1+EXP(-adoption_steepness*(2028-adoption_midpoint)))*(1-churn_rate*1.15)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1.15))*vcr_per_enterprise*12*cloud_per_1M_vcr/1000000*5)+((opex_branding+opex_external+opex_legal+opex_security+opex_partner_mgmt)*5)+(capex_total*capex_maintenance_pct*4)))*(1-cit_rate))/(1+discount_rate)^2.5</f>
        <v>23660.18577093054</v>
      </c>
      <c r="F7" s="44">
        <f>((((adoption_max/(1+EXP(-adoption_steepness*(2028-adoption_midpoint)))*(1-churn_rate*1.3))*(cert_fee_yr1*(1+cert_fee_escalation)^2.5+training_pct*training_fee+audit_fee)*5)+(IF((adoption_max/(1+EXP(-adoption_steepness*(2028-adoption_midpoint)))*(1-churn_rate*1.3))&gt;=stage2_gate,ecom_market_base*(1+ecom_growth_rate)^4*platform_market_share*tx_take_rate*1000*3,0))-((IF((adoption_max/(1+EXP(-adoption_steepness*(2028-adoption_midpoint)))*(1-churn_rate*1.3)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*1.3))*vcr_per_enterprise*12*cloud_per_1M_vcr/1000000*5)+((opex_branding+opex_external+opex_legal+opex_security+opex_partner_mgmt)*5)+(capex_total*capex_maintenance_pct*4)))*(1-cit_rate))/(1+discount_rate)^2.5</f>
        <v>21538.948949427624</v>
      </c>
      <c r="G7" s="45">
        <f>churn_rate</f>
        <v>0.2</v>
      </c>
      <c r="H7" s="46" t="s">
        <v>792</v>
      </c>
    </row>
    <row r="8" spans="1:9" x14ac:dyDescent="0.3">
      <c r="A8" s="36" t="s">
        <v>793</v>
      </c>
      <c r="B8" s="42">
        <f>((((adoption_max/(1+EXP(-adoption_steepness*(2028-adoption_midpoint)))*(1-churn_rate))*(cert_fee_yr1*0.7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14310.690439811735</v>
      </c>
      <c r="C8" s="42">
        <f>((((adoption_max/(1+EXP(-adoption_steepness*(2028-adoption_midpoint)))*(1-churn_rate))*(cert_fee_yr1*0.85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20046.056516122579</v>
      </c>
      <c r="D8" s="43">
        <f>((((adoption_max/(1+EXP(-adoption_steepness*(2028-adoption_midpoint)))*(1-churn_rate))*(cert_fee_yr1*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8" s="44">
        <f>((((adoption_max/(1+EXP(-adoption_steepness*(2028-adoption_midpoint)))*(1-churn_rate))*(cert_fee_yr1*1.15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31516.788668744277</v>
      </c>
      <c r="F8" s="44">
        <f>((((adoption_max/(1+EXP(-adoption_steepness*(2028-adoption_midpoint)))*(1-churn_rate))*(cert_fee_yr1*1.3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37252.154745055159</v>
      </c>
      <c r="G8" s="45">
        <f>cert_fee_yr1</f>
        <v>25</v>
      </c>
      <c r="H8" s="46" t="s">
        <v>794</v>
      </c>
    </row>
    <row r="9" spans="1:9" x14ac:dyDescent="0.3">
      <c r="A9" s="36" t="s">
        <v>795</v>
      </c>
      <c r="B9" s="42">
        <f>((((adoption_max/(1+EXP(-adoption_steepness*(2028-adoption_midpoint)))*(1-churn_rate))*(cert_fee_yr1*(1+cert_fee_escalation*0.7)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24430.455378565028</v>
      </c>
      <c r="C9" s="42">
        <f>((((adoption_max/(1+EXP(-adoption_steepness*(2028-adoption_midpoint)))*(1-churn_rate))*(cert_fee_yr1*(1+cert_fee_escalation*0.85)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25102.294317288139</v>
      </c>
      <c r="D9" s="43">
        <f>((((adoption_max/(1+EXP(-adoption_steepness*(2028-adoption_midpoint)))*(1-churn_rate))*(cert_fee_yr1*(1+cert_fee_escalation*1)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9" s="44">
        <f>((((adoption_max/(1+EXP(-adoption_steepness*(2028-adoption_midpoint)))*(1-churn_rate))*(cert_fee_yr1*(1+cert_fee_escalation*1.15)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26467.866377757335</v>
      </c>
      <c r="F9" s="44">
        <f>((((adoption_max/(1+EXP(-adoption_steepness*(2028-adoption_midpoint)))*(1-churn_rate))*(cert_fee_yr1*(1+cert_fee_escalation*1.3)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27161.651753702987</v>
      </c>
      <c r="G9" s="45">
        <f>cert_fee_escalation</f>
        <v>0.05</v>
      </c>
      <c r="H9" s="46" t="s">
        <v>796</v>
      </c>
    </row>
    <row r="10" spans="1:9" x14ac:dyDescent="0.3">
      <c r="A10" s="36" t="s">
        <v>797</v>
      </c>
      <c r="B10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0.7)^2.5</f>
        <v>28486.938857291396</v>
      </c>
      <c r="C10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0.85)^2.5</f>
        <v>27086.94975270376</v>
      </c>
      <c r="D10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1)^2.5</f>
        <v>25781.422592433435</v>
      </c>
      <c r="E10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1.15)^2.5</f>
        <v>24562.318016365149</v>
      </c>
      <c r="F10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*1.3)^2.5</f>
        <v>23422.417357202547</v>
      </c>
      <c r="G10" s="45">
        <f>discount_rate</f>
        <v>0.15</v>
      </c>
      <c r="H10" s="46" t="s">
        <v>798</v>
      </c>
    </row>
    <row r="11" spans="1:9" x14ac:dyDescent="0.3">
      <c r="A11" s="36" t="s">
        <v>799</v>
      </c>
      <c r="B11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0.7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33614.462981652076</v>
      </c>
      <c r="C11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0.85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29697.942787042753</v>
      </c>
      <c r="D11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11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1.15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21864.902397824117</v>
      </c>
      <c r="F11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1.3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17948.382203214798</v>
      </c>
      <c r="G11" s="45">
        <f>opex_marketing</f>
        <v>7000</v>
      </c>
      <c r="H11" s="46" t="s">
        <v>800</v>
      </c>
    </row>
    <row r="12" spans="1:9" x14ac:dyDescent="0.3">
      <c r="A12" s="36" t="s">
        <v>801</v>
      </c>
      <c r="B12" s="42">
        <f>((((adoption_max/(1+EXP(-adoption_steepness*0.7*(2028-adoption_midpoint)))*(1-churn_rate))*(cert_fee_yr1*(1+cert_fee_escalation)^2.5+training_pct*training_fee+audit_fee)*5)+(IF((adoption_max/(1+EXP(-adoption_steepness*0.7*(2028-adoption_midpoint)))*(1-churn_rate))&gt;=stage2_gate,ecom_market_base*(1+ecom_growth_rate)^4*platform_market_share*tx_take_rate*1000*3,0))-((IF((adoption_max/(1+EXP(-adoption_steepness*0.7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0.7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C12" s="42">
        <f>((((adoption_max/(1+EXP(-adoption_steepness*0.85*(2028-adoption_midpoint)))*(1-churn_rate))*(cert_fee_yr1*(1+cert_fee_escalation)^2.5+training_pct*training_fee+audit_fee)*5)+(IF((adoption_max/(1+EXP(-adoption_steepness*0.85*(2028-adoption_midpoint)))*(1-churn_rate))&gt;=stage2_gate,ecom_market_base*(1+ecom_growth_rate)^4*platform_market_share*tx_take_rate*1000*3,0))-((IF((adoption_max/(1+EXP(-adoption_steepness*0.85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0.85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D12" s="43">
        <f>((((adoption_max/(1+EXP(-adoption_steepness*1*(2028-adoption_midpoint)))*(1-churn_rate))*(cert_fee_yr1*(1+cert_fee_escalation)^2.5+training_pct*training_fee+audit_fee)*5)+(IF((adoption_max/(1+EXP(-adoption_steepness*1*(2028-adoption_midpoint)))*(1-churn_rate))&gt;=stage2_gate,ecom_market_base*(1+ecom_growth_rate)^4*platform_market_share*tx_take_rate*1000*3,0))-((IF((adoption_max/(1+EXP(-adoption_steepness*1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12" s="44">
        <f>((((adoption_max/(1+EXP(-adoption_steepness*1.15*(2028-adoption_midpoint)))*(1-churn_rate))*(cert_fee_yr1*(1+cert_fee_escalation)^2.5+training_pct*training_fee+audit_fee)*5)+(IF((adoption_max/(1+EXP(-adoption_steepness*1.15*(2028-adoption_midpoint)))*(1-churn_rate))&gt;=stage2_gate,ecom_market_base*(1+ecom_growth_rate)^4*platform_market_share*tx_take_rate*1000*3,0))-((IF((adoption_max/(1+EXP(-adoption_steepness*1.15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1.15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F12" s="44">
        <f>((((adoption_max/(1+EXP(-adoption_steepness*1.3*(2028-adoption_midpoint)))*(1-churn_rate))*(cert_fee_yr1*(1+cert_fee_escalation)^2.5+training_pct*training_fee+audit_fee)*5)+(IF((adoption_max/(1+EXP(-adoption_steepness*1.3*(2028-adoption_midpoint)))*(1-churn_rate))&gt;=stage2_gate,ecom_market_base*(1+ecom_growth_rate)^4*platform_market_share*tx_take_rate*1000*3,0))-((IF((adoption_max/(1+EXP(-adoption_steepness*1.3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1.3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G12" s="45">
        <f>adoption_steepness</f>
        <v>0.9</v>
      </c>
      <c r="H12" s="46" t="s">
        <v>802</v>
      </c>
    </row>
    <row r="13" spans="1:9" x14ac:dyDescent="0.3">
      <c r="A13" s="36" t="s">
        <v>803</v>
      </c>
      <c r="B13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0.7,ecom_market_base*(1+ecom_growth_rate)^4*platform_market_share*tx_take_rate*1000*3,0))-((IF((adoption_max/(1+EXP(-adoption_steepness*(2028-adoption_midpoint)))*(1-churn_rate))&gt;=stage2_gate*0.7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C13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0.85,ecom_market_base*(1+ecom_growth_rate)^4*platform_market_share*tx_take_rate*1000*3,0))-((IF((adoption_max/(1+EXP(-adoption_steepness*(2028-adoption_midpoint)))*(1-churn_rate))&gt;=stage2_gate*0.85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D13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,ecom_market_base*(1+ecom_growth_rate)^4*platform_market_share*tx_take_rate*1000*3,0))-((IF((adoption_max/(1+EXP(-adoption_steepness*(2028-adoption_midpoint)))*(1-churn_rate))&gt;=stage2_gate*1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13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1.15,ecom_market_base*(1+ecom_growth_rate)^4*platform_market_share*tx_take_rate*1000*3,0))-((IF((adoption_max/(1+EXP(-adoption_steepness*(2028-adoption_midpoint)))*(1-churn_rate))&gt;=stage2_gate*1.15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F13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*1.3,ecom_market_base*(1+ecom_growth_rate)^4*platform_market_share*tx_take_rate*1000*3,0))-((IF((adoption_max/(1+EXP(-adoption_steepness*(2028-adoption_midpoint)))*(1-churn_rate))&gt;=stage2_gate*1.3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G13" s="45">
        <f>stage2_gate</f>
        <v>300</v>
      </c>
      <c r="H13" s="46" t="s">
        <v>804</v>
      </c>
    </row>
    <row r="14" spans="1:9" x14ac:dyDescent="0.3">
      <c r="A14" s="36" t="s">
        <v>805</v>
      </c>
      <c r="B14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0.7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28531.342253784835</v>
      </c>
      <c r="C14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0.85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27156.382423109135</v>
      </c>
      <c r="D14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14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1.15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24406.462761757735</v>
      </c>
      <c r="F14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1.3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23031.502931082036</v>
      </c>
      <c r="G14" s="45">
        <f>opex_cloud_base</f>
        <v>3250</v>
      </c>
      <c r="H14" s="46" t="s">
        <v>806</v>
      </c>
    </row>
    <row r="15" spans="1:9" x14ac:dyDescent="0.3">
      <c r="A15" s="36" t="s">
        <v>807</v>
      </c>
      <c r="B15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0.7)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28396.454040685367</v>
      </c>
      <c r="C15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0.85)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27088.938316559415</v>
      </c>
      <c r="D15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  <c r="E15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1.15)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24473.906868307491</v>
      </c>
      <c r="F15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*1.3)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23166.391144181525</v>
      </c>
      <c r="G15" s="45">
        <f>bhxh_rate</f>
        <v>0.215</v>
      </c>
      <c r="H15" s="46" t="s">
        <v>808</v>
      </c>
    </row>
    <row r="16" spans="1:9" x14ac:dyDescent="0.3">
      <c r="A16" s="36" t="s">
        <v>777</v>
      </c>
      <c r="B16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0.7))/(1+discount_rate)^2.5</f>
        <v>27715.029286865942</v>
      </c>
      <c r="C16" s="42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0.85))/(1+discount_rate)^2.5</f>
        <v>26748.225939649688</v>
      </c>
      <c r="D16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1))/(1+discount_rate)^2.5</f>
        <v>25781.422592433435</v>
      </c>
      <c r="E16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1.15))/(1+discount_rate)^2.5</f>
        <v>24814.619245217182</v>
      </c>
      <c r="F16" s="44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platform_market_share*tx_take_rate*1000*3,0))-((IF((adoption_max/(1+EXP(-adoption_steepness*(2028-adoption_midpoint)))*(1-churn_rate))&gt;=stage2_gate,ecom_market_base*(1+ecom_growth_rate)^4*platform_market_share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*1.3))/(1+discount_rate)^2.5</f>
        <v>23847.815898000928</v>
      </c>
      <c r="G16" s="45">
        <f>cit_rate</f>
        <v>0.2</v>
      </c>
      <c r="H16" s="46" t="s">
        <v>809</v>
      </c>
    </row>
    <row r="19" spans="1:9" x14ac:dyDescent="0.3">
      <c r="A19" s="77" t="s">
        <v>810</v>
      </c>
      <c r="B19" s="73"/>
      <c r="C19" s="73"/>
      <c r="D19" s="73"/>
      <c r="E19" s="73"/>
      <c r="F19" s="73"/>
      <c r="G19" s="73"/>
      <c r="H19" s="73"/>
      <c r="I19" s="74"/>
    </row>
    <row r="20" spans="1:9" x14ac:dyDescent="0.3">
      <c r="A20" s="41" t="s">
        <v>811</v>
      </c>
      <c r="B20" s="47">
        <v>1E-3</v>
      </c>
      <c r="C20" s="47">
        <v>3.0000000000000001E-3</v>
      </c>
      <c r="D20" s="47">
        <v>5.0000000000000001E-3</v>
      </c>
      <c r="E20" s="47">
        <v>8.0000000000000002E-3</v>
      </c>
      <c r="F20" s="47">
        <v>0.01</v>
      </c>
      <c r="G20" s="47">
        <v>1.4999999999999999E-2</v>
      </c>
      <c r="H20" s="47">
        <v>0.02</v>
      </c>
    </row>
    <row r="21" spans="1:9" x14ac:dyDescent="0.3">
      <c r="A21" s="48">
        <v>200</v>
      </c>
      <c r="B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0.001*tx_take_rate*1000*3,0))-((IF((200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C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0.003*tx_take_rate*1000*3,0))-((IF((200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D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0.005*tx_take_rate*1000*3,0))-((IF((200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E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0.008*tx_take_rate*1000*3,0))-((IF((200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F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0.01*tx_take_rate*1000*3,0))-((IF((200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G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0.015*tx_take_rate*1000*3,0))-((IF((200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  <c r="H21" s="49">
        <f>((((200/(1+EXP(-adoption_steepness*(2028-adoption_midpoint)))*(1-churn_rate))*(cert_fee_yr1*(1+cert_fee_escalation)^2.5+training_pct*training_fee+audit_fee)*5)+(IF((200/(1+EXP(-adoption_steepness*(2028-adoption_midpoint)))*(1-churn_rate))&gt;=stage2_gate,ecom_market_base*(1+ecom_growth_rate)^4*0.02*tx_take_rate*1000*3,0))-((IF((200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-95433.633176043761</v>
      </c>
    </row>
    <row r="22" spans="1:9" x14ac:dyDescent="0.3">
      <c r="A22" s="48">
        <v>400</v>
      </c>
      <c r="B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0.001*tx_take_rate*1000*3,0))-((IF((400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C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0.003*tx_take_rate*1000*3,0))-((IF((400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D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0.005*tx_take_rate*1000*3,0))-((IF((400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E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0.008*tx_take_rate*1000*3,0))-((IF((400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F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0.01*tx_take_rate*1000*3,0))-((IF((400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G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0.015*tx_take_rate*1000*3,0))-((IF((400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  <c r="H22" s="49">
        <f>((((400/(1+EXP(-adoption_steepness*(2028-adoption_midpoint)))*(1-churn_rate))*(cert_fee_yr1*(1+cert_fee_escalation)^2.5+training_pct*training_fee+audit_fee)*5)+(IF((400/(1+EXP(-adoption_steepness*(2028-adoption_midpoint)))*(1-churn_rate))&gt;=stage2_gate,ecom_market_base*(1+ecom_growth_rate)^4*0.02*tx_take_rate*1000*3,0))-((IF((400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(400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-86005.913969364163</v>
      </c>
    </row>
    <row r="23" spans="1:9" x14ac:dyDescent="0.3">
      <c r="A23" s="48">
        <v>600</v>
      </c>
      <c r="B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0.001*tx_take_rate*1000*3,0))-((IF((600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C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0.003*tx_take_rate*1000*3,0))-((IF((600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D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0.005*tx_take_rate*1000*3,0))-((IF((600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E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0.008*tx_take_rate*1000*3,0))-((IF((600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F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0.01*tx_take_rate*1000*3,0))-((IF((600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G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0.015*tx_take_rate*1000*3,0))-((IF((600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  <c r="H23" s="49">
        <f>((((600/(1+EXP(-adoption_steepness*(2028-adoption_midpoint)))*(1-churn_rate))*(cert_fee_yr1*(1+cert_fee_escalation)^2.5+training_pct*training_fee+audit_fee)*5)+(IF((600/(1+EXP(-adoption_steepness*(2028-adoption_midpoint)))*(1-churn_rate))&gt;=stage2_gate,ecom_market_base*(1+ecom_growth_rate)^4*0.02*tx_take_rate*1000*3,0))-((IF((600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(600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-76578.194762684579</v>
      </c>
    </row>
    <row r="24" spans="1:9" x14ac:dyDescent="0.3">
      <c r="A24" s="48">
        <v>800</v>
      </c>
      <c r="B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0.001*tx_take_rate*1000*3,0))-((IF((800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-63446.652569251026</v>
      </c>
      <c r="C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0.003*tx_take_rate*1000*3,0))-((IF((800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-56039.006595743107</v>
      </c>
      <c r="D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0.005*tx_take_rate*1000*3,0))-((IF((800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-48631.360622235181</v>
      </c>
      <c r="E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0.008*tx_take_rate*1000*3,0))-((IF((800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-37519.891661973292</v>
      </c>
      <c r="F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0.01*tx_take_rate*1000*3,0))-((IF((800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-30112.245688465373</v>
      </c>
      <c r="G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0.015*tx_take_rate*1000*3,0))-((IF((800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-11593.13075469554</v>
      </c>
      <c r="H24" s="49">
        <f>((((800/(1+EXP(-adoption_steepness*(2028-adoption_midpoint)))*(1-churn_rate))*(cert_fee_yr1*(1+cert_fee_escalation)^2.5+training_pct*training_fee+audit_fee)*5)+(IF((800/(1+EXP(-adoption_steepness*(2028-adoption_midpoint)))*(1-churn_rate))&gt;=stage2_gate,ecom_market_base*(1+ecom_growth_rate)^4*0.02*tx_take_rate*1000*3,0))-((IF((800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(800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6925.9841790742566</v>
      </c>
    </row>
    <row r="25" spans="1:9" x14ac:dyDescent="0.3">
      <c r="A25" s="48">
        <v>1000</v>
      </c>
      <c r="B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0.001*tx_take_rate*1000*3,0))-((IF((1000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-54018.933362571443</v>
      </c>
      <c r="C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0.003*tx_take_rate*1000*3,0))-((IF((1000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-46611.287389063516</v>
      </c>
      <c r="D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0.005*tx_take_rate*1000*3,0))-((IF((1000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-39203.641415555583</v>
      </c>
      <c r="E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0.008*tx_take_rate*1000*3,0))-((IF((1000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-28092.172455293708</v>
      </c>
      <c r="F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0.01*tx_take_rate*1000*3,0))-((IF((1000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-20684.526481785771</v>
      </c>
      <c r="G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0.015*tx_take_rate*1000*3,0))-((IF((1000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-2165.4115480159585</v>
      </c>
      <c r="H25" s="49">
        <f>((((1000/(1+EXP(-adoption_steepness*(2028-adoption_midpoint)))*(1-churn_rate))*(cert_fee_yr1*(1+cert_fee_escalation)^2.5+training_pct*training_fee+audit_fee)*5)+(IF((1000/(1+EXP(-adoption_steepness*(2028-adoption_midpoint)))*(1-churn_rate))&gt;=stage2_gate,ecom_market_base*(1+ecom_growth_rate)^4*0.02*tx_take_rate*1000*3,0))-((IF((1000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16353.703385753855</v>
      </c>
    </row>
    <row r="26" spans="1:9" x14ac:dyDescent="0.3">
      <c r="A26" s="48">
        <v>1200</v>
      </c>
      <c r="B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0.001*tx_take_rate*1000*3,0))-((IF((1200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-44591.214155891859</v>
      </c>
      <c r="C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0.003*tx_take_rate*1000*3,0))-((IF((1200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-37183.568182383933</v>
      </c>
      <c r="D26" s="43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0.005*tx_take_rate*1000*3,0))-((IF((1200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-29775.922208876003</v>
      </c>
      <c r="E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0.008*tx_take_rate*1000*3,0))-((IF((1200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-18664.453248614125</v>
      </c>
      <c r="F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0.01*tx_take_rate*1000*3,0))-((IF((1200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-11256.80727510619</v>
      </c>
      <c r="G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0.015*tx_take_rate*1000*3,0))-((IF((1200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7262.3076586636244</v>
      </c>
      <c r="H26" s="49">
        <f>((((1200/(1+EXP(-adoption_steepness*(2028-adoption_midpoint)))*(1-churn_rate))*(cert_fee_yr1*(1+cert_fee_escalation)^2.5+training_pct*training_fee+audit_fee)*5)+(IF((1200/(1+EXP(-adoption_steepness*(2028-adoption_midpoint)))*(1-churn_rate))&gt;=stage2_gate,ecom_market_base*(1+ecom_growth_rate)^4*0.02*tx_take_rate*1000*3,0))-((IF((1200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(1200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25781.422592433435</v>
      </c>
    </row>
    <row r="27" spans="1:9" x14ac:dyDescent="0.3">
      <c r="A27" s="48">
        <v>1500</v>
      </c>
      <c r="B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0.001*tx_take_rate*1000*3,0))-((IF((1500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-30449.63534587247</v>
      </c>
      <c r="C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0.003*tx_take_rate*1000*3,0))-((IF((1500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-23041.989372364551</v>
      </c>
      <c r="D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0.005*tx_take_rate*1000*3,0))-((IF((1500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-15634.34339885663</v>
      </c>
      <c r="E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0.008*tx_take_rate*1000*3,0))-((IF((1500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-4522.8744385947357</v>
      </c>
      <c r="F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0.01*tx_take_rate*1000*3,0))-((IF((1500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2884.7715349131827</v>
      </c>
      <c r="G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0.015*tx_take_rate*1000*3,0))-((IF((1500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21403.886468683013</v>
      </c>
      <c r="H27" s="49">
        <f>((((1500/(1+EXP(-adoption_steepness*(2028-adoption_midpoint)))*(1-churn_rate))*(cert_fee_yr1*(1+cert_fee_escalation)^2.5+training_pct*training_fee+audit_fee)*5)+(IF((1500/(1+EXP(-adoption_steepness*(2028-adoption_midpoint)))*(1-churn_rate))&gt;=stage2_gate,ecom_market_base*(1+ecom_growth_rate)^4*0.02*tx_take_rate*1000*3,0))-((IF((1500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(1500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39923.001402452806</v>
      </c>
    </row>
    <row r="28" spans="1:9" x14ac:dyDescent="0.3">
      <c r="A28" s="48">
        <v>2000</v>
      </c>
      <c r="B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0.001*tx_take_rate*1000*3,0))-((IF((2000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-6880.3373291734806</v>
      </c>
      <c r="C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0.003*tx_take_rate*1000*3,0))-((IF((2000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527.30864433443753</v>
      </c>
      <c r="D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0.005*tx_take_rate*1000*3,0))-((IF((2000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7934.9546178423561</v>
      </c>
      <c r="E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0.008*tx_take_rate*1000*3,0))-((IF((2000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19046.423578104233</v>
      </c>
      <c r="F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0.01*tx_take_rate*1000*3,0))-((IF((2000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26454.06955161217</v>
      </c>
      <c r="G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0.015*tx_take_rate*1000*3,0))-((IF((2000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44973.184485381986</v>
      </c>
      <c r="H28" s="49">
        <f>((((2000/(1+EXP(-adoption_steepness*(2028-adoption_midpoint)))*(1-churn_rate))*(cert_fee_yr1*(1+cert_fee_escalation)^2.5+training_pct*training_fee+audit_fee)*5)+(IF((2000/(1+EXP(-adoption_steepness*(2028-adoption_midpoint)))*(1-churn_rate))&gt;=stage2_gate,ecom_market_base*(1+ecom_growth_rate)^4*0.02*tx_take_rate*1000*3,0))-((IF((2000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(2000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63492.299419151794</v>
      </c>
    </row>
    <row r="29" spans="1:9" x14ac:dyDescent="0.3">
      <c r="A29" s="48">
        <v>3000</v>
      </c>
      <c r="B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0.001*tx_take_rate*1000*3,0))-((IF((3000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40258.258704224427</v>
      </c>
      <c r="C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0.003*tx_take_rate*1000*3,0))-((IF((3000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47665.904677732346</v>
      </c>
      <c r="D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0.005*tx_take_rate*1000*3,0))-((IF((3000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55073.550651240301</v>
      </c>
      <c r="E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0.008*tx_take_rate*1000*3,0))-((IF((3000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66185.019611502197</v>
      </c>
      <c r="F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0.01*tx_take_rate*1000*3,0))-((IF((3000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73592.66558501008</v>
      </c>
      <c r="G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0.015*tx_take_rate*1000*3,0))-((IF((3000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92111.780518779895</v>
      </c>
      <c r="H29" s="49">
        <f>((((3000/(1+EXP(-adoption_steepness*(2028-adoption_midpoint)))*(1-churn_rate))*(cert_fee_yr1*(1+cert_fee_escalation)^2.5+training_pct*training_fee+audit_fee)*5)+(IF((3000/(1+EXP(-adoption_steepness*(2028-adoption_midpoint)))*(1-churn_rate))&gt;=stage2_gate,ecom_market_base*(1+ecom_growth_rate)^4*0.02*tx_take_rate*1000*3,0))-((IF((3000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(3000/(1+EXP(-adoption_steepness*(2028-adoption_midpoint)))*(1-churn_rate))*vcr_per_enterprise*12*cloud_per_1M_vcr/1000000*5)+((opex_branding+opex_external+opex_legal+opex_security+opex_partner_mgmt)*5)+(capex_total*capex_maintenance_pct*4)))*(1-cit_rate))/(1+discount_rate)^2.5</f>
        <v>110630.8954525497</v>
      </c>
    </row>
    <row r="32" spans="1:9" x14ac:dyDescent="0.3">
      <c r="A32" s="77" t="s">
        <v>812</v>
      </c>
      <c r="B32" s="73"/>
      <c r="C32" s="73"/>
      <c r="D32" s="73"/>
      <c r="E32" s="73"/>
      <c r="F32" s="73"/>
      <c r="G32" s="73"/>
      <c r="H32" s="73"/>
      <c r="I32" s="74"/>
    </row>
    <row r="33" spans="1:9" x14ac:dyDescent="0.3">
      <c r="A33" s="41" t="s">
        <v>813</v>
      </c>
      <c r="B33" s="50">
        <v>0.05</v>
      </c>
      <c r="C33" s="50">
        <v>0.1</v>
      </c>
      <c r="D33" s="50">
        <v>0.15</v>
      </c>
      <c r="E33" s="50">
        <v>0.2</v>
      </c>
      <c r="F33" s="50">
        <v>0.25</v>
      </c>
      <c r="G33" s="50">
        <v>0.3</v>
      </c>
      <c r="H33" s="50">
        <v>0.35</v>
      </c>
    </row>
    <row r="34" spans="1:9" x14ac:dyDescent="0.3">
      <c r="A34" s="48">
        <v>200</v>
      </c>
      <c r="B34" s="49">
        <f>((((200/(1+EXP(-adoption_steepness*(2028-adoption_midpoint)))*(1-0.05))*(cert_fee_yr1*(1+cert_fee_escalation)^2.5+training_pct*training_fee+audit_fee)*5)+(IF((200/(1+EXP(-adoption_steepness*(2028-adoption_midpoint)))*(1-0.05))&gt;=stage2_gate,ecom_market_base*(1+ecom_growth_rate)^4*platform_market_share*tx_take_rate*1000*3,0))-((IF((200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-93665.935824791348</v>
      </c>
      <c r="C34" s="49">
        <f>((((200/(1+EXP(-adoption_steepness*(2028-adoption_midpoint)))*(1-0.1))*(cert_fee_yr1*(1+cert_fee_escalation)^2.5+training_pct*training_fee+audit_fee)*5)+(IF((200/(1+EXP(-adoption_steepness*(2028-adoption_midpoint)))*(1-0.1))&gt;=stage2_gate,ecom_market_base*(1+ecom_growth_rate)^4*platform_market_share*tx_take_rate*1000*3,0))-((IF((200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-94255.168275208795</v>
      </c>
      <c r="D34" s="49">
        <f>((((200/(1+EXP(-adoption_steepness*(2028-adoption_midpoint)))*(1-0.15))*(cert_fee_yr1*(1+cert_fee_escalation)^2.5+training_pct*training_fee+audit_fee)*5)+(IF((200/(1+EXP(-adoption_steepness*(2028-adoption_midpoint)))*(1-0.15))&gt;=stage2_gate,ecom_market_base*(1+ecom_growth_rate)^4*platform_market_share*tx_take_rate*1000*3,0))-((IF((200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-94844.400725626285</v>
      </c>
      <c r="E34" s="49">
        <f>((((200/(1+EXP(-adoption_steepness*(2028-adoption_midpoint)))*(1-0.2))*(cert_fee_yr1*(1+cert_fee_escalation)^2.5+training_pct*training_fee+audit_fee)*5)+(IF((200/(1+EXP(-adoption_steepness*(2028-adoption_midpoint)))*(1-0.2))&gt;=stage2_gate,ecom_market_base*(1+ecom_growth_rate)^4*platform_market_share*tx_take_rate*1000*3,0))-((IF((200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-95433.633176043761</v>
      </c>
      <c r="F34" s="49">
        <f>((((200/(1+EXP(-adoption_steepness*(2028-adoption_midpoint)))*(1-0.25))*(cert_fee_yr1*(1+cert_fee_escalation)^2.5+training_pct*training_fee+audit_fee)*5)+(IF((200/(1+EXP(-adoption_steepness*(2028-adoption_midpoint)))*(1-0.25))&gt;=stage2_gate,ecom_market_base*(1+ecom_growth_rate)^4*platform_market_share*tx_take_rate*1000*3,0))-((IF((200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-96022.865626461236</v>
      </c>
      <c r="G34" s="49">
        <f>((((200/(1+EXP(-adoption_steepness*(2028-adoption_midpoint)))*(1-0.3))*(cert_fee_yr1*(1+cert_fee_escalation)^2.5+training_pct*training_fee+audit_fee)*5)+(IF((200/(1+EXP(-adoption_steepness*(2028-adoption_midpoint)))*(1-0.3))&gt;=stage2_gate,ecom_market_base*(1+ecom_growth_rate)^4*platform_market_share*tx_take_rate*1000*3,0))-((IF((200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-96612.098076878698</v>
      </c>
      <c r="H34" s="49">
        <f>((((200/(1+EXP(-adoption_steepness*(2028-adoption_midpoint)))*(1-0.35))*(cert_fee_yr1*(1+cert_fee_escalation)^2.5+training_pct*training_fee+audit_fee)*5)+(IF((200/(1+EXP(-adoption_steepness*(2028-adoption_midpoint)))*(1-0.35))&gt;=stage2_gate,ecom_market_base*(1+ecom_growth_rate)^4*platform_market_share*tx_take_rate*1000*3,0))-((IF((200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(200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-97201.330527296173</v>
      </c>
    </row>
    <row r="35" spans="1:9" x14ac:dyDescent="0.3">
      <c r="A35" s="48">
        <v>400</v>
      </c>
      <c r="B35" s="49">
        <f>((((400/(1+EXP(-adoption_steepness*(2028-adoption_midpoint)))*(1-0.05))*(cert_fee_yr1*(1+cert_fee_escalation)^2.5+training_pct*training_fee+audit_fee)*5)+(IF((400/(1+EXP(-adoption_steepness*(2028-adoption_midpoint)))*(1-0.05))&gt;=stage2_gate,ecom_market_base*(1+ecom_growth_rate)^4*platform_market_share*tx_take_rate*1000*3,0))-((IF((400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-82470.519266859323</v>
      </c>
      <c r="C35" s="49">
        <f>((((400/(1+EXP(-adoption_steepness*(2028-adoption_midpoint)))*(1-0.1))*(cert_fee_yr1*(1+cert_fee_escalation)^2.5+training_pct*training_fee+audit_fee)*5)+(IF((400/(1+EXP(-adoption_steepness*(2028-adoption_midpoint)))*(1-0.1))&gt;=stage2_gate,ecom_market_base*(1+ecom_growth_rate)^4*platform_market_share*tx_take_rate*1000*3,0))-((IF((400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-83648.984167694274</v>
      </c>
      <c r="D35" s="49">
        <f>((((400/(1+EXP(-adoption_steepness*(2028-adoption_midpoint)))*(1-0.15))*(cert_fee_yr1*(1+cert_fee_escalation)^2.5+training_pct*training_fee+audit_fee)*5)+(IF((400/(1+EXP(-adoption_steepness*(2028-adoption_midpoint)))*(1-0.15))&gt;=stage2_gate,ecom_market_base*(1+ecom_growth_rate)^4*platform_market_share*tx_take_rate*1000*3,0))-((IF((400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-84827.449068529211</v>
      </c>
      <c r="E35" s="49">
        <f>((((400/(1+EXP(-adoption_steepness*(2028-adoption_midpoint)))*(1-0.2))*(cert_fee_yr1*(1+cert_fee_escalation)^2.5+training_pct*training_fee+audit_fee)*5)+(IF((400/(1+EXP(-adoption_steepness*(2028-adoption_midpoint)))*(1-0.2))&gt;=stage2_gate,ecom_market_base*(1+ecom_growth_rate)^4*platform_market_share*tx_take_rate*1000*3,0))-((IF((400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-86005.913969364163</v>
      </c>
      <c r="F35" s="49">
        <f>((((400/(1+EXP(-adoption_steepness*(2028-adoption_midpoint)))*(1-0.25))*(cert_fee_yr1*(1+cert_fee_escalation)^2.5+training_pct*training_fee+audit_fee)*5)+(IF((400/(1+EXP(-adoption_steepness*(2028-adoption_midpoint)))*(1-0.25))&gt;=stage2_gate,ecom_market_base*(1+ecom_growth_rate)^4*platform_market_share*tx_take_rate*1000*3,0))-((IF((400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-87184.378870199129</v>
      </c>
      <c r="G35" s="49">
        <f>((((400/(1+EXP(-adoption_steepness*(2028-adoption_midpoint)))*(1-0.3))*(cert_fee_yr1*(1+cert_fee_escalation)^2.5+training_pct*training_fee+audit_fee)*5)+(IF((400/(1+EXP(-adoption_steepness*(2028-adoption_midpoint)))*(1-0.3))&gt;=stage2_gate,ecom_market_base*(1+ecom_growth_rate)^4*platform_market_share*tx_take_rate*1000*3,0))-((IF((400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-88362.843771034066</v>
      </c>
      <c r="H35" s="49">
        <f>((((400/(1+EXP(-adoption_steepness*(2028-adoption_midpoint)))*(1-0.35))*(cert_fee_yr1*(1+cert_fee_escalation)^2.5+training_pct*training_fee+audit_fee)*5)+(IF((400/(1+EXP(-adoption_steepness*(2028-adoption_midpoint)))*(1-0.35))&gt;=stage2_gate,ecom_market_base*(1+ecom_growth_rate)^4*platform_market_share*tx_take_rate*1000*3,0))-((IF((400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(400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-89541.308671869003</v>
      </c>
    </row>
    <row r="36" spans="1:9" x14ac:dyDescent="0.3">
      <c r="A36" s="48">
        <v>600</v>
      </c>
      <c r="B36" s="49">
        <f>((((600/(1+EXP(-adoption_steepness*(2028-adoption_midpoint)))*(1-0.05))*(cert_fee_yr1*(1+cert_fee_escalation)^2.5+training_pct*training_fee+audit_fee)*5)+(IF((600/(1+EXP(-adoption_steepness*(2028-adoption_midpoint)))*(1-0.05))&gt;=stage2_gate,ecom_market_base*(1+ecom_growth_rate)^4*platform_market_share*tx_take_rate*1000*3,0))-((IF((600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-71275.102708927312</v>
      </c>
      <c r="C36" s="49">
        <f>((((600/(1+EXP(-adoption_steepness*(2028-adoption_midpoint)))*(1-0.1))*(cert_fee_yr1*(1+cert_fee_escalation)^2.5+training_pct*training_fee+audit_fee)*5)+(IF((600/(1+EXP(-adoption_steepness*(2028-adoption_midpoint)))*(1-0.1))&gt;=stage2_gate,ecom_market_base*(1+ecom_growth_rate)^4*platform_market_share*tx_take_rate*1000*3,0))-((IF((600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-73042.800060179725</v>
      </c>
      <c r="D36" s="49">
        <f>((((600/(1+EXP(-adoption_steepness*(2028-adoption_midpoint)))*(1-0.15))*(cert_fee_yr1*(1+cert_fee_escalation)^2.5+training_pct*training_fee+audit_fee)*5)+(IF((600/(1+EXP(-adoption_steepness*(2028-adoption_midpoint)))*(1-0.15))&gt;=stage2_gate,ecom_market_base*(1+ecom_growth_rate)^4*platform_market_share*tx_take_rate*1000*3,0))-((IF((600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-74810.497411432152</v>
      </c>
      <c r="E36" s="49">
        <f>((((600/(1+EXP(-adoption_steepness*(2028-adoption_midpoint)))*(1-0.2))*(cert_fee_yr1*(1+cert_fee_escalation)^2.5+training_pct*training_fee+audit_fee)*5)+(IF((600/(1+EXP(-adoption_steepness*(2028-adoption_midpoint)))*(1-0.2))&gt;=stage2_gate,ecom_market_base*(1+ecom_growth_rate)^4*platform_market_share*tx_take_rate*1000*3,0))-((IF((600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-76578.194762684579</v>
      </c>
      <c r="F36" s="49">
        <f>((((600/(1+EXP(-adoption_steepness*(2028-adoption_midpoint)))*(1-0.25))*(cert_fee_yr1*(1+cert_fee_escalation)^2.5+training_pct*training_fee+audit_fee)*5)+(IF((600/(1+EXP(-adoption_steepness*(2028-adoption_midpoint)))*(1-0.25))&gt;=stage2_gate,ecom_market_base*(1+ecom_growth_rate)^4*platform_market_share*tx_take_rate*1000*3,0))-((IF((600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-78345.892113937007</v>
      </c>
      <c r="G36" s="49">
        <f>((((600/(1+EXP(-adoption_steepness*(2028-adoption_midpoint)))*(1-0.3))*(cert_fee_yr1*(1+cert_fee_escalation)^2.5+training_pct*training_fee+audit_fee)*5)+(IF((600/(1+EXP(-adoption_steepness*(2028-adoption_midpoint)))*(1-0.3))&gt;=stage2_gate,ecom_market_base*(1+ecom_growth_rate)^4*platform_market_share*tx_take_rate*1000*3,0))-((IF((600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-80113.589465189434</v>
      </c>
      <c r="H36" s="49">
        <f>((((600/(1+EXP(-adoption_steepness*(2028-adoption_midpoint)))*(1-0.35))*(cert_fee_yr1*(1+cert_fee_escalation)^2.5+training_pct*training_fee+audit_fee)*5)+(IF((600/(1+EXP(-adoption_steepness*(2028-adoption_midpoint)))*(1-0.35))&gt;=stage2_gate,ecom_market_base*(1+ecom_growth_rate)^4*platform_market_share*tx_take_rate*1000*3,0))-((IF((600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(600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-81881.286816441847</v>
      </c>
    </row>
    <row r="37" spans="1:9" x14ac:dyDescent="0.3">
      <c r="A37" s="48">
        <v>800</v>
      </c>
      <c r="B37" s="49">
        <f>((((800/(1+EXP(-adoption_steepness*(2028-adoption_midpoint)))*(1-0.05))*(cert_fee_yr1*(1+cert_fee_escalation)^2.5+training_pct*training_fee+audit_fee)*5)+(IF((800/(1+EXP(-adoption_steepness*(2028-adoption_midpoint)))*(1-0.05))&gt;=stage2_gate,ecom_market_base*(1+ecom_growth_rate)^4*platform_market_share*tx_take_rate*1000*3,0))-((IF((800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13996.77358408395</v>
      </c>
      <c r="C37" s="49">
        <f>((((800/(1+EXP(-adoption_steepness*(2028-adoption_midpoint)))*(1-0.1))*(cert_fee_yr1*(1+cert_fee_escalation)^2.5+training_pct*training_fee+audit_fee)*5)+(IF((800/(1+EXP(-adoption_steepness*(2028-adoption_midpoint)))*(1-0.1))&gt;=stage2_gate,ecom_market_base*(1+ecom_growth_rate)^4*platform_market_share*tx_take_rate*1000*3,0))-((IF((800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11639.843782414064</v>
      </c>
      <c r="D37" s="49">
        <f>((((800/(1+EXP(-adoption_steepness*(2028-adoption_midpoint)))*(1-0.15))*(cert_fee_yr1*(1+cert_fee_escalation)^2.5+training_pct*training_fee+audit_fee)*5)+(IF((800/(1+EXP(-adoption_steepness*(2028-adoption_midpoint)))*(1-0.15))&gt;=stage2_gate,ecom_market_base*(1+ecom_growth_rate)^4*platform_market_share*tx_take_rate*1000*3,0))-((IF((800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9282.9139807441607</v>
      </c>
      <c r="E37" s="49">
        <f>((((800/(1+EXP(-adoption_steepness*(2028-adoption_midpoint)))*(1-0.2))*(cert_fee_yr1*(1+cert_fee_escalation)^2.5+training_pct*training_fee+audit_fee)*5)+(IF((800/(1+EXP(-adoption_steepness*(2028-adoption_midpoint)))*(1-0.2))&gt;=stage2_gate,ecom_market_base*(1+ecom_growth_rate)^4*platform_market_share*tx_take_rate*1000*3,0))-((IF((800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6925.9841790742566</v>
      </c>
      <c r="F37" s="49">
        <f>((((800/(1+EXP(-adoption_steepness*(2028-adoption_midpoint)))*(1-0.25))*(cert_fee_yr1*(1+cert_fee_escalation)^2.5+training_pct*training_fee+audit_fee)*5)+(IF((800/(1+EXP(-adoption_steepness*(2028-adoption_midpoint)))*(1-0.25))&gt;=stage2_gate,ecom_market_base*(1+ecom_growth_rate)^4*platform_market_share*tx_take_rate*1000*3,0))-((IF((800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4569.054377404369</v>
      </c>
      <c r="G37" s="49">
        <f>((((800/(1+EXP(-adoption_steepness*(2028-adoption_midpoint)))*(1-0.3))*(cert_fee_yr1*(1+cert_fee_escalation)^2.5+training_pct*training_fee+audit_fee)*5)+(IF((800/(1+EXP(-adoption_steepness*(2028-adoption_midpoint)))*(1-0.3))&gt;=stage2_gate,ecom_market_base*(1+ecom_growth_rate)^4*platform_market_share*tx_take_rate*1000*3,0))-((IF((800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-71864.335159344788</v>
      </c>
      <c r="H37" s="49">
        <f>((((800/(1+EXP(-adoption_steepness*(2028-adoption_midpoint)))*(1-0.35))*(cert_fee_yr1*(1+cert_fee_escalation)^2.5+training_pct*training_fee+audit_fee)*5)+(IF((800/(1+EXP(-adoption_steepness*(2028-adoption_midpoint)))*(1-0.35))&gt;=stage2_gate,ecom_market_base*(1+ecom_growth_rate)^4*platform_market_share*tx_take_rate*1000*3,0))-((IF((800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(800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-74221.264961014676</v>
      </c>
    </row>
    <row r="38" spans="1:9" x14ac:dyDescent="0.3">
      <c r="A38" s="48">
        <v>1000</v>
      </c>
      <c r="B38" s="49">
        <f>((((1000/(1+EXP(-adoption_steepness*(2028-adoption_midpoint)))*(1-0.05))*(cert_fee_yr1*(1+cert_fee_escalation)^2.5+training_pct*training_fee+audit_fee)*5)+(IF((1000/(1+EXP(-adoption_steepness*(2028-adoption_midpoint)))*(1-0.05))&gt;=stage2_gate,ecom_market_base*(1+ecom_growth_rate)^4*platform_market_share*tx_take_rate*1000*3,0))-((IF((1000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25192.190142015974</v>
      </c>
      <c r="C38" s="49">
        <f>((((1000/(1+EXP(-adoption_steepness*(2028-adoption_midpoint)))*(1-0.1))*(cert_fee_yr1*(1+cert_fee_escalation)^2.5+training_pct*training_fee+audit_fee)*5)+(IF((1000/(1+EXP(-adoption_steepness*(2028-adoption_midpoint)))*(1-0.1))&gt;=stage2_gate,ecom_market_base*(1+ecom_growth_rate)^4*platform_market_share*tx_take_rate*1000*3,0))-((IF((1000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22246.027889928588</v>
      </c>
      <c r="D38" s="49">
        <f>((((1000/(1+EXP(-adoption_steepness*(2028-adoption_midpoint)))*(1-0.15))*(cert_fee_yr1*(1+cert_fee_escalation)^2.5+training_pct*training_fee+audit_fee)*5)+(IF((1000/(1+EXP(-adoption_steepness*(2028-adoption_midpoint)))*(1-0.15))&gt;=stage2_gate,ecom_market_base*(1+ecom_growth_rate)^4*platform_market_share*tx_take_rate*1000*3,0))-((IF((1000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19299.865637841223</v>
      </c>
      <c r="E38" s="49">
        <f>((((1000/(1+EXP(-adoption_steepness*(2028-adoption_midpoint)))*(1-0.2))*(cert_fee_yr1*(1+cert_fee_escalation)^2.5+training_pct*training_fee+audit_fee)*5)+(IF((1000/(1+EXP(-adoption_steepness*(2028-adoption_midpoint)))*(1-0.2))&gt;=stage2_gate,ecom_market_base*(1+ecom_growth_rate)^4*platform_market_share*tx_take_rate*1000*3,0))-((IF((1000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16353.703385753855</v>
      </c>
      <c r="F38" s="49">
        <f>((((1000/(1+EXP(-adoption_steepness*(2028-adoption_midpoint)))*(1-0.25))*(cert_fee_yr1*(1+cert_fee_escalation)^2.5+training_pct*training_fee+audit_fee)*5)+(IF((1000/(1+EXP(-adoption_steepness*(2028-adoption_midpoint)))*(1-0.25))&gt;=stage2_gate,ecom_market_base*(1+ecom_growth_rate)^4*platform_market_share*tx_take_rate*1000*3,0))-((IF((1000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13407.541133666487</v>
      </c>
      <c r="G38" s="49">
        <f>((((1000/(1+EXP(-adoption_steepness*(2028-adoption_midpoint)))*(1-0.3))*(cert_fee_yr1*(1+cert_fee_escalation)^2.5+training_pct*training_fee+audit_fee)*5)+(IF((1000/(1+EXP(-adoption_steepness*(2028-adoption_midpoint)))*(1-0.3))&gt;=stage2_gate,ecom_market_base*(1+ecom_growth_rate)^4*platform_market_share*tx_take_rate*1000*3,0))-((IF((1000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10461.378881579103</v>
      </c>
      <c r="H38" s="49">
        <f>((((1000/(1+EXP(-adoption_steepness*(2028-adoption_midpoint)))*(1-0.35))*(cert_fee_yr1*(1+cert_fee_escalation)^2.5+training_pct*training_fee+audit_fee)*5)+(IF((1000/(1+EXP(-adoption_steepness*(2028-adoption_midpoint)))*(1-0.35))&gt;=stage2_gate,ecom_market_base*(1+ecom_growth_rate)^4*platform_market_share*tx_take_rate*1000*3,0))-((IF((1000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7515.216629491737</v>
      </c>
    </row>
    <row r="39" spans="1:9" x14ac:dyDescent="0.3">
      <c r="A39" s="48">
        <v>1200</v>
      </c>
      <c r="B39" s="49">
        <f>((((1200/(1+EXP(-adoption_steepness*(2028-adoption_midpoint)))*(1-0.05))*(cert_fee_yr1*(1+cert_fee_escalation)^2.5+training_pct*training_fee+audit_fee)*5)+(IF((1200/(1+EXP(-adoption_steepness*(2028-adoption_midpoint)))*(1-0.05))&gt;=stage2_gate,ecom_market_base*(1+ecom_growth_rate)^4*platform_market_share*tx_take_rate*1000*3,0))-((IF((1200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36387.606699947981</v>
      </c>
      <c r="C39" s="49">
        <f>((((1200/(1+EXP(-adoption_steepness*(2028-adoption_midpoint)))*(1-0.1))*(cert_fee_yr1*(1+cert_fee_escalation)^2.5+training_pct*training_fee+audit_fee)*5)+(IF((1200/(1+EXP(-adoption_steepness*(2028-adoption_midpoint)))*(1-0.1))&gt;=stage2_gate,ecom_market_base*(1+ecom_growth_rate)^4*platform_market_share*tx_take_rate*1000*3,0))-((IF((1200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32852.211997443133</v>
      </c>
      <c r="D39" s="49">
        <f>((((1200/(1+EXP(-adoption_steepness*(2028-adoption_midpoint)))*(1-0.15))*(cert_fee_yr1*(1+cert_fee_escalation)^2.5+training_pct*training_fee+audit_fee)*5)+(IF((1200/(1+EXP(-adoption_steepness*(2028-adoption_midpoint)))*(1-0.15))&gt;=stage2_gate,ecom_market_base*(1+ecom_growth_rate)^4*platform_market_share*tx_take_rate*1000*3,0))-((IF((1200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29316.817294938301</v>
      </c>
      <c r="E39" s="43">
        <f>((((1200/(1+EXP(-adoption_steepness*(2028-adoption_midpoint)))*(1-0.2))*(cert_fee_yr1*(1+cert_fee_escalation)^2.5+training_pct*training_fee+audit_fee)*5)+(IF((1200/(1+EXP(-adoption_steepness*(2028-adoption_midpoint)))*(1-0.2))&gt;=stage2_gate,ecom_market_base*(1+ecom_growth_rate)^4*platform_market_share*tx_take_rate*1000*3,0))-((IF((1200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25781.422592433435</v>
      </c>
      <c r="F39" s="49">
        <f>((((1200/(1+EXP(-adoption_steepness*(2028-adoption_midpoint)))*(1-0.25))*(cert_fee_yr1*(1+cert_fee_escalation)^2.5+training_pct*training_fee+audit_fee)*5)+(IF((1200/(1+EXP(-adoption_steepness*(2028-adoption_midpoint)))*(1-0.25))&gt;=stage2_gate,ecom_market_base*(1+ecom_growth_rate)^4*platform_market_share*tx_take_rate*1000*3,0))-((IF((1200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22246.027889928588</v>
      </c>
      <c r="G39" s="49">
        <f>((((1200/(1+EXP(-adoption_steepness*(2028-adoption_midpoint)))*(1-0.3))*(cert_fee_yr1*(1+cert_fee_escalation)^2.5+training_pct*training_fee+audit_fee)*5)+(IF((1200/(1+EXP(-adoption_steepness*(2028-adoption_midpoint)))*(1-0.3))&gt;=stage2_gate,ecom_market_base*(1+ecom_growth_rate)^4*platform_market_share*tx_take_rate*1000*3,0))-((IF((1200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18710.633187423758</v>
      </c>
      <c r="H39" s="49">
        <f>((((1200/(1+EXP(-adoption_steepness*(2028-adoption_midpoint)))*(1-0.35))*(cert_fee_yr1*(1+cert_fee_escalation)^2.5+training_pct*training_fee+audit_fee)*5)+(IF((1200/(1+EXP(-adoption_steepness*(2028-adoption_midpoint)))*(1-0.35))&gt;=stage2_gate,ecom_market_base*(1+ecom_growth_rate)^4*platform_market_share*tx_take_rate*1000*3,0))-((IF((1200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(1200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15175.238484918913</v>
      </c>
    </row>
    <row r="40" spans="1:9" x14ac:dyDescent="0.3">
      <c r="A40" s="48">
        <v>1500</v>
      </c>
      <c r="B40" s="49">
        <f>((((1500/(1+EXP(-adoption_steepness*(2028-adoption_midpoint)))*(1-0.05))*(cert_fee_yr1*(1+cert_fee_escalation)^2.5+training_pct*training_fee+audit_fee)*5)+(IF((1500/(1+EXP(-adoption_steepness*(2028-adoption_midpoint)))*(1-0.05))&gt;=stage2_gate,ecom_market_base*(1+ecom_growth_rate)^4*platform_market_share*tx_take_rate*1000*3,0))-((IF((1500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53180.731536845953</v>
      </c>
      <c r="C40" s="49">
        <f>((((1500/(1+EXP(-adoption_steepness*(2028-adoption_midpoint)))*(1-0.1))*(cert_fee_yr1*(1+cert_fee_escalation)^2.5+training_pct*training_fee+audit_fee)*5)+(IF((1500/(1+EXP(-adoption_steepness*(2028-adoption_midpoint)))*(1-0.1))&gt;=stage2_gate,ecom_market_base*(1+ecom_growth_rate)^4*platform_market_share*tx_take_rate*1000*3,0))-((IF((1500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48761.48815871495</v>
      </c>
      <c r="D40" s="49">
        <f>((((1500/(1+EXP(-adoption_steepness*(2028-adoption_midpoint)))*(1-0.15))*(cert_fee_yr1*(1+cert_fee_escalation)^2.5+training_pct*training_fee+audit_fee)*5)+(IF((1500/(1+EXP(-adoption_steepness*(2028-adoption_midpoint)))*(1-0.15))&gt;=stage2_gate,ecom_market_base*(1+ecom_growth_rate)^4*platform_market_share*tx_take_rate*1000*3,0))-((IF((1500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44342.244780583867</v>
      </c>
      <c r="E40" s="49">
        <f>((((1500/(1+EXP(-adoption_steepness*(2028-adoption_midpoint)))*(1-0.2))*(cert_fee_yr1*(1+cert_fee_escalation)^2.5+training_pct*training_fee+audit_fee)*5)+(IF((1500/(1+EXP(-adoption_steepness*(2028-adoption_midpoint)))*(1-0.2))&gt;=stage2_gate,ecom_market_base*(1+ecom_growth_rate)^4*platform_market_share*tx_take_rate*1000*3,0))-((IF((1500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39923.001402452806</v>
      </c>
      <c r="F40" s="49">
        <f>((((1500/(1+EXP(-adoption_steepness*(2028-adoption_midpoint)))*(1-0.25))*(cert_fee_yr1*(1+cert_fee_escalation)^2.5+training_pct*training_fee+audit_fee)*5)+(IF((1500/(1+EXP(-adoption_steepness*(2028-adoption_midpoint)))*(1-0.25))&gt;=stage2_gate,ecom_market_base*(1+ecom_growth_rate)^4*platform_market_share*tx_take_rate*1000*3,0))-((IF((1500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35503.758024321767</v>
      </c>
      <c r="G40" s="49">
        <f>((((1500/(1+EXP(-adoption_steepness*(2028-adoption_midpoint)))*(1-0.3))*(cert_fee_yr1*(1+cert_fee_escalation)^2.5+training_pct*training_fee+audit_fee)*5)+(IF((1500/(1+EXP(-adoption_steepness*(2028-adoption_midpoint)))*(1-0.3))&gt;=stage2_gate,ecom_market_base*(1+ecom_growth_rate)^4*platform_market_share*tx_take_rate*1000*3,0))-((IF((1500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31084.514646190706</v>
      </c>
      <c r="H40" s="49">
        <f>((((1500/(1+EXP(-adoption_steepness*(2028-adoption_midpoint)))*(1-0.35))*(cert_fee_yr1*(1+cert_fee_escalation)^2.5+training_pct*training_fee+audit_fee)*5)+(IF((1500/(1+EXP(-adoption_steepness*(2028-adoption_midpoint)))*(1-0.35))&gt;=stage2_gate,ecom_market_base*(1+ecom_growth_rate)^4*platform_market_share*tx_take_rate*1000*3,0))-((IF((1500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(1500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26665.271268059649</v>
      </c>
    </row>
    <row r="41" spans="1:9" x14ac:dyDescent="0.3">
      <c r="A41" s="48">
        <v>2000</v>
      </c>
      <c r="B41" s="49">
        <f>((((2000/(1+EXP(-adoption_steepness*(2028-adoption_midpoint)))*(1-0.05))*(cert_fee_yr1*(1+cert_fee_escalation)^2.5+training_pct*training_fee+audit_fee)*5)+(IF((2000/(1+EXP(-adoption_steepness*(2028-adoption_midpoint)))*(1-0.05))&gt;=stage2_gate,ecom_market_base*(1+ecom_growth_rate)^4*platform_market_share*tx_take_rate*1000*3,0))-((IF((2000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81169.272931676023</v>
      </c>
      <c r="C41" s="49">
        <f>((((2000/(1+EXP(-adoption_steepness*(2028-adoption_midpoint)))*(1-0.1))*(cert_fee_yr1*(1+cert_fee_escalation)^2.5+training_pct*training_fee+audit_fee)*5)+(IF((2000/(1+EXP(-adoption_steepness*(2028-adoption_midpoint)))*(1-0.1))&gt;=stage2_gate,ecom_market_base*(1+ecom_growth_rate)^4*platform_market_share*tx_take_rate*1000*3,0))-((IF((2000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75276.948427501266</v>
      </c>
      <c r="D41" s="49">
        <f>((((2000/(1+EXP(-adoption_steepness*(2028-adoption_midpoint)))*(1-0.15))*(cert_fee_yr1*(1+cert_fee_escalation)^2.5+training_pct*training_fee+audit_fee)*5)+(IF((2000/(1+EXP(-adoption_steepness*(2028-adoption_midpoint)))*(1-0.15))&gt;=stage2_gate,ecom_market_base*(1+ecom_growth_rate)^4*platform_market_share*tx_take_rate*1000*3,0))-((IF((2000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69384.623923326508</v>
      </c>
      <c r="E41" s="49">
        <f>((((2000/(1+EXP(-adoption_steepness*(2028-adoption_midpoint)))*(1-0.2))*(cert_fee_yr1*(1+cert_fee_escalation)^2.5+training_pct*training_fee+audit_fee)*5)+(IF((2000/(1+EXP(-adoption_steepness*(2028-adoption_midpoint)))*(1-0.2))&gt;=stage2_gate,ecom_market_base*(1+ecom_growth_rate)^4*platform_market_share*tx_take_rate*1000*3,0))-((IF((2000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63492.299419151794</v>
      </c>
      <c r="F41" s="49">
        <f>((((2000/(1+EXP(-adoption_steepness*(2028-adoption_midpoint)))*(1-0.25))*(cert_fee_yr1*(1+cert_fee_escalation)^2.5+training_pct*training_fee+audit_fee)*5)+(IF((2000/(1+EXP(-adoption_steepness*(2028-adoption_midpoint)))*(1-0.25))&gt;=stage2_gate,ecom_market_base*(1+ecom_growth_rate)^4*platform_market_share*tx_take_rate*1000*3,0))-((IF((2000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57599.974914977036</v>
      </c>
      <c r="G41" s="49">
        <f>((((2000/(1+EXP(-adoption_steepness*(2028-adoption_midpoint)))*(1-0.3))*(cert_fee_yr1*(1+cert_fee_escalation)^2.5+training_pct*training_fee+audit_fee)*5)+(IF((2000/(1+EXP(-adoption_steepness*(2028-adoption_midpoint)))*(1-0.3))&gt;=stage2_gate,ecom_market_base*(1+ecom_growth_rate)^4*platform_market_share*tx_take_rate*1000*3,0))-((IF((2000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51707.6504108023</v>
      </c>
      <c r="H41" s="49">
        <f>((((2000/(1+EXP(-adoption_steepness*(2028-adoption_midpoint)))*(1-0.35))*(cert_fee_yr1*(1+cert_fee_escalation)^2.5+training_pct*training_fee+audit_fee)*5)+(IF((2000/(1+EXP(-adoption_steepness*(2028-adoption_midpoint)))*(1-0.35))&gt;=stage2_gate,ecom_market_base*(1+ecom_growth_rate)^4*platform_market_share*tx_take_rate*1000*3,0))-((IF((2000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(2000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45815.325906627557</v>
      </c>
    </row>
    <row r="42" spans="1:9" x14ac:dyDescent="0.3">
      <c r="A42" s="48">
        <v>3000</v>
      </c>
      <c r="B42" s="49">
        <f>((((3000/(1+EXP(-adoption_steepness*(2028-adoption_midpoint)))*(1-0.05))*(cert_fee_yr1*(1+cert_fee_escalation)^2.5+training_pct*training_fee+audit_fee)*5)+(IF((3000/(1+EXP(-adoption_steepness*(2028-adoption_midpoint)))*(1-0.05))&gt;=stage2_gate,ecom_market_base*(1+ecom_growth_rate)^4*platform_market_share*tx_take_rate*1000*3,0))-((IF((3000/(1+EXP(-adoption_steepness*(2028-adoption_midpoint)))*(1-0.05)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-0.05))*vcr_per_enterprise*12*cloud_per_1M_vcr/1000000*5)+((opex_branding+opex_external+opex_legal+opex_security+opex_partner_mgmt)*5)+(capex_total*capex_maintenance_pct*4)))*(1-cit_rate))/(1+discount_rate)^2.5</f>
        <v>137146.35572133606</v>
      </c>
      <c r="C42" s="49">
        <f>((((3000/(1+EXP(-adoption_steepness*(2028-adoption_midpoint)))*(1-0.1))*(cert_fee_yr1*(1+cert_fee_escalation)^2.5+training_pct*training_fee+audit_fee)*5)+(IF((3000/(1+EXP(-adoption_steepness*(2028-adoption_midpoint)))*(1-0.1))&gt;=stage2_gate,ecom_market_base*(1+ecom_growth_rate)^4*platform_market_share*tx_take_rate*1000*3,0))-((IF((3000/(1+EXP(-adoption_steepness*(2028-adoption_midpoint)))*(1-0.1)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-0.1))*vcr_per_enterprise*12*cloud_per_1M_vcr/1000000*5)+((opex_branding+opex_external+opex_legal+opex_security+opex_partner_mgmt)*5)+(capex_total*capex_maintenance_pct*4)))*(1-cit_rate))/(1+discount_rate)^2.5</f>
        <v>128307.86896507398</v>
      </c>
      <c r="D42" s="49">
        <f>((((3000/(1+EXP(-adoption_steepness*(2028-adoption_midpoint)))*(1-0.15))*(cert_fee_yr1*(1+cert_fee_escalation)^2.5+training_pct*training_fee+audit_fee)*5)+(IF((3000/(1+EXP(-adoption_steepness*(2028-adoption_midpoint)))*(1-0.15))&gt;=stage2_gate,ecom_market_base*(1+ecom_growth_rate)^4*platform_market_share*tx_take_rate*1000*3,0))-((IF((3000/(1+EXP(-adoption_steepness*(2028-adoption_midpoint)))*(1-0.15)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-0.15))*vcr_per_enterprise*12*cloud_per_1M_vcr/1000000*5)+((opex_branding+opex_external+opex_legal+opex_security+opex_partner_mgmt)*5)+(capex_total*capex_maintenance_pct*4)))*(1-cit_rate))/(1+discount_rate)^2.5</f>
        <v>119469.38220881182</v>
      </c>
      <c r="E42" s="49">
        <f>((((3000/(1+EXP(-adoption_steepness*(2028-adoption_midpoint)))*(1-0.2))*(cert_fee_yr1*(1+cert_fee_escalation)^2.5+training_pct*training_fee+audit_fee)*5)+(IF((3000/(1+EXP(-adoption_steepness*(2028-adoption_midpoint)))*(1-0.2))&gt;=stage2_gate,ecom_market_base*(1+ecom_growth_rate)^4*platform_market_share*tx_take_rate*1000*3,0))-((IF((3000/(1+EXP(-adoption_steepness*(2028-adoption_midpoint)))*(1-0.2)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-0.2))*vcr_per_enterprise*12*cloud_per_1M_vcr/1000000*5)+((opex_branding+opex_external+opex_legal+opex_security+opex_partner_mgmt)*5)+(capex_total*capex_maintenance_pct*4)))*(1-cit_rate))/(1+discount_rate)^2.5</f>
        <v>110630.8954525497</v>
      </c>
      <c r="F42" s="49">
        <f>((((3000/(1+EXP(-adoption_steepness*(2028-adoption_midpoint)))*(1-0.25))*(cert_fee_yr1*(1+cert_fee_escalation)^2.5+training_pct*training_fee+audit_fee)*5)+(IF((3000/(1+EXP(-adoption_steepness*(2028-adoption_midpoint)))*(1-0.25))&gt;=stage2_gate,ecom_market_base*(1+ecom_growth_rate)^4*platform_market_share*tx_take_rate*1000*3,0))-((IF((3000/(1+EXP(-adoption_steepness*(2028-adoption_midpoint)))*(1-0.25)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-0.25))*vcr_per_enterprise*12*cloud_per_1M_vcr/1000000*5)+((opex_branding+opex_external+opex_legal+opex_security+opex_partner_mgmt)*5)+(capex_total*capex_maintenance_pct*4)))*(1-cit_rate))/(1+discount_rate)^2.5</f>
        <v>101792.40869628759</v>
      </c>
      <c r="G42" s="49">
        <f>((((3000/(1+EXP(-adoption_steepness*(2028-adoption_midpoint)))*(1-0.3))*(cert_fee_yr1*(1+cert_fee_escalation)^2.5+training_pct*training_fee+audit_fee)*5)+(IF((3000/(1+EXP(-adoption_steepness*(2028-adoption_midpoint)))*(1-0.3))&gt;=stage2_gate,ecom_market_base*(1+ecom_growth_rate)^4*platform_market_share*tx_take_rate*1000*3,0))-((IF((3000/(1+EXP(-adoption_steepness*(2028-adoption_midpoint)))*(1-0.3)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-0.3))*vcr_per_enterprise*12*cloud_per_1M_vcr/1000000*5)+((opex_branding+opex_external+opex_legal+opex_security+opex_partner_mgmt)*5)+(capex_total*capex_maintenance_pct*4)))*(1-cit_rate))/(1+discount_rate)^2.5</f>
        <v>92953.92194002551</v>
      </c>
      <c r="H42" s="49">
        <f>((((3000/(1+EXP(-adoption_steepness*(2028-adoption_midpoint)))*(1-0.35))*(cert_fee_yr1*(1+cert_fee_escalation)^2.5+training_pct*training_fee+audit_fee)*5)+(IF((3000/(1+EXP(-adoption_steepness*(2028-adoption_midpoint)))*(1-0.35))&gt;=stage2_gate,ecom_market_base*(1+ecom_growth_rate)^4*platform_market_share*tx_take_rate*1000*3,0))-((IF((3000/(1+EXP(-adoption_steepness*(2028-adoption_midpoint)))*(1-0.35))&gt;=stage2_gate,ecom_market_base*(1+ecom_growth_rate)^4*platform_market_share*tx_take_rate*1000*3,0))*payment_proc_pct)-(capex_total+(33*30*12*(1+bhxh_rate)*(1+salary_escalation)^2*5)+(opex_marketing*(1+marketing_growth)^2*5)+(opex_cloud_base*5+(3000/(1+EXP(-adoption_steepness*(2028-adoption_midpoint)))*(1-0.35))*vcr_per_enterprise*12*cloud_per_1M_vcr/1000000*5)+((opex_branding+opex_external+opex_legal+opex_security+opex_partner_mgmt)*5)+(capex_total*capex_maintenance_pct*4)))*(1-cit_rate))/(1+discount_rate)^2.5</f>
        <v>84115.435183763344</v>
      </c>
    </row>
    <row r="45" spans="1:9" x14ac:dyDescent="0.3">
      <c r="A45" s="77" t="s">
        <v>814</v>
      </c>
      <c r="B45" s="73"/>
      <c r="C45" s="73"/>
      <c r="D45" s="73"/>
      <c r="E45" s="73"/>
      <c r="F45" s="73"/>
      <c r="G45" s="73"/>
      <c r="H45" s="73"/>
      <c r="I45" s="74"/>
    </row>
    <row r="46" spans="1:9" x14ac:dyDescent="0.3">
      <c r="A46" s="41" t="s">
        <v>815</v>
      </c>
      <c r="B46" s="50">
        <v>0.08</v>
      </c>
      <c r="C46" s="50">
        <v>0.1</v>
      </c>
      <c r="D46" s="50">
        <v>0.12</v>
      </c>
      <c r="E46" s="50">
        <v>0.15</v>
      </c>
      <c r="F46" s="50">
        <v>0.18</v>
      </c>
      <c r="G46" s="50">
        <v>0.2</v>
      </c>
      <c r="H46" s="50">
        <v>0.25</v>
      </c>
    </row>
    <row r="47" spans="1:9" x14ac:dyDescent="0.3">
      <c r="A47" s="51">
        <v>1E-3</v>
      </c>
      <c r="B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-52171.642528578675</v>
      </c>
      <c r="C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-49832.443809526616</v>
      </c>
      <c r="D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-47637.486855414529</v>
      </c>
      <c r="E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-44591.214155891859</v>
      </c>
      <c r="F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-41810.838799616708</v>
      </c>
      <c r="G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-40090.436377966827</v>
      </c>
      <c r="H47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0.001*tx_take_rate*1000*3,0))-((IF((adoption_max/(1+EXP(-adoption_steepness*(2028-adoption_midpoint)))*(1-churn_rate))&gt;=stage2_gate,ecom_market_base*(1+ecom_growth_rate)^4*0.001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-36200.858182606105</v>
      </c>
    </row>
    <row r="48" spans="1:9" x14ac:dyDescent="0.3">
      <c r="A48" s="51">
        <v>3.0000000000000001E-3</v>
      </c>
      <c r="B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-43504.709702820299</v>
      </c>
      <c r="C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-41554.106726235397</v>
      </c>
      <c r="D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-39723.783576134752</v>
      </c>
      <c r="E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-37183.568182383933</v>
      </c>
      <c r="F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-34865.078350031676</v>
      </c>
      <c r="G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-33430.475100097428</v>
      </c>
      <c r="H48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0.003*tx_take_rate*1000*3,0))-((IF((adoption_max/(1+EXP(-adoption_steepness*(2028-adoption_midpoint)))*(1-churn_rate))&gt;=stage2_gate,ecom_market_base*(1+ecom_growth_rate)^4*0.003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-30187.047022039602</v>
      </c>
    </row>
    <row r="49" spans="1:9" x14ac:dyDescent="0.3">
      <c r="A49" s="51">
        <v>5.0000000000000001E-3</v>
      </c>
      <c r="B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-34837.776877061922</v>
      </c>
      <c r="C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-33275.769642944178</v>
      </c>
      <c r="D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-31810.080296854976</v>
      </c>
      <c r="E49" s="43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-29775.922208876003</v>
      </c>
      <c r="F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-27919.317900446651</v>
      </c>
      <c r="G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-26770.513822228026</v>
      </c>
      <c r="H49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0.005*tx_take_rate*1000*3,0))-((IF((adoption_max/(1+EXP(-adoption_steepness*(2028-adoption_midpoint)))*(1-churn_rate))&gt;=stage2_gate,ecom_market_base*(1+ecom_growth_rate)^4*0.005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-24173.235861473095</v>
      </c>
    </row>
    <row r="50" spans="1:9" x14ac:dyDescent="0.3">
      <c r="A50" s="51">
        <v>8.0000000000000002E-3</v>
      </c>
      <c r="B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-21837.377638424372</v>
      </c>
      <c r="C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-20858.264018007369</v>
      </c>
      <c r="D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-19939.525377935322</v>
      </c>
      <c r="E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-18664.453248614125</v>
      </c>
      <c r="F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-17500.677226069118</v>
      </c>
      <c r="G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-16780.571905423931</v>
      </c>
      <c r="H50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0.008*tx_take_rate*1000*3,0))-((IF((adoption_max/(1+EXP(-adoption_steepness*(2028-adoption_midpoint)))*(1-churn_rate))&gt;=stage2_gate,ecom_market_base*(1+ecom_growth_rate)^4*0.008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-15152.519120623347</v>
      </c>
    </row>
    <row r="51" spans="1:9" x14ac:dyDescent="0.3">
      <c r="A51" s="51">
        <v>0.01</v>
      </c>
      <c r="B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-13170.444812665985</v>
      </c>
      <c r="C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-12579.926934716141</v>
      </c>
      <c r="D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-12025.822098655533</v>
      </c>
      <c r="E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-11256.80727510619</v>
      </c>
      <c r="F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-10554.916776484082</v>
      </c>
      <c r="G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-10120.610627554523</v>
      </c>
      <c r="H51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*tx_take_rate*1000*3,0))-((IF((adoption_max/(1+EXP(-adoption_steepness*(2028-adoption_midpoint)))*(1-churn_rate))&gt;=stage2_gate,ecom_market_base*(1+ecom_growth_rate)^4*0.01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-9138.7079600568341</v>
      </c>
    </row>
    <row r="52" spans="1:9" x14ac:dyDescent="0.3">
      <c r="A52" s="51">
        <v>1.4999999999999999E-2</v>
      </c>
      <c r="B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8496.8872517299533</v>
      </c>
      <c r="C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8115.9157735118997</v>
      </c>
      <c r="D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7758.4360995439065</v>
      </c>
      <c r="E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7262.3076586636244</v>
      </c>
      <c r="F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6809.4843474784839</v>
      </c>
      <c r="G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6529.2925671189778</v>
      </c>
      <c r="H52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0.015*tx_take_rate*1000*3,0))-((IF((adoption_max/(1+EXP(-adoption_steepness*(2028-adoption_midpoint)))*(1-churn_rate))&gt;=stage2_gate,ecom_market_base*(1+ecom_growth_rate)^4*0.015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5895.8199413594284</v>
      </c>
    </row>
    <row r="53" spans="1:9" x14ac:dyDescent="0.3">
      <c r="A53" s="51">
        <v>0.02</v>
      </c>
      <c r="B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+0.08)^2.5</f>
        <v>30164.219316125887</v>
      </c>
      <c r="C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+0.1)^2.5</f>
        <v>28811.758481739937</v>
      </c>
      <c r="D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+0.12)^2.5</f>
        <v>27542.694297743343</v>
      </c>
      <c r="E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+0.15)^2.5</f>
        <v>25781.422592433435</v>
      </c>
      <c r="F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+0.18)^2.5</f>
        <v>24173.885471441048</v>
      </c>
      <c r="G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+0.2)^2.5</f>
        <v>23179.195761792478</v>
      </c>
      <c r="H53" s="49">
        <f>((((adoption_max/(1+EXP(-adoption_steepness*(2028-adoption_midpoint)))*(1-churn_rate))*(cert_fee_yr1*(1+cert_fee_escalation)^2.5+training_pct*training_fee+audit_fee)*5)+(IF((adoption_max/(1+EXP(-adoption_steepness*(2028-adoption_midpoint)))*(1-churn_rate))&gt;=stage2_gate,ecom_market_base*(1+ecom_growth_rate)^4*0.02*tx_take_rate*1000*3,0))-((IF((adoption_max/(1+EXP(-adoption_steepness*(2028-adoption_midpoint)))*(1-churn_rate))&gt;=stage2_gate,ecom_market_base*(1+ecom_growth_rate)^4*0.02*tx_take_rate*1000*3,0))*payment_proc_pct)-(capex_total+(33*30*12*(1+bhxh_rate)*(1+salary_escalation)^2*5)+(opex_marketing*(1+marketing_growth)^2*5)+(opex_cloud_base*5+(adoption_max/(1+EXP(-adoption_steepness*(2028-adoption_midpoint)))*(1-churn_rate))*vcr_per_enterprise*12*cloud_per_1M_vcr/1000000*5)+((opex_branding+opex_external+opex_legal+opex_security+opex_partner_mgmt)*5)+(capex_total*capex_maintenance_pct*4)))*(1-cit_rate))/(1+0.25)^2.5</f>
        <v>20930.347842775689</v>
      </c>
    </row>
    <row r="56" spans="1:9" x14ac:dyDescent="0.3">
      <c r="A56" s="77" t="s">
        <v>816</v>
      </c>
      <c r="B56" s="73"/>
      <c r="C56" s="73"/>
      <c r="D56" s="73"/>
      <c r="E56" s="73"/>
      <c r="F56" s="73"/>
      <c r="G56" s="73"/>
      <c r="H56" s="73"/>
      <c r="I56" s="74"/>
    </row>
    <row r="57" spans="1:9" x14ac:dyDescent="0.3">
      <c r="A57" s="75" t="s">
        <v>817</v>
      </c>
      <c r="B57" s="68"/>
      <c r="C57" s="68"/>
      <c r="D57" s="68"/>
      <c r="E57" s="68"/>
      <c r="F57" s="68"/>
      <c r="G57" s="68"/>
      <c r="H57" s="68"/>
      <c r="I57" s="68"/>
    </row>
    <row r="58" spans="1:9" x14ac:dyDescent="0.3">
      <c r="A58" s="75" t="s">
        <v>818</v>
      </c>
      <c r="B58" s="68"/>
      <c r="C58" s="68"/>
      <c r="D58" s="68"/>
      <c r="E58" s="68"/>
      <c r="F58" s="68"/>
      <c r="G58" s="68"/>
      <c r="H58" s="68"/>
      <c r="I58" s="68"/>
    </row>
    <row r="59" spans="1:9" x14ac:dyDescent="0.3">
      <c r="A59" s="75" t="s">
        <v>819</v>
      </c>
      <c r="B59" s="68"/>
      <c r="C59" s="68"/>
      <c r="D59" s="68"/>
      <c r="E59" s="68"/>
      <c r="F59" s="68"/>
      <c r="G59" s="68"/>
      <c r="H59" s="68"/>
      <c r="I59" s="68"/>
    </row>
    <row r="60" spans="1:9" x14ac:dyDescent="0.3">
      <c r="A60" s="75" t="s">
        <v>820</v>
      </c>
      <c r="B60" s="68"/>
      <c r="C60" s="68"/>
      <c r="D60" s="68"/>
      <c r="E60" s="68"/>
      <c r="F60" s="68"/>
      <c r="G60" s="68"/>
      <c r="H60" s="68"/>
      <c r="I60" s="68"/>
    </row>
    <row r="61" spans="1:9" x14ac:dyDescent="0.3">
      <c r="A61" s="75" t="s">
        <v>821</v>
      </c>
      <c r="B61" s="68"/>
      <c r="C61" s="68"/>
      <c r="D61" s="68"/>
      <c r="E61" s="68"/>
      <c r="F61" s="68"/>
      <c r="G61" s="68"/>
      <c r="H61" s="68"/>
      <c r="I61" s="68"/>
    </row>
    <row r="62" spans="1:9" x14ac:dyDescent="0.3">
      <c r="A62" s="75" t="s">
        <v>822</v>
      </c>
      <c r="B62" s="68"/>
      <c r="C62" s="68"/>
      <c r="D62" s="68"/>
      <c r="E62" s="68"/>
      <c r="F62" s="68"/>
      <c r="G62" s="68"/>
      <c r="H62" s="68"/>
      <c r="I62" s="68"/>
    </row>
  </sheetData>
  <mergeCells count="12">
    <mergeCell ref="A62:I62"/>
    <mergeCell ref="A1:I1"/>
    <mergeCell ref="A45:I45"/>
    <mergeCell ref="A56:I56"/>
    <mergeCell ref="A61:I61"/>
    <mergeCell ref="A3:I3"/>
    <mergeCell ref="A58:I58"/>
    <mergeCell ref="A59:I59"/>
    <mergeCell ref="A57:I57"/>
    <mergeCell ref="A19:I19"/>
    <mergeCell ref="A60:I60"/>
    <mergeCell ref="A32:I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F95"/>
  <sheetViews>
    <sheetView topLeftCell="A10" workbookViewId="0">
      <selection activeCell="B15" sqref="B15"/>
    </sheetView>
  </sheetViews>
  <sheetFormatPr defaultRowHeight="14.4" x14ac:dyDescent="0.3"/>
  <cols>
    <col min="1" max="1" width="32" style="52" customWidth="1"/>
    <col min="2" max="6" width="16" style="52" customWidth="1"/>
  </cols>
  <sheetData>
    <row r="1" spans="1:6" x14ac:dyDescent="0.3">
      <c r="A1" s="85" t="s">
        <v>823</v>
      </c>
      <c r="B1" s="73"/>
      <c r="C1" s="73"/>
      <c r="D1" s="73"/>
      <c r="E1" s="73"/>
      <c r="F1" s="74"/>
    </row>
    <row r="2" spans="1:6" x14ac:dyDescent="0.3">
      <c r="A2" s="1" t="s">
        <v>824</v>
      </c>
    </row>
    <row r="4" spans="1:6" x14ac:dyDescent="0.3">
      <c r="A4" s="3" t="s">
        <v>439</v>
      </c>
      <c r="B4" s="3" t="s">
        <v>825</v>
      </c>
      <c r="C4" s="3" t="s">
        <v>826</v>
      </c>
      <c r="D4" s="3" t="s">
        <v>782</v>
      </c>
      <c r="E4" s="3" t="s">
        <v>827</v>
      </c>
      <c r="F4" s="3" t="s">
        <v>828</v>
      </c>
    </row>
    <row r="5" spans="1:6" x14ac:dyDescent="0.3">
      <c r="A5" s="4" t="s">
        <v>120</v>
      </c>
      <c r="B5" s="18">
        <v>200</v>
      </c>
      <c r="C5" s="19">
        <v>600</v>
      </c>
      <c r="D5" s="9">
        <f>adoption_max</f>
        <v>1200</v>
      </c>
      <c r="E5" s="19">
        <v>2000</v>
      </c>
      <c r="F5" s="20">
        <v>3500</v>
      </c>
    </row>
    <row r="6" spans="1:6" x14ac:dyDescent="0.3">
      <c r="A6" s="4" t="s">
        <v>126</v>
      </c>
      <c r="B6" s="21">
        <v>0.5</v>
      </c>
      <c r="C6" s="22">
        <v>0.7</v>
      </c>
      <c r="D6" s="23">
        <f>adoption_steepness</f>
        <v>0.9</v>
      </c>
      <c r="E6" s="22">
        <v>1.2</v>
      </c>
      <c r="F6" s="24">
        <v>1.5</v>
      </c>
    </row>
    <row r="7" spans="1:6" x14ac:dyDescent="0.3">
      <c r="A7" s="4" t="s">
        <v>131</v>
      </c>
      <c r="B7" s="21">
        <v>0.35</v>
      </c>
      <c r="C7" s="22">
        <v>0.25</v>
      </c>
      <c r="D7" s="23">
        <f>churn_rate</f>
        <v>0.2</v>
      </c>
      <c r="E7" s="22">
        <v>0.15</v>
      </c>
      <c r="F7" s="24">
        <v>0.1</v>
      </c>
    </row>
    <row r="8" spans="1:6" x14ac:dyDescent="0.3">
      <c r="A8" s="4" t="s">
        <v>144</v>
      </c>
      <c r="B8" s="21">
        <v>1E-3</v>
      </c>
      <c r="C8" s="22">
        <v>3.0000000000000001E-3</v>
      </c>
      <c r="D8" s="23">
        <f>platform_market_share</f>
        <v>0.02</v>
      </c>
      <c r="E8" s="22">
        <v>0.01</v>
      </c>
      <c r="F8" s="24">
        <v>0.02</v>
      </c>
    </row>
    <row r="9" spans="1:6" x14ac:dyDescent="0.3">
      <c r="A9" s="4" t="s">
        <v>135</v>
      </c>
      <c r="B9" s="18">
        <v>15</v>
      </c>
      <c r="C9" s="19">
        <v>20</v>
      </c>
      <c r="D9" s="9">
        <f>cert_fee_yr1</f>
        <v>25</v>
      </c>
      <c r="E9" s="19">
        <v>30</v>
      </c>
      <c r="F9" s="20">
        <v>40</v>
      </c>
    </row>
    <row r="10" spans="1:6" x14ac:dyDescent="0.3">
      <c r="A10" s="4" t="s">
        <v>138</v>
      </c>
      <c r="B10" s="21">
        <v>0</v>
      </c>
      <c r="C10" s="22">
        <v>0.03</v>
      </c>
      <c r="D10" s="23">
        <f>cert_fee_escalation</f>
        <v>0.05</v>
      </c>
      <c r="E10" s="22">
        <v>0.08</v>
      </c>
      <c r="F10" s="24">
        <v>0.12</v>
      </c>
    </row>
    <row r="11" spans="1:6" x14ac:dyDescent="0.3">
      <c r="A11" s="4" t="s">
        <v>141</v>
      </c>
      <c r="B11" s="21">
        <v>0.01</v>
      </c>
      <c r="C11" s="22">
        <v>1.4999999999999999E-2</v>
      </c>
      <c r="D11" s="23">
        <f>tx_take_rate</f>
        <v>0.02</v>
      </c>
      <c r="E11" s="22">
        <v>2.5000000000000001E-2</v>
      </c>
      <c r="F11" s="24">
        <v>0.03</v>
      </c>
    </row>
    <row r="12" spans="1:6" x14ac:dyDescent="0.3">
      <c r="A12" s="4" t="s">
        <v>169</v>
      </c>
      <c r="B12" s="18">
        <v>8000</v>
      </c>
      <c r="C12" s="19">
        <v>7500</v>
      </c>
      <c r="D12" s="9">
        <f>opex_marketing</f>
        <v>7000</v>
      </c>
      <c r="E12" s="19">
        <v>6000</v>
      </c>
      <c r="F12" s="20">
        <v>5000</v>
      </c>
    </row>
    <row r="13" spans="1:6" x14ac:dyDescent="0.3">
      <c r="A13" s="4" t="s">
        <v>236</v>
      </c>
      <c r="B13" s="21">
        <v>0.2</v>
      </c>
      <c r="C13" s="22">
        <v>0.18</v>
      </c>
      <c r="D13" s="23">
        <f>discount_rate</f>
        <v>0.15</v>
      </c>
      <c r="E13" s="22">
        <v>0.12</v>
      </c>
      <c r="F13" s="24">
        <v>0.1</v>
      </c>
    </row>
    <row r="14" spans="1:6" x14ac:dyDescent="0.3">
      <c r="A14" s="4" t="s">
        <v>248</v>
      </c>
      <c r="B14" s="18">
        <v>500</v>
      </c>
      <c r="C14" s="19">
        <v>400</v>
      </c>
      <c r="D14" s="9">
        <f>stage2_gate</f>
        <v>300</v>
      </c>
      <c r="E14" s="19">
        <v>200</v>
      </c>
      <c r="F14" s="20">
        <v>150</v>
      </c>
    </row>
    <row r="17" spans="1:6" x14ac:dyDescent="0.3">
      <c r="A17" s="79" t="s">
        <v>829</v>
      </c>
      <c r="B17" s="68"/>
      <c r="C17" s="68"/>
      <c r="D17" s="68"/>
      <c r="E17" s="68"/>
      <c r="F17" s="68"/>
    </row>
    <row r="19" spans="1:6" x14ac:dyDescent="0.3">
      <c r="A19" s="83" t="s">
        <v>830</v>
      </c>
      <c r="B19" s="68"/>
      <c r="C19" s="68"/>
      <c r="D19" s="68"/>
      <c r="E19" s="68"/>
      <c r="F19" s="68"/>
    </row>
    <row r="21" spans="1:6" x14ac:dyDescent="0.3">
      <c r="A21" s="82" t="s">
        <v>831</v>
      </c>
      <c r="B21" s="68"/>
      <c r="C21" s="68"/>
      <c r="D21" s="68"/>
      <c r="E21" s="68"/>
      <c r="F21" s="68"/>
    </row>
    <row r="22" spans="1:6" x14ac:dyDescent="0.3">
      <c r="A22" s="78" t="s">
        <v>832</v>
      </c>
      <c r="B22" s="68"/>
      <c r="C22" s="68"/>
      <c r="D22" s="68"/>
      <c r="E22" s="68"/>
      <c r="F22" s="68"/>
    </row>
    <row r="23" spans="1:6" x14ac:dyDescent="0.3">
      <c r="A23" s="78" t="s">
        <v>833</v>
      </c>
      <c r="B23" s="68"/>
      <c r="C23" s="68"/>
      <c r="D23" s="68"/>
      <c r="E23" s="68"/>
      <c r="F23" s="68"/>
    </row>
    <row r="24" spans="1:6" x14ac:dyDescent="0.3">
      <c r="A24" s="78" t="s">
        <v>834</v>
      </c>
      <c r="B24" s="68"/>
      <c r="C24" s="68"/>
      <c r="D24" s="68"/>
      <c r="E24" s="68"/>
      <c r="F24" s="68"/>
    </row>
    <row r="25" spans="1:6" x14ac:dyDescent="0.3">
      <c r="A25" s="78" t="s">
        <v>835</v>
      </c>
      <c r="B25" s="68"/>
      <c r="C25" s="68"/>
      <c r="D25" s="68"/>
      <c r="E25" s="68"/>
      <c r="F25" s="68"/>
    </row>
    <row r="26" spans="1:6" x14ac:dyDescent="0.3">
      <c r="A26" s="78" t="s">
        <v>836</v>
      </c>
      <c r="B26" s="68"/>
      <c r="C26" s="68"/>
      <c r="D26" s="68"/>
      <c r="E26" s="68"/>
      <c r="F26" s="68"/>
    </row>
    <row r="28" spans="1:6" x14ac:dyDescent="0.3">
      <c r="A28" s="82" t="s">
        <v>837</v>
      </c>
      <c r="B28" s="68"/>
      <c r="C28" s="68"/>
      <c r="D28" s="68"/>
      <c r="E28" s="68"/>
      <c r="F28" s="68"/>
    </row>
    <row r="29" spans="1:6" x14ac:dyDescent="0.3">
      <c r="A29" s="78" t="s">
        <v>838</v>
      </c>
      <c r="B29" s="68"/>
      <c r="C29" s="68"/>
      <c r="D29" s="68"/>
      <c r="E29" s="68"/>
      <c r="F29" s="68"/>
    </row>
    <row r="30" spans="1:6" x14ac:dyDescent="0.3">
      <c r="A30" s="78" t="s">
        <v>839</v>
      </c>
      <c r="B30" s="68"/>
      <c r="C30" s="68"/>
      <c r="D30" s="68"/>
      <c r="E30" s="68"/>
      <c r="F30" s="68"/>
    </row>
    <row r="31" spans="1:6" x14ac:dyDescent="0.3">
      <c r="A31" s="78" t="s">
        <v>840</v>
      </c>
      <c r="B31" s="68"/>
      <c r="C31" s="68"/>
      <c r="D31" s="68"/>
      <c r="E31" s="68"/>
      <c r="F31" s="68"/>
    </row>
    <row r="32" spans="1:6" x14ac:dyDescent="0.3">
      <c r="A32" s="78" t="s">
        <v>841</v>
      </c>
      <c r="B32" s="68"/>
      <c r="C32" s="68"/>
      <c r="D32" s="68"/>
      <c r="E32" s="68"/>
      <c r="F32" s="68"/>
    </row>
    <row r="33" spans="1:6" x14ac:dyDescent="0.3">
      <c r="A33" s="78" t="s">
        <v>842</v>
      </c>
      <c r="B33" s="68"/>
      <c r="C33" s="68"/>
      <c r="D33" s="68"/>
      <c r="E33" s="68"/>
      <c r="F33" s="68"/>
    </row>
    <row r="35" spans="1:6" x14ac:dyDescent="0.3">
      <c r="A35" s="82" t="s">
        <v>843</v>
      </c>
      <c r="B35" s="68"/>
      <c r="C35" s="68"/>
      <c r="D35" s="68"/>
      <c r="E35" s="68"/>
      <c r="F35" s="68"/>
    </row>
    <row r="36" spans="1:6" x14ac:dyDescent="0.3">
      <c r="A36" s="78" t="s">
        <v>844</v>
      </c>
      <c r="B36" s="68"/>
      <c r="C36" s="68"/>
      <c r="D36" s="68"/>
      <c r="E36" s="68"/>
      <c r="F36" s="68"/>
    </row>
    <row r="37" spans="1:6" x14ac:dyDescent="0.3">
      <c r="A37" s="78" t="s">
        <v>845</v>
      </c>
      <c r="B37" s="68"/>
      <c r="C37" s="68"/>
      <c r="D37" s="68"/>
      <c r="E37" s="68"/>
      <c r="F37" s="68"/>
    </row>
    <row r="38" spans="1:6" x14ac:dyDescent="0.3">
      <c r="A38" s="78" t="s">
        <v>846</v>
      </c>
      <c r="B38" s="68"/>
      <c r="C38" s="68"/>
      <c r="D38" s="68"/>
      <c r="E38" s="68"/>
      <c r="F38" s="68"/>
    </row>
    <row r="39" spans="1:6" x14ac:dyDescent="0.3">
      <c r="A39" s="78" t="s">
        <v>847</v>
      </c>
      <c r="B39" s="68"/>
      <c r="C39" s="68"/>
      <c r="D39" s="68"/>
      <c r="E39" s="68"/>
      <c r="F39" s="68"/>
    </row>
    <row r="40" spans="1:6" x14ac:dyDescent="0.3">
      <c r="A40" s="78" t="s">
        <v>848</v>
      </c>
      <c r="B40" s="68"/>
      <c r="C40" s="68"/>
      <c r="D40" s="68"/>
      <c r="E40" s="68"/>
      <c r="F40" s="68"/>
    </row>
    <row r="43" spans="1:6" x14ac:dyDescent="0.3">
      <c r="A43" s="79" t="s">
        <v>849</v>
      </c>
      <c r="B43" s="68"/>
      <c r="C43" s="68"/>
      <c r="D43" s="68"/>
      <c r="E43" s="68"/>
      <c r="F43" s="68"/>
    </row>
    <row r="45" spans="1:6" x14ac:dyDescent="0.3">
      <c r="A45" s="86" t="s">
        <v>850</v>
      </c>
      <c r="B45" s="68"/>
      <c r="C45" s="68"/>
      <c r="D45" s="68"/>
      <c r="E45" s="68"/>
      <c r="F45" s="68"/>
    </row>
    <row r="46" spans="1:6" x14ac:dyDescent="0.3">
      <c r="A46" s="78" t="s">
        <v>851</v>
      </c>
      <c r="B46" s="68"/>
      <c r="C46" s="68"/>
      <c r="D46" s="68"/>
      <c r="E46" s="68"/>
      <c r="F46" s="68"/>
    </row>
    <row r="47" spans="1:6" x14ac:dyDescent="0.3">
      <c r="A47" s="78" t="s">
        <v>852</v>
      </c>
      <c r="B47" s="68"/>
      <c r="C47" s="68"/>
      <c r="D47" s="68"/>
      <c r="E47" s="68"/>
      <c r="F47" s="68"/>
    </row>
    <row r="48" spans="1:6" x14ac:dyDescent="0.3">
      <c r="A48" s="78" t="s">
        <v>853</v>
      </c>
      <c r="B48" s="68"/>
      <c r="C48" s="68"/>
      <c r="D48" s="68"/>
      <c r="E48" s="68"/>
      <c r="F48" s="68"/>
    </row>
    <row r="49" spans="1:6" x14ac:dyDescent="0.3">
      <c r="A49" s="78" t="s">
        <v>854</v>
      </c>
      <c r="B49" s="68"/>
      <c r="C49" s="68"/>
      <c r="D49" s="68"/>
      <c r="E49" s="68"/>
      <c r="F49" s="68"/>
    </row>
    <row r="50" spans="1:6" x14ac:dyDescent="0.3">
      <c r="A50" s="78" t="s">
        <v>855</v>
      </c>
      <c r="B50" s="68"/>
      <c r="C50" s="68"/>
      <c r="D50" s="68"/>
      <c r="E50" s="68"/>
      <c r="F50" s="68"/>
    </row>
    <row r="52" spans="1:6" x14ac:dyDescent="0.3">
      <c r="A52" s="84" t="s">
        <v>856</v>
      </c>
      <c r="B52" s="68"/>
      <c r="C52" s="68"/>
      <c r="D52" s="68"/>
      <c r="E52" s="68"/>
      <c r="F52" s="68"/>
    </row>
    <row r="53" spans="1:6" x14ac:dyDescent="0.3">
      <c r="A53" s="78" t="s">
        <v>857</v>
      </c>
      <c r="B53" s="68"/>
      <c r="C53" s="68"/>
      <c r="D53" s="68"/>
      <c r="E53" s="68"/>
      <c r="F53" s="68"/>
    </row>
    <row r="54" spans="1:6" x14ac:dyDescent="0.3">
      <c r="A54" s="78" t="s">
        <v>858</v>
      </c>
      <c r="B54" s="68"/>
      <c r="C54" s="68"/>
      <c r="D54" s="68"/>
      <c r="E54" s="68"/>
      <c r="F54" s="68"/>
    </row>
    <row r="55" spans="1:6" x14ac:dyDescent="0.3">
      <c r="A55" s="78" t="s">
        <v>859</v>
      </c>
      <c r="B55" s="68"/>
      <c r="C55" s="68"/>
      <c r="D55" s="68"/>
      <c r="E55" s="68"/>
      <c r="F55" s="68"/>
    </row>
    <row r="56" spans="1:6" x14ac:dyDescent="0.3">
      <c r="A56" s="78" t="s">
        <v>860</v>
      </c>
      <c r="B56" s="68"/>
      <c r="C56" s="68"/>
      <c r="D56" s="68"/>
      <c r="E56" s="68"/>
      <c r="F56" s="68"/>
    </row>
    <row r="57" spans="1:6" x14ac:dyDescent="0.3">
      <c r="A57" s="78" t="s">
        <v>861</v>
      </c>
      <c r="B57" s="68"/>
      <c r="C57" s="68"/>
      <c r="D57" s="68"/>
      <c r="E57" s="68"/>
      <c r="F57" s="68"/>
    </row>
    <row r="59" spans="1:6" x14ac:dyDescent="0.3">
      <c r="A59" s="82" t="s">
        <v>862</v>
      </c>
      <c r="B59" s="68"/>
      <c r="C59" s="68"/>
      <c r="D59" s="68"/>
      <c r="E59" s="68"/>
      <c r="F59" s="68"/>
    </row>
    <row r="60" spans="1:6" x14ac:dyDescent="0.3">
      <c r="A60" s="78" t="s">
        <v>863</v>
      </c>
      <c r="B60" s="68"/>
      <c r="C60" s="68"/>
      <c r="D60" s="68"/>
      <c r="E60" s="68"/>
      <c r="F60" s="68"/>
    </row>
    <row r="61" spans="1:6" x14ac:dyDescent="0.3">
      <c r="A61" s="78" t="s">
        <v>864</v>
      </c>
      <c r="B61" s="68"/>
      <c r="C61" s="68"/>
      <c r="D61" s="68"/>
      <c r="E61" s="68"/>
      <c r="F61" s="68"/>
    </row>
    <row r="62" spans="1:6" x14ac:dyDescent="0.3">
      <c r="A62" s="78" t="s">
        <v>865</v>
      </c>
      <c r="B62" s="68"/>
      <c r="C62" s="68"/>
      <c r="D62" s="68"/>
      <c r="E62" s="68"/>
      <c r="F62" s="68"/>
    </row>
    <row r="63" spans="1:6" x14ac:dyDescent="0.3">
      <c r="A63" s="78" t="s">
        <v>866</v>
      </c>
      <c r="B63" s="68"/>
      <c r="C63" s="68"/>
      <c r="D63" s="68"/>
      <c r="E63" s="68"/>
      <c r="F63" s="68"/>
    </row>
    <row r="64" spans="1:6" x14ac:dyDescent="0.3">
      <c r="A64" s="78" t="s">
        <v>867</v>
      </c>
      <c r="B64" s="68"/>
      <c r="C64" s="68"/>
      <c r="D64" s="68"/>
      <c r="E64" s="68"/>
      <c r="F64" s="68"/>
    </row>
    <row r="65" spans="1:6" x14ac:dyDescent="0.3">
      <c r="A65" s="78" t="s">
        <v>868</v>
      </c>
      <c r="B65" s="68"/>
      <c r="C65" s="68"/>
      <c r="D65" s="68"/>
      <c r="E65" s="68"/>
      <c r="F65" s="68"/>
    </row>
    <row r="67" spans="1:6" x14ac:dyDescent="0.3">
      <c r="A67" s="81" t="s">
        <v>869</v>
      </c>
      <c r="B67" s="68"/>
      <c r="C67" s="68"/>
      <c r="D67" s="68"/>
      <c r="E67" s="68"/>
      <c r="F67" s="68"/>
    </row>
    <row r="68" spans="1:6" x14ac:dyDescent="0.3">
      <c r="A68" s="78" t="s">
        <v>870</v>
      </c>
      <c r="B68" s="68"/>
      <c r="C68" s="68"/>
      <c r="D68" s="68"/>
      <c r="E68" s="68"/>
      <c r="F68" s="68"/>
    </row>
    <row r="69" spans="1:6" x14ac:dyDescent="0.3">
      <c r="A69" s="78" t="s">
        <v>871</v>
      </c>
      <c r="B69" s="68"/>
      <c r="C69" s="68"/>
      <c r="D69" s="68"/>
      <c r="E69" s="68"/>
      <c r="F69" s="68"/>
    </row>
    <row r="70" spans="1:6" x14ac:dyDescent="0.3">
      <c r="A70" s="78" t="s">
        <v>872</v>
      </c>
      <c r="B70" s="68"/>
      <c r="C70" s="68"/>
      <c r="D70" s="68"/>
      <c r="E70" s="68"/>
      <c r="F70" s="68"/>
    </row>
    <row r="71" spans="1:6" x14ac:dyDescent="0.3">
      <c r="A71" s="78" t="s">
        <v>873</v>
      </c>
      <c r="B71" s="68"/>
      <c r="C71" s="68"/>
      <c r="D71" s="68"/>
      <c r="E71" s="68"/>
      <c r="F71" s="68"/>
    </row>
    <row r="72" spans="1:6" x14ac:dyDescent="0.3">
      <c r="A72" s="78" t="s">
        <v>874</v>
      </c>
      <c r="B72" s="68"/>
      <c r="C72" s="68"/>
      <c r="D72" s="68"/>
      <c r="E72" s="68"/>
      <c r="F72" s="68"/>
    </row>
    <row r="73" spans="1:6" x14ac:dyDescent="0.3">
      <c r="A73" s="78" t="s">
        <v>875</v>
      </c>
      <c r="B73" s="68"/>
      <c r="C73" s="68"/>
      <c r="D73" s="68"/>
      <c r="E73" s="68"/>
      <c r="F73" s="68"/>
    </row>
    <row r="75" spans="1:6" x14ac:dyDescent="0.3">
      <c r="A75" s="80" t="s">
        <v>876</v>
      </c>
      <c r="B75" s="68"/>
      <c r="C75" s="68"/>
      <c r="D75" s="68"/>
      <c r="E75" s="68"/>
      <c r="F75" s="68"/>
    </row>
    <row r="76" spans="1:6" x14ac:dyDescent="0.3">
      <c r="A76" s="78" t="s">
        <v>877</v>
      </c>
      <c r="B76" s="68"/>
      <c r="C76" s="68"/>
      <c r="D76" s="68"/>
      <c r="E76" s="68"/>
      <c r="F76" s="68"/>
    </row>
    <row r="77" spans="1:6" x14ac:dyDescent="0.3">
      <c r="A77" s="78" t="s">
        <v>878</v>
      </c>
      <c r="B77" s="68"/>
      <c r="C77" s="68"/>
      <c r="D77" s="68"/>
      <c r="E77" s="68"/>
      <c r="F77" s="68"/>
    </row>
    <row r="78" spans="1:6" x14ac:dyDescent="0.3">
      <c r="A78" s="78" t="s">
        <v>879</v>
      </c>
      <c r="B78" s="68"/>
      <c r="C78" s="68"/>
      <c r="D78" s="68"/>
      <c r="E78" s="68"/>
      <c r="F78" s="68"/>
    </row>
    <row r="79" spans="1:6" x14ac:dyDescent="0.3">
      <c r="A79" s="78" t="s">
        <v>880</v>
      </c>
      <c r="B79" s="68"/>
      <c r="C79" s="68"/>
      <c r="D79" s="68"/>
      <c r="E79" s="68"/>
      <c r="F79" s="68"/>
    </row>
    <row r="80" spans="1:6" x14ac:dyDescent="0.3">
      <c r="A80" s="78" t="s">
        <v>881</v>
      </c>
      <c r="B80" s="68"/>
      <c r="C80" s="68"/>
      <c r="D80" s="68"/>
      <c r="E80" s="68"/>
      <c r="F80" s="68"/>
    </row>
    <row r="81" spans="1:6" x14ac:dyDescent="0.3">
      <c r="A81" s="78" t="s">
        <v>882</v>
      </c>
      <c r="B81" s="68"/>
      <c r="C81" s="68"/>
      <c r="D81" s="68"/>
      <c r="E81" s="68"/>
      <c r="F81" s="68"/>
    </row>
    <row r="84" spans="1:6" x14ac:dyDescent="0.3">
      <c r="A84" s="79" t="s">
        <v>883</v>
      </c>
      <c r="B84" s="68"/>
      <c r="C84" s="68"/>
      <c r="D84" s="68"/>
      <c r="E84" s="68"/>
      <c r="F84" s="68"/>
    </row>
    <row r="86" spans="1:6" x14ac:dyDescent="0.3">
      <c r="A86" s="78" t="s">
        <v>884</v>
      </c>
      <c r="B86" s="68"/>
      <c r="C86" s="68"/>
      <c r="D86" s="68"/>
      <c r="E86" s="68"/>
      <c r="F86" s="68"/>
    </row>
    <row r="87" spans="1:6" x14ac:dyDescent="0.3">
      <c r="A87" s="78" t="s">
        <v>885</v>
      </c>
      <c r="B87" s="68"/>
      <c r="C87" s="68"/>
      <c r="D87" s="68"/>
      <c r="E87" s="68"/>
      <c r="F87" s="68"/>
    </row>
    <row r="88" spans="1:6" x14ac:dyDescent="0.3">
      <c r="A88" s="78" t="s">
        <v>886</v>
      </c>
      <c r="B88" s="68"/>
      <c r="C88" s="68"/>
      <c r="D88" s="68"/>
      <c r="E88" s="68"/>
      <c r="F88" s="68"/>
    </row>
    <row r="89" spans="1:6" x14ac:dyDescent="0.3">
      <c r="A89" s="78" t="s">
        <v>887</v>
      </c>
      <c r="B89" s="68"/>
      <c r="C89" s="68"/>
      <c r="D89" s="68"/>
      <c r="E89" s="68"/>
      <c r="F89" s="68"/>
    </row>
    <row r="90" spans="1:6" x14ac:dyDescent="0.3">
      <c r="A90" s="78" t="s">
        <v>888</v>
      </c>
      <c r="B90" s="68"/>
      <c r="C90" s="68"/>
      <c r="D90" s="68"/>
      <c r="E90" s="68"/>
      <c r="F90" s="68"/>
    </row>
    <row r="91" spans="1:6" x14ac:dyDescent="0.3">
      <c r="A91" s="78" t="s">
        <v>889</v>
      </c>
      <c r="B91" s="68"/>
      <c r="C91" s="68"/>
      <c r="D91" s="68"/>
      <c r="E91" s="68"/>
      <c r="F91" s="68"/>
    </row>
    <row r="92" spans="1:6" x14ac:dyDescent="0.3">
      <c r="A92" s="78" t="s">
        <v>890</v>
      </c>
      <c r="B92" s="68"/>
      <c r="C92" s="68"/>
      <c r="D92" s="68"/>
      <c r="E92" s="68"/>
      <c r="F92" s="68"/>
    </row>
    <row r="93" spans="1:6" x14ac:dyDescent="0.3">
      <c r="A93" s="78" t="s">
        <v>891</v>
      </c>
      <c r="B93" s="68"/>
      <c r="C93" s="68"/>
      <c r="D93" s="68"/>
      <c r="E93" s="68"/>
      <c r="F93" s="68"/>
    </row>
    <row r="94" spans="1:6" x14ac:dyDescent="0.3">
      <c r="A94" s="78" t="s">
        <v>892</v>
      </c>
      <c r="B94" s="68"/>
      <c r="C94" s="68"/>
      <c r="D94" s="68"/>
      <c r="E94" s="68"/>
      <c r="F94" s="68"/>
    </row>
    <row r="95" spans="1:6" x14ac:dyDescent="0.3">
      <c r="A95" s="78" t="s">
        <v>893</v>
      </c>
      <c r="B95" s="68"/>
      <c r="C95" s="68"/>
      <c r="D95" s="68"/>
      <c r="E95" s="68"/>
      <c r="F95" s="68"/>
    </row>
  </sheetData>
  <mergeCells count="66">
    <mergeCell ref="A94:F94"/>
    <mergeCell ref="A1:F1"/>
    <mergeCell ref="A45:F45"/>
    <mergeCell ref="A70:F70"/>
    <mergeCell ref="A79:F79"/>
    <mergeCell ref="A61:F61"/>
    <mergeCell ref="A88:F88"/>
    <mergeCell ref="A78:F78"/>
    <mergeCell ref="A69:F69"/>
    <mergeCell ref="A87:F87"/>
    <mergeCell ref="A65:F65"/>
    <mergeCell ref="A17:F17"/>
    <mergeCell ref="A35:F35"/>
    <mergeCell ref="A25:F25"/>
    <mergeCell ref="A62:F62"/>
    <mergeCell ref="A53:F53"/>
    <mergeCell ref="A19:F19"/>
    <mergeCell ref="A31:F31"/>
    <mergeCell ref="A40:F40"/>
    <mergeCell ref="A48:F48"/>
    <mergeCell ref="A30:F30"/>
    <mergeCell ref="A39:F39"/>
    <mergeCell ref="A26:F26"/>
    <mergeCell ref="A21:F21"/>
    <mergeCell ref="A22:F22"/>
    <mergeCell ref="A29:F29"/>
    <mergeCell ref="A43:F43"/>
    <mergeCell ref="A38:F38"/>
    <mergeCell ref="A28:F28"/>
    <mergeCell ref="A95:F95"/>
    <mergeCell ref="A33:F33"/>
    <mergeCell ref="A71:F71"/>
    <mergeCell ref="A47:F47"/>
    <mergeCell ref="A76:F76"/>
    <mergeCell ref="A72:F72"/>
    <mergeCell ref="A91:F91"/>
    <mergeCell ref="A81:F81"/>
    <mergeCell ref="A63:F63"/>
    <mergeCell ref="A93:F93"/>
    <mergeCell ref="A68:F68"/>
    <mergeCell ref="A67:F67"/>
    <mergeCell ref="A92:F92"/>
    <mergeCell ref="A77:F77"/>
    <mergeCell ref="A64:F64"/>
    <mergeCell ref="A59:F59"/>
    <mergeCell ref="A46:F46"/>
    <mergeCell ref="A55:F55"/>
    <mergeCell ref="A86:F86"/>
    <mergeCell ref="A57:F57"/>
    <mergeCell ref="A23:F23"/>
    <mergeCell ref="A32:F32"/>
    <mergeCell ref="A73:F73"/>
    <mergeCell ref="A24:F24"/>
    <mergeCell ref="A49:F49"/>
    <mergeCell ref="A60:F60"/>
    <mergeCell ref="A36:F36"/>
    <mergeCell ref="A37:F37"/>
    <mergeCell ref="A75:F75"/>
    <mergeCell ref="A52:F52"/>
    <mergeCell ref="A90:F90"/>
    <mergeCell ref="A84:F84"/>
    <mergeCell ref="A80:F80"/>
    <mergeCell ref="A89:F89"/>
    <mergeCell ref="A50:F50"/>
    <mergeCell ref="A56:F56"/>
    <mergeCell ref="A54:F5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I4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35" style="52" customWidth="1"/>
    <col min="2" max="8" width="12" style="52" customWidth="1"/>
    <col min="9" max="9" width="14" style="52" customWidth="1"/>
  </cols>
  <sheetData>
    <row r="1" spans="1:9" x14ac:dyDescent="0.3">
      <c r="A1" s="25" t="s">
        <v>894</v>
      </c>
    </row>
    <row r="3" spans="1:9" x14ac:dyDescent="0.3">
      <c r="A3" s="3" t="s">
        <v>713</v>
      </c>
      <c r="B3" s="3" t="s">
        <v>441</v>
      </c>
      <c r="C3" s="3" t="s">
        <v>895</v>
      </c>
      <c r="D3" s="3" t="s">
        <v>896</v>
      </c>
      <c r="E3" s="3" t="s">
        <v>897</v>
      </c>
      <c r="F3" s="3" t="s">
        <v>898</v>
      </c>
      <c r="G3" s="3" t="s">
        <v>899</v>
      </c>
      <c r="H3" s="3" t="s">
        <v>900</v>
      </c>
      <c r="I3" s="3" t="s">
        <v>901</v>
      </c>
    </row>
    <row r="4" spans="1:9" x14ac:dyDescent="0.3">
      <c r="A4" s="25" t="s">
        <v>902</v>
      </c>
      <c r="C4" s="11"/>
      <c r="D4" s="11"/>
      <c r="E4" s="11"/>
      <c r="F4" s="11"/>
      <c r="G4" s="11"/>
      <c r="H4" s="11"/>
      <c r="I4" s="11"/>
    </row>
    <row r="5" spans="1:9" x14ac:dyDescent="0.3">
      <c r="A5" s="4" t="s">
        <v>903</v>
      </c>
      <c r="B5" s="4" t="s">
        <v>470</v>
      </c>
      <c r="C5" s="10">
        <f>MAX(pilot_count,adoption_max/(1+EXP(-adoption_steepness*(2025.542-adoption_midpoint))))*cert_fee_yr1*(1+cert_fee_escalation)^0/12</f>
        <v>246.65065563399014</v>
      </c>
      <c r="D5" s="10">
        <f>MAX(pilot_count,adoption_max/(1+EXP(-adoption_steepness*(2025.625-adoption_midpoint))))*cert_fee_yr1*(1+cert_fee_escalation)^0/12</f>
        <v>263.7627283986339</v>
      </c>
      <c r="E5" s="10">
        <f>MAX(pilot_count,adoption_max/(1+EXP(-adoption_steepness*(2025.708-adoption_midpoint))))*cert_fee_yr1*(1+cert_fee_escalation)^0/12</f>
        <v>281.9134699732773</v>
      </c>
      <c r="F5" s="10">
        <f>MAX(pilot_count,adoption_max/(1+EXP(-adoption_steepness*(2025.792-adoption_midpoint))))*cert_fee_yr1*(1+cert_fee_escalation)^0/12</f>
        <v>301.38350999876781</v>
      </c>
      <c r="G5" s="10">
        <f>MAX(pilot_count,adoption_max/(1+EXP(-adoption_steepness*(2025.875-adoption_midpoint))))*cert_fee_yr1*(1+cert_fee_escalation)^0/12</f>
        <v>321.75062645987242</v>
      </c>
      <c r="H5" s="10">
        <f>MAX(pilot_count,adoption_max/(1+EXP(-adoption_steepness*(2025.958-adoption_midpoint))))*cert_fee_yr1*(1+cert_fee_escalation)^0/12</f>
        <v>343.27922628391002</v>
      </c>
      <c r="I5" s="9">
        <f>SUM(C5:H5)</f>
        <v>1758.7402167484515</v>
      </c>
    </row>
    <row r="6" spans="1:9" x14ac:dyDescent="0.3">
      <c r="A6" s="4" t="s">
        <v>716</v>
      </c>
      <c r="B6" s="4" t="s">
        <v>470</v>
      </c>
      <c r="C6" s="10">
        <f>MAX(pilot_count,adoption_max/(1+EXP(-adoption_steepness*(2025.542-adoption_midpoint))))*training_pct*training_fee/12</f>
        <v>44.397118014118227</v>
      </c>
      <c r="D6" s="10">
        <f>MAX(pilot_count,adoption_max/(1+EXP(-adoption_steepness*(2025.625-adoption_midpoint))))*training_pct*training_fee/12</f>
        <v>47.477291111754091</v>
      </c>
      <c r="E6" s="10">
        <f>MAX(pilot_count,adoption_max/(1+EXP(-adoption_steepness*(2025.708-adoption_midpoint))))*training_pct*training_fee/12</f>
        <v>50.744424595189912</v>
      </c>
      <c r="F6" s="10">
        <f>MAX(pilot_count,adoption_max/(1+EXP(-adoption_steepness*(2025.792-adoption_midpoint))))*training_pct*training_fee/12</f>
        <v>54.249031799778209</v>
      </c>
      <c r="G6" s="10">
        <f>MAX(pilot_count,adoption_max/(1+EXP(-adoption_steepness*(2025.875-adoption_midpoint))))*training_pct*training_fee/12</f>
        <v>57.915112762777035</v>
      </c>
      <c r="H6" s="10">
        <f>MAX(pilot_count,adoption_max/(1+EXP(-adoption_steepness*(2025.958-adoption_midpoint))))*training_pct*training_fee/12</f>
        <v>61.790260731103807</v>
      </c>
      <c r="I6" s="9">
        <f>SUM(C6:H6)</f>
        <v>316.57323901472125</v>
      </c>
    </row>
    <row r="7" spans="1:9" x14ac:dyDescent="0.3">
      <c r="A7" s="4" t="s">
        <v>904</v>
      </c>
      <c r="B7" s="4" t="s">
        <v>470</v>
      </c>
      <c r="C7" s="10">
        <f>MAX(pilot_count,adoption_max/(1+EXP(-adoption_steepness*(2025.542-adoption_midpoint))))*audit_fee/12</f>
        <v>98.660262253596059</v>
      </c>
      <c r="D7" s="10">
        <f>MAX(pilot_count,adoption_max/(1+EXP(-adoption_steepness*(2025.625-adoption_midpoint))))*audit_fee/12</f>
        <v>105.50509135945354</v>
      </c>
      <c r="E7" s="10">
        <f>MAX(pilot_count,adoption_max/(1+EXP(-adoption_steepness*(2025.708-adoption_midpoint))))*audit_fee/12</f>
        <v>112.76538798931092</v>
      </c>
      <c r="F7" s="10">
        <f>MAX(pilot_count,adoption_max/(1+EXP(-adoption_steepness*(2025.792-adoption_midpoint))))*audit_fee/12</f>
        <v>120.55340399950713</v>
      </c>
      <c r="G7" s="10">
        <f>MAX(pilot_count,adoption_max/(1+EXP(-adoption_steepness*(2025.875-adoption_midpoint))))*audit_fee/12</f>
        <v>128.70025058394899</v>
      </c>
      <c r="H7" s="10">
        <f>MAX(pilot_count,adoption_max/(1+EXP(-adoption_steepness*(2025.958-adoption_midpoint))))*audit_fee/12</f>
        <v>137.311690513564</v>
      </c>
      <c r="I7" s="9">
        <f>SUM(C7:H7)</f>
        <v>703.49608669938061</v>
      </c>
    </row>
    <row r="8" spans="1:9" x14ac:dyDescent="0.3">
      <c r="A8" s="4" t="s">
        <v>724</v>
      </c>
      <c r="C8" s="9">
        <f t="shared" ref="C8:H8" si="0">SUM(C5:C7)</f>
        <v>389.70803590170442</v>
      </c>
      <c r="D8" s="9">
        <f t="shared" si="0"/>
        <v>416.74511086984154</v>
      </c>
      <c r="E8" s="9">
        <f t="shared" si="0"/>
        <v>445.42328255777812</v>
      </c>
      <c r="F8" s="9">
        <f t="shared" si="0"/>
        <v>476.18594579805313</v>
      </c>
      <c r="G8" s="9">
        <f t="shared" si="0"/>
        <v>508.36598980659846</v>
      </c>
      <c r="H8" s="9">
        <f t="shared" si="0"/>
        <v>542.38117752857784</v>
      </c>
      <c r="I8" s="9">
        <f>SUM(C8:H8)</f>
        <v>2778.8095424625535</v>
      </c>
    </row>
    <row r="10" spans="1:9" x14ac:dyDescent="0.3">
      <c r="A10" s="25" t="s">
        <v>342</v>
      </c>
      <c r="C10" s="11"/>
      <c r="D10" s="11"/>
      <c r="E10" s="11"/>
      <c r="F10" s="11"/>
      <c r="G10" s="11"/>
      <c r="H10" s="11"/>
      <c r="I10" s="11"/>
    </row>
    <row r="11" spans="1:9" x14ac:dyDescent="0.3">
      <c r="A11" s="4" t="s">
        <v>905</v>
      </c>
      <c r="B11" s="4" t="s">
        <v>470</v>
      </c>
      <c r="C11" s="10">
        <f t="shared" ref="C11:H11" si="1">capex_cloud_setup/6</f>
        <v>133.33333333333334</v>
      </c>
      <c r="D11" s="10">
        <f t="shared" si="1"/>
        <v>133.33333333333334</v>
      </c>
      <c r="E11" s="10">
        <f t="shared" si="1"/>
        <v>133.33333333333334</v>
      </c>
      <c r="F11" s="10">
        <f t="shared" si="1"/>
        <v>133.33333333333334</v>
      </c>
      <c r="G11" s="10">
        <f t="shared" si="1"/>
        <v>133.33333333333334</v>
      </c>
      <c r="H11" s="10">
        <f t="shared" si="1"/>
        <v>133.33333333333334</v>
      </c>
      <c r="I11" s="9">
        <f t="shared" ref="I11:I21" si="2">SUM(C11:H11)</f>
        <v>800.00000000000011</v>
      </c>
    </row>
    <row r="12" spans="1:9" x14ac:dyDescent="0.3">
      <c r="A12" s="4" t="s">
        <v>906</v>
      </c>
      <c r="B12" s="4" t="s">
        <v>470</v>
      </c>
      <c r="C12" s="10">
        <f t="shared" ref="C12:H12" si="3">capex_backend/6</f>
        <v>200</v>
      </c>
      <c r="D12" s="10">
        <f t="shared" si="3"/>
        <v>200</v>
      </c>
      <c r="E12" s="10">
        <f t="shared" si="3"/>
        <v>200</v>
      </c>
      <c r="F12" s="10">
        <f t="shared" si="3"/>
        <v>200</v>
      </c>
      <c r="G12" s="10">
        <f t="shared" si="3"/>
        <v>200</v>
      </c>
      <c r="H12" s="10">
        <f t="shared" si="3"/>
        <v>200</v>
      </c>
      <c r="I12" s="9">
        <f t="shared" si="2"/>
        <v>1200</v>
      </c>
    </row>
    <row r="13" spans="1:9" x14ac:dyDescent="0.3">
      <c r="A13" s="4" t="s">
        <v>907</v>
      </c>
      <c r="B13" s="4" t="s">
        <v>470</v>
      </c>
      <c r="C13" s="10">
        <f t="shared" ref="C13:H13" si="4">capex_frontend/6</f>
        <v>150</v>
      </c>
      <c r="D13" s="10">
        <f t="shared" si="4"/>
        <v>150</v>
      </c>
      <c r="E13" s="10">
        <f t="shared" si="4"/>
        <v>150</v>
      </c>
      <c r="F13" s="10">
        <f t="shared" si="4"/>
        <v>150</v>
      </c>
      <c r="G13" s="10">
        <f t="shared" si="4"/>
        <v>150</v>
      </c>
      <c r="H13" s="10">
        <f t="shared" si="4"/>
        <v>150</v>
      </c>
      <c r="I13" s="9">
        <f t="shared" si="2"/>
        <v>900</v>
      </c>
    </row>
    <row r="14" spans="1:9" x14ac:dyDescent="0.3">
      <c r="A14" s="4" t="s">
        <v>908</v>
      </c>
      <c r="B14" s="4" t="s">
        <v>470</v>
      </c>
      <c r="C14" s="10">
        <f t="shared" ref="C14:H14" si="5">capex_data_platform/6</f>
        <v>100</v>
      </c>
      <c r="D14" s="10">
        <f t="shared" si="5"/>
        <v>100</v>
      </c>
      <c r="E14" s="10">
        <f t="shared" si="5"/>
        <v>100</v>
      </c>
      <c r="F14" s="10">
        <f t="shared" si="5"/>
        <v>100</v>
      </c>
      <c r="G14" s="10">
        <f t="shared" si="5"/>
        <v>100</v>
      </c>
      <c r="H14" s="10">
        <f t="shared" si="5"/>
        <v>100</v>
      </c>
      <c r="I14" s="9">
        <f t="shared" si="2"/>
        <v>600</v>
      </c>
    </row>
    <row r="15" spans="1:9" x14ac:dyDescent="0.3">
      <c r="A15" s="4" t="s">
        <v>735</v>
      </c>
      <c r="B15" s="4" t="s">
        <v>470</v>
      </c>
      <c r="C15" s="10">
        <f t="shared" ref="C15:H15" si="6">capex_security_setup/6</f>
        <v>41.666666666666664</v>
      </c>
      <c r="D15" s="10">
        <f t="shared" si="6"/>
        <v>41.666666666666664</v>
      </c>
      <c r="E15" s="10">
        <f t="shared" si="6"/>
        <v>41.666666666666664</v>
      </c>
      <c r="F15" s="10">
        <f t="shared" si="6"/>
        <v>41.666666666666664</v>
      </c>
      <c r="G15" s="10">
        <f t="shared" si="6"/>
        <v>41.666666666666664</v>
      </c>
      <c r="H15" s="10">
        <f t="shared" si="6"/>
        <v>41.666666666666664</v>
      </c>
      <c r="I15" s="9">
        <f t="shared" si="2"/>
        <v>249.99999999999997</v>
      </c>
    </row>
    <row r="16" spans="1:9" x14ac:dyDescent="0.3">
      <c r="A16" s="4" t="s">
        <v>909</v>
      </c>
      <c r="B16" s="4" t="s">
        <v>470</v>
      </c>
      <c r="C16" s="10">
        <f t="shared" ref="C16:H16" si="7">capex_ux_design/6</f>
        <v>58.333333333333336</v>
      </c>
      <c r="D16" s="10">
        <f t="shared" si="7"/>
        <v>58.333333333333336</v>
      </c>
      <c r="E16" s="10">
        <f t="shared" si="7"/>
        <v>58.333333333333336</v>
      </c>
      <c r="F16" s="10">
        <f t="shared" si="7"/>
        <v>58.333333333333336</v>
      </c>
      <c r="G16" s="10">
        <f t="shared" si="7"/>
        <v>58.333333333333336</v>
      </c>
      <c r="H16" s="10">
        <f t="shared" si="7"/>
        <v>58.333333333333336</v>
      </c>
      <c r="I16" s="9">
        <f t="shared" si="2"/>
        <v>350</v>
      </c>
    </row>
    <row r="17" spans="1:9" x14ac:dyDescent="0.3">
      <c r="A17" s="4" t="s">
        <v>910</v>
      </c>
      <c r="B17" s="4" t="s">
        <v>470</v>
      </c>
      <c r="C17" s="10">
        <f t="shared" ref="C17:H17" si="8">capex_integration/6</f>
        <v>66.666666666666671</v>
      </c>
      <c r="D17" s="10">
        <f t="shared" si="8"/>
        <v>66.666666666666671</v>
      </c>
      <c r="E17" s="10">
        <f t="shared" si="8"/>
        <v>66.666666666666671</v>
      </c>
      <c r="F17" s="10">
        <f t="shared" si="8"/>
        <v>66.666666666666671</v>
      </c>
      <c r="G17" s="10">
        <f t="shared" si="8"/>
        <v>66.666666666666671</v>
      </c>
      <c r="H17" s="10">
        <f t="shared" si="8"/>
        <v>66.666666666666671</v>
      </c>
      <c r="I17" s="9">
        <f t="shared" si="2"/>
        <v>400.00000000000006</v>
      </c>
    </row>
    <row r="18" spans="1:9" x14ac:dyDescent="0.3">
      <c r="A18" s="4" t="s">
        <v>911</v>
      </c>
      <c r="B18" s="4" t="s">
        <v>470</v>
      </c>
      <c r="C18" s="10">
        <f t="shared" ref="C18:H18" si="9">capex_devops/6</f>
        <v>46.666666666666664</v>
      </c>
      <c r="D18" s="10">
        <f t="shared" si="9"/>
        <v>46.666666666666664</v>
      </c>
      <c r="E18" s="10">
        <f t="shared" si="9"/>
        <v>46.666666666666664</v>
      </c>
      <c r="F18" s="10">
        <f t="shared" si="9"/>
        <v>46.666666666666664</v>
      </c>
      <c r="G18" s="10">
        <f t="shared" si="9"/>
        <v>46.666666666666664</v>
      </c>
      <c r="H18" s="10">
        <f t="shared" si="9"/>
        <v>46.666666666666664</v>
      </c>
      <c r="I18" s="9">
        <f t="shared" si="2"/>
        <v>280</v>
      </c>
    </row>
    <row r="19" spans="1:9" x14ac:dyDescent="0.3">
      <c r="A19" s="4" t="s">
        <v>912</v>
      </c>
      <c r="B19" s="4" t="s">
        <v>470</v>
      </c>
      <c r="C19" s="10">
        <f t="shared" ref="C19:H19" si="10">capex_testing/6</f>
        <v>33.333333333333336</v>
      </c>
      <c r="D19" s="10">
        <f t="shared" si="10"/>
        <v>33.333333333333336</v>
      </c>
      <c r="E19" s="10">
        <f t="shared" si="10"/>
        <v>33.333333333333336</v>
      </c>
      <c r="F19" s="10">
        <f t="shared" si="10"/>
        <v>33.333333333333336</v>
      </c>
      <c r="G19" s="10">
        <f t="shared" si="10"/>
        <v>33.333333333333336</v>
      </c>
      <c r="H19" s="10">
        <f t="shared" si="10"/>
        <v>33.333333333333336</v>
      </c>
      <c r="I19" s="9">
        <f t="shared" si="2"/>
        <v>200.00000000000003</v>
      </c>
    </row>
    <row r="20" spans="1:9" x14ac:dyDescent="0.3">
      <c r="A20" s="4" t="s">
        <v>742</v>
      </c>
      <c r="B20" s="4" t="s">
        <v>470</v>
      </c>
      <c r="C20" s="10">
        <f t="shared" ref="C20:H20" si="11">capex_contingency/6</f>
        <v>50</v>
      </c>
      <c r="D20" s="10">
        <f t="shared" si="11"/>
        <v>50</v>
      </c>
      <c r="E20" s="10">
        <f t="shared" si="11"/>
        <v>50</v>
      </c>
      <c r="F20" s="10">
        <f t="shared" si="11"/>
        <v>50</v>
      </c>
      <c r="G20" s="10">
        <f t="shared" si="11"/>
        <v>50</v>
      </c>
      <c r="H20" s="10">
        <f t="shared" si="11"/>
        <v>50</v>
      </c>
      <c r="I20" s="9">
        <f t="shared" si="2"/>
        <v>300</v>
      </c>
    </row>
    <row r="21" spans="1:9" x14ac:dyDescent="0.3">
      <c r="A21" s="4" t="s">
        <v>730</v>
      </c>
      <c r="C21" s="9">
        <f t="shared" ref="C21:H21" si="12">SUM(C11:C20)</f>
        <v>880</v>
      </c>
      <c r="D21" s="9">
        <f t="shared" si="12"/>
        <v>880</v>
      </c>
      <c r="E21" s="9">
        <f t="shared" si="12"/>
        <v>880</v>
      </c>
      <c r="F21" s="9">
        <f t="shared" si="12"/>
        <v>880</v>
      </c>
      <c r="G21" s="9">
        <f t="shared" si="12"/>
        <v>880</v>
      </c>
      <c r="H21" s="9">
        <f t="shared" si="12"/>
        <v>880</v>
      </c>
      <c r="I21" s="9">
        <f t="shared" si="2"/>
        <v>5280</v>
      </c>
    </row>
    <row r="23" spans="1:9" x14ac:dyDescent="0.3">
      <c r="A23" s="25" t="s">
        <v>345</v>
      </c>
      <c r="C23" s="11"/>
      <c r="D23" s="11"/>
      <c r="E23" s="11"/>
      <c r="F23" s="11"/>
      <c r="G23" s="11"/>
      <c r="H23" s="11"/>
      <c r="I23" s="11"/>
    </row>
    <row r="24" spans="1:9" x14ac:dyDescent="0.3">
      <c r="A24" s="4" t="s">
        <v>913</v>
      </c>
      <c r="B24" s="4" t="s">
        <v>470</v>
      </c>
      <c r="C24" s="10">
        <f t="shared" ref="C24:H24" si="13">salary_mgmt*2*(1+salary_escalation)^0*(1+bhxh_rate)</f>
        <v>109.35000000000001</v>
      </c>
      <c r="D24" s="10">
        <f t="shared" si="13"/>
        <v>109.35000000000001</v>
      </c>
      <c r="E24" s="10">
        <f t="shared" si="13"/>
        <v>109.35000000000001</v>
      </c>
      <c r="F24" s="10">
        <f t="shared" si="13"/>
        <v>109.35000000000001</v>
      </c>
      <c r="G24" s="10">
        <f t="shared" si="13"/>
        <v>109.35000000000001</v>
      </c>
      <c r="H24" s="10">
        <f t="shared" si="13"/>
        <v>109.35000000000001</v>
      </c>
      <c r="I24" s="9">
        <f t="shared" ref="I24:I39" si="14">SUM(C24:H24)</f>
        <v>656.1</v>
      </c>
    </row>
    <row r="25" spans="1:9" x14ac:dyDescent="0.3">
      <c r="A25" s="4" t="s">
        <v>914</v>
      </c>
      <c r="B25" s="4" t="s">
        <v>470</v>
      </c>
      <c r="C25" s="10">
        <f t="shared" ref="C25:H25" si="15">salary_dev*12*(1+salary_escalation)^0*(1+bhxh_rate)</f>
        <v>510.3</v>
      </c>
      <c r="D25" s="10">
        <f t="shared" si="15"/>
        <v>510.3</v>
      </c>
      <c r="E25" s="10">
        <f t="shared" si="15"/>
        <v>510.3</v>
      </c>
      <c r="F25" s="10">
        <f t="shared" si="15"/>
        <v>510.3</v>
      </c>
      <c r="G25" s="10">
        <f t="shared" si="15"/>
        <v>510.3</v>
      </c>
      <c r="H25" s="10">
        <f t="shared" si="15"/>
        <v>510.3</v>
      </c>
      <c r="I25" s="9">
        <f t="shared" si="14"/>
        <v>3061.8</v>
      </c>
    </row>
    <row r="26" spans="1:9" x14ac:dyDescent="0.3">
      <c r="A26" s="4" t="s">
        <v>915</v>
      </c>
      <c r="B26" s="4" t="s">
        <v>470</v>
      </c>
      <c r="C26" s="10">
        <f t="shared" ref="C26:H26" si="16">salary_bizops*2*(1+salary_escalation)^0*(1+bhxh_rate)</f>
        <v>48.6</v>
      </c>
      <c r="D26" s="10">
        <f t="shared" si="16"/>
        <v>48.6</v>
      </c>
      <c r="E26" s="10">
        <f t="shared" si="16"/>
        <v>48.6</v>
      </c>
      <c r="F26" s="10">
        <f t="shared" si="16"/>
        <v>48.6</v>
      </c>
      <c r="G26" s="10">
        <f t="shared" si="16"/>
        <v>48.6</v>
      </c>
      <c r="H26" s="10">
        <f t="shared" si="16"/>
        <v>48.6</v>
      </c>
      <c r="I26" s="9">
        <f t="shared" si="14"/>
        <v>291.60000000000002</v>
      </c>
    </row>
    <row r="27" spans="1:9" x14ac:dyDescent="0.3">
      <c r="A27" s="4" t="s">
        <v>916</v>
      </c>
      <c r="B27" s="4" t="s">
        <v>470</v>
      </c>
      <c r="C27" s="10">
        <f>16*30*12*recruit_cost_pct</f>
        <v>1152</v>
      </c>
      <c r="D27" s="10">
        <f>0</f>
        <v>0</v>
      </c>
      <c r="E27" s="10">
        <f>0</f>
        <v>0</v>
      </c>
      <c r="F27" s="10">
        <f>0</f>
        <v>0</v>
      </c>
      <c r="G27" s="10">
        <f>0</f>
        <v>0</v>
      </c>
      <c r="H27" s="10">
        <f>0</f>
        <v>0</v>
      </c>
      <c r="I27" s="9">
        <f t="shared" si="14"/>
        <v>1152</v>
      </c>
    </row>
    <row r="28" spans="1:9" x14ac:dyDescent="0.3">
      <c r="A28" s="4" t="s">
        <v>732</v>
      </c>
      <c r="B28" s="4" t="s">
        <v>470</v>
      </c>
      <c r="C28" s="10">
        <f t="shared" ref="C28:H28" si="17">opex_marketing*(1+marketing_growth)^0/12</f>
        <v>583.33333333333337</v>
      </c>
      <c r="D28" s="10">
        <f t="shared" si="17"/>
        <v>583.33333333333337</v>
      </c>
      <c r="E28" s="10">
        <f t="shared" si="17"/>
        <v>583.33333333333337</v>
      </c>
      <c r="F28" s="10">
        <f t="shared" si="17"/>
        <v>583.33333333333337</v>
      </c>
      <c r="G28" s="10">
        <f t="shared" si="17"/>
        <v>583.33333333333337</v>
      </c>
      <c r="H28" s="10">
        <f t="shared" si="17"/>
        <v>583.33333333333337</v>
      </c>
      <c r="I28" s="9">
        <f t="shared" si="14"/>
        <v>3500.0000000000005</v>
      </c>
    </row>
    <row r="29" spans="1:9" x14ac:dyDescent="0.3">
      <c r="A29" s="4" t="s">
        <v>917</v>
      </c>
      <c r="B29" s="4" t="s">
        <v>470</v>
      </c>
      <c r="C29" s="10">
        <f t="shared" ref="C29:H29" si="18">opex_branding/12</f>
        <v>333.33333333333331</v>
      </c>
      <c r="D29" s="10">
        <f t="shared" si="18"/>
        <v>333.33333333333331</v>
      </c>
      <c r="E29" s="10">
        <f t="shared" si="18"/>
        <v>333.33333333333331</v>
      </c>
      <c r="F29" s="10">
        <f t="shared" si="18"/>
        <v>333.33333333333331</v>
      </c>
      <c r="G29" s="10">
        <f t="shared" si="18"/>
        <v>333.33333333333331</v>
      </c>
      <c r="H29" s="10">
        <f t="shared" si="18"/>
        <v>333.33333333333331</v>
      </c>
      <c r="I29" s="9">
        <f t="shared" si="14"/>
        <v>1999.9999999999998</v>
      </c>
    </row>
    <row r="30" spans="1:9" x14ac:dyDescent="0.3">
      <c r="A30" s="4" t="s">
        <v>918</v>
      </c>
      <c r="B30" s="4" t="s">
        <v>470</v>
      </c>
      <c r="C30" s="10">
        <f t="shared" ref="C30:H30" si="19">opex_cloud_base/12</f>
        <v>270.83333333333331</v>
      </c>
      <c r="D30" s="10">
        <f t="shared" si="19"/>
        <v>270.83333333333331</v>
      </c>
      <c r="E30" s="10">
        <f t="shared" si="19"/>
        <v>270.83333333333331</v>
      </c>
      <c r="F30" s="10">
        <f t="shared" si="19"/>
        <v>270.83333333333331</v>
      </c>
      <c r="G30" s="10">
        <f t="shared" si="19"/>
        <v>270.83333333333331</v>
      </c>
      <c r="H30" s="10">
        <f t="shared" si="19"/>
        <v>270.83333333333331</v>
      </c>
      <c r="I30" s="9">
        <f t="shared" si="14"/>
        <v>1624.9999999999998</v>
      </c>
    </row>
    <row r="31" spans="1:9" x14ac:dyDescent="0.3">
      <c r="A31" s="4" t="s">
        <v>735</v>
      </c>
      <c r="B31" s="4" t="s">
        <v>470</v>
      </c>
      <c r="C31" s="10">
        <f t="shared" ref="C31:H31" si="20">opex_security/12</f>
        <v>20.833333333333332</v>
      </c>
      <c r="D31" s="10">
        <f t="shared" si="20"/>
        <v>20.833333333333332</v>
      </c>
      <c r="E31" s="10">
        <f t="shared" si="20"/>
        <v>20.833333333333332</v>
      </c>
      <c r="F31" s="10">
        <f t="shared" si="20"/>
        <v>20.833333333333332</v>
      </c>
      <c r="G31" s="10">
        <f t="shared" si="20"/>
        <v>20.833333333333332</v>
      </c>
      <c r="H31" s="10">
        <f t="shared" si="20"/>
        <v>20.833333333333332</v>
      </c>
      <c r="I31" s="9">
        <f t="shared" si="14"/>
        <v>124.99999999999999</v>
      </c>
    </row>
    <row r="32" spans="1:9" x14ac:dyDescent="0.3">
      <c r="A32" s="4" t="s">
        <v>919</v>
      </c>
      <c r="B32" s="4" t="s">
        <v>470</v>
      </c>
      <c r="C32" s="10">
        <f t="shared" ref="C32:H32" si="21">opex_external/12</f>
        <v>33.333333333333336</v>
      </c>
      <c r="D32" s="10">
        <f t="shared" si="21"/>
        <v>33.333333333333336</v>
      </c>
      <c r="E32" s="10">
        <f t="shared" si="21"/>
        <v>33.333333333333336</v>
      </c>
      <c r="F32" s="10">
        <f t="shared" si="21"/>
        <v>33.333333333333336</v>
      </c>
      <c r="G32" s="10">
        <f t="shared" si="21"/>
        <v>33.333333333333336</v>
      </c>
      <c r="H32" s="10">
        <f t="shared" si="21"/>
        <v>33.333333333333336</v>
      </c>
      <c r="I32" s="9">
        <f t="shared" si="14"/>
        <v>200.00000000000003</v>
      </c>
    </row>
    <row r="33" spans="1:9" x14ac:dyDescent="0.3">
      <c r="A33" s="4" t="s">
        <v>920</v>
      </c>
      <c r="B33" s="4" t="s">
        <v>470</v>
      </c>
      <c r="C33" s="10">
        <f t="shared" ref="C33:H33" si="22">opex_legal/12</f>
        <v>20</v>
      </c>
      <c r="D33" s="10">
        <f t="shared" si="22"/>
        <v>20</v>
      </c>
      <c r="E33" s="10">
        <f t="shared" si="22"/>
        <v>20</v>
      </c>
      <c r="F33" s="10">
        <f t="shared" si="22"/>
        <v>20</v>
      </c>
      <c r="G33" s="10">
        <f t="shared" si="22"/>
        <v>20</v>
      </c>
      <c r="H33" s="10">
        <f t="shared" si="22"/>
        <v>20</v>
      </c>
      <c r="I33" s="9">
        <f t="shared" si="14"/>
        <v>120</v>
      </c>
    </row>
    <row r="34" spans="1:9" x14ac:dyDescent="0.3">
      <c r="A34" s="4" t="s">
        <v>739</v>
      </c>
      <c r="B34" s="4" t="s">
        <v>470</v>
      </c>
      <c r="C34" s="10">
        <f t="shared" ref="C34:H34" si="23">opex_partner_mgmt/12</f>
        <v>41.666666666666664</v>
      </c>
      <c r="D34" s="10">
        <f t="shared" si="23"/>
        <v>41.666666666666664</v>
      </c>
      <c r="E34" s="10">
        <f t="shared" si="23"/>
        <v>41.666666666666664</v>
      </c>
      <c r="F34" s="10">
        <f t="shared" si="23"/>
        <v>41.666666666666664</v>
      </c>
      <c r="G34" s="10">
        <f t="shared" si="23"/>
        <v>41.666666666666664</v>
      </c>
      <c r="H34" s="10">
        <f t="shared" si="23"/>
        <v>41.666666666666664</v>
      </c>
      <c r="I34" s="9">
        <f t="shared" si="14"/>
        <v>249.99999999999997</v>
      </c>
    </row>
    <row r="35" spans="1:9" x14ac:dyDescent="0.3">
      <c r="A35" s="4" t="s">
        <v>921</v>
      </c>
      <c r="B35" s="4" t="s">
        <v>470</v>
      </c>
      <c r="C35" s="10">
        <f t="shared" ref="C35:H35" si="24">opex_pilot_eval/6</f>
        <v>33.333333333333336</v>
      </c>
      <c r="D35" s="10">
        <f t="shared" si="24"/>
        <v>33.333333333333336</v>
      </c>
      <c r="E35" s="10">
        <f t="shared" si="24"/>
        <v>33.333333333333336</v>
      </c>
      <c r="F35" s="10">
        <f t="shared" si="24"/>
        <v>33.333333333333336</v>
      </c>
      <c r="G35" s="10">
        <f t="shared" si="24"/>
        <v>33.333333333333336</v>
      </c>
      <c r="H35" s="10">
        <f t="shared" si="24"/>
        <v>33.333333333333336</v>
      </c>
      <c r="I35" s="9">
        <f t="shared" si="14"/>
        <v>200.00000000000003</v>
      </c>
    </row>
    <row r="36" spans="1:9" x14ac:dyDescent="0.3">
      <c r="A36" s="4" t="s">
        <v>740</v>
      </c>
      <c r="B36" s="4" t="s">
        <v>470</v>
      </c>
      <c r="C36" s="10">
        <f>MAX(pilot_count,adoption_max/(1+EXP(-adoption_steepness*(2025.542-adoption_midpoint))))*opex_support_per_ent/12</f>
        <v>19.732052450719213</v>
      </c>
      <c r="D36" s="10">
        <f>MAX(pilot_count,adoption_max/(1+EXP(-adoption_steepness*(2025.625-adoption_midpoint))))*opex_support_per_ent/12</f>
        <v>21.101018271890709</v>
      </c>
      <c r="E36" s="10">
        <f>MAX(pilot_count,adoption_max/(1+EXP(-adoption_steepness*(2025.708-adoption_midpoint))))*opex_support_per_ent/12</f>
        <v>22.553077597862185</v>
      </c>
      <c r="F36" s="10">
        <f>MAX(pilot_count,adoption_max/(1+EXP(-adoption_steepness*(2025.792-adoption_midpoint))))*opex_support_per_ent/12</f>
        <v>24.110680799901427</v>
      </c>
      <c r="G36" s="10">
        <f>MAX(pilot_count,adoption_max/(1+EXP(-adoption_steepness*(2025.875-adoption_midpoint))))*opex_support_per_ent/12</f>
        <v>25.740050116789792</v>
      </c>
      <c r="H36" s="10">
        <f>MAX(pilot_count,adoption_max/(1+EXP(-adoption_steepness*(2025.958-adoption_midpoint))))*opex_support_per_ent/12</f>
        <v>27.462338102712803</v>
      </c>
      <c r="I36" s="9">
        <f t="shared" si="14"/>
        <v>140.69921733987613</v>
      </c>
    </row>
    <row r="37" spans="1:9" x14ac:dyDescent="0.3">
      <c r="A37" s="4" t="s">
        <v>741</v>
      </c>
      <c r="C37" s="9">
        <f t="shared" ref="C37:H37" si="25">SUM(C24:C36)</f>
        <v>3176.6487191173865</v>
      </c>
      <c r="D37" s="9">
        <f t="shared" si="25"/>
        <v>2026.0176849385573</v>
      </c>
      <c r="E37" s="9">
        <f t="shared" si="25"/>
        <v>2027.4697442645288</v>
      </c>
      <c r="F37" s="9">
        <f t="shared" si="25"/>
        <v>2029.027347466568</v>
      </c>
      <c r="G37" s="9">
        <f t="shared" si="25"/>
        <v>2030.6567167834562</v>
      </c>
      <c r="H37" s="9">
        <f t="shared" si="25"/>
        <v>2032.3790047693792</v>
      </c>
      <c r="I37" s="9">
        <f t="shared" si="14"/>
        <v>13322.199217339876</v>
      </c>
    </row>
    <row r="38" spans="1:9" x14ac:dyDescent="0.3">
      <c r="A38" s="4" t="s">
        <v>742</v>
      </c>
      <c r="B38" s="4" t="s">
        <v>470</v>
      </c>
      <c r="C38" s="10">
        <f t="shared" ref="C38:H38" si="26">C37*opex_contingency_pct</f>
        <v>317.66487191173866</v>
      </c>
      <c r="D38" s="10">
        <f t="shared" si="26"/>
        <v>202.60176849385573</v>
      </c>
      <c r="E38" s="10">
        <f t="shared" si="26"/>
        <v>202.74697442645288</v>
      </c>
      <c r="F38" s="10">
        <f t="shared" si="26"/>
        <v>202.90273474665682</v>
      </c>
      <c r="G38" s="10">
        <f t="shared" si="26"/>
        <v>203.06567167834564</v>
      </c>
      <c r="H38" s="10">
        <f t="shared" si="26"/>
        <v>203.23790047693794</v>
      </c>
      <c r="I38" s="9">
        <f t="shared" si="14"/>
        <v>1332.2199217339878</v>
      </c>
    </row>
    <row r="39" spans="1:9" x14ac:dyDescent="0.3">
      <c r="A39" s="4" t="s">
        <v>743</v>
      </c>
      <c r="C39" s="9">
        <f t="shared" ref="C39:H39" si="27">C37+C38</f>
        <v>3494.3135910291253</v>
      </c>
      <c r="D39" s="9">
        <f t="shared" si="27"/>
        <v>2228.6194534324131</v>
      </c>
      <c r="E39" s="9">
        <f t="shared" si="27"/>
        <v>2230.2167186909819</v>
      </c>
      <c r="F39" s="9">
        <f t="shared" si="27"/>
        <v>2231.930082213225</v>
      </c>
      <c r="G39" s="9">
        <f t="shared" si="27"/>
        <v>2233.722388461802</v>
      </c>
      <c r="H39" s="9">
        <f t="shared" si="27"/>
        <v>2235.6169052463169</v>
      </c>
      <c r="I39" s="9">
        <f t="shared" si="14"/>
        <v>14654.419139073865</v>
      </c>
    </row>
    <row r="41" spans="1:9" x14ac:dyDescent="0.3">
      <c r="A41" s="25" t="s">
        <v>922</v>
      </c>
      <c r="C41" s="11"/>
      <c r="D41" s="11"/>
      <c r="E41" s="11"/>
      <c r="F41" s="11"/>
      <c r="G41" s="11"/>
      <c r="H41" s="11"/>
      <c r="I41" s="11"/>
    </row>
    <row r="42" spans="1:9" x14ac:dyDescent="0.3">
      <c r="A42" s="4" t="s">
        <v>746</v>
      </c>
      <c r="C42" s="10">
        <f t="shared" ref="C42:H42" si="28">C8</f>
        <v>389.70803590170442</v>
      </c>
      <c r="D42" s="10">
        <f t="shared" si="28"/>
        <v>416.74511086984154</v>
      </c>
      <c r="E42" s="10">
        <f t="shared" si="28"/>
        <v>445.42328255777812</v>
      </c>
      <c r="F42" s="10">
        <f t="shared" si="28"/>
        <v>476.18594579805313</v>
      </c>
      <c r="G42" s="10">
        <f t="shared" si="28"/>
        <v>508.36598980659846</v>
      </c>
      <c r="H42" s="10">
        <f t="shared" si="28"/>
        <v>542.38117752857784</v>
      </c>
      <c r="I42" s="9">
        <f>SUM(C42:H42)</f>
        <v>2778.8095424625535</v>
      </c>
    </row>
    <row r="43" spans="1:9" x14ac:dyDescent="0.3">
      <c r="A43" s="4" t="s">
        <v>342</v>
      </c>
      <c r="C43" s="10">
        <f t="shared" ref="C43:H43" si="29">C21</f>
        <v>880</v>
      </c>
      <c r="D43" s="10">
        <f t="shared" si="29"/>
        <v>880</v>
      </c>
      <c r="E43" s="10">
        <f t="shared" si="29"/>
        <v>880</v>
      </c>
      <c r="F43" s="10">
        <f t="shared" si="29"/>
        <v>880</v>
      </c>
      <c r="G43" s="10">
        <f t="shared" si="29"/>
        <v>880</v>
      </c>
      <c r="H43" s="10">
        <f t="shared" si="29"/>
        <v>880</v>
      </c>
      <c r="I43" s="9">
        <f>SUM(C43:H43)</f>
        <v>5280</v>
      </c>
    </row>
    <row r="44" spans="1:9" x14ac:dyDescent="0.3">
      <c r="A44" s="4" t="s">
        <v>345</v>
      </c>
      <c r="C44" s="10">
        <f t="shared" ref="C44:H44" si="30">C39</f>
        <v>3494.3135910291253</v>
      </c>
      <c r="D44" s="10">
        <f t="shared" si="30"/>
        <v>2228.6194534324131</v>
      </c>
      <c r="E44" s="10">
        <f t="shared" si="30"/>
        <v>2230.2167186909819</v>
      </c>
      <c r="F44" s="10">
        <f t="shared" si="30"/>
        <v>2231.930082213225</v>
      </c>
      <c r="G44" s="10">
        <f t="shared" si="30"/>
        <v>2233.722388461802</v>
      </c>
      <c r="H44" s="10">
        <f t="shared" si="30"/>
        <v>2235.6169052463169</v>
      </c>
      <c r="I44" s="9">
        <f>SUM(C44:H44)</f>
        <v>14654.419139073865</v>
      </c>
    </row>
    <row r="45" spans="1:9" x14ac:dyDescent="0.3">
      <c r="A45" s="4" t="s">
        <v>923</v>
      </c>
      <c r="C45" s="9">
        <f t="shared" ref="C45:H45" si="31">C43+C44</f>
        <v>4374.3135910291257</v>
      </c>
      <c r="D45" s="9">
        <f t="shared" si="31"/>
        <v>3108.6194534324131</v>
      </c>
      <c r="E45" s="9">
        <f t="shared" si="31"/>
        <v>3110.2167186909819</v>
      </c>
      <c r="F45" s="9">
        <f t="shared" si="31"/>
        <v>3111.930082213225</v>
      </c>
      <c r="G45" s="9">
        <f t="shared" si="31"/>
        <v>3113.722388461802</v>
      </c>
      <c r="H45" s="9">
        <f t="shared" si="31"/>
        <v>3115.6169052463169</v>
      </c>
      <c r="I45" s="9">
        <f>SUM(C45:H45)</f>
        <v>19934.419139073863</v>
      </c>
    </row>
    <row r="46" spans="1:9" x14ac:dyDescent="0.3">
      <c r="A46" s="4" t="s">
        <v>924</v>
      </c>
      <c r="C46" s="9">
        <f t="shared" ref="C46:H46" si="32">C42-C45</f>
        <v>-3984.6055551274212</v>
      </c>
      <c r="D46" s="9">
        <f t="shared" si="32"/>
        <v>-2691.8743425625717</v>
      </c>
      <c r="E46" s="9">
        <f t="shared" si="32"/>
        <v>-2664.7934361332036</v>
      </c>
      <c r="F46" s="9">
        <f t="shared" si="32"/>
        <v>-2635.7441364151719</v>
      </c>
      <c r="G46" s="9">
        <f t="shared" si="32"/>
        <v>-2605.3563986552035</v>
      </c>
      <c r="H46" s="9">
        <f t="shared" si="32"/>
        <v>-2573.2357277177389</v>
      </c>
      <c r="I46" s="9">
        <f>SUM(C46:H46)</f>
        <v>-17155.60959661131</v>
      </c>
    </row>
    <row r="47" spans="1:9" x14ac:dyDescent="0.3">
      <c r="A47" s="4" t="s">
        <v>925</v>
      </c>
      <c r="C47" s="10">
        <f>C46</f>
        <v>-3984.6055551274212</v>
      </c>
      <c r="D47" s="10">
        <f>C47+D46</f>
        <v>-6676.4798976899929</v>
      </c>
      <c r="E47" s="10">
        <f>D47+E46</f>
        <v>-9341.2733338231956</v>
      </c>
      <c r="F47" s="10">
        <f>E47+F46</f>
        <v>-11977.017470238367</v>
      </c>
      <c r="G47" s="10">
        <f>F47+G46</f>
        <v>-14582.37386889357</v>
      </c>
      <c r="H47" s="10">
        <f>G47+H46</f>
        <v>-17155.60959661131</v>
      </c>
      <c r="I47" s="9">
        <f>H47</f>
        <v>-17155.60959661131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O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35" style="52" customWidth="1"/>
    <col min="2" max="14" width="12" style="52" customWidth="1"/>
    <col min="15" max="15" width="14" style="52" customWidth="1"/>
  </cols>
  <sheetData>
    <row r="1" spans="1:15" x14ac:dyDescent="0.3">
      <c r="A1" s="25" t="s">
        <v>926</v>
      </c>
    </row>
    <row r="3" spans="1:15" x14ac:dyDescent="0.3">
      <c r="A3" s="3" t="s">
        <v>713</v>
      </c>
      <c r="B3" s="3" t="s">
        <v>441</v>
      </c>
      <c r="C3" s="3" t="s">
        <v>927</v>
      </c>
      <c r="D3" s="3" t="s">
        <v>928</v>
      </c>
      <c r="E3" s="3" t="s">
        <v>929</v>
      </c>
      <c r="F3" s="3" t="s">
        <v>930</v>
      </c>
      <c r="G3" s="3" t="s">
        <v>931</v>
      </c>
      <c r="H3" s="3" t="s">
        <v>932</v>
      </c>
      <c r="I3" s="3" t="s">
        <v>895</v>
      </c>
      <c r="J3" s="3" t="s">
        <v>896</v>
      </c>
      <c r="K3" s="3" t="s">
        <v>897</v>
      </c>
      <c r="L3" s="3" t="s">
        <v>898</v>
      </c>
      <c r="M3" s="3" t="s">
        <v>899</v>
      </c>
      <c r="N3" s="3" t="s">
        <v>900</v>
      </c>
      <c r="O3" s="3" t="s">
        <v>901</v>
      </c>
    </row>
    <row r="4" spans="1:15" x14ac:dyDescent="0.3">
      <c r="A4" s="25" t="s">
        <v>902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">
      <c r="A5" s="4" t="s">
        <v>903</v>
      </c>
      <c r="B5" s="4" t="s">
        <v>470</v>
      </c>
      <c r="C5" s="10">
        <f>MAX(pilot_count,adoption_max/(1+EXP(-adoption_steepness*(2026.042-adoption_midpoint))))*cert_fee_yr1*(1+cert_fee_escalation)^1/12</f>
        <v>384.60192590968603</v>
      </c>
      <c r="D5" s="10">
        <f>MAX(pilot_count,adoption_max/(1+EXP(-adoption_steepness*(2026.125-adoption_midpoint))))*cert_fee_yr1*(1+cert_fee_escalation)^1/12</f>
        <v>409.77535579432566</v>
      </c>
      <c r="E5" s="10">
        <f>MAX(pilot_count,adoption_max/(1+EXP(-adoption_steepness*(2026.208-adoption_midpoint))))*cert_fee_yr1*(1+cert_fee_escalation)^1/12</f>
        <v>436.2756122279302</v>
      </c>
      <c r="F5" s="10">
        <f>MAX(pilot_count,adoption_max/(1+EXP(-adoption_steepness*(2026.292-adoption_midpoint))))*cert_fee_yr1*(1+cert_fee_escalation)^1/12</f>
        <v>464.47453789182367</v>
      </c>
      <c r="G5" s="10">
        <f>MAX(pilot_count,adoption_max/(1+EXP(-adoption_steepness*(2026.375-adoption_midpoint))))*cert_fee_yr1*(1+cert_fee_escalation)^1/12</f>
        <v>493.72379306313411</v>
      </c>
      <c r="H5" s="10">
        <f>MAX(pilot_count,adoption_max/(1+EXP(-adoption_steepness*(2026.458-adoption_midpoint))))*cert_fee_yr1*(1+cert_fee_escalation)^1/12</f>
        <v>524.36791729628214</v>
      </c>
      <c r="I5" s="10">
        <f>MAX(pilot_count,adoption_max/(1+EXP(-adoption_steepness*(2026.542-adoption_midpoint))))*cert_fee_yr1*(1+cert_fee_escalation)^1/12</f>
        <v>556.81221060976191</v>
      </c>
      <c r="J5" s="10">
        <f>MAX(pilot_count,adoption_max/(1+EXP(-adoption_steepness*(2026.625-adoption_midpoint))))*cert_fee_yr1*(1+cert_fee_escalation)^1/12</f>
        <v>590.28754754193926</v>
      </c>
      <c r="K5" s="10">
        <f>MAX(pilot_count,adoption_max/(1+EXP(-adoption_steepness*(2026.708-adoption_midpoint))))*cert_fee_yr1*(1+cert_fee_escalation)^1/12</f>
        <v>625.16706763670902</v>
      </c>
      <c r="L5" s="10">
        <f>MAX(pilot_count,adoption_max/(1+EXP(-adoption_steepness*(2026.792-adoption_midpoint))))*cert_fee_yr1*(1+cert_fee_escalation)^1/12</f>
        <v>661.88299603619885</v>
      </c>
      <c r="M5" s="10">
        <f>MAX(pilot_count,adoption_max/(1+EXP(-adoption_steepness*(2026.875-adoption_midpoint))))*cert_fee_yr1*(1+cert_fee_escalation)^1/12</f>
        <v>699.53856482926403</v>
      </c>
      <c r="N5" s="10">
        <f>MAX(pilot_count,adoption_max/(1+EXP(-adoption_steepness*(2026.958-adoption_midpoint))))*cert_fee_yr1*(1+cert_fee_escalation)^1/12</f>
        <v>738.53048445801824</v>
      </c>
      <c r="O5" s="9">
        <f>SUM(C5:N5)</f>
        <v>6585.4380132950737</v>
      </c>
    </row>
    <row r="6" spans="1:15" x14ac:dyDescent="0.3">
      <c r="A6" s="4" t="s">
        <v>716</v>
      </c>
      <c r="B6" s="4" t="s">
        <v>470</v>
      </c>
      <c r="C6" s="10">
        <f>MAX(pilot_count,adoption_max/(1+EXP(-adoption_steepness*(2026.042-adoption_midpoint))))*training_pct*training_fee/12</f>
        <v>65.931758727374742</v>
      </c>
      <c r="D6" s="10">
        <f>MAX(pilot_count,adoption_max/(1+EXP(-adoption_steepness*(2026.125-adoption_midpoint))))*training_pct*training_fee/12</f>
        <v>70.247203850455833</v>
      </c>
      <c r="E6" s="10">
        <f>MAX(pilot_count,adoption_max/(1+EXP(-adoption_steepness*(2026.208-adoption_midpoint))))*training_pct*training_fee/12</f>
        <v>74.79010495335946</v>
      </c>
      <c r="F6" s="10">
        <f>MAX(pilot_count,adoption_max/(1+EXP(-adoption_steepness*(2026.292-adoption_midpoint))))*training_pct*training_fee/12</f>
        <v>79.624206495741191</v>
      </c>
      <c r="G6" s="10">
        <f>MAX(pilot_count,adoption_max/(1+EXP(-adoption_steepness*(2026.375-adoption_midpoint))))*training_pct*training_fee/12</f>
        <v>84.638364525108699</v>
      </c>
      <c r="H6" s="10">
        <f>MAX(pilot_count,adoption_max/(1+EXP(-adoption_steepness*(2026.458-adoption_midpoint))))*training_pct*training_fee/12</f>
        <v>89.89164296507694</v>
      </c>
      <c r="I6" s="10">
        <f>MAX(pilot_count,adoption_max/(1+EXP(-adoption_steepness*(2026.542-adoption_midpoint))))*training_pct*training_fee/12</f>
        <v>95.453521818816299</v>
      </c>
      <c r="J6" s="10">
        <f>MAX(pilot_count,adoption_max/(1+EXP(-adoption_steepness*(2026.625-adoption_midpoint))))*training_pct*training_fee/12</f>
        <v>101.19215100718959</v>
      </c>
      <c r="K6" s="10">
        <f>MAX(pilot_count,adoption_max/(1+EXP(-adoption_steepness*(2026.708-adoption_midpoint))))*training_pct*training_fee/12</f>
        <v>107.1714973091501</v>
      </c>
      <c r="L6" s="10">
        <f>MAX(pilot_count,adoption_max/(1+EXP(-adoption_steepness*(2026.792-adoption_midpoint))))*training_pct*training_fee/12</f>
        <v>113.46565646334837</v>
      </c>
      <c r="M6" s="10">
        <f>MAX(pilot_count,adoption_max/(1+EXP(-adoption_steepness*(2026.875-adoption_midpoint))))*training_pct*training_fee/12</f>
        <v>119.92089682787382</v>
      </c>
      <c r="N6" s="10">
        <f>MAX(pilot_count,adoption_max/(1+EXP(-adoption_steepness*(2026.958-adoption_midpoint))))*training_pct*training_fee/12</f>
        <v>126.60522590708881</v>
      </c>
      <c r="O6" s="9">
        <f>SUM(C6:N6)</f>
        <v>1128.9322308505839</v>
      </c>
    </row>
    <row r="7" spans="1:15" x14ac:dyDescent="0.3">
      <c r="A7" s="4" t="s">
        <v>904</v>
      </c>
      <c r="B7" s="4" t="s">
        <v>470</v>
      </c>
      <c r="C7" s="10">
        <f>MAX(pilot_count,adoption_max/(1+EXP(-adoption_steepness*(2026.042-adoption_midpoint))))*audit_fee/12</f>
        <v>146.5150193941661</v>
      </c>
      <c r="D7" s="10">
        <f>MAX(pilot_count,adoption_max/(1+EXP(-adoption_steepness*(2026.125-adoption_midpoint))))*audit_fee/12</f>
        <v>156.1048974454574</v>
      </c>
      <c r="E7" s="10">
        <f>MAX(pilot_count,adoption_max/(1+EXP(-adoption_steepness*(2026.208-adoption_midpoint))))*audit_fee/12</f>
        <v>166.20023322968771</v>
      </c>
      <c r="F7" s="10">
        <f>MAX(pilot_count,adoption_max/(1+EXP(-adoption_steepness*(2026.292-adoption_midpoint))))*audit_fee/12</f>
        <v>176.94268110164708</v>
      </c>
      <c r="G7" s="10">
        <f>MAX(pilot_count,adoption_max/(1+EXP(-adoption_steepness*(2026.375-adoption_midpoint))))*audit_fee/12</f>
        <v>188.08525450024158</v>
      </c>
      <c r="H7" s="10">
        <f>MAX(pilot_count,adoption_max/(1+EXP(-adoption_steepness*(2026.458-adoption_midpoint))))*audit_fee/12</f>
        <v>199.75920658905989</v>
      </c>
      <c r="I7" s="10">
        <f>MAX(pilot_count,adoption_max/(1+EXP(-adoption_steepness*(2026.542-adoption_midpoint))))*audit_fee/12</f>
        <v>212.1189373751474</v>
      </c>
      <c r="J7" s="10">
        <f>MAX(pilot_count,adoption_max/(1+EXP(-adoption_steepness*(2026.625-adoption_midpoint))))*audit_fee/12</f>
        <v>224.87144668264355</v>
      </c>
      <c r="K7" s="10">
        <f>MAX(pilot_count,adoption_max/(1+EXP(-adoption_steepness*(2026.708-adoption_midpoint))))*audit_fee/12</f>
        <v>238.15888290922246</v>
      </c>
      <c r="L7" s="10">
        <f>MAX(pilot_count,adoption_max/(1+EXP(-adoption_steepness*(2026.792-adoption_midpoint))))*audit_fee/12</f>
        <v>252.14590325188524</v>
      </c>
      <c r="M7" s="10">
        <f>MAX(pilot_count,adoption_max/(1+EXP(-adoption_steepness*(2026.875-adoption_midpoint))))*audit_fee/12</f>
        <v>266.49088183971958</v>
      </c>
      <c r="N7" s="10">
        <f>MAX(pilot_count,adoption_max/(1+EXP(-adoption_steepness*(2026.958-adoption_midpoint))))*audit_fee/12</f>
        <v>281.34494646019738</v>
      </c>
      <c r="O7" s="9">
        <f>SUM(C7:N7)</f>
        <v>2508.7382907790752</v>
      </c>
    </row>
    <row r="8" spans="1:15" x14ac:dyDescent="0.3">
      <c r="A8" s="4" t="s">
        <v>724</v>
      </c>
      <c r="C8" s="9">
        <f t="shared" ref="C8:N8" si="0">SUM(C5:C7)</f>
        <v>597.04870403122686</v>
      </c>
      <c r="D8" s="9">
        <f t="shared" si="0"/>
        <v>636.12745709023886</v>
      </c>
      <c r="E8" s="9">
        <f t="shared" si="0"/>
        <v>677.26595041097733</v>
      </c>
      <c r="F8" s="9">
        <f t="shared" si="0"/>
        <v>721.04142548921197</v>
      </c>
      <c r="G8" s="9">
        <f t="shared" si="0"/>
        <v>766.44741208848438</v>
      </c>
      <c r="H8" s="9">
        <f t="shared" si="0"/>
        <v>814.01876685041896</v>
      </c>
      <c r="I8" s="9">
        <f t="shared" si="0"/>
        <v>864.38466980372561</v>
      </c>
      <c r="J8" s="9">
        <f t="shared" si="0"/>
        <v>916.35114523177242</v>
      </c>
      <c r="K8" s="9">
        <f t="shared" si="0"/>
        <v>970.49744785508165</v>
      </c>
      <c r="L8" s="9">
        <f t="shared" si="0"/>
        <v>1027.4945557514325</v>
      </c>
      <c r="M8" s="9">
        <f t="shared" si="0"/>
        <v>1085.9503434968574</v>
      </c>
      <c r="N8" s="9">
        <f t="shared" si="0"/>
        <v>1146.4806568253043</v>
      </c>
      <c r="O8" s="9">
        <f>SUM(C8:N8)</f>
        <v>10223.108534924733</v>
      </c>
    </row>
    <row r="10" spans="1:15" x14ac:dyDescent="0.3">
      <c r="A10" s="25" t="s">
        <v>342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A11" s="4" t="s">
        <v>729</v>
      </c>
      <c r="B11" s="4" t="s">
        <v>470</v>
      </c>
      <c r="C11" s="10">
        <f t="shared" ref="C11:N11" si="1">capex_total*capex_maintenance_pct/12</f>
        <v>79.2</v>
      </c>
      <c r="D11" s="10">
        <f t="shared" si="1"/>
        <v>79.2</v>
      </c>
      <c r="E11" s="10">
        <f t="shared" si="1"/>
        <v>79.2</v>
      </c>
      <c r="F11" s="10">
        <f t="shared" si="1"/>
        <v>79.2</v>
      </c>
      <c r="G11" s="10">
        <f t="shared" si="1"/>
        <v>79.2</v>
      </c>
      <c r="H11" s="10">
        <f t="shared" si="1"/>
        <v>79.2</v>
      </c>
      <c r="I11" s="10">
        <f t="shared" si="1"/>
        <v>79.2</v>
      </c>
      <c r="J11" s="10">
        <f t="shared" si="1"/>
        <v>79.2</v>
      </c>
      <c r="K11" s="10">
        <f t="shared" si="1"/>
        <v>79.2</v>
      </c>
      <c r="L11" s="10">
        <f t="shared" si="1"/>
        <v>79.2</v>
      </c>
      <c r="M11" s="10">
        <f t="shared" si="1"/>
        <v>79.2</v>
      </c>
      <c r="N11" s="10">
        <f t="shared" si="1"/>
        <v>79.2</v>
      </c>
      <c r="O11" s="9">
        <f>SUM(C11:N11)</f>
        <v>950.4000000000002</v>
      </c>
    </row>
    <row r="12" spans="1:15" x14ac:dyDescent="0.3">
      <c r="A12" s="4" t="s">
        <v>730</v>
      </c>
      <c r="C12" s="9">
        <f t="shared" ref="C12:N12" si="2">SUM(C11:C11)</f>
        <v>79.2</v>
      </c>
      <c r="D12" s="9">
        <f t="shared" si="2"/>
        <v>79.2</v>
      </c>
      <c r="E12" s="9">
        <f t="shared" si="2"/>
        <v>79.2</v>
      </c>
      <c r="F12" s="9">
        <f t="shared" si="2"/>
        <v>79.2</v>
      </c>
      <c r="G12" s="9">
        <f t="shared" si="2"/>
        <v>79.2</v>
      </c>
      <c r="H12" s="9">
        <f t="shared" si="2"/>
        <v>79.2</v>
      </c>
      <c r="I12" s="9">
        <f t="shared" si="2"/>
        <v>79.2</v>
      </c>
      <c r="J12" s="9">
        <f t="shared" si="2"/>
        <v>79.2</v>
      </c>
      <c r="K12" s="9">
        <f t="shared" si="2"/>
        <v>79.2</v>
      </c>
      <c r="L12" s="9">
        <f t="shared" si="2"/>
        <v>79.2</v>
      </c>
      <c r="M12" s="9">
        <f t="shared" si="2"/>
        <v>79.2</v>
      </c>
      <c r="N12" s="9">
        <f t="shared" si="2"/>
        <v>79.2</v>
      </c>
      <c r="O12" s="9">
        <f>SUM(C12:N12)</f>
        <v>950.4000000000002</v>
      </c>
    </row>
    <row r="14" spans="1:15" x14ac:dyDescent="0.3">
      <c r="A14" s="25" t="s">
        <v>345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4" t="s">
        <v>913</v>
      </c>
      <c r="B15" s="4" t="s">
        <v>470</v>
      </c>
      <c r="C15" s="10">
        <f t="shared" ref="C15:N15" si="3">salary_mgmt*2*(1+salary_escalation)^1*(1+bhxh_rate)</f>
        <v>120.28500000000003</v>
      </c>
      <c r="D15" s="10">
        <f t="shared" si="3"/>
        <v>120.28500000000003</v>
      </c>
      <c r="E15" s="10">
        <f t="shared" si="3"/>
        <v>120.28500000000003</v>
      </c>
      <c r="F15" s="10">
        <f t="shared" si="3"/>
        <v>120.28500000000003</v>
      </c>
      <c r="G15" s="10">
        <f t="shared" si="3"/>
        <v>120.28500000000003</v>
      </c>
      <c r="H15" s="10">
        <f t="shared" si="3"/>
        <v>120.28500000000003</v>
      </c>
      <c r="I15" s="10">
        <f t="shared" si="3"/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9">
        <f t="shared" ref="O15:O30" si="4">SUM(C15:N15)</f>
        <v>1443.4200000000008</v>
      </c>
    </row>
    <row r="16" spans="1:15" x14ac:dyDescent="0.3">
      <c r="A16" s="4" t="s">
        <v>914</v>
      </c>
      <c r="B16" s="4" t="s">
        <v>470</v>
      </c>
      <c r="C16" s="10">
        <f t="shared" ref="C16:N16" si="5">salary_dev*12*(1+salary_escalation)^1*(1+bhxh_rate)</f>
        <v>561.33000000000015</v>
      </c>
      <c r="D16" s="10">
        <f t="shared" si="5"/>
        <v>561.33000000000015</v>
      </c>
      <c r="E16" s="10">
        <f t="shared" si="5"/>
        <v>561.33000000000015</v>
      </c>
      <c r="F16" s="10">
        <f t="shared" si="5"/>
        <v>561.33000000000015</v>
      </c>
      <c r="G16" s="10">
        <f t="shared" si="5"/>
        <v>561.33000000000015</v>
      </c>
      <c r="H16" s="10">
        <f t="shared" si="5"/>
        <v>561.33000000000015</v>
      </c>
      <c r="I16" s="10">
        <f t="shared" si="5"/>
        <v>561.33000000000015</v>
      </c>
      <c r="J16" s="10">
        <f t="shared" si="5"/>
        <v>561.33000000000015</v>
      </c>
      <c r="K16" s="10">
        <f t="shared" si="5"/>
        <v>561.33000000000015</v>
      </c>
      <c r="L16" s="10">
        <f t="shared" si="5"/>
        <v>561.33000000000015</v>
      </c>
      <c r="M16" s="10">
        <f t="shared" si="5"/>
        <v>561.33000000000015</v>
      </c>
      <c r="N16" s="10">
        <f t="shared" si="5"/>
        <v>561.33000000000015</v>
      </c>
      <c r="O16" s="9">
        <f t="shared" si="4"/>
        <v>6735.96</v>
      </c>
    </row>
    <row r="17" spans="1:15" x14ac:dyDescent="0.3">
      <c r="A17" s="4" t="s">
        <v>933</v>
      </c>
      <c r="B17" s="4" t="s">
        <v>470</v>
      </c>
      <c r="C17" s="10">
        <f t="shared" ref="C17:N17" si="6">salary_bizops*6*(1+salary_escalation)^1*(1+bhxh_rate)</f>
        <v>160.38000000000002</v>
      </c>
      <c r="D17" s="10">
        <f t="shared" si="6"/>
        <v>160.38000000000002</v>
      </c>
      <c r="E17" s="10">
        <f t="shared" si="6"/>
        <v>160.38000000000002</v>
      </c>
      <c r="F17" s="10">
        <f t="shared" si="6"/>
        <v>160.38000000000002</v>
      </c>
      <c r="G17" s="10">
        <f t="shared" si="6"/>
        <v>160.38000000000002</v>
      </c>
      <c r="H17" s="10">
        <f t="shared" si="6"/>
        <v>160.38000000000002</v>
      </c>
      <c r="I17" s="10">
        <f t="shared" si="6"/>
        <v>160.38000000000002</v>
      </c>
      <c r="J17" s="10">
        <f t="shared" si="6"/>
        <v>160.38000000000002</v>
      </c>
      <c r="K17" s="10">
        <f t="shared" si="6"/>
        <v>160.38000000000002</v>
      </c>
      <c r="L17" s="10">
        <f t="shared" si="6"/>
        <v>160.38000000000002</v>
      </c>
      <c r="M17" s="10">
        <f t="shared" si="6"/>
        <v>160.38000000000002</v>
      </c>
      <c r="N17" s="10">
        <f t="shared" si="6"/>
        <v>160.38000000000002</v>
      </c>
      <c r="O17" s="9">
        <f t="shared" si="4"/>
        <v>1924.5600000000006</v>
      </c>
    </row>
    <row r="18" spans="1:15" x14ac:dyDescent="0.3">
      <c r="A18" s="4" t="s">
        <v>934</v>
      </c>
      <c r="B18" s="4" t="s">
        <v>470</v>
      </c>
      <c r="C18" s="10">
        <f t="shared" ref="C18:N18" si="7">salary_data*2*(1+salary_escalation)^1*(1+bhxh_rate)</f>
        <v>106.92</v>
      </c>
      <c r="D18" s="10">
        <f t="shared" si="7"/>
        <v>106.92</v>
      </c>
      <c r="E18" s="10">
        <f t="shared" si="7"/>
        <v>106.92</v>
      </c>
      <c r="F18" s="10">
        <f t="shared" si="7"/>
        <v>106.92</v>
      </c>
      <c r="G18" s="10">
        <f t="shared" si="7"/>
        <v>106.92</v>
      </c>
      <c r="H18" s="10">
        <f t="shared" si="7"/>
        <v>106.92</v>
      </c>
      <c r="I18" s="10">
        <f t="shared" si="7"/>
        <v>106.92</v>
      </c>
      <c r="J18" s="10">
        <f t="shared" si="7"/>
        <v>106.92</v>
      </c>
      <c r="K18" s="10">
        <f t="shared" si="7"/>
        <v>106.92</v>
      </c>
      <c r="L18" s="10">
        <f t="shared" si="7"/>
        <v>106.92</v>
      </c>
      <c r="M18" s="10">
        <f t="shared" si="7"/>
        <v>106.92</v>
      </c>
      <c r="N18" s="10">
        <f t="shared" si="7"/>
        <v>106.92</v>
      </c>
      <c r="O18" s="9">
        <f t="shared" si="4"/>
        <v>1283.04</v>
      </c>
    </row>
    <row r="19" spans="1:15" x14ac:dyDescent="0.3">
      <c r="A19" s="4" t="s">
        <v>916</v>
      </c>
      <c r="B19" s="4" t="s">
        <v>470</v>
      </c>
      <c r="C19" s="10">
        <f>6*30*12*recruit_cost_pct</f>
        <v>432</v>
      </c>
      <c r="D19" s="10">
        <f>0</f>
        <v>0</v>
      </c>
      <c r="E19" s="10">
        <f>0</f>
        <v>0</v>
      </c>
      <c r="F19" s="10">
        <f>0</f>
        <v>0</v>
      </c>
      <c r="G19" s="10">
        <f>0</f>
        <v>0</v>
      </c>
      <c r="H19" s="10">
        <f>0</f>
        <v>0</v>
      </c>
      <c r="I19" s="10">
        <f>0</f>
        <v>0</v>
      </c>
      <c r="J19" s="10">
        <f>0</f>
        <v>0</v>
      </c>
      <c r="K19" s="10">
        <f>0</f>
        <v>0</v>
      </c>
      <c r="L19" s="10">
        <f>0</f>
        <v>0</v>
      </c>
      <c r="M19" s="10">
        <f>0</f>
        <v>0</v>
      </c>
      <c r="N19" s="10">
        <f>0</f>
        <v>0</v>
      </c>
      <c r="O19" s="9">
        <f t="shared" si="4"/>
        <v>432</v>
      </c>
    </row>
    <row r="20" spans="1:15" x14ac:dyDescent="0.3">
      <c r="A20" s="4" t="s">
        <v>732</v>
      </c>
      <c r="B20" s="4" t="s">
        <v>470</v>
      </c>
      <c r="C20" s="10">
        <f t="shared" ref="C20:N20" si="8">opex_marketing*(1+marketing_growth)^1/12</f>
        <v>670.83333333333326</v>
      </c>
      <c r="D20" s="10">
        <f t="shared" si="8"/>
        <v>670.83333333333326</v>
      </c>
      <c r="E20" s="10">
        <f t="shared" si="8"/>
        <v>670.83333333333326</v>
      </c>
      <c r="F20" s="10">
        <f t="shared" si="8"/>
        <v>670.83333333333326</v>
      </c>
      <c r="G20" s="10">
        <f t="shared" si="8"/>
        <v>670.83333333333326</v>
      </c>
      <c r="H20" s="10">
        <f t="shared" si="8"/>
        <v>670.83333333333326</v>
      </c>
      <c r="I20" s="10">
        <f t="shared" si="8"/>
        <v>670.83333333333326</v>
      </c>
      <c r="J20" s="10">
        <f t="shared" si="8"/>
        <v>670.83333333333326</v>
      </c>
      <c r="K20" s="10">
        <f t="shared" si="8"/>
        <v>670.83333333333326</v>
      </c>
      <c r="L20" s="10">
        <f t="shared" si="8"/>
        <v>670.83333333333326</v>
      </c>
      <c r="M20" s="10">
        <f t="shared" si="8"/>
        <v>670.83333333333326</v>
      </c>
      <c r="N20" s="10">
        <f t="shared" si="8"/>
        <v>670.83333333333326</v>
      </c>
      <c r="O20" s="9">
        <f t="shared" si="4"/>
        <v>8049.9999999999973</v>
      </c>
    </row>
    <row r="21" spans="1:15" x14ac:dyDescent="0.3">
      <c r="A21" s="4" t="s">
        <v>917</v>
      </c>
      <c r="B21" s="4" t="s">
        <v>470</v>
      </c>
      <c r="C21" s="10">
        <f t="shared" ref="C21:N21" si="9">opex_branding/12</f>
        <v>333.33333333333331</v>
      </c>
      <c r="D21" s="10">
        <f t="shared" si="9"/>
        <v>333.33333333333331</v>
      </c>
      <c r="E21" s="10">
        <f t="shared" si="9"/>
        <v>333.33333333333331</v>
      </c>
      <c r="F21" s="10">
        <f t="shared" si="9"/>
        <v>333.33333333333331</v>
      </c>
      <c r="G21" s="10">
        <f t="shared" si="9"/>
        <v>333.33333333333331</v>
      </c>
      <c r="H21" s="10">
        <f t="shared" si="9"/>
        <v>333.33333333333331</v>
      </c>
      <c r="I21" s="10">
        <f t="shared" si="9"/>
        <v>333.33333333333331</v>
      </c>
      <c r="J21" s="10">
        <f t="shared" si="9"/>
        <v>333.33333333333331</v>
      </c>
      <c r="K21" s="10">
        <f t="shared" si="9"/>
        <v>333.33333333333331</v>
      </c>
      <c r="L21" s="10">
        <f t="shared" si="9"/>
        <v>333.33333333333331</v>
      </c>
      <c r="M21" s="10">
        <f t="shared" si="9"/>
        <v>333.33333333333331</v>
      </c>
      <c r="N21" s="10">
        <f t="shared" si="9"/>
        <v>333.33333333333331</v>
      </c>
      <c r="O21" s="9">
        <f t="shared" si="4"/>
        <v>4000.0000000000005</v>
      </c>
    </row>
    <row r="22" spans="1:15" x14ac:dyDescent="0.3">
      <c r="A22" s="4" t="s">
        <v>918</v>
      </c>
      <c r="B22" s="4" t="s">
        <v>470</v>
      </c>
      <c r="C22" s="10">
        <f t="shared" ref="C22:N22" si="10">opex_cloud_base/12</f>
        <v>270.83333333333331</v>
      </c>
      <c r="D22" s="10">
        <f t="shared" si="10"/>
        <v>270.83333333333331</v>
      </c>
      <c r="E22" s="10">
        <f t="shared" si="10"/>
        <v>270.83333333333331</v>
      </c>
      <c r="F22" s="10">
        <f t="shared" si="10"/>
        <v>270.83333333333331</v>
      </c>
      <c r="G22" s="10">
        <f t="shared" si="10"/>
        <v>270.83333333333331</v>
      </c>
      <c r="H22" s="10">
        <f t="shared" si="10"/>
        <v>270.83333333333331</v>
      </c>
      <c r="I22" s="10">
        <f t="shared" si="10"/>
        <v>270.83333333333331</v>
      </c>
      <c r="J22" s="10">
        <f t="shared" si="10"/>
        <v>270.83333333333331</v>
      </c>
      <c r="K22" s="10">
        <f t="shared" si="10"/>
        <v>270.83333333333331</v>
      </c>
      <c r="L22" s="10">
        <f t="shared" si="10"/>
        <v>270.83333333333331</v>
      </c>
      <c r="M22" s="10">
        <f t="shared" si="10"/>
        <v>270.83333333333331</v>
      </c>
      <c r="N22" s="10">
        <f t="shared" si="10"/>
        <v>270.83333333333331</v>
      </c>
      <c r="O22" s="9">
        <f t="shared" si="4"/>
        <v>3250.0000000000005</v>
      </c>
    </row>
    <row r="23" spans="1:15" x14ac:dyDescent="0.3">
      <c r="A23" s="4" t="s">
        <v>735</v>
      </c>
      <c r="B23" s="4" t="s">
        <v>470</v>
      </c>
      <c r="C23" s="10">
        <f t="shared" ref="C23:N23" si="11">opex_security/12</f>
        <v>20.833333333333332</v>
      </c>
      <c r="D23" s="10">
        <f t="shared" si="11"/>
        <v>20.833333333333332</v>
      </c>
      <c r="E23" s="10">
        <f t="shared" si="11"/>
        <v>20.833333333333332</v>
      </c>
      <c r="F23" s="10">
        <f t="shared" si="11"/>
        <v>20.833333333333332</v>
      </c>
      <c r="G23" s="10">
        <f t="shared" si="11"/>
        <v>20.833333333333332</v>
      </c>
      <c r="H23" s="10">
        <f t="shared" si="11"/>
        <v>20.833333333333332</v>
      </c>
      <c r="I23" s="10">
        <f t="shared" si="11"/>
        <v>20.833333333333332</v>
      </c>
      <c r="J23" s="10">
        <f t="shared" si="11"/>
        <v>20.833333333333332</v>
      </c>
      <c r="K23" s="10">
        <f t="shared" si="11"/>
        <v>20.833333333333332</v>
      </c>
      <c r="L23" s="10">
        <f t="shared" si="11"/>
        <v>20.833333333333332</v>
      </c>
      <c r="M23" s="10">
        <f t="shared" si="11"/>
        <v>20.833333333333332</v>
      </c>
      <c r="N23" s="10">
        <f t="shared" si="11"/>
        <v>20.833333333333332</v>
      </c>
      <c r="O23" s="9">
        <f t="shared" si="4"/>
        <v>250.00000000000003</v>
      </c>
    </row>
    <row r="24" spans="1:15" x14ac:dyDescent="0.3">
      <c r="A24" s="4" t="s">
        <v>919</v>
      </c>
      <c r="B24" s="4" t="s">
        <v>470</v>
      </c>
      <c r="C24" s="10">
        <f t="shared" ref="C24:N24" si="12">opex_external/12</f>
        <v>33.333333333333336</v>
      </c>
      <c r="D24" s="10">
        <f t="shared" si="12"/>
        <v>33.333333333333336</v>
      </c>
      <c r="E24" s="10">
        <f t="shared" si="12"/>
        <v>33.333333333333336</v>
      </c>
      <c r="F24" s="10">
        <f t="shared" si="12"/>
        <v>33.333333333333336</v>
      </c>
      <c r="G24" s="10">
        <f t="shared" si="12"/>
        <v>33.333333333333336</v>
      </c>
      <c r="H24" s="10">
        <f t="shared" si="12"/>
        <v>33.333333333333336</v>
      </c>
      <c r="I24" s="10">
        <f t="shared" si="12"/>
        <v>33.333333333333336</v>
      </c>
      <c r="J24" s="10">
        <f t="shared" si="12"/>
        <v>33.333333333333336</v>
      </c>
      <c r="K24" s="10">
        <f t="shared" si="12"/>
        <v>33.333333333333336</v>
      </c>
      <c r="L24" s="10">
        <f t="shared" si="12"/>
        <v>33.333333333333336</v>
      </c>
      <c r="M24" s="10">
        <f t="shared" si="12"/>
        <v>33.333333333333336</v>
      </c>
      <c r="N24" s="10">
        <f t="shared" si="12"/>
        <v>33.333333333333336</v>
      </c>
      <c r="O24" s="9">
        <f t="shared" si="4"/>
        <v>399.99999999999994</v>
      </c>
    </row>
    <row r="25" spans="1:15" x14ac:dyDescent="0.3">
      <c r="A25" s="4" t="s">
        <v>920</v>
      </c>
      <c r="B25" s="4" t="s">
        <v>470</v>
      </c>
      <c r="C25" s="10">
        <f t="shared" ref="C25:N25" si="13">opex_legal/12</f>
        <v>20</v>
      </c>
      <c r="D25" s="10">
        <f t="shared" si="13"/>
        <v>20</v>
      </c>
      <c r="E25" s="10">
        <f t="shared" si="13"/>
        <v>20</v>
      </c>
      <c r="F25" s="10">
        <f t="shared" si="13"/>
        <v>20</v>
      </c>
      <c r="G25" s="10">
        <f t="shared" si="13"/>
        <v>20</v>
      </c>
      <c r="H25" s="10">
        <f t="shared" si="13"/>
        <v>20</v>
      </c>
      <c r="I25" s="10">
        <f t="shared" si="13"/>
        <v>20</v>
      </c>
      <c r="J25" s="10">
        <f t="shared" si="13"/>
        <v>20</v>
      </c>
      <c r="K25" s="10">
        <f t="shared" si="13"/>
        <v>20</v>
      </c>
      <c r="L25" s="10">
        <f t="shared" si="13"/>
        <v>20</v>
      </c>
      <c r="M25" s="10">
        <f t="shared" si="13"/>
        <v>20</v>
      </c>
      <c r="N25" s="10">
        <f t="shared" si="13"/>
        <v>20</v>
      </c>
      <c r="O25" s="9">
        <f t="shared" si="4"/>
        <v>240</v>
      </c>
    </row>
    <row r="26" spans="1:15" x14ac:dyDescent="0.3">
      <c r="A26" s="4" t="s">
        <v>739</v>
      </c>
      <c r="B26" s="4" t="s">
        <v>470</v>
      </c>
      <c r="C26" s="10">
        <f t="shared" ref="C26:N26" si="14">opex_partner_mgmt/12</f>
        <v>41.666666666666664</v>
      </c>
      <c r="D26" s="10">
        <f t="shared" si="14"/>
        <v>41.666666666666664</v>
      </c>
      <c r="E26" s="10">
        <f t="shared" si="14"/>
        <v>41.666666666666664</v>
      </c>
      <c r="F26" s="10">
        <f t="shared" si="14"/>
        <v>41.666666666666664</v>
      </c>
      <c r="G26" s="10">
        <f t="shared" si="14"/>
        <v>41.666666666666664</v>
      </c>
      <c r="H26" s="10">
        <f t="shared" si="14"/>
        <v>41.666666666666664</v>
      </c>
      <c r="I26" s="10">
        <f t="shared" si="14"/>
        <v>41.666666666666664</v>
      </c>
      <c r="J26" s="10">
        <f t="shared" si="14"/>
        <v>41.666666666666664</v>
      </c>
      <c r="K26" s="10">
        <f t="shared" si="14"/>
        <v>41.666666666666664</v>
      </c>
      <c r="L26" s="10">
        <f t="shared" si="14"/>
        <v>41.666666666666664</v>
      </c>
      <c r="M26" s="10">
        <f t="shared" si="14"/>
        <v>41.666666666666664</v>
      </c>
      <c r="N26" s="10">
        <f t="shared" si="14"/>
        <v>41.666666666666664</v>
      </c>
      <c r="O26" s="9">
        <f t="shared" si="4"/>
        <v>500.00000000000006</v>
      </c>
    </row>
    <row r="27" spans="1:15" x14ac:dyDescent="0.3">
      <c r="A27" s="4" t="s">
        <v>740</v>
      </c>
      <c r="B27" s="4" t="s">
        <v>470</v>
      </c>
      <c r="C27" s="10">
        <f>MAX(pilot_count,adoption_max/(1+EXP(-adoption_steepness*(2026.042-adoption_midpoint))))*opex_support_per_ent/12</f>
        <v>29.30300387883322</v>
      </c>
      <c r="D27" s="10">
        <f>MAX(pilot_count,adoption_max/(1+EXP(-adoption_steepness*(2026.125-adoption_midpoint))))*opex_support_per_ent/12</f>
        <v>31.22097948909148</v>
      </c>
      <c r="E27" s="10">
        <f>MAX(pilot_count,adoption_max/(1+EXP(-adoption_steepness*(2026.208-adoption_midpoint))))*opex_support_per_ent/12</f>
        <v>33.240046645937539</v>
      </c>
      <c r="F27" s="10">
        <f>MAX(pilot_count,adoption_max/(1+EXP(-adoption_steepness*(2026.292-adoption_midpoint))))*opex_support_per_ent/12</f>
        <v>35.388536220329421</v>
      </c>
      <c r="G27" s="10">
        <f>MAX(pilot_count,adoption_max/(1+EXP(-adoption_steepness*(2026.375-adoption_midpoint))))*opex_support_per_ent/12</f>
        <v>37.617050900048312</v>
      </c>
      <c r="H27" s="10">
        <f>MAX(pilot_count,adoption_max/(1+EXP(-adoption_steepness*(2026.458-adoption_midpoint))))*opex_support_per_ent/12</f>
        <v>39.951841317811976</v>
      </c>
      <c r="I27" s="10">
        <f>MAX(pilot_count,adoption_max/(1+EXP(-adoption_steepness*(2026.542-adoption_midpoint))))*opex_support_per_ent/12</f>
        <v>42.423787475029478</v>
      </c>
      <c r="J27" s="10">
        <f>MAX(pilot_count,adoption_max/(1+EXP(-adoption_steepness*(2026.625-adoption_midpoint))))*opex_support_per_ent/12</f>
        <v>44.974289336528706</v>
      </c>
      <c r="K27" s="10">
        <f>MAX(pilot_count,adoption_max/(1+EXP(-adoption_steepness*(2026.708-adoption_midpoint))))*opex_support_per_ent/12</f>
        <v>47.631776581844491</v>
      </c>
      <c r="L27" s="10">
        <f>MAX(pilot_count,adoption_max/(1+EXP(-adoption_steepness*(2026.792-adoption_midpoint))))*opex_support_per_ent/12</f>
        <v>50.429180650377049</v>
      </c>
      <c r="M27" s="10">
        <f>MAX(pilot_count,adoption_max/(1+EXP(-adoption_steepness*(2026.875-adoption_midpoint))))*opex_support_per_ent/12</f>
        <v>53.298176367943917</v>
      </c>
      <c r="N27" s="10">
        <f>MAX(pilot_count,adoption_max/(1+EXP(-adoption_steepness*(2026.958-adoption_midpoint))))*opex_support_per_ent/12</f>
        <v>56.268989292039471</v>
      </c>
      <c r="O27" s="9">
        <f t="shared" si="4"/>
        <v>501.74765815581509</v>
      </c>
    </row>
    <row r="28" spans="1:15" x14ac:dyDescent="0.3">
      <c r="A28" s="4" t="s">
        <v>741</v>
      </c>
      <c r="C28" s="9">
        <f t="shared" ref="C28:N28" si="15">SUM(C15:C27)</f>
        <v>2801.0513372121673</v>
      </c>
      <c r="D28" s="9">
        <f t="shared" si="15"/>
        <v>2370.9693128224249</v>
      </c>
      <c r="E28" s="9">
        <f t="shared" si="15"/>
        <v>2372.988379979271</v>
      </c>
      <c r="F28" s="9">
        <f t="shared" si="15"/>
        <v>2375.136869553663</v>
      </c>
      <c r="G28" s="9">
        <f t="shared" si="15"/>
        <v>2377.365384233382</v>
      </c>
      <c r="H28" s="9">
        <f t="shared" si="15"/>
        <v>2379.7001746511455</v>
      </c>
      <c r="I28" s="9">
        <f t="shared" si="15"/>
        <v>2382.1721208083627</v>
      </c>
      <c r="J28" s="9">
        <f t="shared" si="15"/>
        <v>2384.7226226698622</v>
      </c>
      <c r="K28" s="9">
        <f t="shared" si="15"/>
        <v>2387.3801099151779</v>
      </c>
      <c r="L28" s="9">
        <f t="shared" si="15"/>
        <v>2390.1775139837105</v>
      </c>
      <c r="M28" s="9">
        <f t="shared" si="15"/>
        <v>2393.0465097012775</v>
      </c>
      <c r="N28" s="9">
        <f t="shared" si="15"/>
        <v>2396.0173226253728</v>
      </c>
      <c r="O28" s="9">
        <f t="shared" si="4"/>
        <v>29010.727658155822</v>
      </c>
    </row>
    <row r="29" spans="1:15" x14ac:dyDescent="0.3">
      <c r="A29" s="4" t="s">
        <v>742</v>
      </c>
      <c r="B29" s="4" t="s">
        <v>470</v>
      </c>
      <c r="C29" s="10">
        <f t="shared" ref="C29:N29" si="16">C28*opex_contingency_pct</f>
        <v>280.10513372121676</v>
      </c>
      <c r="D29" s="10">
        <f t="shared" si="16"/>
        <v>237.09693128224251</v>
      </c>
      <c r="E29" s="10">
        <f t="shared" si="16"/>
        <v>237.29883799792711</v>
      </c>
      <c r="F29" s="10">
        <f t="shared" si="16"/>
        <v>237.51368695536632</v>
      </c>
      <c r="G29" s="10">
        <f t="shared" si="16"/>
        <v>237.7365384233382</v>
      </c>
      <c r="H29" s="10">
        <f t="shared" si="16"/>
        <v>237.97001746511455</v>
      </c>
      <c r="I29" s="10">
        <f t="shared" si="16"/>
        <v>238.21721208083628</v>
      </c>
      <c r="J29" s="10">
        <f t="shared" si="16"/>
        <v>238.47226226698623</v>
      </c>
      <c r="K29" s="10">
        <f t="shared" si="16"/>
        <v>238.7380109915178</v>
      </c>
      <c r="L29" s="10">
        <f t="shared" si="16"/>
        <v>239.01775139837105</v>
      </c>
      <c r="M29" s="10">
        <f t="shared" si="16"/>
        <v>239.30465097012777</v>
      </c>
      <c r="N29" s="10">
        <f t="shared" si="16"/>
        <v>239.6017322625373</v>
      </c>
      <c r="O29" s="9">
        <f t="shared" si="4"/>
        <v>2901.072765815582</v>
      </c>
    </row>
    <row r="30" spans="1:15" x14ac:dyDescent="0.3">
      <c r="A30" s="4" t="s">
        <v>743</v>
      </c>
      <c r="C30" s="9">
        <f t="shared" ref="C30:N30" si="17">C28+C29</f>
        <v>3081.1564709333838</v>
      </c>
      <c r="D30" s="9">
        <f t="shared" si="17"/>
        <v>2608.0662441046675</v>
      </c>
      <c r="E30" s="9">
        <f t="shared" si="17"/>
        <v>2610.287217977198</v>
      </c>
      <c r="F30" s="9">
        <f t="shared" si="17"/>
        <v>2612.6505565090292</v>
      </c>
      <c r="G30" s="9">
        <f t="shared" si="17"/>
        <v>2615.10192265672</v>
      </c>
      <c r="H30" s="9">
        <f t="shared" si="17"/>
        <v>2617.6701921162603</v>
      </c>
      <c r="I30" s="9">
        <f t="shared" si="17"/>
        <v>2620.3893328891991</v>
      </c>
      <c r="J30" s="9">
        <f t="shared" si="17"/>
        <v>2623.1948849368482</v>
      </c>
      <c r="K30" s="9">
        <f t="shared" si="17"/>
        <v>2626.1181209066958</v>
      </c>
      <c r="L30" s="9">
        <f t="shared" si="17"/>
        <v>2629.1952653820817</v>
      </c>
      <c r="M30" s="9">
        <f t="shared" si="17"/>
        <v>2632.3511606714051</v>
      </c>
      <c r="N30" s="9">
        <f t="shared" si="17"/>
        <v>2635.6190548879099</v>
      </c>
      <c r="O30" s="9">
        <f t="shared" si="4"/>
        <v>31911.800423971399</v>
      </c>
    </row>
    <row r="32" spans="1:15" x14ac:dyDescent="0.3">
      <c r="A32" s="25" t="s">
        <v>922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3">
      <c r="A33" s="4" t="s">
        <v>746</v>
      </c>
      <c r="C33" s="10">
        <f t="shared" ref="C33:N33" si="18">C8</f>
        <v>597.04870403122686</v>
      </c>
      <c r="D33" s="10">
        <f t="shared" si="18"/>
        <v>636.12745709023886</v>
      </c>
      <c r="E33" s="10">
        <f t="shared" si="18"/>
        <v>677.26595041097733</v>
      </c>
      <c r="F33" s="10">
        <f t="shared" si="18"/>
        <v>721.04142548921197</v>
      </c>
      <c r="G33" s="10">
        <f t="shared" si="18"/>
        <v>766.44741208848438</v>
      </c>
      <c r="H33" s="10">
        <f t="shared" si="18"/>
        <v>814.01876685041896</v>
      </c>
      <c r="I33" s="10">
        <f t="shared" si="18"/>
        <v>864.38466980372561</v>
      </c>
      <c r="J33" s="10">
        <f t="shared" si="18"/>
        <v>916.35114523177242</v>
      </c>
      <c r="K33" s="10">
        <f t="shared" si="18"/>
        <v>970.49744785508165</v>
      </c>
      <c r="L33" s="10">
        <f t="shared" si="18"/>
        <v>1027.4945557514325</v>
      </c>
      <c r="M33" s="10">
        <f t="shared" si="18"/>
        <v>1085.9503434968574</v>
      </c>
      <c r="N33" s="10">
        <f t="shared" si="18"/>
        <v>1146.4806568253043</v>
      </c>
      <c r="O33" s="9">
        <f>SUM(C33:N33)</f>
        <v>10223.108534924733</v>
      </c>
    </row>
    <row r="34" spans="1:15" x14ac:dyDescent="0.3">
      <c r="A34" s="4" t="s">
        <v>342</v>
      </c>
      <c r="C34" s="10">
        <f t="shared" ref="C34:N34" si="19">C12</f>
        <v>79.2</v>
      </c>
      <c r="D34" s="10">
        <f t="shared" si="19"/>
        <v>79.2</v>
      </c>
      <c r="E34" s="10">
        <f t="shared" si="19"/>
        <v>79.2</v>
      </c>
      <c r="F34" s="10">
        <f t="shared" si="19"/>
        <v>79.2</v>
      </c>
      <c r="G34" s="10">
        <f t="shared" si="19"/>
        <v>79.2</v>
      </c>
      <c r="H34" s="10">
        <f t="shared" si="19"/>
        <v>79.2</v>
      </c>
      <c r="I34" s="10">
        <f t="shared" si="19"/>
        <v>79.2</v>
      </c>
      <c r="J34" s="10">
        <f t="shared" si="19"/>
        <v>79.2</v>
      </c>
      <c r="K34" s="10">
        <f t="shared" si="19"/>
        <v>79.2</v>
      </c>
      <c r="L34" s="10">
        <f t="shared" si="19"/>
        <v>79.2</v>
      </c>
      <c r="M34" s="10">
        <f t="shared" si="19"/>
        <v>79.2</v>
      </c>
      <c r="N34" s="10">
        <f t="shared" si="19"/>
        <v>79.2</v>
      </c>
      <c r="O34" s="9">
        <f>SUM(C34:N34)</f>
        <v>950.4000000000002</v>
      </c>
    </row>
    <row r="35" spans="1:15" x14ac:dyDescent="0.3">
      <c r="A35" s="4" t="s">
        <v>345</v>
      </c>
      <c r="C35" s="10">
        <f t="shared" ref="C35:N35" si="20">C30</f>
        <v>3081.1564709333838</v>
      </c>
      <c r="D35" s="10">
        <f t="shared" si="20"/>
        <v>2608.0662441046675</v>
      </c>
      <c r="E35" s="10">
        <f t="shared" si="20"/>
        <v>2610.287217977198</v>
      </c>
      <c r="F35" s="10">
        <f t="shared" si="20"/>
        <v>2612.6505565090292</v>
      </c>
      <c r="G35" s="10">
        <f t="shared" si="20"/>
        <v>2615.10192265672</v>
      </c>
      <c r="H35" s="10">
        <f t="shared" si="20"/>
        <v>2617.6701921162603</v>
      </c>
      <c r="I35" s="10">
        <f t="shared" si="20"/>
        <v>2620.3893328891991</v>
      </c>
      <c r="J35" s="10">
        <f t="shared" si="20"/>
        <v>2623.1948849368482</v>
      </c>
      <c r="K35" s="10">
        <f t="shared" si="20"/>
        <v>2626.1181209066958</v>
      </c>
      <c r="L35" s="10">
        <f t="shared" si="20"/>
        <v>2629.1952653820817</v>
      </c>
      <c r="M35" s="10">
        <f t="shared" si="20"/>
        <v>2632.3511606714051</v>
      </c>
      <c r="N35" s="10">
        <f t="shared" si="20"/>
        <v>2635.6190548879099</v>
      </c>
      <c r="O35" s="9">
        <f>SUM(C35:N35)</f>
        <v>31911.800423971399</v>
      </c>
    </row>
    <row r="36" spans="1:15" x14ac:dyDescent="0.3">
      <c r="A36" s="4" t="s">
        <v>923</v>
      </c>
      <c r="C36" s="9">
        <f t="shared" ref="C36:N36" si="21">C34+C35</f>
        <v>3160.3564709333837</v>
      </c>
      <c r="D36" s="9">
        <f t="shared" si="21"/>
        <v>2687.2662441046673</v>
      </c>
      <c r="E36" s="9">
        <f t="shared" si="21"/>
        <v>2689.4872179771978</v>
      </c>
      <c r="F36" s="9">
        <f t="shared" si="21"/>
        <v>2691.850556509029</v>
      </c>
      <c r="G36" s="9">
        <f t="shared" si="21"/>
        <v>2694.3019226567199</v>
      </c>
      <c r="H36" s="9">
        <f t="shared" si="21"/>
        <v>2696.8701921162601</v>
      </c>
      <c r="I36" s="9">
        <f t="shared" si="21"/>
        <v>2699.5893328891989</v>
      </c>
      <c r="J36" s="9">
        <f t="shared" si="21"/>
        <v>2702.394884936848</v>
      </c>
      <c r="K36" s="9">
        <f t="shared" si="21"/>
        <v>2705.3181209066956</v>
      </c>
      <c r="L36" s="9">
        <f t="shared" si="21"/>
        <v>2708.3952653820816</v>
      </c>
      <c r="M36" s="9">
        <f t="shared" si="21"/>
        <v>2711.5511606714049</v>
      </c>
      <c r="N36" s="9">
        <f t="shared" si="21"/>
        <v>2714.8190548879097</v>
      </c>
      <c r="O36" s="9">
        <f>SUM(C36:N36)</f>
        <v>32862.200423971393</v>
      </c>
    </row>
    <row r="37" spans="1:15" x14ac:dyDescent="0.3">
      <c r="A37" s="4" t="s">
        <v>924</v>
      </c>
      <c r="C37" s="9">
        <f t="shared" ref="C37:N37" si="22">C33-C36</f>
        <v>-2563.3077669021568</v>
      </c>
      <c r="D37" s="9">
        <f t="shared" si="22"/>
        <v>-2051.1387870144285</v>
      </c>
      <c r="E37" s="9">
        <f t="shared" si="22"/>
        <v>-2012.2212675662204</v>
      </c>
      <c r="F37" s="9">
        <f t="shared" si="22"/>
        <v>-1970.809131019817</v>
      </c>
      <c r="G37" s="9">
        <f t="shared" si="22"/>
        <v>-1927.8545105682356</v>
      </c>
      <c r="H37" s="9">
        <f t="shared" si="22"/>
        <v>-1882.851425265841</v>
      </c>
      <c r="I37" s="9">
        <f t="shared" si="22"/>
        <v>-1835.2046630854734</v>
      </c>
      <c r="J37" s="9">
        <f t="shared" si="22"/>
        <v>-1786.0437397050755</v>
      </c>
      <c r="K37" s="9">
        <f t="shared" si="22"/>
        <v>-1734.820673051614</v>
      </c>
      <c r="L37" s="9">
        <f t="shared" si="22"/>
        <v>-1680.9007096306491</v>
      </c>
      <c r="M37" s="9">
        <f t="shared" si="22"/>
        <v>-1625.6008171745475</v>
      </c>
      <c r="N37" s="9">
        <f t="shared" si="22"/>
        <v>-1568.3383980626054</v>
      </c>
      <c r="O37" s="9">
        <f>SUM(C37:N37)</f>
        <v>-22639.091889046664</v>
      </c>
    </row>
    <row r="38" spans="1:15" x14ac:dyDescent="0.3">
      <c r="A38" s="4" t="s">
        <v>925</v>
      </c>
      <c r="C38" s="10">
        <f>C37</f>
        <v>-2563.3077669021568</v>
      </c>
      <c r="D38" s="10">
        <f t="shared" ref="D38:N38" si="23">C38+D37</f>
        <v>-4614.4465539165849</v>
      </c>
      <c r="E38" s="10">
        <f t="shared" si="23"/>
        <v>-6626.6678214828053</v>
      </c>
      <c r="F38" s="10">
        <f t="shared" si="23"/>
        <v>-8597.4769525026222</v>
      </c>
      <c r="G38" s="10">
        <f t="shared" si="23"/>
        <v>-10525.331463070857</v>
      </c>
      <c r="H38" s="10">
        <f t="shared" si="23"/>
        <v>-12408.182888336698</v>
      </c>
      <c r="I38" s="10">
        <f t="shared" si="23"/>
        <v>-14243.387551422171</v>
      </c>
      <c r="J38" s="10">
        <f t="shared" si="23"/>
        <v>-16029.431291127246</v>
      </c>
      <c r="K38" s="10">
        <f t="shared" si="23"/>
        <v>-17764.25196417886</v>
      </c>
      <c r="L38" s="10">
        <f t="shared" si="23"/>
        <v>-19445.152673809509</v>
      </c>
      <c r="M38" s="10">
        <f t="shared" si="23"/>
        <v>-21070.753490984058</v>
      </c>
      <c r="N38" s="10">
        <f t="shared" si="23"/>
        <v>-22639.091889046664</v>
      </c>
      <c r="O38" s="9">
        <f>N38</f>
        <v>-22639.091889046664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68</vt:i4>
      </vt:variant>
    </vt:vector>
  </HeadingPairs>
  <TitlesOfParts>
    <vt:vector size="82" baseType="lpstr">
      <vt:lpstr>Guide</vt:lpstr>
      <vt:lpstr>Assumptions</vt:lpstr>
      <vt:lpstr>Initial Investment</vt:lpstr>
      <vt:lpstr>HR Plan</vt:lpstr>
      <vt:lpstr>Market Sizing</vt:lpstr>
      <vt:lpstr>Revenue Schedule</vt:lpstr>
      <vt:lpstr>Cost Schedule</vt:lpstr>
      <vt:lpstr>P&amp;L</vt:lpstr>
      <vt:lpstr>Cash Flow</vt:lpstr>
      <vt:lpstr>DCF &amp; Returns</vt:lpstr>
      <vt:lpstr>Sensitivity</vt:lpstr>
      <vt:lpstr>Scenarios</vt:lpstr>
      <vt:lpstr>Budget 2025</vt:lpstr>
      <vt:lpstr>Budget 2026</vt:lpstr>
      <vt:lpstr>ad_cpm</vt:lpstr>
      <vt:lpstr>ad_impressions_base</vt:lpstr>
      <vt:lpstr>adoption_max</vt:lpstr>
      <vt:lpstr>adoption_midpoint</vt:lpstr>
      <vt:lpstr>adoption_steepness</vt:lpstr>
      <vt:lpstr>ap_days</vt:lpstr>
      <vt:lpstr>ar_days</vt:lpstr>
      <vt:lpstr>audit_fee</vt:lpstr>
      <vt:lpstr>base_year</vt:lpstr>
      <vt:lpstr>bhxh_rate</vt:lpstr>
      <vt:lpstr>bizops_floor</vt:lpstr>
      <vt:lpstr>capex_backend</vt:lpstr>
      <vt:lpstr>capex_cloud_setup</vt:lpstr>
      <vt:lpstr>capex_contingency</vt:lpstr>
      <vt:lpstr>capex_data_platform</vt:lpstr>
      <vt:lpstr>capex_devops</vt:lpstr>
      <vt:lpstr>capex_frontend</vt:lpstr>
      <vt:lpstr>capex_integration</vt:lpstr>
      <vt:lpstr>capex_maintenance_pct</vt:lpstr>
      <vt:lpstr>capex_security_setup</vt:lpstr>
      <vt:lpstr>capex_testing</vt:lpstr>
      <vt:lpstr>capex_total</vt:lpstr>
      <vt:lpstr>capex_ux_design</vt:lpstr>
      <vt:lpstr>cert_fee_escalation</vt:lpstr>
      <vt:lpstr>cert_fee_yr1</vt:lpstr>
      <vt:lpstr>churn_rate</vt:lpstr>
      <vt:lpstr>cit_rate</vt:lpstr>
      <vt:lpstr>cloud_elasticity</vt:lpstr>
      <vt:lpstr>cloud_gmv_factor</vt:lpstr>
      <vt:lpstr>cloud_per_1M_vcr</vt:lpstr>
      <vt:lpstr>daas_price</vt:lpstr>
      <vt:lpstr>depreciation_years</vt:lpstr>
      <vt:lpstr>discount_rate</vt:lpstr>
      <vt:lpstr>ecom_growth_rate</vt:lpstr>
      <vt:lpstr>ecom_market_base</vt:lpstr>
      <vt:lpstr>hr_bizops_per_100_ent</vt:lpstr>
      <vt:lpstr>marketing_growth</vt:lpstr>
      <vt:lpstr>mkt_efficiency_per_100</vt:lpstr>
      <vt:lpstr>months_to_first_revenue</vt:lpstr>
      <vt:lpstr>opex_branding</vt:lpstr>
      <vt:lpstr>opex_cloud_base</vt:lpstr>
      <vt:lpstr>opex_contingency_pct</vt:lpstr>
      <vt:lpstr>opex_external</vt:lpstr>
      <vt:lpstr>opex_legal</vt:lpstr>
      <vt:lpstr>opex_marketing</vt:lpstr>
      <vt:lpstr>opex_partner_mgmt</vt:lpstr>
      <vt:lpstr>opex_pilot_eval</vt:lpstr>
      <vt:lpstr>opex_security</vt:lpstr>
      <vt:lpstr>opex_support_per_ent</vt:lpstr>
      <vt:lpstr>payment_proc_pct</vt:lpstr>
      <vt:lpstr>pilot_count</vt:lpstr>
      <vt:lpstr>platform_market_share</vt:lpstr>
      <vt:lpstr>recruit_cost_pct</vt:lpstr>
      <vt:lpstr>salary_bizops</vt:lpstr>
      <vt:lpstr>salary_data</vt:lpstr>
      <vt:lpstr>salary_dev</vt:lpstr>
      <vt:lpstr>salary_escalation</vt:lpstr>
      <vt:lpstr>salary_mgmt</vt:lpstr>
      <vt:lpstr>SAM_enterprises</vt:lpstr>
      <vt:lpstr>stage2_gate</vt:lpstr>
      <vt:lpstr>start_month</vt:lpstr>
      <vt:lpstr>support_discount</vt:lpstr>
      <vt:lpstr>support_scale_threshold</vt:lpstr>
      <vt:lpstr>TAM_enterprises</vt:lpstr>
      <vt:lpstr>training_fee</vt:lpstr>
      <vt:lpstr>training_pct</vt:lpstr>
      <vt:lpstr>tx_take_rate</vt:lpstr>
      <vt:lpstr>vcr_per_enterprise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 Nam (VPBDH)</cp:lastModifiedBy>
  <dcterms:created xsi:type="dcterms:W3CDTF">2026-03-21T10:20:37Z</dcterms:created>
  <dcterms:modified xsi:type="dcterms:W3CDTF">2026-03-21T13:46:07Z</dcterms:modified>
</cp:coreProperties>
</file>