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1" activeTab="7" autoFilterDateGrouping="1"/>
  </bookViews>
  <sheets>
    <sheet xmlns:r="http://schemas.openxmlformats.org/officeDocument/2006/relationships" name="Annex A" sheetId="1" state="hidden" r:id="rId1"/>
    <sheet xmlns:r="http://schemas.openxmlformats.org/officeDocument/2006/relationships" name="CodeRanMovies" sheetId="2" state="visible" r:id="rId2"/>
    <sheet xmlns:r="http://schemas.openxmlformats.org/officeDocument/2006/relationships" name="KK1. Movies" sheetId="3" state="visible" r:id="rId3"/>
    <sheet xmlns:r="http://schemas.openxmlformats.org/officeDocument/2006/relationships" name="KK6. Bổ sung" sheetId="4" state="hidden" r:id="rId4"/>
    <sheet xmlns:r="http://schemas.openxmlformats.org/officeDocument/2006/relationships" name="KK2. Series" sheetId="5" state="visible" r:id="rId5"/>
    <sheet xmlns:r="http://schemas.openxmlformats.org/officeDocument/2006/relationships" name="KK3. Kids" sheetId="6" state="visible" r:id="rId6"/>
    <sheet xmlns:r="http://schemas.openxmlformats.org/officeDocument/2006/relationships" name="KK4. Show" sheetId="7" state="visible" r:id="rId7"/>
    <sheet xmlns:r="http://schemas.openxmlformats.org/officeDocument/2006/relationships" name="KK5. Doc" sheetId="8" state="visible" r:id="rId8"/>
    <sheet xmlns:r="http://schemas.openxmlformats.org/officeDocument/2006/relationships" name="Pivot" sheetId="9" state="visible" r:id="rId9"/>
    <sheet xmlns:r="http://schemas.openxmlformats.org/officeDocument/2006/relationships" name="TK 15661.Bản quyền phim " sheetId="10" state="hidden" r:id="rId10"/>
    <sheet xmlns:r="http://schemas.openxmlformats.org/officeDocument/2006/relationships" name="242.BQ Phim VOD" sheetId="11" state="hidden" r:id="rId11"/>
    <sheet xmlns:r="http://schemas.openxmlformats.org/officeDocument/2006/relationships" name="TK 15666. Phim SX" sheetId="12" state="hidden" r:id="rId12"/>
    <sheet xmlns:r="http://schemas.openxmlformats.org/officeDocument/2006/relationships" name="242.BQ Phim hợp tác" sheetId="13" state="hidden" r:id="rId13"/>
  </sheets>
  <definedNames>
    <definedName name="_xlnm._FilterDatabase" localSheetId="2" hidden="1">'KK1. Movies'!$AO$6:$AT$371</definedName>
    <definedName name="_xlnm._FilterDatabase" localSheetId="3" hidden="1">'KK6. Bổ sung'!$A$6:$S$44</definedName>
    <definedName name="_xlnm._FilterDatabase" localSheetId="4" hidden="1">'KK2. Series'!$AU$6:$AZ$177</definedName>
    <definedName name="_xlnm._FilterDatabase" localSheetId="5" hidden="1">'KK3. Kids'!$A$6:$AI$57</definedName>
    <definedName name="_xlnm._FilterDatabase" localSheetId="6" hidden="1">'KK4. Show'!$A$6:$N$15</definedName>
    <definedName name="_xlnm._FilterDatabase" localSheetId="7" hidden="1">'KK5. Doc'!$B$6:$W$23</definedName>
    <definedName name="_xlnm._FilterDatabase" localSheetId="9" hidden="1">'TK 15661.Bản quyền phim '!$A$5:$AR$497</definedName>
    <definedName name="_xlnm._FilterDatabase" localSheetId="10" hidden="1">'242.BQ Phim VOD'!$A$4:$P$8</definedName>
    <definedName name="_xlnm._FilterDatabase" localSheetId="12" hidden="1">'242.BQ Phim hợp tác'!$A$1:$S$22</definedName>
  </definedNames>
  <calcPr calcId="191029" fullCalcOnLoad="1"/>
  <pivotCaches>
    <pivotCache xmlns:r="http://schemas.openxmlformats.org/officeDocument/2006/relationships" cacheId="54" r:id="rId14"/>
    <pivotCache xmlns:r="http://schemas.openxmlformats.org/officeDocument/2006/relationships" cacheId="55" r:id="rId15"/>
  </pivotCaches>
</workbook>
</file>

<file path=xl/styles.xml><?xml version="1.0" encoding="utf-8"?>
<styleSheet xmlns="http://schemas.openxmlformats.org/spreadsheetml/2006/main">
  <numFmts count="14">
    <numFmt numFmtId="164" formatCode="_(* #,##0_);_(* \(#,##0\);_(* &quot;-&quot;??_);_(@_)"/>
    <numFmt numFmtId="165" formatCode="_-* #,##0_-;\-* #,##0_-;_-* &quot;-&quot;??_-;_-@_-"/>
    <numFmt numFmtId="166" formatCode="[$-409]d\-mmm\-yyyy;@"/>
    <numFmt numFmtId="167" formatCode="[$-409]d\-mmm\-yy;@"/>
    <numFmt numFmtId="168" formatCode="[$-409]dd\-mmm\-yy;@"/>
    <numFmt numFmtId="169" formatCode="_(* #,##0.0_);_(* \(#,##0.0\);_(* &quot;-&quot;??_);_(@_)"/>
    <numFmt numFmtId="170" formatCode="[$-1010000]d/m/yyyy;@"/>
    <numFmt numFmtId="171" formatCode="dd\-mmm\-yyyy"/>
    <numFmt numFmtId="172" formatCode="_(* #,##0.000_);_(* \(#,##0.000\);_(* &quot;-&quot;??_);_(@_)"/>
    <numFmt numFmtId="173" formatCode="#,##0;\-#,##0;* &quot;&quot;??"/>
    <numFmt numFmtId="174" formatCode="dd/mm/yyyy;@"/>
    <numFmt numFmtId="175" formatCode="###,###,###,###,###;\-###,###,###,###,###;* &quot;&quot;??"/>
    <numFmt numFmtId="176" formatCode="#,###,###,##0.####;\-#,###,###,##0.####;* &quot;&quot;??"/>
    <numFmt numFmtId="177" formatCode="[$-409]mmm/yy;@"/>
  </numFmts>
  <fonts count="48">
    <font>
      <name val="Calibri"/>
      <family val="2"/>
      <color theme="1"/>
      <sz val="11"/>
      <scheme val="minor"/>
    </font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Arial"/>
      <family val="2"/>
      <sz val="8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Times New Roman"/>
      <family val="1"/>
      <strike val="1"/>
      <color theme="1"/>
      <sz val="11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Arial"/>
      <family val="2"/>
      <color rgb="FFC00000"/>
      <sz val="8"/>
    </font>
    <font>
      <name val="Arial"/>
      <family val="2"/>
      <b val="1"/>
      <sz val="8"/>
    </font>
    <font>
      <name val="Arial"/>
      <family val="2"/>
      <b val="1"/>
      <color theme="0"/>
      <sz val="8"/>
    </font>
    <font>
      <name val="Arial"/>
      <family val="2"/>
      <b val="1"/>
      <color rgb="FFC00000"/>
      <sz val="8"/>
    </font>
    <font>
      <name val="Arial"/>
      <family val="2"/>
      <b val="1"/>
      <sz val="10"/>
    </font>
    <font>
      <name val="Times New Roman"/>
      <family val="1"/>
      <b val="1"/>
      <sz val="10"/>
    </font>
    <font>
      <name val="Times New Roman"/>
      <family val="1"/>
      <color rgb="FFFF0000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Times New Roman"/>
      <family val="1"/>
      <i val="1"/>
      <color rgb="FFFF0000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color rgb="FFFF0000"/>
      <sz val="11"/>
    </font>
    <font>
      <name val="Times New Roman"/>
      <family val="1"/>
      <i val="1"/>
      <color theme="4" tint="-0.249977111117893"/>
      <sz val="11"/>
    </font>
    <font>
      <name val="Arial"/>
      <family val="2"/>
      <b val="1"/>
      <sz val="11"/>
    </font>
    <font>
      <name val="Arial"/>
      <family val="2"/>
      <b val="1"/>
      <sz val="10"/>
      <u val="single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10"/>
    </font>
    <font>
      <name val="Arial"/>
      <family val="2"/>
      <strike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sz val="11"/>
      <u val="single"/>
    </font>
    <font>
      <name val="Arial"/>
      <family val="2"/>
      <color rgb="FF000000"/>
      <sz val="10"/>
    </font>
    <font>
      <name val="Arial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2" fillId="0" borderId="0"/>
    <xf numFmtId="43" fontId="2" fillId="0" borderId="0"/>
    <xf numFmtId="0" fontId="4" fillId="0" borderId="0"/>
    <xf numFmtId="0" fontId="5" fillId="0" borderId="0" applyAlignment="1">
      <alignment vertical="top"/>
    </xf>
    <xf numFmtId="166" fontId="2" fillId="0" borderId="0"/>
    <xf numFmtId="0" fontId="2" fillId="0" borderId="0"/>
    <xf numFmtId="0" fontId="2" fillId="0" borderId="0"/>
    <xf numFmtId="0" fontId="17" fillId="0" borderId="0"/>
    <xf numFmtId="0" fontId="18" fillId="0" borderId="0"/>
    <xf numFmtId="166" fontId="19" fillId="0" borderId="0" applyAlignment="1">
      <alignment vertical="top"/>
    </xf>
    <xf numFmtId="177" fontId="18" fillId="0" borderId="0"/>
  </cellStyleXfs>
  <cellXfs count="709">
    <xf numFmtId="0" fontId="0" fillId="0" borderId="0" pivotButton="0" quotePrefix="0" xfId="0"/>
    <xf numFmtId="164" fontId="4" fillId="0" borderId="0" pivotButton="0" quotePrefix="0" xfId="2"/>
    <xf numFmtId="0" fontId="3" fillId="0" borderId="0" pivotButton="0" quotePrefix="0" xfId="0"/>
    <xf numFmtId="0" fontId="3" fillId="0" borderId="1" pivotButton="0" quotePrefix="0" xfId="0"/>
    <xf numFmtId="0" fontId="7" fillId="0" borderId="1" pivotButton="0" quotePrefix="0" xfId="0"/>
    <xf numFmtId="0" fontId="0" fillId="0" borderId="0" applyAlignment="1" pivotButton="0" quotePrefix="0" xfId="0">
      <alignment vertical="top"/>
    </xf>
    <xf numFmtId="49" fontId="0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164" fontId="14" fillId="0" borderId="0" pivotButton="0" quotePrefix="0" xfId="1"/>
    <xf numFmtId="0" fontId="14" fillId="0" borderId="0" applyAlignment="1" pivotButton="0" quotePrefix="0" xfId="0">
      <alignment horizontal="center"/>
    </xf>
    <xf numFmtId="1" fontId="14" fillId="0" borderId="0" applyAlignment="1" pivotButton="0" quotePrefix="0" xfId="0">
      <alignment horizontal="center"/>
    </xf>
    <xf numFmtId="0" fontId="14" fillId="4" borderId="1" pivotButton="0" quotePrefix="0" xfId="0"/>
    <xf numFmtId="0" fontId="14" fillId="0" borderId="1" applyAlignment="1" pivotButton="0" quotePrefix="0" xfId="0">
      <alignment vertical="top"/>
    </xf>
    <xf numFmtId="0" fontId="14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vertical="center"/>
    </xf>
    <xf numFmtId="0" fontId="14" fillId="4" borderId="1" applyAlignment="1" pivotButton="0" quotePrefix="0" xfId="0">
      <alignment vertical="center" wrapText="1"/>
    </xf>
    <xf numFmtId="0" fontId="21" fillId="3" borderId="1" applyAlignment="1" pivotButton="0" quotePrefix="0" xfId="4">
      <alignment horizontal="center" vertical="center" wrapText="1"/>
    </xf>
    <xf numFmtId="1" fontId="21" fillId="3" borderId="1" applyAlignment="1" pivotButton="0" quotePrefix="0" xfId="4">
      <alignment horizontal="center" vertical="center" wrapText="1"/>
    </xf>
    <xf numFmtId="0" fontId="21" fillId="3" borderId="1" applyAlignment="1" pivotButton="0" quotePrefix="0" xfId="4">
      <alignment horizontal="right" vertical="center" wrapText="1"/>
    </xf>
    <xf numFmtId="0" fontId="21" fillId="3" borderId="1" applyAlignment="1" pivotButton="0" quotePrefix="0" xfId="4">
      <alignment horizontal="left" vertical="center" wrapText="1"/>
    </xf>
    <xf numFmtId="0" fontId="14" fillId="0" borderId="1" pivotButton="0" quotePrefix="0" xfId="0"/>
    <xf numFmtId="1" fontId="14" fillId="0" borderId="1" applyAlignment="1" pivotButton="0" quotePrefix="0" xfId="0">
      <alignment horizontal="center"/>
    </xf>
    <xf numFmtId="0" fontId="0" fillId="0" borderId="1" pivotButton="0" quotePrefix="0" xfId="0"/>
    <xf numFmtId="49" fontId="0" fillId="5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13" fillId="0" borderId="0" pivotButton="0" quotePrefix="0" xfId="0"/>
    <xf numFmtId="164" fontId="23" fillId="0" borderId="0" applyAlignment="1" pivotButton="0" quotePrefix="0" xfId="1">
      <alignment horizontal="right"/>
    </xf>
    <xf numFmtId="164" fontId="13" fillId="0" borderId="0" applyAlignment="1" pivotButton="0" quotePrefix="0" xfId="1">
      <alignment horizontal="right"/>
    </xf>
    <xf numFmtId="164" fontId="13" fillId="0" borderId="0" pivotButton="0" quotePrefix="0" xfId="1"/>
    <xf numFmtId="43" fontId="13" fillId="0" borderId="0" pivotButton="0" quotePrefix="0" xfId="0"/>
    <xf numFmtId="164" fontId="13" fillId="0" borderId="0" pivotButton="0" quotePrefix="0" xfId="0"/>
    <xf numFmtId="0" fontId="13" fillId="0" borderId="0" applyAlignment="1" pivotButton="0" quotePrefix="0" xfId="0">
      <alignment vertical="top" wrapText="1"/>
    </xf>
    <xf numFmtId="164" fontId="26" fillId="0" borderId="0" applyAlignment="1" pivotButton="0" quotePrefix="0" xfId="1">
      <alignment horizontal="right" vertical="center"/>
    </xf>
    <xf numFmtId="0" fontId="23" fillId="0" borderId="0" pivotButton="0" quotePrefix="0" xfId="0"/>
    <xf numFmtId="49" fontId="26" fillId="0" borderId="0" applyAlignment="1" pivotButton="0" quotePrefix="0" xfId="1">
      <alignment horizontal="center" vertical="center"/>
    </xf>
    <xf numFmtId="43" fontId="26" fillId="0" borderId="0" applyAlignment="1" pivotButton="0" quotePrefix="0" xfId="1">
      <alignment horizontal="center" vertical="center"/>
    </xf>
    <xf numFmtId="164" fontId="23" fillId="0" borderId="0" pivotButton="0" quotePrefix="0" xfId="1"/>
    <xf numFmtId="0" fontId="13" fillId="0" borderId="24" pivotButton="0" quotePrefix="0" xfId="0"/>
    <xf numFmtId="164" fontId="23" fillId="0" borderId="24" applyAlignment="1" pivotButton="0" quotePrefix="0" xfId="1">
      <alignment horizontal="right"/>
    </xf>
    <xf numFmtId="164" fontId="13" fillId="0" borderId="24" applyAlignment="1" pivotButton="0" quotePrefix="0" xfId="1">
      <alignment horizontal="right"/>
    </xf>
    <xf numFmtId="0" fontId="13" fillId="0" borderId="24" applyAlignment="1" pivotButton="0" quotePrefix="0" xfId="0">
      <alignment horizontal="left"/>
    </xf>
    <xf numFmtId="0" fontId="27" fillId="0" borderId="24" applyAlignment="1" pivotButton="0" quotePrefix="0" xfId="0">
      <alignment horizontal="left"/>
    </xf>
    <xf numFmtId="49" fontId="0" fillId="0" borderId="2" applyAlignment="1" pivotButton="0" quotePrefix="0" xfId="0">
      <alignment horizontal="left" vertical="top" wrapText="1"/>
    </xf>
    <xf numFmtId="49" fontId="0" fillId="0" borderId="16" applyAlignment="1" pivotButton="0" quotePrefix="0" xfId="0">
      <alignment horizontal="left" vertical="top" wrapText="1"/>
    </xf>
    <xf numFmtId="0" fontId="28" fillId="8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2" borderId="25" pivotButton="0" quotePrefix="0" xfId="0"/>
    <xf numFmtId="0" fontId="16" fillId="2" borderId="25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6" fillId="0" borderId="1" pivotButton="0" quotePrefix="0" xfId="0"/>
    <xf numFmtId="0" fontId="16" fillId="0" borderId="1" applyAlignment="1" pivotButton="0" quotePrefix="0" xfId="0">
      <alignment wrapText="1"/>
    </xf>
    <xf numFmtId="0" fontId="16" fillId="3" borderId="1" applyAlignment="1" pivotButton="0" quotePrefix="0" xfId="0">
      <alignment vertical="center" wrapText="1"/>
    </xf>
    <xf numFmtId="164" fontId="14" fillId="0" borderId="0" applyAlignment="1" pivotButton="0" quotePrefix="0" xfId="1">
      <alignment wrapText="1"/>
    </xf>
    <xf numFmtId="0" fontId="16" fillId="2" borderId="1" applyAlignment="1" pivotButton="0" quotePrefix="0" xfId="0">
      <alignment vertical="center"/>
    </xf>
    <xf numFmtId="0" fontId="29" fillId="0" borderId="1" applyAlignment="1" pivotButton="0" quotePrefix="0" xfId="0">
      <alignment vertical="center"/>
    </xf>
    <xf numFmtId="0" fontId="3" fillId="0" borderId="26" pivotButton="0" quotePrefix="0" xfId="0"/>
    <xf numFmtId="49" fontId="3" fillId="0" borderId="26" applyAlignment="1" pivotButton="0" quotePrefix="0" xfId="0">
      <alignment horizontal="left" vertical="top" wrapText="1"/>
    </xf>
    <xf numFmtId="49" fontId="0" fillId="11" borderId="2" applyAlignment="1" pivotButton="0" quotePrefix="0" xfId="0">
      <alignment horizontal="left" vertical="top" wrapText="1"/>
    </xf>
    <xf numFmtId="0" fontId="21" fillId="3" borderId="12" applyAlignment="1" pivotButton="0" quotePrefix="0" xfId="4">
      <alignment horizontal="center" vertical="center" wrapText="1"/>
    </xf>
    <xf numFmtId="164" fontId="14" fillId="0" borderId="1" applyAlignment="1" pivotButton="0" quotePrefix="0" xfId="1">
      <alignment vertical="center"/>
    </xf>
    <xf numFmtId="49" fontId="13" fillId="0" borderId="1" applyAlignment="1" pivotButton="0" quotePrefix="0" xfId="0">
      <alignment horizontal="left"/>
    </xf>
    <xf numFmtId="164" fontId="14" fillId="0" borderId="1" pivotButton="0" quotePrefix="0" xfId="1"/>
    <xf numFmtId="49" fontId="15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vertical="center" wrapText="1"/>
    </xf>
    <xf numFmtId="164" fontId="14" fillId="2" borderId="1" applyAlignment="1" pivotButton="0" quotePrefix="0" xfId="1">
      <alignment vertical="center" wrapText="1"/>
    </xf>
    <xf numFmtId="0" fontId="16" fillId="2" borderId="1" applyAlignment="1" pivotButton="0" quotePrefix="0" xfId="0">
      <alignment vertical="center" wrapText="1"/>
    </xf>
    <xf numFmtId="0" fontId="25" fillId="10" borderId="1" applyAlignment="1" pivotButton="0" quotePrefix="0" xfId="10">
      <alignment horizontal="left" vertical="top" wrapText="1"/>
    </xf>
    <xf numFmtId="0" fontId="13" fillId="0" borderId="1" applyAlignment="1" applyProtection="1" pivotButton="0" quotePrefix="0" xfId="0">
      <alignment horizontal="left" vertical="center"/>
      <protection locked="0" hidden="0"/>
    </xf>
    <xf numFmtId="0" fontId="13" fillId="2" borderId="1" applyAlignment="1" applyProtection="1" pivotButton="0" quotePrefix="0" xfId="0">
      <alignment horizontal="left" vertical="center"/>
      <protection locked="0" hidden="0"/>
    </xf>
    <xf numFmtId="0" fontId="13" fillId="0" borderId="1" applyAlignment="1" pivotButton="0" quotePrefix="0" xfId="0">
      <alignment horizontal="left"/>
    </xf>
    <xf numFmtId="164" fontId="25" fillId="10" borderId="1" applyAlignment="1" pivotButton="0" quotePrefix="0" xfId="1">
      <alignment horizontal="left" vertical="top" wrapText="1"/>
    </xf>
    <xf numFmtId="164" fontId="25" fillId="0" borderId="1" applyAlignment="1" pivotButton="0" quotePrefix="0" xfId="1">
      <alignment horizontal="left" vertical="top" wrapText="1"/>
    </xf>
    <xf numFmtId="164" fontId="26" fillId="0" borderId="1" applyAlignment="1" pivotButton="0" quotePrefix="0" xfId="1">
      <alignment horizontal="left" vertical="top" wrapText="1"/>
    </xf>
    <xf numFmtId="0" fontId="25" fillId="0" borderId="1" applyAlignment="1" pivotButton="0" quotePrefix="0" xfId="1">
      <alignment horizontal="left" vertical="top" wrapText="1"/>
    </xf>
    <xf numFmtId="0" fontId="25" fillId="0" borderId="1" applyAlignment="1" pivotButton="0" quotePrefix="0" xfId="1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164" fontId="13" fillId="0" borderId="1" applyAlignment="1" pivotButton="0" quotePrefix="0" xfId="1">
      <alignment horizontal="left" vertical="center"/>
    </xf>
    <xf numFmtId="164" fontId="23" fillId="0" borderId="1" applyAlignment="1" pivotButton="0" quotePrefix="0" xfId="1">
      <alignment horizontal="left" vertical="center"/>
    </xf>
    <xf numFmtId="43" fontId="13" fillId="0" borderId="1" applyAlignment="1" pivotButton="0" quotePrefix="0" xfId="1">
      <alignment horizontal="left" vertical="center"/>
    </xf>
    <xf numFmtId="0" fontId="13" fillId="0" borderId="1" applyAlignment="1" pivotButton="0" quotePrefix="1" xfId="10">
      <alignment horizontal="left" vertical="center"/>
    </xf>
    <xf numFmtId="0" fontId="7" fillId="0" borderId="1" applyAlignment="1" pivotButton="0" quotePrefix="0" xfId="0">
      <alignment horizontal="left"/>
    </xf>
    <xf numFmtId="164" fontId="13" fillId="0" borderId="1" applyAlignment="1" pivotButton="0" quotePrefix="0" xfId="1">
      <alignment horizontal="left"/>
    </xf>
    <xf numFmtId="164" fontId="23" fillId="0" borderId="1" applyAlignment="1" pivotButton="0" quotePrefix="0" xfId="1">
      <alignment horizontal="left"/>
    </xf>
    <xf numFmtId="0" fontId="6" fillId="3" borderId="27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3" borderId="1" applyAlignment="1" pivotButton="0" quotePrefix="0" xfId="4">
      <alignment horizontal="center" vertical="center" wrapText="1"/>
    </xf>
    <xf numFmtId="0" fontId="31" fillId="3" borderId="1" applyAlignment="1" pivotButton="0" quotePrefix="0" xfId="4">
      <alignment horizontal="left" vertical="center" wrapText="1"/>
    </xf>
    <xf numFmtId="0" fontId="27" fillId="3" borderId="1" applyAlignment="1" pivotButton="0" quotePrefix="0" xfId="4">
      <alignment horizontal="center" vertical="center" wrapText="1"/>
    </xf>
    <xf numFmtId="164" fontId="30" fillId="0" borderId="0" pivotButton="0" quotePrefix="0" xfId="1"/>
    <xf numFmtId="0" fontId="30" fillId="4" borderId="1" applyAlignment="1" pivotButton="0" quotePrefix="0" xfId="4">
      <alignment horizontal="center" vertical="center"/>
    </xf>
    <xf numFmtId="0" fontId="30" fillId="4" borderId="1" applyAlignment="1" pivotButton="0" quotePrefix="0" xfId="4">
      <alignment horizontal="left" vertical="center" wrapText="1"/>
    </xf>
    <xf numFmtId="15" fontId="30" fillId="4" borderId="1" applyAlignment="1" pivotButton="0" quotePrefix="0" xfId="4">
      <alignment horizontal="right" vertical="center" wrapText="1"/>
    </xf>
    <xf numFmtId="15" fontId="30" fillId="4" borderId="1" applyAlignment="1" pivotButton="0" quotePrefix="0" xfId="4">
      <alignment horizontal="center" vertical="center" wrapText="1"/>
    </xf>
    <xf numFmtId="1" fontId="30" fillId="4" borderId="1" applyAlignment="1" pivotButton="0" quotePrefix="0" xfId="4">
      <alignment horizontal="center" vertical="center"/>
    </xf>
    <xf numFmtId="15" fontId="30" fillId="4" borderId="1" applyAlignment="1" pivotButton="0" quotePrefix="0" xfId="4">
      <alignment horizontal="right" vertical="center"/>
    </xf>
    <xf numFmtId="15" fontId="30" fillId="4" borderId="1" applyAlignment="1" pivotButton="0" quotePrefix="0" xfId="4">
      <alignment horizontal="center" vertical="center"/>
    </xf>
    <xf numFmtId="0" fontId="30" fillId="4" borderId="1" applyAlignment="1" pivotButton="0" quotePrefix="0" xfId="0">
      <alignment horizontal="left" vertical="center"/>
    </xf>
    <xf numFmtId="0" fontId="30" fillId="4" borderId="1" applyAlignment="1" pivotButton="0" quotePrefix="0" xfId="0">
      <alignment horizontal="center" vertical="center"/>
    </xf>
    <xf numFmtId="0" fontId="30" fillId="4" borderId="1" applyAlignment="1" pivotButton="0" quotePrefix="0" xfId="0">
      <alignment vertical="center" wrapText="1"/>
    </xf>
    <xf numFmtId="15" fontId="30" fillId="4" borderId="1" applyAlignment="1" pivotButton="0" quotePrefix="0" xfId="0">
      <alignment horizontal="right" vertical="center"/>
    </xf>
    <xf numFmtId="0" fontId="30" fillId="4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 wrapText="1"/>
    </xf>
    <xf numFmtId="15" fontId="30" fillId="4" borderId="1" applyAlignment="1" pivotButton="0" quotePrefix="0" xfId="0">
      <alignment horizontal="right" vertical="center" wrapText="1"/>
    </xf>
    <xf numFmtId="0" fontId="30" fillId="4" borderId="1" applyAlignment="1" pivotButton="0" quotePrefix="0" xfId="0">
      <alignment vertical="center"/>
    </xf>
    <xf numFmtId="0" fontId="30" fillId="4" borderId="2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center" vertical="center"/>
    </xf>
    <xf numFmtId="15" fontId="30" fillId="9" borderId="1" applyAlignment="1" pivotButton="0" quotePrefix="0" xfId="0">
      <alignment horizontal="right" vertical="center"/>
    </xf>
    <xf numFmtId="0" fontId="30" fillId="4" borderId="1" applyAlignment="1" pivotButton="0" quotePrefix="0" xfId="4">
      <alignment horizontal="left" vertical="center"/>
    </xf>
    <xf numFmtId="0" fontId="30" fillId="4" borderId="9" applyAlignment="1" pivotButton="0" quotePrefix="0" xfId="4">
      <alignment horizontal="left" vertical="center" wrapText="1"/>
    </xf>
    <xf numFmtId="0" fontId="30" fillId="4" borderId="9" applyAlignment="1" pivotButton="0" quotePrefix="0" xfId="0">
      <alignment vertical="center" wrapText="1"/>
    </xf>
    <xf numFmtId="0" fontId="30" fillId="4" borderId="6" applyAlignment="1" pivotButton="0" quotePrefix="0" xfId="0">
      <alignment horizontal="left" vertical="center" wrapText="1"/>
    </xf>
    <xf numFmtId="0" fontId="30" fillId="4" borderId="9" applyAlignment="1" pivotButton="0" quotePrefix="0" xfId="0">
      <alignment horizontal="center" vertical="center"/>
    </xf>
    <xf numFmtId="0" fontId="30" fillId="9" borderId="1" applyAlignment="1" pivotButton="0" quotePrefix="0" xfId="0">
      <alignment vertical="center" wrapText="1"/>
    </xf>
    <xf numFmtId="15" fontId="30" fillId="9" borderId="1" applyAlignment="1" pivotButton="0" quotePrefix="0" xfId="0">
      <alignment horizontal="right" vertical="center" wrapText="1"/>
    </xf>
    <xf numFmtId="0" fontId="30" fillId="4" borderId="9" applyAlignment="1" pivotButton="0" quotePrefix="0" xfId="4">
      <alignment horizontal="center" vertical="center"/>
    </xf>
    <xf numFmtId="0" fontId="30" fillId="4" borderId="9" applyAlignment="1" pivotButton="0" quotePrefix="0" xfId="0">
      <alignment vertical="center"/>
    </xf>
    <xf numFmtId="0" fontId="30" fillId="4" borderId="9" applyAlignment="1" pivotButton="0" quotePrefix="0" xfId="0">
      <alignment horizontal="left" vertical="center"/>
    </xf>
    <xf numFmtId="15" fontId="30" fillId="4" borderId="1" applyAlignment="1" pivotButton="0" quotePrefix="0" xfId="0">
      <alignment vertical="center"/>
    </xf>
    <xf numFmtId="15" fontId="30" fillId="4" borderId="1" applyAlignment="1" pivotButton="0" quotePrefix="0" xfId="0">
      <alignment vertical="center" wrapText="1"/>
    </xf>
    <xf numFmtId="0" fontId="30" fillId="0" borderId="0" applyAlignment="1" pivotButton="0" quotePrefix="0" xfId="0">
      <alignment horizontal="left"/>
    </xf>
    <xf numFmtId="0" fontId="6" fillId="11" borderId="1" applyAlignment="1" pivotButton="0" quotePrefix="0" xfId="0">
      <alignment horizontal="center" vertical="center" wrapText="1"/>
    </xf>
    <xf numFmtId="164" fontId="30" fillId="0" borderId="1" applyAlignment="1" pivotButton="0" quotePrefix="0" xfId="1">
      <alignment vertical="center"/>
    </xf>
    <xf numFmtId="0" fontId="35" fillId="3" borderId="1" applyAlignment="1" pivotButton="0" quotePrefix="0" xfId="4">
      <alignment horizontal="center" vertical="center" wrapText="1"/>
    </xf>
    <xf numFmtId="0" fontId="33" fillId="0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33" fillId="0" borderId="1" applyAlignment="1" pivotButton="0" quotePrefix="0" xfId="0">
      <alignment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vertical="center"/>
    </xf>
    <xf numFmtId="0" fontId="12" fillId="7" borderId="1" applyAlignment="1" pivotButton="0" quotePrefix="0" xfId="0">
      <alignment vertical="center" wrapText="1"/>
    </xf>
    <xf numFmtId="0" fontId="6" fillId="8" borderId="0" applyAlignment="1" pivotButton="0" quotePrefix="0" xfId="0">
      <alignment horizontal="center" vertical="center" wrapText="1"/>
    </xf>
    <xf numFmtId="0" fontId="35" fillId="2" borderId="1" applyAlignment="1" pivotButton="0" quotePrefix="0" xfId="0">
      <alignment vertical="center" wrapText="1"/>
    </xf>
    <xf numFmtId="1" fontId="35" fillId="3" borderId="1" applyAlignment="1" pivotButton="0" quotePrefix="0" xfId="4">
      <alignment horizontal="center" vertical="center" wrapText="1"/>
    </xf>
    <xf numFmtId="0" fontId="35" fillId="0" borderId="1" applyAlignment="1" pivotButton="0" quotePrefix="0" xfId="0">
      <alignment vertical="center"/>
    </xf>
    <xf numFmtId="0" fontId="35" fillId="3" borderId="1" applyAlignment="1" pivotButton="0" quotePrefix="0" xfId="4">
      <alignment horizontal="left" vertical="center" wrapText="1"/>
    </xf>
    <xf numFmtId="0" fontId="35" fillId="3" borderId="1" applyAlignment="1" pivotButton="0" quotePrefix="0" xfId="4">
      <alignment horizontal="right" vertical="center" wrapText="1"/>
    </xf>
    <xf numFmtId="43" fontId="35" fillId="3" borderId="1" applyAlignment="1" pivotButton="0" quotePrefix="0" xfId="4">
      <alignment horizontal="center" vertical="center" wrapText="1"/>
    </xf>
    <xf numFmtId="0" fontId="36" fillId="0" borderId="1" applyAlignment="1" pivotButton="0" quotePrefix="0" xfId="0">
      <alignment vertical="center"/>
    </xf>
    <xf numFmtId="0" fontId="36" fillId="4" borderId="1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right" vertical="center"/>
    </xf>
    <xf numFmtId="49" fontId="34" fillId="0" borderId="1" applyAlignment="1" pivotButton="0" quotePrefix="0" xfId="4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49" fontId="0" fillId="0" borderId="0" applyAlignment="1" pivotButton="0" quotePrefix="0" xfId="0">
      <alignment horizontal="left" vertical="top" wrapText="1"/>
    </xf>
    <xf numFmtId="164" fontId="21" fillId="3" borderId="1" applyAlignment="1" pivotButton="0" quotePrefix="0" xfId="1">
      <alignment horizontal="left" vertical="center" wrapText="1"/>
    </xf>
    <xf numFmtId="164" fontId="21" fillId="3" borderId="1" applyAlignment="1" pivotButton="0" quotePrefix="0" xfId="1">
      <alignment horizontal="center" vertical="center" wrapText="1"/>
    </xf>
    <xf numFmtId="164" fontId="14" fillId="4" borderId="1" applyAlignment="1" pivotButton="0" quotePrefix="0" xfId="1">
      <alignment horizontal="left" vertical="center" wrapText="1"/>
    </xf>
    <xf numFmtId="164" fontId="14" fillId="4" borderId="1" applyAlignment="1" pivotButton="0" quotePrefix="0" xfId="1">
      <alignment horizontal="center" vertical="center" wrapText="1"/>
    </xf>
    <xf numFmtId="164" fontId="14" fillId="4" borderId="1" applyAlignment="1" pivotButton="0" quotePrefix="0" xfId="1">
      <alignment horizontal="left" vertical="center"/>
    </xf>
    <xf numFmtId="164" fontId="14" fillId="4" borderId="1" applyAlignment="1" pivotButton="0" quotePrefix="0" xfId="1">
      <alignment horizontal="left"/>
    </xf>
    <xf numFmtId="164" fontId="14" fillId="4" borderId="1" applyAlignment="1" pivotButton="0" quotePrefix="0" xfId="1">
      <alignment horizontal="center" vertical="top" wrapText="1"/>
    </xf>
    <xf numFmtId="164" fontId="14" fillId="4" borderId="1" applyAlignment="1" pivotButton="0" quotePrefix="0" xfId="1">
      <alignment horizontal="center"/>
    </xf>
    <xf numFmtId="164" fontId="14" fillId="4" borderId="1" applyAlignment="1" pivotButton="0" quotePrefix="0" xfId="1">
      <alignment horizontal="center" vertical="center"/>
    </xf>
    <xf numFmtId="164" fontId="14" fillId="4" borderId="1" applyAlignment="1" pivotButton="0" quotePrefix="0" xfId="1">
      <alignment horizontal="left" wrapText="1"/>
    </xf>
    <xf numFmtId="164" fontId="14" fillId="4" borderId="1" applyAlignment="1" pivotButton="0" quotePrefix="0" xfId="1">
      <alignment horizontal="center" wrapText="1"/>
    </xf>
    <xf numFmtId="164" fontId="14" fillId="9" borderId="1" applyAlignment="1" pivotButton="0" quotePrefix="0" xfId="1">
      <alignment horizontal="left" vertical="center" wrapText="1"/>
    </xf>
    <xf numFmtId="164" fontId="20" fillId="4" borderId="1" applyAlignment="1" pivotButton="0" quotePrefix="0" xfId="1">
      <alignment horizontal="left" wrapText="1"/>
    </xf>
    <xf numFmtId="14" fontId="14" fillId="4" borderId="1" applyAlignment="1" pivotButton="0" quotePrefix="0" xfId="0">
      <alignment horizontal="center" vertical="center" wrapText="1"/>
    </xf>
    <xf numFmtId="14" fontId="14" fillId="4" borderId="1" applyAlignment="1" pivotButton="0" quotePrefix="0" xfId="4">
      <alignment horizontal="center" vertical="center"/>
    </xf>
    <xf numFmtId="14" fontId="14" fillId="4" borderId="1" applyAlignment="1" pivotButton="0" quotePrefix="0" xfId="4">
      <alignment horizontal="center" vertical="center" wrapText="1"/>
    </xf>
    <xf numFmtId="14" fontId="14" fillId="4" borderId="1" applyAlignment="1" pivotButton="0" quotePrefix="0" xfId="0">
      <alignment horizontal="center"/>
    </xf>
    <xf numFmtId="14" fontId="14" fillId="4" borderId="1" applyAlignment="1" pivotButton="0" quotePrefix="0" xfId="0">
      <alignment horizontal="center" vertical="center"/>
    </xf>
    <xf numFmtId="14" fontId="14" fillId="4" borderId="1" applyAlignment="1" pivotButton="0" quotePrefix="0" xfId="0">
      <alignment horizontal="center" wrapText="1"/>
    </xf>
    <xf numFmtId="14" fontId="14" fillId="4" borderId="1" applyAlignment="1" pivotButton="0" quotePrefix="0" xfId="4">
      <alignment horizontal="center"/>
    </xf>
    <xf numFmtId="0" fontId="14" fillId="3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16" fillId="13" borderId="1" applyAlignment="1" pivotButton="0" quotePrefix="0" xfId="0">
      <alignment vertical="center" wrapText="1"/>
    </xf>
    <xf numFmtId="0" fontId="16" fillId="2" borderId="12" applyAlignment="1" pivotButton="0" quotePrefix="0" xfId="0">
      <alignment vertical="center"/>
    </xf>
    <xf numFmtId="0" fontId="16" fillId="3" borderId="10" applyAlignment="1" pivotButton="0" quotePrefix="0" xfId="0">
      <alignment vertical="center" wrapText="1"/>
    </xf>
    <xf numFmtId="0" fontId="16" fillId="4" borderId="1" pivotButton="0" quotePrefix="0" xfId="0"/>
    <xf numFmtId="0" fontId="16" fillId="12" borderId="1" pivotButton="0" quotePrefix="0" xfId="0"/>
    <xf numFmtId="0" fontId="16" fillId="13" borderId="1" pivotButton="0" quotePrefix="0" xfId="0"/>
    <xf numFmtId="49" fontId="0" fillId="0" borderId="27" applyAlignment="1" pivotButton="0" quotePrefix="0" xfId="0">
      <alignment horizontal="left" vertical="top" wrapText="1"/>
    </xf>
    <xf numFmtId="0" fontId="22" fillId="0" borderId="0" pivotButton="0" quotePrefix="0" xfId="0"/>
    <xf numFmtId="0" fontId="32" fillId="0" borderId="0" pivotButton="0" quotePrefix="0" xfId="0"/>
    <xf numFmtId="0" fontId="4" fillId="0" borderId="1" applyAlignment="1" pivotButton="0" quotePrefix="0" xfId="2">
      <alignment vertical="center"/>
    </xf>
    <xf numFmtId="0" fontId="4" fillId="3" borderId="1" applyAlignment="1" pivotButton="0" quotePrefix="0" xfId="2">
      <alignment vertical="center"/>
    </xf>
    <xf numFmtId="0" fontId="14" fillId="9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wrapText="1"/>
    </xf>
    <xf numFmtId="1" fontId="27" fillId="3" borderId="1" applyAlignment="1" pivotButton="0" quotePrefix="0" xfId="4">
      <alignment horizontal="center" vertical="center" wrapText="1"/>
    </xf>
    <xf numFmtId="0" fontId="27" fillId="3" borderId="1" applyAlignment="1" pivotButton="0" quotePrefix="0" xfId="4">
      <alignment horizontal="left" vertical="center" wrapText="1"/>
    </xf>
    <xf numFmtId="0" fontId="27" fillId="3" borderId="1" applyAlignment="1" pivotButton="0" quotePrefix="0" xfId="4">
      <alignment horizontal="right" vertical="center" wrapText="1"/>
    </xf>
    <xf numFmtId="0" fontId="41" fillId="3" borderId="1" applyAlignment="1" pivotButton="0" quotePrefix="0" xfId="4">
      <alignment horizontal="right" vertical="center" wrapText="1"/>
    </xf>
    <xf numFmtId="0" fontId="41" fillId="3" borderId="1" applyAlignment="1" pivotButton="0" quotePrefix="0" xfId="4">
      <alignment horizontal="center" vertical="center" wrapText="1"/>
    </xf>
    <xf numFmtId="0" fontId="27" fillId="3" borderId="12" applyAlignment="1" pivotButton="0" quotePrefix="0" xfId="4">
      <alignment horizontal="center" vertical="center" wrapText="1"/>
    </xf>
    <xf numFmtId="0" fontId="31" fillId="2" borderId="1" applyAlignment="1" pivotButton="0" quotePrefix="0" xfId="0">
      <alignment horizontal="left" vertical="center" wrapText="1"/>
    </xf>
    <xf numFmtId="0" fontId="30" fillId="2" borderId="1" applyAlignment="1" pivotButton="0" quotePrefix="0" xfId="0">
      <alignment vertical="center" wrapText="1"/>
    </xf>
    <xf numFmtId="164" fontId="30" fillId="2" borderId="1" applyAlignment="1" pivotButton="0" quotePrefix="0" xfId="1">
      <alignment vertical="center" wrapText="1"/>
    </xf>
    <xf numFmtId="0" fontId="31" fillId="2" borderId="1" applyAlignment="1" pivotButton="0" quotePrefix="0" xfId="0">
      <alignment vertical="center" wrapText="1"/>
    </xf>
    <xf numFmtId="0" fontId="27" fillId="2" borderId="1" applyAlignment="1" pivotButton="0" quotePrefix="0" xfId="0">
      <alignment horizontal="center" vertical="center" wrapText="1"/>
    </xf>
    <xf numFmtId="1" fontId="18" fillId="0" borderId="1" applyAlignment="1" pivotButton="0" quotePrefix="0" xfId="4">
      <alignment horizontal="center" vertical="center"/>
    </xf>
    <xf numFmtId="1" fontId="30" fillId="4" borderId="1" applyAlignment="1" pivotButton="0" quotePrefix="0" xfId="4">
      <alignment horizontal="center" vertical="center" wrapText="1"/>
    </xf>
    <xf numFmtId="0" fontId="30" fillId="0" borderId="1" applyAlignment="1" pivotButton="0" quotePrefix="0" xfId="0">
      <alignment vertical="center"/>
    </xf>
    <xf numFmtId="0" fontId="30" fillId="4" borderId="1" applyAlignment="1" pivotButton="0" quotePrefix="0" xfId="4">
      <alignment horizontal="center" vertical="center" wrapText="1"/>
    </xf>
    <xf numFmtId="49" fontId="18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49" fontId="30" fillId="0" borderId="1" applyAlignment="1" pivotButton="0" quotePrefix="0" xfId="0">
      <alignment horizontal="left" vertical="center"/>
    </xf>
    <xf numFmtId="15" fontId="30" fillId="4" borderId="1" applyAlignment="1" pivotButton="0" quotePrefix="0" xfId="4">
      <alignment horizontal="left" vertical="center" wrapText="1"/>
    </xf>
    <xf numFmtId="17" fontId="30" fillId="4" borderId="1" applyAlignment="1" pivotButton="0" quotePrefix="1" xfId="4">
      <alignment vertical="center" wrapText="1"/>
    </xf>
    <xf numFmtId="15" fontId="30" fillId="4" borderId="1" applyAlignment="1" pivotButton="0" quotePrefix="0" xfId="4">
      <alignment vertical="center"/>
    </xf>
    <xf numFmtId="0" fontId="30" fillId="4" borderId="1" applyAlignment="1" pivotButton="0" quotePrefix="0" xfId="4">
      <alignment vertical="center"/>
    </xf>
    <xf numFmtId="1" fontId="30" fillId="0" borderId="0" applyAlignment="1" pivotButton="0" quotePrefix="0" xfId="0">
      <alignment horizontal="center"/>
    </xf>
    <xf numFmtId="0" fontId="14" fillId="4" borderId="1" applyAlignment="1" pivotButton="0" quotePrefix="0" xfId="4">
      <alignment horizontal="left" vertical="center" wrapText="1"/>
    </xf>
    <xf numFmtId="0" fontId="31" fillId="0" borderId="0" applyAlignment="1" pivotButton="0" quotePrefix="0" xfId="0">
      <alignment vertical="center" wrapText="1"/>
    </xf>
    <xf numFmtId="1" fontId="30" fillId="0" borderId="0" applyAlignment="1" pivotButton="0" quotePrefix="0" xfId="0">
      <alignment horizontal="left"/>
    </xf>
    <xf numFmtId="1" fontId="30" fillId="0" borderId="0" applyAlignment="1" pivotButton="0" quotePrefix="0" xfId="0">
      <alignment horizontal="left" vertical="center"/>
    </xf>
    <xf numFmtId="1" fontId="31" fillId="0" borderId="0" applyAlignment="1" pivotButton="0" quotePrefix="0" xfId="0">
      <alignment horizontal="left" vertical="center"/>
    </xf>
    <xf numFmtId="1" fontId="3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center"/>
    </xf>
    <xf numFmtId="0" fontId="35" fillId="11" borderId="1" applyAlignment="1" pivotButton="0" quotePrefix="0" xfId="0">
      <alignment vertical="center"/>
    </xf>
    <xf numFmtId="164" fontId="33" fillId="0" borderId="1" applyAlignment="1" pivotButton="0" quotePrefix="0" xfId="0">
      <alignment horizontal="right" vertical="center"/>
    </xf>
    <xf numFmtId="2" fontId="33" fillId="0" borderId="1" applyAlignment="1" pivotButton="0" quotePrefix="0" xfId="0">
      <alignment vertical="center"/>
    </xf>
    <xf numFmtId="0" fontId="33" fillId="0" borderId="1" applyAlignment="1" pivotButton="0" quotePrefix="0" xfId="0">
      <alignment vertical="center" wrapText="1"/>
    </xf>
    <xf numFmtId="14" fontId="33" fillId="0" borderId="1" applyAlignment="1" pivotButton="0" quotePrefix="0" xfId="0">
      <alignment vertical="center"/>
    </xf>
    <xf numFmtId="1" fontId="15" fillId="0" borderId="1" applyAlignment="1" pivotButton="0" quotePrefix="0" xfId="4">
      <alignment horizontal="left" vertical="center"/>
    </xf>
    <xf numFmtId="1" fontId="15" fillId="0" borderId="1" applyAlignment="1" pivotButton="0" quotePrefix="0" xfId="4">
      <alignment horizontal="left" vertical="top"/>
    </xf>
    <xf numFmtId="0" fontId="30" fillId="0" borderId="1" applyAlignment="1" pivotButton="0" quotePrefix="0" xfId="0">
      <alignment vertical="center" wrapText="1"/>
    </xf>
    <xf numFmtId="0" fontId="43" fillId="4" borderId="1" applyAlignment="1" pivotButton="0" quotePrefix="0" xfId="0">
      <alignment horizontal="left" vertical="center" wrapText="1"/>
    </xf>
    <xf numFmtId="15" fontId="30" fillId="9" borderId="1" applyAlignment="1" pivotButton="0" quotePrefix="0" xfId="0">
      <alignment vertical="center"/>
    </xf>
    <xf numFmtId="14" fontId="30" fillId="4" borderId="1" applyAlignment="1" pivotButton="0" quotePrefix="0" xfId="0">
      <alignment vertical="center"/>
    </xf>
    <xf numFmtId="0" fontId="30" fillId="9" borderId="1" applyAlignment="1" pivotButton="0" quotePrefix="0" xfId="0">
      <alignment horizontal="right" vertical="center"/>
    </xf>
    <xf numFmtId="0" fontId="27" fillId="3" borderId="1" applyAlignment="1" pivotButton="0" quotePrefix="0" xfId="4">
      <alignment horizontal="center" vertical="center"/>
    </xf>
    <xf numFmtId="0" fontId="30" fillId="4" borderId="1" applyAlignment="1" pivotButton="0" quotePrefix="0" xfId="8">
      <alignment horizontal="center" vertical="center"/>
    </xf>
    <xf numFmtId="0" fontId="39" fillId="2" borderId="1" applyAlignment="1" pivotButton="0" quotePrefix="0" xfId="0">
      <alignment horizontal="center" vertical="center" wrapText="1"/>
    </xf>
    <xf numFmtId="0" fontId="33" fillId="0" borderId="9" applyAlignment="1" pivotButton="0" quotePrefix="0" xfId="0">
      <alignment vertical="center"/>
    </xf>
    <xf numFmtId="0" fontId="33" fillId="0" borderId="9" applyAlignment="1" pivotButton="0" quotePrefix="0" xfId="0">
      <alignment horizontal="right" vertical="center"/>
    </xf>
    <xf numFmtId="2" fontId="33" fillId="0" borderId="9" applyAlignment="1" pivotButton="0" quotePrefix="0" xfId="0">
      <alignment vertical="center"/>
    </xf>
    <xf numFmtId="0" fontId="33" fillId="0" borderId="9" applyAlignment="1" pivotButton="0" quotePrefix="0" xfId="0">
      <alignment horizontal="center" vertical="center"/>
    </xf>
    <xf numFmtId="49" fontId="33" fillId="0" borderId="9" applyAlignment="1" pivotButton="0" quotePrefix="0" xfId="0">
      <alignment horizontal="left" vertical="center" wrapText="1"/>
    </xf>
    <xf numFmtId="0" fontId="37" fillId="0" borderId="1" applyAlignment="1" pivotButton="0" quotePrefix="0" xfId="0">
      <alignment vertical="center"/>
    </xf>
    <xf numFmtId="14" fontId="37" fillId="4" borderId="1" applyAlignment="1" pivotButton="0" quotePrefix="0" xfId="4">
      <alignment horizontal="center" vertical="center"/>
    </xf>
    <xf numFmtId="14" fontId="37" fillId="4" borderId="1" applyAlignment="1" pivotButton="0" quotePrefix="0" xfId="4">
      <alignment horizontal="center" vertical="center" wrapText="1"/>
    </xf>
    <xf numFmtId="164" fontId="30" fillId="0" borderId="0" applyAlignment="1" pivotButton="0" quotePrefix="0" xfId="1">
      <alignment horizontal="center" vertical="center" wrapText="1"/>
    </xf>
    <xf numFmtId="0" fontId="31" fillId="3" borderId="1" applyAlignment="1" pivotButton="0" quotePrefix="0" xfId="4">
      <alignment vertical="center"/>
    </xf>
    <xf numFmtId="0" fontId="31" fillId="7" borderId="1" applyAlignment="1" pivotButton="0" quotePrefix="0" xfId="0">
      <alignment horizontal="center" vertical="center" wrapText="1"/>
    </xf>
    <xf numFmtId="164" fontId="31" fillId="3" borderId="1" applyAlignment="1" pivotButton="0" quotePrefix="0" xfId="1">
      <alignment horizontal="center" vertical="center" wrapText="1"/>
    </xf>
    <xf numFmtId="0" fontId="18" fillId="4" borderId="1" applyAlignment="1" pivotButton="0" quotePrefix="0" xfId="4">
      <alignment horizontal="center" vertical="center"/>
    </xf>
    <xf numFmtId="0" fontId="46" fillId="4" borderId="1" applyAlignment="1" pivotButton="0" quotePrefix="0" xfId="4">
      <alignment horizontal="left" vertical="center" wrapText="1"/>
    </xf>
    <xf numFmtId="1" fontId="18" fillId="4" borderId="1" applyAlignment="1" pivotButton="0" quotePrefix="0" xfId="4">
      <alignment horizontal="center" vertical="center" wrapText="1"/>
    </xf>
    <xf numFmtId="15" fontId="18" fillId="4" borderId="1" applyAlignment="1" pivotButton="0" quotePrefix="0" xfId="4">
      <alignment vertical="center"/>
    </xf>
    <xf numFmtId="15" fontId="18" fillId="4" borderId="1" applyAlignment="1" pivotButton="0" quotePrefix="0" xfId="4">
      <alignment horizontal="center" vertical="center"/>
    </xf>
    <xf numFmtId="0" fontId="18" fillId="4" borderId="1" applyAlignment="1" pivotButton="0" quotePrefix="0" xfId="4">
      <alignment horizontal="center" vertical="center" wrapText="1"/>
    </xf>
    <xf numFmtId="164" fontId="18" fillId="4" borderId="1" applyAlignment="1" pivotButton="0" quotePrefix="0" xfId="1">
      <alignment horizontal="center" vertical="center" wrapText="1"/>
    </xf>
    <xf numFmtId="0" fontId="18" fillId="0" borderId="1" applyAlignment="1" pivotButton="0" quotePrefix="0" xfId="0">
      <alignment horizontal="left" vertical="center"/>
    </xf>
    <xf numFmtId="0" fontId="46" fillId="0" borderId="1" applyAlignment="1" pivotButton="0" quotePrefix="0" xfId="0">
      <alignment horizontal="left" vertical="center" wrapText="1"/>
    </xf>
    <xf numFmtId="15" fontId="18" fillId="4" borderId="1" applyAlignment="1" pivotButton="0" quotePrefix="0" xfId="4">
      <alignment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4">
      <alignment horizontal="left" vertical="center" wrapText="1"/>
    </xf>
    <xf numFmtId="0" fontId="18" fillId="4" borderId="1" applyAlignment="1" pivotButton="0" quotePrefix="0" xfId="0">
      <alignment horizontal="center" vertical="center"/>
    </xf>
    <xf numFmtId="15" fontId="18" fillId="4" borderId="1" applyAlignment="1" pivotButton="0" quotePrefix="0" xfId="4">
      <alignment horizontal="right" vertical="center"/>
    </xf>
    <xf numFmtId="0" fontId="18" fillId="4" borderId="1" applyAlignment="1" pivotButton="0" quotePrefix="0" xfId="0">
      <alignment vertical="center"/>
    </xf>
    <xf numFmtId="0" fontId="18" fillId="4" borderId="1" applyAlignment="1" pivotButton="0" quotePrefix="0" xfId="0">
      <alignment vertical="center" wrapText="1"/>
    </xf>
    <xf numFmtId="0" fontId="18" fillId="4" borderId="1" applyAlignment="1" pivotButton="0" quotePrefix="0" xfId="0">
      <alignment horizontal="left" vertical="center" wrapText="1"/>
    </xf>
    <xf numFmtId="15" fontId="18" fillId="4" borderId="1" applyAlignment="1" pivotButton="0" quotePrefix="0" xfId="0">
      <alignment vertical="center" wrapText="1"/>
    </xf>
    <xf numFmtId="0" fontId="42" fillId="4" borderId="1" applyAlignment="1" pivotButton="0" quotePrefix="0" xfId="4">
      <alignment horizontal="left" vertical="center" wrapText="1"/>
    </xf>
    <xf numFmtId="15" fontId="18" fillId="4" borderId="1" applyAlignment="1" pivotButton="0" quotePrefix="0" xfId="0">
      <alignment vertical="center"/>
    </xf>
    <xf numFmtId="0" fontId="18" fillId="4" borderId="1" applyAlignment="1" pivotButton="0" quotePrefix="0" xfId="0">
      <alignment horizontal="left" vertical="center"/>
    </xf>
    <xf numFmtId="0" fontId="30" fillId="3" borderId="1" applyAlignment="1" pivotButton="0" quotePrefix="0" xfId="0">
      <alignment vertical="center"/>
    </xf>
    <xf numFmtId="16" fontId="18" fillId="4" borderId="1" applyAlignment="1" pivotButton="0" quotePrefix="0" xfId="0">
      <alignment vertical="center"/>
    </xf>
    <xf numFmtId="0" fontId="47" fillId="4" borderId="1" applyAlignment="1" pivotButton="0" quotePrefix="0" xfId="4">
      <alignment horizontal="center" vertical="center"/>
    </xf>
    <xf numFmtId="0" fontId="47" fillId="4" borderId="1" applyAlignment="1" pivotButton="0" quotePrefix="0" xfId="0">
      <alignment vertical="center" wrapText="1"/>
    </xf>
    <xf numFmtId="0" fontId="47" fillId="0" borderId="1" applyAlignment="1" pivotButton="0" quotePrefix="0" xfId="0">
      <alignment vertical="center"/>
    </xf>
    <xf numFmtId="14" fontId="47" fillId="4" borderId="1" applyAlignment="1" pivotButton="0" quotePrefix="0" xfId="4">
      <alignment horizontal="center" vertical="center" wrapText="1"/>
    </xf>
    <xf numFmtId="14" fontId="47" fillId="4" borderId="1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1" fontId="18" fillId="0" borderId="9" applyAlignment="1" pivotButton="0" quotePrefix="0" xfId="4">
      <alignment horizontal="center" vertical="center"/>
    </xf>
    <xf numFmtId="0" fontId="30" fillId="0" borderId="9" applyAlignment="1" pivotButton="0" quotePrefix="0" xfId="0">
      <alignment vertical="center" wrapText="1"/>
    </xf>
    <xf numFmtId="15" fontId="30" fillId="4" borderId="9" applyAlignment="1" pivotButton="0" quotePrefix="0" xfId="0">
      <alignment vertical="center"/>
    </xf>
    <xf numFmtId="0" fontId="30" fillId="0" borderId="9" applyAlignment="1" pivotButton="0" quotePrefix="0" xfId="0">
      <alignment horizontal="left" vertical="center"/>
    </xf>
    <xf numFmtId="164" fontId="30" fillId="0" borderId="9" applyAlignment="1" pivotButton="0" quotePrefix="0" xfId="1">
      <alignment vertical="center"/>
    </xf>
    <xf numFmtId="0" fontId="30" fillId="0" borderId="9" applyAlignment="1" pivotButton="0" quotePrefix="0" xfId="0">
      <alignment vertical="center"/>
    </xf>
    <xf numFmtId="0" fontId="30" fillId="9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 wrapText="1"/>
    </xf>
    <xf numFmtId="0" fontId="30" fillId="4" borderId="10" applyAlignment="1" pivotButton="0" quotePrefix="0" xfId="0">
      <alignment horizontal="left" vertical="center" wrapText="1"/>
    </xf>
    <xf numFmtId="0" fontId="30" fillId="9" borderId="10" applyAlignment="1" pivotButton="0" quotePrefix="0" xfId="0">
      <alignment horizontal="left" vertical="center" wrapText="1"/>
    </xf>
    <xf numFmtId="0" fontId="30" fillId="4" borderId="20" applyAlignment="1" pivotButton="0" quotePrefix="0" xfId="0">
      <alignment horizontal="left" vertical="center" wrapText="1"/>
    </xf>
    <xf numFmtId="0" fontId="30" fillId="4" borderId="21" applyAlignment="1" pivotButton="0" quotePrefix="0" xfId="0">
      <alignment horizontal="left" vertical="center" wrapText="1"/>
    </xf>
    <xf numFmtId="0" fontId="30" fillId="4" borderId="13" applyAlignment="1" pivotButton="0" quotePrefix="0" xfId="0">
      <alignment horizontal="left" vertical="center" wrapText="1"/>
    </xf>
    <xf numFmtId="0" fontId="30" fillId="4" borderId="15" applyAlignment="1" pivotButton="0" quotePrefix="0" xfId="0">
      <alignment horizontal="left" vertical="center" wrapText="1"/>
    </xf>
    <xf numFmtId="0" fontId="30" fillId="4" borderId="0" applyAlignment="1" pivotButton="0" quotePrefix="0" xfId="0">
      <alignment horizontal="left" vertical="center" wrapText="1"/>
    </xf>
    <xf numFmtId="0" fontId="30" fillId="4" borderId="9" applyAlignment="1" pivotButton="0" quotePrefix="0" xfId="0">
      <alignment horizontal="left" vertical="center" wrapText="1"/>
    </xf>
    <xf numFmtId="0" fontId="30" fillId="4" borderId="14" applyAlignment="1" pivotButton="0" quotePrefix="0" xfId="0">
      <alignment horizontal="left" vertical="center" wrapText="1"/>
    </xf>
    <xf numFmtId="43" fontId="31" fillId="3" borderId="1" applyAlignment="1" pivotButton="0" quotePrefix="0" xfId="4">
      <alignment horizontal="left" vertical="center" wrapText="1"/>
    </xf>
    <xf numFmtId="1" fontId="31" fillId="3" borderId="1" applyAlignment="1" pivotButton="0" quotePrefix="0" xfId="4">
      <alignment horizontal="left" vertical="center" wrapText="1"/>
    </xf>
    <xf numFmtId="2" fontId="31" fillId="3" borderId="1" applyAlignment="1" pivotButton="0" quotePrefix="0" xfId="4">
      <alignment horizontal="left" vertical="center" wrapText="1"/>
    </xf>
    <xf numFmtId="1" fontId="31" fillId="3" borderId="9" applyAlignment="1" pivotButton="0" quotePrefix="0" xfId="4">
      <alignment horizontal="left" vertical="center" wrapText="1"/>
    </xf>
    <xf numFmtId="1" fontId="31" fillId="3" borderId="0" applyAlignment="1" pivotButton="0" quotePrefix="0" xfId="4">
      <alignment horizontal="left" vertical="center" wrapText="1"/>
    </xf>
    <xf numFmtId="0" fontId="30" fillId="4" borderId="1" applyAlignment="1" pivotButton="0" quotePrefix="0" xfId="5">
      <alignment horizontal="left" vertical="center" wrapText="1"/>
    </xf>
    <xf numFmtId="1" fontId="30" fillId="4" borderId="1" applyAlignment="1" pivotButton="0" quotePrefix="0" xfId="4">
      <alignment horizontal="left" vertical="center" wrapText="1"/>
    </xf>
    <xf numFmtId="1" fontId="30" fillId="4" borderId="2" applyAlignment="1" pivotButton="0" quotePrefix="0" xfId="4">
      <alignment horizontal="left" vertical="center" wrapText="1"/>
    </xf>
    <xf numFmtId="15" fontId="30" fillId="4" borderId="1" applyAlignment="1" pivotButton="0" quotePrefix="0" xfId="0">
      <alignment horizontal="left" vertical="center" wrapText="1"/>
    </xf>
    <xf numFmtId="2" fontId="30" fillId="4" borderId="1" applyAlignment="1" pivotButton="0" quotePrefix="0" xfId="4">
      <alignment horizontal="left" vertical="center" wrapText="1"/>
    </xf>
    <xf numFmtId="15" fontId="31" fillId="4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vertical="center" wrapText="1"/>
    </xf>
    <xf numFmtId="15" fontId="30" fillId="9" borderId="1" applyAlignment="1" pivotButton="0" quotePrefix="0" xfId="0">
      <alignment horizontal="left" vertical="center" wrapText="1"/>
    </xf>
    <xf numFmtId="15" fontId="31" fillId="4" borderId="2" applyAlignment="1" pivotButton="0" quotePrefix="0" xfId="0">
      <alignment horizontal="left" vertical="center" wrapText="1"/>
    </xf>
    <xf numFmtId="15" fontId="31" fillId="4" borderId="13" applyAlignment="1" pivotButton="0" quotePrefix="0" xfId="0">
      <alignment horizontal="left" vertical="center" wrapText="1"/>
    </xf>
    <xf numFmtId="0" fontId="31" fillId="4" borderId="2" applyAlignment="1" pivotButton="0" quotePrefix="0" xfId="0">
      <alignment horizontal="left" vertical="center" wrapText="1"/>
    </xf>
    <xf numFmtId="0" fontId="30" fillId="4" borderId="9" applyAlignment="1" pivotButton="0" quotePrefix="0" xfId="5">
      <alignment horizontal="left" vertical="center" wrapText="1"/>
    </xf>
    <xf numFmtId="15" fontId="31" fillId="9" borderId="2" applyAlignment="1" pivotButton="0" quotePrefix="0" xfId="0">
      <alignment horizontal="left" vertical="center" wrapText="1"/>
    </xf>
    <xf numFmtId="2" fontId="30" fillId="4" borderId="2" applyAlignment="1" pivotButton="0" quotePrefix="0" xfId="4">
      <alignment horizontal="left" vertical="center" wrapText="1"/>
    </xf>
    <xf numFmtId="15" fontId="30" fillId="4" borderId="2" applyAlignment="1" pivotButton="0" quotePrefix="0" xfId="0">
      <alignment horizontal="left" vertical="center" wrapText="1"/>
    </xf>
    <xf numFmtId="15" fontId="30" fillId="4" borderId="6" applyAlignment="1" pivotButton="0" quotePrefix="0" xfId="0">
      <alignment horizontal="left" vertical="center" wrapText="1"/>
    </xf>
    <xf numFmtId="1" fontId="30" fillId="4" borderId="6" applyAlignment="1" pivotButton="0" quotePrefix="0" xfId="4">
      <alignment horizontal="left" vertical="center" wrapText="1"/>
    </xf>
    <xf numFmtId="2" fontId="30" fillId="4" borderId="6" applyAlignment="1" pivotButton="0" quotePrefix="0" xfId="4">
      <alignment horizontal="left" vertical="center" wrapText="1"/>
    </xf>
    <xf numFmtId="164" fontId="30" fillId="4" borderId="1" applyAlignment="1" pivotButton="0" quotePrefix="0" xfId="4">
      <alignment horizontal="left" vertical="center" wrapText="1"/>
    </xf>
    <xf numFmtId="15" fontId="30" fillId="4" borderId="15" applyAlignment="1" pivotButton="0" quotePrefix="0" xfId="0">
      <alignment horizontal="left" vertical="center" wrapText="1"/>
    </xf>
    <xf numFmtId="15" fontId="30" fillId="4" borderId="9" applyAlignment="1" pivotButton="0" quotePrefix="0" xfId="0">
      <alignment horizontal="left" vertical="center" wrapText="1"/>
    </xf>
    <xf numFmtId="1" fontId="30" fillId="4" borderId="9" applyAlignment="1" pivotButton="0" quotePrefix="0" xfId="4">
      <alignment horizontal="left" vertical="center" wrapText="1"/>
    </xf>
    <xf numFmtId="2" fontId="30" fillId="4" borderId="9" applyAlignment="1" pivotButton="0" quotePrefix="0" xfId="4">
      <alignment horizontal="left" vertical="center" wrapText="1"/>
    </xf>
    <xf numFmtId="0" fontId="30" fillId="4" borderId="18" applyAlignment="1" pivotButton="0" quotePrefix="0" xfId="0">
      <alignment horizontal="left" vertical="center" wrapText="1"/>
    </xf>
    <xf numFmtId="1" fontId="30" fillId="4" borderId="15" applyAlignment="1" pivotButton="0" quotePrefix="0" xfId="4">
      <alignment horizontal="left" vertical="center" wrapText="1"/>
    </xf>
    <xf numFmtId="15" fontId="30" fillId="9" borderId="14" applyAlignment="1" pivotButton="0" quotePrefix="0" xfId="0">
      <alignment horizontal="left" vertical="center" wrapText="1"/>
    </xf>
    <xf numFmtId="15" fontId="30" fillId="9" borderId="2" applyAlignment="1" pivotButton="0" quotePrefix="0" xfId="0">
      <alignment horizontal="left" vertical="center" wrapText="1"/>
    </xf>
    <xf numFmtId="0" fontId="30" fillId="4" borderId="11" applyAlignment="1" pivotButton="0" quotePrefix="0" xfId="0">
      <alignment horizontal="left" vertical="center" wrapText="1"/>
    </xf>
    <xf numFmtId="1" fontId="30" fillId="4" borderId="13" applyAlignment="1" pivotButton="0" quotePrefix="0" xfId="4">
      <alignment horizontal="left" vertical="center" wrapText="1"/>
    </xf>
    <xf numFmtId="15" fontId="30" fillId="4" borderId="14" applyAlignment="1" pivotButton="0" quotePrefix="0" xfId="0">
      <alignment horizontal="left" vertical="center" wrapText="1"/>
    </xf>
    <xf numFmtId="0" fontId="30" fillId="9" borderId="9" applyAlignment="1" pivotButton="0" quotePrefix="0" xfId="0">
      <alignment horizontal="left" vertical="center" wrapText="1"/>
    </xf>
    <xf numFmtId="0" fontId="30" fillId="9" borderId="2" applyAlignment="1" pivotButton="0" quotePrefix="0" xfId="0">
      <alignment horizontal="left" vertical="center" wrapText="1"/>
    </xf>
    <xf numFmtId="15" fontId="30" fillId="9" borderId="6" applyAlignment="1" pivotButton="0" quotePrefix="0" xfId="0">
      <alignment horizontal="left" vertical="center" wrapText="1"/>
    </xf>
    <xf numFmtId="15" fontId="30" fillId="4" borderId="13" applyAlignment="1" pivotButton="0" quotePrefix="0" xfId="0">
      <alignment horizontal="left" vertical="center" wrapText="1"/>
    </xf>
    <xf numFmtId="0" fontId="30" fillId="4" borderId="8" applyAlignment="1" pivotButton="0" quotePrefix="0" xfId="0">
      <alignment horizontal="left" vertical="center" wrapText="1"/>
    </xf>
    <xf numFmtId="0" fontId="30" fillId="4" borderId="6" applyAlignment="1" pivotButton="0" quotePrefix="0" xfId="5">
      <alignment horizontal="left" vertical="center" wrapText="1"/>
    </xf>
    <xf numFmtId="0" fontId="30" fillId="4" borderId="14" applyAlignment="1" pivotButton="0" quotePrefix="0" xfId="6">
      <alignment horizontal="left" vertical="center" wrapText="1"/>
    </xf>
    <xf numFmtId="0" fontId="30" fillId="4" borderId="14" applyAlignment="1" pivotButton="0" quotePrefix="0" xfId="5">
      <alignment horizontal="left" vertical="center" wrapText="1"/>
    </xf>
    <xf numFmtId="0" fontId="30" fillId="4" borderId="19" applyAlignment="1" pivotButton="0" quotePrefix="0" xfId="0">
      <alignment horizontal="left" vertical="center" wrapText="1"/>
    </xf>
    <xf numFmtId="0" fontId="30" fillId="4" borderId="17" applyAlignment="1" pivotButton="0" quotePrefix="0" xfId="0">
      <alignment horizontal="left" vertical="center" wrapText="1"/>
    </xf>
    <xf numFmtId="1" fontId="30" fillId="4" borderId="14" applyAlignment="1" pivotButton="0" quotePrefix="0" xfId="4">
      <alignment horizontal="left" vertical="center" wrapText="1"/>
    </xf>
    <xf numFmtId="2" fontId="30" fillId="4" borderId="14" applyAlignment="1" pivotButton="0" quotePrefix="0" xfId="4">
      <alignment horizontal="left" vertical="center" wrapText="1"/>
    </xf>
    <xf numFmtId="0" fontId="30" fillId="4" borderId="2" applyAlignment="1" pivotButton="0" quotePrefix="0" xfId="6">
      <alignment horizontal="left" vertical="center" wrapText="1"/>
    </xf>
    <xf numFmtId="0" fontId="30" fillId="4" borderId="2" applyAlignment="1" pivotButton="0" quotePrefix="0" xfId="5">
      <alignment horizontal="left" vertical="center" wrapText="1"/>
    </xf>
    <xf numFmtId="15" fontId="30" fillId="9" borderId="7" applyAlignment="1" pivotButton="0" quotePrefix="0" xfId="0">
      <alignment horizontal="left" vertical="center" wrapText="1"/>
    </xf>
    <xf numFmtId="15" fontId="30" fillId="9" borderId="9" applyAlignment="1" pivotButton="0" quotePrefix="0" xfId="0">
      <alignment horizontal="left" vertical="center" wrapText="1"/>
    </xf>
    <xf numFmtId="0" fontId="30" fillId="4" borderId="6" applyAlignment="1" pivotButton="0" quotePrefix="0" xfId="6">
      <alignment horizontal="left" vertical="center" wrapText="1"/>
    </xf>
    <xf numFmtId="0" fontId="30" fillId="4" borderId="1" applyAlignment="1" pivotButton="0" quotePrefix="0" xfId="6">
      <alignment horizontal="left" vertical="center" wrapText="1"/>
    </xf>
    <xf numFmtId="0" fontId="30" fillId="5" borderId="14" applyAlignment="1" pivotButton="0" quotePrefix="0" xfId="0">
      <alignment horizontal="left" vertical="center" wrapText="1"/>
    </xf>
    <xf numFmtId="0" fontId="30" fillId="4" borderId="16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 wrapText="1"/>
    </xf>
    <xf numFmtId="0" fontId="30" fillId="5" borderId="6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164" fontId="30" fillId="0" borderId="0" applyAlignment="1" pivotButton="0" quotePrefix="0" xfId="1">
      <alignment horizontal="left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11" fontId="1" fillId="0" borderId="0" pivotButton="0" quotePrefix="0" xfId="0"/>
    <xf numFmtId="17" fontId="1" fillId="0" borderId="0" pivotButton="0" quotePrefix="0" xfId="0"/>
    <xf numFmtId="1" fontId="30" fillId="0" borderId="1" applyAlignment="1" pivotButton="0" quotePrefix="0" xfId="0">
      <alignment horizontal="center" vertical="center"/>
    </xf>
    <xf numFmtId="0" fontId="31" fillId="2" borderId="9" applyAlignment="1" pivotButton="0" quotePrefix="0" xfId="0">
      <alignment vertical="center" wrapText="1"/>
    </xf>
    <xf numFmtId="164" fontId="30" fillId="0" borderId="1" applyAlignment="1" pivotButton="0" quotePrefix="0" xfId="0">
      <alignment vertical="center"/>
    </xf>
    <xf numFmtId="49" fontId="0" fillId="11" borderId="1" applyAlignment="1" pivotButton="0" quotePrefix="0" xfId="0">
      <alignment horizontal="left" vertical="center" wrapText="1"/>
    </xf>
    <xf numFmtId="164" fontId="30" fillId="0" borderId="9" applyAlignment="1" pivotButton="0" quotePrefix="0" xfId="0">
      <alignment vertical="center"/>
    </xf>
    <xf numFmtId="165" fontId="18" fillId="0" borderId="1" applyAlignment="1" pivotButton="0" quotePrefix="0" xfId="1">
      <alignment horizontal="left" vertical="center"/>
    </xf>
    <xf numFmtId="165" fontId="15" fillId="0" borderId="1" applyAlignment="1" pivotButton="0" quotePrefix="0" xfId="1">
      <alignment horizontal="left" vertical="center"/>
    </xf>
    <xf numFmtId="165" fontId="13" fillId="0" borderId="22" applyAlignment="1" pivotButton="0" quotePrefix="0" xfId="1">
      <alignment horizontal="left" vertical="center"/>
    </xf>
    <xf numFmtId="165" fontId="26" fillId="0" borderId="0" applyAlignment="1" pivotButton="0" quotePrefix="0" xfId="1">
      <alignment horizontal="left" vertical="center"/>
    </xf>
    <xf numFmtId="165" fontId="26" fillId="0" borderId="0" applyAlignment="1" pivotButton="0" quotePrefix="0" xfId="1">
      <alignment horizontal="center" vertical="center"/>
    </xf>
    <xf numFmtId="165" fontId="13" fillId="0" borderId="1" applyAlignment="1" pivotButton="0" quotePrefix="0" xfId="1">
      <alignment horizontal="left" vertical="center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 wrapText="1"/>
    </xf>
    <xf numFmtId="0" fontId="30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164" fontId="30" fillId="0" borderId="0" applyAlignment="1" pivotButton="0" quotePrefix="0" xfId="1">
      <alignment vertical="center"/>
    </xf>
    <xf numFmtId="0" fontId="3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6" fontId="27" fillId="0" borderId="0" applyAlignment="1" pivotButton="0" quotePrefix="0" xfId="4">
      <alignment horizontal="center" vertical="center"/>
    </xf>
    <xf numFmtId="166" fontId="40" fillId="0" borderId="0" applyAlignment="1" pivotButton="0" quotePrefix="0" xfId="4">
      <alignment horizontal="center" vertical="center"/>
    </xf>
    <xf numFmtId="166" fontId="31" fillId="3" borderId="1" applyAlignment="1" pivotButton="0" quotePrefix="0" xfId="4">
      <alignment horizontal="center" vertical="center" wrapText="1"/>
    </xf>
    <xf numFmtId="166" fontId="42" fillId="3" borderId="1" applyAlignment="1" pivotButton="0" quotePrefix="0" xfId="4">
      <alignment horizontal="center" vertical="center" wrapText="1"/>
    </xf>
    <xf numFmtId="166" fontId="27" fillId="3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left" vertical="center"/>
    </xf>
    <xf numFmtId="166" fontId="30" fillId="4" borderId="1" applyAlignment="1" pivotButton="0" quotePrefix="0" xfId="4">
      <alignment horizontal="left" vertical="center" wrapText="1"/>
    </xf>
    <xf numFmtId="167" fontId="30" fillId="4" borderId="1" applyAlignment="1" pivotButton="0" quotePrefix="0" xfId="4">
      <alignment horizontal="right" vertical="center" wrapText="1"/>
    </xf>
    <xf numFmtId="166" fontId="30" fillId="4" borderId="1" applyAlignment="1" pivotButton="0" quotePrefix="0" xfId="4">
      <alignment horizontal="center" vertical="center"/>
    </xf>
    <xf numFmtId="166" fontId="30" fillId="4" borderId="1" applyAlignment="1" pivotButton="0" quotePrefix="0" xfId="4">
      <alignment vertical="center"/>
    </xf>
    <xf numFmtId="166" fontId="30" fillId="4" borderId="12" applyAlignment="1" pivotButton="0" quotePrefix="0" xfId="4">
      <alignment horizontal="left" vertical="center"/>
    </xf>
    <xf numFmtId="166" fontId="30" fillId="4" borderId="1" applyAlignment="1" pivotButton="0" quotePrefix="0" xfId="4">
      <alignment vertical="center" wrapText="1"/>
    </xf>
    <xf numFmtId="167" fontId="30" fillId="4" borderId="1" applyAlignment="1" pivotButton="0" quotePrefix="0" xfId="4">
      <alignment horizontal="right" vertical="center"/>
    </xf>
    <xf numFmtId="167" fontId="30" fillId="4" borderId="1" applyAlignment="1" pivotButton="0" quotePrefix="0" xfId="4">
      <alignment horizontal="center" vertical="center"/>
    </xf>
    <xf numFmtId="166" fontId="30" fillId="0" borderId="1" applyAlignment="1" pivotButton="0" quotePrefix="0" xfId="0">
      <alignment horizontal="left" vertical="center"/>
    </xf>
    <xf numFmtId="166" fontId="30" fillId="4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right" vertical="center"/>
    </xf>
    <xf numFmtId="166" fontId="30" fillId="4" borderId="1" applyAlignment="1" pivotButton="0" quotePrefix="0" xfId="1">
      <alignment horizontal="right" vertical="center" wrapText="1"/>
    </xf>
    <xf numFmtId="166" fontId="30" fillId="4" borderId="1" applyAlignment="1" pivotButton="0" quotePrefix="0" xfId="7">
      <alignment horizontal="right" vertical="center" wrapText="1"/>
    </xf>
    <xf numFmtId="166" fontId="30" fillId="9" borderId="1" applyAlignment="1" pivotButton="0" quotePrefix="0" xfId="4">
      <alignment horizontal="left" vertical="center" wrapText="1"/>
    </xf>
    <xf numFmtId="166" fontId="43" fillId="4" borderId="1" applyAlignment="1" pivotButton="0" quotePrefix="0" xfId="4">
      <alignment horizontal="left" vertical="center"/>
    </xf>
    <xf numFmtId="166" fontId="31" fillId="4" borderId="1" applyAlignment="1" pivotButton="0" quotePrefix="0" xfId="4">
      <alignment horizontal="left" vertical="center"/>
    </xf>
    <xf numFmtId="166" fontId="43" fillId="4" borderId="1" applyAlignment="1" pivotButton="0" quotePrefix="0" xfId="4">
      <alignment vertical="center" wrapText="1"/>
    </xf>
    <xf numFmtId="166" fontId="43" fillId="4" borderId="1" applyAlignment="1" pivotButton="0" quotePrefix="0" xfId="4">
      <alignment horizontal="center" vertical="center" wrapText="1"/>
    </xf>
    <xf numFmtId="168" fontId="30" fillId="4" borderId="1" applyAlignment="1" pivotButton="0" quotePrefix="0" xfId="4">
      <alignment horizontal="center" vertical="center"/>
    </xf>
    <xf numFmtId="168" fontId="30" fillId="4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right" vertical="center" wrapText="1"/>
    </xf>
    <xf numFmtId="166" fontId="44" fillId="4" borderId="1" applyAlignment="1" pivotButton="0" quotePrefix="0" xfId="4">
      <alignment vertical="center" wrapText="1"/>
    </xf>
    <xf numFmtId="166" fontId="30" fillId="4" borderId="1" applyAlignment="1" pivotButton="0" quotePrefix="0" xfId="9">
      <alignment horizontal="left" vertical="center" wrapText="1"/>
    </xf>
    <xf numFmtId="166" fontId="30" fillId="4" borderId="1" applyAlignment="1" pivotButton="0" quotePrefix="0" xfId="1">
      <alignment horizontal="center" vertical="center" wrapText="1"/>
    </xf>
    <xf numFmtId="166" fontId="30" fillId="4" borderId="9" applyAlignment="1" pivotButton="0" quotePrefix="0" xfId="4">
      <alignment horizontal="left" vertical="center"/>
    </xf>
    <xf numFmtId="166" fontId="30" fillId="4" borderId="9" applyAlignment="1" pivotButton="0" quotePrefix="0" xfId="4">
      <alignment horizontal="left" vertical="center" wrapText="1"/>
    </xf>
    <xf numFmtId="166" fontId="30" fillId="4" borderId="9" applyAlignment="1" pivotButton="0" quotePrefix="0" xfId="4">
      <alignment horizontal="right" vertical="center"/>
    </xf>
    <xf numFmtId="166" fontId="30" fillId="4" borderId="9" applyAlignment="1" pivotButton="0" quotePrefix="0" xfId="4">
      <alignment horizontal="center" vertical="center"/>
    </xf>
    <xf numFmtId="166" fontId="30" fillId="4" borderId="9" applyAlignment="1" pivotButton="0" quotePrefix="0" xfId="4">
      <alignment horizontal="center" vertical="center" wrapText="1"/>
    </xf>
    <xf numFmtId="166" fontId="30" fillId="4" borderId="9" applyAlignment="1" pivotButton="0" quotePrefix="0" xfId="4">
      <alignment vertical="center"/>
    </xf>
    <xf numFmtId="166" fontId="30" fillId="4" borderId="5" applyAlignment="1" pivotButton="0" quotePrefix="0" xfId="4">
      <alignment horizontal="left" vertical="center"/>
    </xf>
    <xf numFmtId="166" fontId="21" fillId="3" borderId="1" applyAlignment="1" pivotButton="0" quotePrefix="0" xfId="4">
      <alignment horizontal="center" vertical="center" wrapText="1"/>
    </xf>
    <xf numFmtId="166" fontId="14" fillId="4" borderId="1" applyAlignment="1" pivotButton="0" quotePrefix="0" xfId="4">
      <alignment horizontal="left" vertical="center"/>
    </xf>
    <xf numFmtId="166" fontId="14" fillId="4" borderId="1" applyAlignment="1" pivotButton="0" quotePrefix="0" xfId="4">
      <alignment vertical="center"/>
    </xf>
    <xf numFmtId="166" fontId="14" fillId="4" borderId="12" applyAlignment="1" pivotButton="0" quotePrefix="0" xfId="4">
      <alignment horizontal="left" vertical="center"/>
    </xf>
    <xf numFmtId="166" fontId="14" fillId="4" borderId="1" applyAlignment="1" pivotButton="0" quotePrefix="0" xfId="4">
      <alignment horizontal="left" vertical="top"/>
    </xf>
    <xf numFmtId="166" fontId="14" fillId="4" borderId="1" applyAlignment="1" pivotButton="0" quotePrefix="0" xfId="4">
      <alignment vertical="center" wrapText="1"/>
    </xf>
    <xf numFmtId="166" fontId="14" fillId="4" borderId="1" applyAlignment="1" pivotButton="0" quotePrefix="0" xfId="4">
      <alignment horizontal="left" vertical="center" wrapText="1"/>
    </xf>
    <xf numFmtId="166" fontId="14" fillId="4" borderId="1" applyAlignment="1" pivotButton="0" quotePrefix="0" xfId="4">
      <alignment vertical="top"/>
    </xf>
    <xf numFmtId="166" fontId="14" fillId="4" borderId="12" applyAlignment="1" pivotButton="0" quotePrefix="0" xfId="4">
      <alignment horizontal="left" vertical="top"/>
    </xf>
    <xf numFmtId="166" fontId="14" fillId="0" borderId="1" applyAlignment="1" pivotButton="0" quotePrefix="0" xfId="0">
      <alignment horizontal="left" vertical="center"/>
    </xf>
    <xf numFmtId="166" fontId="20" fillId="4" borderId="1" applyAlignment="1" pivotButton="0" quotePrefix="0" xfId="4">
      <alignment horizontal="left" vertical="top"/>
    </xf>
    <xf numFmtId="166" fontId="16" fillId="4" borderId="1" applyAlignment="1" pivotButton="0" quotePrefix="0" xfId="4">
      <alignment horizontal="left" vertical="top"/>
    </xf>
    <xf numFmtId="166" fontId="27" fillId="0" borderId="0" applyAlignment="1" pivotButton="0" quotePrefix="0" xfId="4">
      <alignment horizontal="left" vertical="center" wrapText="1"/>
    </xf>
    <xf numFmtId="166" fontId="40" fillId="0" borderId="0" applyAlignment="1" pivotButton="0" quotePrefix="0" xfId="4">
      <alignment horizontal="left" vertical="center" wrapText="1"/>
    </xf>
    <xf numFmtId="169" fontId="31" fillId="3" borderId="1" applyAlignment="1" pivotButton="0" quotePrefix="0" xfId="4">
      <alignment horizontal="left" vertical="center" wrapText="1"/>
    </xf>
    <xf numFmtId="166" fontId="31" fillId="3" borderId="1" applyAlignment="1" pivotButton="0" quotePrefix="0" xfId="4">
      <alignment horizontal="left" vertical="center" wrapText="1"/>
    </xf>
    <xf numFmtId="167" fontId="31" fillId="3" borderId="1" applyAlignment="1" pivotButton="0" quotePrefix="0" xfId="4">
      <alignment horizontal="left" vertical="center" wrapText="1"/>
    </xf>
    <xf numFmtId="166" fontId="31" fillId="3" borderId="9" applyAlignment="1" pivotButton="0" quotePrefix="0" xfId="4">
      <alignment horizontal="left" vertical="center" wrapText="1"/>
    </xf>
    <xf numFmtId="166" fontId="31" fillId="3" borderId="12" applyAlignment="1" pivotButton="0" quotePrefix="0" xfId="4">
      <alignment horizontal="left" vertical="center" wrapText="1"/>
    </xf>
    <xf numFmtId="166" fontId="31" fillId="11" borderId="1" applyAlignment="1" pivotButton="0" quotePrefix="0" xfId="4">
      <alignment horizontal="center" vertical="center"/>
    </xf>
    <xf numFmtId="166" fontId="31" fillId="3" borderId="0" applyAlignment="1" pivotButton="0" quotePrefix="0" xfId="4">
      <alignment horizontal="left" vertical="center" wrapText="1"/>
    </xf>
    <xf numFmtId="167" fontId="30" fillId="4" borderId="1" applyAlignment="1" pivotButton="0" quotePrefix="0" xfId="4">
      <alignment horizontal="left" vertical="center" wrapText="1"/>
    </xf>
    <xf numFmtId="166" fontId="30" fillId="4" borderId="2" applyAlignment="1" pivotButton="0" quotePrefix="0" xfId="4">
      <alignment horizontal="left" vertical="center" wrapText="1"/>
    </xf>
    <xf numFmtId="166" fontId="30" fillId="0" borderId="1" applyAlignment="1" pivotButton="0" quotePrefix="0" xfId="0">
      <alignment vertical="center"/>
    </xf>
    <xf numFmtId="169" fontId="30" fillId="4" borderId="1" applyAlignment="1" pivotButton="0" quotePrefix="0" xfId="5">
      <alignment horizontal="left" vertical="center" wrapText="1"/>
    </xf>
    <xf numFmtId="166" fontId="31" fillId="4" borderId="1" applyAlignment="1" pivotButton="0" quotePrefix="0" xfId="4">
      <alignment horizontal="left" vertical="center" wrapText="1"/>
    </xf>
    <xf numFmtId="166" fontId="30" fillId="4" borderId="0" applyAlignment="1" pivotButton="0" quotePrefix="0" xfId="4">
      <alignment horizontal="left" vertical="center" wrapText="1"/>
    </xf>
    <xf numFmtId="166" fontId="30" fillId="4" borderId="6" applyAlignment="1" pivotButton="0" quotePrefix="0" xfId="4">
      <alignment horizontal="left" vertical="center" wrapText="1"/>
    </xf>
    <xf numFmtId="167" fontId="30" fillId="4" borderId="2" applyAlignment="1" pivotButton="0" quotePrefix="0" xfId="4">
      <alignment horizontal="left" vertical="center" wrapText="1"/>
    </xf>
    <xf numFmtId="167" fontId="30" fillId="4" borderId="6" applyAlignment="1" pivotButton="0" quotePrefix="0" xfId="4">
      <alignment horizontal="left" vertical="center" wrapText="1"/>
    </xf>
    <xf numFmtId="166" fontId="30" fillId="4" borderId="13" applyAlignment="1" pivotButton="0" quotePrefix="0" xfId="4">
      <alignment horizontal="left" vertical="center" wrapText="1"/>
    </xf>
    <xf numFmtId="166" fontId="30" fillId="4" borderId="15" applyAlignment="1" pivotButton="0" quotePrefix="0" xfId="4">
      <alignment horizontal="left" vertical="center" wrapText="1"/>
    </xf>
    <xf numFmtId="166" fontId="30" fillId="4" borderId="10" applyAlignment="1" pivotButton="0" quotePrefix="0" xfId="4">
      <alignment horizontal="left" vertical="center" wrapText="1"/>
    </xf>
    <xf numFmtId="166" fontId="30" fillId="4" borderId="3" applyAlignment="1" pivotButton="0" quotePrefix="0" xfId="4">
      <alignment horizontal="left" vertical="center" wrapText="1"/>
    </xf>
    <xf numFmtId="167" fontId="30" fillId="4" borderId="9" applyAlignment="1" pivotButton="0" quotePrefix="0" xfId="4">
      <alignment horizontal="left" vertical="center" wrapText="1"/>
    </xf>
    <xf numFmtId="166" fontId="30" fillId="4" borderId="14" applyAlignment="1" pivotButton="0" quotePrefix="0" xfId="4">
      <alignment horizontal="left" vertical="center" wrapText="1"/>
    </xf>
    <xf numFmtId="166" fontId="30" fillId="4" borderId="8" applyAlignment="1" pivotButton="0" quotePrefix="0" xfId="4">
      <alignment horizontal="left" vertical="center" wrapText="1"/>
    </xf>
    <xf numFmtId="166" fontId="30" fillId="4" borderId="20" applyAlignment="1" pivotButton="0" quotePrefix="0" xfId="4">
      <alignment horizontal="left" vertical="center" wrapText="1"/>
    </xf>
    <xf numFmtId="166" fontId="30" fillId="4" borderId="21" applyAlignment="1" pivotButton="0" quotePrefix="0" xfId="4">
      <alignment horizontal="left" vertical="center" wrapText="1"/>
    </xf>
    <xf numFmtId="169" fontId="30" fillId="4" borderId="2" applyAlignment="1" pivotButton="0" quotePrefix="0" xfId="4">
      <alignment horizontal="left" vertical="center" wrapText="1"/>
    </xf>
    <xf numFmtId="166" fontId="30" fillId="4" borderId="11" applyAlignment="1" pivotButton="0" quotePrefix="0" xfId="4">
      <alignment horizontal="left" vertical="center" wrapText="1"/>
    </xf>
    <xf numFmtId="166" fontId="30" fillId="4" borderId="18" applyAlignment="1" pivotButton="0" quotePrefix="0" xfId="4">
      <alignment horizontal="left" vertical="center" wrapText="1"/>
    </xf>
    <xf numFmtId="169" fontId="30" fillId="4" borderId="6" applyAlignment="1" pivotButton="0" quotePrefix="0" xfId="4">
      <alignment horizontal="left" vertical="center" wrapText="1"/>
    </xf>
    <xf numFmtId="169" fontId="30" fillId="4" borderId="1" applyAlignment="1" pivotButton="0" quotePrefix="0" xfId="4">
      <alignment horizontal="left" vertical="center" wrapText="1"/>
    </xf>
    <xf numFmtId="167" fontId="30" fillId="4" borderId="1" applyAlignment="1" pivotButton="0" quotePrefix="0" xfId="0">
      <alignment horizontal="left" vertical="center" wrapText="1"/>
    </xf>
    <xf numFmtId="169" fontId="30" fillId="4" borderId="16" applyAlignment="1" pivotButton="0" quotePrefix="0" xfId="4">
      <alignment horizontal="left" vertical="center" wrapText="1"/>
    </xf>
    <xf numFmtId="167" fontId="30" fillId="4" borderId="14" applyAlignment="1" pivotButton="0" quotePrefix="0" xfId="6">
      <alignment horizontal="left" vertical="center" wrapText="1"/>
    </xf>
    <xf numFmtId="167" fontId="30" fillId="4" borderId="14" applyAlignment="1" pivotButton="0" quotePrefix="0" xfId="4">
      <alignment horizontal="left" vertical="center" wrapText="1"/>
    </xf>
    <xf numFmtId="167" fontId="30" fillId="4" borderId="2" applyAlignment="1" pivotButton="0" quotePrefix="0" xfId="6">
      <alignment horizontal="left" vertical="center" wrapText="1"/>
    </xf>
    <xf numFmtId="167" fontId="30" fillId="4" borderId="6" applyAlignment="1" pivotButton="0" quotePrefix="0" xfId="6">
      <alignment horizontal="left" vertical="center" wrapText="1"/>
    </xf>
    <xf numFmtId="166" fontId="30" fillId="4" borderId="17" applyAlignment="1" pivotButton="0" quotePrefix="0" xfId="4">
      <alignment horizontal="left" vertical="center" wrapText="1"/>
    </xf>
    <xf numFmtId="169" fontId="30" fillId="4" borderId="14" applyAlignment="1" pivotButton="0" quotePrefix="0" xfId="4">
      <alignment horizontal="left" vertical="center" wrapText="1"/>
    </xf>
    <xf numFmtId="166" fontId="30" fillId="0" borderId="0" applyAlignment="1" pivotButton="0" quotePrefix="0" xfId="4">
      <alignment vertical="center"/>
    </xf>
    <xf numFmtId="166" fontId="30" fillId="0" borderId="0" applyAlignment="1" pivotButton="0" quotePrefix="0" xfId="4">
      <alignment horizontal="left" vertical="center" wrapText="1"/>
    </xf>
    <xf numFmtId="166" fontId="18" fillId="0" borderId="0" applyAlignment="1" pivotButton="0" quotePrefix="0" xfId="4">
      <alignment horizontal="left" vertical="center" wrapText="1"/>
    </xf>
    <xf numFmtId="166" fontId="30" fillId="0" borderId="0" applyAlignment="1" pivotButton="0" quotePrefix="0" xfId="4">
      <alignment horizontal="left" vertical="center"/>
    </xf>
    <xf numFmtId="166" fontId="30" fillId="0" borderId="0" applyAlignment="1" pivotButton="0" quotePrefix="0" xfId="4">
      <alignment vertical="center" wrapText="1"/>
    </xf>
    <xf numFmtId="166" fontId="30" fillId="0" borderId="0" applyAlignment="1" pivotButton="0" quotePrefix="0" xfId="4">
      <alignment horizontal="center" vertical="center"/>
    </xf>
    <xf numFmtId="166" fontId="30" fillId="0" borderId="0" applyAlignment="1" pivotButton="0" quotePrefix="0" xfId="4">
      <alignment horizontal="right" vertical="center"/>
    </xf>
    <xf numFmtId="166" fontId="30" fillId="0" borderId="0" applyAlignment="1" pivotButton="0" quotePrefix="0" xfId="4">
      <alignment horizontal="center" vertical="center" wrapText="1"/>
    </xf>
    <xf numFmtId="166" fontId="30" fillId="0" borderId="1" applyAlignment="1" pivotButton="0" quotePrefix="0" xfId="4">
      <alignment vertical="center"/>
    </xf>
    <xf numFmtId="166" fontId="18" fillId="4" borderId="1" applyAlignment="1" pivotButton="0" quotePrefix="0" xfId="4">
      <alignment horizontal="left" vertical="center" wrapText="1"/>
    </xf>
    <xf numFmtId="166" fontId="18" fillId="4" borderId="1" applyAlignment="1" pivotButton="0" quotePrefix="0" xfId="4">
      <alignment vertical="center"/>
    </xf>
    <xf numFmtId="166" fontId="18" fillId="4" borderId="1" applyAlignment="1" pivotButton="0" quotePrefix="0" xfId="4">
      <alignment horizontal="center" vertical="center" wrapText="1"/>
    </xf>
    <xf numFmtId="166" fontId="18" fillId="4" borderId="1" applyAlignment="1" pivotButton="0" quotePrefix="0" xfId="4">
      <alignment horizontal="center" vertical="center"/>
    </xf>
    <xf numFmtId="166" fontId="18" fillId="4" borderId="1" applyAlignment="1" pivotButton="0" quotePrefix="0" xfId="4">
      <alignment horizontal="left" vertical="center"/>
    </xf>
    <xf numFmtId="167" fontId="18" fillId="4" borderId="1" applyAlignment="1" pivotButton="0" quotePrefix="0" xfId="4">
      <alignment horizontal="right" vertical="center" wrapText="1"/>
    </xf>
    <xf numFmtId="167" fontId="18" fillId="4" borderId="1" applyAlignment="1" pivotButton="0" quotePrefix="0" xfId="4">
      <alignment horizontal="center" vertical="center" wrapText="1"/>
    </xf>
    <xf numFmtId="167" fontId="18" fillId="4" borderId="1" applyAlignment="1" pivotButton="0" quotePrefix="0" xfId="4">
      <alignment vertical="center" wrapText="1"/>
    </xf>
    <xf numFmtId="166" fontId="18" fillId="4" borderId="1" applyAlignment="1" pivotButton="0" quotePrefix="0" xfId="4">
      <alignment vertical="center" wrapText="1"/>
    </xf>
    <xf numFmtId="166" fontId="18" fillId="4" borderId="1" applyAlignment="1" pivotButton="0" quotePrefix="0" xfId="4">
      <alignment horizontal="right" vertical="center"/>
    </xf>
    <xf numFmtId="166" fontId="12" fillId="3" borderId="1" applyAlignment="1" pivotButton="0" quotePrefix="0" xfId="4">
      <alignment vertical="center" wrapText="1"/>
    </xf>
    <xf numFmtId="166" fontId="11" fillId="3" borderId="1" applyAlignment="1" pivotButton="0" quotePrefix="0" xfId="4">
      <alignment horizontal="center" vertical="center" wrapText="1"/>
    </xf>
    <xf numFmtId="166" fontId="8" fillId="3" borderId="1" applyAlignment="1" pivotButton="0" quotePrefix="0" xfId="4">
      <alignment horizontal="center" vertical="center" wrapText="1"/>
    </xf>
    <xf numFmtId="166" fontId="10" fillId="4" borderId="1" applyAlignment="1" pivotButton="0" quotePrefix="0" xfId="4">
      <alignment vertical="center"/>
    </xf>
    <xf numFmtId="169" fontId="35" fillId="3" borderId="1" applyAlignment="1" pivotButton="0" quotePrefix="0" xfId="4">
      <alignment vertical="center" wrapText="1"/>
    </xf>
    <xf numFmtId="166" fontId="35" fillId="3" borderId="1" applyAlignment="1" pivotButton="0" quotePrefix="0" xfId="4">
      <alignment horizontal="center" vertical="center" wrapText="1"/>
    </xf>
    <xf numFmtId="170" fontId="33" fillId="4" borderId="1" applyAlignment="1" pivotButton="0" quotePrefix="0" xfId="0">
      <alignment horizontal="right" vertical="center"/>
    </xf>
    <xf numFmtId="166" fontId="34" fillId="4" borderId="1" applyAlignment="1" pivotButton="0" quotePrefix="0" xfId="4">
      <alignment vertical="center"/>
    </xf>
    <xf numFmtId="166" fontId="33" fillId="0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right" vertical="center"/>
    </xf>
    <xf numFmtId="166" fontId="33" fillId="0" borderId="9" applyAlignment="1" pivotButton="0" quotePrefix="0" xfId="4">
      <alignment horizontal="center" vertical="center"/>
    </xf>
    <xf numFmtId="166" fontId="33" fillId="0" borderId="9" applyAlignment="1" pivotButton="0" quotePrefix="0" xfId="4">
      <alignment horizontal="right" vertical="center"/>
    </xf>
    <xf numFmtId="166" fontId="34" fillId="0" borderId="9" applyAlignment="1" pivotButton="0" quotePrefix="0" xfId="4">
      <alignment vertical="center"/>
    </xf>
    <xf numFmtId="166" fontId="37" fillId="4" borderId="1" applyAlignment="1" pivotButton="0" quotePrefix="0" xfId="4">
      <alignment horizontal="left" vertical="center" wrapText="1"/>
    </xf>
    <xf numFmtId="166" fontId="37" fillId="4" borderId="1" applyAlignment="1" pivotButton="0" quotePrefix="0" xfId="4">
      <alignment vertical="center"/>
    </xf>
    <xf numFmtId="171" fontId="13" fillId="0" borderId="0" applyAlignment="1" pivotButton="0" quotePrefix="0" xfId="0">
      <alignment horizontal="right"/>
    </xf>
    <xf numFmtId="172" fontId="13" fillId="0" borderId="0" applyAlignment="1" pivotButton="0" quotePrefix="0" xfId="1">
      <alignment horizontal="right"/>
    </xf>
    <xf numFmtId="171" fontId="13" fillId="0" borderId="24" applyAlignment="1" pivotButton="0" quotePrefix="0" xfId="0">
      <alignment horizontal="right"/>
    </xf>
    <xf numFmtId="171" fontId="26" fillId="0" borderId="0" applyAlignment="1" pivotButton="0" quotePrefix="0" xfId="1">
      <alignment horizontal="right" vertical="center"/>
    </xf>
    <xf numFmtId="171" fontId="25" fillId="10" borderId="1" applyAlignment="1" pivotButton="0" quotePrefix="0" xfId="10">
      <alignment horizontal="left" vertical="top" wrapText="1"/>
    </xf>
    <xf numFmtId="171" fontId="25" fillId="0" borderId="1" applyAlignment="1" pivotButton="0" quotePrefix="0" xfId="10">
      <alignment horizontal="left" vertical="top" wrapText="1"/>
    </xf>
    <xf numFmtId="171" fontId="13" fillId="0" borderId="1" applyAlignment="1" pivotButton="0" quotePrefix="0" xfId="10">
      <alignment horizontal="left" vertical="center"/>
    </xf>
    <xf numFmtId="171" fontId="13" fillId="0" borderId="1" applyAlignment="1" pivotButton="0" quotePrefix="0" xfId="0">
      <alignment horizontal="left"/>
    </xf>
    <xf numFmtId="173" fontId="0" fillId="0" borderId="1" applyAlignment="1" pivotButton="0" quotePrefix="0" xfId="0">
      <alignment vertical="top"/>
    </xf>
    <xf numFmtId="174" fontId="0" fillId="0" borderId="1" applyAlignment="1" pivotButton="0" quotePrefix="0" xfId="0">
      <alignment horizontal="center" vertical="top"/>
    </xf>
    <xf numFmtId="175" fontId="0" fillId="0" borderId="1" pivotButton="0" quotePrefix="0" xfId="0"/>
    <xf numFmtId="175" fontId="0" fillId="0" borderId="1" applyAlignment="1" pivotButton="0" quotePrefix="0" xfId="0">
      <alignment vertical="top"/>
    </xf>
    <xf numFmtId="173" fontId="3" fillId="0" borderId="26" pivotButton="0" quotePrefix="0" xfId="0"/>
    <xf numFmtId="173" fontId="3" fillId="6" borderId="26" pivotButton="0" quotePrefix="0" xfId="0"/>
    <xf numFmtId="173" fontId="3" fillId="0" borderId="1" pivotButton="0" quotePrefix="0" xfId="0"/>
    <xf numFmtId="173" fontId="0" fillId="0" borderId="2" applyAlignment="1" pivotButton="0" quotePrefix="0" xfId="0">
      <alignment vertical="top"/>
    </xf>
    <xf numFmtId="174" fontId="0" fillId="0" borderId="2" applyAlignment="1" pivotButton="0" quotePrefix="0" xfId="0">
      <alignment horizontal="center" vertical="top"/>
    </xf>
    <xf numFmtId="170" fontId="0" fillId="0" borderId="2" applyAlignment="1" pivotButton="0" quotePrefix="0" xfId="0">
      <alignment vertical="top"/>
    </xf>
    <xf numFmtId="176" fontId="0" fillId="0" borderId="2" applyAlignment="1" pivotButton="0" quotePrefix="0" xfId="0">
      <alignment vertical="top"/>
    </xf>
    <xf numFmtId="175" fontId="0" fillId="0" borderId="2" applyAlignment="1" pivotButton="0" quotePrefix="0" xfId="0">
      <alignment vertical="top"/>
    </xf>
    <xf numFmtId="0" fontId="16" fillId="2" borderId="0" applyAlignment="1" pivotButton="0" quotePrefix="0" xfId="0">
      <alignment horizontal="center"/>
    </xf>
    <xf numFmtId="0" fontId="14" fillId="0" borderId="0" pivotButton="0" quotePrefix="0" xfId="0"/>
    <xf numFmtId="0" fontId="38" fillId="0" borderId="0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/>
    </xf>
    <xf numFmtId="0" fontId="0" fillId="0" borderId="10" pivotButton="0" quotePrefix="0" xfId="0"/>
    <xf numFmtId="0" fontId="16" fillId="2" borderId="25" applyAlignment="1" pivotButton="0" quotePrefix="0" xfId="0">
      <alignment horizontal="center" vertical="center"/>
    </xf>
    <xf numFmtId="0" fontId="0" fillId="0" borderId="25" pivotButton="0" quotePrefix="0" xfId="0"/>
    <xf numFmtId="0" fontId="16" fillId="12" borderId="1" applyAlignment="1" pivotButton="0" quotePrefix="0" xfId="0">
      <alignment horizontal="center"/>
    </xf>
    <xf numFmtId="0" fontId="0" fillId="0" borderId="28" pivotButton="0" quotePrefix="0" xfId="0"/>
    <xf numFmtId="0" fontId="14" fillId="0" borderId="0" applyAlignment="1" pivotButton="0" quotePrefix="0" xfId="0">
      <alignment wrapText="1"/>
    </xf>
    <xf numFmtId="166" fontId="27" fillId="2" borderId="1" applyAlignment="1" pivotButton="0" quotePrefix="0" xfId="4">
      <alignment horizontal="center" vertical="center" wrapText="1"/>
    </xf>
    <xf numFmtId="0" fontId="31" fillId="11" borderId="23" applyAlignment="1" pivotButton="0" quotePrefix="0" xfId="0">
      <alignment horizontal="center" vertical="center"/>
    </xf>
    <xf numFmtId="0" fontId="0" fillId="0" borderId="23" pivotButton="0" quotePrefix="0" xfId="0"/>
    <xf numFmtId="166" fontId="18" fillId="6" borderId="1" applyAlignment="1" pivotButton="0" quotePrefix="0" xfId="4">
      <alignment horizontal="center" vertical="center" wrapText="1"/>
    </xf>
    <xf numFmtId="166" fontId="40" fillId="0" borderId="0" applyAlignment="1" pivotButton="0" quotePrefix="0" xfId="4">
      <alignment horizontal="center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 wrapText="1"/>
    </xf>
    <xf numFmtId="0" fontId="30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164" fontId="30" fillId="0" borderId="0" applyAlignment="1" pivotButton="0" quotePrefix="0" xfId="1">
      <alignment vertical="center"/>
    </xf>
    <xf numFmtId="166" fontId="27" fillId="0" borderId="0" applyAlignment="1" pivotButton="0" quotePrefix="0" xfId="4">
      <alignment horizontal="center" vertical="center"/>
    </xf>
    <xf numFmtId="0" fontId="31" fillId="11" borderId="1" applyAlignment="1" pivotButton="0" quotePrefix="0" xfId="0">
      <alignment horizontal="center" vertical="center"/>
    </xf>
    <xf numFmtId="0" fontId="16" fillId="11" borderId="23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6" fillId="11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center" vertical="center"/>
    </xf>
    <xf numFmtId="166" fontId="27" fillId="0" borderId="0" applyAlignment="1" pivotButton="0" quotePrefix="0" xfId="4">
      <alignment horizontal="center"/>
    </xf>
    <xf numFmtId="166" fontId="40" fillId="0" borderId="0" applyAlignment="1" pivotButton="0" quotePrefix="0" xfId="4">
      <alignment horizontal="center"/>
    </xf>
    <xf numFmtId="0" fontId="31" fillId="11" borderId="1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66" fontId="10" fillId="6" borderId="9" applyAlignment="1" pivotButton="0" quotePrefix="0" xfId="4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6" fontId="39" fillId="2" borderId="1" applyAlignment="1" pivotButton="0" quotePrefix="0" xfId="4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166" fontId="34" fillId="6" borderId="1" applyAlignment="1" pivotButton="0" quotePrefix="0" xfId="4">
      <alignment horizontal="center" vertical="center" wrapText="1"/>
    </xf>
    <xf numFmtId="0" fontId="35" fillId="11" borderId="1" applyAlignment="1" pivotButton="0" quotePrefix="0" xfId="0">
      <alignment horizontal="center" vertical="center"/>
    </xf>
    <xf numFmtId="166" fontId="39" fillId="0" borderId="0" applyAlignment="1" pivotButton="0" quotePrefix="0" xfId="4">
      <alignment horizontal="center" vertical="center"/>
    </xf>
    <xf numFmtId="0" fontId="35" fillId="2" borderId="1" applyAlignment="1" pivotButton="0" quotePrefix="0" xfId="0">
      <alignment horizontal="center" vertical="center" wrapText="1"/>
    </xf>
    <xf numFmtId="166" fontId="45" fillId="0" borderId="0" applyAlignment="1" pivotButton="0" quotePrefix="0" xfId="4">
      <alignment horizontal="center" vertical="center"/>
    </xf>
    <xf numFmtId="49" fontId="26" fillId="0" borderId="1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8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6" fontId="27" fillId="0" borderId="0" applyAlignment="1" pivotButton="0" quotePrefix="0" xfId="4">
      <alignment horizontal="center" vertical="center"/>
    </xf>
    <xf numFmtId="166" fontId="40" fillId="0" borderId="0" applyAlignment="1" pivotButton="0" quotePrefix="0" xfId="4">
      <alignment horizontal="center" vertical="center"/>
    </xf>
    <xf numFmtId="166" fontId="18" fillId="6" borderId="1" applyAlignment="1" pivotButton="0" quotePrefix="0" xfId="4">
      <alignment horizontal="center" vertical="center" wrapText="1"/>
    </xf>
    <xf numFmtId="166" fontId="27" fillId="2" borderId="1" applyAlignment="1" pivotButton="0" quotePrefix="0" xfId="4">
      <alignment horizontal="center" vertical="center" wrapText="1"/>
    </xf>
    <xf numFmtId="166" fontId="31" fillId="3" borderId="1" applyAlignment="1" pivotButton="0" quotePrefix="0" xfId="4">
      <alignment horizontal="center" vertical="center" wrapText="1"/>
    </xf>
    <xf numFmtId="166" fontId="42" fillId="3" borderId="1" applyAlignment="1" pivotButton="0" quotePrefix="0" xfId="4">
      <alignment horizontal="center" vertical="center" wrapText="1"/>
    </xf>
    <xf numFmtId="166" fontId="27" fillId="3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left" vertical="center"/>
    </xf>
    <xf numFmtId="166" fontId="30" fillId="4" borderId="1" applyAlignment="1" pivotButton="0" quotePrefix="0" xfId="4">
      <alignment horizontal="left" vertical="center" wrapText="1"/>
    </xf>
    <xf numFmtId="167" fontId="30" fillId="4" borderId="1" applyAlignment="1" pivotButton="0" quotePrefix="0" xfId="4">
      <alignment horizontal="right" vertical="center" wrapText="1"/>
    </xf>
    <xf numFmtId="166" fontId="30" fillId="4" borderId="1" applyAlignment="1" pivotButton="0" quotePrefix="0" xfId="4">
      <alignment horizontal="center" vertical="center"/>
    </xf>
    <xf numFmtId="166" fontId="30" fillId="4" borderId="1" applyAlignment="1" pivotButton="0" quotePrefix="0" xfId="4">
      <alignment vertical="center"/>
    </xf>
    <xf numFmtId="166" fontId="30" fillId="4" borderId="12" applyAlignment="1" pivotButton="0" quotePrefix="0" xfId="4">
      <alignment horizontal="left" vertical="center"/>
    </xf>
    <xf numFmtId="165" fontId="18" fillId="0" borderId="1" applyAlignment="1" pivotButton="0" quotePrefix="0" xfId="1">
      <alignment horizontal="left" vertical="center"/>
    </xf>
    <xf numFmtId="166" fontId="30" fillId="4" borderId="1" applyAlignment="1" pivotButton="0" quotePrefix="0" xfId="4">
      <alignment vertical="center" wrapText="1"/>
    </xf>
    <xf numFmtId="167" fontId="30" fillId="4" borderId="1" applyAlignment="1" pivotButton="0" quotePrefix="0" xfId="4">
      <alignment horizontal="right" vertical="center"/>
    </xf>
    <xf numFmtId="167" fontId="30" fillId="4" borderId="1" applyAlignment="1" pivotButton="0" quotePrefix="0" xfId="4">
      <alignment horizontal="center" vertical="center"/>
    </xf>
    <xf numFmtId="166" fontId="30" fillId="0" borderId="1" applyAlignment="1" pivotButton="0" quotePrefix="0" xfId="0">
      <alignment horizontal="left" vertical="center"/>
    </xf>
    <xf numFmtId="166" fontId="30" fillId="4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right" vertical="center"/>
    </xf>
    <xf numFmtId="166" fontId="30" fillId="4" borderId="1" applyAlignment="1" pivotButton="0" quotePrefix="0" xfId="1">
      <alignment horizontal="right" vertical="center" wrapText="1"/>
    </xf>
    <xf numFmtId="166" fontId="30" fillId="4" borderId="1" applyAlignment="1" pivotButton="0" quotePrefix="0" xfId="7">
      <alignment horizontal="right" vertical="center" wrapText="1"/>
    </xf>
    <xf numFmtId="166" fontId="30" fillId="9" borderId="1" applyAlignment="1" pivotButton="0" quotePrefix="0" xfId="4">
      <alignment horizontal="left" vertical="center" wrapText="1"/>
    </xf>
    <xf numFmtId="166" fontId="43" fillId="4" borderId="1" applyAlignment="1" pivotButton="0" quotePrefix="0" xfId="4">
      <alignment horizontal="left" vertical="center"/>
    </xf>
    <xf numFmtId="166" fontId="31" fillId="4" borderId="1" applyAlignment="1" pivotButton="0" quotePrefix="0" xfId="4">
      <alignment horizontal="left" vertical="center"/>
    </xf>
    <xf numFmtId="166" fontId="43" fillId="4" borderId="1" applyAlignment="1" pivotButton="0" quotePrefix="0" xfId="4">
      <alignment vertical="center" wrapText="1"/>
    </xf>
    <xf numFmtId="166" fontId="43" fillId="4" borderId="1" applyAlignment="1" pivotButton="0" quotePrefix="0" xfId="4">
      <alignment horizontal="center" vertical="center" wrapText="1"/>
    </xf>
    <xf numFmtId="166" fontId="30" fillId="4" borderId="1" applyAlignment="1" pivotButton="0" quotePrefix="0" xfId="4">
      <alignment horizontal="right" vertical="center" wrapText="1"/>
    </xf>
    <xf numFmtId="166" fontId="44" fillId="4" borderId="1" applyAlignment="1" pivotButton="0" quotePrefix="0" xfId="4">
      <alignment vertical="center" wrapText="1"/>
    </xf>
    <xf numFmtId="166" fontId="30" fillId="4" borderId="1" applyAlignment="1" pivotButton="0" quotePrefix="0" xfId="9">
      <alignment horizontal="left" vertical="center" wrapText="1"/>
    </xf>
    <xf numFmtId="166" fontId="30" fillId="4" borderId="1" applyAlignment="1" pivotButton="0" quotePrefix="0" xfId="1">
      <alignment horizontal="center" vertical="center" wrapText="1"/>
    </xf>
    <xf numFmtId="166" fontId="30" fillId="4" borderId="9" applyAlignment="1" pivotButton="0" quotePrefix="0" xfId="4">
      <alignment horizontal="left" vertical="center"/>
    </xf>
    <xf numFmtId="166" fontId="30" fillId="4" borderId="9" applyAlignment="1" pivotButton="0" quotePrefix="0" xfId="4">
      <alignment horizontal="left" vertical="center" wrapText="1"/>
    </xf>
    <xf numFmtId="166" fontId="30" fillId="4" borderId="9" applyAlignment="1" pivotButton="0" quotePrefix="0" xfId="4">
      <alignment horizontal="right" vertical="center"/>
    </xf>
    <xf numFmtId="166" fontId="30" fillId="4" borderId="9" applyAlignment="1" pivotButton="0" quotePrefix="0" xfId="4">
      <alignment horizontal="center" vertical="center"/>
    </xf>
    <xf numFmtId="166" fontId="30" fillId="4" borderId="9" applyAlignment="1" pivotButton="0" quotePrefix="0" xfId="4">
      <alignment horizontal="center" vertical="center" wrapText="1"/>
    </xf>
    <xf numFmtId="166" fontId="30" fillId="4" borderId="9" applyAlignment="1" pivotButton="0" quotePrefix="0" xfId="4">
      <alignment vertical="center"/>
    </xf>
    <xf numFmtId="166" fontId="30" fillId="4" borderId="5" applyAlignment="1" pivotButton="0" quotePrefix="0" xfId="4">
      <alignment horizontal="left" vertical="center"/>
    </xf>
    <xf numFmtId="166" fontId="21" fillId="3" borderId="1" applyAlignment="1" pivotButton="0" quotePrefix="0" xfId="4">
      <alignment horizontal="center" vertical="center" wrapText="1"/>
    </xf>
    <xf numFmtId="166" fontId="14" fillId="4" borderId="1" applyAlignment="1" pivotButton="0" quotePrefix="0" xfId="4">
      <alignment horizontal="left" vertical="center"/>
    </xf>
    <xf numFmtId="166" fontId="14" fillId="4" borderId="1" applyAlignment="1" pivotButton="0" quotePrefix="0" xfId="4">
      <alignment vertical="center"/>
    </xf>
    <xf numFmtId="166" fontId="14" fillId="4" borderId="12" applyAlignment="1" pivotButton="0" quotePrefix="0" xfId="4">
      <alignment horizontal="left" vertical="center"/>
    </xf>
    <xf numFmtId="165" fontId="15" fillId="0" borderId="1" applyAlignment="1" pivotButton="0" quotePrefix="0" xfId="1">
      <alignment horizontal="left" vertical="center"/>
    </xf>
    <xf numFmtId="166" fontId="14" fillId="4" borderId="1" applyAlignment="1" pivotButton="0" quotePrefix="0" xfId="4">
      <alignment horizontal="left" vertical="top"/>
    </xf>
    <xf numFmtId="166" fontId="14" fillId="4" borderId="1" applyAlignment="1" pivotButton="0" quotePrefix="0" xfId="4">
      <alignment vertical="center" wrapText="1"/>
    </xf>
    <xf numFmtId="166" fontId="14" fillId="4" borderId="1" applyAlignment="1" pivotButton="0" quotePrefix="0" xfId="4">
      <alignment horizontal="left" vertical="center" wrapText="1"/>
    </xf>
    <xf numFmtId="166" fontId="14" fillId="4" borderId="1" applyAlignment="1" pivotButton="0" quotePrefix="0" xfId="4">
      <alignment vertical="top"/>
    </xf>
    <xf numFmtId="166" fontId="14" fillId="4" borderId="12" applyAlignment="1" pivotButton="0" quotePrefix="0" xfId="4">
      <alignment horizontal="left" vertical="top"/>
    </xf>
    <xf numFmtId="166" fontId="14" fillId="0" borderId="1" applyAlignment="1" pivotButton="0" quotePrefix="0" xfId="0">
      <alignment horizontal="left" vertical="center"/>
    </xf>
    <xf numFmtId="166" fontId="20" fillId="4" borderId="1" applyAlignment="1" pivotButton="0" quotePrefix="0" xfId="4">
      <alignment horizontal="left" vertical="top"/>
    </xf>
    <xf numFmtId="166" fontId="16" fillId="4" borderId="1" applyAlignment="1" pivotButton="0" quotePrefix="0" xfId="4">
      <alignment horizontal="left" vertical="top"/>
    </xf>
    <xf numFmtId="166" fontId="27" fillId="0" borderId="0" applyAlignment="1" pivotButton="0" quotePrefix="0" xfId="4">
      <alignment horizontal="left" vertical="center" wrapText="1"/>
    </xf>
    <xf numFmtId="166" fontId="40" fillId="0" borderId="0" applyAlignment="1" pivotButton="0" quotePrefix="0" xfId="4">
      <alignment horizontal="left" vertical="center" wrapText="1"/>
    </xf>
    <xf numFmtId="166" fontId="31" fillId="3" borderId="1" applyAlignment="1" pivotButton="0" quotePrefix="0" xfId="4">
      <alignment horizontal="left" vertical="center" wrapText="1"/>
    </xf>
    <xf numFmtId="167" fontId="31" fillId="3" borderId="1" applyAlignment="1" pivotButton="0" quotePrefix="0" xfId="4">
      <alignment horizontal="left" vertical="center" wrapText="1"/>
    </xf>
    <xf numFmtId="166" fontId="31" fillId="3" borderId="9" applyAlignment="1" pivotButton="0" quotePrefix="0" xfId="4">
      <alignment horizontal="left" vertical="center" wrapText="1"/>
    </xf>
    <xf numFmtId="166" fontId="31" fillId="3" borderId="12" applyAlignment="1" pivotButton="0" quotePrefix="0" xfId="4">
      <alignment horizontal="left" vertical="center" wrapText="1"/>
    </xf>
    <xf numFmtId="166" fontId="31" fillId="11" borderId="1" applyAlignment="1" pivotButton="0" quotePrefix="0" xfId="4">
      <alignment horizontal="center" vertical="center"/>
    </xf>
    <xf numFmtId="166" fontId="31" fillId="3" borderId="0" applyAlignment="1" pivotButton="0" quotePrefix="0" xfId="4">
      <alignment horizontal="left" vertical="center" wrapText="1"/>
    </xf>
    <xf numFmtId="167" fontId="30" fillId="4" borderId="1" applyAlignment="1" pivotButton="0" quotePrefix="0" xfId="4">
      <alignment horizontal="left" vertical="center" wrapText="1"/>
    </xf>
    <xf numFmtId="166" fontId="30" fillId="4" borderId="2" applyAlignment="1" pivotButton="0" quotePrefix="0" xfId="4">
      <alignment horizontal="left" vertical="center" wrapText="1"/>
    </xf>
    <xf numFmtId="166" fontId="30" fillId="0" borderId="1" applyAlignment="1" pivotButton="0" quotePrefix="0" xfId="0">
      <alignment vertical="center"/>
    </xf>
    <xf numFmtId="166" fontId="31" fillId="4" borderId="1" applyAlignment="1" pivotButton="0" quotePrefix="0" xfId="4">
      <alignment horizontal="left" vertical="center" wrapText="1"/>
    </xf>
    <xf numFmtId="166" fontId="30" fillId="4" borderId="0" applyAlignment="1" pivotButton="0" quotePrefix="0" xfId="4">
      <alignment horizontal="left" vertical="center" wrapText="1"/>
    </xf>
    <xf numFmtId="166" fontId="30" fillId="4" borderId="6" applyAlignment="1" pivotButton="0" quotePrefix="0" xfId="4">
      <alignment horizontal="left" vertical="center" wrapText="1"/>
    </xf>
    <xf numFmtId="167" fontId="30" fillId="4" borderId="2" applyAlignment="1" pivotButton="0" quotePrefix="0" xfId="4">
      <alignment horizontal="left" vertical="center" wrapText="1"/>
    </xf>
    <xf numFmtId="167" fontId="30" fillId="4" borderId="6" applyAlignment="1" pivotButton="0" quotePrefix="0" xfId="4">
      <alignment horizontal="left" vertical="center" wrapText="1"/>
    </xf>
    <xf numFmtId="166" fontId="30" fillId="4" borderId="13" applyAlignment="1" pivotButton="0" quotePrefix="0" xfId="4">
      <alignment horizontal="left" vertical="center" wrapText="1"/>
    </xf>
    <xf numFmtId="166" fontId="30" fillId="4" borderId="15" applyAlignment="1" pivotButton="0" quotePrefix="0" xfId="4">
      <alignment horizontal="left" vertical="center" wrapText="1"/>
    </xf>
    <xf numFmtId="166" fontId="30" fillId="4" borderId="10" applyAlignment="1" pivotButton="0" quotePrefix="0" xfId="4">
      <alignment horizontal="left" vertical="center" wrapText="1"/>
    </xf>
    <xf numFmtId="166" fontId="30" fillId="4" borderId="3" applyAlignment="1" pivotButton="0" quotePrefix="0" xfId="4">
      <alignment horizontal="left" vertical="center" wrapText="1"/>
    </xf>
    <xf numFmtId="167" fontId="30" fillId="4" borderId="9" applyAlignment="1" pivotButton="0" quotePrefix="0" xfId="4">
      <alignment horizontal="left" vertical="center" wrapText="1"/>
    </xf>
    <xf numFmtId="166" fontId="30" fillId="4" borderId="14" applyAlignment="1" pivotButton="0" quotePrefix="0" xfId="4">
      <alignment horizontal="left" vertical="center" wrapText="1"/>
    </xf>
    <xf numFmtId="166" fontId="30" fillId="4" borderId="8" applyAlignment="1" pivotButton="0" quotePrefix="0" xfId="4">
      <alignment horizontal="left" vertical="center" wrapText="1"/>
    </xf>
    <xf numFmtId="166" fontId="30" fillId="4" borderId="20" applyAlignment="1" pivotButton="0" quotePrefix="0" xfId="4">
      <alignment horizontal="left" vertical="center" wrapText="1"/>
    </xf>
    <xf numFmtId="166" fontId="30" fillId="4" borderId="21" applyAlignment="1" pivotButton="0" quotePrefix="0" xfId="4">
      <alignment horizontal="left" vertical="center" wrapText="1"/>
    </xf>
    <xf numFmtId="166" fontId="30" fillId="4" borderId="11" applyAlignment="1" pivotButton="0" quotePrefix="0" xfId="4">
      <alignment horizontal="left" vertical="center" wrapText="1"/>
    </xf>
    <xf numFmtId="166" fontId="30" fillId="4" borderId="18" applyAlignment="1" pivotButton="0" quotePrefix="0" xfId="4">
      <alignment horizontal="left" vertical="center" wrapText="1"/>
    </xf>
    <xf numFmtId="167" fontId="30" fillId="4" borderId="1" applyAlignment="1" pivotButton="0" quotePrefix="0" xfId="0">
      <alignment horizontal="left" vertical="center" wrapText="1"/>
    </xf>
    <xf numFmtId="167" fontId="30" fillId="4" borderId="14" applyAlignment="1" pivotButton="0" quotePrefix="0" xfId="6">
      <alignment horizontal="left" vertical="center" wrapText="1"/>
    </xf>
    <xf numFmtId="167" fontId="30" fillId="4" borderId="14" applyAlignment="1" pivotButton="0" quotePrefix="0" xfId="4">
      <alignment horizontal="left" vertical="center" wrapText="1"/>
    </xf>
    <xf numFmtId="167" fontId="30" fillId="4" borderId="2" applyAlignment="1" pivotButton="0" quotePrefix="0" xfId="6">
      <alignment horizontal="left" vertical="center" wrapText="1"/>
    </xf>
    <xf numFmtId="167" fontId="30" fillId="4" borderId="6" applyAlignment="1" pivotButton="0" quotePrefix="0" xfId="6">
      <alignment horizontal="left" vertical="center" wrapText="1"/>
    </xf>
    <xf numFmtId="166" fontId="30" fillId="4" borderId="17" applyAlignment="1" pivotButton="0" quotePrefix="0" xfId="4">
      <alignment horizontal="left" vertical="center" wrapText="1"/>
    </xf>
    <xf numFmtId="166" fontId="27" fillId="0" borderId="0" applyAlignment="1" pivotButton="0" quotePrefix="0" xfId="4">
      <alignment horizontal="center"/>
    </xf>
    <xf numFmtId="166" fontId="40" fillId="0" borderId="0" applyAlignment="1" pivotButton="0" quotePrefix="0" xfId="4">
      <alignment horizontal="center"/>
    </xf>
    <xf numFmtId="166" fontId="30" fillId="0" borderId="0" applyAlignment="1" pivotButton="0" quotePrefix="0" xfId="4">
      <alignment vertical="center"/>
    </xf>
    <xf numFmtId="166" fontId="30" fillId="0" borderId="0" applyAlignment="1" pivotButton="0" quotePrefix="0" xfId="4">
      <alignment horizontal="left" vertical="center" wrapText="1"/>
    </xf>
    <xf numFmtId="166" fontId="18" fillId="0" borderId="0" applyAlignment="1" pivotButton="0" quotePrefix="0" xfId="4">
      <alignment horizontal="left" vertical="center" wrapText="1"/>
    </xf>
    <xf numFmtId="166" fontId="30" fillId="0" borderId="0" applyAlignment="1" pivotButton="0" quotePrefix="0" xfId="4">
      <alignment horizontal="left" vertical="center"/>
    </xf>
    <xf numFmtId="166" fontId="30" fillId="0" borderId="0" applyAlignment="1" pivotButton="0" quotePrefix="0" xfId="4">
      <alignment vertical="center" wrapText="1"/>
    </xf>
    <xf numFmtId="166" fontId="30" fillId="0" borderId="0" applyAlignment="1" pivotButton="0" quotePrefix="0" xfId="4">
      <alignment horizontal="center" vertical="center"/>
    </xf>
    <xf numFmtId="166" fontId="30" fillId="0" borderId="0" applyAlignment="1" pivotButton="0" quotePrefix="0" xfId="4">
      <alignment horizontal="right" vertical="center"/>
    </xf>
    <xf numFmtId="166" fontId="30" fillId="0" borderId="0" applyAlignment="1" pivotButton="0" quotePrefix="0" xfId="4">
      <alignment horizontal="center" vertical="center" wrapText="1"/>
    </xf>
    <xf numFmtId="166" fontId="30" fillId="0" borderId="1" applyAlignment="1" pivotButton="0" quotePrefix="0" xfId="4">
      <alignment vertical="center"/>
    </xf>
    <xf numFmtId="166" fontId="18" fillId="4" borderId="1" applyAlignment="1" pivotButton="0" quotePrefix="0" xfId="4">
      <alignment horizontal="left" vertical="center" wrapText="1"/>
    </xf>
    <xf numFmtId="166" fontId="18" fillId="4" borderId="1" applyAlignment="1" pivotButton="0" quotePrefix="0" xfId="4">
      <alignment vertical="center"/>
    </xf>
    <xf numFmtId="166" fontId="18" fillId="4" borderId="1" applyAlignment="1" pivotButton="0" quotePrefix="0" xfId="4">
      <alignment horizontal="center" vertical="center" wrapText="1"/>
    </xf>
    <xf numFmtId="166" fontId="18" fillId="4" borderId="1" applyAlignment="1" pivotButton="0" quotePrefix="0" xfId="4">
      <alignment horizontal="center" vertical="center"/>
    </xf>
    <xf numFmtId="166" fontId="18" fillId="4" borderId="1" applyAlignment="1" pivotButton="0" quotePrefix="0" xfId="4">
      <alignment horizontal="left" vertical="center"/>
    </xf>
    <xf numFmtId="167" fontId="18" fillId="4" borderId="1" applyAlignment="1" pivotButton="0" quotePrefix="0" xfId="4">
      <alignment horizontal="right" vertical="center" wrapText="1"/>
    </xf>
    <xf numFmtId="167" fontId="18" fillId="4" borderId="1" applyAlignment="1" pivotButton="0" quotePrefix="0" xfId="4">
      <alignment horizontal="center" vertical="center" wrapText="1"/>
    </xf>
    <xf numFmtId="167" fontId="18" fillId="4" borderId="1" applyAlignment="1" pivotButton="0" quotePrefix="0" xfId="4">
      <alignment vertical="center" wrapText="1"/>
    </xf>
    <xf numFmtId="166" fontId="18" fillId="4" borderId="1" applyAlignment="1" pivotButton="0" quotePrefix="0" xfId="4">
      <alignment vertical="center" wrapText="1"/>
    </xf>
    <xf numFmtId="166" fontId="18" fillId="4" borderId="1" applyAlignment="1" pivotButton="0" quotePrefix="0" xfId="4">
      <alignment horizontal="right" vertical="center"/>
    </xf>
    <xf numFmtId="166" fontId="10" fillId="6" borderId="9" applyAlignment="1" pivotButton="0" quotePrefix="0" xfId="4">
      <alignment horizontal="center" vertical="center" wrapText="1"/>
    </xf>
    <xf numFmtId="166" fontId="12" fillId="3" borderId="1" applyAlignment="1" pivotButton="0" quotePrefix="0" xfId="4">
      <alignment vertical="center" wrapText="1"/>
    </xf>
    <xf numFmtId="166" fontId="11" fillId="3" borderId="1" applyAlignment="1" pivotButton="0" quotePrefix="0" xfId="4">
      <alignment horizontal="center" vertical="center" wrapText="1"/>
    </xf>
    <xf numFmtId="166" fontId="8" fillId="3" borderId="1" applyAlignment="1" pivotButton="0" quotePrefix="0" xfId="4">
      <alignment horizontal="center" vertical="center" wrapText="1"/>
    </xf>
    <xf numFmtId="166" fontId="10" fillId="4" borderId="1" applyAlignment="1" pivotButton="0" quotePrefix="0" xfId="4">
      <alignment vertical="center"/>
    </xf>
    <xf numFmtId="166" fontId="39" fillId="0" borderId="0" applyAlignment="1" pivotButton="0" quotePrefix="0" xfId="4">
      <alignment horizontal="center" vertical="center"/>
    </xf>
    <xf numFmtId="166" fontId="45" fillId="0" borderId="0" applyAlignment="1" pivotButton="0" quotePrefix="0" xfId="4">
      <alignment horizontal="center" vertical="center"/>
    </xf>
    <xf numFmtId="166" fontId="34" fillId="6" borderId="1" applyAlignment="1" pivotButton="0" quotePrefix="0" xfId="4">
      <alignment horizontal="center" vertical="center" wrapText="1"/>
    </xf>
    <xf numFmtId="166" fontId="39" fillId="2" borderId="1" applyAlignment="1" pivotButton="0" quotePrefix="0" xfId="4">
      <alignment horizontal="center" vertical="center" wrapText="1"/>
    </xf>
    <xf numFmtId="166" fontId="35" fillId="3" borderId="1" applyAlignment="1" pivotButton="0" quotePrefix="0" xfId="4">
      <alignment horizontal="center" vertical="center" wrapText="1"/>
    </xf>
    <xf numFmtId="166" fontId="34" fillId="4" borderId="1" applyAlignment="1" pivotButton="0" quotePrefix="0" xfId="4">
      <alignment vertical="center"/>
    </xf>
    <xf numFmtId="166" fontId="33" fillId="0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right" vertical="center"/>
    </xf>
    <xf numFmtId="166" fontId="33" fillId="0" borderId="9" applyAlignment="1" pivotButton="0" quotePrefix="0" xfId="4">
      <alignment horizontal="center" vertical="center"/>
    </xf>
    <xf numFmtId="166" fontId="33" fillId="0" borderId="9" applyAlignment="1" pivotButton="0" quotePrefix="0" xfId="4">
      <alignment horizontal="right" vertical="center"/>
    </xf>
    <xf numFmtId="166" fontId="34" fillId="0" borderId="9" applyAlignment="1" pivotButton="0" quotePrefix="0" xfId="4">
      <alignment vertical="center"/>
    </xf>
    <xf numFmtId="166" fontId="37" fillId="4" borderId="1" applyAlignment="1" pivotButton="0" quotePrefix="0" xfId="4">
      <alignment horizontal="left" vertical="center" wrapText="1"/>
    </xf>
    <xf numFmtId="166" fontId="37" fillId="4" borderId="1" applyAlignment="1" pivotButton="0" quotePrefix="0" xfId="4">
      <alignment vertical="center"/>
    </xf>
    <xf numFmtId="165" fontId="13" fillId="0" borderId="22" applyAlignment="1" pivotButton="0" quotePrefix="0" xfId="1">
      <alignment horizontal="left" vertical="center"/>
    </xf>
    <xf numFmtId="165" fontId="26" fillId="0" borderId="0" applyAlignment="1" pivotButton="0" quotePrefix="0" xfId="1">
      <alignment horizontal="left" vertical="center"/>
    </xf>
    <xf numFmtId="165" fontId="26" fillId="0" borderId="0" applyAlignment="1" pivotButton="0" quotePrefix="0" xfId="1">
      <alignment horizontal="center" vertical="center"/>
    </xf>
    <xf numFmtId="165" fontId="13" fillId="0" borderId="1" applyAlignment="1" pivotButton="0" quotePrefix="0" xfId="1">
      <alignment horizontal="left" vertical="center"/>
    </xf>
  </cellXfs>
  <cellStyles count="11">
    <cellStyle name="Normal" xfId="0" builtinId="0"/>
    <cellStyle name="Comma" xfId="1" builtinId="3"/>
    <cellStyle name="Hyperlink" xfId="2" builtinId="8"/>
    <cellStyle name="Normal 3" xfId="3"/>
    <cellStyle name="Normal 2" xfId="4"/>
    <cellStyle name="Normal 139" xfId="5"/>
    <cellStyle name="Normal 5 5" xfId="6"/>
    <cellStyle name="Normal_K+ NS_4" xfId="7"/>
    <cellStyle name="Normal_Fox Yr 2" xfId="8"/>
    <cellStyle name="Normal_51 Features with optional title_2" xfId="9"/>
    <cellStyle name="Normal 4" xfId="10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NGUYỄN Thị Thùy Linh (Canal Plus)</author>
    <author>Tran Thi Phuong Linh</author>
    <author>Tran Nam</author>
    <author>Nguyen Thi Thuy Linh</author>
    <author>tc={E1E50BD5-DE6B-4166-99F8-A846477C6FAC}</author>
    <author>tc={66C52C94-AA8C-4147-94ED-89285B679099}</author>
    <author>tc={2C276946-9BDF-4E91-AE14-65BCCEAD9025}</author>
    <author>tc={A3BE5C38-2E18-4E79-8EF9-AC14888AAF4B}</author>
    <author>tc={290AF526-1814-4F5F-A42C-2DD49FF89B26}</author>
    <author>tc={C28B10FB-3218-4956-9C8F-FA2976DFC969}</author>
    <author>tc={3BAC4C20-2EF0-4A8B-B6EE-B9070B248100}</author>
    <author>tc={74485EFB-1307-4ABE-9D39-EE4DF0D17CB1}</author>
    <author>tc={2BBE5A8B-58DA-41CD-A594-8FD566C1C6BA}</author>
    <author>tc={C40A5A9D-325A-40C8-9189-C45AD987F1E5}</author>
    <author>tc={E1C9CDC7-ABDB-4DB0-83E6-934FE5D6E990}</author>
    <author>bnquynh</author>
    <author>tnam</author>
    <author>tc={D95D6430-70E8-48EA-8301-58D2CE6CDE46}</author>
    <author>tc={B45F6615-F076-4107-8EB7-0B132D0B9963}</author>
    <author>tc={EEF5A95F-DE18-4C16-9491-F412BF200E4D}</author>
    <author>tc={8033A9DF-D16A-4232-9559-C7EDF9DBB464}</author>
    <author>Admin</author>
    <author>tc={3B6EF28D-AB00-4153-9DBA-55AF329F6640}</author>
    <author>tc={6881A7D1-3015-4E77-847C-DD6B52191B50}</author>
    <author>tc={C7209036-9F3F-4485-A5EB-5E3E717A4BE6}</author>
    <author>tc={6A965B1C-F0E3-409F-9B24-BA89C7FDD8D7}</author>
    <author>Vu Thuy Trang</author>
    <author>nttlinh</author>
    <author>tc={FB7E1E64-470F-439D-A759-C6B769398450}</author>
    <author>tc={D891B22C-A363-4769-9417-9466A02A3C55}</author>
    <author>tc={D479C6FC-3952-4056-AA51-7DA9BC1C3B9C}</author>
    <author>tc={A1D6193A-5FDB-467A-B223-BCD729ED2B1D}</author>
    <author>dthung</author>
    <author>Tran Thi Minh Thuy</author>
  </authors>
  <commentList>
    <comment ref="AB7" authorId="0" shapeId="0">
      <text>
        <t xml:space="preserve">Each new run shall include unlimited rerun within a consecutive 48 hours.
</t>
      </text>
    </comment>
    <comment ref="AB8" authorId="1" shapeId="0">
      <text>
        <t xml:space="preserve">24 first runs during the License Term for each Licensed Program, without any limitations of re-runs during 48 hours
</t>
      </text>
    </comment>
    <comment ref="AB9" authorId="1" shapeId="0">
      <text>
        <t xml:space="preserve">24 first runs during the License Term for each Licensed Program, without any limitations of re-runs during 48 hours
</t>
      </text>
    </comment>
    <comment ref="AB10" authorId="1" shapeId="0">
      <text>
        <t xml:space="preserve">24 first runs during the License Term for each Licensed Program, without any limitations of re-runs during 48 hours
</t>
      </text>
    </comment>
    <comment ref="AB11" authorId="1" shapeId="0">
      <text>
        <t xml:space="preserve">24 first runs during the License Term for each Licensed Program, without any limitations of re-runs during 48 hours
</t>
      </text>
    </comment>
    <comment ref="B12" authorId="2" shapeId="0">
      <text>
        <t>Tran Nam:
T16 chủ đề nội dung</t>
      </text>
    </comment>
    <comment ref="AB12" authorId="0" shapeId="0">
      <text>
        <t>an aggregate maximum of seven (7) Exhibition Days for TV rights/Unlimited run for SVOD right during LP</t>
      </text>
    </comment>
    <comment ref="AB13" authorId="1" shapeId="0">
      <text>
        <t xml:space="preserve">24 first runs during the License Term for each Licensed Program, without any limitations of re-runs during 48 hours
</t>
      </text>
    </comment>
    <comment ref="AB14" authorId="1" shapeId="0">
      <text>
        <t xml:space="preserve">24 first runs during the License Term for each Licensed Program, without any limitations of re-runs during 48 hours
</t>
      </text>
    </comment>
    <comment ref="AB16" authorId="1" shapeId="0">
      <text>
        <t xml:space="preserve">24 first runs during the License Term for each Licensed Program, without any limitations of re-runs during 48 hours
</t>
      </text>
    </comment>
    <comment ref="AB18" authorId="3" shapeId="0">
      <text>
        <t xml:space="preserve">A maximum of 6 runs within 1 Exhibition Week.
</t>
      </text>
    </comment>
    <comment ref="AB19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B22" authorId="2" shapeId="0">
      <text>
        <t>Tran Nam:
16 CĐ ND</t>
      </text>
    </comment>
    <comment ref="AB2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2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27" authorId="1" shapeId="0">
      <text>
        <t xml:space="preserve">24 first runs during the License Term for each Licensed Program, without any limitations of re-runs during 48 hours
</t>
      </text>
    </comment>
    <comment ref="AB30" authorId="3" shapeId="0">
      <text>
        <t xml:space="preserve">an aggregate maximum of seven (7) Exhibition Days for TV rights/Unlimited run for SVOD right during LP
</t>
      </text>
    </comment>
    <comment ref="AB31" authorId="1" shapeId="0">
      <text>
        <t xml:space="preserve">24 first runs during the License Term for each Licensed Program, without any limitations of re-runs during 48 hours
</t>
      </text>
    </comment>
    <comment ref="AB32" authorId="3" shapeId="0">
      <text>
        <t xml:space="preserve">A maximum of 6 runs within 1 Exhibition Week.
</t>
      </text>
    </comment>
    <comment ref="AB33" authorId="3" shapeId="0">
      <text>
        <t>Each new run shall include unlimited rerun within a consecutive 48 hours</t>
      </text>
    </comment>
    <comment ref="AB34" authorId="3" shapeId="0">
      <text>
        <t xml:space="preserve">A maximum of 6 runs within 1 Exhibition Week.
</t>
      </text>
    </comment>
    <comment ref="AB35" authorId="3" shapeId="0">
      <text>
        <t xml:space="preserve">A maximum of 6 runs within 1 Exhibition Week.
</t>
      </text>
    </comment>
    <comment ref="AB39" authorId="1" shapeId="0">
      <text>
        <t xml:space="preserve">Tran Thi Phuong Linh:
24 first runs during the License Term for each Licensed Program, without any limitations of re-runs during 48 hours
</t>
      </text>
    </comment>
    <comment ref="AB40" authorId="1" shapeId="0">
      <text>
        <t xml:space="preserve">24 first runs during the License Term for each Licensed Program, without any limitations of re-runs during 48 hours
</t>
      </text>
    </comment>
    <comment ref="AB4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43" authorId="0" shapeId="0">
      <text>
        <t>an aggregate maximum of seven (7) Exhibition Days for TV rights/Unlimited run for SVOD right during LP</t>
      </text>
    </comment>
    <comment ref="AB44" authorId="3" shapeId="0">
      <text>
        <t xml:space="preserve">A maximum of 6 runs within 1 Exhibition Week.
</t>
      </text>
    </comment>
    <comment ref="AB45" authorId="1" shapeId="0">
      <text>
        <t xml:space="preserve">24 first runs during the License Term for each Licensed Program, without any limitations of re-runs during 48 hours
</t>
      </text>
    </comment>
    <comment ref="AB47" authorId="1" shapeId="0">
      <text>
        <t xml:space="preserve">24 first runs during the License Term for each Licensed Program, without any limitations of re-runs during 48 hours
</t>
      </text>
    </comment>
    <comment ref="AB49" authorId="3" shapeId="0">
      <text>
        <t>Each new run shall include unlimited rerun within a consecutive 48 hours</t>
      </text>
    </comment>
    <comment ref="AB50" authorId="3" shapeId="0">
      <text>
        <t xml:space="preserve">an aggregate maximum of seven (7) Exhibition Days for TV rights/Unlimited run for SVOD right during LP
</t>
      </text>
    </comment>
    <comment ref="AB51" authorId="3" shapeId="0">
      <text>
        <t>Each new run shall include unlimited rerun within a consecutive 48 hours</t>
      </text>
    </comment>
    <comment ref="AB5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56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58" authorId="0" shapeId="0">
      <text>
        <t xml:space="preserve">24 multi-runs during the License Term for each Licensed Program, without any limitations of re-runs within 48 hours.
</t>
      </text>
    </comment>
    <comment ref="B59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Phân loại G-All ages trên Mydramalist</t>
      </text>
    </comment>
    <comment ref="AB59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60" authorId="0" shapeId="0">
      <text>
        <t>24 multi-runs during the License Term for each Licensed Program, without any limitations of re-runs within 48 hours.</t>
      </text>
    </comment>
    <comment ref="AB61" authorId="3" shapeId="0">
      <text>
        <t xml:space="preserve">A maximum of 6 runs within 1 Exhibition Week.
</t>
      </text>
    </comment>
    <comment ref="AB63" authorId="3" shapeId="0">
      <text>
        <t>Each new run shall include unlimited rerun within a consecutive 48 hours</t>
      </text>
    </comment>
    <comment ref="AB65" authorId="0" shapeId="0">
      <text>
        <t xml:space="preserve">24 multi-runs during the License Term for each Licensed Program, without any limitations of re-runs within 48 hours.
</t>
      </text>
    </comment>
    <comment ref="AB66" authorId="0" shapeId="0">
      <text>
        <t>an aggregate maximum of seven (7) Exhibition Days for TV rights/Unlimited run for SVOD right during LP</t>
      </text>
    </comment>
    <comment ref="AB67" authorId="3" shapeId="0">
      <text>
        <t>Each new run shall include unlimited rerun within a consecutive 48 hours</t>
      </text>
    </comment>
    <comment ref="AB68" authorId="0" shapeId="0">
      <text>
        <t>24 multi-runs during the License Term for each Licensed Program, without any limitations of re-runs within 48 hours.</t>
      </text>
    </comment>
    <comment ref="AB69" authorId="3" shapeId="0">
      <text>
        <t xml:space="preserve">A maximum of 6 runs within 1 Exhibition Week.
</t>
      </text>
    </comment>
    <comment ref="AB70" authorId="0" shapeId="0">
      <text>
        <t>an aggregate maximum of seven (7) Exhibition Days for TV rights/Unlimited run for SVOD right during LP</t>
      </text>
    </comment>
    <comment ref="AB73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74" authorId="3" shapeId="0">
      <text>
        <t xml:space="preserve">an aggregate maximum of seven (7) Exhibition Days for TV rights/Unlimited run for SVOD right during LP
</t>
      </text>
    </comment>
    <comment ref="AB75" authorId="3" shapeId="0">
      <text>
        <t xml:space="preserve">A maximum of 6 runs within 1 Exhibition Week.
</t>
      </text>
    </comment>
    <comment ref="AB77" authorId="0" shapeId="0">
      <text>
        <t xml:space="preserve">Each new run shall include unlimited rerun within a consecutive 48 hours.
</t>
      </text>
    </comment>
    <comment ref="AB78" authorId="1" shapeId="0">
      <text>
        <t xml:space="preserve">24 first runs during the License Term for each Licensed Program, without any limitations of re-runs during 48 hours
</t>
      </text>
    </comment>
    <comment ref="AB79" authorId="0" shapeId="0">
      <text>
        <t>24 multi-runs during the License Term for each Licensed Program, without any limitations of re-runs within 48 hours.</t>
      </text>
    </comment>
    <comment ref="AB81" authorId="3" shapeId="0">
      <text>
        <t xml:space="preserve">an aggregate maximum of seven (7) Exhibition Days for TV rights/Unlimited run for SVOD right during LP
</t>
      </text>
    </comment>
    <comment ref="AB82" authorId="3" shapeId="0">
      <text>
        <t xml:space="preserve">an aggregate maximum of seven (7) Exhibition Days for TV rights/Unlimited run for SVOD right during LP
</t>
      </text>
    </comment>
    <comment ref="AB84" authorId="1" shapeId="0">
      <text>
        <t xml:space="preserve">Tran Thi Phuong Linh:
24 first runs during the License Term for each Licensed Program, without any limitations of re-runs during 48 hours
</t>
      </text>
    </comment>
    <comment ref="AB86" authorId="0" shapeId="0">
      <text>
        <t xml:space="preserve">Exhibition week: A maximum of 6 runs within 1 Exhibition Week.
</t>
      </text>
    </comment>
    <comment ref="AB87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89" authorId="0" shapeId="0">
      <text>
        <t xml:space="preserve">24 multi-runs during the License Term for each Licensed Program, without any limitations of re-runs within 48 hours.
</t>
      </text>
    </comment>
    <comment ref="N91" authorId="2" shapeId="0">
      <text>
        <t>Tran Nam:
phim này đã renew</t>
      </text>
    </comment>
    <comment ref="AB9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93" authorId="3" shapeId="0">
      <text>
        <t>Each new run shall include unlimited rerun within a consecutive 48 hours</t>
      </text>
    </comment>
    <comment ref="AB94" authorId="3" shapeId="0">
      <text>
        <t xml:space="preserve">A maximum of 6 runs within 1 Exhibition Week.
</t>
      </text>
    </comment>
    <comment ref="AB95" authorId="0" shapeId="0">
      <text>
        <t xml:space="preserve">Exhibition week: A maximum of 6 runs within 1 Exhibition Week.
</t>
      </text>
    </comment>
    <comment ref="AB97" authorId="3" shapeId="0">
      <text>
        <t xml:space="preserve">A maximum of 6 runs within 1 Exhibition Week.
</t>
      </text>
    </comment>
    <comment ref="AB98" authorId="0" shapeId="0">
      <text>
        <t xml:space="preserve">Each new run shall include unlimited rerun within a consecutive 48 hours.
</t>
      </text>
    </comment>
    <comment ref="AB99" authorId="15" shapeId="0">
      <text>
        <t>bnquynh:
6 lần ps 1 năm trong đó mỗi lần ps bao gồm 1 lần phát đầu tiên và 5 lần phát lại trong vòng 1 tuần</t>
      </text>
    </comment>
    <comment ref="AC99" authorId="16" shapeId="0">
      <text>
        <t>tnam:
tính vòng mới 05/06/18</t>
      </text>
    </comment>
    <comment ref="AB100" authorId="1" shapeId="0">
      <text>
        <t xml:space="preserve">24 first runs during the License Term for each Licensed Program, without any limitations of re-runs during 48 hours
</t>
      </text>
    </comment>
    <comment ref="AB101" authorId="1" shapeId="0">
      <text>
        <t xml:space="preserve">24 first runs during the License Term for each Licensed Program, without any limitations of re-runs during 48 hours
</t>
      </text>
    </comment>
    <comment ref="AB102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103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104" authorId="0" shapeId="0">
      <text>
        <t xml:space="preserve">Each new run shall include unlimited rerun within a consecutive 48 hours.
</t>
      </text>
    </comment>
    <comment ref="AB105" authorId="0" shapeId="0">
      <text>
        <t xml:space="preserve">Exhibition week: A maximum of 6 runs within 1 Exhibition Week.
</t>
      </text>
    </comment>
    <comment ref="AB106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107" authorId="3" shapeId="0">
      <text>
        <t xml:space="preserve">A maximum of 6 runs within 1 Exhibition Week.
</t>
      </text>
    </comment>
    <comment ref="AB108" authorId="3" shapeId="0">
      <text>
        <t>Each new run shall include unlimited rerun within a consecutive 48 hours</t>
      </text>
    </comment>
    <comment ref="AB109" authorId="0" shapeId="0">
      <text>
        <t xml:space="preserve">24 multi-runs during the License Term for each Licensed Program, without any limitations of re-runs within 48 hours.
</t>
      </text>
    </comment>
    <comment ref="AB111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112" authorId="1" shapeId="0">
      <text>
        <t xml:space="preserve">24 first runs during the License Term for each Licensed Program, without any limitations of re-runs during 48 hours
</t>
      </text>
    </comment>
    <comment ref="AB114" authorId="0" shapeId="0">
      <text>
        <t xml:space="preserve">Each new run shall include unlimited rerun within a consecutive 48 hours.
</t>
      </text>
    </comment>
    <comment ref="AB116" authorId="3" shapeId="0">
      <text>
        <t xml:space="preserve">A maximum of 6 runs within 1 Exhibition Week.
</t>
      </text>
    </comment>
    <comment ref="AB117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118" authorId="3" shapeId="0">
      <text>
        <t xml:space="preserve">an aggregate maximum of seven (7) Exhibition Days for TV rights/Unlimited run for SVOD right during LP
</t>
      </text>
    </comment>
    <comment ref="AB120" authorId="0" shapeId="0">
      <text>
        <t xml:space="preserve">24 multi-runs during the License Term for each Licensed Program, without any limitations of re-runs within 48 hours.
</t>
      </text>
    </comment>
    <comment ref="AB121" authorId="0" shapeId="0">
      <text>
        <t xml:space="preserve">24 multi-runs during the License Term for each Licensed Program, without any limitations of re-runs within 48 hours.
</t>
      </text>
    </comment>
    <comment ref="D122" authorId="21" shapeId="0">
      <text>
        <t>Nam:
THE SEASON OF LOVE SONG</t>
      </text>
    </comment>
    <comment ref="N122" authorId="2" shapeId="0">
      <text>
        <t>Tran Nam:
phim này đã renew</t>
      </text>
    </comment>
    <comment ref="AB123" authorId="0" shapeId="0">
      <text>
        <t xml:space="preserve">24 multi-runs during the License Term for each Licensed Program, without any limitations of re-runs within 48 hours.
</t>
      </text>
    </comment>
    <comment ref="AB124" authorId="0" shapeId="0">
      <text>
        <t>an aggregate maximum of seven (7) Exhibition Days for TV rights/Unlimited run for SVOD right during LP</t>
      </text>
    </comment>
    <comment ref="AB126" authorId="3" shapeId="0">
      <text>
        <t>Each new run shall include unlimited rerun within a consecutive 48 hours</t>
      </text>
    </comment>
    <comment ref="AB129" authorId="0" shapeId="0">
      <text>
        <t xml:space="preserve">Each new run shall include unlimited rerun within a consecutive 48 hours.
</t>
      </text>
    </comment>
    <comment ref="AB131" authorId="3" shapeId="0">
      <text>
        <t>Each new run shall include unlimited rerun within a consecutive 48 hours</t>
      </text>
    </comment>
    <comment ref="AB132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136" authorId="3" shapeId="0">
      <text>
        <t xml:space="preserve">an aggregate maximum of seven (7) Exhibition Days for TV rights/Unlimited run for SVOD right during LP
</t>
      </text>
    </comment>
    <comment ref="B137" authorId="2" shapeId="0">
      <text>
        <t>Tran Nam:
K chủ đề nội dung</t>
      </text>
    </comment>
    <comment ref="AB137" authorId="0" shapeId="0">
      <text>
        <t>an aggregate maximum of seven (7) Exhibition Days for TV rights/Unlimited run for SVOD right during LP</t>
      </text>
    </comment>
    <comment ref="AB138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</text>
    </comment>
    <comment ref="AB139" authorId="0" shapeId="0">
      <text>
        <t xml:space="preserve">24 multi-runs during the License Term for each Licensed Program, without any limitations of re-runs within 48 hours.
</t>
      </text>
    </comment>
    <comment ref="AB140" authorId="0" shapeId="0">
      <text>
        <t xml:space="preserve">Each new run shall include unlimited rerun within a consecutive 48 hours.
</t>
      </text>
    </comment>
    <comment ref="AB141" authorId="0" shapeId="0">
      <text>
        <t xml:space="preserve">24 multi-runs during the License Term for each Licensed Program, without any limitations of re-runs within 48 hours.
</t>
      </text>
    </comment>
    <comment ref="AB143" authorId="1" shapeId="0">
      <text>
        <t xml:space="preserve">24 first runs during the License Term for each Licensed Program, without any limitations of re-runs during 48 hours
</t>
      </text>
    </comment>
    <comment ref="AB144" authorId="3" shapeId="0">
      <text>
        <t xml:space="preserve">an aggregate maximum of seven (7) Exhibition Days for TV rights/Unlimited run for SVOD right during LP
</t>
      </text>
    </comment>
    <comment ref="AB147" authorId="0" shapeId="0">
      <text>
        <t xml:space="preserve">Exhibition week: A maximum of 6 runs within 1 Exhibition Week.
</t>
      </text>
    </comment>
    <comment ref="AB148" authorId="1" shapeId="0">
      <text>
        <t xml:space="preserve">24 first runs during the License Term for each Licensed Program, without any limitations of re-runs during 48 hours
</t>
      </text>
    </comment>
    <comment ref="AB150" authorId="3" shapeId="0">
      <text>
        <t>Each new run shall include unlimited rerun within a consecutive 48 hours</t>
      </text>
    </comment>
    <comment ref="AB151" authorId="0" shapeId="0">
      <text>
        <t xml:space="preserve">Exhibition week: A maximum of 6 runs within 1 Exhibition Week.
</t>
      </text>
    </comment>
    <comment ref="AB155" authorId="3" shapeId="0">
      <text>
        <t>Each new run shall include unlimited rerun within a consecutive 48 hours</t>
      </text>
    </comment>
    <comment ref="AB156" authorId="0" shapeId="0">
      <text>
        <t xml:space="preserve">Exhibition week: A maximum of 6 runs within 1 Exhibition Week.
</t>
      </text>
    </comment>
    <comment ref="AB157" authorId="3" shapeId="0">
      <text>
        <t xml:space="preserve">A maximum of 6 runs within 1 Exhibition Week.
</t>
      </text>
    </comment>
    <comment ref="B158" authorId="2" shapeId="0">
      <text>
        <t>Tran Nam:
T16 chủ đề nội dung</t>
      </text>
    </comment>
    <comment ref="AB158" authorId="0" shapeId="0">
      <text>
        <t>an aggregate maximum of seven (7) Exhibition Days for TV rights/Unlimited run for SVOD right during LP</t>
      </text>
    </comment>
    <comment ref="AB159" authorId="0" shapeId="0">
      <text>
        <t xml:space="preserve">Each new run shall include unlimited rerun within a consecutive 48 hours.
</t>
      </text>
    </comment>
    <comment ref="AB160" authorId="3" shapeId="0">
      <text>
        <t>Each new run shall include unlimited rerun within a consecutive 48 hours</t>
      </text>
    </comment>
    <comment ref="AB161" authorId="3" shapeId="0">
      <text>
        <t xml:space="preserve">A maximum of 6 runs within 1 Exhibition Week.
</t>
      </text>
    </comment>
    <comment ref="AB163" authorId="0" shapeId="0">
      <text>
        <t>24 multi-runs during the License Term for each Licensed Program, without any limitations of re-runs within 48 hours.</t>
      </text>
    </comment>
    <comment ref="AB16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166" authorId="3" shapeId="0">
      <text>
        <t xml:space="preserve">A maximum of 6 runs within 1 Exhibition Week.
</t>
      </text>
    </comment>
    <comment ref="AB167" authorId="0" shapeId="0">
      <text>
        <t>an aggregate maximum of seven (7) Exhibition Days for TV rights/Unlimited run for SVOD right during LP</t>
      </text>
    </comment>
    <comment ref="AB170" authorId="0" shapeId="0">
      <text>
        <t xml:space="preserve">24 multi-runs during the License Term for each Licensed Program, without any limitations of re-runs within 48 hours.
</t>
      </text>
    </comment>
    <comment ref="AB172" authorId="3" shapeId="0">
      <text>
        <t xml:space="preserve">A maximum of 6 runs within 1 Exhibition Week.
</t>
      </text>
    </comment>
    <comment ref="AB173" authorId="3" shapeId="0">
      <text>
        <t>Each new run shall include unlimited rerun within a consecutive 48 hours</t>
      </text>
    </comment>
    <comment ref="AB175" authorId="0" shapeId="0">
      <text>
        <t xml:space="preserve">24 multi-runs during the License Term for each Licensed Program, without any limitations of re-runs within 48 hours.
</t>
      </text>
    </comment>
    <comment ref="P176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AB178" authorId="0" shapeId="0">
      <text>
        <t xml:space="preserve">24 multi-runs during the License Term for each Licensed Program, without any limitations of re-runs within 48 hours.
</t>
      </text>
    </comment>
    <comment ref="AB179" authorId="0" shapeId="0">
      <text>
        <t>an aggregate maximum of six (6) Exhibition Days for TV rights/Unlimited run for SVOD right during LP</t>
      </text>
    </comment>
    <comment ref="AB180" authorId="0" shapeId="0">
      <text>
        <t xml:space="preserve">Each new run shall include unlimited rerun within a consecutive 48 hours.
</t>
      </text>
    </comment>
    <comment ref="AB182" authorId="3" shapeId="0">
      <text>
        <t xml:space="preserve">an aggregate maximum of seven (7) Exhibition Days for TV rights/Unlimited run for SVOD right during LP
</t>
      </text>
    </comment>
    <comment ref="AB184" authorId="3" shapeId="0">
      <text>
        <t xml:space="preserve">A maximum of 6 runs within 1 Exhibition Week.
</t>
      </text>
    </comment>
    <comment ref="AB186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188" authorId="0" shapeId="0">
      <text>
        <t xml:space="preserve">Each new run shall include unlimited rerun within a consecutive 48 hours.
</t>
      </text>
    </comment>
    <comment ref="AB189" authorId="0" shapeId="0">
      <text>
        <t xml:space="preserve">Each new run shall include unlimited rerun within a consecutive 48 hours.
</t>
      </text>
    </comment>
    <comment ref="AB190" authorId="0" shapeId="0">
      <text>
        <t xml:space="preserve">24 multi-runs during the License Term for each Licensed Program, without any limitations of re-runs within 48 hours.
</t>
      </text>
    </comment>
    <comment ref="AB191" authorId="1" shapeId="0">
      <text>
        <t xml:space="preserve">24 first runs during the License Term for each Licensed Program, without any limitations of re-runs during 48 hours
</t>
      </text>
    </comment>
    <comment ref="E192" authorId="26" shapeId="0">
      <text>
        <t>Vu Thuy Trang:
Phim hợp tác đầu tư</t>
      </text>
    </comment>
    <comment ref="AB192" authorId="27" shapeId="0">
      <text>
        <t>nttlinh:
30/năm</t>
      </text>
    </comment>
    <comment ref="AB193" authorId="0" shapeId="0">
      <text>
        <t xml:space="preserve">24 multi-runs during the License Term for each Licensed Program, without any limitations of re-runs within 48 hours.
</t>
      </text>
    </comment>
    <comment ref="P194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B195" authorId="2" shapeId="0">
      <text>
        <t>Tran Nam:
T13 chủ đề nội dung</t>
      </text>
    </comment>
    <comment ref="AB195" authorId="0" shapeId="0">
      <text>
        <t>an aggregate maximum of seven (7) Exhibition Days for TV rights/Unlimited run for SVOD right during LP</t>
      </text>
    </comment>
    <comment ref="AB196" authorId="0" shapeId="0">
      <text>
        <t>an aggregate maximum of seven (7) Exhibition Days for TV rights/Unlimited run for SVOD right during LP</t>
      </text>
    </comment>
    <comment ref="AB197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</text>
    </comment>
    <comment ref="AB198" authorId="3" shapeId="0">
      <text>
        <t xml:space="preserve">A maximum of 6 runs within 1 Exhibition Week.
</t>
      </text>
    </comment>
    <comment ref="AB199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30 runs/year</t>
      </text>
    </comment>
    <comment ref="B200" authorId="2" shapeId="0">
      <text>
        <t>Tran Nam:
Yolo: T16, Chủ đề, nội dung</t>
      </text>
    </comment>
    <comment ref="AB200" authorId="0" shapeId="0">
      <text>
        <t>an aggregate maximum of six (6) Exhibition Days for TV rights/Unlimited run for SVOD right during LP</t>
      </text>
    </comment>
    <comment ref="AB201" authorId="3" shapeId="0">
      <text>
        <t>Each new run shall include unlimited rerun within a consecutive 48 hours</t>
      </text>
    </comment>
    <comment ref="AB202" authorId="3" shapeId="0">
      <text>
        <t xml:space="preserve">an aggregate maximum of seven (7) Exhibition Days for TV rights/Unlimited run for SVOD right during LP
</t>
      </text>
    </comment>
    <comment ref="AB203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205" authorId="0" shapeId="0">
      <text>
        <t xml:space="preserve">24 multi-runs during the License Term for each Licensed Program, without any limitations of re-runs within 48 hours.
</t>
      </text>
    </comment>
    <comment ref="AB206" authorId="0" shapeId="0">
      <text>
        <t xml:space="preserve">Each new run shall include unlimited rerun within a consecutive 48 hours.
</t>
      </text>
    </comment>
    <comment ref="N208" authorId="2" shapeId="0">
      <text>
        <t>Tran Nam:
phim này đã renew</t>
      </text>
    </comment>
    <comment ref="AB209" authorId="3" shapeId="0">
      <text>
        <t>Each new run shall include unlimited rerun within a consecutive 48 hours</t>
      </text>
    </comment>
    <comment ref="AB210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</text>
    </comment>
    <comment ref="AB213" authorId="1" shapeId="0">
      <text>
        <t xml:space="preserve">Tran Thi Phuong Linh:
24 first runs during the License Term for each Licensed Program, without any limitations of re-runs during 48 hours
</t>
      </text>
    </comment>
    <comment ref="AB215" authorId="15" shapeId="0">
      <text>
        <t>bnquynh:
6 lần ps 1 năm trong đó mỗi lần ps bao gồm 1 lần phát đầu tiên và 5 lần phát lại trong vòng 1 tuần</t>
      </text>
    </comment>
    <comment ref="AC215" authorId="32" shapeId="0">
      <text>
        <t>dthung:
không tính 1 lần phát vào 14,15,16,17,20/10
Nam: tính vòng mới 18/05/18</t>
      </text>
    </comment>
    <comment ref="N216" authorId="2" shapeId="0">
      <text>
        <t>Tran Nam:
phim này đã renew</t>
      </text>
    </comment>
    <comment ref="AB217" authorId="3" shapeId="0">
      <text>
        <t xml:space="preserve">an aggregate maximum of seven (7) Exhibition Days for TV rights/Unlimited run for SVOD right during LP
</t>
      </text>
    </comment>
    <comment ref="AB218" authorId="0" shapeId="0">
      <text>
        <t>an aggregate maximum of seven (7) Exhibition Days for TV rights/Unlimited run for SVOD right during LP</t>
      </text>
    </comment>
    <comment ref="D219" authorId="33" shapeId="0">
      <text>
        <t>Tran Thi Minh Thuy:
Phân bổ tới T9/25</t>
      </text>
    </comment>
    <comment ref="AB220" authorId="3" shapeId="0">
      <text>
        <t xml:space="preserve">A maximum of 6 runs within 1 Exhibition Week.
</t>
      </text>
    </comment>
    <comment ref="AB221" authorId="3" shapeId="0">
      <text>
        <t>Each new run shall include unlimited rerun within a consecutive 48 hours</t>
      </text>
    </comment>
    <comment ref="AB222" authorId="0" shapeId="0">
      <text>
        <t>24 multi-runs during the License Term for each Licensed Program, without any limitations of re-runs within 48 hours.</t>
      </text>
    </comment>
    <comment ref="AB223" authorId="3" shapeId="0">
      <text>
        <t xml:space="preserve">an aggregate maximum of seven (7) Exhibition Days for TV rights/Unlimited run for SVOD right during LP
</t>
      </text>
    </comment>
    <comment ref="AB224" authorId="15" shapeId="0">
      <text>
        <t>bnquynh:
6 lần ps 1 năm trong đó mỗi lần ps bao gồm 1 lần phát đầu tiên và 5 lần phát lại trong vòng 1 tuần</t>
      </text>
    </comment>
    <comment ref="AC224" authorId="16" shapeId="0">
      <text>
        <t>tnam:
đếm vòng mới từ 27/5/17
27/05/18
27/05/19</t>
      </text>
    </comment>
    <comment ref="AB225" authorId="3" shapeId="0">
      <text>
        <t xml:space="preserve">an aggregate maximum of seven (7) Exhibition Days for TV rights/Unlimited run for SVOD right during LP
</t>
      </text>
    </comment>
    <comment ref="AB226" authorId="3" shapeId="0">
      <text>
        <t xml:space="preserve">A maximum of 6 runs within 1 Exhibition Week.
</t>
      </text>
    </comment>
    <comment ref="AB227" authorId="1" shapeId="0">
      <text>
        <t xml:space="preserve">24 first runs during the License Term for each Licensed Program, without any limitations of re-runs during 48 hours
</t>
      </text>
    </comment>
    <comment ref="AB229" authorId="0" shapeId="0">
      <text>
        <t>an aggregate maximum of seven (7) Exhibition Days for TV rights/Unlimited run for SVOD right during LP</t>
      </text>
    </comment>
    <comment ref="P233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AB234" authorId="0" shapeId="0">
      <text>
        <t xml:space="preserve">Exhibition week: A maximum of 6 runs within 1 Exhibition Week.
</t>
      </text>
    </comment>
    <comment ref="AB235" authorId="0" shapeId="0">
      <text>
        <t xml:space="preserve">24 multi-runs during the License Term for each Licensed Program, without any limitations of re-runs within 48 hours.
</t>
      </text>
    </comment>
    <comment ref="AB237" authorId="0" shapeId="0">
      <text>
        <t xml:space="preserve">Each new run shall include unlimited rerun within a consecutive 48 hours.
</t>
      </text>
    </comment>
    <comment ref="AB239" authorId="15" shapeId="0">
      <text>
        <t>bnquynh:
Sáu (06) lần phát sóng (multi-run) một năm, trong đó mỗi lần phát sóng bao gồm một (01) lần phát đầu tiên và năm (05) lần phát lại trong vòng một (01) tuần</t>
      </text>
    </comment>
    <comment ref="AB240" authorId="0" shapeId="0">
      <text>
        <t>24 multi-runs during the License Term for each Licensed Program, without any limitations of re-runs within 48 hours.</t>
      </text>
    </comment>
    <comment ref="AB241" authorId="3" shapeId="0">
      <text>
        <t>Each new run shall include unlimited rerun within a consecutive 48 hours</t>
      </text>
    </comment>
    <comment ref="AB242" authorId="0" shapeId="0">
      <text>
        <t>24 multi-runs during the License Term for each Licensed Program, without any limitations of re-runs within 48 hours.</t>
      </text>
    </comment>
    <comment ref="AB243" authorId="3" shapeId="0">
      <text>
        <t xml:space="preserve">A maximum of 6 runs within 1 Exhibition Week.
</t>
      </text>
    </comment>
    <comment ref="AB244" authorId="3" shapeId="0">
      <text>
        <t xml:space="preserve">A maximum of 6 runs within 1 Exhibition Week.
</t>
      </text>
    </comment>
    <comment ref="AB246" authorId="0" shapeId="0">
      <text>
        <t xml:space="preserve">Each new run shall include unlimited rerun within a consecutive 48 hours.
</t>
      </text>
    </comment>
    <comment ref="AB247" authorId="15" shapeId="0">
      <text>
        <t>bnquynh:
Sáu (06) lần phát sóng (multi-run) một năm, trong đó mỗi lần phát sóng bao gồm một (01) lần phát đầu tiên và năm (05) lần phát lại trong vòng một (01) tuần</t>
      </text>
    </comment>
    <comment ref="AB249" authorId="1" shapeId="0">
      <text>
        <t xml:space="preserve">24 first runs during the License Term for each Licensed Program, without any limitations of re-runs during 48 hours
</t>
      </text>
    </comment>
    <comment ref="AB250" authorId="0" shapeId="0">
      <text>
        <t>an aggregate maximum of seven (7) Exhibition Days for TV rights/Unlimited run for SVOD right during LP</t>
      </text>
    </comment>
    <comment ref="P251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AB253" authorId="3" shapeId="0">
      <text>
        <t xml:space="preserve">A maximum of 6 runs within 1 Exhibition Week.
</t>
      </text>
    </comment>
    <comment ref="AB255" authorId="0" shapeId="0">
      <text>
        <t xml:space="preserve">Each new run shall include unlimited rerun within a consecutive 48 hours.
</t>
      </text>
    </comment>
    <comment ref="AB257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D262" authorId="33" shapeId="0">
      <text>
        <t>Tran Thi Minh Thuy:
Phân bổ tới T9/25</t>
      </text>
    </comment>
    <comment ref="AB264" authorId="1" shapeId="0">
      <text>
        <t xml:space="preserve">Tran Thi Phuong Linh:
24 first runs during the License Term for each Licensed Program, without any limitations of re-runs during 48 hours
</t>
      </text>
    </comment>
    <comment ref="N266" authorId="2" shapeId="0">
      <text>
        <t>Tran Nam:
phim này đã renew</t>
      </text>
    </comment>
    <comment ref="P267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AB268" authorId="1" shapeId="0">
      <text>
        <t xml:space="preserve">24 first runs during the License Term for each Licensed Program, without any limitations of re-runs during 48 hours
</t>
      </text>
    </comment>
    <comment ref="N271" authorId="2" shapeId="0">
      <text>
        <t>Tran Nam:
phim này đã renew</t>
      </text>
    </comment>
    <comment ref="N272" authorId="2" shapeId="0">
      <text>
        <t>Tran Nam:
phim này đã renew</t>
      </text>
    </comment>
    <comment ref="AB274" authorId="1" shapeId="0">
      <text>
        <t xml:space="preserve">24 first runs during the License Term for each Licensed Program, without any limitations of re-runs during 48 hours
</t>
      </text>
    </comment>
    <comment ref="E275" authorId="2" shapeId="0">
      <text>
        <t>Tran Nam:
ô này ban đầu là "Ballerina"</t>
      </text>
    </comment>
    <comment ref="AB275" authorId="0" shapeId="0">
      <text>
        <t xml:space="preserve">Each new run shall include unlimited rerun within a consecutive 48 hours.
</t>
      </text>
    </comment>
    <comment ref="AB276" authorId="0" shapeId="0">
      <text>
        <t xml:space="preserve">Each new run shall include unlimited rerun within a consecutive 48 hours.
</t>
      </text>
    </comment>
    <comment ref="AB277" authorId="0" shapeId="0">
      <text>
        <t xml:space="preserve">Each new run shall include unlimited rerun within a consecutive 48 hours.
</t>
      </text>
    </comment>
    <comment ref="AB278" authorId="0" shapeId="0">
      <text>
        <t xml:space="preserve">24 multi-runs during the License Term for each Licensed Program, without any limitations of re-runs within 48 hours.
</t>
      </text>
    </comment>
    <comment ref="AB279" authorId="0" shapeId="0">
      <text>
        <t xml:space="preserve">24 multi-runs during the License Term for each Licensed Program, without any limitations of re-runs within 48 hours.
</t>
      </text>
    </comment>
    <comment ref="AB280" authorId="0" shapeId="0">
      <text>
        <t xml:space="preserve">24 multi-runs during the License Term for each Licensed Program, without any limitations of re-runs within 48 hours.
</t>
      </text>
    </comment>
    <comment ref="AB281" authorId="0" shapeId="0">
      <text>
        <t xml:space="preserve">24 multi-runs during the License Term for each Licensed Program, without any limitations of re-runs within 48 hours.
</t>
      </text>
    </comment>
    <comment ref="AB282" authorId="0" shapeId="0">
      <text>
        <t xml:space="preserve">24 multi-runs during the License Term for each Licensed Program, without any limitations of re-runs within 48 hours.
</t>
      </text>
    </comment>
    <comment ref="AB283" authorId="0" shapeId="0">
      <text>
        <t xml:space="preserve">24 multi-runs during the License Term for each Licensed Program, without any limitations of re-runs within 48 hours.
</t>
      </text>
    </comment>
    <comment ref="AB284" authorId="0" shapeId="0">
      <text>
        <t>24 multi-runs during the License Term for each Licensed Program, without any limitations of re-runs within 48 hours.</t>
      </text>
    </comment>
    <comment ref="AB288" authorId="0" shapeId="0">
      <text>
        <t>an aggregate maximum of seven (7) Exhibition Days for TV rights/Unlimited run for SVOD right during LP</t>
      </text>
    </comment>
    <comment ref="AB289" authorId="0" shapeId="0">
      <text>
        <t>an aggregate maximum of seven (7) Exhibition Days for TV rights/Unlimited run for SVOD right during LP</t>
      </text>
    </comment>
    <comment ref="AB290" authorId="0" shapeId="0">
      <text>
        <t>an aggregate maximum of seven (7) Exhibition Days for TV rights/Unlimited run for SVOD right during LP</t>
      </text>
    </comment>
    <comment ref="AB291" authorId="0" shapeId="0">
      <text>
        <t>an aggregate maximum of seven (7) Exhibition Days for TV rights/Unlimited run for SVOD right during LP</t>
      </text>
    </comment>
    <comment ref="AB292" authorId="0" shapeId="0">
      <text>
        <t>an aggregate maximum of seven (7) Exhibition Days for TV rights/Unlimited run for SVOD right during LP</t>
      </text>
    </comment>
    <comment ref="AB293" authorId="0" shapeId="0">
      <text>
        <t>an aggregate maximum of seven (7) Exhibition Days for TV rights/Unlimited run for SVOD right during LP</t>
      </text>
    </comment>
    <comment ref="AB294" authorId="0" shapeId="0">
      <text>
        <t>an aggregate maximum of four (4) Exhibition Days for TV rights/Unlimited run for SVOD right during LP</t>
      </text>
    </comment>
    <comment ref="AB295" authorId="0" shapeId="0">
      <text>
        <t>an aggregate maximum of seven (7) Exhibition Days for TV rights/Unlimited run for SVOD right during LP</t>
      </text>
    </comment>
    <comment ref="AB296" authorId="0" shapeId="0">
      <text>
        <t>an aggregate maximum of seven (7) Exhibition Days for TV rights/Unlimited run for SVOD right during LP</t>
      </text>
    </comment>
    <comment ref="AB297" authorId="0" shapeId="0">
      <text>
        <t>an aggregate maximum of seven (7) Exhibition Days for TV rights/Unlimited run for SVOD right during LP</t>
      </text>
    </comment>
    <comment ref="AB298" authorId="0" shapeId="0">
      <text>
        <t>an aggregate maximum of seven (7) Exhibition Days for TV rights/Unlimited run for SVOD right during LP</t>
      </text>
    </comment>
    <comment ref="AB299" authorId="0" shapeId="0">
      <text>
        <t>an aggregate maximum of seven (7) Exhibition Days for TV rights/Unlimited run for SVOD right during LP</t>
      </text>
    </comment>
    <comment ref="AB300" authorId="0" shapeId="0">
      <text>
        <t>an aggregate maximum of seven (7) Exhibition Days for TV rights/Unlimited run for SVOD right during LP</t>
      </text>
    </comment>
    <comment ref="AB301" authorId="0" shapeId="0">
      <text>
        <t xml:space="preserve">Exhibition week: A maximum of 6 runs within 1 Exhibition Week.
</t>
      </text>
    </comment>
    <comment ref="AB302" authorId="0" shapeId="0">
      <text>
        <t xml:space="preserve">Exhibition week: A maximum of 6 runs within 1 Exhibition Week.
</t>
      </text>
    </comment>
    <comment ref="AB303" authorId="0" shapeId="0">
      <text>
        <t xml:space="preserve">Exhibition week: A maximum of 6 runs within 1 Exhibition Week.
</t>
      </text>
    </comment>
    <comment ref="AB304" authorId="0" shapeId="0">
      <text>
        <t xml:space="preserve">Exhibition week: A maximum of 6 runs within 1 Exhibition Week.
</t>
      </text>
    </comment>
    <comment ref="AB305" authorId="0" shapeId="0">
      <text>
        <t xml:space="preserve">Exhibition week: A maximum of 6 runs within 1 Exhibition Week.
</t>
      </text>
    </comment>
    <comment ref="AB306" authorId="0" shapeId="0">
      <text>
        <t xml:space="preserve">Exhibition week: A maximum of 6 runs within 1 Exhibition Week.
</t>
      </text>
    </comment>
    <comment ref="AB307" authorId="0" shapeId="0">
      <text>
        <t xml:space="preserve">Exhibition week: A maximum of 6 runs within 1 Exhibition Week.
</t>
      </text>
    </comment>
    <comment ref="AB308" authorId="0" shapeId="0">
      <text>
        <t xml:space="preserve">Exhibition week: A maximum of 6 runs within 1 Exhibition Week.
</t>
      </text>
    </comment>
    <comment ref="AB309" authorId="0" shapeId="0">
      <text>
        <t xml:space="preserve">Exhibition week: A maximum of 6 runs within 1 Exhibition Week.
</t>
      </text>
    </comment>
    <comment ref="AB310" authorId="0" shapeId="0">
      <text>
        <t xml:space="preserve">Exhibition week: A maximum of 6 runs within 1 Exhibition Week.
</t>
      </text>
    </comment>
    <comment ref="AB311" authorId="0" shapeId="0">
      <text>
        <t xml:space="preserve">Exhibition week: A maximum of 6 runs within 1 Exhibition Week.
</t>
      </text>
    </comment>
    <comment ref="AB312" authorId="0" shapeId="0">
      <text>
        <t xml:space="preserve">Exhibition week: A maximum of 6 runs within 1 Exhibition Week.
</t>
      </text>
    </comment>
    <comment ref="AB313" authorId="0" shapeId="0">
      <text>
        <t xml:space="preserve">Exhibition week: A maximum of 6 runs within 1 Exhibition Week.
</t>
      </text>
    </comment>
    <comment ref="AB314" authorId="0" shapeId="0">
      <text>
        <t xml:space="preserve">Exhibition week: A maximum of 6 runs within 1 Exhibition Week.
</t>
      </text>
    </comment>
    <comment ref="AB315" authorId="0" shapeId="0">
      <text>
        <t xml:space="preserve">Exhibition week: A maximum of 6 runs within 1 Exhibition Week.
</t>
      </text>
    </comment>
    <comment ref="AB316" authorId="0" shapeId="0">
      <text>
        <t xml:space="preserve">Exhibition week: A maximum of 6 runs within 1 Exhibition Week.
</t>
      </text>
    </comment>
    <comment ref="AB317" authorId="0" shapeId="0">
      <text>
        <t xml:space="preserve">Exhibition week: A maximum of 6 runs within 1 Exhibition Week.
</t>
      </text>
    </comment>
    <comment ref="AB318" authorId="0" shapeId="0">
      <text>
        <t xml:space="preserve">Exhibition week: A maximum of 6 runs within 1 Exhibition Week.
</t>
      </text>
    </comment>
    <comment ref="AB319" authorId="0" shapeId="0">
      <text>
        <t xml:space="preserve">Exhibition week: A maximum of 6 runs within 1 Exhibition Week.
</t>
      </text>
    </comment>
    <comment ref="AB320" authorId="0" shapeId="0">
      <text>
        <t xml:space="preserve">Exhibition week: A maximum of 6 runs within 1 Exhibition Week.
</t>
      </text>
    </comment>
    <comment ref="AB321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2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3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4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5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6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7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8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29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0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1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2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3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4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5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6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7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8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39" authorId="0" shapeId="0">
      <text>
        <t>an aggregate maximum of seven (7) Exhibition Days for TV rights/Unlimited run for SVOD right during LP</t>
      </text>
    </comment>
    <comment ref="AB340" authorId="0" shapeId="0">
      <text>
        <t>an aggregate maximum of seven (7) Exhibition Days for TV rights/Unlimited run for SVOD right during LP</t>
      </text>
    </comment>
    <comment ref="P341" authorId="0" shapeId="0">
      <text>
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</text>
    </comment>
    <comment ref="AB342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  <comment ref="AB343" authorId="0" shapeId="0">
      <text>
        <t xml:space="preserve">An Exhibition Day means up to two (2) discrete exhibitions (each a "Run") of a Licensed Title on a single Licensed Channel within a continous twenty-four (24) hour period. 
</t>
      </text>
    </comment>
  </commentList>
</comments>
</file>

<file path=xl/comments/comment2.xml><?xml version="1.0" encoding="utf-8"?>
<comments xmlns="http://schemas.openxmlformats.org/spreadsheetml/2006/main">
  <authors>
    <author>Tran Nam</author>
  </authors>
  <commentList>
    <comment ref="B12" authorId="0" shapeId="0">
      <text>
        <t>Tran Nam:
T16 chủ đề nội dung</t>
      </text>
    </comment>
  </commentList>
</comments>
</file>

<file path=xl/comments/comment3.xml><?xml version="1.0" encoding="utf-8"?>
<comments xmlns="http://schemas.openxmlformats.org/spreadsheetml/2006/main">
  <authors>
    <author>tc={F1CE5225-C697-4244-B58C-9DB2ABCB6F26}</author>
    <author>tc={1D189A60-3D60-49EF-90D0-185CCBF626D1}</author>
    <author>Nguyen Thi Thuy Linh</author>
    <author>tc={5602D52A-39B9-402D-8CEB-20701CA36284}</author>
    <author>tc={637C139F-050B-43DD-9277-89FFACBC723B}</author>
    <author>tc={B3AFD47B-FFFB-428D-A4B1-3B23A0119C16}</author>
    <author>tc={69984C42-BC05-4868-B35E-D401911F6F45}</author>
    <author>tc={3382BC06-A455-47D1-A4FC-EFE380193FA9}</author>
    <author>tc={616C97BB-BA4A-44A8-973A-6C218F108BD2}</author>
    <author>tc={FCA77FC1-D5C0-43B4-8D78-019A5CA50C7B}</author>
    <author>tc={FA816EE5-DAE5-4E8D-8DBF-1C96C12FC6F2}</author>
    <author>tc={B2200B82-C64F-45E0-BBC8-EAABD9A44E1E}</author>
    <author>Admin</author>
    <author>tc={0EA5B840-1666-40E9-BDB3-BF24A320D2AF}</author>
    <author>tc={05A25329-D0EB-479C-B92B-46057D171AA7}</author>
  </authors>
  <commentList>
    <comment ref="AE1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</text>
    </comment>
    <comment ref="I1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K+ version = 5 eps x 45 mins</t>
      </text>
    </comment>
    <comment ref="S22" authorId="2" shapeId="0">
      <text>
        <t xml:space="preserve">Exclusive with Local Platform </t>
      </text>
    </comment>
    <comment ref="AE2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</text>
    </comment>
    <comment ref="AE26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</text>
    </comment>
    <comment ref="AE29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</text>
    </comment>
    <comment ref="AE30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</text>
    </comment>
    <comment ref="AE40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</text>
    </comment>
    <comment ref="AE45" authorId="2" shapeId="0">
      <text>
        <t xml:space="preserve">Tran Thi Phuong Linh:
each multi-run shall include one (01) first run and five (05) repeats within seven (7) days (with unlimited re-runs within 48 hours).
</t>
      </text>
    </comment>
    <comment ref="I4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K+ version = 15 eps x 45 mins</t>
      </text>
    </comment>
    <comment ref="AE50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</text>
    </comment>
    <comment ref="AE80" authorId="2" shapeId="0">
      <text>
        <t xml:space="preserve">A maximum of 6 runs within 1 Exhibition Week.
</t>
      </text>
    </comment>
    <comment ref="O85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</text>
    </comment>
    <comment ref="AC85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</text>
    </comment>
    <comment ref="E87" authorId="12" shapeId="0">
      <text>
        <t>Nam:
stock Aqui để trống ô này (Hạnh)</t>
      </text>
    </comment>
    <comment ref="O95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</text>
    </comment>
    <comment ref="AC95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</text>
    </comment>
    <comment ref="E113" authorId="12" shapeId="0">
      <text>
        <t>Nam:
stock Aqui để trống ô này (Hạnh)</t>
      </text>
    </comment>
  </commentList>
</comments>
</file>

<file path=xl/comments/comment4.xml><?xml version="1.0" encoding="utf-8"?>
<comments xmlns="http://schemas.openxmlformats.org/spreadsheetml/2006/main">
  <authors>
    <author>Nguyen Thi Thuy Linh</author>
  </authors>
  <commentList>
    <comment ref="W37" authorId="0" shapeId="0">
      <text>
        <t>AVOD: limited to 5 (five) episodes available at the same time, may renew the episodes available every three months.</t>
      </text>
    </comment>
    <comment ref="Z37" authorId="0" shapeId="0">
      <text>
        <t>AVOD: limited to 5 (five) episodes available at the same time, may renew the episodes available every three months.</t>
      </text>
    </comment>
    <comment ref="W38" authorId="0" shapeId="0">
      <text>
        <t>AVOD: limited to 5 (five) episodes available at the same time, may renew the episodes available every three months.</t>
      </text>
    </comment>
    <comment ref="Z38" authorId="0" shapeId="0">
      <text>
        <t>AVOD: limited to 5 (five) episodes available at the same time, may renew the episodes available every three months.</t>
      </text>
    </comment>
  </commentList>
</comments>
</file>

<file path=xl/comments/comment5.xml><?xml version="1.0" encoding="utf-8"?>
<comments xmlns="http://schemas.openxmlformats.org/spreadsheetml/2006/main">
  <authors>
    <author>Vu Thuy Trang</author>
  </authors>
  <commentList>
    <comment ref="S3" authorId="0" shapeId="0">
      <text>
        <t>Vu Thuy Trang:
Phim hợp tác đầu tư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guyen Hoai Nam (VPBDH)" refreshedDate="46099.41911840278" createdVersion="8" refreshedVersion="8" minRefreshableVersion="3" recordCount="172" r:id="rId1">
  <cacheSource type="worksheet">
    <worksheetSource ref="A5:AL177" sheet="KK2. Series"/>
  </cacheSource>
  <cacheFields count="38">
    <cacheField name="No." uniqueList="1" numFmtId="0" sqlType="0" hierarchy="0" level="0" databaseField="1">
      <sharedItems count="0" containsBlank="1" containsInteger="1" containsMixedTypes="1" containsNumber="1" minValue="1" maxValue="168"/>
    </cacheField>
    <cacheField name="Clip code" uniqueList="1" numFmtId="0" sqlType="0" hierarchy="0" level="0" databaseField="1">
      <sharedItems count="0" containsBlank="1" longText="1"/>
    </cacheField>
    <cacheField name="ENGLISH Title" uniqueList="1" numFmtId="0" sqlType="0" hierarchy="0" level="0" databaseField="1">
      <sharedItems count="0" containsBlank="1"/>
    </cacheField>
    <cacheField name="VIET Title" uniqueList="1" numFmtId="0" sqlType="0" hierarchy="0" level="0" databaseField="1">
      <sharedItems count="0" containsBlank="1"/>
    </cacheField>
    <cacheField name="Provider" uniqueList="1" numFmtId="0" sqlType="0" hierarchy="0" level="0" databaseField="1">
      <sharedItems count="38" containsBlank="1">
        <m/>
        <s v="Hangzhou IX Media"/>
        <s v="IX Media"/>
        <s v="King Content"/>
        <s v="iQiYi"/>
        <s v="PCCW VUCLIP "/>
        <s v="LIAN Contents"/>
        <s v="YouKu"/>
        <s v="Youhug Media"/>
        <s v="KT StudioGenie"/>
        <s v="Pro Partner"/>
        <s v="wavve"/>
        <s v="Huace Media"/>
        <s v="Studio Canal TV"/>
        <s v="Linmon Media"/>
        <s v="NCM"/>
        <s v="TKL"/>
        <s v="LG U+"/>
        <s v="PCCW VUCLIP"/>
        <s v="HT"/>
        <s v="Canal MM"/>
        <s v="Viu"/>
        <s v="SLL"/>
        <s v="Y&amp;K"/>
        <s v="CJ ENM"/>
        <s v="NBC Universal"/>
        <s v="Cappu Films"/>
        <s v="NCM "/>
        <s v="Youhug"/>
        <s v="Viu "/>
        <s v="AsiaPlay"/>
        <s v="Studio Canal (SCALE)"/>
        <s v="Linmon"/>
        <s v="PTS"/>
        <s v="SBS"/>
        <s v="Huanyu "/>
        <s v="Tongle"/>
        <s v="K+"/>
      </sharedItems>
    </cacheField>
    <cacheField name="Contract number" uniqueList="1" numFmtId="0" sqlType="0" hierarchy="0" level="0" databaseField="1">
      <sharedItems count="0" containsBlank="1" containsInteger="1" containsMixedTypes="1" containsNumber="1" minValue="19985" maxValue="19985"/>
    </cacheField>
    <cacheField name="Origin" uniqueList="1" numFmtId="0" sqlType="0" hierarchy="0" level="0" databaseField="1">
      <sharedItems count="0" containsBlank="1"/>
    </cacheField>
    <cacheField name="Year of production" uniqueList="1" numFmtId="0" sqlType="0" hierarchy="0" level="0" databaseField="1">
      <sharedItems count="0" containsBlank="1" containsInteger="1" containsNumber="1" containsString="0" minValue="2008" maxValue="2025"/>
    </cacheField>
    <cacheField name="No. of eps" uniqueList="1" numFmtId="0" sqlType="0" hierarchy="0" level="0" databaseField="1">
      <sharedItems count="0" containsBlank="1" containsInteger="1" containsNumber="1" containsString="0" minValue="1" maxValue="150"/>
    </cacheField>
    <cacheField name="Duration_x000a_(minute)" uniqueList="1" numFmtId="0" sqlType="0" hierarchy="0" level="0" databaseField="1">
      <sharedItems count="0" containsBlank="1" containsInteger="1" containsNumber="1" containsString="0" minValue="10" maxValue="120"/>
    </cacheField>
    <cacheField name="Duration ( Hour)" uniqueList="1" numFmtId="0" sqlType="0" hierarchy="0" level="0" databaseField="1">
      <sharedItems count="0" containsBlank="1" containsNumber="1" containsString="0" minValue="1.333333333333333" maxValue="87.5"/>
    </cacheField>
    <cacheField name="No. of eps (after Cut)" uniqueList="1" numFmtId="0" sqlType="0" hierarchy="0" level="0" databaseField="1">
      <sharedItems count="0" containsBlank="1" containsInteger="1" containsNumber="1" containsString="0" minValue="1" maxValue="150"/>
    </cacheField>
    <cacheField name="Genre" uniqueList="1" numFmtId="0" sqlType="0" hierarchy="0" level="0" databaseField="1">
      <sharedItems count="0" containsBlank="1"/>
    </cacheField>
    <cacheField name="Main Genre" uniqueList="1" numFmtId="0" sqlType="0" hierarchy="0" level="0" databaseField="1">
      <sharedItems count="0" containsBlank="1"/>
    </cacheField>
    <cacheField name="From (DTH)" uniqueList="1" numFmtId="0" sqlType="0" hierarchy="0" level="0" databaseField="1">
      <sharedItems count="0" containsBlank="1" containsDate="1" containsMixedTypes="1" containsString="0" minDate="2021-03-31T00:00:00" maxDate="1900-01-06T18:40:04"/>
    </cacheField>
    <cacheField name="To (DTH)" uniqueList="1" numFmtId="0" sqlType="0" hierarchy="0" level="0" databaseField="1">
      <sharedItems count="0" containsBlank="1" containsDate="1" containsMixedTypes="1" minDate="2026-01-10T00:00:00" maxDate="1900-01-08T06:40:04"/>
    </cacheField>
    <cacheField name="VSTV's 1st airing date" uniqueList="1" numFmtId="0" sqlType="0" hierarchy="0" level="0" databaseField="1">
      <sharedItems count="0" containsBlank="1" containsDate="1" containsNonDate="0" containsString="0" minDate="2021-04-05T00:00:00" maxDate="2025-01-16T00:00:00"/>
    </cacheField>
    <cacheField name="Channel" uniqueList="1" numFmtId="0" sqlType="0" hierarchy="0" level="0" databaseField="1">
      <sharedItems count="0" containsBlank="1"/>
    </cacheField>
    <cacheField name="Exclusive_x000a_(month)" uniqueList="1" numFmtId="0" sqlType="0" hierarchy="0" level="0" databaseField="1">
      <sharedItems count="0" containsBlank="1" containsInteger="1" containsMixedTypes="1" containsNumber="1" minValue="0" maxValue="60"/>
    </cacheField>
    <cacheField name="Sub-license" uniqueList="1" numFmtId="0" sqlType="0" hierarchy="0" level="0" databaseField="1">
      <sharedItems count="0" containsBlank="1"/>
    </cacheField>
    <cacheField name="OTT rights" uniqueList="1" numFmtId="0" sqlType="0" hierarchy="0" level="0" databaseField="1">
      <sharedItems count="0" containsBlank="1"/>
    </cacheField>
    <cacheField name="Catch-up" uniqueList="1" numFmtId="0" sqlType="0" hierarchy="0" level="0" databaseField="1">
      <sharedItems count="0" containsBlank="1"/>
    </cacheField>
    <cacheField name="SVOD" uniqueList="1" numFmtId="0" sqlType="0" hierarchy="0" level="0" databaseField="1">
      <sharedItems count="0" containsBlank="1"/>
    </cacheField>
    <cacheField name="FVOD" uniqueList="1" numFmtId="0" sqlType="0" hierarchy="0" level="0" databaseField="1">
      <sharedItems count="0" containsBlank="1"/>
    </cacheField>
    <cacheField name="AVOD" uniqueList="1" numFmtId="0" sqlType="0" hierarchy="0" level="0" databaseField="1">
      <sharedItems count="0" containsBlank="1"/>
    </cacheField>
    <cacheField name="TVOD" uniqueList="1" numFmtId="0" sqlType="0" hierarchy="0" level="0" databaseField="1">
      <sharedItems count="0" containsBlank="1"/>
    </cacheField>
    <cacheField name="Internet _x000a_Streaming" uniqueList="1" numFmtId="0" sqlType="0" hierarchy="0" level="0" databaseField="1">
      <sharedItems count="0" containsBlank="1"/>
    </cacheField>
    <cacheField name="Internet _x000a_Downloading" uniqueList="1" numFmtId="0" sqlType="0" hierarchy="0" level="0" databaseField="1">
      <sharedItems count="0" containsBlank="1"/>
    </cacheField>
    <cacheField name="From (VOD)" uniqueList="1" numFmtId="0" sqlType="0" hierarchy="0" level="0" databaseField="1">
      <sharedItems count="0" containsBlank="1" containsDate="1" containsMixedTypes="1" containsString="0" minDate="2021-03-31T00:00:00" maxDate="2025-11-25T00:00:00"/>
    </cacheField>
    <cacheField name="To (VOD)" uniqueList="1" numFmtId="0" sqlType="0" hierarchy="0" level="0" databaseField="1">
      <sharedItems count="0" containsBlank="1" containsDate="1" containsMixedTypes="1" minDate="2026-01-10T00:00:00" maxDate="2032-11-21T00:00:00"/>
    </cacheField>
    <cacheField name="Runs No." uniqueList="1" numFmtId="0" sqlType="0" hierarchy="0" level="0" databaseField="1">
      <sharedItems count="0" containsBlank="1" containsInteger="1" containsMixedTypes="1" containsNumber="1" minValue="6" maxValue="8"/>
    </cacheField>
    <cacheField name="Broadcasted runs" uniqueList="1" numFmtId="1" sqlType="0" hierarchy="0" level="0" databaseField="1">
      <sharedItems count="0" containsBlank="1" containsInteger="1" containsNumber="1" containsString="0" minValue="1" maxValue="18"/>
    </cacheField>
    <cacheField name="Last broadcast date" uniqueList="1" numFmtId="172" sqlType="0" hierarchy="0" level="0" databaseField="1">
      <sharedItems count="0" containsBlank="1" containsDate="1" containsNonDate="0" containsString="0" minDate="2022-02-08T00:00:00" maxDate="2025-06-24T00:00:00"/>
    </cacheField>
    <cacheField name="Remain Run" uniqueList="1" numFmtId="0" sqlType="0" hierarchy="0" level="0" databaseField="1">
      <sharedItems count="0" containsBlank="1" containsInteger="1" containsMixedTypes="1" containsNumber="1" minValue="0" maxValue="5"/>
    </cacheField>
    <cacheField name="HD Censorship" uniqueList="1" numFmtId="167" sqlType="0" hierarchy="0" level="0" databaseField="1">
      <sharedItems count="0" containsBlank="1"/>
    </cacheField>
    <cacheField name="LTO" uniqueList="1" numFmtId="167" sqlType="0" hierarchy="0" level="0" databaseField="1">
      <sharedItems count="0" containsBlank="1"/>
    </cacheField>
    <cacheField name="Day And Date" uniqueList="1" numFmtId="0" sqlType="0" hierarchy="0" level="0" databaseField="1">
      <sharedItems count="0" containsBlank="1"/>
    </cacheField>
    <cacheField name="Note" uniqueList="1" numFmtId="167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Nguyen Hoai Nam (VPBDH)" refreshedDate="46099.41785532407" createdVersion="8" refreshedVersion="8" minRefreshableVersion="3" recordCount="370" r:id="rId1">
  <cacheSource type="worksheet">
    <worksheetSource ref="A6:AF371" sheet="KK1. Movies"/>
  </cacheSource>
  <cacheFields count="32">
    <cacheField name="STT" uniqueList="1" numFmtId="1" sqlType="0" hierarchy="0" level="0" databaseField="1">
      <sharedItems count="0" containsInteger="1" containsMixedTypes="1" containsNumber="1" minValue="1" maxValue="337"/>
    </cacheField>
    <cacheField name="Content Rating" uniqueList="1" numFmtId="0" sqlType="0" hierarchy="0" level="0" databaseField="1">
      <sharedItems count="0" containsBlank="1"/>
    </cacheField>
    <cacheField name="Clip Code" uniqueList="1" numFmtId="0" sqlType="0" hierarchy="0" level="0" databaseField="1">
      <sharedItems count="0"/>
    </cacheField>
    <cacheField name="ENGLISH Title" uniqueList="1" numFmtId="0" sqlType="0" hierarchy="0" level="0" databaseField="1">
      <sharedItems count="0" containsInteger="1" containsMixedTypes="1" containsNumber="1" minValue="2012" maxValue="2012"/>
    </cacheField>
    <cacheField name="VIET Title" uniqueList="1" numFmtId="0" sqlType="0" hierarchy="0" level="0" databaseField="1">
      <sharedItems count="0" containsBlank="1" containsInteger="1" containsMixedTypes="1" containsNumber="1" minValue="2012" maxValue="2012"/>
    </cacheField>
    <cacheField name="Main Genre" uniqueList="1" numFmtId="0" sqlType="0" hierarchy="0" level="0" databaseField="1">
      <sharedItems count="0" containsBlank="1"/>
    </cacheField>
    <cacheField name="Provider" uniqueList="1" numFmtId="0" sqlType="0" hierarchy="0" level="0" databaseField="1">
      <sharedItems count="27">
        <s v="Skyline Media"/>
        <s v="Roses Media"/>
        <s v="SONY"/>
        <s v="CJ HK"/>
        <s v="NBC Universal"/>
        <s v="TBS"/>
        <s v="Hỏa Thổ"/>
        <s v="Rose media"/>
        <s v="Pro Partner"/>
        <s v="SONY PICTURES"/>
        <s v="King Content"/>
        <s v="Rose"/>
        <s v="Mocking Bird "/>
        <s v="STK"/>
        <s v="BHD"/>
        <s v="Anh Tễu Studio"/>
        <s v="Paramount"/>
        <s v="TFILM"/>
        <s v="CPF"/>
        <s v="iQiYi"/>
        <s v="Công ty TNHH Đối tác Chuyên nghiệp"/>
        <s v="CÔNG TY TNHH TRUYỀN THÔNG ROSES"/>
        <s v="CÔNG TY CỔ PHẦN TRUYỀN THÔNG HỎA THỔ"/>
        <s v="Paramount Pictures International Limited"/>
        <s v="CÔNG TY TNHH CÔNG NGHỆ VÀ GIẢI TRÍ TRUYỀN THÔNG SAO THIÊN KHÔI"/>
        <s v="Công Ty TNHH HÌNH ẢNH CON CHIM NHẠI"/>
        <s v="Công ty TNHH Skyline Media"/>
      </sharedItems>
    </cacheField>
    <cacheField name="Contract number" uniqueList="1" numFmtId="0" sqlType="0" hierarchy="0" level="0" databaseField="1">
      <sharedItems count="0" containsInteger="1" containsMixedTypes="1" containsNumber="1" minValue="202104013" maxValue="202104013"/>
    </cacheField>
    <cacheField name="Year of Production" uniqueList="1" numFmtId="0" sqlType="0" hierarchy="0" level="0" databaseField="1">
      <sharedItems count="0" containsBlank="1" containsInteger="1" containsNumber="1" containsString="0" minValue="1994" maxValue="2024"/>
    </cacheField>
    <cacheField name="Origin" uniqueList="1" numFmtId="0" sqlType="0" hierarchy="0" level="0" databaseField="1">
      <sharedItems count="0" containsBlank="1"/>
    </cacheField>
    <cacheField name="Duration_x000a_(minute)" uniqueList="1" numFmtId="0" sqlType="0" hierarchy="0" level="0" databaseField="1">
      <sharedItems count="0" containsBlank="1" containsInteger="1" containsNumber="1" containsString="0" minValue="75" maxValue="189"/>
    </cacheField>
    <cacheField name="From (DTH)" uniqueList="1" numFmtId="0" sqlType="0" hierarchy="0" level="0" databaseField="1">
      <sharedItems count="0" containsBlank="1" containsDate="1" containsNonDate="0" containsString="0" minDate="2015-06-05T00:00:00" maxDate="2025-12-19T00:00:00"/>
    </cacheField>
    <cacheField name="To (DTH)" uniqueList="1" numFmtId="0" sqlType="0" hierarchy="0" level="0" databaseField="1">
      <sharedItems count="0" containsBlank="1" containsDate="1" containsMixedTypes="1" minDate="2026-01-03T00:00:00" maxDate="2029-11-27T00:00:00"/>
    </cacheField>
    <cacheField name="VSTV's 1st airing date" uniqueList="1" numFmtId="0" sqlType="0" hierarchy="0" level="0" databaseField="1">
      <sharedItems count="0" containsBlank="1" containsDate="1" containsMixedTypes="1" minDate="2015-06-05T00:00:00" maxDate="2025-02-09T00:00:00"/>
    </cacheField>
    <cacheField name="Channel" uniqueList="1" numFmtId="0" sqlType="0" hierarchy="0" level="0" databaseField="1">
      <sharedItems count="0" containsBlank="1"/>
    </cacheField>
    <cacheField name="Exclusive_x000a_(month)" uniqueList="1" numFmtId="0" sqlType="0" hierarchy="0" level="0" databaseField="1">
      <sharedItems count="0" containsBlank="1" containsInteger="1" containsMixedTypes="1" containsNumber="1" minValue="0" maxValue="60"/>
    </cacheField>
    <cacheField name="Sub-license" uniqueList="1" numFmtId="0" sqlType="0" hierarchy="0" level="0" databaseField="1">
      <sharedItems count="0" containsBlank="1"/>
    </cacheField>
    <cacheField name="OTT rights" uniqueList="1" numFmtId="0" sqlType="0" hierarchy="0" level="0" databaseField="1">
      <sharedItems count="0" containsBlank="1"/>
    </cacheField>
    <cacheField name="Catch-up" uniqueList="1" numFmtId="0" sqlType="0" hierarchy="0" level="0" databaseField="1">
      <sharedItems count="0" containsBlank="1"/>
    </cacheField>
    <cacheField name="SVOD" uniqueList="1" numFmtId="0" sqlType="0" hierarchy="0" level="0" databaseField="1">
      <sharedItems count="0" containsBlank="1"/>
    </cacheField>
    <cacheField name="FVOD" uniqueList="1" numFmtId="0" sqlType="0" hierarchy="0" level="0" databaseField="1">
      <sharedItems count="0" containsBlank="1"/>
    </cacheField>
    <cacheField name="AVOD" uniqueList="1" numFmtId="0" sqlType="0" hierarchy="0" level="0" databaseField="1">
      <sharedItems count="0" containsBlank="1"/>
    </cacheField>
    <cacheField name="TVOD" uniqueList="1" numFmtId="0" sqlType="0" hierarchy="0" level="0" databaseField="1">
      <sharedItems count="0" containsBlank="1"/>
    </cacheField>
    <cacheField name="Internet_x000a_Streaming" uniqueList="1" numFmtId="0" sqlType="0" hierarchy="0" level="0" databaseField="1">
      <sharedItems count="0" containsBlank="1"/>
    </cacheField>
    <cacheField name="Internet_x000a_Downloading" uniqueList="1" numFmtId="0" sqlType="0" hierarchy="0" level="0" databaseField="1">
      <sharedItems count="0" containsBlank="1"/>
    </cacheField>
    <cacheField name="From (VOD)" uniqueList="1" numFmtId="0" sqlType="0" hierarchy="0" level="0" databaseField="1">
      <sharedItems count="0" containsDate="1" containsMixedTypes="1" minDate="2015-06-05T00:00:00" maxDate="2025-12-19T00:00:00"/>
    </cacheField>
    <cacheField name="To (VOD)" uniqueList="1" numFmtId="0" sqlType="0" hierarchy="0" level="0" databaseField="1">
      <sharedItems count="0" containsDate="1" containsMixedTypes="1" minDate="2026-01-03T00:00:00" maxDate="2029-11-27T00:00:00"/>
    </cacheField>
    <cacheField name="Runs No." uniqueList="1" numFmtId="0" sqlType="0" hierarchy="0" level="0" databaseField="1">
      <sharedItems count="0" containsBlank="1" containsInteger="1" containsMixedTypes="1" containsNumber="1" minValue="3" maxValue="50"/>
    </cacheField>
    <cacheField name="Broadcasted runs" uniqueList="1" numFmtId="0" sqlType="0" hierarchy="0" level="0" databaseField="1">
      <sharedItems count="0" containsBlank="1" containsInteger="1" containsNumber="1" containsString="0" minValue="1" maxValue="61"/>
    </cacheField>
    <cacheField name="HD Censorship" uniqueList="1" numFmtId="167" sqlType="0" hierarchy="0" level="0" databaseField="1">
      <sharedItems count="0" containsBlank="1"/>
    </cacheField>
    <cacheField name="LTO" uniqueList="1" numFmtId="167" sqlType="0" hierarchy="0" level="0" databaseField="1">
      <sharedItems count="0" containsBlank="1"/>
    </cacheField>
    <cacheField name="Drive ( ổ cứng)" uniqueList="1" numFmtId="167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Cache/pivotCacheRecords2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5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H1:I40" firstHeaderRow="1" firstDataRow="1" firstDataCol="1"/>
  <pivotFields count="38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39">
        <item t="data" sd="1" x="30"/>
        <item t="data" sd="1" x="20"/>
        <item t="data" sd="1" x="26"/>
        <item t="data" sd="1" x="24"/>
        <item t="data" sd="1" x="1"/>
        <item t="data" sd="1" x="19"/>
        <item t="data" sd="1" x="12"/>
        <item t="data" sd="1" x="35"/>
        <item t="data" sd="1" x="4"/>
        <item t="data" sd="1" x="2"/>
        <item t="data" sd="1" x="37"/>
        <item t="data" sd="1" x="3"/>
        <item t="data" sd="1" x="9"/>
        <item t="data" sd="1" x="17"/>
        <item t="data" sd="1" x="6"/>
        <item t="data" sd="1" x="32"/>
        <item t="data" sd="1" x="14"/>
        <item t="data" sd="1" x="25"/>
        <item t="data" sd="1" x="15"/>
        <item t="data" sd="1" x="27"/>
        <item t="data" sd="1" x="18"/>
        <item t="data" sd="1" x="5"/>
        <item t="data" sd="1" x="10"/>
        <item t="data" sd="1" x="33"/>
        <item t="data" sd="1" x="34"/>
        <item t="data" sd="1" x="22"/>
        <item t="data" sd="1" x="31"/>
        <item t="data" sd="1" x="13"/>
        <item t="data" sd="1" x="16"/>
        <item t="data" sd="1" x="36"/>
        <item t="data" sd="1" x="21"/>
        <item t="data" sd="1" x="29"/>
        <item t="data" sd="1" x="11"/>
        <item t="data" sd="1" x="23"/>
        <item t="data" sd="1" x="28"/>
        <item t="data" sd="1" x="8"/>
        <item t="data" sd="1" x="7"/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39">
    <i t="data" r="0" i="0">
      <x v="5"/>
    </i>
    <i t="data" r="0" i="0">
      <x v="30"/>
    </i>
    <i t="data" r="0" i="0">
      <x v="8"/>
    </i>
    <i t="data" r="0" i="0">
      <x v="10"/>
    </i>
    <i t="data" r="0" i="0">
      <x v="1"/>
    </i>
    <i t="data" r="0" i="0">
      <x v="3"/>
    </i>
    <i t="data" r="0" i="0">
      <x v="21"/>
    </i>
    <i t="data" r="0" i="0">
      <x v="6"/>
    </i>
    <i t="data" r="0" i="0">
      <x v="31"/>
    </i>
    <i t="data" r="0" i="0">
      <x v="27"/>
    </i>
    <i t="data" r="0" i="0">
      <x v="28"/>
    </i>
    <i t="data" r="0" i="0">
      <x v="37"/>
    </i>
    <i t="data" r="0" i="0">
      <x v="12"/>
    </i>
    <i t="data" r="0" i="0">
      <x v="35"/>
    </i>
    <i t="data" r="0" i="0">
      <x v="19"/>
    </i>
    <i t="data" r="0" i="0">
      <x v="11"/>
    </i>
    <i t="data" r="0" i="0">
      <x v="36"/>
    </i>
    <i t="data" r="0" i="0">
      <x v="32"/>
    </i>
    <i t="data" r="0" i="0">
      <x v="14"/>
    </i>
    <i t="data" r="0" i="0">
      <x v="26"/>
    </i>
    <i t="data" r="0" i="0">
      <x v="4"/>
    </i>
    <i t="data" r="0" i="0">
      <x v="15"/>
    </i>
    <i t="data" r="0" i="0">
      <x v="7"/>
    </i>
    <i t="data" r="0" i="0">
      <x v="34"/>
    </i>
    <i t="data" r="0" i="0">
      <x v="20"/>
    </i>
    <i t="data" r="0" i="0">
      <x v="13"/>
    </i>
    <i t="data" r="0" i="0">
      <x v="2"/>
    </i>
    <i t="data" r="0" i="0">
      <x v="29"/>
    </i>
    <i t="data" r="0" i="0">
      <x v="22"/>
    </i>
    <i t="data" r="0" i="0">
      <x v="16"/>
    </i>
    <i t="data" r="0" i="0">
      <x v="23"/>
    </i>
    <i t="data" r="0" i="0">
      <x v="33"/>
    </i>
    <i t="data" r="0" i="0">
      <x v="24"/>
    </i>
    <i t="data" r="0" i="0">
      <x v="9"/>
    </i>
    <i t="data" r="0" i="0">
      <x v="25"/>
    </i>
    <i t="data" r="0" i="0">
      <x v="17"/>
    </i>
    <i t="data" r="0" i="0">
      <x v="0"/>
    </i>
    <i t="data" r="0" i="0">
      <x v="18"/>
    </i>
    <i t="grand" r="0" i="0">
      <x v="0"/>
    </i>
  </rowItems>
  <colItems count="1">
    <i t="data" r="0" i="0"/>
  </colItems>
  <dataFields count="1">
    <dataField name="Count of Clip code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5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29" firstHeaderRow="1" firstDataRow="1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28">
        <item t="data" sd="1" x="15"/>
        <item t="data" sd="1" x="14"/>
        <item t="data" sd="1" x="3"/>
        <item t="data" sd="1" x="22"/>
        <item t="data" sd="1" x="24"/>
        <item t="data" sd="1" x="20"/>
        <item t="data" sd="1" x="25"/>
        <item t="data" sd="1" x="26"/>
        <item t="data" sd="1" x="21"/>
        <item t="data" sd="1" x="18"/>
        <item t="data" sd="1" x="6"/>
        <item t="data" sd="1" x="19"/>
        <item t="data" sd="1" x="10"/>
        <item t="data" sd="1" x="12"/>
        <item t="data" sd="1" x="4"/>
        <item t="data" sd="1" x="16"/>
        <item t="data" sd="1" x="23"/>
        <item t="data" sd="1" x="8"/>
        <item t="data" sd="1" x="11"/>
        <item t="data" sd="1" x="7"/>
        <item t="data" sd="1" x="1"/>
        <item t="data" sd="1" x="0"/>
        <item t="data" sd="1" x="2"/>
        <item t="data" sd="1" x="9"/>
        <item t="data" sd="1" x="13"/>
        <item t="data" sd="1" x="5"/>
        <item t="data" sd="1" x="17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28">
    <i t="data" r="0" i="0">
      <x v="14"/>
    </i>
    <i t="data" r="0" i="0">
      <x v="21"/>
    </i>
    <i t="data" r="0" i="0">
      <x v="2"/>
    </i>
    <i t="data" r="0" i="0">
      <x v="22"/>
    </i>
    <i t="data" r="0" i="0">
      <x v="20"/>
    </i>
    <i t="data" r="0" i="0">
      <x v="15"/>
    </i>
    <i t="data" r="0" i="0">
      <x v="17"/>
    </i>
    <i t="data" r="0" i="0">
      <x v="24"/>
    </i>
    <i t="data" r="0" i="0">
      <x v="23"/>
    </i>
    <i t="data" r="0" i="0">
      <x v="5"/>
    </i>
    <i t="data" r="0" i="0">
      <x v="26"/>
    </i>
    <i t="data" r="0" i="0">
      <x v="16"/>
    </i>
    <i t="data" r="0" i="0">
      <x v="1"/>
    </i>
    <i t="data" r="0" i="0">
      <x v="13"/>
    </i>
    <i t="data" r="0" i="0">
      <x v="10"/>
    </i>
    <i t="data" r="0" i="0">
      <x v="25"/>
    </i>
    <i t="data" r="0" i="0">
      <x v="18"/>
    </i>
    <i t="data" r="0" i="0">
      <x v="19"/>
    </i>
    <i t="data" r="0" i="0">
      <x v="3"/>
    </i>
    <i t="data" r="0" i="0">
      <x v="11"/>
    </i>
    <i t="data" r="0" i="0">
      <x v="12"/>
    </i>
    <i t="data" r="0" i="0">
      <x v="8"/>
    </i>
    <i t="data" r="0" i="0">
      <x v="9"/>
    </i>
    <i t="data" r="0" i="0">
      <x v="6"/>
    </i>
    <i t="data" r="0" i="0">
      <x v="0"/>
    </i>
    <i t="data" r="0" i="0">
      <x v="7"/>
    </i>
    <i t="data" r="0" i="0">
      <x v="4"/>
    </i>
    <i t="grand" r="0" i="0">
      <x v="0"/>
    </i>
  </rowItems>
  <colItems count="1">
    <i t="data" r="0" i="0"/>
  </colItems>
  <dataFields count="1">
    <dataField name="Count of Clip Code" fld="2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L21"/>
  <sheetViews>
    <sheetView zoomScale="85" zoomScaleNormal="85" workbookViewId="0">
      <selection activeCell="D3" sqref="D3:E3"/>
    </sheetView>
  </sheetViews>
  <sheetFormatPr baseColWidth="8" defaultColWidth="8.77734375" defaultRowHeight="13.8"/>
  <cols>
    <col width="2.5546875" customWidth="1" style="532" min="1" max="1"/>
    <col width="29" bestFit="1" customWidth="1" style="532" min="2" max="2"/>
    <col width="7.21875" customWidth="1" style="532" min="3" max="3"/>
    <col width="9" bestFit="1" customWidth="1" style="532" min="4" max="4"/>
    <col width="21.21875" bestFit="1" customWidth="1" style="540" min="5" max="5"/>
    <col width="15.77734375" bestFit="1" customWidth="1" style="532" min="6" max="6"/>
    <col width="17.21875" bestFit="1" customWidth="1" style="532" min="7" max="7"/>
    <col width="15.77734375" bestFit="1" customWidth="1" style="532" min="8" max="8"/>
    <col width="17.44140625" customWidth="1" style="532" min="9" max="9"/>
    <col width="17.33203125" customWidth="1" style="532" min="10" max="10"/>
    <col width="8" bestFit="1" customWidth="1" style="532" min="11" max="11"/>
    <col width="51.21875" customWidth="1" style="532" min="12" max="12"/>
    <col width="33.21875" customWidth="1" style="532" min="13" max="13"/>
    <col width="8.77734375" customWidth="1" style="532" min="14" max="15"/>
    <col width="8.77734375" customWidth="1" style="532" min="16" max="16384"/>
  </cols>
  <sheetData>
    <row r="1">
      <c r="A1" s="180" t="inlineStr">
        <is>
          <t>I. CHECK SỔ SÁCH VỚI DANH MỤC KIỂM KÊ</t>
        </is>
      </c>
    </row>
    <row r="2">
      <c r="A2" s="47" t="n"/>
    </row>
    <row r="3">
      <c r="B3" s="536" t="inlineStr">
        <is>
          <t>TÀI SẢN</t>
        </is>
      </c>
      <c r="C3" s="536" t="inlineStr">
        <is>
          <t>Anex</t>
        </is>
      </c>
      <c r="D3" s="531" t="inlineStr">
        <is>
          <t>Theo sổ sách (23.3.2026)</t>
        </is>
      </c>
      <c r="F3" s="531" t="inlineStr">
        <is>
          <t>Theo Annex A</t>
        </is>
      </c>
      <c r="H3" s="531" t="inlineStr">
        <is>
          <t>Chênh lệch</t>
        </is>
      </c>
    </row>
    <row r="4" ht="14.4" customHeight="1" s="578" thickBot="1">
      <c r="B4" s="537" t="n"/>
      <c r="C4" s="537" t="n"/>
      <c r="D4" s="48" t="inlineStr">
        <is>
          <t>Số lượng</t>
        </is>
      </c>
      <c r="E4" s="49" t="inlineStr">
        <is>
          <t>Giá trị</t>
        </is>
      </c>
      <c r="F4" s="48" t="inlineStr">
        <is>
          <t>Số lượng</t>
        </is>
      </c>
      <c r="G4" s="49" t="inlineStr">
        <is>
          <t>Giá trị</t>
        </is>
      </c>
      <c r="H4" s="48" t="inlineStr">
        <is>
          <t>Số lượng</t>
        </is>
      </c>
      <c r="I4" s="49" t="inlineStr">
        <is>
          <t>Giá trị</t>
        </is>
      </c>
    </row>
    <row r="5">
      <c r="B5" s="532" t="inlineStr">
        <is>
          <t>Tồn kho phim SX (Tk 15666)</t>
        </is>
      </c>
      <c r="C5" s="10" t="inlineStr">
        <is>
          <t>A</t>
        </is>
      </c>
      <c r="D5" s="532">
        <f>COUNTA('TK 15666. Phim SX'!$B$6:$B$13)</f>
        <v/>
      </c>
      <c r="E5" s="9" t="n">
        <v>36977023489</v>
      </c>
      <c r="F5" s="9" t="n"/>
      <c r="G5" s="9">
        <f>E5</f>
        <v/>
      </c>
    </row>
    <row r="6" ht="14.4" customHeight="1" s="578">
      <c r="B6" s="532" t="inlineStr">
        <is>
          <t>Tồn kho CT Phim (Tk 15661)</t>
        </is>
      </c>
      <c r="C6" s="10" t="inlineStr">
        <is>
          <t>A</t>
        </is>
      </c>
      <c r="D6" s="532">
        <f>COUNTA('TK 15661.Bản quyền phim '!$B$6:$B$497)+2</f>
        <v/>
      </c>
      <c r="E6" s="9" t="n">
        <v>55564486653</v>
      </c>
      <c r="F6" s="9">
        <f>COUNTIF('TK 15661.Bản quyền phim '!$AH$6:$AH$497,"OK")+2</f>
        <v/>
      </c>
      <c r="G6" s="9">
        <f>E6</f>
        <v/>
      </c>
      <c r="H6" s="1">
        <f>D6-F6</f>
        <v/>
      </c>
      <c r="I6" s="9">
        <f>SUMIF('TK 15661.Bản quyền phim '!$AH$6:$AH$497, 0, 'TK 15661.Bản quyền phim '!$X$6:$X$497)</f>
        <v/>
      </c>
      <c r="J6" s="181" t="inlineStr">
        <is>
          <t>Cần kiểm kê bổ sung</t>
        </is>
      </c>
    </row>
    <row r="7">
      <c r="B7" s="532" t="inlineStr">
        <is>
          <t xml:space="preserve">Bản quyền phim VOD </t>
        </is>
      </c>
      <c r="C7" s="10" t="inlineStr">
        <is>
          <t>A</t>
        </is>
      </c>
      <c r="E7" s="56" t="n">
        <v>0</v>
      </c>
      <c r="F7" s="9">
        <f>H20</f>
        <v/>
      </c>
      <c r="G7" s="56" t="n">
        <v>0</v>
      </c>
      <c r="H7" s="533" t="inlineStr">
        <is>
          <t>Đã ghi nhận thẳng vào P&amp;L, không còn số dư trên BCĐKT</t>
        </is>
      </c>
    </row>
    <row r="8">
      <c r="B8" s="540" t="inlineStr">
        <is>
          <t>Phim Barter</t>
        </is>
      </c>
      <c r="C8" s="10" t="inlineStr">
        <is>
          <t>A</t>
        </is>
      </c>
      <c r="E8" s="56" t="n">
        <v>0</v>
      </c>
      <c r="F8" s="9">
        <f>I20</f>
        <v/>
      </c>
      <c r="G8" s="56" t="n">
        <v>0</v>
      </c>
    </row>
    <row r="9">
      <c r="B9" s="532" t="inlineStr">
        <is>
          <t>Show tự sản xuất</t>
        </is>
      </c>
      <c r="C9" s="10" t="inlineStr">
        <is>
          <t>A</t>
        </is>
      </c>
      <c r="E9" s="56" t="n">
        <v>0</v>
      </c>
      <c r="F9" s="9">
        <f>J20</f>
        <v/>
      </c>
      <c r="G9" s="56" t="n">
        <v>0</v>
      </c>
    </row>
    <row r="11">
      <c r="A11" s="180" t="inlineStr">
        <is>
          <t>II. CHECK DANH MỤC KIỂM KÊ VỚI SỔ SÁCH</t>
        </is>
      </c>
    </row>
    <row r="12" ht="14.55" customHeight="1" s="578">
      <c r="B12" s="180" t="n"/>
      <c r="E12" s="538" t="inlineStr">
        <is>
          <t>Trong sổ sách</t>
        </is>
      </c>
      <c r="F12" s="539" t="n"/>
      <c r="G12" s="539" t="n"/>
      <c r="H12" s="535" t="n"/>
      <c r="I12" s="534" t="inlineStr">
        <is>
          <t>Ngoài sổ sách</t>
        </is>
      </c>
      <c r="J12" s="535" t="n"/>
    </row>
    <row r="13" ht="41.4" customFormat="1" customHeight="1" s="50">
      <c r="B13" s="57" t="inlineStr">
        <is>
          <t>Danh sách kiểm kê License</t>
        </is>
      </c>
      <c r="C13" s="57" t="inlineStr">
        <is>
          <t>Unit</t>
        </is>
      </c>
      <c r="D13" s="174" t="inlineStr">
        <is>
          <t xml:space="preserve">Number </t>
        </is>
      </c>
      <c r="E13" s="172" t="inlineStr">
        <is>
          <t>TK 15661</t>
        </is>
      </c>
      <c r="F13" s="172" t="inlineStr">
        <is>
          <t>TK 242. Bản quyền phim hợp tác</t>
        </is>
      </c>
      <c r="G13" s="172" t="inlineStr">
        <is>
          <t>TK 15666. Bản quyền phim tự SX</t>
        </is>
      </c>
      <c r="H13" s="172" t="inlineStr">
        <is>
          <t>242. Bản quyền phim VOD</t>
        </is>
      </c>
      <c r="I13" s="173" t="inlineStr">
        <is>
          <t>Phim Barter</t>
        </is>
      </c>
      <c r="J13" s="173" t="inlineStr">
        <is>
          <t>Show tự sản xuất</t>
        </is>
      </c>
      <c r="K13" s="175" t="inlineStr">
        <is>
          <t>Check</t>
        </is>
      </c>
      <c r="L13" s="55" t="inlineStr">
        <is>
          <t>VSTV's note</t>
        </is>
      </c>
    </row>
    <row r="14" ht="27.6" customFormat="1" customHeight="1" s="50">
      <c r="B14" s="182" t="inlineStr">
        <is>
          <t>KK1. Movies</t>
        </is>
      </c>
      <c r="C14" s="51" t="inlineStr">
        <is>
          <t>Titles</t>
        </is>
      </c>
      <c r="D14" s="51">
        <f>COUNTA('KK1. Movies'!A7:A343)</f>
        <v/>
      </c>
      <c r="E14" s="51">
        <f>COUNTIF('KK1. Movies'!$AM$7:$AM$343,1)</f>
        <v/>
      </c>
      <c r="F14" s="51">
        <f>COUNTIF('242.BQ Phim hợp tác'!$R:$R,1)</f>
        <v/>
      </c>
      <c r="G14" s="51" t="n"/>
      <c r="H14" s="51" t="n"/>
      <c r="I14" s="51" t="n"/>
      <c r="J14" s="51" t="n"/>
      <c r="K14" s="58">
        <f>SUM(E14:J14)=D14</f>
        <v/>
      </c>
      <c r="L14" s="52" t="inlineStr">
        <is>
          <t>Gồm 331 phim trong sheet 15661 và 6 phim trong sheet 242 bản quyền Phim hợp tác</t>
        </is>
      </c>
    </row>
    <row r="15" ht="27.6" customFormat="1" customHeight="1" s="50">
      <c r="B15" s="182" t="inlineStr">
        <is>
          <t>KK2. Series</t>
        </is>
      </c>
      <c r="C15" s="51" t="inlineStr">
        <is>
          <t>Titles</t>
        </is>
      </c>
      <c r="D15" s="51">
        <f>COUNTA('KK2. Series'!A7:A174)</f>
        <v/>
      </c>
      <c r="E15" s="51">
        <f>COUNTIF('KK2. Series'!$AR$7:$AR$174,1)</f>
        <v/>
      </c>
      <c r="F15" s="51" t="n"/>
      <c r="G15" s="51">
        <f>COUNTIF('KK2. Series'!$AQ$7:$AQ$174,1)</f>
        <v/>
      </c>
      <c r="H15" s="51">
        <f>COUNTIF('KK2. Series'!$AP$7:$AP$174,1)</f>
        <v/>
      </c>
      <c r="I15" s="51">
        <f>COUNTIF('KK2. Series'!$AS$7:$AS$174,1)</f>
        <v/>
      </c>
      <c r="J15" s="51" t="n"/>
      <c r="K15" s="58">
        <f>SUM(E15:J15)=D15</f>
        <v/>
      </c>
      <c r="L15" s="52" t="inlineStr">
        <is>
          <t>Gồm 331 phim trong sheet 15661 và 7 phim trong sheet 15666 Bản quyền phim tự SX</t>
        </is>
      </c>
    </row>
    <row r="16" ht="14.4" customFormat="1" customHeight="1" s="50">
      <c r="B16" s="182" t="inlineStr">
        <is>
          <t>KK3. Kids</t>
        </is>
      </c>
      <c r="C16" s="51" t="inlineStr">
        <is>
          <t>Titles</t>
        </is>
      </c>
      <c r="D16" s="51">
        <f>COUNTA('KK3. Kids'!$A$7:$A$57)</f>
        <v/>
      </c>
      <c r="E16" s="51">
        <f>COUNTIF('KK3. Kids'!$AI$7:$AI$57,1)</f>
        <v/>
      </c>
      <c r="F16" s="51" t="n"/>
      <c r="G16" s="51" t="n"/>
      <c r="H16" s="51" t="n"/>
      <c r="I16" s="51" t="n"/>
      <c r="J16" s="51" t="n"/>
      <c r="K16" s="58">
        <f>SUM(E16:J16)=D16</f>
        <v/>
      </c>
      <c r="L16" s="52" t="inlineStr">
        <is>
          <t>Thực tế tăng 2 so với Annex A vì lỗi STT ở sheet Kids</t>
        </is>
      </c>
    </row>
    <row r="17" ht="27.6" customFormat="1" customHeight="1" s="50">
      <c r="B17" s="182" t="inlineStr">
        <is>
          <t>KK4. Show</t>
        </is>
      </c>
      <c r="C17" s="51" t="inlineStr">
        <is>
          <t>Titles</t>
        </is>
      </c>
      <c r="D17" s="51">
        <f>COUNTA('KK4. Show'!A7:A15)</f>
        <v/>
      </c>
      <c r="E17" s="51" t="n"/>
      <c r="F17" s="51" t="n"/>
      <c r="G17" s="51" t="n"/>
      <c r="H17" s="51" t="n"/>
      <c r="I17" s="51" t="n"/>
      <c r="J17" s="51">
        <f>COUNTIF('KK4. Show'!$O$6:$O$15,1)</f>
        <v/>
      </c>
      <c r="K17" s="58">
        <f>SUM(E17:J17)=D17</f>
        <v/>
      </c>
      <c r="L17" s="52" t="inlineStr">
        <is>
          <t>Đây là các show K+ thuê bên thứ 3 hoặc tự sản xuất, không theo dõi tồn kho, đã tính vào chi phí khi phát sóng shows</t>
        </is>
      </c>
    </row>
    <row r="18" ht="14.4" customFormat="1" customHeight="1" s="50">
      <c r="B18" s="182" t="inlineStr">
        <is>
          <t>KK5. Doc</t>
        </is>
      </c>
      <c r="C18" s="51" t="inlineStr">
        <is>
          <t>Titles</t>
        </is>
      </c>
      <c r="D18" s="51">
        <f>COUNTA('KK5. Doc'!B7:B23)</f>
        <v/>
      </c>
      <c r="E18" s="51">
        <f>COUNTIF('KK5. Doc'!$Y$7:$Y$23,1)</f>
        <v/>
      </c>
      <c r="F18" s="51" t="n"/>
      <c r="G18" s="51">
        <f>COUNTIF('KK5. Doc'!$Z$7:$Z$23,1)</f>
        <v/>
      </c>
      <c r="H18" s="51" t="n"/>
      <c r="I18" s="51">
        <f>COUNTIF('KK5. Doc'!$AA$7:$AA$23,1)</f>
        <v/>
      </c>
      <c r="J18" s="51" t="n"/>
      <c r="K18" s="58">
        <f>SUM(E18:J18)=D18</f>
        <v/>
      </c>
      <c r="L18" s="52" t="inlineStr">
        <is>
          <t>gồm 14 Docs free của Kênh DW + 3 Docs</t>
        </is>
      </c>
    </row>
    <row r="19" ht="14.4" customFormat="1" customHeight="1" s="50">
      <c r="B19" s="183" t="inlineStr">
        <is>
          <t>KK6. Bổ sung</t>
        </is>
      </c>
      <c r="C19" s="171" t="inlineStr">
        <is>
          <t>Titles</t>
        </is>
      </c>
      <c r="D19" s="171">
        <f>COUNTA('KK6. Bổ sung'!$A$7:$A$44)</f>
        <v/>
      </c>
      <c r="E19" s="51">
        <f>COUNTIF('TK 15661.Bản quyền phim '!$AH$5:$AH$1048576,0)</f>
        <v/>
      </c>
      <c r="F19" s="51" t="n"/>
      <c r="G19" s="51" t="n"/>
      <c r="H19" s="51" t="n"/>
      <c r="I19" s="51" t="n"/>
      <c r="J19" s="51" t="n"/>
      <c r="K19" s="58">
        <f>SUM(E19:J19)=D19</f>
        <v/>
      </c>
      <c r="L19" s="52" t="n"/>
    </row>
    <row r="20" customFormat="1" s="47">
      <c r="B20" s="176" t="inlineStr">
        <is>
          <t>Total</t>
        </is>
      </c>
      <c r="C20" s="176" t="n"/>
      <c r="D20" s="176">
        <f>SUM(D14:D19)</f>
        <v/>
      </c>
      <c r="E20" s="177">
        <f>SUM(E14:E19)</f>
        <v/>
      </c>
      <c r="F20" s="177">
        <f>SUM(F14:F19)</f>
        <v/>
      </c>
      <c r="G20" s="177">
        <f>SUM(G14:G19)</f>
        <v/>
      </c>
      <c r="H20" s="177">
        <f>SUM(H14:H19)</f>
        <v/>
      </c>
      <c r="I20" s="178">
        <f>SUM(I14:I19)</f>
        <v/>
      </c>
      <c r="J20" s="178">
        <f>SUM(J14:J19)</f>
        <v/>
      </c>
      <c r="K20" s="53" t="n"/>
      <c r="L20" s="54" t="n"/>
    </row>
    <row r="21">
      <c r="E21" s="532" t="n"/>
    </row>
  </sheetData>
  <mergeCells count="8">
    <mergeCell ref="F3:G3"/>
    <mergeCell ref="H7:I9"/>
    <mergeCell ref="I12:J12"/>
    <mergeCell ref="C3:C4"/>
    <mergeCell ref="B3:B4"/>
    <mergeCell ref="E12:H12"/>
    <mergeCell ref="D3:E3"/>
    <mergeCell ref="H3:I3"/>
  </mergeCells>
  <hyperlinks>
    <hyperlink ref="H6" location="'Annex A'!K18" display="'Annex A'!K18"/>
    <hyperlink ref="B14" location="'KK1. Movies'!A1" display="KK1. Movies"/>
    <hyperlink ref="B15" location="'KK2. Series'!A1" display="KK2. Series"/>
    <hyperlink ref="B16" location="'KK3. Kids'!A1" display="KK3. Kids"/>
    <hyperlink ref="B17" location="'KK4. Show'!A1" display="KK4. Show"/>
    <hyperlink ref="B18" location="'KK5. Doc'!A1" display="KK5. Doc"/>
    <hyperlink ref="B19" location="'KK6. Bổ sung'!A1" display="KK6. Bổ sung"/>
  </hyperlinks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419"/>
  <sheetViews>
    <sheetView workbookViewId="0">
      <pane xSplit="2" ySplit="1" topLeftCell="C320" activePane="bottomRight" state="frozen"/>
      <selection pane="topRight" activeCell="C1" sqref="C1"/>
      <selection pane="bottomLeft" activeCell="A2" sqref="A2"/>
      <selection pane="bottomRight" activeCell="A341" sqref="A341"/>
    </sheetView>
  </sheetViews>
  <sheetFormatPr baseColWidth="8" defaultRowHeight="13.2"/>
  <cols>
    <col width="8.88671875" customWidth="1" style="361" min="1" max="2"/>
    <col width="8.88671875" customWidth="1" style="361" min="3" max="16384"/>
  </cols>
  <sheetData>
    <row r="1">
      <c r="A1" s="361" t="inlineStr">
        <is>
          <t>Clip Code</t>
        </is>
      </c>
      <c r="B1" s="361" t="inlineStr">
        <is>
          <t>Title EN</t>
        </is>
      </c>
      <c r="C1" s="361" t="inlineStr">
        <is>
          <t>Genres</t>
        </is>
      </c>
      <c r="D1" s="361" t="inlineStr">
        <is>
          <t>Rating</t>
        </is>
      </c>
      <c r="E1" s="361" t="inlineStr">
        <is>
          <t>Year</t>
        </is>
      </c>
      <c r="F1" s="361" t="inlineStr">
        <is>
          <t>Start Time</t>
        </is>
      </c>
      <c r="G1" s="361" t="inlineStr">
        <is>
          <t>End Time</t>
        </is>
      </c>
      <c r="H1" s="361" t="inlineStr">
        <is>
          <t>Data ID</t>
        </is>
      </c>
      <c r="I1" s="361" t="inlineStr">
        <is>
          <t>Stream URL</t>
        </is>
      </c>
      <c r="J1" s="361" t="inlineStr">
        <is>
          <t>Play Result</t>
        </is>
      </c>
      <c r="K1" s="361" t="inlineStr">
        <is>
          <t>Status</t>
        </is>
      </c>
    </row>
    <row r="2">
      <c r="A2" s="361" t="inlineStr">
        <is>
          <t>MOV_DRA730</t>
        </is>
      </c>
      <c r="B2" s="361" t="inlineStr">
        <is>
          <t>Shining for One Thing</t>
        </is>
      </c>
      <c r="C2" s="361" t="inlineStr">
        <is>
          <t>Movies</t>
        </is>
      </c>
      <c r="D2" s="361" t="n">
        <v>2</v>
      </c>
      <c r="E2" s="361" t="n">
        <v>2023</v>
      </c>
      <c r="F2" s="361" t="inlineStr">
        <is>
          <t>2024-12-11T00:00:00+07:00</t>
        </is>
      </c>
      <c r="H2" s="361" t="inlineStr">
        <is>
          <t>99db7204-f12d-442e-be59-e8596a148abd</t>
        </is>
      </c>
      <c r="I2" s="361" t="inlineStr">
        <is>
          <t>https://censorship.kplus.vn/MediaAssets/Asset/6d095282-3fce-ef11-8593-0c42a12723cb/StreamPreview</t>
        </is>
      </c>
      <c r="J2" s="361" t="inlineStr">
        <is>
          <t>YES</t>
        </is>
      </c>
      <c r="K2" s="361" t="inlineStr">
        <is>
          <t>Success</t>
        </is>
      </c>
    </row>
    <row r="3">
      <c r="A3" s="361" t="inlineStr">
        <is>
          <t>MOV_ACT_23__2691047</t>
        </is>
      </c>
      <c r="B3" s="361" t="inlineStr">
        <is>
          <t>Rogue</t>
        </is>
      </c>
      <c r="C3" s="361" t="inlineStr">
        <is>
          <t>Movies</t>
        </is>
      </c>
      <c r="D3" s="361" t="n">
        <v>3</v>
      </c>
      <c r="E3" s="361" t="n">
        <v>2020</v>
      </c>
      <c r="F3" s="361" t="inlineStr">
        <is>
          <t>2023-02-23T00:00:00+07:00</t>
        </is>
      </c>
      <c r="H3" s="361" t="inlineStr">
        <is>
          <t>f2258306-4dcb-4197-a268-7896a7f70e45</t>
        </is>
      </c>
      <c r="I3" s="361" t="inlineStr">
        <is>
          <t>https://censorship.kplus.vn/MediaAssets/Asset/c38272f7-e9ef-ee11-9144-f40270bf9ea7/StreamPreview</t>
        </is>
      </c>
      <c r="J3" s="361" t="inlineStr">
        <is>
          <t>YES</t>
        </is>
      </c>
      <c r="K3" s="361" t="inlineStr">
        <is>
          <t>Success</t>
        </is>
      </c>
    </row>
    <row r="4">
      <c r="A4" s="361" t="inlineStr">
        <is>
          <t>MOV_ACT_22__2687284</t>
        </is>
      </c>
      <c r="B4" s="361" t="inlineStr">
        <is>
          <t>Escape Plan 2: Hades</t>
        </is>
      </c>
      <c r="C4" s="361" t="inlineStr">
        <is>
          <t>Movies</t>
        </is>
      </c>
      <c r="D4" s="361" t="n">
        <v>4</v>
      </c>
      <c r="E4" s="361" t="n">
        <v>2018</v>
      </c>
      <c r="F4" s="361" t="inlineStr">
        <is>
          <t>2022-12-22T00:00:00+07:00</t>
        </is>
      </c>
      <c r="H4" s="361" t="inlineStr">
        <is>
          <t>f25fcdb0-2c40-4079-8fdd-3692aef3e45d</t>
        </is>
      </c>
      <c r="I4" s="361" t="inlineStr">
        <is>
          <t>https://censorship.kplus.vn/MediaAssets/Asset/239b2c3e-ceed-ee11-9144-f40270bf9ea7/StreamPreview</t>
        </is>
      </c>
      <c r="J4" s="361" t="inlineStr">
        <is>
          <t>YES</t>
        </is>
      </c>
      <c r="K4" s="361" t="inlineStr">
        <is>
          <t>Success</t>
        </is>
      </c>
    </row>
    <row r="5">
      <c r="A5" s="361" t="inlineStr">
        <is>
          <t>MOV_ACT_23__2693370</t>
        </is>
      </c>
      <c r="B5" s="361" t="inlineStr">
        <is>
          <t>Riam: Fighting Angel</t>
        </is>
      </c>
      <c r="C5" s="361" t="inlineStr">
        <is>
          <t>Movies</t>
        </is>
      </c>
      <c r="D5" s="361" t="n">
        <v>3</v>
      </c>
      <c r="E5" s="361" t="n">
        <v>2020</v>
      </c>
      <c r="F5" s="361" t="inlineStr">
        <is>
          <t>2023-03-23T00:00:00+07:00</t>
        </is>
      </c>
      <c r="H5" s="361" t="inlineStr">
        <is>
          <t>8f92b6e0-a6ed-4c4f-b921-36b2f2694452</t>
        </is>
      </c>
      <c r="I5" s="361" t="inlineStr">
        <is>
          <t>https://censorship.kplus.vn/MediaAssets/Asset/5a613a78-79f0-ee11-9144-f40270bf9ea7/StreamPreview</t>
        </is>
      </c>
      <c r="J5" s="361" t="inlineStr">
        <is>
          <t>YES</t>
        </is>
      </c>
      <c r="K5" s="361" t="inlineStr">
        <is>
          <t>Success</t>
        </is>
      </c>
    </row>
    <row r="6">
      <c r="A6" s="361" t="inlineStr">
        <is>
          <t>MOV_ANI_23__2697127</t>
        </is>
      </c>
      <c r="B6" s="361" t="inlineStr">
        <is>
          <t>Happy family</t>
        </is>
      </c>
      <c r="C6" s="361" t="inlineStr">
        <is>
          <t>Movies</t>
        </is>
      </c>
      <c r="D6" s="361" t="n">
        <v>5</v>
      </c>
      <c r="E6" s="361" t="n">
        <v>2017</v>
      </c>
      <c r="F6" s="361" t="inlineStr">
        <is>
          <t>2023-05-12T00:00:00+07:00</t>
        </is>
      </c>
      <c r="H6" s="361" t="inlineStr">
        <is>
          <t>dfc52e23-1a10-4573-9e16-6a589266ea2c</t>
        </is>
      </c>
      <c r="I6" s="361" t="inlineStr">
        <is>
          <t>https://censorship.kplus.vn/MediaAssets/Asset/c8311c8f-6ff0-ee11-9144-f40270bf9ea7/StreamPreview</t>
        </is>
      </c>
      <c r="J6" s="361" t="inlineStr">
        <is>
          <t>YES</t>
        </is>
      </c>
      <c r="K6" s="361" t="inlineStr">
        <is>
          <t>Success</t>
        </is>
      </c>
    </row>
    <row r="7">
      <c r="A7" s="361" t="inlineStr">
        <is>
          <t>MOV_DRA739</t>
        </is>
      </c>
      <c r="B7" s="361" t="inlineStr">
        <is>
          <t>Memoirs of a Geisha</t>
        </is>
      </c>
      <c r="C7" s="361" t="inlineStr">
        <is>
          <t>Movies</t>
        </is>
      </c>
      <c r="D7" s="361" t="n">
        <v>3</v>
      </c>
      <c r="E7" s="361" t="n">
        <v>2005</v>
      </c>
      <c r="F7" s="361" t="inlineStr">
        <is>
          <t>2024-12-28T00:00:00+07:00</t>
        </is>
      </c>
      <c r="H7" s="361" t="inlineStr">
        <is>
          <t>a65b5116-7df4-49d5-ad87-c2a0ac2f9ef3</t>
        </is>
      </c>
      <c r="I7" s="361" t="inlineStr">
        <is>
          <t>https://censorship.kplus.vn/MediaAssets/Asset/49e59ea8-d5e9-ef11-8593-0c42a12723cb/StreamPreview</t>
        </is>
      </c>
      <c r="J7" s="361" t="inlineStr">
        <is>
          <t>YES</t>
        </is>
      </c>
      <c r="K7" s="361" t="inlineStr">
        <is>
          <t>Success</t>
        </is>
      </c>
    </row>
    <row r="8">
      <c r="A8" s="361" t="inlineStr">
        <is>
          <t>MOV_DRA_23__2695077</t>
        </is>
      </c>
      <c r="B8" s="361" t="inlineStr">
        <is>
          <t>The Courier</t>
        </is>
      </c>
      <c r="C8" s="361" t="inlineStr">
        <is>
          <t>Movies</t>
        </is>
      </c>
      <c r="D8" s="361" t="n">
        <v>3</v>
      </c>
      <c r="E8" s="361" t="n">
        <v>2021</v>
      </c>
      <c r="F8" s="361" t="inlineStr">
        <is>
          <t>2023-04-20T00:00:00+07:00</t>
        </is>
      </c>
      <c r="H8" s="361" t="inlineStr">
        <is>
          <t>390f2015-66be-4d5d-bd86-5a292b9e17f9</t>
        </is>
      </c>
      <c r="I8" s="361" t="inlineStr">
        <is>
          <t>https://censorship.kplus.vn/MediaAssets/Asset/fbac9cea-8ff3-ee11-9144-f40270bf9ea7/StreamPreview</t>
        </is>
      </c>
      <c r="J8" s="361" t="inlineStr">
        <is>
          <t>YES</t>
        </is>
      </c>
      <c r="K8" s="361" t="inlineStr">
        <is>
          <t>Success</t>
        </is>
      </c>
    </row>
    <row r="9">
      <c r="A9" s="361" t="inlineStr">
        <is>
          <t>MOV_ACT_22__2686885</t>
        </is>
      </c>
      <c r="B9" s="361" t="inlineStr">
        <is>
          <t>Hitman's Wife's Bodyguard</t>
        </is>
      </c>
      <c r="C9" s="361" t="inlineStr">
        <is>
          <t>Movies</t>
        </is>
      </c>
      <c r="D9" s="361" t="n">
        <v>4</v>
      </c>
      <c r="E9" s="361" t="n">
        <v>2021</v>
      </c>
      <c r="F9" s="361" t="inlineStr">
        <is>
          <t>2022-12-16T00:00:00+07:00</t>
        </is>
      </c>
      <c r="H9" s="361" t="inlineStr">
        <is>
          <t>ff3ed7b0-ee55-4648-83bb-4a44f4c0e853</t>
        </is>
      </c>
      <c r="I9" s="361" t="inlineStr">
        <is>
          <t>https://censorship.kplus.vn/MediaAssets/Asset/e3f612f7-d2ed-ee11-9144-f40270bf9ea7/StreamPreview</t>
        </is>
      </c>
      <c r="J9" s="361" t="inlineStr">
        <is>
          <t>YES</t>
        </is>
      </c>
      <c r="K9" s="361" t="inlineStr">
        <is>
          <t>Success</t>
        </is>
      </c>
    </row>
    <row r="10">
      <c r="A10" s="361" t="inlineStr">
        <is>
          <t>MOV_HOR_24__2713435</t>
        </is>
      </c>
      <c r="B10" s="361" t="inlineStr">
        <is>
          <t>Guimoon: The lightless door</t>
        </is>
      </c>
      <c r="C10" s="361" t="inlineStr">
        <is>
          <t>Movies</t>
        </is>
      </c>
      <c r="D10" s="361" t="n">
        <v>4</v>
      </c>
      <c r="E10" s="361" t="n">
        <v>2021</v>
      </c>
      <c r="F10" s="361" t="inlineStr">
        <is>
          <t>2024-02-28T00:00:00+07:00</t>
        </is>
      </c>
      <c r="H10" s="361" t="inlineStr">
        <is>
          <t>848b5a96-9f0e-4f95-ab59-a5ccb66fa8b2</t>
        </is>
      </c>
      <c r="I10" s="361" t="inlineStr">
        <is>
          <t>https://censorship.kplus.vn/MediaAssets/Asset/0e72dc39-2077-ef11-8593-0c42a12723cb/StreamPreview</t>
        </is>
      </c>
      <c r="J10" s="361" t="inlineStr">
        <is>
          <t>YES</t>
        </is>
      </c>
      <c r="K10" s="361" t="inlineStr">
        <is>
          <t>Success</t>
        </is>
      </c>
    </row>
    <row r="11">
      <c r="A11" s="361" t="inlineStr">
        <is>
          <t>MOV_DRA_23__2696593</t>
        </is>
      </c>
      <c r="B11" s="361" t="inlineStr">
        <is>
          <t>Greta</t>
        </is>
      </c>
      <c r="C11" s="361" t="inlineStr">
        <is>
          <t>Movies</t>
        </is>
      </c>
      <c r="D11" s="361" t="n">
        <v>3</v>
      </c>
      <c r="E11" s="361" t="n">
        <v>2018</v>
      </c>
      <c r="F11" s="361" t="inlineStr">
        <is>
          <t>2023-05-05T00:00:00+07:00</t>
        </is>
      </c>
      <c r="H11" s="361" t="inlineStr">
        <is>
          <t>d8c4c337-36ec-40eb-9bb5-a0696eb79df5</t>
        </is>
      </c>
      <c r="I11" s="361" t="inlineStr">
        <is>
          <t>https://censorship.kplus.vn/MediaAssets/Asset/6e78c7e1-54f0-ee11-9144-f40270bf9ea7/StreamPreview</t>
        </is>
      </c>
      <c r="J11" s="361" t="inlineStr">
        <is>
          <t>YES</t>
        </is>
      </c>
      <c r="K11" s="361" t="inlineStr">
        <is>
          <t>Success</t>
        </is>
      </c>
    </row>
    <row r="12">
      <c r="A12" s="361" t="inlineStr">
        <is>
          <t>MOV_FAN_22__2686869</t>
        </is>
      </c>
      <c r="B12" s="361" t="inlineStr">
        <is>
          <t>HOUSE WITH A CLOCK IN ITS WALLS</t>
        </is>
      </c>
      <c r="C12" s="361" t="inlineStr">
        <is>
          <t>Movies</t>
        </is>
      </c>
      <c r="D12" s="361" t="n">
        <v>5</v>
      </c>
      <c r="E12" s="361" t="n">
        <v>2018</v>
      </c>
      <c r="F12" s="361" t="inlineStr">
        <is>
          <t>2022-12-15T00:00:00+07:00</t>
        </is>
      </c>
      <c r="H12" s="361" t="inlineStr">
        <is>
          <t>1be7d597-9d3f-4099-a11c-2aecd70ca673</t>
        </is>
      </c>
      <c r="I12" s="361" t="inlineStr">
        <is>
          <t>https://censorship.kplus.vn/MediaAssets/Asset/d1884a75-d3f4-ee11-9144-f40270bf9ea7/StreamPreview</t>
        </is>
      </c>
      <c r="J12" s="361" t="inlineStr">
        <is>
          <t>YES</t>
        </is>
      </c>
      <c r="K12" s="361" t="inlineStr">
        <is>
          <t>Success</t>
        </is>
      </c>
    </row>
    <row r="13">
      <c r="A13" s="361" t="inlineStr">
        <is>
          <t>MOV_CRI_21__2648182</t>
        </is>
      </c>
      <c r="B13" s="361" t="inlineStr">
        <is>
          <t>MOZU</t>
        </is>
      </c>
      <c r="C13" s="361" t="inlineStr">
        <is>
          <t>Movies</t>
        </is>
      </c>
      <c r="D13" s="361" t="n">
        <v>3</v>
      </c>
      <c r="E13" s="361" t="n">
        <v>2015</v>
      </c>
      <c r="F13" s="361" t="inlineStr">
        <is>
          <t>2021-04-13T00:00:00+07:00</t>
        </is>
      </c>
      <c r="H13" s="361" t="inlineStr">
        <is>
          <t>bebd0816-a009-4c32-8999-c855c0c8140f</t>
        </is>
      </c>
      <c r="I13" s="361" t="inlineStr">
        <is>
          <t>https://censorship.kplus.vn/MediaAssets/Asset/318eb5ad-58ea-ee11-9144-f40270bf9ea7/StreamPreview</t>
        </is>
      </c>
      <c r="J13" s="361" t="inlineStr">
        <is>
          <t>YES</t>
        </is>
      </c>
      <c r="K13" s="361" t="inlineStr">
        <is>
          <t>Success</t>
        </is>
      </c>
    </row>
    <row r="14">
      <c r="A14" s="361" t="inlineStr">
        <is>
          <t>MOV_ACT556</t>
        </is>
      </c>
      <c r="B14" s="361" t="inlineStr">
        <is>
          <t>Caught In Time</t>
        </is>
      </c>
      <c r="C14" s="361" t="inlineStr">
        <is>
          <t>Movies</t>
        </is>
      </c>
      <c r="D14" s="361" t="n">
        <v>3</v>
      </c>
      <c r="E14" s="361" t="n">
        <v>2020</v>
      </c>
      <c r="F14" s="361" t="inlineStr">
        <is>
          <t>2024-05-04T00:00:00+07:00</t>
        </is>
      </c>
      <c r="H14" s="361" t="inlineStr">
        <is>
          <t>f35f8ed8-8da3-43ee-8fa6-9f02f4405dd1</t>
        </is>
      </c>
      <c r="I14" s="361" t="inlineStr">
        <is>
          <t>https://censorship.kplus.vn/MediaAssets/Asset/a9071cc4-301e-ef11-9145-f40270bf9ea7/StreamPreview</t>
        </is>
      </c>
      <c r="J14" s="361" t="inlineStr">
        <is>
          <t>YES</t>
        </is>
      </c>
      <c r="K14" s="361" t="inlineStr">
        <is>
          <t>Success</t>
        </is>
      </c>
    </row>
    <row r="15">
      <c r="A15" s="361" t="inlineStr">
        <is>
          <t>MOV_HOR_24__2713878</t>
        </is>
      </c>
      <c r="B15" s="361" t="inlineStr">
        <is>
          <t>Contorted</t>
        </is>
      </c>
      <c r="C15" s="361" t="inlineStr">
        <is>
          <t>Movies</t>
        </is>
      </c>
      <c r="D15" s="361" t="n">
        <v>4</v>
      </c>
      <c r="E15" s="361" t="n">
        <v>2022</v>
      </c>
      <c r="F15" s="361" t="inlineStr">
        <is>
          <t>2024-03-07T00:00:00+07:00</t>
        </is>
      </c>
      <c r="H15" s="361" t="inlineStr">
        <is>
          <t>89b17035-d1b7-4704-a45b-5569cac25d18</t>
        </is>
      </c>
      <c r="I15" s="361" t="inlineStr">
        <is>
          <t>https://censorship.kplus.vn/MediaAssets/Asset/4c74a3c3-9288-ef11-8593-0c42a12723cb/StreamPreview</t>
        </is>
      </c>
      <c r="J15" s="361" t="inlineStr">
        <is>
          <t>YES</t>
        </is>
      </c>
      <c r="K15" s="361" t="inlineStr">
        <is>
          <t>Success</t>
        </is>
      </c>
    </row>
    <row r="16">
      <c r="A16" s="361" t="inlineStr">
        <is>
          <t>MOV_SCI20</t>
        </is>
      </c>
      <c r="B16" s="361" t="inlineStr">
        <is>
          <t>Long Distance</t>
        </is>
      </c>
      <c r="C16" s="361" t="inlineStr">
        <is>
          <t>Movies</t>
        </is>
      </c>
      <c r="D16" s="361" t="n">
        <v>2</v>
      </c>
      <c r="E16" s="361" t="n">
        <v>2024</v>
      </c>
      <c r="F16" s="361" t="inlineStr">
        <is>
          <t>2025-02-19T00:00:00+07:00</t>
        </is>
      </c>
      <c r="H16" s="361" t="inlineStr">
        <is>
          <t>bc176a49-138b-4ae6-9cb3-d5ee3576b97c</t>
        </is>
      </c>
      <c r="I16" s="361" t="inlineStr">
        <is>
          <t>https://censorship.kplus.vn/MediaAssets/Asset/48b18418-fcf4-ef11-8593-0c42a12723cb/StreamPreview</t>
        </is>
      </c>
      <c r="J16" s="361" t="inlineStr">
        <is>
          <t>YES</t>
        </is>
      </c>
      <c r="K16" s="361" t="inlineStr">
        <is>
          <t>Success</t>
        </is>
      </c>
    </row>
    <row r="17">
      <c r="A17" s="361" t="inlineStr">
        <is>
          <t>MOV_CRI_22__2686505</t>
        </is>
      </c>
      <c r="B17" s="361" t="inlineStr">
        <is>
          <t>The Night Clerk</t>
        </is>
      </c>
      <c r="C17" s="361" t="inlineStr">
        <is>
          <t>Movies</t>
        </is>
      </c>
      <c r="D17" s="361" t="n">
        <v>4</v>
      </c>
      <c r="E17" s="361" t="n">
        <v>2020</v>
      </c>
      <c r="F17" s="361" t="inlineStr">
        <is>
          <t>2022-12-08T00:00:00+07:00</t>
        </is>
      </c>
      <c r="H17" s="361" t="inlineStr">
        <is>
          <t>315fd13b-71e5-4edc-b61e-a1e7ed93e2a9</t>
        </is>
      </c>
      <c r="I17" s="361" t="inlineStr">
        <is>
          <t>https://censorship.kplus.vn/MediaAssets/Asset/2c24efe9-d4ed-ee11-9144-f40270bf9ea7/StreamPreview</t>
        </is>
      </c>
      <c r="J17" s="361" t="inlineStr">
        <is>
          <t>YES</t>
        </is>
      </c>
      <c r="K17" s="361" t="inlineStr">
        <is>
          <t>Success</t>
        </is>
      </c>
    </row>
    <row r="18">
      <c r="A18" s="361" t="inlineStr">
        <is>
          <t>MOV_ACT_24__2710733</t>
        </is>
      </c>
      <c r="B18" s="361" t="inlineStr">
        <is>
          <t>Journey to China: The Mystery of the Dragon Seal</t>
        </is>
      </c>
      <c r="C18" s="361" t="inlineStr">
        <is>
          <t>Movies</t>
        </is>
      </c>
      <c r="D18" s="361" t="n">
        <v>4</v>
      </c>
      <c r="E18" s="361" t="n">
        <v>2019</v>
      </c>
      <c r="F18" s="361" t="inlineStr">
        <is>
          <t>2024-01-12T00:00:00+07:00</t>
        </is>
      </c>
      <c r="H18" s="361" t="inlineStr">
        <is>
          <t>da4e15d8-ed12-4309-ad80-728d264b9462</t>
        </is>
      </c>
      <c r="I18" s="361" t="inlineStr">
        <is>
          <t>https://censorship.kplus.vn/MediaAssets/Asset/f4826a8a-1df8-ee11-9144-f40270bf9ea7/StreamPreview</t>
        </is>
      </c>
      <c r="J18" s="361" t="inlineStr">
        <is>
          <t>YES</t>
        </is>
      </c>
      <c r="K18" s="361" t="inlineStr">
        <is>
          <t>Success</t>
        </is>
      </c>
    </row>
    <row r="19">
      <c r="A19" s="361" t="inlineStr">
        <is>
          <t>MOV_ACT_22__2686478</t>
        </is>
      </c>
      <c r="B19" s="361" t="inlineStr">
        <is>
          <t>Gringo</t>
        </is>
      </c>
      <c r="C19" s="361" t="inlineStr">
        <is>
          <t>Movies</t>
        </is>
      </c>
      <c r="D19" s="361" t="n">
        <v>4</v>
      </c>
      <c r="E19" s="361" t="n">
        <v>2018</v>
      </c>
      <c r="F19" s="361" t="inlineStr">
        <is>
          <t>2022-12-08T00:00:00+07:00</t>
        </is>
      </c>
      <c r="H19" s="361" t="inlineStr">
        <is>
          <t>d025f37d-462c-4b2f-ab63-e0410b1da4c8</t>
        </is>
      </c>
      <c r="I19" s="361" t="inlineStr">
        <is>
          <t>https://censorship.kplus.vn/MediaAssets/Asset/23395172-c5ed-ee11-9144-f40270bf9ea7/StreamPreview</t>
        </is>
      </c>
      <c r="J19" s="361" t="inlineStr">
        <is>
          <t>YES</t>
        </is>
      </c>
      <c r="K19" s="361" t="inlineStr">
        <is>
          <t>Success</t>
        </is>
      </c>
    </row>
    <row r="20">
      <c r="A20" s="361" t="inlineStr">
        <is>
          <t>MOV_CRI_23__2694717</t>
        </is>
      </c>
      <c r="B20" s="361" t="inlineStr">
        <is>
          <t>The girl on the train</t>
        </is>
      </c>
      <c r="C20" s="361" t="inlineStr">
        <is>
          <t>Movies</t>
        </is>
      </c>
      <c r="D20" s="361" t="n">
        <v>3</v>
      </c>
      <c r="E20" s="361" t="n">
        <v>2016</v>
      </c>
      <c r="F20" s="361" t="inlineStr">
        <is>
          <t>2023-04-13T00:00:00+07:00</t>
        </is>
      </c>
      <c r="H20" s="362" t="inlineStr">
        <is>
          <t>81e865a3-adea-438d-9de4-ff64663932e6</t>
        </is>
      </c>
      <c r="I20" s="361" t="inlineStr">
        <is>
          <t>https://censorship.kplus.vn/MediaAssets/Asset/d1362d08-4bf0-ee11-9144-f40270bf9ea7/StreamPreview</t>
        </is>
      </c>
      <c r="J20" s="361" t="inlineStr">
        <is>
          <t>YES</t>
        </is>
      </c>
      <c r="K20" s="361" t="inlineStr">
        <is>
          <t>Success</t>
        </is>
      </c>
    </row>
    <row r="21">
      <c r="A21" s="361" t="inlineStr">
        <is>
          <t>MOV_ACT_23__2691050</t>
        </is>
      </c>
      <c r="B21" s="361" t="inlineStr">
        <is>
          <t>Triple Threat</t>
        </is>
      </c>
      <c r="C21" s="361" t="inlineStr">
        <is>
          <t>Movies</t>
        </is>
      </c>
      <c r="D21" s="361" t="n">
        <v>3</v>
      </c>
      <c r="E21" s="361" t="n">
        <v>2019</v>
      </c>
      <c r="F21" s="361" t="inlineStr">
        <is>
          <t>2023-02-23T00:00:00+07:00</t>
        </is>
      </c>
      <c r="H21" s="361" t="inlineStr">
        <is>
          <t>1dfe8e53-b612-4dab-9c45-c7cf24f1daee</t>
        </is>
      </c>
      <c r="I21" s="361" t="inlineStr">
        <is>
          <t>https://censorship.kplus.vn/MediaAssets/Asset/e1893355-47f8-ee11-9144-f40270bf9ea7/StreamPreview</t>
        </is>
      </c>
      <c r="J21" s="361" t="inlineStr">
        <is>
          <t>YES</t>
        </is>
      </c>
      <c r="K21" s="361" t="inlineStr">
        <is>
          <t>Success</t>
        </is>
      </c>
    </row>
    <row r="22">
      <c r="A22" s="361" t="inlineStr">
        <is>
          <t>MOV_THR_24__2712729</t>
        </is>
      </c>
      <c r="B22" s="361" t="inlineStr">
        <is>
          <t>Recalled</t>
        </is>
      </c>
      <c r="C22" s="361" t="inlineStr">
        <is>
          <t>Movies</t>
        </is>
      </c>
      <c r="D22" s="361" t="n">
        <v>3</v>
      </c>
      <c r="E22" s="361" t="n">
        <v>2021</v>
      </c>
      <c r="F22" s="361" t="inlineStr">
        <is>
          <t>2024-02-20T00:00:00+07:00</t>
        </is>
      </c>
      <c r="H22" s="361" t="inlineStr">
        <is>
          <t>e4f62128-62a9-480a-a004-69ef23e39cce</t>
        </is>
      </c>
      <c r="I22" s="361" t="inlineStr">
        <is>
          <t>https://censorship.kplus.vn/MediaAssets/Asset/8da26442-1ff8-ee11-9144-f40270bf9ea7/StreamPreview</t>
        </is>
      </c>
      <c r="J22" s="361" t="inlineStr">
        <is>
          <t>YES</t>
        </is>
      </c>
      <c r="K22" s="361" t="inlineStr">
        <is>
          <t>Success</t>
        </is>
      </c>
    </row>
    <row r="23">
      <c r="A23" s="361" t="inlineStr">
        <is>
          <t>MOV_ADV_23__2694718</t>
        </is>
      </c>
      <c r="B23" s="361" t="inlineStr">
        <is>
          <t>A dog's purpose</t>
        </is>
      </c>
      <c r="C23" s="361" t="inlineStr">
        <is>
          <t>Movies</t>
        </is>
      </c>
      <c r="D23" s="361" t="n">
        <v>1</v>
      </c>
      <c r="E23" s="361" t="n">
        <v>2016</v>
      </c>
      <c r="F23" s="361" t="inlineStr">
        <is>
          <t>2023-04-13T00:00:00+07:00</t>
        </is>
      </c>
      <c r="H23" s="361" t="inlineStr">
        <is>
          <t>44e82dfa-3372-495d-8ab1-095e7aed382b</t>
        </is>
      </c>
      <c r="I23" s="361" t="inlineStr">
        <is>
          <t>https://censorship.kplus.vn/MediaAssets/Asset/769353d3-65f0-ee11-9144-f40270bf9ea7/StreamPreview</t>
        </is>
      </c>
      <c r="J23" s="361" t="inlineStr">
        <is>
          <t>YES</t>
        </is>
      </c>
      <c r="K23" s="361" t="inlineStr">
        <is>
          <t>Success</t>
        </is>
      </c>
    </row>
    <row r="24">
      <c r="A24" s="361" t="inlineStr">
        <is>
          <t>MOV_MUS7</t>
        </is>
      </c>
      <c r="B24" s="361" t="inlineStr">
        <is>
          <t>Burlesque</t>
        </is>
      </c>
      <c r="C24" s="361" t="inlineStr">
        <is>
          <t>Movies</t>
        </is>
      </c>
      <c r="D24" s="361" t="n">
        <v>2</v>
      </c>
      <c r="E24" s="361" t="n">
        <v>2010</v>
      </c>
      <c r="F24" s="361" t="inlineStr">
        <is>
          <t>2024-06-19T00:00:00+07:00</t>
        </is>
      </c>
      <c r="H24" s="361" t="inlineStr">
        <is>
          <t>c1878db5-82ce-45da-b310-71048c536a12</t>
        </is>
      </c>
      <c r="I24" s="361" t="inlineStr">
        <is>
          <t>https://censorship.kplus.vn/MediaAssets/Asset/9cf5588a-919a-ef11-8593-0c42a12723cb/StreamPreview</t>
        </is>
      </c>
      <c r="J24" s="361" t="inlineStr">
        <is>
          <t>YES</t>
        </is>
      </c>
      <c r="K24" s="361" t="inlineStr">
        <is>
          <t>Success</t>
        </is>
      </c>
    </row>
    <row r="25">
      <c r="A25" s="361" t="inlineStr">
        <is>
          <t>MOV_ACT_23__2695079</t>
        </is>
      </c>
      <c r="B25" s="361" t="inlineStr">
        <is>
          <t>My Spy</t>
        </is>
      </c>
      <c r="C25" s="361" t="inlineStr">
        <is>
          <t>Movies</t>
        </is>
      </c>
      <c r="D25" s="361" t="n">
        <v>2</v>
      </c>
      <c r="E25" s="361" t="n">
        <v>2020</v>
      </c>
      <c r="F25" s="361" t="inlineStr">
        <is>
          <t>2023-04-20T00:00:00+07:00</t>
        </is>
      </c>
      <c r="H25" s="361" t="inlineStr">
        <is>
          <t>3ff2c1e9-f5f1-493f-aad0-082fe984a21b</t>
        </is>
      </c>
      <c r="I25" s="361" t="inlineStr">
        <is>
          <t>https://censorship.kplus.vn/MediaAssets/Asset/6e30736a-7cf0-ee11-9144-f40270bf9ea7/StreamPreview</t>
        </is>
      </c>
      <c r="J25" s="361" t="inlineStr">
        <is>
          <t>YES</t>
        </is>
      </c>
      <c r="K25" s="361" t="inlineStr">
        <is>
          <t>Success</t>
        </is>
      </c>
    </row>
    <row r="26">
      <c r="A26" s="361" t="inlineStr">
        <is>
          <t>MOV_CRI107</t>
        </is>
      </c>
      <c r="B26" s="361" t="inlineStr">
        <is>
          <t>Emily the Criminal</t>
        </is>
      </c>
      <c r="C26" s="361" t="inlineStr">
        <is>
          <t>Movies</t>
        </is>
      </c>
      <c r="D26" s="361" t="n">
        <v>3</v>
      </c>
      <c r="E26" s="361" t="n">
        <v>2022</v>
      </c>
      <c r="F26" s="361" t="inlineStr">
        <is>
          <t>2024-08-22T00:00:00+07:00</t>
        </is>
      </c>
      <c r="H26" s="361" t="inlineStr">
        <is>
          <t>d9c0a262-c805-41b9-9377-5ec0640c24ae</t>
        </is>
      </c>
      <c r="I26" s="361" t="inlineStr">
        <is>
          <t>https://censorship.kplus.vn/MediaAssets/Asset/3e081e9e-666e-ef11-8593-0c42a12723cb/StreamPreview</t>
        </is>
      </c>
      <c r="J26" s="361" t="inlineStr">
        <is>
          <t>YES</t>
        </is>
      </c>
      <c r="K26" s="361" t="inlineStr">
        <is>
          <t>Success</t>
        </is>
      </c>
    </row>
    <row r="27">
      <c r="A27" s="361" t="inlineStr">
        <is>
          <t>MOV_COM_24__2710443</t>
        </is>
      </c>
      <c r="B27" s="361" t="inlineStr">
        <is>
          <t>A Long Way Down</t>
        </is>
      </c>
      <c r="C27" s="361" t="inlineStr">
        <is>
          <t>Movies</t>
        </is>
      </c>
      <c r="D27" s="361" t="n">
        <v>3</v>
      </c>
      <c r="E27" s="361" t="n">
        <v>2014</v>
      </c>
      <c r="F27" s="361" t="inlineStr">
        <is>
          <t>2024-01-09T00:00:00+07:00</t>
        </is>
      </c>
      <c r="H27" s="361" t="inlineStr">
        <is>
          <t>c29477ec-ba9f-4eef-b35a-33eda313fdbc</t>
        </is>
      </c>
      <c r="I27" s="361" t="inlineStr">
        <is>
          <t>https://censorship.kplus.vn/MediaAssets/Asset/32e52c3d-35f8-ee11-9144-f40270bf9ea7/StreamPreview</t>
        </is>
      </c>
      <c r="J27" s="361" t="inlineStr">
        <is>
          <t>YES</t>
        </is>
      </c>
      <c r="K27" s="361" t="inlineStr">
        <is>
          <t>Success</t>
        </is>
      </c>
    </row>
    <row r="28">
      <c r="A28" s="361" t="inlineStr">
        <is>
          <t>MOV_HOR68</t>
        </is>
      </c>
      <c r="B28" s="361" t="inlineStr">
        <is>
          <t>The Witch</t>
        </is>
      </c>
      <c r="C28" s="361" t="inlineStr">
        <is>
          <t>Movies</t>
        </is>
      </c>
      <c r="D28" s="361" t="n">
        <v>3</v>
      </c>
      <c r="E28" s="361" t="n">
        <v>2016</v>
      </c>
      <c r="F28" s="361" t="inlineStr">
        <is>
          <t>2024-07-17T00:00:00+07:00</t>
        </is>
      </c>
      <c r="H28" s="361" t="inlineStr">
        <is>
          <t>76754399-2299-4b5e-9a06-b9e1be78fe32</t>
        </is>
      </c>
      <c r="I28" s="361" t="inlineStr">
        <is>
          <t>https://censorship.kplus.vn/MediaAssets/Asset/0924c043-0195-ef11-8593-0c42a12723cb/StreamPreview</t>
        </is>
      </c>
      <c r="J28" s="361" t="inlineStr">
        <is>
          <t>YES</t>
        </is>
      </c>
      <c r="K28" s="361" t="inlineStr">
        <is>
          <t>Success</t>
        </is>
      </c>
    </row>
    <row r="29">
      <c r="A29" s="361" t="inlineStr">
        <is>
          <t>MOV_ACT584</t>
        </is>
      </c>
      <c r="B29" s="361" t="inlineStr">
        <is>
          <t>Ambulance</t>
        </is>
      </c>
      <c r="C29" s="361" t="inlineStr">
        <is>
          <t>Movies</t>
        </is>
      </c>
      <c r="D29" s="361" t="n">
        <v>3</v>
      </c>
      <c r="E29" s="361" t="n">
        <v>2022</v>
      </c>
      <c r="F29" s="361" t="inlineStr">
        <is>
          <t>2024-07-09T00:00:00+07:00</t>
        </is>
      </c>
      <c r="H29" s="361" t="inlineStr">
        <is>
          <t>476c7142-c364-414d-9387-74eaeb051c58</t>
        </is>
      </c>
      <c r="I29" s="361" t="inlineStr">
        <is>
          <t>https://censorship.kplus.vn/MediaAssets/Asset/e473b7c5-104b-ef11-914a-f40270bf9ea7/StreamPreview</t>
        </is>
      </c>
      <c r="J29" s="361" t="inlineStr">
        <is>
          <t>YES</t>
        </is>
      </c>
      <c r="K29" s="361" t="inlineStr">
        <is>
          <t>Success</t>
        </is>
      </c>
    </row>
    <row r="30">
      <c r="A30" s="361" t="inlineStr">
        <is>
          <t>MOV_COM_22__2686480</t>
        </is>
      </c>
      <c r="B30" s="361" t="inlineStr">
        <is>
          <t>Best Friend</t>
        </is>
      </c>
      <c r="C30" s="361" t="inlineStr">
        <is>
          <t>Movies</t>
        </is>
      </c>
      <c r="D30" s="361" t="n">
        <v>3</v>
      </c>
      <c r="E30" s="361" t="n">
        <v>2020</v>
      </c>
      <c r="F30" s="361" t="inlineStr">
        <is>
          <t>2022-12-08T00:00:00+07:00</t>
        </is>
      </c>
      <c r="H30" s="361" t="inlineStr">
        <is>
          <t>937f1e8c-b7ec-4c54-a0d9-e194b48749ba</t>
        </is>
      </c>
      <c r="I30" s="361" t="inlineStr">
        <is>
          <t>https://censorship.kplus.vn/MediaAssets/Asset/6f40464a-d6ed-ee11-9144-f40270bf9ea7/StreamPreview</t>
        </is>
      </c>
      <c r="J30" s="361" t="inlineStr">
        <is>
          <t>YES</t>
        </is>
      </c>
      <c r="K30" s="361" t="inlineStr">
        <is>
          <t>Success</t>
        </is>
      </c>
    </row>
    <row r="31">
      <c r="A31" s="361" t="inlineStr">
        <is>
          <t>MOV_ANI_23__2709986</t>
        </is>
      </c>
      <c r="B31" s="361" t="inlineStr">
        <is>
          <t>Around the world in 80 days</t>
        </is>
      </c>
      <c r="C31" s="361" t="inlineStr">
        <is>
          <t>Movies</t>
        </is>
      </c>
      <c r="D31" s="361" t="n">
        <v>1</v>
      </c>
      <c r="E31" s="361" t="n">
        <v>2021</v>
      </c>
      <c r="F31" s="361" t="inlineStr">
        <is>
          <t>2023-12-27T00:00:00+07:00</t>
        </is>
      </c>
      <c r="H31" s="361" t="inlineStr">
        <is>
          <t>44529313-6636-48d8-a17c-fdbe380e3647</t>
        </is>
      </c>
      <c r="I31" s="361" t="inlineStr">
        <is>
          <t>https://censorship.kplus.vn/MediaAssets/Asset/eab3a5c0-2ef1-ee11-9144-f40270bf9ea7/StreamPreview</t>
        </is>
      </c>
      <c r="J31" s="361" t="inlineStr">
        <is>
          <t>YES</t>
        </is>
      </c>
      <c r="K31" s="361" t="inlineStr">
        <is>
          <t>Success</t>
        </is>
      </c>
    </row>
    <row r="32">
      <c r="A32" s="361" t="inlineStr">
        <is>
          <t>MOV_DRA_23__2696805</t>
        </is>
      </c>
      <c r="B32" s="361" t="inlineStr">
        <is>
          <t>The Last princess</t>
        </is>
      </c>
      <c r="C32" s="361" t="inlineStr">
        <is>
          <t>Movies</t>
        </is>
      </c>
      <c r="D32" s="361" t="n">
        <v>3</v>
      </c>
      <c r="E32" s="361" t="n">
        <v>2016</v>
      </c>
      <c r="F32" s="361" t="inlineStr">
        <is>
          <t>2023-05-09T00:00:00+07:00</t>
        </is>
      </c>
      <c r="H32" s="361" t="inlineStr">
        <is>
          <t>0b8c3306-40f0-4a72-b2db-73794897fe06</t>
        </is>
      </c>
      <c r="I32" s="361" t="inlineStr">
        <is>
          <t>https://censorship.kplus.vn/MediaAssets/Asset/72f41053-75f0-ee11-9144-f40270bf9ea7/StreamPreview</t>
        </is>
      </c>
      <c r="J32" s="361" t="inlineStr">
        <is>
          <t>YES</t>
        </is>
      </c>
      <c r="K32" s="361" t="inlineStr">
        <is>
          <t>Success</t>
        </is>
      </c>
    </row>
    <row r="33">
      <c r="A33" s="361" t="inlineStr">
        <is>
          <t>MOV_ANI_23__2698580</t>
        </is>
      </c>
      <c r="B33" s="361" t="inlineStr">
        <is>
          <t>Space dogs: Tropical adventure</t>
        </is>
      </c>
      <c r="C33" s="361" t="inlineStr">
        <is>
          <t>Movies</t>
        </is>
      </c>
      <c r="D33" s="361" t="n">
        <v>1</v>
      </c>
      <c r="E33" s="361" t="n">
        <v>2020</v>
      </c>
      <c r="F33" s="361" t="inlineStr">
        <is>
          <t>2023-06-07T00:00:00+07:00</t>
        </is>
      </c>
      <c r="H33" s="361" t="inlineStr">
        <is>
          <t>52fadd4a-53b0-4818-8091-8a330fdb7056</t>
        </is>
      </c>
      <c r="I33" s="361" t="inlineStr">
        <is>
          <t>https://censorship.kplus.vn/MediaAssets/Asset/22d1c743-41f8-ee11-9144-f40270bf9ea7/StreamPreview</t>
        </is>
      </c>
      <c r="J33" s="361" t="inlineStr">
        <is>
          <t>YES</t>
        </is>
      </c>
      <c r="K33" s="361" t="inlineStr">
        <is>
          <t>Success</t>
        </is>
      </c>
    </row>
    <row r="34">
      <c r="A34" s="361" t="inlineStr">
        <is>
          <t>MOV_ACT_23__2693252</t>
        </is>
      </c>
      <c r="B34" s="361" t="inlineStr">
        <is>
          <t>The ice road</t>
        </is>
      </c>
      <c r="C34" s="361" t="inlineStr">
        <is>
          <t>Movies</t>
        </is>
      </c>
      <c r="D34" s="361" t="n">
        <v>3</v>
      </c>
      <c r="E34" s="361" t="n">
        <v>2021</v>
      </c>
      <c r="F34" s="361" t="inlineStr">
        <is>
          <t>2023-03-22T00:00:00+07:00</t>
        </is>
      </c>
      <c r="H34" s="361" t="inlineStr">
        <is>
          <t>aab92470-568c-4974-8e9d-aaccfdeeca83</t>
        </is>
      </c>
      <c r="I34" s="361" t="inlineStr">
        <is>
          <t>https://censorship.kplus.vn/MediaAssets/Asset/1b07da9f-e5f6-ee11-9144-f40270bf9ea7/StreamPreview</t>
        </is>
      </c>
      <c r="J34" s="361" t="inlineStr">
        <is>
          <t>YES</t>
        </is>
      </c>
      <c r="K34" s="361" t="inlineStr">
        <is>
          <t>Success</t>
        </is>
      </c>
    </row>
    <row r="35">
      <c r="A35" s="361" t="inlineStr">
        <is>
          <t>MOV_HOR_24__2711609</t>
        </is>
      </c>
      <c r="B35" s="361" t="inlineStr">
        <is>
          <t>Talk To Me</t>
        </is>
      </c>
      <c r="C35" s="361" t="inlineStr">
        <is>
          <t>Movies</t>
        </is>
      </c>
      <c r="D35" s="361" t="n">
        <v>4</v>
      </c>
      <c r="E35" s="361" t="n">
        <v>2023</v>
      </c>
      <c r="F35" s="361" t="inlineStr">
        <is>
          <t>2024-01-24T00:00:00+07:00</t>
        </is>
      </c>
      <c r="H35" s="361" t="inlineStr">
        <is>
          <t>321318cf-f2f5-45b3-ad0e-135e6a3a9614</t>
        </is>
      </c>
      <c r="I35" s="361" t="inlineStr">
        <is>
          <t>https://censorship.kplus.vn/MediaAssets/Asset/ea3d4280-0182-ef11-8593-0c42a12723cb/StreamPreview</t>
        </is>
      </c>
      <c r="J35" s="361" t="inlineStr">
        <is>
          <t>YES</t>
        </is>
      </c>
      <c r="K35" s="361" t="inlineStr">
        <is>
          <t>Success</t>
        </is>
      </c>
    </row>
    <row r="36">
      <c r="A36" s="361" t="inlineStr">
        <is>
          <t>MOV_ROM_22__2686516</t>
        </is>
      </c>
      <c r="B36" s="361" t="inlineStr">
        <is>
          <t>We Made A Beautiful Bouquet</t>
        </is>
      </c>
      <c r="C36" s="361" t="inlineStr">
        <is>
          <t>Movies</t>
        </is>
      </c>
      <c r="D36" s="361" t="n">
        <v>2</v>
      </c>
      <c r="E36" s="361" t="n">
        <v>2021</v>
      </c>
      <c r="F36" s="361" t="inlineStr">
        <is>
          <t>2022-12-08T00:00:00+07:00</t>
        </is>
      </c>
      <c r="H36" s="361" t="inlineStr">
        <is>
          <t>bb5458d4-79ad-43d6-ae4d-7aa31933e4ab</t>
        </is>
      </c>
      <c r="I36" s="361" t="inlineStr">
        <is>
          <t>https://censorship.kplus.vn/MediaAssets/Asset/f2e8391f-d2ed-ee11-9144-f40270bf9ea7/StreamPreview</t>
        </is>
      </c>
      <c r="J36" s="361" t="inlineStr">
        <is>
          <t>YES</t>
        </is>
      </c>
      <c r="K36" s="361" t="inlineStr">
        <is>
          <t>Success</t>
        </is>
      </c>
    </row>
    <row r="37">
      <c r="A37" s="361" t="inlineStr">
        <is>
          <t>MOV_DRA752</t>
        </is>
      </c>
      <c r="B37" s="361" t="inlineStr">
        <is>
          <t>Little women</t>
        </is>
      </c>
      <c r="C37" s="361" t="inlineStr">
        <is>
          <t>Movies</t>
        </is>
      </c>
      <c r="D37" s="361" t="n">
        <v>2</v>
      </c>
      <c r="E37" s="361" t="n">
        <v>2019</v>
      </c>
      <c r="F37" s="361" t="inlineStr">
        <is>
          <t>2025-02-19T00:00:00+07:00</t>
        </is>
      </c>
      <c r="H37" s="361" t="inlineStr">
        <is>
          <t>054816ed-f7d0-46ec-98e0-f1f8c8ab8457</t>
        </is>
      </c>
      <c r="I37" s="361" t="inlineStr">
        <is>
          <t>https://censorship.kplus.vn/MediaAssets/Asset/99450b6c-3006-f011-8593-0c42a12723cb/StreamPreview</t>
        </is>
      </c>
      <c r="J37" s="361" t="inlineStr">
        <is>
          <t>YES</t>
        </is>
      </c>
      <c r="K37" s="361" t="inlineStr">
        <is>
          <t>Success</t>
        </is>
      </c>
    </row>
    <row r="38">
      <c r="A38" s="361" t="inlineStr">
        <is>
          <t>MOV_ACT587</t>
        </is>
      </c>
      <c r="B38" s="361" t="inlineStr">
        <is>
          <t>Ride Along</t>
        </is>
      </c>
      <c r="C38" s="361" t="inlineStr">
        <is>
          <t>Movies</t>
        </is>
      </c>
      <c r="D38" s="361" t="n">
        <v>3</v>
      </c>
      <c r="E38" s="361" t="n">
        <v>2014</v>
      </c>
      <c r="F38" s="361" t="inlineStr">
        <is>
          <t>2024-07-17T00:00:00+07:00</t>
        </is>
      </c>
      <c r="H38" s="361" t="inlineStr">
        <is>
          <t>9b4d7a7f-f0b2-4277-965f-bcc1a40f9df8</t>
        </is>
      </c>
      <c r="I38" s="361" t="inlineStr">
        <is>
          <t>https://censorship.kplus.vn/MediaAssets/Asset/dbe8494e-2377-ef11-8593-0c42a12723cb/StreamPreview</t>
        </is>
      </c>
      <c r="J38" s="361" t="inlineStr">
        <is>
          <t>YES</t>
        </is>
      </c>
      <c r="K38" s="361" t="inlineStr">
        <is>
          <t>Success</t>
        </is>
      </c>
    </row>
    <row r="39">
      <c r="A39" s="361" t="inlineStr">
        <is>
          <t>MOV_ROM_23__2697130</t>
        </is>
      </c>
      <c r="B39" s="361" t="inlineStr">
        <is>
          <t>Time freak</t>
        </is>
      </c>
      <c r="C39" s="361" t="inlineStr">
        <is>
          <t>Movies</t>
        </is>
      </c>
      <c r="D39" s="361" t="n">
        <v>2</v>
      </c>
      <c r="E39" s="361" t="n">
        <v>2018</v>
      </c>
      <c r="F39" s="361" t="inlineStr">
        <is>
          <t>2023-05-12T00:00:00+07:00</t>
        </is>
      </c>
      <c r="H39" s="361" t="inlineStr">
        <is>
          <t>625818b2-7084-450d-84bf-6c6cd297d77f</t>
        </is>
      </c>
      <c r="I39" s="361" t="inlineStr">
        <is>
          <t>https://censorship.kplus.vn/MediaAssets/Asset/d305babd-4af0-ee11-9144-f40270bf9ea7/StreamPreview</t>
        </is>
      </c>
      <c r="J39" s="361" t="inlineStr">
        <is>
          <t>YES</t>
        </is>
      </c>
      <c r="K39" s="361" t="inlineStr">
        <is>
          <t>Success</t>
        </is>
      </c>
    </row>
    <row r="40">
      <c r="A40" s="361" t="inlineStr">
        <is>
          <t>MOV_ACT_24__2715853</t>
        </is>
      </c>
      <c r="B40" s="361" t="inlineStr">
        <is>
          <t>Cloudy Mountain</t>
        </is>
      </c>
      <c r="C40" s="361" t="inlineStr">
        <is>
          <t>Movies</t>
        </is>
      </c>
      <c r="D40" s="361" t="n">
        <v>2</v>
      </c>
      <c r="E40" s="361" t="n">
        <v>2021</v>
      </c>
      <c r="F40" s="361" t="inlineStr">
        <is>
          <t>2024-04-06T00:00:00+07:00</t>
        </is>
      </c>
      <c r="H40" s="361" t="inlineStr">
        <is>
          <t>e61122b9-aa0b-4bb3-b20a-5936119bb1ef</t>
        </is>
      </c>
      <c r="I40" s="361" t="inlineStr">
        <is>
          <t>https://censorship.kplus.vn/MediaAssets/Asset/af30f73c-280d-ef11-9144-f40270bf9ea7/StreamPreview</t>
        </is>
      </c>
      <c r="J40" s="361" t="inlineStr">
        <is>
          <t>YES</t>
        </is>
      </c>
      <c r="K40" s="361" t="inlineStr">
        <is>
          <t>Success</t>
        </is>
      </c>
    </row>
    <row r="41">
      <c r="A41" s="361" t="inlineStr">
        <is>
          <t>MOV_ADV_23__2691048</t>
        </is>
      </c>
      <c r="B41" s="361" t="inlineStr">
        <is>
          <t>The ledge</t>
        </is>
      </c>
      <c r="C41" s="361" t="inlineStr">
        <is>
          <t>Movies</t>
        </is>
      </c>
      <c r="D41" s="361" t="n">
        <v>4</v>
      </c>
      <c r="E41" s="361" t="n">
        <v>2022</v>
      </c>
      <c r="F41" s="361" t="inlineStr">
        <is>
          <t>2023-02-23T00:00:00+07:00</t>
        </is>
      </c>
      <c r="H41" s="361" t="inlineStr">
        <is>
          <t>1b954bf0-d35a-4d30-b7d3-b26612a29183</t>
        </is>
      </c>
      <c r="I41" s="361" t="inlineStr">
        <is>
          <t>https://censorship.kplus.vn/MediaAssets/Asset/1a514922-e1ef-ee11-9144-f40270bf9ea7/StreamPreview</t>
        </is>
      </c>
      <c r="J41" s="361" t="inlineStr">
        <is>
          <t>YES</t>
        </is>
      </c>
      <c r="K41" s="361" t="inlineStr">
        <is>
          <t>Success</t>
        </is>
      </c>
    </row>
    <row r="42">
      <c r="A42" s="361" t="inlineStr">
        <is>
          <t>MOV_CRI_22__2686512</t>
        </is>
      </c>
      <c r="B42" s="361" t="inlineStr">
        <is>
          <t>The Voice Of Sin</t>
        </is>
      </c>
      <c r="C42" s="361" t="inlineStr">
        <is>
          <t>Movies</t>
        </is>
      </c>
      <c r="D42" s="361" t="n">
        <v>3</v>
      </c>
      <c r="E42" s="361" t="n">
        <v>2020</v>
      </c>
      <c r="F42" s="361" t="inlineStr">
        <is>
          <t>2022-12-08T00:00:00+07:00</t>
        </is>
      </c>
      <c r="H42" s="361" t="inlineStr">
        <is>
          <t>06ee6b0d-22fa-4f70-83f8-7df10a0c9cbe</t>
        </is>
      </c>
      <c r="I42" s="361" t="inlineStr">
        <is>
          <t>https://censorship.kplus.vn/MediaAssets/Asset/80c7cd6e-c6ed-ee11-9144-f40270bf9ea7/StreamPreview</t>
        </is>
      </c>
      <c r="J42" s="361" t="inlineStr">
        <is>
          <t>YES</t>
        </is>
      </c>
      <c r="K42" s="361" t="inlineStr">
        <is>
          <t>Success</t>
        </is>
      </c>
    </row>
    <row r="43">
      <c r="A43" s="361" t="inlineStr">
        <is>
          <t>MOV_DRA_24__2710444</t>
        </is>
      </c>
      <c r="B43" s="361" t="inlineStr">
        <is>
          <t>All About My Mother</t>
        </is>
      </c>
      <c r="C43" s="361" t="inlineStr">
        <is>
          <t>Movies</t>
        </is>
      </c>
      <c r="D43" s="361" t="n">
        <v>5</v>
      </c>
      <c r="E43" s="361" t="n">
        <v>2021</v>
      </c>
      <c r="F43" s="361" t="inlineStr">
        <is>
          <t>2024-01-09T00:00:00+07:00</t>
        </is>
      </c>
      <c r="H43" s="361" t="inlineStr">
        <is>
          <t>548a399e-b093-45d7-8196-ace3b16f61a5</t>
        </is>
      </c>
      <c r="I43" s="361" t="inlineStr">
        <is>
          <t>https://censorship.kplus.vn/MediaAssets/Asset/f52dfb02-9379-ef11-8593-0c42a12723cb/StreamPreview</t>
        </is>
      </c>
      <c r="J43" s="361" t="inlineStr">
        <is>
          <t>YES</t>
        </is>
      </c>
      <c r="K43" s="361" t="inlineStr">
        <is>
          <t>Success</t>
        </is>
      </c>
    </row>
    <row r="44">
      <c r="A44" s="361" t="inlineStr">
        <is>
          <t>MOV_ACT_24__2713163</t>
        </is>
      </c>
      <c r="B44" s="361" t="inlineStr">
        <is>
          <t>Black and Blue</t>
        </is>
      </c>
      <c r="C44" s="361" t="inlineStr">
        <is>
          <t>Movies</t>
        </is>
      </c>
      <c r="D44" s="361" t="n">
        <v>3</v>
      </c>
      <c r="E44" s="361" t="n">
        <v>2019</v>
      </c>
      <c r="F44" s="361" t="inlineStr">
        <is>
          <t>2024-02-23T00:00:00+07:00</t>
        </is>
      </c>
      <c r="H44" s="361" t="inlineStr">
        <is>
          <t>02eae77c-4b50-4bbb-b4aa-335b3adff893</t>
        </is>
      </c>
      <c r="I44" s="361" t="inlineStr">
        <is>
          <t>https://censorship.kplus.vn/MediaAssets/Asset/97d5476f-14f8-ee11-9144-f40270bf9ea7/StreamPreview</t>
        </is>
      </c>
      <c r="J44" s="361" t="inlineStr">
        <is>
          <t>YES</t>
        </is>
      </c>
      <c r="K44" s="361" t="inlineStr">
        <is>
          <t>Success</t>
        </is>
      </c>
    </row>
    <row r="45">
      <c r="A45" s="361" t="inlineStr">
        <is>
          <t>MOV_CRI_24__2710437</t>
        </is>
      </c>
      <c r="B45" s="361" t="inlineStr">
        <is>
          <t>The Whistlers</t>
        </is>
      </c>
      <c r="C45" s="361" t="inlineStr">
        <is>
          <t>Movies</t>
        </is>
      </c>
      <c r="D45" s="361" t="n">
        <v>3</v>
      </c>
      <c r="E45" s="361" t="n">
        <v>2019</v>
      </c>
      <c r="F45" s="361" t="inlineStr">
        <is>
          <t>2024-01-09T00:00:00+07:00</t>
        </is>
      </c>
      <c r="H45" s="361" t="inlineStr">
        <is>
          <t>e7bcf49c-ab10-4199-85d9-6247ee108495</t>
        </is>
      </c>
      <c r="I45" s="361" t="inlineStr">
        <is>
          <t>https://censorship.kplus.vn/MediaAssets/Asset/c53d5cbe-24f8-ee11-9144-f40270bf9ea7/StreamPreview</t>
        </is>
      </c>
      <c r="J45" s="361" t="inlineStr">
        <is>
          <t>YES</t>
        </is>
      </c>
      <c r="K45" s="361" t="inlineStr">
        <is>
          <t>Success</t>
        </is>
      </c>
    </row>
    <row r="46">
      <c r="A46" s="361" t="inlineStr">
        <is>
          <t>MOV_THR_21__2651058</t>
        </is>
      </c>
      <c r="B46" s="361" t="inlineStr">
        <is>
          <t>STOLEN IDENTITY 2</t>
        </is>
      </c>
      <c r="C46" s="361" t="inlineStr">
        <is>
          <t>Movies</t>
        </is>
      </c>
      <c r="D46" s="361" t="n">
        <v>3</v>
      </c>
      <c r="E46" s="361" t="n">
        <v>2020</v>
      </c>
      <c r="F46" s="361" t="inlineStr">
        <is>
          <t>2021-06-08T00:00:00+07:00</t>
        </is>
      </c>
      <c r="H46" s="361" t="inlineStr">
        <is>
          <t>4d013aa8-6635-42ae-a1a8-ca42d9619632</t>
        </is>
      </c>
      <c r="I46" s="361" t="inlineStr">
        <is>
          <t>https://censorship.kplus.vn/MediaAssets/Asset/2560d0d7-02ea-ee11-9144-f40270bf9ea7/StreamPreview</t>
        </is>
      </c>
      <c r="J46" s="361" t="inlineStr">
        <is>
          <t>YES</t>
        </is>
      </c>
      <c r="K46" s="361" t="inlineStr">
        <is>
          <t>Success</t>
        </is>
      </c>
    </row>
    <row r="47">
      <c r="A47" s="361" t="inlineStr">
        <is>
          <t>MOV_BIO_23__2689673</t>
        </is>
      </c>
      <c r="B47" s="361" t="inlineStr">
        <is>
          <t>The post</t>
        </is>
      </c>
      <c r="C47" s="361" t="inlineStr">
        <is>
          <t>Movies</t>
        </is>
      </c>
      <c r="D47" s="361" t="n">
        <v>2</v>
      </c>
      <c r="E47" s="361" t="n">
        <v>2017</v>
      </c>
      <c r="F47" s="361" t="inlineStr">
        <is>
          <t>2023-02-02T00:00:00+07:00</t>
        </is>
      </c>
      <c r="H47" s="361" t="inlineStr">
        <is>
          <t>cab587cc-0cbd-45bd-bbae-5133681b15a3</t>
        </is>
      </c>
      <c r="I47" s="361" t="inlineStr">
        <is>
          <t>https://censorship.kplus.vn/MediaAssets/Asset/2e11fd98-e8ef-ee11-9144-f40270bf9ea7/StreamPreview</t>
        </is>
      </c>
      <c r="J47" s="361" t="inlineStr">
        <is>
          <t>YES</t>
        </is>
      </c>
      <c r="K47" s="361" t="inlineStr">
        <is>
          <t>Success</t>
        </is>
      </c>
    </row>
    <row r="48">
      <c r="A48" s="361" t="inlineStr">
        <is>
          <t>MOV_CRI_23__2697555</t>
        </is>
      </c>
      <c r="B48" s="361" t="inlineStr">
        <is>
          <t>The faceless boss</t>
        </is>
      </c>
      <c r="C48" s="361" t="inlineStr">
        <is>
          <t>Movies</t>
        </is>
      </c>
      <c r="D48" s="361" t="n">
        <v>3</v>
      </c>
      <c r="E48" s="361" t="n">
        <v>2019</v>
      </c>
      <c r="F48" s="361" t="inlineStr">
        <is>
          <t>2023-05-17T00:00:00+07:00</t>
        </is>
      </c>
      <c r="H48" s="361" t="inlineStr">
        <is>
          <t>859d17a4-1e7f-4662-b95c-37b0ec929442</t>
        </is>
      </c>
      <c r="I48" s="361" t="inlineStr">
        <is>
          <t>https://censorship.kplus.vn/MediaAssets/Asset/a8ad0da2-53f0-ee11-9144-f40270bf9ea7/StreamPreview</t>
        </is>
      </c>
      <c r="J48" s="361" t="inlineStr">
        <is>
          <t>YES</t>
        </is>
      </c>
      <c r="K48" s="361" t="inlineStr">
        <is>
          <t>Success</t>
        </is>
      </c>
    </row>
    <row r="49">
      <c r="A49" s="361" t="inlineStr">
        <is>
          <t>MOV_ACT_22__2686483</t>
        </is>
      </c>
      <c r="B49" s="361" t="inlineStr">
        <is>
          <t>Superwho?</t>
        </is>
      </c>
      <c r="C49" s="361" t="inlineStr">
        <is>
          <t>Movies</t>
        </is>
      </c>
      <c r="D49" s="361" t="n">
        <v>2</v>
      </c>
      <c r="E49" s="361" t="n">
        <v>2021</v>
      </c>
      <c r="F49" s="361" t="inlineStr">
        <is>
          <t>2022-12-08T00:00:00+07:00</t>
        </is>
      </c>
      <c r="H49" s="361" t="inlineStr">
        <is>
          <t>a1a74b50-de44-45b3-bc86-4914ad256943</t>
        </is>
      </c>
      <c r="I49" s="361" t="inlineStr">
        <is>
          <t>https://censorship.kplus.vn/MediaAssets/Asset/4a051c04-c8ed-ee11-9144-f40270bf9ea7/StreamPreview</t>
        </is>
      </c>
      <c r="J49" s="361" t="inlineStr">
        <is>
          <t>YES</t>
        </is>
      </c>
      <c r="K49" s="361" t="inlineStr">
        <is>
          <t>Success</t>
        </is>
      </c>
    </row>
    <row r="50">
      <c r="A50" s="361" t="inlineStr">
        <is>
          <t>MOV_ACT_22__2668484</t>
        </is>
      </c>
      <c r="B50" s="361" t="inlineStr">
        <is>
          <t>Signal: The Movie</t>
        </is>
      </c>
      <c r="C50" s="361" t="inlineStr">
        <is>
          <t>Movies</t>
        </is>
      </c>
      <c r="D50" s="361" t="n">
        <v>3</v>
      </c>
      <c r="E50" s="361" t="n">
        <v>2021</v>
      </c>
      <c r="F50" s="361" t="inlineStr">
        <is>
          <t>2022-02-23T00:00:00+07:00</t>
        </is>
      </c>
      <c r="H50" s="361" t="inlineStr">
        <is>
          <t>777962f0-4ad2-4214-8ffd-b08d0d2bf0c9</t>
        </is>
      </c>
      <c r="I50" s="361" t="inlineStr">
        <is>
          <t>https://censorship.kplus.vn/MediaAssets/Asset/05eb7c09-06ec-ee11-9144-f40270bf9ea7/StreamPreview</t>
        </is>
      </c>
      <c r="J50" s="361" t="inlineStr">
        <is>
          <t>YES</t>
        </is>
      </c>
      <c r="K50" s="361" t="inlineStr">
        <is>
          <t>Success</t>
        </is>
      </c>
    </row>
    <row r="51">
      <c r="A51" s="361" t="inlineStr">
        <is>
          <t>MOV_ANI_22__2674850</t>
        </is>
      </c>
      <c r="B51" s="361" t="inlineStr">
        <is>
          <t>Two Buddies And A Badger: The Great Big Beast</t>
        </is>
      </c>
      <c r="C51" s="361" t="inlineStr">
        <is>
          <t>Movies</t>
        </is>
      </c>
      <c r="D51" s="361" t="n">
        <v>1</v>
      </c>
      <c r="E51" s="361" t="n">
        <v>2020</v>
      </c>
      <c r="F51" s="361" t="inlineStr">
        <is>
          <t>2022-05-24T00:00:00+07:00</t>
        </is>
      </c>
      <c r="H51" s="361" t="inlineStr">
        <is>
          <t>4bcbbe3b-195e-4cd5-8b05-b1b723eb04fa</t>
        </is>
      </c>
      <c r="I51" s="361" t="inlineStr">
        <is>
          <t>https://censorship.kplus.vn/MediaAssets/Asset/93e19051-8052-f011-8593-0c42a12723cb/StreamPreview</t>
        </is>
      </c>
      <c r="J51" s="361" t="inlineStr">
        <is>
          <t>YES</t>
        </is>
      </c>
      <c r="K51" s="361" t="inlineStr">
        <is>
          <t>Success</t>
        </is>
      </c>
    </row>
    <row r="52">
      <c r="A52" s="361" t="inlineStr">
        <is>
          <t>MOV_ACT598</t>
        </is>
      </c>
      <c r="B52" s="361" t="inlineStr">
        <is>
          <t>Misanthrope</t>
        </is>
      </c>
      <c r="C52" s="361" t="inlineStr">
        <is>
          <t>Movies</t>
        </is>
      </c>
      <c r="D52" s="361" t="n">
        <v>3</v>
      </c>
      <c r="E52" s="361" t="n">
        <v>2023</v>
      </c>
      <c r="F52" s="361" t="inlineStr">
        <is>
          <t>2024-12-28T00:00:00+07:00</t>
        </is>
      </c>
      <c r="H52" s="361" t="inlineStr">
        <is>
          <t>864029f5-dfc7-49ed-b91a-c97fe1114a0a</t>
        </is>
      </c>
      <c r="I52" s="361" t="inlineStr">
        <is>
          <t>https://censorship.kplus.vn/MediaAssets/Asset/f987fc21-2a0a-f011-8593-0c42a12723cb/StreamPreview</t>
        </is>
      </c>
      <c r="J52" s="361" t="inlineStr">
        <is>
          <t>YES</t>
        </is>
      </c>
      <c r="K52" s="361" t="inlineStr">
        <is>
          <t>Success</t>
        </is>
      </c>
    </row>
    <row r="53">
      <c r="A53" s="361" t="inlineStr">
        <is>
          <t>MOV_ACT__2651375</t>
        </is>
      </c>
      <c r="B53" s="361" t="inlineStr">
        <is>
          <t>S: THE LAST POLICEMAN-RECOVERY OF OUR FUTURE</t>
        </is>
      </c>
      <c r="C53" s="361" t="inlineStr">
        <is>
          <t>Movies</t>
        </is>
      </c>
      <c r="D53" s="361" t="n">
        <v>2</v>
      </c>
      <c r="E53" s="361" t="n">
        <v>2015</v>
      </c>
      <c r="F53" s="361" t="inlineStr">
        <is>
          <t>2021-06-17T00:00:00+07:00</t>
        </is>
      </c>
      <c r="H53" s="361" t="inlineStr">
        <is>
          <t>e94c6299-e1e2-4da4-ba77-7bffbce37f7c</t>
        </is>
      </c>
      <c r="I53" s="361" t="inlineStr">
        <is>
          <t>https://censorship.kplus.vn/MediaAssets/Asset/e24c2e57-6aea-ee11-9144-f40270bf9ea7/StreamPreview</t>
        </is>
      </c>
      <c r="J53" s="361" t="inlineStr">
        <is>
          <t>YES</t>
        </is>
      </c>
      <c r="K53" s="361" t="inlineStr">
        <is>
          <t>Success</t>
        </is>
      </c>
    </row>
    <row r="54">
      <c r="A54" s="361" t="inlineStr">
        <is>
          <t>MOV_CRI111</t>
        </is>
      </c>
      <c r="B54" s="361" t="inlineStr">
        <is>
          <t>Longlegs</t>
        </is>
      </c>
      <c r="C54" s="361" t="inlineStr">
        <is>
          <t>Movies</t>
        </is>
      </c>
      <c r="D54" s="361" t="n">
        <v>4</v>
      </c>
      <c r="E54" s="361" t="n">
        <v>2024</v>
      </c>
      <c r="F54" s="361" t="inlineStr">
        <is>
          <t>2025-03-12T00:00:00+07:00</t>
        </is>
      </c>
      <c r="H54" s="361" t="inlineStr">
        <is>
          <t>010cc52c-e499-457a-b9b6-489d27423ebf</t>
        </is>
      </c>
      <c r="I54" s="361" t="inlineStr">
        <is>
          <t>https://censorship.kplus.vn/MediaAssets/Asset/6ba913a2-f909-f011-8593-0c42a12723cb/StreamPreview</t>
        </is>
      </c>
      <c r="J54" s="361" t="inlineStr">
        <is>
          <t>YES</t>
        </is>
      </c>
      <c r="K54" s="361" t="inlineStr">
        <is>
          <t>Success</t>
        </is>
      </c>
    </row>
    <row r="55">
      <c r="A55" s="361" t="inlineStr">
        <is>
          <t>MOV_DRA727</t>
        </is>
      </c>
      <c r="B55" s="361" t="inlineStr">
        <is>
          <t>Dear Evan Hansen</t>
        </is>
      </c>
      <c r="C55" s="361" t="inlineStr">
        <is>
          <t>Movies</t>
        </is>
      </c>
      <c r="D55" s="361" t="n">
        <v>2</v>
      </c>
      <c r="E55" s="361" t="n">
        <v>2021</v>
      </c>
      <c r="F55" s="361" t="inlineStr">
        <is>
          <t>2024-07-17T00:00:00+07:00</t>
        </is>
      </c>
      <c r="H55" s="361" t="inlineStr">
        <is>
          <t>10352324-2ebe-434d-9613-6914952aaf94</t>
        </is>
      </c>
      <c r="I55" s="361" t="inlineStr">
        <is>
          <t>https://censorship.kplus.vn/MediaAssets/Asset/99a64eea-f39f-ef11-8593-0c42a12723cb/StreamPreview</t>
        </is>
      </c>
      <c r="J55" s="361" t="inlineStr">
        <is>
          <t>YES</t>
        </is>
      </c>
      <c r="K55" s="361" t="inlineStr">
        <is>
          <t>Success</t>
        </is>
      </c>
    </row>
    <row r="56">
      <c r="A56" s="361" t="inlineStr">
        <is>
          <t>MOV_ACT_22__2686484</t>
        </is>
      </c>
      <c r="B56" s="361" t="inlineStr">
        <is>
          <t>Sicario: Day of the Soldado</t>
        </is>
      </c>
      <c r="C56" s="361" t="inlineStr">
        <is>
          <t>Movies</t>
        </is>
      </c>
      <c r="D56" s="361" t="n">
        <v>4</v>
      </c>
      <c r="E56" s="361" t="n">
        <v>2018</v>
      </c>
      <c r="F56" s="361" t="inlineStr">
        <is>
          <t>2022-12-08T00:00:00+07:00</t>
        </is>
      </c>
      <c r="H56" s="361" t="inlineStr">
        <is>
          <t>f6bde5be-8558-47e6-a7f8-b039d3d66f13</t>
        </is>
      </c>
      <c r="I56" s="361" t="inlineStr">
        <is>
          <t>https://censorship.kplus.vn/MediaAssets/Asset/55f69bac-d2ed-ee11-9144-f40270bf9ea7/StreamPreview</t>
        </is>
      </c>
      <c r="J56" s="361" t="inlineStr">
        <is>
          <t>YES</t>
        </is>
      </c>
      <c r="K56" s="361" t="inlineStr">
        <is>
          <t>Success</t>
        </is>
      </c>
    </row>
    <row r="57">
      <c r="A57" s="361" t="inlineStr">
        <is>
          <t>MOV_CRI_24__2710436</t>
        </is>
      </c>
      <c r="B57" s="361" t="inlineStr">
        <is>
          <t>Death Notice</t>
        </is>
      </c>
      <c r="C57" s="361" t="inlineStr">
        <is>
          <t>Movies</t>
        </is>
      </c>
      <c r="D57" s="361" t="n">
        <v>3</v>
      </c>
      <c r="E57" s="361" t="n">
        <v>2023</v>
      </c>
      <c r="F57" s="361" t="inlineStr">
        <is>
          <t>2024-01-09T00:00:00+07:00</t>
        </is>
      </c>
      <c r="H57" s="361" t="inlineStr">
        <is>
          <t>49422cb7-b8e8-4d8b-b726-0dc5dff940c8</t>
        </is>
      </c>
      <c r="I57" s="361" t="inlineStr">
        <is>
          <t>https://censorship.kplus.vn/MediaAssets/Asset/e7db8312-17f8-ee11-9144-f40270bf9ea7/StreamPreview</t>
        </is>
      </c>
      <c r="J57" s="361" t="inlineStr">
        <is>
          <t>YES</t>
        </is>
      </c>
      <c r="K57" s="361" t="inlineStr">
        <is>
          <t>Success</t>
        </is>
      </c>
    </row>
    <row r="58">
      <c r="A58" s="361" t="inlineStr">
        <is>
          <t>MOV_DRA_23__2694714</t>
        </is>
      </c>
      <c r="B58" s="361" t="inlineStr">
        <is>
          <t>My girl</t>
        </is>
      </c>
      <c r="C58" s="361" t="inlineStr">
        <is>
          <t>Movies</t>
        </is>
      </c>
      <c r="D58" s="361" t="n">
        <v>3</v>
      </c>
      <c r="E58" s="361" t="n">
        <v>2022</v>
      </c>
      <c r="F58" s="361" t="inlineStr">
        <is>
          <t>2023-04-13T00:00:00+07:00</t>
        </is>
      </c>
      <c r="H58" s="361" t="inlineStr">
        <is>
          <t>b77361af-2074-447e-9cba-54d1b9639e6d</t>
        </is>
      </c>
      <c r="I58" s="361" t="inlineStr">
        <is>
          <t>https://censorship.kplus.vn/MediaAssets/Asset/f15433e5-45f0-ee11-9144-f40270bf9ea7/StreamPreview</t>
        </is>
      </c>
      <c r="J58" s="361" t="inlineStr">
        <is>
          <t>YES</t>
        </is>
      </c>
      <c r="K58" s="361" t="inlineStr">
        <is>
          <t>Success</t>
        </is>
      </c>
    </row>
    <row r="59">
      <c r="A59" s="361" t="inlineStr">
        <is>
          <t>MOV_ROM99</t>
        </is>
      </c>
      <c r="B59" s="361" t="inlineStr">
        <is>
          <t>One week friends</t>
        </is>
      </c>
      <c r="C59" s="361" t="inlineStr">
        <is>
          <t>Movies</t>
        </is>
      </c>
      <c r="D59" s="361" t="n">
        <v>2</v>
      </c>
      <c r="E59" s="361" t="n">
        <v>2022</v>
      </c>
      <c r="F59" s="361" t="inlineStr">
        <is>
          <t>2024-12-18T00:00:00+07:00</t>
        </is>
      </c>
      <c r="H59" s="361" t="inlineStr">
        <is>
          <t>70daa256-95d2-458f-83d1-d28895666663</t>
        </is>
      </c>
      <c r="I59" s="361" t="inlineStr">
        <is>
          <t>https://censorship.kplus.vn/MediaAssets/Asset/6e637229-4ed2-ef11-8593-0c42a12723cb/StreamPreview</t>
        </is>
      </c>
      <c r="J59" s="361" t="inlineStr">
        <is>
          <t>YES</t>
        </is>
      </c>
      <c r="K59" s="361" t="inlineStr">
        <is>
          <t>Success</t>
        </is>
      </c>
    </row>
    <row r="60">
      <c r="A60" s="361" t="inlineStr">
        <is>
          <t>MOV_BIO25</t>
        </is>
      </c>
      <c r="B60" s="361" t="inlineStr">
        <is>
          <t>Marshall</t>
        </is>
      </c>
      <c r="C60" s="361" t="inlineStr">
        <is>
          <t>Movies</t>
        </is>
      </c>
      <c r="D60" s="361" t="n">
        <v>3</v>
      </c>
      <c r="E60" s="361" t="n">
        <v>2017</v>
      </c>
      <c r="F60" s="361" t="inlineStr">
        <is>
          <t>2025-02-26T00:00:00+07:00</t>
        </is>
      </c>
      <c r="H60" s="361" t="inlineStr">
        <is>
          <t>75810ebb-ed53-4569-a159-d3a2f347f43d</t>
        </is>
      </c>
      <c r="I60" s="361" t="inlineStr">
        <is>
          <t>https://censorship.kplus.vn/MediaAssets/Asset/92da8383-ac0b-f011-8593-0c42a12723cb/StreamPreview</t>
        </is>
      </c>
      <c r="J60" s="361" t="inlineStr">
        <is>
          <t>YES</t>
        </is>
      </c>
      <c r="K60" s="361" t="inlineStr">
        <is>
          <t>Success</t>
        </is>
      </c>
    </row>
    <row r="61">
      <c r="A61" s="361" t="inlineStr">
        <is>
          <t>MOV_DRA_24__2710431</t>
        </is>
      </c>
      <c r="B61" s="361" t="inlineStr">
        <is>
          <t>Last Night</t>
        </is>
      </c>
      <c r="C61" s="361" t="inlineStr">
        <is>
          <t>Movies</t>
        </is>
      </c>
      <c r="D61" s="361" t="n">
        <v>2</v>
      </c>
      <c r="E61" s="361" t="n">
        <v>2010</v>
      </c>
      <c r="F61" s="361" t="inlineStr">
        <is>
          <t>2024-01-09T00:00:00+07:00</t>
        </is>
      </c>
      <c r="H61" s="361" t="inlineStr">
        <is>
          <t>a8769025-bed5-454a-b7a5-d1eed7447209</t>
        </is>
      </c>
      <c r="I61" s="361" t="inlineStr">
        <is>
          <t>https://censorship.kplus.vn/MediaAssets/Asset/2c29860d-0df8-ee11-9144-f40270bf9ea7/StreamPreview</t>
        </is>
      </c>
      <c r="J61" s="361" t="inlineStr">
        <is>
          <t>YES</t>
        </is>
      </c>
      <c r="K61" s="361" t="inlineStr">
        <is>
          <t>Success</t>
        </is>
      </c>
    </row>
    <row r="62">
      <c r="A62" s="361" t="inlineStr">
        <is>
          <t>MOV_CRI112</t>
        </is>
      </c>
      <c r="B62" s="361" t="inlineStr">
        <is>
          <t>Woman of the hour</t>
        </is>
      </c>
      <c r="C62" s="361" t="inlineStr">
        <is>
          <t>Movies</t>
        </is>
      </c>
      <c r="D62" s="361" t="n">
        <v>3</v>
      </c>
      <c r="E62" s="361" t="n">
        <v>2024</v>
      </c>
      <c r="F62" s="361" t="inlineStr">
        <is>
          <t>2025-03-12T00:00:00+07:00</t>
        </is>
      </c>
      <c r="H62" s="361" t="inlineStr">
        <is>
          <t>ced10def-aa27-441a-b30a-eff6eb81e7a0</t>
        </is>
      </c>
      <c r="I62" s="361" t="inlineStr">
        <is>
          <t>https://censorship.kplus.vn/MediaAssets/Asset/1e60548c-220e-f011-8593-0c42a12723cb/StreamPreview</t>
        </is>
      </c>
      <c r="J62" s="361" t="inlineStr">
        <is>
          <t>YES</t>
        </is>
      </c>
      <c r="K62" s="361" t="inlineStr">
        <is>
          <t>Success</t>
        </is>
      </c>
    </row>
    <row r="63">
      <c r="A63" s="361" t="inlineStr">
        <is>
          <t>MOV_DRA_24__2712649</t>
        </is>
      </c>
      <c r="B63" s="361" t="inlineStr">
        <is>
          <t>Phantom Thread</t>
        </is>
      </c>
      <c r="C63" s="361" t="inlineStr">
        <is>
          <t>Movies</t>
        </is>
      </c>
      <c r="D63" s="361" t="n">
        <v>3</v>
      </c>
      <c r="E63" s="361" t="n">
        <v>2017</v>
      </c>
      <c r="F63" s="361" t="inlineStr">
        <is>
          <t>2024-02-16T00:00:00+07:00</t>
        </is>
      </c>
      <c r="H63" s="361" t="inlineStr">
        <is>
          <t>11bc91f4-93af-4874-a792-255ca791e5cb</t>
        </is>
      </c>
      <c r="I63" s="361" t="inlineStr">
        <is>
          <t>https://censorship.kplus.vn/MediaAssets/Asset/19783d90-0bf8-ee11-9144-f40270bf9ea7/StreamPreview</t>
        </is>
      </c>
      <c r="J63" s="361" t="inlineStr">
        <is>
          <t>YES</t>
        </is>
      </c>
      <c r="K63" s="361" t="inlineStr">
        <is>
          <t>Success</t>
        </is>
      </c>
    </row>
    <row r="64">
      <c r="A64" s="361" t="inlineStr">
        <is>
          <t>MOV_ACT608</t>
        </is>
      </c>
      <c r="B64" s="361" t="inlineStr">
        <is>
          <t>Elysium</t>
        </is>
      </c>
      <c r="C64" s="361" t="inlineStr">
        <is>
          <t>Movies</t>
        </is>
      </c>
      <c r="D64" s="361" t="n">
        <v>3</v>
      </c>
      <c r="F64" s="361" t="inlineStr">
        <is>
          <t>2025-02-26T00:00:00+07:00</t>
        </is>
      </c>
      <c r="H64" s="361" t="inlineStr">
        <is>
          <t>ecd81622-b53c-4a29-a8d5-a9929542c4e4</t>
        </is>
      </c>
      <c r="I64" s="361" t="inlineStr">
        <is>
          <t>https://censorship.kplus.vn/MediaAssets/Asset/76172eb6-a90b-f011-8593-0c42a12723cb/StreamPreview</t>
        </is>
      </c>
      <c r="J64" s="361" t="inlineStr">
        <is>
          <t>YES</t>
        </is>
      </c>
      <c r="K64" s="361" t="inlineStr">
        <is>
          <t>Success</t>
        </is>
      </c>
    </row>
    <row r="65">
      <c r="A65" s="361" t="inlineStr">
        <is>
          <t>MOV_HOR_22__2686491</t>
        </is>
      </c>
      <c r="B65" s="361" t="inlineStr">
        <is>
          <t>Countdown (US)</t>
        </is>
      </c>
      <c r="C65" s="361" t="inlineStr">
        <is>
          <t>Movies</t>
        </is>
      </c>
      <c r="D65" s="361" t="n">
        <v>4</v>
      </c>
      <c r="E65" s="361" t="n">
        <v>2019</v>
      </c>
      <c r="F65" s="361" t="inlineStr">
        <is>
          <t>2022-12-08T00:00:00+07:00</t>
        </is>
      </c>
      <c r="H65" s="361" t="inlineStr">
        <is>
          <t>e89dcc78-bd41-48a5-a443-11ed62874399</t>
        </is>
      </c>
      <c r="I65" s="361" t="inlineStr">
        <is>
          <t>https://censorship.kplus.vn/MediaAssets/Asset/7ca6779f-d0ed-ee11-9144-f40270bf9ea7/StreamPreview</t>
        </is>
      </c>
      <c r="J65" s="361" t="inlineStr">
        <is>
          <t>YES</t>
        </is>
      </c>
      <c r="K65" s="361" t="inlineStr">
        <is>
          <t>Success</t>
        </is>
      </c>
    </row>
    <row r="66">
      <c r="A66" s="361" t="inlineStr">
        <is>
          <t>MOV_DRA_23__2698013</t>
        </is>
      </c>
      <c r="B66" s="361" t="inlineStr">
        <is>
          <t>The Woman Who Ran</t>
        </is>
      </c>
      <c r="C66" s="361" t="inlineStr">
        <is>
          <t>Movies</t>
        </is>
      </c>
      <c r="D66" s="361" t="n">
        <v>2</v>
      </c>
      <c r="E66" s="361" t="n">
        <v>2020</v>
      </c>
      <c r="F66" s="361" t="inlineStr">
        <is>
          <t>2023-05-24T00:00:00+07:00</t>
        </is>
      </c>
      <c r="H66" s="361" t="inlineStr">
        <is>
          <t>5fa4df1f-2b28-4402-96dc-eb65e637ebf0</t>
        </is>
      </c>
      <c r="I66" s="361" t="inlineStr">
        <is>
          <t>https://censorship.kplus.vn/MediaAssets/Asset/089e84fb-4af0-ee11-9144-f40270bf9ea7/StreamPreview</t>
        </is>
      </c>
      <c r="J66" s="361" t="inlineStr">
        <is>
          <t>YES</t>
        </is>
      </c>
      <c r="K66" s="361" t="inlineStr">
        <is>
          <t>Success</t>
        </is>
      </c>
    </row>
    <row r="67">
      <c r="A67" s="361" t="inlineStr">
        <is>
          <t>MOV_ADV_22__2686513</t>
        </is>
      </c>
      <c r="B67" s="361" t="inlineStr">
        <is>
          <t>Arctic</t>
        </is>
      </c>
      <c r="C67" s="361" t="inlineStr">
        <is>
          <t>Movies</t>
        </is>
      </c>
      <c r="D67" s="361" t="n">
        <v>2</v>
      </c>
      <c r="E67" s="361" t="n">
        <v>2018</v>
      </c>
      <c r="F67" s="361" t="inlineStr">
        <is>
          <t>2022-12-08T00:00:00+07:00</t>
        </is>
      </c>
      <c r="H67" s="361" t="inlineStr">
        <is>
          <t>0bb30b57-9133-40d7-800a-319415635db2</t>
        </is>
      </c>
      <c r="I67" s="361" t="inlineStr">
        <is>
          <t>https://censorship.kplus.vn/MediaAssets/Asset/060fe2bf-cbed-ee11-9144-f40270bf9ea7/StreamPreview</t>
        </is>
      </c>
      <c r="J67" s="361" t="inlineStr">
        <is>
          <t>YES</t>
        </is>
      </c>
      <c r="K67" s="361" t="inlineStr">
        <is>
          <t>Success</t>
        </is>
      </c>
    </row>
    <row r="68">
      <c r="A68" s="361" t="inlineStr">
        <is>
          <t>MOV_ACT_24__2713785</t>
        </is>
      </c>
      <c r="B68" s="361" t="inlineStr">
        <is>
          <t>The bravest</t>
        </is>
      </c>
      <c r="C68" s="361" t="inlineStr">
        <is>
          <t>Movies</t>
        </is>
      </c>
      <c r="D68" s="361" t="n">
        <v>2</v>
      </c>
      <c r="E68" s="361" t="n">
        <v>2019</v>
      </c>
      <c r="F68" s="361" t="inlineStr">
        <is>
          <t>2024-03-05T00:00:00+07:00</t>
        </is>
      </c>
      <c r="H68" s="361" t="inlineStr">
        <is>
          <t>c71c93a1-6d09-4288-a386-98bc7c9d8cb4</t>
        </is>
      </c>
      <c r="I68" s="361" t="inlineStr">
        <is>
          <t>https://censorship.kplus.vn/MediaAssets/Asset/abc5582b-3df8-ee11-9144-f40270bf9ea7/StreamPreview</t>
        </is>
      </c>
      <c r="J68" s="361" t="inlineStr">
        <is>
          <t>YES</t>
        </is>
      </c>
      <c r="K68" s="361" t="inlineStr">
        <is>
          <t>Success</t>
        </is>
      </c>
    </row>
    <row r="69">
      <c r="A69" s="361" t="inlineStr">
        <is>
          <t>MOV_ACT588</t>
        </is>
      </c>
      <c r="B69" s="361" t="inlineStr">
        <is>
          <t>Ride Along 2</t>
        </is>
      </c>
      <c r="C69" s="361" t="inlineStr">
        <is>
          <t>Movies</t>
        </is>
      </c>
      <c r="D69" s="361" t="n">
        <v>3</v>
      </c>
      <c r="E69" s="361" t="n">
        <v>2016</v>
      </c>
      <c r="F69" s="361" t="inlineStr">
        <is>
          <t>2024-07-17T00:00:00+07:00</t>
        </is>
      </c>
      <c r="H69" s="361" t="inlineStr">
        <is>
          <t>d10d2da7-1b5d-4056-996d-32589caa938d</t>
        </is>
      </c>
      <c r="I69" s="361" t="inlineStr">
        <is>
          <t>https://censorship.kplus.vn/MediaAssets/Asset/e63c2091-9788-ef11-8593-0c42a12723cb/StreamPreview</t>
        </is>
      </c>
      <c r="J69" s="361" t="inlineStr">
        <is>
          <t>YES</t>
        </is>
      </c>
      <c r="K69" s="361" t="inlineStr">
        <is>
          <t>Success</t>
        </is>
      </c>
    </row>
    <row r="70">
      <c r="A70" s="361" t="inlineStr">
        <is>
          <t>MOV_COM_22__2686870</t>
        </is>
      </c>
      <c r="B70" s="361" t="inlineStr">
        <is>
          <t>Love again</t>
        </is>
      </c>
      <c r="C70" s="361" t="inlineStr">
        <is>
          <t>Movies</t>
        </is>
      </c>
      <c r="D70" s="361" t="n">
        <v>3</v>
      </c>
      <c r="E70" s="361" t="n">
        <v>2019</v>
      </c>
      <c r="F70" s="361" t="inlineStr">
        <is>
          <t>2022-12-15T00:00:00+07:00</t>
        </is>
      </c>
      <c r="H70" s="361" t="inlineStr">
        <is>
          <t>1678f8ff-bd0b-4e92-8d00-dc310f15e4f9</t>
        </is>
      </c>
      <c r="I70" s="361" t="inlineStr">
        <is>
          <t>https://censorship.kplus.vn/MediaAssets/Asset/ee2e91b2-cced-ee11-9144-f40270bf9ea7/StreamPreview</t>
        </is>
      </c>
      <c r="J70" s="361" t="inlineStr">
        <is>
          <t>YES</t>
        </is>
      </c>
      <c r="K70" s="361" t="inlineStr">
        <is>
          <t>Success</t>
        </is>
      </c>
    </row>
    <row r="71">
      <c r="A71" s="361" t="inlineStr">
        <is>
          <t>MOV_COM290</t>
        </is>
      </c>
      <c r="B71" s="361" t="inlineStr">
        <is>
          <t>The Royal Bride</t>
        </is>
      </c>
      <c r="C71" s="361" t="inlineStr">
        <is>
          <t>Movies</t>
        </is>
      </c>
      <c r="D71" s="361" t="n">
        <v>3</v>
      </c>
      <c r="E71" s="361" t="n">
        <v>2020</v>
      </c>
      <c r="F71" s="361" t="inlineStr">
        <is>
          <t>2024-12-11T00:00:00+07:00</t>
        </is>
      </c>
      <c r="H71" s="361" t="inlineStr">
        <is>
          <t>f070a445-e563-427e-a25d-f36acc0302ef</t>
        </is>
      </c>
      <c r="I71" s="361" t="inlineStr">
        <is>
          <t>https://censorship.kplus.vn/MediaAssets/Asset/cd5e0583-71bf-ef11-8593-0c42a12723cb/StreamPreview</t>
        </is>
      </c>
      <c r="J71" s="361" t="inlineStr">
        <is>
          <t>YES</t>
        </is>
      </c>
      <c r="K71" s="361" t="inlineStr">
        <is>
          <t>Success</t>
        </is>
      </c>
    </row>
    <row r="72">
      <c r="A72" s="361" t="inlineStr">
        <is>
          <t>MOV_COM_23__2697133</t>
        </is>
      </c>
      <c r="B72" s="361" t="inlineStr">
        <is>
          <t>More than family</t>
        </is>
      </c>
      <c r="C72" s="361" t="inlineStr">
        <is>
          <t>Movies</t>
        </is>
      </c>
      <c r="D72" s="361" t="n">
        <v>3</v>
      </c>
      <c r="E72" s="361" t="n">
        <v>2020</v>
      </c>
      <c r="F72" s="361" t="inlineStr">
        <is>
          <t>2023-05-12T00:00:00+07:00</t>
        </is>
      </c>
      <c r="H72" s="361" t="inlineStr">
        <is>
          <t>ff87254e-a32c-4fad-a344-f1cf8e6efca2</t>
        </is>
      </c>
      <c r="I72" s="361" t="inlineStr">
        <is>
          <t>https://censorship.kplus.vn/MediaAssets/Asset/edf5e806-6ef0-ee11-9144-f40270bf9ea7/StreamPreview</t>
        </is>
      </c>
      <c r="J72" s="361" t="inlineStr">
        <is>
          <t>YES</t>
        </is>
      </c>
      <c r="K72" s="361" t="inlineStr">
        <is>
          <t>Success</t>
        </is>
      </c>
    </row>
    <row r="73">
      <c r="A73" s="361" t="inlineStr">
        <is>
          <t>MOV_ACT610</t>
        </is>
      </c>
      <c r="B73" s="361" t="inlineStr">
        <is>
          <t xml:space="preserve">Good job </t>
        </is>
      </c>
      <c r="C73" s="361" t="inlineStr">
        <is>
          <t>Movies</t>
        </is>
      </c>
      <c r="D73" s="361" t="n">
        <v>3</v>
      </c>
      <c r="E73" s="361" t="n">
        <v>2023</v>
      </c>
      <c r="F73" s="361" t="inlineStr">
        <is>
          <t>2025-03-19T00:00:00+07:00</t>
        </is>
      </c>
      <c r="H73" s="361" t="inlineStr">
        <is>
          <t>cec9ab68-c716-4c5f-aefe-59d90b65cccb</t>
        </is>
      </c>
      <c r="I73" s="361" t="inlineStr">
        <is>
          <t>https://censorship.kplus.vn/MediaAssets/Asset/ffaff898-c415-f011-8593-0c42a12723cb/StreamPreview</t>
        </is>
      </c>
      <c r="J73" s="361" t="inlineStr">
        <is>
          <t>YES</t>
        </is>
      </c>
      <c r="K73" s="361" t="inlineStr">
        <is>
          <t>Success</t>
        </is>
      </c>
    </row>
    <row r="74">
      <c r="A74" s="361" t="inlineStr">
        <is>
          <t>MOV_ACT_24__2714420</t>
        </is>
      </c>
      <c r="B74" s="361" t="inlineStr">
        <is>
          <t>The Age of Blood</t>
        </is>
      </c>
      <c r="C74" s="361" t="inlineStr">
        <is>
          <t>Movies</t>
        </is>
      </c>
      <c r="D74" s="361" t="n">
        <v>3</v>
      </c>
      <c r="E74" s="361" t="n">
        <v>2017</v>
      </c>
      <c r="F74" s="361" t="inlineStr">
        <is>
          <t>2024-03-15T00:00:00+07:00</t>
        </is>
      </c>
      <c r="H74" s="361" t="inlineStr">
        <is>
          <t>9c66f642-f344-4e09-a4ea-39d3a909aca3</t>
        </is>
      </c>
      <c r="I74" s="361" t="inlineStr">
        <is>
          <t>https://censorship.kplus.vn/MediaAssets/Asset/a5bbd01c-4f01-ef11-9144-f40270bf9ea7/StreamPreview</t>
        </is>
      </c>
      <c r="J74" s="361" t="inlineStr">
        <is>
          <t>YES</t>
        </is>
      </c>
      <c r="K74" s="361" t="inlineStr">
        <is>
          <t>Success</t>
        </is>
      </c>
    </row>
    <row r="75">
      <c r="A75" s="361" t="inlineStr">
        <is>
          <t>MOV_BIO_24__2713783</t>
        </is>
      </c>
      <c r="B75" s="361" t="inlineStr">
        <is>
          <t>A Beautiful Day in the Neighborhood</t>
        </is>
      </c>
      <c r="C75" s="361" t="inlineStr">
        <is>
          <t>Movies</t>
        </is>
      </c>
      <c r="D75" s="361" t="n">
        <v>2</v>
      </c>
      <c r="E75" s="361" t="n">
        <v>2019</v>
      </c>
      <c r="F75" s="361" t="inlineStr">
        <is>
          <t>2024-03-05T00:00:00+07:00</t>
        </is>
      </c>
      <c r="H75" s="361" t="inlineStr">
        <is>
          <t>edb0cf65-3881-4096-8b68-5dd8459e3a8a</t>
        </is>
      </c>
      <c r="I75" s="361" t="inlineStr">
        <is>
          <t>https://censorship.kplus.vn/MediaAssets/Asset/1f66ab66-ef0d-ef11-9144-f40270bf9ea7/StreamPreview</t>
        </is>
      </c>
      <c r="J75" s="361" t="inlineStr">
        <is>
          <t>YES</t>
        </is>
      </c>
      <c r="K75" s="361" t="inlineStr">
        <is>
          <t>Success</t>
        </is>
      </c>
    </row>
    <row r="76">
      <c r="A76" s="361" t="inlineStr">
        <is>
          <t>MOV_ACT576</t>
        </is>
      </c>
      <c r="B76" s="361" t="inlineStr">
        <is>
          <t>Hanna</t>
        </is>
      </c>
      <c r="C76" s="361" t="inlineStr">
        <is>
          <t>Movies</t>
        </is>
      </c>
      <c r="D76" s="361" t="n">
        <v>3</v>
      </c>
      <c r="E76" s="361" t="n">
        <v>2011</v>
      </c>
      <c r="F76" s="361" t="inlineStr">
        <is>
          <t>2024-06-19T00:00:00+07:00</t>
        </is>
      </c>
      <c r="H76" s="361" t="inlineStr">
        <is>
          <t>25430911-4471-4510-82ca-aae7360731fb</t>
        </is>
      </c>
      <c r="I76" s="361" t="inlineStr">
        <is>
          <t>https://censorship.kplus.vn/MediaAssets/Asset/640403e3-6c58-ef11-914a-f40270bf9ea7/StreamPreview</t>
        </is>
      </c>
      <c r="J76" s="361" t="inlineStr">
        <is>
          <t>YES</t>
        </is>
      </c>
      <c r="K76" s="361" t="inlineStr">
        <is>
          <t>Success</t>
        </is>
      </c>
    </row>
    <row r="77">
      <c r="A77" s="361" t="inlineStr">
        <is>
          <t>MOV_ROM_22__2686497</t>
        </is>
      </c>
      <c r="B77" s="361" t="inlineStr">
        <is>
          <t>My Love</t>
        </is>
      </c>
      <c r="C77" s="361" t="inlineStr">
        <is>
          <t>Movies</t>
        </is>
      </c>
      <c r="D77" s="361" t="n">
        <v>2</v>
      </c>
      <c r="E77" s="361" t="n">
        <v>2021</v>
      </c>
      <c r="F77" s="361" t="inlineStr">
        <is>
          <t>2022-12-08T00:00:00+07:00</t>
        </is>
      </c>
      <c r="H77" s="361" t="inlineStr">
        <is>
          <t>3782eab2-31e8-42ba-ae5f-6bebeefc5894</t>
        </is>
      </c>
      <c r="I77" s="361" t="inlineStr">
        <is>
          <t>https://censorship.kplus.vn/MediaAssets/Asset/dcb4dfe3-d4ed-ee11-9144-f40270bf9ea7/StreamPreview</t>
        </is>
      </c>
      <c r="J77" s="361" t="inlineStr">
        <is>
          <t>YES</t>
        </is>
      </c>
      <c r="K77" s="361" t="inlineStr">
        <is>
          <t>Success</t>
        </is>
      </c>
    </row>
    <row r="78">
      <c r="A78" s="361" t="inlineStr">
        <is>
          <t>MOV_ANI_23__2698581</t>
        </is>
      </c>
      <c r="B78" s="361" t="inlineStr">
        <is>
          <t>Paws of Fury: The Legend of Hank</t>
        </is>
      </c>
      <c r="C78" s="361" t="inlineStr">
        <is>
          <t>Movies</t>
        </is>
      </c>
      <c r="D78" s="361" t="n">
        <v>1</v>
      </c>
      <c r="E78" s="361" t="n">
        <v>2022</v>
      </c>
      <c r="F78" s="361" t="inlineStr">
        <is>
          <t>2023-06-07T00:00:00+07:00</t>
        </is>
      </c>
      <c r="H78" s="361" t="inlineStr">
        <is>
          <t>ac2a3fd4-f7b3-425b-81d5-d1dfb1db04ca</t>
        </is>
      </c>
      <c r="I78" s="361" t="inlineStr">
        <is>
          <t>https://censorship.kplus.vn/MediaAssets/Asset/5d166dc4-8cf0-ee11-9144-f40270bf9ea7/StreamPreview</t>
        </is>
      </c>
      <c r="J78" s="361" t="inlineStr">
        <is>
          <t>YES</t>
        </is>
      </c>
      <c r="K78" s="361" t="inlineStr">
        <is>
          <t>Success</t>
        </is>
      </c>
    </row>
    <row r="79">
      <c r="A79" s="361" t="inlineStr">
        <is>
          <t>MOV_ACT_22__2686498</t>
        </is>
      </c>
      <c r="B79" s="361" t="inlineStr">
        <is>
          <t>Pipeline</t>
        </is>
      </c>
      <c r="C79" s="361" t="inlineStr">
        <is>
          <t>Movies</t>
        </is>
      </c>
      <c r="D79" s="361" t="n">
        <v>3</v>
      </c>
      <c r="E79" s="361" t="n">
        <v>2021</v>
      </c>
      <c r="F79" s="361" t="inlineStr">
        <is>
          <t>2022-12-08T00:00:00+07:00</t>
        </is>
      </c>
      <c r="H79" s="361" t="inlineStr">
        <is>
          <t>58446384-1c67-40d0-829f-281d75f96bc1</t>
        </is>
      </c>
      <c r="I79" s="361" t="inlineStr">
        <is>
          <t>https://censorship.kplus.vn/MediaAssets/Asset/3ad15185-ceed-ee11-9144-f40270bf9ea7/StreamPreview</t>
        </is>
      </c>
      <c r="J79" s="361" t="inlineStr">
        <is>
          <t>YES</t>
        </is>
      </c>
      <c r="K79" s="361" t="inlineStr">
        <is>
          <t>Success</t>
        </is>
      </c>
    </row>
    <row r="80">
      <c r="A80" s="361" t="inlineStr">
        <is>
          <t>MOV_DRA753</t>
        </is>
      </c>
      <c r="B80" s="361" t="inlineStr">
        <is>
          <t>Tár</t>
        </is>
      </c>
      <c r="C80" s="361" t="inlineStr">
        <is>
          <t>Movies</t>
        </is>
      </c>
      <c r="D80" s="361" t="n">
        <v>3</v>
      </c>
      <c r="E80" s="361" t="n">
        <v>2022</v>
      </c>
      <c r="F80" s="361" t="inlineStr">
        <is>
          <t>2025-03-04T00:00:00+07:00</t>
        </is>
      </c>
      <c r="H80" s="361" t="inlineStr">
        <is>
          <t>ce0be7fc-7002-400a-b62e-884259d3a469</t>
        </is>
      </c>
      <c r="I80" s="361" t="inlineStr">
        <is>
          <t>https://censorship.kplus.vn/MediaAssets/Asset/966c462a-a01a-f011-8593-0c42a12723cb/StreamPreview</t>
        </is>
      </c>
      <c r="J80" s="361" t="inlineStr">
        <is>
          <t>YES</t>
        </is>
      </c>
      <c r="K80" s="361" t="inlineStr">
        <is>
          <t>Success</t>
        </is>
      </c>
    </row>
    <row r="81">
      <c r="A81" s="361" t="inlineStr">
        <is>
          <t>MOV_THR_21__2648729</t>
        </is>
      </c>
      <c r="B81" s="361" t="inlineStr">
        <is>
          <t>PROPHECY</t>
        </is>
      </c>
      <c r="C81" s="361" t="inlineStr">
        <is>
          <t>Movies</t>
        </is>
      </c>
      <c r="D81" s="361" t="n">
        <v>2</v>
      </c>
      <c r="E81" s="361" t="n">
        <v>2015</v>
      </c>
      <c r="F81" s="361" t="inlineStr">
        <is>
          <t>2021-04-23T00:00:00+07:00</t>
        </is>
      </c>
      <c r="H81" s="361" t="inlineStr">
        <is>
          <t>eaa2dac2-cd4b-4de0-839a-a7783b6e5e38</t>
        </is>
      </c>
      <c r="I81" s="361" t="inlineStr">
        <is>
          <t>https://censorship.kplus.vn/MediaAssets/Asset/2b5a4e08-40f8-ee11-9144-f40270bf9ea7/StreamPreview</t>
        </is>
      </c>
      <c r="J81" s="361" t="inlineStr">
        <is>
          <t>YES</t>
        </is>
      </c>
      <c r="K81" s="361" t="inlineStr">
        <is>
          <t>Success</t>
        </is>
      </c>
    </row>
    <row r="82">
      <c r="A82" s="361" t="inlineStr">
        <is>
          <t>MOV_ACT600</t>
        </is>
      </c>
      <c r="B82" s="361" t="inlineStr">
        <is>
          <t>Honeysweet</t>
        </is>
      </c>
      <c r="C82" s="361" t="inlineStr">
        <is>
          <t>Movies</t>
        </is>
      </c>
      <c r="D82" s="361" t="n">
        <v>1</v>
      </c>
      <c r="E82" s="361" t="n">
        <v>2023</v>
      </c>
      <c r="F82" s="361" t="inlineStr">
        <is>
          <t>2025-01-01T00:00:00+07:00</t>
        </is>
      </c>
      <c r="H82" s="361" t="inlineStr">
        <is>
          <t>3046f156-70a8-455d-adae-083287fa6de1</t>
        </is>
      </c>
      <c r="I82" s="361" t="inlineStr">
        <is>
          <t>https://censorship.kplus.vn/MediaAssets/Asset/f034e22e-ebd3-ef11-8593-0c42a12723cb/StreamPreview</t>
        </is>
      </c>
      <c r="J82" s="361" t="inlineStr">
        <is>
          <t>YES</t>
        </is>
      </c>
      <c r="K82" s="361" t="inlineStr">
        <is>
          <t>Success</t>
        </is>
      </c>
    </row>
    <row r="83">
      <c r="A83" s="361" t="inlineStr">
        <is>
          <t>MOV_COM291</t>
        </is>
      </c>
      <c r="B83" s="361" t="inlineStr">
        <is>
          <t>Godspeed</t>
        </is>
      </c>
      <c r="C83" s="361" t="inlineStr">
        <is>
          <t>Movies</t>
        </is>
      </c>
      <c r="D83" s="361" t="n">
        <v>2</v>
      </c>
      <c r="E83" s="361" t="n">
        <v>2023</v>
      </c>
      <c r="F83" s="361" t="inlineStr">
        <is>
          <t>2024-12-18T00:00:00+07:00</t>
        </is>
      </c>
      <c r="H83" s="361" t="inlineStr">
        <is>
          <t>1ef8672b-f613-4d0c-a961-a8f2964f07e0</t>
        </is>
      </c>
      <c r="I83" s="361" t="inlineStr">
        <is>
          <t>https://censorship.kplus.vn/MediaAssets/Asset/c1c0f282-70d1-ef11-8593-0c42a12723cb/StreamPreview</t>
        </is>
      </c>
      <c r="J83" s="361" t="inlineStr">
        <is>
          <t>YES</t>
        </is>
      </c>
      <c r="K83" s="361" t="inlineStr">
        <is>
          <t>Success</t>
        </is>
      </c>
    </row>
    <row r="84">
      <c r="A84" s="361" t="inlineStr">
        <is>
          <t>MOV_ACT_22__2686499</t>
        </is>
      </c>
      <c r="B84" s="361" t="inlineStr">
        <is>
          <t>Hard Hit</t>
        </is>
      </c>
      <c r="C84" s="361" t="inlineStr">
        <is>
          <t>Movies</t>
        </is>
      </c>
      <c r="D84" s="361" t="n">
        <v>3</v>
      </c>
      <c r="E84" s="361" t="n">
        <v>2021</v>
      </c>
      <c r="F84" s="361" t="inlineStr">
        <is>
          <t>2022-12-08T00:00:00+07:00</t>
        </is>
      </c>
      <c r="H84" s="361" t="inlineStr">
        <is>
          <t>5aab7a74-7293-4ac9-8bf4-9f4b731167f1</t>
        </is>
      </c>
      <c r="I84" s="361" t="inlineStr">
        <is>
          <t>https://censorship.kplus.vn/MediaAssets/Asset/c527ea46-4cf5-ee11-9144-f40270bf9ea7/StreamPreview</t>
        </is>
      </c>
      <c r="J84" s="361" t="inlineStr">
        <is>
          <t>YES</t>
        </is>
      </c>
      <c r="K84" s="361" t="inlineStr">
        <is>
          <t>Success</t>
        </is>
      </c>
    </row>
    <row r="85">
      <c r="A85" s="361" t="inlineStr">
        <is>
          <t>MOV_ANI_22__2686853</t>
        </is>
      </c>
      <c r="B85" s="361" t="inlineStr">
        <is>
          <t>Minions</t>
        </is>
      </c>
      <c r="C85" s="361" t="inlineStr">
        <is>
          <t>Movies</t>
        </is>
      </c>
      <c r="D85" s="361" t="n">
        <v>1</v>
      </c>
      <c r="E85" s="361" t="n">
        <v>2015</v>
      </c>
      <c r="F85" s="361" t="inlineStr">
        <is>
          <t>2022-12-14T00:00:00+07:00</t>
        </is>
      </c>
      <c r="H85" s="361" t="inlineStr">
        <is>
          <t>525998e7-7805-40a3-a5e1-a2acca3f03fa</t>
        </is>
      </c>
      <c r="I85" s="361" t="inlineStr">
        <is>
          <t>https://censorship.kplus.vn/MediaAssets/Asset/5bf09670-cbed-ee11-9144-f40270bf9ea7/StreamPreview</t>
        </is>
      </c>
      <c r="J85" s="361" t="inlineStr">
        <is>
          <t>YES</t>
        </is>
      </c>
      <c r="K85" s="361" t="inlineStr">
        <is>
          <t>Success</t>
        </is>
      </c>
    </row>
    <row r="86">
      <c r="A86" s="361" t="inlineStr">
        <is>
          <t>MOV_COM_22__2686517</t>
        </is>
      </c>
      <c r="B86" s="361" t="inlineStr">
        <is>
          <t>Blithe Spirit</t>
        </is>
      </c>
      <c r="C86" s="361" t="inlineStr">
        <is>
          <t>Movies</t>
        </is>
      </c>
      <c r="D86" s="361" t="n">
        <v>2</v>
      </c>
      <c r="E86" s="361" t="n">
        <v>2020</v>
      </c>
      <c r="F86" s="361" t="inlineStr">
        <is>
          <t>2022-12-08T00:00:00+07:00</t>
        </is>
      </c>
      <c r="H86" s="361" t="inlineStr">
        <is>
          <t>84de516c-c37e-4654-b17e-4ec1814ef46a</t>
        </is>
      </c>
      <c r="I86" s="361" t="inlineStr">
        <is>
          <t>https://censorship.kplus.vn/MediaAssets/Asset/f2bd890f-cded-ee11-9144-f40270bf9ea7/StreamPreview</t>
        </is>
      </c>
      <c r="J86" s="361" t="inlineStr">
        <is>
          <t>YES</t>
        </is>
      </c>
      <c r="K86" s="361" t="inlineStr">
        <is>
          <t>Success</t>
        </is>
      </c>
    </row>
    <row r="87">
      <c r="A87" s="361" t="inlineStr">
        <is>
          <t>MOV_HOR_24__2710433</t>
        </is>
      </c>
      <c r="B87" s="361" t="inlineStr">
        <is>
          <t>Vivarium</t>
        </is>
      </c>
      <c r="C87" s="361" t="inlineStr">
        <is>
          <t>Movies</t>
        </is>
      </c>
      <c r="D87" s="361" t="n">
        <v>3</v>
      </c>
      <c r="E87" s="361" t="n">
        <v>2019</v>
      </c>
      <c r="F87" s="361" t="inlineStr">
        <is>
          <t>2024-01-09T00:00:00+07:00</t>
        </is>
      </c>
      <c r="H87" s="361" t="inlineStr">
        <is>
          <t>33676e54-6c85-4eea-a273-a3fae4b41771</t>
        </is>
      </c>
      <c r="I87" s="361" t="inlineStr">
        <is>
          <t>https://censorship.kplus.vn/MediaAssets/Asset/4ba242e9-20f8-ee11-9144-f40270bf9ea7/StreamPreview</t>
        </is>
      </c>
      <c r="J87" s="361" t="inlineStr">
        <is>
          <t>YES</t>
        </is>
      </c>
      <c r="K87" s="361" t="inlineStr">
        <is>
          <t>Success</t>
        </is>
      </c>
    </row>
    <row r="88">
      <c r="A88" s="361" t="inlineStr">
        <is>
          <t>MOV_ANI__2715680</t>
        </is>
      </c>
      <c r="B88" s="361" t="inlineStr">
        <is>
          <t>Sing 2</t>
        </is>
      </c>
      <c r="C88" s="361" t="inlineStr">
        <is>
          <t>Movies</t>
        </is>
      </c>
      <c r="D88" s="361" t="n">
        <v>1</v>
      </c>
      <c r="E88" s="361" t="n">
        <v>2021</v>
      </c>
      <c r="F88" s="361" t="inlineStr">
        <is>
          <t>2024-04-03T00:00:00+07:00</t>
        </is>
      </c>
      <c r="H88" s="361" t="inlineStr">
        <is>
          <t>43f870c2-dcee-4c41-9418-51cbe2e7b31f</t>
        </is>
      </c>
      <c r="I88" s="361" t="inlineStr">
        <is>
          <t>https://censorship.kplus.vn/MediaAssets/Asset/ad34d5bd-1511-ef11-9144-f40270bf9ea7/StreamPreview</t>
        </is>
      </c>
      <c r="J88" s="361" t="inlineStr">
        <is>
          <t>YES</t>
        </is>
      </c>
      <c r="K88" s="361" t="inlineStr">
        <is>
          <t>Success</t>
        </is>
      </c>
    </row>
    <row r="89">
      <c r="A89" s="361" t="inlineStr">
        <is>
          <t>MOV_THR166</t>
        </is>
      </c>
      <c r="B89" s="361" t="inlineStr">
        <is>
          <t>Inside</t>
        </is>
      </c>
      <c r="C89" s="361" t="inlineStr">
        <is>
          <t>Movies</t>
        </is>
      </c>
      <c r="D89" s="361" t="n">
        <v>3</v>
      </c>
      <c r="E89" s="361" t="n">
        <v>2023</v>
      </c>
      <c r="F89" s="361" t="inlineStr">
        <is>
          <t>2025-03-04T00:00:00+07:00</t>
        </is>
      </c>
      <c r="H89" s="361" t="inlineStr">
        <is>
          <t>4754b10d-0f41-40bc-8992-6663d9e5a50f</t>
        </is>
      </c>
      <c r="I89" s="361" t="inlineStr">
        <is>
          <t>https://censorship.kplus.vn/MediaAssets/Asset/f9100115-e319-f011-8593-0c42a12723cb/StreamPreview</t>
        </is>
      </c>
      <c r="J89" s="361" t="inlineStr">
        <is>
          <t>YES</t>
        </is>
      </c>
      <c r="K89" s="361" t="inlineStr">
        <is>
          <t>Success</t>
        </is>
      </c>
    </row>
    <row r="90">
      <c r="A90" s="361" t="inlineStr">
        <is>
          <t>MOV_ACT589</t>
        </is>
      </c>
      <c r="B90" s="361" t="inlineStr">
        <is>
          <t>Iceman</t>
        </is>
      </c>
      <c r="C90" s="361" t="inlineStr">
        <is>
          <t>Movies</t>
        </is>
      </c>
      <c r="D90" s="361" t="n">
        <v>3</v>
      </c>
      <c r="E90" s="361" t="n">
        <v>2014</v>
      </c>
      <c r="F90" s="361" t="inlineStr">
        <is>
          <t>2024-08-04T00:00:00+07:00</t>
        </is>
      </c>
      <c r="H90" s="361" t="inlineStr">
        <is>
          <t>e5245ba0-34dc-48ba-8504-5c08e6ede5cf</t>
        </is>
      </c>
      <c r="I90" s="361" t="inlineStr">
        <is>
          <t>https://censorship.kplus.vn/MediaAssets/Asset/fa9bdfed-7854-ef11-914a-f40270bf9ea7/StreamPreview</t>
        </is>
      </c>
      <c r="J90" s="361" t="inlineStr">
        <is>
          <t>YES</t>
        </is>
      </c>
      <c r="K90" s="361" t="inlineStr">
        <is>
          <t>Success</t>
        </is>
      </c>
    </row>
    <row r="91">
      <c r="A91" s="361" t="inlineStr">
        <is>
          <t>MOV_ACT590</t>
        </is>
      </c>
      <c r="B91" s="361" t="inlineStr">
        <is>
          <t>Jurassic World Dominion</t>
        </is>
      </c>
      <c r="C91" s="361" t="inlineStr">
        <is>
          <t>Movies</t>
        </is>
      </c>
      <c r="D91" s="361" t="n">
        <v>2</v>
      </c>
      <c r="E91" s="361" t="n">
        <v>2021</v>
      </c>
      <c r="F91" s="361" t="inlineStr">
        <is>
          <t>2024-09-19T00:00:00+07:00</t>
        </is>
      </c>
      <c r="H91" s="361" t="inlineStr">
        <is>
          <t>003f7439-26f3-4975-9696-03adb43b53d0</t>
        </is>
      </c>
      <c r="I91" s="361" t="inlineStr">
        <is>
          <t>https://censorship.kplus.vn/MediaAssets/Asset/29552018-99b0-ef11-8593-0c42a12723cb/StreamPreview</t>
        </is>
      </c>
      <c r="J91" s="361" t="inlineStr">
        <is>
          <t>YES</t>
        </is>
      </c>
      <c r="K91" s="361" t="inlineStr">
        <is>
          <t>Success</t>
        </is>
      </c>
    </row>
    <row r="92">
      <c r="A92" s="361" t="inlineStr">
        <is>
          <t>MOV_ACT593</t>
        </is>
      </c>
      <c r="B92" s="361" t="inlineStr">
        <is>
          <t>Twilight of the Warriors: Walled In</t>
        </is>
      </c>
      <c r="C92" s="361" t="inlineStr">
        <is>
          <t>Movies</t>
        </is>
      </c>
      <c r="D92" s="361" t="n">
        <v>4</v>
      </c>
      <c r="E92" s="361" t="n">
        <v>2024</v>
      </c>
      <c r="F92" s="361" t="inlineStr">
        <is>
          <t>2024-12-11T00:00:00+07:00</t>
        </is>
      </c>
      <c r="H92" s="361" t="inlineStr">
        <is>
          <t>2711eb79-2611-464e-9a98-179a5c6afd9b</t>
        </is>
      </c>
      <c r="I92" s="361" t="inlineStr">
        <is>
          <t>https://censorship.kplus.vn/MediaAssets/Asset/2fece511-5fb6-f011-8593-0c42a12723cb/StreamPreview</t>
        </is>
      </c>
      <c r="J92" s="361" t="inlineStr">
        <is>
          <t>YES</t>
        </is>
      </c>
      <c r="K92" s="361" t="inlineStr">
        <is>
          <t>Success</t>
        </is>
      </c>
    </row>
    <row r="93">
      <c r="A93" s="361" t="inlineStr">
        <is>
          <t>MOV_FAN_LNVM__15__2467819</t>
        </is>
      </c>
      <c r="B93" s="361" t="inlineStr">
        <is>
          <t>THE LOST DRAGON</t>
        </is>
      </c>
      <c r="C93" s="361" t="inlineStr">
        <is>
          <t>Movies</t>
        </is>
      </c>
      <c r="D93" s="361" t="n">
        <v>2</v>
      </c>
      <c r="F93" s="361" t="inlineStr">
        <is>
          <t>2017-09-09T00:00:00+07:00</t>
        </is>
      </c>
      <c r="H93" s="361" t="inlineStr">
        <is>
          <t>2ef968d7-5467-4bfe-bd28-8614b5d174ee</t>
        </is>
      </c>
      <c r="I93" s="361" t="inlineStr">
        <is>
          <t>https://censorship.kplus.vn/MediaAssets/Asset/9e1b17fc-d37c-ef11-8593-0c42a12723cb/StreamPreview</t>
        </is>
      </c>
      <c r="J93" s="361" t="inlineStr">
        <is>
          <t>YES</t>
        </is>
      </c>
      <c r="K93" s="361" t="inlineStr">
        <is>
          <t>Success</t>
        </is>
      </c>
    </row>
    <row r="94">
      <c r="A94" s="361" t="inlineStr">
        <is>
          <t>MOV_ACT_23__2695915</t>
        </is>
      </c>
      <c r="B94" s="361" t="inlineStr">
        <is>
          <t>AVA (Eve)</t>
        </is>
      </c>
      <c r="C94" s="361" t="inlineStr">
        <is>
          <t>Movies</t>
        </is>
      </c>
      <c r="D94" s="361" t="n">
        <v>3</v>
      </c>
      <c r="E94" s="361" t="n">
        <v>2020</v>
      </c>
      <c r="F94" s="361" t="inlineStr">
        <is>
          <t>2023-04-27T00:00:00+07:00</t>
        </is>
      </c>
      <c r="H94" s="361" t="inlineStr">
        <is>
          <t>9ab6bef3-c5a6-4dd1-81e8-f4adfe487714</t>
        </is>
      </c>
      <c r="I94" s="361" t="inlineStr">
        <is>
          <t>https://censorship.kplus.vn/MediaAssets/Asset/79cf8027-70f0-ee11-9144-f40270bf9ea7/StreamPreview</t>
        </is>
      </c>
      <c r="J94" s="361" t="inlineStr">
        <is>
          <t>YES</t>
        </is>
      </c>
      <c r="K94" s="361" t="inlineStr">
        <is>
          <t>Success</t>
        </is>
      </c>
    </row>
    <row r="95">
      <c r="A95" s="361" t="inlineStr">
        <is>
          <t>MOV_COM_23__2697132</t>
        </is>
      </c>
      <c r="B95" s="361" t="inlineStr">
        <is>
          <t>Seven Sundays</t>
        </is>
      </c>
      <c r="C95" s="361" t="inlineStr">
        <is>
          <t>Movies</t>
        </is>
      </c>
      <c r="D95" s="361" t="n">
        <v>2</v>
      </c>
      <c r="E95" s="361" t="n">
        <v>2017</v>
      </c>
      <c r="F95" s="361" t="inlineStr">
        <is>
          <t>2023-05-12T00:00:00+07:00</t>
        </is>
      </c>
      <c r="H95" s="361" t="inlineStr">
        <is>
          <t>138cc898-277f-4a2b-8320-ffa2f47fc165</t>
        </is>
      </c>
      <c r="I95" s="361" t="inlineStr">
        <is>
          <t>https://censorship.kplus.vn/MediaAssets/Asset/71d37d0f-57f0-ee11-9144-f40270bf9ea7/StreamPreview</t>
        </is>
      </c>
      <c r="J95" s="361" t="inlineStr">
        <is>
          <t>YES</t>
        </is>
      </c>
      <c r="K95" s="361" t="inlineStr">
        <is>
          <t>Success</t>
        </is>
      </c>
    </row>
    <row r="96">
      <c r="A96" s="361" t="inlineStr">
        <is>
          <t>MOV_ACT_24__2711608</t>
        </is>
      </c>
      <c r="B96" s="361" t="inlineStr">
        <is>
          <t>Hypnotic</t>
        </is>
      </c>
      <c r="C96" s="361" t="inlineStr">
        <is>
          <t>Movies</t>
        </is>
      </c>
      <c r="D96" s="361" t="n">
        <v>4</v>
      </c>
      <c r="E96" s="361" t="n">
        <v>2023</v>
      </c>
      <c r="F96" s="361" t="inlineStr">
        <is>
          <t>2024-01-24T00:00:00+07:00</t>
        </is>
      </c>
      <c r="H96" s="361" t="inlineStr">
        <is>
          <t>de6d52f6-3d28-4941-88e4-c000b2a2ae43</t>
        </is>
      </c>
      <c r="I96" s="361" t="inlineStr">
        <is>
          <t>https://censorship.kplus.vn/MediaAssets/Asset/3bbc123b-1e43-ef11-9145-f40270bf9ea7/StreamPreview</t>
        </is>
      </c>
      <c r="J96" s="361" t="inlineStr">
        <is>
          <t>YES</t>
        </is>
      </c>
      <c r="K96" s="361" t="inlineStr">
        <is>
          <t>Success</t>
        </is>
      </c>
    </row>
    <row r="97">
      <c r="A97" s="361" t="inlineStr">
        <is>
          <t>MOV_COM_22__2686514</t>
        </is>
      </c>
      <c r="B97" s="361" t="inlineStr">
        <is>
          <t>Bye Bye Morons</t>
        </is>
      </c>
      <c r="C97" s="361" t="inlineStr">
        <is>
          <t>Movies</t>
        </is>
      </c>
      <c r="D97" s="361" t="n">
        <v>2</v>
      </c>
      <c r="E97" s="361" t="n">
        <v>2020</v>
      </c>
      <c r="F97" s="361" t="inlineStr">
        <is>
          <t>2022-12-08T00:00:00+07:00</t>
        </is>
      </c>
      <c r="H97" s="361" t="inlineStr">
        <is>
          <t>10246818-6f63-4b6f-ba52-a5b7eb094a23</t>
        </is>
      </c>
      <c r="I97" s="361" t="inlineStr">
        <is>
          <t>https://censorship.kplus.vn/MediaAssets/Asset/47077827-d1ed-ee11-9144-f40270bf9ea7/StreamPreview</t>
        </is>
      </c>
      <c r="J97" s="361" t="inlineStr">
        <is>
          <t>YES</t>
        </is>
      </c>
      <c r="K97" s="361" t="inlineStr">
        <is>
          <t>Success</t>
        </is>
      </c>
    </row>
    <row r="98">
      <c r="A98" s="361" t="inlineStr">
        <is>
          <t>MOV_DRA741</t>
        </is>
      </c>
      <c r="B98" s="361" t="inlineStr">
        <is>
          <t>Blood Moon Party</t>
        </is>
      </c>
      <c r="C98" s="361" t="inlineStr">
        <is>
          <t>Movies</t>
        </is>
      </c>
      <c r="D98" s="361" t="n">
        <v>4</v>
      </c>
      <c r="E98" s="361" t="n">
        <v>2020</v>
      </c>
      <c r="F98" s="361" t="inlineStr">
        <is>
          <t>2025-01-01T00:00:00+07:00</t>
        </is>
      </c>
      <c r="H98" s="361" t="inlineStr">
        <is>
          <t>9fd13652-1fd2-4cbe-b076-38da98160612</t>
        </is>
      </c>
      <c r="I98" s="361" t="inlineStr">
        <is>
          <t>https://censorship.kplus.vn/MediaAssets/Asset/fe8e37f4-4ac7-ef11-8593-0c42a12723cb/StreamPreview</t>
        </is>
      </c>
      <c r="J98" s="361" t="inlineStr">
        <is>
          <t>YES</t>
        </is>
      </c>
      <c r="K98" s="361" t="inlineStr">
        <is>
          <t>Success</t>
        </is>
      </c>
    </row>
    <row r="99">
      <c r="A99" s="361" t="inlineStr">
        <is>
          <t>MOV_THR168</t>
        </is>
      </c>
      <c r="B99" s="361" t="inlineStr">
        <is>
          <t>Watcher</t>
        </is>
      </c>
      <c r="C99" s="361" t="inlineStr">
        <is>
          <t>Movies</t>
        </is>
      </c>
      <c r="D99" s="361" t="n">
        <v>3</v>
      </c>
      <c r="E99" s="361" t="n">
        <v>2022</v>
      </c>
      <c r="F99" s="361" t="inlineStr">
        <is>
          <t>2025-04-09T00:00:00+07:00</t>
        </is>
      </c>
      <c r="H99" s="361" t="inlineStr">
        <is>
          <t>1532c171-aba4-47bf-a7f4-af637fb54a76</t>
        </is>
      </c>
      <c r="I99" s="361" t="inlineStr">
        <is>
          <t>https://censorship.kplus.vn/MediaAssets/Asset/d6e9ed2a-b021-f011-8593-0c42a12723cb/StreamPreview</t>
        </is>
      </c>
      <c r="J99" s="361" t="inlineStr">
        <is>
          <t>YES</t>
        </is>
      </c>
      <c r="K99" s="361" t="inlineStr">
        <is>
          <t>Success</t>
        </is>
      </c>
    </row>
    <row r="100">
      <c r="A100" s="361" t="inlineStr">
        <is>
          <t>MOV_ANI87</t>
        </is>
      </c>
      <c r="B100" s="361" t="inlineStr">
        <is>
          <t>SONIC THE HEDGEHOG 2</t>
        </is>
      </c>
      <c r="C100" s="361" t="inlineStr">
        <is>
          <t>Movies</t>
        </is>
      </c>
      <c r="D100" s="361" t="n">
        <v>1</v>
      </c>
      <c r="E100" s="361" t="n">
        <v>2022</v>
      </c>
      <c r="F100" s="361" t="inlineStr">
        <is>
          <t>2025-04-29T00:00:00+07:00</t>
        </is>
      </c>
      <c r="H100" s="361" t="inlineStr">
        <is>
          <t>6967569f-89fb-45b6-98f9-d4d1394574bd</t>
        </is>
      </c>
      <c r="I100" s="361" t="inlineStr">
        <is>
          <t>https://censorship.kplus.vn/MediaAssets/Asset/78c141b2-d036-f011-8593-0c42a12723cb/StreamPreview</t>
        </is>
      </c>
      <c r="J100" s="361" t="inlineStr">
        <is>
          <t>YES</t>
        </is>
      </c>
      <c r="K100" s="361" t="inlineStr">
        <is>
          <t>Success</t>
        </is>
      </c>
    </row>
    <row r="101">
      <c r="A101" s="361" t="inlineStr">
        <is>
          <t>MOV_BIO_24__2715624</t>
        </is>
      </c>
      <c r="B101" s="361" t="inlineStr">
        <is>
          <t>Get on up</t>
        </is>
      </c>
      <c r="C101" s="361" t="inlineStr">
        <is>
          <t>Movies</t>
        </is>
      </c>
      <c r="D101" s="361" t="n">
        <v>3</v>
      </c>
      <c r="E101" s="361" t="n">
        <v>2014</v>
      </c>
      <c r="F101" s="361" t="inlineStr">
        <is>
          <t>2024-04-02T00:00:00+07:00</t>
        </is>
      </c>
      <c r="H101" s="361" t="inlineStr">
        <is>
          <t>93f7a5c2-5625-4ce5-926e-0aff01acff52</t>
        </is>
      </c>
      <c r="I101" s="361" t="inlineStr">
        <is>
          <t>https://censorship.kplus.vn/MediaAssets/Asset/92a688d2-3a13-ef11-9144-f40270bf9ea7/StreamPreview</t>
        </is>
      </c>
      <c r="J101" s="361" t="inlineStr">
        <is>
          <t>YES</t>
        </is>
      </c>
      <c r="K101" s="361" t="inlineStr">
        <is>
          <t>Success</t>
        </is>
      </c>
    </row>
    <row r="102">
      <c r="A102" s="361" t="inlineStr">
        <is>
          <t>MOV_ACT_24__2710435</t>
        </is>
      </c>
      <c r="B102" s="361" t="inlineStr">
        <is>
          <t>The King's Daughter</t>
        </is>
      </c>
      <c r="C102" s="361" t="inlineStr">
        <is>
          <t>Movies</t>
        </is>
      </c>
      <c r="D102" s="361" t="n">
        <v>2</v>
      </c>
      <c r="E102" s="361" t="n">
        <v>2022</v>
      </c>
      <c r="F102" s="361" t="inlineStr">
        <is>
          <t>2024-01-09T00:00:00+07:00</t>
        </is>
      </c>
      <c r="H102" s="361" t="inlineStr">
        <is>
          <t>838c3d6e-3ec6-4621-9b24-35916537001a</t>
        </is>
      </c>
      <c r="I102" s="361" t="inlineStr">
        <is>
          <t>https://censorship.kplus.vn/MediaAssets/Asset/3759c88d-2ef8-ee11-9144-f40270bf9ea7/StreamPreview</t>
        </is>
      </c>
      <c r="J102" s="361" t="inlineStr">
        <is>
          <t>YES</t>
        </is>
      </c>
      <c r="K102" s="361" t="inlineStr">
        <is>
          <t>Success</t>
        </is>
      </c>
    </row>
    <row r="103">
      <c r="A103" s="361" t="inlineStr">
        <is>
          <t>MOV_FAN27</t>
        </is>
      </c>
      <c r="B103" s="361" t="inlineStr">
        <is>
          <t>The Journey Of Flower</t>
        </is>
      </c>
      <c r="C103" s="361" t="inlineStr">
        <is>
          <t>Movies</t>
        </is>
      </c>
      <c r="D103" s="361" t="n">
        <v>2</v>
      </c>
      <c r="E103" s="361" t="n">
        <v>2024</v>
      </c>
      <c r="F103" s="361" t="inlineStr">
        <is>
          <t>2025-04-02T00:00:00+07:00</t>
        </is>
      </c>
      <c r="H103" s="361" t="inlineStr">
        <is>
          <t>b46e5f46-e328-4434-82af-6ae09321466d</t>
        </is>
      </c>
      <c r="I103" s="361" t="inlineStr">
        <is>
          <t>https://censorship.kplus.vn/MediaAssets/Asset/74287a46-f21f-f011-8593-0c42a12723cb/StreamPreview</t>
        </is>
      </c>
      <c r="J103" s="361" t="inlineStr">
        <is>
          <t>YES</t>
        </is>
      </c>
      <c r="K103" s="361" t="inlineStr">
        <is>
          <t>Success</t>
        </is>
      </c>
    </row>
    <row r="104">
      <c r="A104" s="361" t="inlineStr">
        <is>
          <t>MOV_COM_21__2662692</t>
        </is>
      </c>
      <c r="B104" s="361" t="inlineStr">
        <is>
          <t>Mother Gamer</t>
        </is>
      </c>
      <c r="C104" s="361" t="inlineStr">
        <is>
          <t>Movies</t>
        </is>
      </c>
      <c r="D104" s="361" t="n">
        <v>3</v>
      </c>
      <c r="E104" s="361" t="n">
        <v>2020</v>
      </c>
      <c r="F104" s="361" t="inlineStr">
        <is>
          <t>2021-12-07T00:00:00+07:00</t>
        </is>
      </c>
      <c r="H104" s="361" t="inlineStr">
        <is>
          <t>753ce577-a1b1-40d1-b20b-67ab1f802870</t>
        </is>
      </c>
      <c r="I104" s="361" t="inlineStr">
        <is>
          <t>https://censorship.kplus.vn/MediaAssets/Asset/b99881be-ede9-ee11-9144-f40270bf9ea7/StreamPreview</t>
        </is>
      </c>
      <c r="J104" s="361" t="inlineStr">
        <is>
          <t>YES</t>
        </is>
      </c>
      <c r="K104" s="361" t="inlineStr">
        <is>
          <t>Success</t>
        </is>
      </c>
    </row>
    <row r="105">
      <c r="A105" s="361" t="inlineStr">
        <is>
          <t>MOV_SCI_23__2709731</t>
        </is>
      </c>
      <c r="B105" s="361" t="inlineStr">
        <is>
          <t>Moonfall</t>
        </is>
      </c>
      <c r="C105" s="361" t="inlineStr">
        <is>
          <t>Movies</t>
        </is>
      </c>
      <c r="D105" s="361" t="n">
        <v>3</v>
      </c>
      <c r="E105" s="361" t="n">
        <v>2022</v>
      </c>
      <c r="F105" s="361" t="inlineStr">
        <is>
          <t>2023-12-22T00:00:00+07:00</t>
        </is>
      </c>
      <c r="H105" s="361" t="inlineStr">
        <is>
          <t>5a19170e-a646-4da7-bf46-be91fa1236f4</t>
        </is>
      </c>
      <c r="I105" s="361" t="inlineStr">
        <is>
          <t>https://censorship.kplus.vn/MediaAssets/Asset/aff6ce78-2af1-ee11-9144-f40270bf9ea7/StreamPreview</t>
        </is>
      </c>
      <c r="J105" s="361" t="inlineStr">
        <is>
          <t>YES</t>
        </is>
      </c>
      <c r="K105" s="361" t="inlineStr">
        <is>
          <t>Success</t>
        </is>
      </c>
    </row>
    <row r="106">
      <c r="A106" s="361" t="inlineStr">
        <is>
          <t>MOV_DRA_23__2697131</t>
        </is>
      </c>
      <c r="B106" s="361" t="inlineStr">
        <is>
          <t>Wonder wheel</t>
        </is>
      </c>
      <c r="C106" s="361" t="inlineStr">
        <is>
          <t>Movies</t>
        </is>
      </c>
      <c r="D106" s="361" t="n">
        <v>3</v>
      </c>
      <c r="E106" s="361" t="n">
        <v>2017</v>
      </c>
      <c r="F106" s="361" t="inlineStr">
        <is>
          <t>2023-05-12T00:00:00+07:00</t>
        </is>
      </c>
      <c r="H106" s="361" t="inlineStr">
        <is>
          <t>66ef68d5-6903-4ab9-8a79-9805d4fd4b09</t>
        </is>
      </c>
      <c r="I106" s="361" t="inlineStr">
        <is>
          <t>https://censorship.kplus.vn/MediaAssets/Asset/a46af4a7-6cf0-ee11-9144-f40270bf9ea7/StreamPreview</t>
        </is>
      </c>
      <c r="J106" s="361" t="inlineStr">
        <is>
          <t>YES</t>
        </is>
      </c>
      <c r="K106" s="361" t="inlineStr">
        <is>
          <t>Success</t>
        </is>
      </c>
    </row>
    <row r="107">
      <c r="A107" s="361" t="inlineStr">
        <is>
          <t>MOV_ANI82</t>
        </is>
      </c>
      <c r="B107" s="361" t="inlineStr">
        <is>
          <t>The Croods: A New Age</t>
        </is>
      </c>
      <c r="C107" s="361" t="inlineStr">
        <is>
          <t>Movies</t>
        </is>
      </c>
      <c r="D107" s="361" t="n">
        <v>1</v>
      </c>
      <c r="E107" s="361" t="n">
        <v>2020</v>
      </c>
      <c r="F107" s="361" t="inlineStr">
        <is>
          <t>2024-12-28T00:00:00+07:00</t>
        </is>
      </c>
      <c r="H107" s="361" t="inlineStr">
        <is>
          <t>4af41222-76b7-473b-b80a-ef471bac4471</t>
        </is>
      </c>
      <c r="I107" s="361" t="inlineStr">
        <is>
          <t>https://censorship.kplus.vn/MediaAssets/Asset/6c010aae-dbd3-ef11-8593-0c42a12723cb/StreamPreview</t>
        </is>
      </c>
      <c r="J107" s="361" t="inlineStr">
        <is>
          <t>YES</t>
        </is>
      </c>
      <c r="K107" s="361" t="inlineStr">
        <is>
          <t>Success</t>
        </is>
      </c>
    </row>
    <row r="108">
      <c r="A108" s="361" t="inlineStr">
        <is>
          <t>MOV_THR165</t>
        </is>
      </c>
      <c r="B108" s="361" t="inlineStr">
        <is>
          <t>Knock Knock</t>
        </is>
      </c>
      <c r="C108" s="361" t="inlineStr">
        <is>
          <t>Movies</t>
        </is>
      </c>
      <c r="D108" s="361" t="n">
        <v>3</v>
      </c>
      <c r="E108" s="361" t="n">
        <v>2021</v>
      </c>
      <c r="F108" s="361" t="inlineStr">
        <is>
          <t>2024-12-11T00:00:00+07:00</t>
        </is>
      </c>
      <c r="H108" s="361" t="inlineStr">
        <is>
          <t>06732336-07ea-4ac9-9e86-a1dc887cabfc</t>
        </is>
      </c>
      <c r="I108" s="361" t="inlineStr">
        <is>
          <t>https://censorship.kplus.vn/MediaAssets/Asset/c689d0e2-08f0-ef11-8593-0c42a12723cb/StreamPreview</t>
        </is>
      </c>
      <c r="J108" s="361" t="inlineStr">
        <is>
          <t>YES</t>
        </is>
      </c>
      <c r="K108" s="361" t="inlineStr">
        <is>
          <t>Success</t>
        </is>
      </c>
    </row>
    <row r="109">
      <c r="A109" s="361" t="inlineStr">
        <is>
          <t>MOV_COM_23__2694713</t>
        </is>
      </c>
      <c r="B109" s="361" t="inlineStr">
        <is>
          <t>Barb and Star go to Vista Del Mar</t>
        </is>
      </c>
      <c r="C109" s="361" t="inlineStr">
        <is>
          <t>Movies</t>
        </is>
      </c>
      <c r="D109" s="361" t="n">
        <v>3</v>
      </c>
      <c r="E109" s="361" t="n">
        <v>2021</v>
      </c>
      <c r="F109" s="361" t="inlineStr">
        <is>
          <t>2023-04-13T00:00:00+07:00</t>
        </is>
      </c>
      <c r="H109" s="361" t="inlineStr">
        <is>
          <t>855ec8ff-1780-4601-b9bf-b41ff0174f5d</t>
        </is>
      </c>
      <c r="I109" s="361" t="inlineStr">
        <is>
          <t>https://censorship.kplus.vn/MediaAssets/Asset/ef2e8722-4bf6-ee11-9144-f40270bf9ea7/StreamPreview</t>
        </is>
      </c>
      <c r="J109" s="361" t="inlineStr">
        <is>
          <t>YES</t>
        </is>
      </c>
      <c r="K109" s="361" t="inlineStr">
        <is>
          <t>Success</t>
        </is>
      </c>
    </row>
    <row r="110">
      <c r="A110" s="361" t="inlineStr">
        <is>
          <t>MOV_ACT_24__2715403</t>
        </is>
      </c>
      <c r="B110" s="361" t="inlineStr">
        <is>
          <t>Fast &amp; Furious 6</t>
        </is>
      </c>
      <c r="C110" s="361" t="inlineStr">
        <is>
          <t>Movies</t>
        </is>
      </c>
      <c r="D110" s="361" t="n">
        <v>3</v>
      </c>
      <c r="E110" s="361" t="n">
        <v>2013</v>
      </c>
      <c r="F110" s="361" t="inlineStr">
        <is>
          <t>2024-03-29T00:00:00+07:00</t>
        </is>
      </c>
      <c r="H110" s="361" t="inlineStr">
        <is>
          <t>04343319-e2c3-4ea7-af86-1845945fe7bf</t>
        </is>
      </c>
      <c r="I110" s="361" t="inlineStr">
        <is>
          <t>https://censorship.kplus.vn/MediaAssets/Asset/dcd0efe9-7863-ef11-8593-0c42a12723cb/StreamPreview</t>
        </is>
      </c>
      <c r="J110" s="361" t="inlineStr">
        <is>
          <t>YES</t>
        </is>
      </c>
      <c r="K110" s="361" t="inlineStr">
        <is>
          <t>Success</t>
        </is>
      </c>
    </row>
    <row r="111">
      <c r="A111" s="361" t="inlineStr">
        <is>
          <t>MOV_CRI_22__2686509</t>
        </is>
      </c>
      <c r="B111" s="361" t="inlineStr">
        <is>
          <t>Good Time</t>
        </is>
      </c>
      <c r="C111" s="361" t="inlineStr">
        <is>
          <t>Movies</t>
        </is>
      </c>
      <c r="D111" s="361" t="n">
        <v>3</v>
      </c>
      <c r="E111" s="361" t="n">
        <v>2017</v>
      </c>
      <c r="F111" s="361" t="inlineStr">
        <is>
          <t>2022-12-08T00:00:00+07:00</t>
        </is>
      </c>
      <c r="H111" s="361" t="inlineStr">
        <is>
          <t>3978790c-835f-4f63-8a1c-8852f5946214</t>
        </is>
      </c>
      <c r="I111" s="361" t="inlineStr">
        <is>
          <t>https://censorship.kplus.vn/MediaAssets/Asset/3f510968-49f6-ee11-9144-f40270bf9ea7/StreamPreview</t>
        </is>
      </c>
      <c r="J111" s="361" t="inlineStr">
        <is>
          <t>YES</t>
        </is>
      </c>
      <c r="K111" s="361" t="inlineStr">
        <is>
          <t>Success</t>
        </is>
      </c>
    </row>
    <row r="112">
      <c r="A112" s="361" t="inlineStr">
        <is>
          <t>MOV_BIO_24__2713780</t>
        </is>
      </c>
      <c r="B112" s="361" t="inlineStr">
        <is>
          <t>Brian Banks</t>
        </is>
      </c>
      <c r="C112" s="361" t="inlineStr">
        <is>
          <t>Movies</t>
        </is>
      </c>
      <c r="D112" s="361" t="n">
        <v>3</v>
      </c>
      <c r="E112" s="361" t="n">
        <v>2019</v>
      </c>
      <c r="F112" s="361" t="inlineStr">
        <is>
          <t>2024-03-05T00:00:00+07:00</t>
        </is>
      </c>
      <c r="H112" s="361" t="inlineStr">
        <is>
          <t>e8d4cbd9-00cf-4d79-bc32-0f83643fc52b</t>
        </is>
      </c>
      <c r="I112" s="361" t="inlineStr">
        <is>
          <t>https://censorship.kplus.vn/MediaAssets/Asset/be69dc38-5f00-ef11-9144-f40270bf9ea7/StreamPreview</t>
        </is>
      </c>
      <c r="J112" s="361" t="inlineStr">
        <is>
          <t>YES</t>
        </is>
      </c>
      <c r="K112" s="361" t="inlineStr">
        <is>
          <t>Success</t>
        </is>
      </c>
    </row>
    <row r="113">
      <c r="A113" s="361" t="inlineStr">
        <is>
          <t>MOV_ROM_21__2662690</t>
        </is>
      </c>
      <c r="B113" s="361" t="inlineStr">
        <is>
          <t>New Year Blues</t>
        </is>
      </c>
      <c r="C113" s="361" t="inlineStr">
        <is>
          <t>Movies</t>
        </is>
      </c>
      <c r="D113" s="361" t="n">
        <v>2</v>
      </c>
      <c r="E113" s="361" t="n">
        <v>2021</v>
      </c>
      <c r="F113" s="361" t="inlineStr">
        <is>
          <t>2021-12-07T00:00:00+07:00</t>
        </is>
      </c>
      <c r="H113" s="361" t="inlineStr">
        <is>
          <t>d3a4d882-3576-4ac1-a6be-f9bff9788c45</t>
        </is>
      </c>
      <c r="I113" s="361" t="inlineStr">
        <is>
          <t>https://censorship.kplus.vn/MediaAssets/Asset/36483695-28ea-ee11-9144-f40270bf9ea7/StreamPreview</t>
        </is>
      </c>
      <c r="J113" s="361" t="inlineStr">
        <is>
          <t>YES</t>
        </is>
      </c>
      <c r="K113" s="361" t="inlineStr">
        <is>
          <t>Success</t>
        </is>
      </c>
    </row>
    <row r="114">
      <c r="A114" s="361" t="inlineStr">
        <is>
          <t>MOV_DRA749</t>
        </is>
      </c>
      <c r="B114" s="361" t="inlineStr">
        <is>
          <t>So long for love</t>
        </is>
      </c>
      <c r="C114" s="361" t="inlineStr">
        <is>
          <t>Movies</t>
        </is>
      </c>
      <c r="D114" s="361" t="n">
        <v>1</v>
      </c>
      <c r="E114" s="361" t="n">
        <v>2021</v>
      </c>
      <c r="F114" s="361" t="inlineStr">
        <is>
          <t>2025-05-07T00:00:00+07:00</t>
        </is>
      </c>
      <c r="H114" s="361" t="inlineStr">
        <is>
          <t>3dc353f3-8654-4e93-9bd2-e56f77b02024</t>
        </is>
      </c>
      <c r="I114" s="361" t="inlineStr">
        <is>
          <t>https://censorship.kplus.vn/MediaAssets/Asset/ad09f208-fc1f-f011-8593-0c42a12723cb/StreamPreview</t>
        </is>
      </c>
      <c r="J114" s="361" t="inlineStr">
        <is>
          <t>YES</t>
        </is>
      </c>
      <c r="K114" s="361" t="inlineStr">
        <is>
          <t>Success</t>
        </is>
      </c>
    </row>
    <row r="115">
      <c r="A115" s="361" t="inlineStr">
        <is>
          <t>MOV_DRA738</t>
        </is>
      </c>
      <c r="B115" s="361" t="inlineStr">
        <is>
          <t>Submergence</t>
        </is>
      </c>
      <c r="C115" s="361" t="inlineStr">
        <is>
          <t>Movies</t>
        </is>
      </c>
      <c r="D115" s="361" t="n">
        <v>2</v>
      </c>
      <c r="E115" s="361" t="n">
        <v>2017</v>
      </c>
      <c r="F115" s="361" t="inlineStr">
        <is>
          <t>2024-12-28T00:00:00+07:00</t>
        </is>
      </c>
      <c r="H115" s="361" t="inlineStr">
        <is>
          <t>5d3e9a4c-8a7d-4cf0-b28e-572158cc8a68</t>
        </is>
      </c>
      <c r="I115" s="361" t="inlineStr">
        <is>
          <t>https://censorship.kplus.vn/MediaAssets/Asset/8cb156cf-40e4-ef11-8593-0c42a12723cb/StreamPreview</t>
        </is>
      </c>
      <c r="J115" s="361" t="inlineStr">
        <is>
          <t>YES</t>
        </is>
      </c>
      <c r="K115" s="361" t="inlineStr">
        <is>
          <t>Success</t>
        </is>
      </c>
    </row>
    <row r="116">
      <c r="A116" s="361" t="inlineStr">
        <is>
          <t>MOV_DRA_18__2589345</t>
        </is>
      </c>
      <c r="B116" s="361" t="inlineStr">
        <is>
          <t>THE SEASON OF LOVE SONG</t>
        </is>
      </c>
      <c r="C116" s="361" t="inlineStr">
        <is>
          <t>Movies</t>
        </is>
      </c>
      <c r="D116" s="361" t="n">
        <v>3</v>
      </c>
      <c r="E116" s="361" t="n">
        <v>2018</v>
      </c>
      <c r="F116" s="361" t="inlineStr">
        <is>
          <t>2018-10-26T00:00:00+07:00</t>
        </is>
      </c>
      <c r="H116" s="361" t="inlineStr">
        <is>
          <t>09b3ab78-0bdb-4bce-8032-44193ac72bcf</t>
        </is>
      </c>
      <c r="I116" s="361" t="inlineStr">
        <is>
          <t>https://censorship.kplus.vn/MediaAssets/Asset/d9023c51-ffec-ef11-8593-0c42a12723cb/StreamPreview</t>
        </is>
      </c>
      <c r="J116" s="361" t="inlineStr">
        <is>
          <t>YES</t>
        </is>
      </c>
      <c r="K116" s="361" t="inlineStr">
        <is>
          <t>Success</t>
        </is>
      </c>
    </row>
    <row r="117">
      <c r="A117" s="361" t="inlineStr">
        <is>
          <t>MOV_HOR70</t>
        </is>
      </c>
      <c r="B117" s="361" t="inlineStr">
        <is>
          <t>The Night House</t>
        </is>
      </c>
      <c r="C117" s="361" t="inlineStr">
        <is>
          <t>Movies</t>
        </is>
      </c>
      <c r="D117" s="361" t="n">
        <v>3</v>
      </c>
      <c r="E117" s="361" t="n">
        <v>2020</v>
      </c>
      <c r="F117" s="361" t="inlineStr">
        <is>
          <t>2024-12-28T00:00:00+07:00</t>
        </is>
      </c>
      <c r="H117" s="361" t="inlineStr">
        <is>
          <t>ff9a85b9-5a09-46d7-baf6-3036f4c085d1</t>
        </is>
      </c>
      <c r="I117" s="361" t="inlineStr">
        <is>
          <t>https://censorship.kplus.vn/MediaAssets/Asset/0a62e08b-fd1f-f011-8593-0c42a12723cb/StreamPreview</t>
        </is>
      </c>
      <c r="J117" s="361" t="inlineStr">
        <is>
          <t>YES</t>
        </is>
      </c>
      <c r="K117" s="361" t="inlineStr">
        <is>
          <t>Success</t>
        </is>
      </c>
    </row>
    <row r="118">
      <c r="A118" s="361" t="inlineStr">
        <is>
          <t>MOV_HOR72</t>
        </is>
      </c>
      <c r="B118" s="361" t="inlineStr">
        <is>
          <t>Resident Evil: Welcome to Raccoon city</t>
        </is>
      </c>
      <c r="C118" s="361" t="inlineStr">
        <is>
          <t>Movies</t>
        </is>
      </c>
      <c r="D118" s="361" t="n">
        <v>3</v>
      </c>
      <c r="E118" s="361" t="n">
        <v>2021</v>
      </c>
      <c r="F118" s="361" t="inlineStr">
        <is>
          <t>2025-04-09T00:00:00+07:00</t>
        </is>
      </c>
      <c r="H118" s="361" t="inlineStr">
        <is>
          <t>2d311128-e8c5-4317-a229-49f360ef5bd6</t>
        </is>
      </c>
      <c r="I118" s="361" t="inlineStr">
        <is>
          <t>https://censorship.kplus.vn/MediaAssets/Asset/e60989d3-c221-f011-8593-0c42a12723cb/StreamPreview</t>
        </is>
      </c>
      <c r="J118" s="361" t="inlineStr">
        <is>
          <t>YES</t>
        </is>
      </c>
      <c r="K118" s="361" t="inlineStr">
        <is>
          <t>Success</t>
        </is>
      </c>
    </row>
    <row r="119">
      <c r="A119" s="361" t="inlineStr">
        <is>
          <t>MOV_ACT_24__2715270</t>
        </is>
      </c>
      <c r="B119" s="361" t="inlineStr">
        <is>
          <t>The Rescue</t>
        </is>
      </c>
      <c r="C119" s="361" t="inlineStr">
        <is>
          <t>Movies</t>
        </is>
      </c>
      <c r="D119" s="361" t="n">
        <v>2</v>
      </c>
      <c r="E119" s="361" t="n">
        <v>2020</v>
      </c>
      <c r="F119" s="361" t="inlineStr">
        <is>
          <t>2024-03-27T00:00:00+07:00</t>
        </is>
      </c>
      <c r="H119" s="361" t="inlineStr">
        <is>
          <t>b05148fd-85c7-48ca-94fd-def78c00c022</t>
        </is>
      </c>
      <c r="I119" s="361" t="inlineStr">
        <is>
          <t>https://censorship.kplus.vn/MediaAssets/Asset/c8e5fd3d-8000-ef11-9144-f40270bf9ea7/StreamPreview</t>
        </is>
      </c>
      <c r="J119" s="361" t="inlineStr">
        <is>
          <t>YES</t>
        </is>
      </c>
      <c r="K119" s="361" t="inlineStr">
        <is>
          <t>Success</t>
        </is>
      </c>
    </row>
    <row r="120">
      <c r="A120" s="361" t="inlineStr">
        <is>
          <t>MOV_ACT_24__2710432</t>
        </is>
      </c>
      <c r="B120" s="361" t="inlineStr">
        <is>
          <t>Manhunt</t>
        </is>
      </c>
      <c r="C120" s="361" t="inlineStr">
        <is>
          <t>Movies</t>
        </is>
      </c>
      <c r="D120" s="361" t="n">
        <v>3</v>
      </c>
      <c r="E120" s="361" t="n">
        <v>2017</v>
      </c>
      <c r="F120" s="361" t="inlineStr">
        <is>
          <t>2024-01-09T00:00:00+07:00</t>
        </is>
      </c>
      <c r="H120" s="361" t="inlineStr">
        <is>
          <t>bfe8cfd8-416b-4879-8d5b-cb6800a474f6</t>
        </is>
      </c>
      <c r="I120" s="361" t="inlineStr">
        <is>
          <t>https://censorship.kplus.vn/MediaAssets/Asset/40b83d95-2ff8-ee11-9144-f40270bf9ea7/StreamPreview</t>
        </is>
      </c>
      <c r="J120" s="361" t="inlineStr">
        <is>
          <t>YES</t>
        </is>
      </c>
      <c r="K120" s="361" t="inlineStr">
        <is>
          <t>Success</t>
        </is>
      </c>
    </row>
    <row r="121">
      <c r="A121" s="361" t="inlineStr">
        <is>
          <t>MOV_THR_23__2691556</t>
        </is>
      </c>
      <c r="B121" s="361" t="inlineStr">
        <is>
          <t>Anchor</t>
        </is>
      </c>
      <c r="C121" s="361" t="inlineStr">
        <is>
          <t>Movies</t>
        </is>
      </c>
      <c r="D121" s="361" t="n">
        <v>4</v>
      </c>
      <c r="E121" s="361" t="n">
        <v>2022</v>
      </c>
      <c r="F121" s="361" t="inlineStr">
        <is>
          <t>2023-03-01T00:00:00+07:00</t>
        </is>
      </c>
      <c r="H121" s="361" t="inlineStr">
        <is>
          <t>98e2e507-8111-473c-85ac-3dd076fec6c2</t>
        </is>
      </c>
      <c r="I121" s="361" t="inlineStr">
        <is>
          <t>https://censorship.kplus.vn/MediaAssets/Asset/1e931e0b-edef-ee11-9144-f40270bf9ea7/StreamPreview</t>
        </is>
      </c>
      <c r="J121" s="361" t="inlineStr">
        <is>
          <t>YES</t>
        </is>
      </c>
      <c r="K121" s="361" t="inlineStr">
        <is>
          <t>Success</t>
        </is>
      </c>
    </row>
    <row r="122">
      <c r="A122" s="361" t="inlineStr">
        <is>
          <t>MOV_BIO_22__2686510</t>
        </is>
      </c>
      <c r="B122" s="361" t="inlineStr">
        <is>
          <t>Mary Shelley</t>
        </is>
      </c>
      <c r="C122" s="361" t="inlineStr">
        <is>
          <t>Movies</t>
        </is>
      </c>
      <c r="D122" s="361" t="n">
        <v>2</v>
      </c>
      <c r="E122" s="361" t="n">
        <v>2017</v>
      </c>
      <c r="F122" s="361" t="inlineStr">
        <is>
          <t>2022-12-08T00:00:00+07:00</t>
        </is>
      </c>
      <c r="H122" s="361" t="inlineStr">
        <is>
          <t>b75cadf5-d681-4d51-85a8-8097e0860b01</t>
        </is>
      </c>
      <c r="I122" s="361" t="inlineStr">
        <is>
          <t>https://censorship.kplus.vn/MediaAssets/Asset/21951424-cced-ee11-9144-f40270bf9ea7/StreamPreview</t>
        </is>
      </c>
      <c r="J122" s="361" t="inlineStr">
        <is>
          <t>YES</t>
        </is>
      </c>
      <c r="K122" s="361" t="inlineStr">
        <is>
          <t>Success</t>
        </is>
      </c>
    </row>
    <row r="123">
      <c r="A123" s="361" t="inlineStr">
        <is>
          <t>MOV_ANI81</t>
        </is>
      </c>
      <c r="B123" s="361" t="inlineStr">
        <is>
          <t>My Fairy Troublemaker</t>
        </is>
      </c>
      <c r="C123" s="361" t="inlineStr">
        <is>
          <t>Movies</t>
        </is>
      </c>
      <c r="D123" s="361" t="n">
        <v>1</v>
      </c>
      <c r="E123" s="361" t="n">
        <v>2022</v>
      </c>
      <c r="F123" s="361" t="inlineStr">
        <is>
          <t>2024-12-11T00:00:00+07:00</t>
        </is>
      </c>
      <c r="H123" s="361" t="inlineStr">
        <is>
          <t>17dd736c-93e3-47df-b29a-7f20fb818fde</t>
        </is>
      </c>
      <c r="I123" s="361" t="inlineStr">
        <is>
          <t>https://censorship.kplus.vn/MediaAssets/Asset/f723a7e8-e9ec-ef11-8593-0c42a12723cb/StreamPreview</t>
        </is>
      </c>
      <c r="J123" s="361" t="inlineStr">
        <is>
          <t>YES</t>
        </is>
      </c>
      <c r="K123" s="361" t="inlineStr">
        <is>
          <t>Success</t>
        </is>
      </c>
    </row>
    <row r="124">
      <c r="A124" s="361" t="inlineStr">
        <is>
          <t>MOV_ANI_23__2709987</t>
        </is>
      </c>
      <c r="B124" s="361" t="inlineStr">
        <is>
          <t>Argonuts</t>
        </is>
      </c>
      <c r="C124" s="361" t="inlineStr">
        <is>
          <t>Movies</t>
        </is>
      </c>
      <c r="D124" s="361" t="n">
        <v>1</v>
      </c>
      <c r="E124" s="361" t="n">
        <v>2023</v>
      </c>
      <c r="F124" s="361" t="inlineStr">
        <is>
          <t>2023-12-27T00:00:00+07:00</t>
        </is>
      </c>
      <c r="H124" s="361" t="inlineStr">
        <is>
          <t>74b33cab-58b1-464b-98d6-cbb010279b8b</t>
        </is>
      </c>
      <c r="I124" s="361" t="inlineStr">
        <is>
          <t>https://censorship.kplus.vn/MediaAssets/Asset/e9c1e289-3fae-ef11-8593-0c42a12723cb/StreamPreview</t>
        </is>
      </c>
      <c r="J124" s="361" t="inlineStr">
        <is>
          <t>YES</t>
        </is>
      </c>
      <c r="K124" s="361" t="inlineStr">
        <is>
          <t>Success</t>
        </is>
      </c>
    </row>
    <row r="125">
      <c r="A125" s="361" t="inlineStr">
        <is>
          <t>MOV_ACT_24__2710441</t>
        </is>
      </c>
      <c r="B125" s="361" t="inlineStr">
        <is>
          <t>Kung Fu Monster</t>
        </is>
      </c>
      <c r="C125" s="361" t="inlineStr">
        <is>
          <t>Movies</t>
        </is>
      </c>
      <c r="D125" s="361" t="n">
        <v>4</v>
      </c>
      <c r="E125" s="361" t="n">
        <v>2018</v>
      </c>
      <c r="F125" s="361" t="inlineStr">
        <is>
          <t>2024-01-09T00:00:00+07:00</t>
        </is>
      </c>
      <c r="H125" s="361" t="inlineStr">
        <is>
          <t>31139559-ee12-4afc-b5b5-0454baf0965b</t>
        </is>
      </c>
      <c r="I125" s="361" t="inlineStr">
        <is>
          <t>https://censorship.kplus.vn/MediaAssets/Asset/d95103e9-35f8-ee11-9144-f40270bf9ea7/StreamPreview</t>
        </is>
      </c>
      <c r="J125" s="361" t="inlineStr">
        <is>
          <t>YES</t>
        </is>
      </c>
      <c r="K125" s="361" t="inlineStr">
        <is>
          <t>Success</t>
        </is>
      </c>
    </row>
    <row r="126">
      <c r="A126" s="361" t="inlineStr">
        <is>
          <t>MOV_THR_21__2647353</t>
        </is>
      </c>
      <c r="B126" s="361" t="inlineStr">
        <is>
          <t>STOLEN IDENTITY</t>
        </is>
      </c>
      <c r="C126" s="361" t="inlineStr">
        <is>
          <t>Movies</t>
        </is>
      </c>
      <c r="D126" s="361" t="n">
        <v>3</v>
      </c>
      <c r="E126" s="361" t="n">
        <v>2018</v>
      </c>
      <c r="F126" s="361" t="inlineStr">
        <is>
          <t>2021-03-29T00:00:00+07:00</t>
        </is>
      </c>
      <c r="H126" s="361" t="inlineStr">
        <is>
          <t>fb7ddfe8-35ee-4093-8789-45079461cd3d</t>
        </is>
      </c>
      <c r="I126" s="361" t="inlineStr">
        <is>
          <t>https://censorship.kplus.vn/MediaAssets/Asset/80f60926-e3e9-ee11-9144-f40270bf9ea7/StreamPreview</t>
        </is>
      </c>
      <c r="J126" s="361" t="inlineStr">
        <is>
          <t>YES</t>
        </is>
      </c>
      <c r="K126" s="361" t="inlineStr">
        <is>
          <t>Success</t>
        </is>
      </c>
    </row>
    <row r="127">
      <c r="A127" s="361" t="inlineStr">
        <is>
          <t>MOV_ADV_22__2677732</t>
        </is>
      </c>
      <c r="B127" s="361" t="inlineStr">
        <is>
          <t>Maika: The Girl From Another Planet</t>
        </is>
      </c>
      <c r="C127" s="361" t="inlineStr">
        <is>
          <t>Movies</t>
        </is>
      </c>
      <c r="D127" s="361" t="n">
        <v>1</v>
      </c>
      <c r="E127" s="361" t="n">
        <v>2022</v>
      </c>
      <c r="F127" s="361" t="inlineStr">
        <is>
          <t>2022-07-22T00:00:00+07:00</t>
        </is>
      </c>
      <c r="H127" s="361" t="inlineStr">
        <is>
          <t>63b72fc8-ac44-4fec-8e37-8883aefe2854</t>
        </is>
      </c>
      <c r="I127" s="361" t="inlineStr">
        <is>
          <t>https://censorship.kplus.vn/MediaAssets/Asset/e5cf589c-74ed-ee11-9144-f40270bf9ea7/StreamPreview</t>
        </is>
      </c>
      <c r="J127" s="361" t="inlineStr">
        <is>
          <t>YES</t>
        </is>
      </c>
      <c r="K127" s="361" t="inlineStr">
        <is>
          <t>Success</t>
        </is>
      </c>
    </row>
    <row r="128">
      <c r="A128" s="361" t="inlineStr">
        <is>
          <t>MOV_FAM_24__2713876</t>
        </is>
      </c>
      <c r="B128" s="361" t="inlineStr">
        <is>
          <t>Take care of my mom</t>
        </is>
      </c>
      <c r="C128" s="361" t="inlineStr">
        <is>
          <t>Movies</t>
        </is>
      </c>
      <c r="D128" s="361" t="n">
        <v>5</v>
      </c>
      <c r="E128" s="361" t="n">
        <v>2022</v>
      </c>
      <c r="F128" s="361" t="inlineStr">
        <is>
          <t>2024-03-07T00:00:00+07:00</t>
        </is>
      </c>
      <c r="H128" s="361" t="inlineStr">
        <is>
          <t>799e8f85-5723-4a59-87b8-659fbecb2991</t>
        </is>
      </c>
      <c r="I128" s="361" t="inlineStr">
        <is>
          <t>https://censorship.kplus.vn/MediaAssets/Asset/80cca0d3-2f7b-ef11-8593-0c42a12723cb/StreamPreview</t>
        </is>
      </c>
      <c r="J128" s="361" t="inlineStr">
        <is>
          <t>YES</t>
        </is>
      </c>
      <c r="K128" s="361" t="inlineStr">
        <is>
          <t>Success</t>
        </is>
      </c>
    </row>
    <row r="129">
      <c r="A129" s="361" t="inlineStr">
        <is>
          <t>MOV_THR_22__2672758</t>
        </is>
      </c>
      <c r="B129" s="361" t="inlineStr">
        <is>
          <t>The Guardian</t>
        </is>
      </c>
      <c r="C129" s="361" t="inlineStr">
        <is>
          <t>Movies</t>
        </is>
      </c>
      <c r="D129" s="361" t="n">
        <v>4</v>
      </c>
      <c r="E129" s="361" t="n">
        <v>2021</v>
      </c>
      <c r="F129" s="361" t="inlineStr">
        <is>
          <t>2022-04-23T00:00:00+07:00</t>
        </is>
      </c>
      <c r="H129" s="361" t="inlineStr">
        <is>
          <t>ebb105c8-c6f5-46d9-8d84-f0f40b65e636</t>
        </is>
      </c>
      <c r="I129" s="361" t="inlineStr">
        <is>
          <t>https://censorship.kplus.vn/MediaAssets/Asset/56fcd60f-a6ec-ee11-9144-f40270bf9ea7/StreamPreview</t>
        </is>
      </c>
      <c r="J129" s="361" t="inlineStr">
        <is>
          <t>YES</t>
        </is>
      </c>
      <c r="K129" s="361" t="inlineStr">
        <is>
          <t>Success</t>
        </is>
      </c>
    </row>
    <row r="130">
      <c r="A130" s="361" t="inlineStr">
        <is>
          <t>MOV_COM288</t>
        </is>
      </c>
      <c r="B130" s="361" t="inlineStr">
        <is>
          <t>Easy A</t>
        </is>
      </c>
      <c r="C130" s="361" t="inlineStr">
        <is>
          <t>Movies</t>
        </is>
      </c>
      <c r="D130" s="361" t="n">
        <v>3</v>
      </c>
      <c r="E130" s="361" t="n">
        <v>2010</v>
      </c>
      <c r="F130" s="361" t="inlineStr">
        <is>
          <t>2024-06-19T00:00:00+07:00</t>
        </is>
      </c>
      <c r="H130" s="361" t="inlineStr">
        <is>
          <t>a83a20e0-351f-4b1f-8ce5-0ca7fb945d98</t>
        </is>
      </c>
      <c r="I130" s="361" t="inlineStr">
        <is>
          <t>https://censorship.kplus.vn/MediaAssets/Asset/a2a40fb9-6b84-ef11-8593-0c42a12723cb/StreamPreview</t>
        </is>
      </c>
      <c r="J130" s="361" t="inlineStr">
        <is>
          <t>YES</t>
        </is>
      </c>
      <c r="K130" s="361" t="inlineStr">
        <is>
          <t>Success</t>
        </is>
      </c>
    </row>
    <row r="131">
      <c r="A131" s="361" t="inlineStr">
        <is>
          <t>MOV_DRA_22__2686515</t>
        </is>
      </c>
      <c r="B131" s="361" t="inlineStr">
        <is>
          <t>Winter's Bone</t>
        </is>
      </c>
      <c r="C131" s="361" t="inlineStr">
        <is>
          <t>Movies</t>
        </is>
      </c>
      <c r="D131" s="361" t="n">
        <v>3</v>
      </c>
      <c r="E131" s="361" t="n">
        <v>2010</v>
      </c>
      <c r="F131" s="361" t="inlineStr">
        <is>
          <t>2022-12-08T00:00:00+07:00</t>
        </is>
      </c>
      <c r="H131" s="361" t="inlineStr">
        <is>
          <t>f1305ff0-ae7a-4583-a204-14069feb2b27</t>
        </is>
      </c>
      <c r="I131" s="361" t="inlineStr">
        <is>
          <t>https://censorship.kplus.vn/MediaAssets/Asset/85712aac-ceed-ee11-9144-f40270bf9ea7/StreamPreview</t>
        </is>
      </c>
      <c r="J131" s="361" t="inlineStr">
        <is>
          <t>YES</t>
        </is>
      </c>
      <c r="K131" s="361" t="inlineStr">
        <is>
          <t>Success</t>
        </is>
      </c>
    </row>
    <row r="132">
      <c r="A132" s="361" t="inlineStr">
        <is>
          <t>MOV_ADV53</t>
        </is>
      </c>
      <c r="B132" s="361" t="inlineStr">
        <is>
          <t>The Green Knight</t>
        </is>
      </c>
      <c r="C132" s="361" t="inlineStr">
        <is>
          <t>Movies</t>
        </is>
      </c>
      <c r="D132" s="361" t="n">
        <v>3</v>
      </c>
      <c r="E132" s="361" t="n">
        <v>2021</v>
      </c>
      <c r="F132" s="361" t="inlineStr">
        <is>
          <t>2024-12-11T00:00:00+07:00</t>
        </is>
      </c>
      <c r="H132" s="361" t="inlineStr">
        <is>
          <t>81c74abe-5a45-4647-8fb0-91b8e86870f2</t>
        </is>
      </c>
      <c r="I132" s="361" t="inlineStr">
        <is>
          <t>https://censorship.kplus.vn/MediaAssets/Asset/c1cbd65b-decc-ef11-8593-0c42a12723cb/StreamPreview</t>
        </is>
      </c>
      <c r="J132" s="361" t="inlineStr">
        <is>
          <t>YES</t>
        </is>
      </c>
      <c r="K132" s="361" t="inlineStr">
        <is>
          <t>Success</t>
        </is>
      </c>
    </row>
    <row r="133">
      <c r="A133" s="361" t="inlineStr">
        <is>
          <t>MOV_ANI78</t>
        </is>
      </c>
      <c r="B133" s="361" t="inlineStr">
        <is>
          <t>Pil's Adventures</t>
        </is>
      </c>
      <c r="C133" s="361" t="inlineStr">
        <is>
          <t>Movies</t>
        </is>
      </c>
      <c r="D133" s="361" t="n">
        <v>1</v>
      </c>
      <c r="E133" s="361" t="n">
        <v>2021</v>
      </c>
      <c r="F133" s="361" t="inlineStr">
        <is>
          <t>2024-12-11T00:00:00+07:00</t>
        </is>
      </c>
      <c r="H133" s="361" t="inlineStr">
        <is>
          <t>150e7b69-500b-40b5-b671-a22f276c9453</t>
        </is>
      </c>
      <c r="I133" s="361" t="inlineStr">
        <is>
          <t>https://censorship.kplus.vn/MediaAssets/Asset/6921e5a5-dbec-ef11-8593-0c42a12723cb/StreamPreview</t>
        </is>
      </c>
      <c r="J133" s="361" t="inlineStr">
        <is>
          <t>YES</t>
        </is>
      </c>
      <c r="K133" s="361" t="inlineStr">
        <is>
          <t>Success</t>
        </is>
      </c>
    </row>
    <row r="134">
      <c r="A134" s="361" t="inlineStr">
        <is>
          <t>MOV_DRA746</t>
        </is>
      </c>
      <c r="B134" s="361" t="inlineStr">
        <is>
          <t>Be somebody</t>
        </is>
      </c>
      <c r="C134" s="361" t="inlineStr">
        <is>
          <t>Movies</t>
        </is>
      </c>
      <c r="D134" s="361" t="n">
        <v>3</v>
      </c>
      <c r="E134" s="361" t="n">
        <v>2021</v>
      </c>
      <c r="F134" s="361" t="inlineStr">
        <is>
          <t>2025-02-05T00:00:00+07:00</t>
        </is>
      </c>
      <c r="H134" s="361" t="inlineStr">
        <is>
          <t>131652e7-a973-484e-9d1a-2d5d8c78a27a</t>
        </is>
      </c>
      <c r="I134" s="361" t="inlineStr">
        <is>
          <t>https://censorship.kplus.vn/MediaAssets/Asset/1c1cf3f8-dd2b-f011-8593-0c42a12723cb/StreamPreview</t>
        </is>
      </c>
      <c r="J134" s="361" t="inlineStr">
        <is>
          <t>YES</t>
        </is>
      </c>
      <c r="K134" s="361" t="inlineStr">
        <is>
          <t>Success</t>
        </is>
      </c>
    </row>
    <row r="135">
      <c r="A135" s="361" t="inlineStr">
        <is>
          <t>MOV_COM_24__2712728</t>
        </is>
      </c>
      <c r="B135" s="361" t="inlineStr">
        <is>
          <t>Brave citizen</t>
        </is>
      </c>
      <c r="C135" s="361" t="inlineStr">
        <is>
          <t>Movies</t>
        </is>
      </c>
      <c r="D135" s="361" t="n">
        <v>3</v>
      </c>
      <c r="E135" s="361" t="n">
        <v>2023</v>
      </c>
      <c r="F135" s="361" t="inlineStr">
        <is>
          <t>2024-02-20T00:00:00+07:00</t>
        </is>
      </c>
      <c r="H135" s="361" t="inlineStr">
        <is>
          <t>6b4457c0-ab61-4df6-ad14-4c37e0b76886</t>
        </is>
      </c>
      <c r="I135" s="361" t="inlineStr">
        <is>
          <t>https://censorship.kplus.vn/MediaAssets/Asset/488270e2-1af8-ee11-9144-f40270bf9ea7/StreamPreview</t>
        </is>
      </c>
      <c r="J135" s="361" t="inlineStr">
        <is>
          <t>YES</t>
        </is>
      </c>
      <c r="K135" s="361" t="inlineStr">
        <is>
          <t>Success</t>
        </is>
      </c>
    </row>
    <row r="136">
      <c r="A136" s="361" t="inlineStr">
        <is>
          <t>MOV_HOR_23__2696594</t>
        </is>
      </c>
      <c r="B136" s="361" t="inlineStr">
        <is>
          <t>Door Lock</t>
        </is>
      </c>
      <c r="C136" s="361" t="inlineStr">
        <is>
          <t>Movies</t>
        </is>
      </c>
      <c r="D136" s="361" t="n">
        <v>3</v>
      </c>
      <c r="E136" s="361" t="n">
        <v>2018</v>
      </c>
      <c r="F136" s="361" t="inlineStr">
        <is>
          <t>2023-05-05T00:00:00+07:00</t>
        </is>
      </c>
      <c r="H136" s="361" t="inlineStr">
        <is>
          <t>a292575d-4afb-4821-b962-dc8c96b05bc7</t>
        </is>
      </c>
      <c r="I136" s="361" t="inlineStr">
        <is>
          <t>https://censorship.kplus.vn/MediaAssets/Asset/8e2373ba-40f8-ee11-9144-f40270bf9ea7/StreamPreview</t>
        </is>
      </c>
      <c r="J136" s="361" t="inlineStr">
        <is>
          <t>YES</t>
        </is>
      </c>
      <c r="K136" s="361" t="inlineStr">
        <is>
          <t>Success</t>
        </is>
      </c>
    </row>
    <row r="137">
      <c r="A137" s="361" t="inlineStr">
        <is>
          <t>MOV_DRA726</t>
        </is>
      </c>
      <c r="B137" s="361" t="inlineStr">
        <is>
          <t>Eat Pray Love</t>
        </is>
      </c>
      <c r="C137" s="361" t="inlineStr">
        <is>
          <t>Movies</t>
        </is>
      </c>
      <c r="D137" s="361" t="n">
        <v>2</v>
      </c>
      <c r="E137" s="361" t="n">
        <v>2010</v>
      </c>
      <c r="F137" s="361" t="inlineStr">
        <is>
          <t>2024-06-19T00:00:00+07:00</t>
        </is>
      </c>
      <c r="H137" s="361" t="inlineStr">
        <is>
          <t>8b96b177-9794-4d1e-b7e2-5b847d4cd9ef</t>
        </is>
      </c>
      <c r="I137" s="361" t="inlineStr">
        <is>
          <t>https://censorship.kplus.vn/MediaAssets/Asset/fe2afa08-2d90-ef11-8593-0c42a12723cb/StreamPreview</t>
        </is>
      </c>
      <c r="J137" s="361" t="inlineStr">
        <is>
          <t>YES</t>
        </is>
      </c>
      <c r="K137" s="361" t="inlineStr">
        <is>
          <t>Success</t>
        </is>
      </c>
    </row>
    <row r="138">
      <c r="A138" s="361" t="inlineStr">
        <is>
          <t>MOV_ANI_22__2674851</t>
        </is>
      </c>
      <c r="B138" s="361" t="inlineStr">
        <is>
          <t>Dreambuilders</t>
        </is>
      </c>
      <c r="C138" s="361" t="inlineStr">
        <is>
          <t>Movies</t>
        </is>
      </c>
      <c r="D138" s="361" t="n">
        <v>1</v>
      </c>
      <c r="E138" s="361" t="n">
        <v>2020</v>
      </c>
      <c r="F138" s="361" t="inlineStr">
        <is>
          <t>2022-05-24T00:00:00+07:00</t>
        </is>
      </c>
      <c r="H138" s="361" t="inlineStr">
        <is>
          <t>9b04c169-c4e2-4cec-81c5-83843311eb23</t>
        </is>
      </c>
      <c r="I138" s="361" t="inlineStr">
        <is>
          <t>https://censorship.kplus.vn/MediaAssets/Asset/8b844290-ceec-ee11-9144-f40270bf9ea7/StreamPreview</t>
        </is>
      </c>
      <c r="J138" s="361" t="inlineStr">
        <is>
          <t>YES</t>
        </is>
      </c>
      <c r="K138" s="361" t="inlineStr">
        <is>
          <t>Success</t>
        </is>
      </c>
    </row>
    <row r="139">
      <c r="A139" s="361" t="inlineStr">
        <is>
          <t>MOV_COM_21__2649547</t>
        </is>
      </c>
      <c r="B139" s="361" t="inlineStr">
        <is>
          <t>THE EVE OF NEVER</t>
        </is>
      </c>
      <c r="C139" s="361" t="inlineStr">
        <is>
          <t>Movies</t>
        </is>
      </c>
      <c r="D139" s="361" t="n">
        <v>3</v>
      </c>
      <c r="E139" s="361" t="n">
        <v>2020</v>
      </c>
      <c r="F139" s="361" t="inlineStr">
        <is>
          <t>2021-05-06T00:00:00+07:00</t>
        </is>
      </c>
      <c r="H139" s="361" t="inlineStr">
        <is>
          <t>b2bef0e2-c539-41c5-84cf-0eeb0f216510</t>
        </is>
      </c>
      <c r="I139" s="361" t="inlineStr">
        <is>
          <t>https://censorship.kplus.vn/MediaAssets/Asset/164df6da-78ea-ee11-9144-f40270bf9ea7/StreamPreview</t>
        </is>
      </c>
      <c r="J139" s="361" t="inlineStr">
        <is>
          <t>YES</t>
        </is>
      </c>
      <c r="K139" s="361" t="inlineStr">
        <is>
          <t>Success</t>
        </is>
      </c>
    </row>
    <row r="140">
      <c r="A140" s="361" t="inlineStr">
        <is>
          <t>MOV_DRA754</t>
        </is>
      </c>
      <c r="B140" s="361" t="inlineStr">
        <is>
          <t>Armageddon Time</t>
        </is>
      </c>
      <c r="C140" s="361" t="inlineStr">
        <is>
          <t>Movies</t>
        </is>
      </c>
      <c r="D140" s="361" t="n">
        <v>2</v>
      </c>
      <c r="E140" s="361" t="n">
        <v>2022</v>
      </c>
      <c r="F140" s="361" t="inlineStr">
        <is>
          <t>2025-03-04T00:00:00+07:00</t>
        </is>
      </c>
      <c r="H140" s="361" t="inlineStr">
        <is>
          <t>8db4285e-ee6a-4489-915b-dd08b95349ea</t>
        </is>
      </c>
      <c r="I140" s="361" t="inlineStr">
        <is>
          <t>https://censorship.kplus.vn/MediaAssets/Asset/63a1dab9-1411-f011-8593-0c42a12723cb/StreamPreview</t>
        </is>
      </c>
      <c r="J140" s="361" t="inlineStr">
        <is>
          <t>YES</t>
        </is>
      </c>
      <c r="K140" s="361" t="inlineStr">
        <is>
          <t>Success</t>
        </is>
      </c>
    </row>
    <row r="141">
      <c r="A141" s="361" t="inlineStr">
        <is>
          <t>MOV_ACT_23__2696592</t>
        </is>
      </c>
      <c r="B141" s="361" t="inlineStr">
        <is>
          <t>The Doorman</t>
        </is>
      </c>
      <c r="C141" s="361" t="inlineStr">
        <is>
          <t>Movies</t>
        </is>
      </c>
      <c r="D141" s="361" t="n">
        <v>3</v>
      </c>
      <c r="E141" s="361" t="n">
        <v>2020</v>
      </c>
      <c r="F141" s="361" t="inlineStr">
        <is>
          <t>2023-05-05T00:00:00+07:00</t>
        </is>
      </c>
      <c r="H141" s="361" t="inlineStr">
        <is>
          <t>b9394b1e-8a71-4be8-bf58-3a23c0d7ca84</t>
        </is>
      </c>
      <c r="I141" s="361" t="inlineStr">
        <is>
          <t>https://censorship.kplus.vn/MediaAssets/Asset/7f45fc83-59f0-ee11-9144-f40270bf9ea7/StreamPreview</t>
        </is>
      </c>
      <c r="J141" s="361" t="inlineStr">
        <is>
          <t>YES</t>
        </is>
      </c>
      <c r="K141" s="361" t="inlineStr">
        <is>
          <t>Success</t>
        </is>
      </c>
    </row>
    <row r="142">
      <c r="A142" s="361" t="inlineStr">
        <is>
          <t>MOV_ACT_22__2686500</t>
        </is>
      </c>
      <c r="B142" s="361" t="inlineStr">
        <is>
          <t>Kin</t>
        </is>
      </c>
      <c r="C142" s="361" t="inlineStr">
        <is>
          <t>Movies</t>
        </is>
      </c>
      <c r="D142" s="361" t="n">
        <v>3</v>
      </c>
      <c r="E142" s="361" t="n">
        <v>2018</v>
      </c>
      <c r="F142" s="361" t="inlineStr">
        <is>
          <t>2022-12-08T00:00:00+07:00</t>
        </is>
      </c>
      <c r="H142" s="361" t="inlineStr">
        <is>
          <t>b5bb6181-ddcf-4087-9b04-7c7ea726fc62</t>
        </is>
      </c>
      <c r="I142" s="361" t="inlineStr">
        <is>
          <t>https://censorship.kplus.vn/MediaAssets/Asset/3e98e493-c8ed-ee11-9144-f40270bf9ea7/StreamPreview</t>
        </is>
      </c>
      <c r="J142" s="361" t="inlineStr">
        <is>
          <t>YES</t>
        </is>
      </c>
      <c r="K142" s="361" t="inlineStr">
        <is>
          <t>Success</t>
        </is>
      </c>
    </row>
    <row r="143">
      <c r="A143" s="361" t="inlineStr">
        <is>
          <t>MOV_DRA_24__2710442</t>
        </is>
      </c>
      <c r="B143" s="361" t="inlineStr">
        <is>
          <t>Anatomy Of A Fall</t>
        </is>
      </c>
      <c r="C143" s="361" t="inlineStr">
        <is>
          <t>Movies</t>
        </is>
      </c>
      <c r="D143" s="361" t="n">
        <v>3</v>
      </c>
      <c r="E143" s="361" t="n">
        <v>2023</v>
      </c>
      <c r="F143" s="361" t="inlineStr">
        <is>
          <t>2024-01-09T00:00:00+07:00</t>
        </is>
      </c>
      <c r="H143" s="361" t="inlineStr">
        <is>
          <t>b0a86a38-14d4-434f-9d9b-ec1b88807e48</t>
        </is>
      </c>
      <c r="I143" s="361" t="inlineStr">
        <is>
          <t>https://censorship.kplus.vn/MediaAssets/Asset/6dfaded4-1bf8-ee11-9144-f40270bf9ea7/StreamPreview</t>
        </is>
      </c>
      <c r="J143" s="361" t="inlineStr">
        <is>
          <t>YES</t>
        </is>
      </c>
      <c r="K143" s="361" t="inlineStr">
        <is>
          <t>Success</t>
        </is>
      </c>
    </row>
    <row r="144">
      <c r="A144" s="361" t="inlineStr">
        <is>
          <t>MOV_THR169</t>
        </is>
      </c>
      <c r="B144" s="361" t="inlineStr">
        <is>
          <t>Breaking</t>
        </is>
      </c>
      <c r="C144" s="361" t="inlineStr">
        <is>
          <t>Movies</t>
        </is>
      </c>
      <c r="D144" s="361" t="n">
        <v>3</v>
      </c>
      <c r="E144" s="361" t="n">
        <v>2022</v>
      </c>
      <c r="F144" s="361" t="inlineStr">
        <is>
          <t>2025-04-09T00:00:00+07:00</t>
        </is>
      </c>
      <c r="H144" s="361" t="inlineStr">
        <is>
          <t>1fd1a846-916c-4afe-9460-597efe7d0db2</t>
        </is>
      </c>
      <c r="I144" s="361" t="inlineStr">
        <is>
          <t>https://censorship.kplus.vn/MediaAssets/Asset/5c86fd9c-4b2a-f011-8593-0c42a12723cb/StreamPreview</t>
        </is>
      </c>
      <c r="J144" s="361" t="inlineStr">
        <is>
          <t>YES</t>
        </is>
      </c>
      <c r="K144" s="361" t="inlineStr">
        <is>
          <t>Success</t>
        </is>
      </c>
    </row>
    <row r="145">
      <c r="A145" s="361" t="inlineStr">
        <is>
          <t>MOV_ACT_21__2654665</t>
        </is>
      </c>
      <c r="B145" s="361" t="inlineStr">
        <is>
          <t>TAOIST MASTER: KYLIN</t>
        </is>
      </c>
      <c r="C145" s="361" t="inlineStr">
        <is>
          <t>Movies</t>
        </is>
      </c>
      <c r="D145" s="361" t="n">
        <v>2</v>
      </c>
      <c r="E145" s="361" t="n">
        <v>2020</v>
      </c>
      <c r="F145" s="361" t="inlineStr">
        <is>
          <t>2021-08-25T00:00:00+07:00</t>
        </is>
      </c>
      <c r="H145" s="361" t="inlineStr">
        <is>
          <t>dec7cba0-9ea4-4b6c-9264-d1a3d7442434</t>
        </is>
      </c>
      <c r="I145" s="361" t="inlineStr">
        <is>
          <t>https://censorship.kplus.vn/MediaAssets/Asset/64ef4aac-31ea-ee11-9144-f40270bf9ea7/StreamPreview</t>
        </is>
      </c>
      <c r="J145" s="361" t="inlineStr">
        <is>
          <t>YES</t>
        </is>
      </c>
      <c r="K145" s="361" t="inlineStr">
        <is>
          <t>Success</t>
        </is>
      </c>
    </row>
    <row r="146">
      <c r="A146" s="361" t="inlineStr">
        <is>
          <t>MOV_HOR_22__2682563</t>
        </is>
      </c>
      <c r="B146" s="361" t="inlineStr">
        <is>
          <t>The Nightmares</t>
        </is>
      </c>
      <c r="C146" s="361" t="inlineStr">
        <is>
          <t>Movies</t>
        </is>
      </c>
      <c r="D146" s="361" t="n">
        <v>4</v>
      </c>
      <c r="E146" s="361" t="n">
        <v>2021</v>
      </c>
      <c r="F146" s="361" t="inlineStr">
        <is>
          <t>2022-10-04T00:00:00+07:00</t>
        </is>
      </c>
      <c r="H146" s="361" t="inlineStr">
        <is>
          <t>e80ec559-f644-43a2-8962-b3a88ea0e84e</t>
        </is>
      </c>
      <c r="I146" s="361" t="inlineStr">
        <is>
          <t>https://censorship.kplus.vn/MediaAssets/Asset/8ea64a91-b8ed-ee11-9144-f40270bf9ea7/StreamPreview</t>
        </is>
      </c>
      <c r="J146" s="361" t="inlineStr">
        <is>
          <t>YES</t>
        </is>
      </c>
      <c r="K146" s="361" t="inlineStr">
        <is>
          <t>Success</t>
        </is>
      </c>
    </row>
    <row r="147">
      <c r="A147" s="361" t="inlineStr">
        <is>
          <t>MOV_BIO24</t>
        </is>
      </c>
      <c r="B147" s="361" t="inlineStr">
        <is>
          <t>The theory of everything</t>
        </is>
      </c>
      <c r="C147" s="361" t="inlineStr">
        <is>
          <t>Movies</t>
        </is>
      </c>
      <c r="D147" s="361" t="n">
        <v>2</v>
      </c>
      <c r="E147" s="361" t="n">
        <v>2014</v>
      </c>
      <c r="F147" s="361" t="inlineStr">
        <is>
          <t>2024-12-27T00:00:00+07:00</t>
        </is>
      </c>
      <c r="H147" s="361" t="inlineStr">
        <is>
          <t>4264e3e4-32b0-4167-bad0-2aab91a21212</t>
        </is>
      </c>
      <c r="I147" s="361" t="inlineStr">
        <is>
          <t>https://censorship.kplus.vn/MediaAssets/Asset/16b084b7-6eef-ef11-8593-0c42a12723cb/StreamPreview</t>
        </is>
      </c>
      <c r="J147" s="361" t="inlineStr">
        <is>
          <t>YES</t>
        </is>
      </c>
      <c r="K147" s="361" t="inlineStr">
        <is>
          <t>Success</t>
        </is>
      </c>
    </row>
    <row r="148">
      <c r="A148" s="361" t="inlineStr">
        <is>
          <t>MOV_COM_24__2710445</t>
        </is>
      </c>
      <c r="B148" s="361" t="inlineStr">
        <is>
          <t>On Your Mark</t>
        </is>
      </c>
      <c r="C148" s="361" t="inlineStr">
        <is>
          <t>Movies</t>
        </is>
      </c>
      <c r="D148" s="361" t="n">
        <v>5</v>
      </c>
      <c r="E148" s="361" t="n">
        <v>2021</v>
      </c>
      <c r="F148" s="361" t="inlineStr">
        <is>
          <t>2024-01-09T00:00:00+07:00</t>
        </is>
      </c>
      <c r="H148" s="361" t="inlineStr">
        <is>
          <t>05661a2f-05ec-4b47-9c47-ecf73e0e0e15</t>
        </is>
      </c>
      <c r="I148" s="361" t="inlineStr">
        <is>
          <t>https://censorship.kplus.vn/MediaAssets/Asset/d659e9b3-6760-ef11-8593-0c42a12723cb/StreamPreview</t>
        </is>
      </c>
      <c r="J148" s="361" t="inlineStr">
        <is>
          <t>YES</t>
        </is>
      </c>
      <c r="K148" s="361" t="inlineStr">
        <is>
          <t>Success</t>
        </is>
      </c>
    </row>
    <row r="149">
      <c r="A149" s="361" t="inlineStr">
        <is>
          <t>MOV_ACT611</t>
        </is>
      </c>
      <c r="B149" s="361" t="inlineStr">
        <is>
          <t>Dead for a dollar</t>
        </is>
      </c>
      <c r="C149" s="361" t="inlineStr">
        <is>
          <t>Movies</t>
        </is>
      </c>
      <c r="D149" s="361" t="n">
        <v>3</v>
      </c>
      <c r="E149" s="361" t="n">
        <v>2022</v>
      </c>
      <c r="F149" s="361" t="inlineStr">
        <is>
          <t>2025-04-09T00:00:00+07:00</t>
        </is>
      </c>
      <c r="H149" s="361" t="inlineStr">
        <is>
          <t>d4f76eb0-01dd-476d-b84c-91e0aec603ac</t>
        </is>
      </c>
      <c r="I149" s="361" t="inlineStr">
        <is>
          <t>https://censorship.kplus.vn/MediaAssets/Asset/ab6a1b16-a431-f011-8593-0c42a12723cb/StreamPreview</t>
        </is>
      </c>
      <c r="J149" s="361" t="inlineStr">
        <is>
          <t>YES</t>
        </is>
      </c>
      <c r="K149" s="361" t="inlineStr">
        <is>
          <t>Success</t>
        </is>
      </c>
    </row>
    <row r="150">
      <c r="A150" s="361" t="inlineStr">
        <is>
          <t>MOV_ANI76</t>
        </is>
      </c>
      <c r="B150" s="361" t="inlineStr">
        <is>
          <t>Minions: The Rise of Gru</t>
        </is>
      </c>
      <c r="C150" s="361" t="inlineStr">
        <is>
          <t>Movies</t>
        </is>
      </c>
      <c r="D150" s="361" t="n">
        <v>1</v>
      </c>
      <c r="E150" s="361" t="n">
        <v>2022</v>
      </c>
      <c r="F150" s="361" t="inlineStr">
        <is>
          <t>2024-07-17T00:00:00+07:00</t>
        </is>
      </c>
      <c r="H150" s="361" t="inlineStr">
        <is>
          <t>99091103-8ea7-4fec-94bb-e034acf7a693</t>
        </is>
      </c>
      <c r="I150" s="361" t="inlineStr">
        <is>
          <t>https://censorship.kplus.vn/MediaAssets/Asset/90db427d-82bb-ef11-8593-0c42a12723cb/StreamPreview</t>
        </is>
      </c>
      <c r="J150" s="361" t="inlineStr">
        <is>
          <t>YES</t>
        </is>
      </c>
      <c r="K150" s="361" t="inlineStr">
        <is>
          <t>Success</t>
        </is>
      </c>
    </row>
    <row r="151">
      <c r="A151" s="361" t="inlineStr">
        <is>
          <t>MOV_DRA743</t>
        </is>
      </c>
      <c r="B151" s="361" t="inlineStr">
        <is>
          <t>Sound Of Metal</t>
        </is>
      </c>
      <c r="C151" s="361" t="inlineStr">
        <is>
          <t>Movies</t>
        </is>
      </c>
      <c r="D151" s="361" t="n">
        <v>3</v>
      </c>
      <c r="E151" s="361" t="n">
        <v>2020</v>
      </c>
      <c r="F151" s="361" t="inlineStr">
        <is>
          <t>2025-01-03T00:00:00+07:00</t>
        </is>
      </c>
      <c r="H151" s="361" t="inlineStr">
        <is>
          <t>1a934eca-1517-4055-a77b-9b829d91f3c4</t>
        </is>
      </c>
      <c r="I151" s="361" t="inlineStr">
        <is>
          <t>https://censorship.kplus.vn/MediaAssets/Asset/56a54147-83ea-ef11-8593-0c42a12723cb/StreamPreview</t>
        </is>
      </c>
      <c r="J151" s="361" t="inlineStr">
        <is>
          <t>YES</t>
        </is>
      </c>
      <c r="K151" s="361" t="inlineStr">
        <is>
          <t>Success</t>
        </is>
      </c>
    </row>
    <row r="152">
      <c r="A152" s="361" t="inlineStr">
        <is>
          <t>MOV_ACT591</t>
        </is>
      </c>
      <c r="B152" s="361" t="inlineStr">
        <is>
          <t>Wu Kong</t>
        </is>
      </c>
      <c r="C152" s="361" t="inlineStr">
        <is>
          <t>Movies</t>
        </is>
      </c>
      <c r="D152" s="361" t="n">
        <v>3</v>
      </c>
      <c r="E152" s="361" t="n">
        <v>2017</v>
      </c>
      <c r="F152" s="361" t="inlineStr">
        <is>
          <t>2024-12-11T00:00:00+07:00</t>
        </is>
      </c>
      <c r="H152" s="361" t="inlineStr">
        <is>
          <t>48a41d13-d6da-434c-878f-67f839f72564</t>
        </is>
      </c>
      <c r="I152" s="361" t="inlineStr">
        <is>
          <t>https://censorship.kplus.vn/MediaAssets/Asset/08952974-dd2b-f011-8593-0c42a12723cb/StreamPreview</t>
        </is>
      </c>
      <c r="J152" s="361" t="inlineStr">
        <is>
          <t>YES</t>
        </is>
      </c>
      <c r="K152" s="361" t="inlineStr">
        <is>
          <t>Success</t>
        </is>
      </c>
    </row>
    <row r="153">
      <c r="A153" s="361" t="inlineStr">
        <is>
          <t>MOV_COM_24__2710446</t>
        </is>
      </c>
      <c r="B153" s="361" t="inlineStr">
        <is>
          <t>Maybe I Do</t>
        </is>
      </c>
      <c r="C153" s="361" t="inlineStr">
        <is>
          <t>Movies</t>
        </is>
      </c>
      <c r="D153" s="361" t="n">
        <v>3</v>
      </c>
      <c r="E153" s="361" t="n">
        <v>2023</v>
      </c>
      <c r="F153" s="361" t="inlineStr">
        <is>
          <t>2024-01-09T00:00:00+07:00</t>
        </is>
      </c>
      <c r="H153" s="361" t="inlineStr">
        <is>
          <t>eed07e7c-ebd0-4a23-b6b2-56e64b69eaee</t>
        </is>
      </c>
      <c r="I153" s="361" t="inlineStr">
        <is>
          <t>https://censorship.kplus.vn/MediaAssets/Asset/4bdf5a27-5f55-ef11-914a-f40270bf9ea7/StreamPreview</t>
        </is>
      </c>
      <c r="J153" s="361" t="inlineStr">
        <is>
          <t>YES</t>
        </is>
      </c>
      <c r="K153" s="361" t="inlineStr">
        <is>
          <t>Success</t>
        </is>
      </c>
    </row>
    <row r="154">
      <c r="A154" s="361" t="inlineStr">
        <is>
          <t>MOV_THR164</t>
        </is>
      </c>
      <c r="B154" s="361" t="inlineStr">
        <is>
          <t>Firestarter</t>
        </is>
      </c>
      <c r="C154" s="361" t="inlineStr">
        <is>
          <t>Movies</t>
        </is>
      </c>
      <c r="D154" s="361" t="n">
        <v>4</v>
      </c>
      <c r="E154" s="361" t="n">
        <v>2022</v>
      </c>
      <c r="F154" s="361" t="inlineStr">
        <is>
          <t>2024-09-19T00:00:00+07:00</t>
        </is>
      </c>
      <c r="H154" s="361" t="inlineStr">
        <is>
          <t>7dfc2e91-6c5a-4012-a75e-e4d0f696f82d</t>
        </is>
      </c>
      <c r="I154" s="361" t="inlineStr">
        <is>
          <t>https://censorship.kplus.vn/MediaAssets/Asset/b6eddb36-7d9d-ef11-8593-0c42a12723cb/StreamPreview</t>
        </is>
      </c>
      <c r="J154" s="361" t="inlineStr">
        <is>
          <t>YES</t>
        </is>
      </c>
      <c r="K154" s="361" t="inlineStr">
        <is>
          <t>Success</t>
        </is>
      </c>
    </row>
    <row r="155">
      <c r="A155" s="361" t="inlineStr">
        <is>
          <t>MOV_ACT601</t>
        </is>
      </c>
      <c r="B155" s="361" t="inlineStr">
        <is>
          <t>Troll Factory</t>
        </is>
      </c>
      <c r="C155" s="361" t="inlineStr">
        <is>
          <t>Movies</t>
        </is>
      </c>
      <c r="D155" s="361" t="n">
        <v>3</v>
      </c>
      <c r="E155" s="361" t="n">
        <v>2024</v>
      </c>
      <c r="F155" s="361" t="inlineStr">
        <is>
          <t>2024-12-11T00:00:00+07:00</t>
        </is>
      </c>
      <c r="H155" s="362" t="inlineStr">
        <is>
          <t>6e654e4e-98be-4ed1-ad2e-418fd3540e89</t>
        </is>
      </c>
      <c r="I155" s="361" t="inlineStr">
        <is>
          <t>https://censorship.kplus.vn/MediaAssets/Asset/5592442a-63d1-ef11-8593-0c42a12723cb/StreamPreview</t>
        </is>
      </c>
      <c r="J155" s="361" t="inlineStr">
        <is>
          <t>YES</t>
        </is>
      </c>
      <c r="K155" s="361" t="inlineStr">
        <is>
          <t>Success</t>
        </is>
      </c>
    </row>
    <row r="156">
      <c r="A156" s="361" t="inlineStr">
        <is>
          <t>MOV_ACT597</t>
        </is>
      </c>
      <c r="B156" s="361" t="inlineStr">
        <is>
          <t>Citizen Of A Kind</t>
        </is>
      </c>
      <c r="C156" s="361" t="inlineStr">
        <is>
          <t>Movies</t>
        </is>
      </c>
      <c r="D156" s="361" t="n">
        <v>3</v>
      </c>
      <c r="E156" s="361" t="n">
        <v>2024</v>
      </c>
      <c r="F156" s="361" t="inlineStr">
        <is>
          <t>2024-12-26T00:00:00+07:00</t>
        </is>
      </c>
      <c r="H156" s="361" t="inlineStr">
        <is>
          <t>4b32a3cd-ba1a-4de5-a436-cc589d9e6ef2</t>
        </is>
      </c>
      <c r="I156" s="361" t="inlineStr">
        <is>
          <t>https://censorship.kplus.vn/MediaAssets/Asset/bc18fe4e-26d2-ef11-8593-0c42a12723cb/StreamPreview</t>
        </is>
      </c>
      <c r="J156" s="361" t="inlineStr">
        <is>
          <t>YES</t>
        </is>
      </c>
      <c r="K156" s="361" t="inlineStr">
        <is>
          <t>Success</t>
        </is>
      </c>
    </row>
    <row r="157">
      <c r="A157" s="361" t="inlineStr">
        <is>
          <t>MOV_ACT_23__2709733</t>
        </is>
      </c>
      <c r="B157" s="361" t="inlineStr">
        <is>
          <t>Wrath of Man</t>
        </is>
      </c>
      <c r="C157" s="361" t="inlineStr">
        <is>
          <t>Movies</t>
        </is>
      </c>
      <c r="D157" s="361" t="n">
        <v>4</v>
      </c>
      <c r="E157" s="361" t="n">
        <v>2021</v>
      </c>
      <c r="F157" s="361" t="inlineStr">
        <is>
          <t>2023-12-22T00:00:00+07:00</t>
        </is>
      </c>
      <c r="H157" s="361" t="inlineStr">
        <is>
          <t>eb763e0b-4240-49d1-932d-7182decb21b2</t>
        </is>
      </c>
      <c r="I157" s="361" t="inlineStr">
        <is>
          <t>https://censorship.kplus.vn/MediaAssets/Asset/a4e79b95-2ef1-ee11-9144-f40270bf9ea7/StreamPreview</t>
        </is>
      </c>
      <c r="J157" s="361" t="inlineStr">
        <is>
          <t>YES</t>
        </is>
      </c>
      <c r="K157" s="361" t="inlineStr">
        <is>
          <t>Success</t>
        </is>
      </c>
    </row>
    <row r="158">
      <c r="A158" s="361" t="inlineStr">
        <is>
          <t>MOV_DRA_22__2686501</t>
        </is>
      </c>
      <c r="B158" s="361" t="inlineStr">
        <is>
          <t>Adrift (2018)</t>
        </is>
      </c>
      <c r="C158" s="361" t="inlineStr">
        <is>
          <t>Movies</t>
        </is>
      </c>
      <c r="D158" s="361" t="n">
        <v>2</v>
      </c>
      <c r="E158" s="361" t="n">
        <v>2018</v>
      </c>
      <c r="F158" s="361" t="inlineStr">
        <is>
          <t>2022-12-08T00:00:00+07:00</t>
        </is>
      </c>
      <c r="H158" s="361" t="inlineStr">
        <is>
          <t>3a6c9b7a-6654-444e-9ad8-aed8e17160f7</t>
        </is>
      </c>
      <c r="I158" s="361" t="inlineStr">
        <is>
          <t>https://censorship.kplus.vn/MediaAssets/Asset/a3680fc1-c9ed-ee11-9144-f40270bf9ea7/StreamPreview</t>
        </is>
      </c>
      <c r="J158" s="361" t="inlineStr">
        <is>
          <t>YES</t>
        </is>
      </c>
      <c r="K158" s="361" t="inlineStr">
        <is>
          <t>Success</t>
        </is>
      </c>
    </row>
    <row r="159">
      <c r="A159" s="361" t="inlineStr">
        <is>
          <t>MOV_ANI_24__2714756</t>
        </is>
      </c>
      <c r="B159" s="361" t="inlineStr">
        <is>
          <t>Captain Underpants</t>
        </is>
      </c>
      <c r="C159" s="361" t="inlineStr">
        <is>
          <t>Movies</t>
        </is>
      </c>
      <c r="D159" s="361" t="n">
        <v>1</v>
      </c>
      <c r="E159" s="361" t="n">
        <v>2017</v>
      </c>
      <c r="F159" s="361" t="inlineStr">
        <is>
          <t>2024-03-21T00:00:00+07:00</t>
        </is>
      </c>
      <c r="H159" s="361" t="inlineStr">
        <is>
          <t>931df6eb-89cf-40a8-84c4-4e96fd2ada9f</t>
        </is>
      </c>
      <c r="I159" s="361" t="inlineStr">
        <is>
          <t>https://censorship.kplus.vn/MediaAssets/Asset/d7fd70c1-5df8-ee11-9144-f40270bf9ea7/StreamPreview</t>
        </is>
      </c>
      <c r="J159" s="361" t="inlineStr">
        <is>
          <t>YES</t>
        </is>
      </c>
      <c r="K159" s="361" t="inlineStr">
        <is>
          <t>Success</t>
        </is>
      </c>
    </row>
    <row r="160">
      <c r="A160" s="361" t="inlineStr">
        <is>
          <t>MOV_ROM101</t>
        </is>
      </c>
      <c r="B160" s="361" t="inlineStr">
        <is>
          <t>Waiting for Rain</t>
        </is>
      </c>
      <c r="C160" s="361" t="inlineStr">
        <is>
          <t>Movies</t>
        </is>
      </c>
      <c r="D160" s="361" t="n">
        <v>1</v>
      </c>
      <c r="E160" s="361" t="n">
        <v>2021</v>
      </c>
      <c r="F160" s="361" t="inlineStr">
        <is>
          <t>2024-12-28T00:00:00+07:00</t>
        </is>
      </c>
      <c r="H160" s="361" t="inlineStr">
        <is>
          <t>d99eaa76-defa-4ca0-8eb0-cdf237bb130f</t>
        </is>
      </c>
      <c r="I160" s="361" t="inlineStr">
        <is>
          <t>https://censorship.kplus.vn/MediaAssets/Asset/ce8f0da6-78e4-ef11-8593-0c42a12723cb/StreamPreview</t>
        </is>
      </c>
      <c r="J160" s="361" t="inlineStr">
        <is>
          <t>YES</t>
        </is>
      </c>
      <c r="K160" s="361" t="inlineStr">
        <is>
          <t>Success</t>
        </is>
      </c>
    </row>
    <row r="161">
      <c r="A161" s="361" t="inlineStr">
        <is>
          <t>MOV_COM_22__2686868</t>
        </is>
      </c>
      <c r="B161" s="363" t="n">
        <v>16589</v>
      </c>
      <c r="C161" s="361" t="inlineStr">
        <is>
          <t>Movies</t>
        </is>
      </c>
      <c r="D161" s="361" t="n">
        <v>2</v>
      </c>
      <c r="E161" s="361" t="n">
        <v>2022</v>
      </c>
      <c r="F161" s="361" t="inlineStr">
        <is>
          <t>2022-12-15T00:00:00+07:00</t>
        </is>
      </c>
      <c r="H161" s="361" t="inlineStr">
        <is>
          <t>85f9956c-e998-4170-89fe-63403bb648e5</t>
        </is>
      </c>
      <c r="I161" s="361" t="inlineStr">
        <is>
          <t>https://censorship.kplus.vn/MediaAssets/Asset/84fca436-ceed-ee11-9144-f40270bf9ea7/StreamPreview</t>
        </is>
      </c>
      <c r="J161" s="361" t="inlineStr">
        <is>
          <t>YES</t>
        </is>
      </c>
      <c r="K161" s="361" t="inlineStr">
        <is>
          <t>Success</t>
        </is>
      </c>
    </row>
    <row r="162">
      <c r="A162" s="361" t="inlineStr">
        <is>
          <t>MOV_THR_24__2711445</t>
        </is>
      </c>
      <c r="B162" s="361" t="inlineStr">
        <is>
          <t>Livestream</t>
        </is>
      </c>
      <c r="C162" s="361" t="inlineStr">
        <is>
          <t>Movies</t>
        </is>
      </c>
      <c r="D162" s="361" t="n">
        <v>3</v>
      </c>
      <c r="E162" s="361" t="n">
        <v>2023</v>
      </c>
      <c r="F162" s="361" t="inlineStr">
        <is>
          <t>2024-01-22T00:00:00+07:00</t>
        </is>
      </c>
      <c r="H162" s="361" t="inlineStr">
        <is>
          <t>a4e6c559-06df-4907-a21a-457885d12fae</t>
        </is>
      </c>
      <c r="I162" s="361" t="inlineStr">
        <is>
          <t>https://censorship.kplus.vn/MediaAssets/Asset/cec8f151-24f8-ee11-9144-f40270bf9ea7/StreamPreview</t>
        </is>
      </c>
      <c r="J162" s="361" t="inlineStr">
        <is>
          <t>YES</t>
        </is>
      </c>
      <c r="K162" s="361" t="inlineStr">
        <is>
          <t>Success</t>
        </is>
      </c>
    </row>
    <row r="163">
      <c r="A163" s="361" t="inlineStr">
        <is>
          <t>MOV_ACT603</t>
        </is>
      </c>
      <c r="B163" s="361" t="inlineStr">
        <is>
          <t>Brotherhood</t>
        </is>
      </c>
      <c r="C163" s="361" t="inlineStr">
        <is>
          <t>Movies</t>
        </is>
      </c>
      <c r="D163" s="361" t="n">
        <v>3</v>
      </c>
      <c r="E163" s="361" t="n">
        <v>2022</v>
      </c>
      <c r="F163" s="361" t="inlineStr">
        <is>
          <t>2025-02-13T00:00:00+07:00</t>
        </is>
      </c>
      <c r="H163" s="361" t="inlineStr">
        <is>
          <t>dc6a577a-84a0-4654-928b-1b40f3766d68</t>
        </is>
      </c>
      <c r="I163" s="361" t="inlineStr">
        <is>
          <t>https://censorship.kplus.vn/MediaAssets/Asset/b2c83e75-1311-f011-8593-0c42a12723cb/StreamPreview</t>
        </is>
      </c>
      <c r="J163" s="361" t="inlineStr">
        <is>
          <t>YES</t>
        </is>
      </c>
      <c r="K163" s="361" t="inlineStr">
        <is>
          <t>Success</t>
        </is>
      </c>
    </row>
    <row r="164">
      <c r="A164" s="361" t="inlineStr">
        <is>
          <t>MOV_CRI_22__2668483</t>
        </is>
      </c>
      <c r="B164" s="361" t="inlineStr">
        <is>
          <t>Hand Rolled Cigarette</t>
        </is>
      </c>
      <c r="C164" s="361" t="inlineStr">
        <is>
          <t>Movies</t>
        </is>
      </c>
      <c r="D164" s="361" t="n">
        <v>3</v>
      </c>
      <c r="E164" s="361" t="n">
        <v>2020</v>
      </c>
      <c r="F164" s="361" t="inlineStr">
        <is>
          <t>2022-02-23T00:00:00+07:00</t>
        </is>
      </c>
      <c r="H164" s="361" t="inlineStr">
        <is>
          <t>da9308c6-7ae2-48a5-bd94-ffa661d4d9db</t>
        </is>
      </c>
      <c r="I164" s="361" t="inlineStr">
        <is>
          <t>https://censorship.kplus.vn/MediaAssets/Asset/8ae0af79-f3eb-ee11-9144-f40270bf9ea7/StreamPreview</t>
        </is>
      </c>
      <c r="J164" s="361" t="inlineStr">
        <is>
          <t>YES</t>
        </is>
      </c>
      <c r="K164" s="361" t="inlineStr">
        <is>
          <t>Success</t>
        </is>
      </c>
    </row>
    <row r="165">
      <c r="A165" s="361" t="inlineStr">
        <is>
          <t>MOV_ACT586</t>
        </is>
      </c>
      <c r="B165" s="361" t="inlineStr">
        <is>
          <t xml:space="preserve">In A Valley Of Violence </t>
        </is>
      </c>
      <c r="C165" s="361" t="inlineStr">
        <is>
          <t>Movies</t>
        </is>
      </c>
      <c r="D165" s="361" t="n">
        <v>3</v>
      </c>
      <c r="E165" s="361" t="n">
        <v>2016</v>
      </c>
      <c r="F165" s="361" t="inlineStr">
        <is>
          <t>2024-07-09T00:00:00+07:00</t>
        </is>
      </c>
      <c r="H165" s="361" t="inlineStr">
        <is>
          <t>c344b26e-74a7-4fd9-831d-014cde723326</t>
        </is>
      </c>
      <c r="I165" s="361" t="inlineStr">
        <is>
          <t>https://censorship.kplus.vn/MediaAssets/Asset/7103d253-5559-ef11-914a-f40270bf9ea7/StreamPreview</t>
        </is>
      </c>
      <c r="J165" s="361" t="inlineStr">
        <is>
          <t>YES</t>
        </is>
      </c>
      <c r="K165" s="361" t="inlineStr">
        <is>
          <t>Success</t>
        </is>
      </c>
    </row>
    <row r="166">
      <c r="A166" s="361" t="inlineStr">
        <is>
          <t>MOV_CRI_24__2710430</t>
        </is>
      </c>
      <c r="B166" s="361" t="inlineStr">
        <is>
          <t>Calm With Horses</t>
        </is>
      </c>
      <c r="C166" s="361" t="inlineStr">
        <is>
          <t>Movies</t>
        </is>
      </c>
      <c r="D166" s="361" t="n">
        <v>4</v>
      </c>
      <c r="E166" s="361" t="n">
        <v>2019</v>
      </c>
      <c r="F166" s="361" t="inlineStr">
        <is>
          <t>2024-01-09T00:00:00+07:00</t>
        </is>
      </c>
      <c r="H166" s="361" t="inlineStr">
        <is>
          <t>e43a8a5d-5a7a-4ff2-9bf1-2b26156934f5</t>
        </is>
      </c>
      <c r="I166" s="361" t="inlineStr">
        <is>
          <t>https://censorship.kplus.vn/MediaAssets/Asset/8b6cd0a5-3df8-ee11-9144-f40270bf9ea7/StreamPreview</t>
        </is>
      </c>
      <c r="J166" s="361" t="inlineStr">
        <is>
          <t>YES</t>
        </is>
      </c>
      <c r="K166" s="361" t="inlineStr">
        <is>
          <t>Success</t>
        </is>
      </c>
    </row>
    <row r="167">
      <c r="A167" s="361" t="inlineStr">
        <is>
          <t>MOV_ROM_21__2652260</t>
        </is>
      </c>
      <c r="B167" s="361" t="inlineStr">
        <is>
          <t>WHAT WE FORGOT TO REMEMBER</t>
        </is>
      </c>
      <c r="C167" s="361" t="inlineStr">
        <is>
          <t>Movies</t>
        </is>
      </c>
      <c r="D167" s="361" t="n">
        <v>3</v>
      </c>
      <c r="E167" s="361" t="n">
        <v>2020</v>
      </c>
      <c r="F167" s="361" t="inlineStr">
        <is>
          <t>2021-07-13T00:00:00+07:00</t>
        </is>
      </c>
      <c r="H167" s="361" t="inlineStr">
        <is>
          <t>5ba8242b-fdb4-4935-acea-d9ad671e6250</t>
        </is>
      </c>
      <c r="I167" s="361" t="inlineStr">
        <is>
          <t>https://censorship.kplus.vn/MediaAssets/Asset/4c851aac-19ea-ee11-9144-f40270bf9ea7/StreamPreview</t>
        </is>
      </c>
      <c r="J167" s="361" t="inlineStr">
        <is>
          <t>YES</t>
        </is>
      </c>
      <c r="K167" s="361" t="inlineStr">
        <is>
          <t>Success</t>
        </is>
      </c>
    </row>
    <row r="168">
      <c r="A168" s="361" t="inlineStr">
        <is>
          <t>MOV_COM292</t>
        </is>
      </c>
      <c r="B168" s="361" t="inlineStr">
        <is>
          <t>Bad Moms</t>
        </is>
      </c>
      <c r="C168" s="361" t="inlineStr">
        <is>
          <t>Movies</t>
        </is>
      </c>
      <c r="D168" s="361" t="n">
        <v>3</v>
      </c>
      <c r="E168" s="361" t="n">
        <v>2016</v>
      </c>
      <c r="F168" s="361" t="inlineStr">
        <is>
          <t>2024-12-28T00:00:00+07:00</t>
        </is>
      </c>
      <c r="H168" s="361" t="inlineStr">
        <is>
          <t>a86161d4-563d-4cc5-98e8-d84a87a2e33b</t>
        </is>
      </c>
      <c r="I168" s="361" t="inlineStr">
        <is>
          <t>https://censorship.kplus.vn/MediaAssets/Asset/fea9042a-2afb-ef11-8593-0c42a12723cb/StreamPreview</t>
        </is>
      </c>
      <c r="J168" s="361" t="inlineStr">
        <is>
          <t>YES</t>
        </is>
      </c>
      <c r="K168" s="361" t="inlineStr">
        <is>
          <t>Success</t>
        </is>
      </c>
    </row>
    <row r="169">
      <c r="A169" s="361" t="inlineStr">
        <is>
          <t>MOV_DRA757</t>
        </is>
      </c>
      <c r="B169" s="361" t="inlineStr">
        <is>
          <t>In Our Prime</t>
        </is>
      </c>
      <c r="C169" s="361" t="inlineStr">
        <is>
          <t>Movies</t>
        </is>
      </c>
      <c r="D169" s="361" t="n">
        <v>3</v>
      </c>
      <c r="E169" s="361" t="n">
        <v>2022</v>
      </c>
      <c r="F169" s="361" t="inlineStr">
        <is>
          <t>2025-04-05T00:00:00+07:00</t>
        </is>
      </c>
      <c r="H169" s="361" t="inlineStr">
        <is>
          <t>7e32c061-7a13-4ce4-a2a5-aed0ea3c5ebc</t>
        </is>
      </c>
      <c r="I169" s="361" t="inlineStr">
        <is>
          <t>https://censorship.kplus.vn/MediaAssets/Asset/c7ba7280-b130-f011-8593-0c42a12723cb/StreamPreview</t>
        </is>
      </c>
      <c r="J169" s="361" t="inlineStr">
        <is>
          <t>YES</t>
        </is>
      </c>
      <c r="K169" s="361" t="inlineStr">
        <is>
          <t>Success</t>
        </is>
      </c>
    </row>
    <row r="170">
      <c r="A170" s="361" t="inlineStr">
        <is>
          <t>MOV_ACT596</t>
        </is>
      </c>
      <c r="B170" s="361" t="inlineStr">
        <is>
          <t>The Desperate Chase</t>
        </is>
      </c>
      <c r="C170" s="361" t="inlineStr">
        <is>
          <t>Movies</t>
        </is>
      </c>
      <c r="D170" s="361" t="n">
        <v>3</v>
      </c>
      <c r="E170" s="361" t="n">
        <v>2024</v>
      </c>
      <c r="F170" s="361" t="inlineStr">
        <is>
          <t>2024-12-21T00:00:00+07:00</t>
        </is>
      </c>
      <c r="H170" s="361" t="inlineStr">
        <is>
          <t>e9911e91-058b-4af8-bcd7-4c901f5ba656</t>
        </is>
      </c>
      <c r="I170" s="361" t="inlineStr">
        <is>
          <t>https://censorship.kplus.vn/MediaAssets/Asset/fd75f156-8cc9-ef11-8593-0c42a12723cb/StreamPreview</t>
        </is>
      </c>
      <c r="J170" s="361" t="inlineStr">
        <is>
          <t>YES</t>
        </is>
      </c>
      <c r="K170" s="361" t="inlineStr">
        <is>
          <t>Success</t>
        </is>
      </c>
    </row>
    <row r="171">
      <c r="A171" s="361" t="inlineStr">
        <is>
          <t>MOV_CRI109</t>
        </is>
      </c>
      <c r="B171" s="361" t="inlineStr">
        <is>
          <t>Revival</t>
        </is>
      </c>
      <c r="C171" s="361" t="inlineStr">
        <is>
          <t>Movies</t>
        </is>
      </c>
      <c r="D171" s="361" t="n">
        <v>3</v>
      </c>
      <c r="E171" s="361" t="n">
        <v>2023</v>
      </c>
      <c r="F171" s="361" t="inlineStr">
        <is>
          <t>2025-02-05T00:00:00+07:00</t>
        </is>
      </c>
      <c r="H171" s="361" t="inlineStr">
        <is>
          <t>6bdb1942-fc99-4d9a-b9b9-ef1d3fc2a194</t>
        </is>
      </c>
      <c r="I171" s="361" t="inlineStr">
        <is>
          <t>https://censorship.kplus.vn/MediaAssets/Asset/206c7f21-6034-f011-8593-0c42a12723cb/StreamPreview</t>
        </is>
      </c>
      <c r="J171" s="361" t="inlineStr">
        <is>
          <t>YES</t>
        </is>
      </c>
      <c r="K171" s="361" t="inlineStr">
        <is>
          <t>Success</t>
        </is>
      </c>
    </row>
    <row r="172">
      <c r="A172" s="361" t="inlineStr">
        <is>
          <t>MOV_ACT606</t>
        </is>
      </c>
      <c r="B172" s="361" t="inlineStr">
        <is>
          <t>Hijack 1971</t>
        </is>
      </c>
      <c r="C172" s="361" t="inlineStr">
        <is>
          <t>Movies</t>
        </is>
      </c>
      <c r="D172" s="361" t="n">
        <v>3</v>
      </c>
      <c r="F172" s="361" t="inlineStr">
        <is>
          <t>2025-02-19T00:00:00+07:00</t>
        </is>
      </c>
      <c r="H172" s="361" t="inlineStr">
        <is>
          <t>18e2c918-d9bc-40c2-a4bd-506864965ddd</t>
        </is>
      </c>
      <c r="I172" s="361" t="inlineStr">
        <is>
          <t>https://censorship.kplus.vn/MediaAssets/Asset/33130919-ec02-f011-8593-0c42a12723cb/StreamPreview</t>
        </is>
      </c>
      <c r="J172" s="361" t="inlineStr">
        <is>
          <t>YES</t>
        </is>
      </c>
      <c r="K172" s="361" t="inlineStr">
        <is>
          <t>Success</t>
        </is>
      </c>
    </row>
    <row r="173">
      <c r="A173" s="361" t="inlineStr">
        <is>
          <t>MOV_ROM97</t>
        </is>
      </c>
      <c r="B173" s="361" t="inlineStr">
        <is>
          <t>The Ex-Files 4: Marriage Plan</t>
        </is>
      </c>
      <c r="C173" s="361" t="inlineStr">
        <is>
          <t>Movies</t>
        </is>
      </c>
      <c r="D173" s="361" t="n">
        <v>1</v>
      </c>
      <c r="E173" s="361" t="n">
        <v>2023</v>
      </c>
      <c r="F173" s="361" t="inlineStr">
        <is>
          <t>2024-12-11T00:00:00+07:00</t>
        </is>
      </c>
      <c r="H173" s="361" t="inlineStr">
        <is>
          <t>6f39de3c-86c3-423f-acfc-9b5f3e445061</t>
        </is>
      </c>
      <c r="I173" s="361" t="inlineStr">
        <is>
          <t>https://censorship.kplus.vn/MediaAssets/Asset/19d20ce4-cd36-f011-8593-0c42a12723cb/StreamPreview</t>
        </is>
      </c>
      <c r="J173" s="361" t="inlineStr">
        <is>
          <t>YES</t>
        </is>
      </c>
      <c r="K173" s="361" t="inlineStr">
        <is>
          <t>Success</t>
        </is>
      </c>
    </row>
    <row r="174">
      <c r="A174" s="361" t="inlineStr">
        <is>
          <t>MOV_ACT_23__2710032</t>
        </is>
      </c>
      <c r="B174" s="361" t="inlineStr">
        <is>
          <t>Ransomed</t>
        </is>
      </c>
      <c r="C174" s="361" t="inlineStr">
        <is>
          <t>Movies</t>
        </is>
      </c>
      <c r="D174" s="361" t="n">
        <v>3</v>
      </c>
      <c r="E174" s="361" t="n">
        <v>2023</v>
      </c>
      <c r="F174" s="361" t="inlineStr">
        <is>
          <t>2023-12-28T00:00:00+07:00</t>
        </is>
      </c>
      <c r="H174" s="361" t="inlineStr">
        <is>
          <t>a102fbe0-afda-418a-96c7-543868c92cb5</t>
        </is>
      </c>
      <c r="I174" s="361" t="inlineStr">
        <is>
          <t>https://censorship.kplus.vn/MediaAssets/Asset/d1da8c6d-30f1-ee11-9144-f40270bf9ea7/StreamPreview</t>
        </is>
      </c>
      <c r="J174" s="361" t="inlineStr">
        <is>
          <t>YES</t>
        </is>
      </c>
      <c r="K174" s="361" t="inlineStr">
        <is>
          <t>Success</t>
        </is>
      </c>
    </row>
    <row r="175">
      <c r="A175" s="361" t="inlineStr">
        <is>
          <t>MOV_BIO_24__2713781</t>
        </is>
      </c>
      <c r="B175" s="361" t="inlineStr">
        <is>
          <t>The best of enemies</t>
        </is>
      </c>
      <c r="C175" s="361" t="inlineStr">
        <is>
          <t>Movies</t>
        </is>
      </c>
      <c r="D175" s="361" t="n">
        <v>3</v>
      </c>
      <c r="E175" s="361" t="n">
        <v>2019</v>
      </c>
      <c r="F175" s="361" t="inlineStr">
        <is>
          <t>2024-03-05T00:00:00+07:00</t>
        </is>
      </c>
      <c r="H175" s="361" t="inlineStr">
        <is>
          <t>793242bc-494c-435d-9c65-6f2c18a2cb7e</t>
        </is>
      </c>
      <c r="I175" s="361" t="inlineStr">
        <is>
          <t>https://censorship.kplus.vn/MediaAssets/Asset/d4ba7560-4608-ef11-9144-f40270bf9ea7/StreamPreview</t>
        </is>
      </c>
      <c r="J175" s="361" t="inlineStr">
        <is>
          <t>YES</t>
        </is>
      </c>
      <c r="K175" s="361" t="inlineStr">
        <is>
          <t>Success</t>
        </is>
      </c>
    </row>
    <row r="176">
      <c r="A176" s="361" t="inlineStr">
        <is>
          <t>MOV_DRA728</t>
        </is>
      </c>
      <c r="B176" s="361" t="inlineStr">
        <is>
          <t>The Billionaire</t>
        </is>
      </c>
      <c r="C176" s="361" t="inlineStr">
        <is>
          <t>Movies</t>
        </is>
      </c>
      <c r="D176" s="361" t="n">
        <v>1</v>
      </c>
      <c r="E176" s="361" t="n">
        <v>2011</v>
      </c>
      <c r="F176" s="361" t="inlineStr">
        <is>
          <t>2024-08-20T00:00:00+07:00</t>
        </is>
      </c>
      <c r="H176" s="361" t="inlineStr">
        <is>
          <t>41dbc1e9-17a0-487c-bfc5-6d1859bbdf7f</t>
        </is>
      </c>
      <c r="I176" s="361" t="inlineStr">
        <is>
          <t>https://censorship.kplus.vn/MediaAssets/Asset/cd135931-175e-ef11-8593-0c42a12723cb/StreamPreview</t>
        </is>
      </c>
      <c r="J176" s="361" t="inlineStr">
        <is>
          <t>YES</t>
        </is>
      </c>
      <c r="K176" s="361" t="inlineStr">
        <is>
          <t>Success</t>
        </is>
      </c>
    </row>
    <row r="177">
      <c r="A177" s="361" t="inlineStr">
        <is>
          <t>MOV_ADV52</t>
        </is>
      </c>
      <c r="B177" s="361" t="inlineStr">
        <is>
          <t>Everest</t>
        </is>
      </c>
      <c r="C177" s="361" t="inlineStr">
        <is>
          <t>Movies</t>
        </is>
      </c>
      <c r="D177" s="361" t="n">
        <v>1</v>
      </c>
      <c r="E177" s="361" t="n">
        <v>2015</v>
      </c>
      <c r="F177" s="361" t="inlineStr">
        <is>
          <t>2024-09-19T00:00:00+07:00</t>
        </is>
      </c>
      <c r="H177" s="361" t="inlineStr">
        <is>
          <t>6b76e1b0-9aba-47c8-bf47-4daedfd3462a</t>
        </is>
      </c>
      <c r="I177" s="361" t="inlineStr">
        <is>
          <t>https://censorship.kplus.vn/MediaAssets/Asset/4c69e56e-ecb5-ef11-8593-0c42a12723cb/StreamPreview</t>
        </is>
      </c>
      <c r="J177" s="361" t="inlineStr">
        <is>
          <t>YES</t>
        </is>
      </c>
      <c r="K177" s="361" t="inlineStr">
        <is>
          <t>Success</t>
        </is>
      </c>
    </row>
    <row r="178">
      <c r="A178" s="361" t="inlineStr">
        <is>
          <t>MOV_DRA744</t>
        </is>
      </c>
      <c r="B178" s="361" t="inlineStr">
        <is>
          <t>Mrs. Harris goes to Paris</t>
        </is>
      </c>
      <c r="C178" s="361" t="inlineStr">
        <is>
          <t>Movies</t>
        </is>
      </c>
      <c r="D178" s="361" t="n">
        <v>1</v>
      </c>
      <c r="E178" s="361" t="n">
        <v>2022</v>
      </c>
      <c r="F178" s="361" t="inlineStr">
        <is>
          <t>2025-01-03T00:00:00+07:00</t>
        </is>
      </c>
      <c r="H178" s="361" t="inlineStr">
        <is>
          <t>37ea9615-3fee-470f-b0df-802ed9f8b311</t>
        </is>
      </c>
      <c r="I178" s="361" t="inlineStr">
        <is>
          <t>https://censorship.kplus.vn/MediaAssets/Asset/a76b7ecf-c5ea-ef11-8593-0c42a12723cb/StreamPreview</t>
        </is>
      </c>
      <c r="J178" s="361" t="inlineStr">
        <is>
          <t>YES</t>
        </is>
      </c>
      <c r="K178" s="361" t="inlineStr">
        <is>
          <t>Success</t>
        </is>
      </c>
    </row>
    <row r="179">
      <c r="A179" s="361" t="inlineStr">
        <is>
          <t>MOV_ACT_21__2648728</t>
        </is>
      </c>
      <c r="B179" s="361" t="inlineStr">
        <is>
          <t>LIBRARY WARS: THE LAST MISSION</t>
        </is>
      </c>
      <c r="C179" s="361" t="inlineStr">
        <is>
          <t>Movies</t>
        </is>
      </c>
      <c r="D179" s="361" t="n">
        <v>3</v>
      </c>
      <c r="F179" s="361" t="inlineStr">
        <is>
          <t>2021-04-23T00:00:00+07:00</t>
        </is>
      </c>
      <c r="H179" s="361" t="inlineStr">
        <is>
          <t>03b31232-2ba8-4abd-90c6-dd4fbd47fc72</t>
        </is>
      </c>
      <c r="I179" s="361" t="inlineStr">
        <is>
          <t>https://censorship.kplus.vn/MediaAssets/Asset/323370b4-40f8-ee11-9144-f40270bf9ea7/StreamPreview</t>
        </is>
      </c>
      <c r="J179" s="361" t="inlineStr">
        <is>
          <t>YES</t>
        </is>
      </c>
      <c r="K179" s="361" t="inlineStr">
        <is>
          <t>Success</t>
        </is>
      </c>
    </row>
    <row r="180">
      <c r="A180" s="361" t="inlineStr">
        <is>
          <t>MOV_CRI_24__2711294</t>
        </is>
      </c>
      <c r="B180" s="361" t="inlineStr">
        <is>
          <t>Devils</t>
        </is>
      </c>
      <c r="C180" s="361" t="inlineStr">
        <is>
          <t>Movies</t>
        </is>
      </c>
      <c r="D180" s="361" t="n">
        <v>4</v>
      </c>
      <c r="E180" s="361" t="n">
        <v>2023</v>
      </c>
      <c r="F180" s="361" t="inlineStr">
        <is>
          <t>2024-01-18T00:00:00+07:00</t>
        </is>
      </c>
      <c r="H180" s="361" t="inlineStr">
        <is>
          <t>0bbc0d61-d2eb-4ee4-ab84-a62a7cdeac8b</t>
        </is>
      </c>
      <c r="I180" s="361" t="inlineStr">
        <is>
          <t>https://censorship.kplus.vn/MediaAssets/Asset/a83878de-25f8-ee11-9144-f40270bf9ea7/StreamPreview</t>
        </is>
      </c>
      <c r="J180" s="361" t="inlineStr">
        <is>
          <t>YES</t>
        </is>
      </c>
      <c r="K180" s="361" t="inlineStr">
        <is>
          <t>Success</t>
        </is>
      </c>
    </row>
    <row r="181">
      <c r="A181" s="361" t="inlineStr">
        <is>
          <t>MOV_CRI108</t>
        </is>
      </c>
      <c r="B181" s="361" t="inlineStr">
        <is>
          <t>Everybody Knows</t>
        </is>
      </c>
      <c r="C181" s="361" t="inlineStr">
        <is>
          <t>Movies</t>
        </is>
      </c>
      <c r="D181" s="361" t="n">
        <v>3</v>
      </c>
      <c r="E181" s="361" t="n">
        <v>2018</v>
      </c>
      <c r="F181" s="361" t="inlineStr">
        <is>
          <t>2024-12-11T00:00:00+07:00</t>
        </is>
      </c>
      <c r="H181" s="361" t="inlineStr">
        <is>
          <t>50064e6b-dafb-4aba-a9f7-0feb5c315a24</t>
        </is>
      </c>
      <c r="I181" s="361" t="inlineStr">
        <is>
          <t>https://censorship.kplus.vn/MediaAssets/Asset/b4bc198c-eacc-ef11-8593-0c42a12723cb/StreamPreview</t>
        </is>
      </c>
      <c r="J181" s="361" t="inlineStr">
        <is>
          <t>YES</t>
        </is>
      </c>
      <c r="K181" s="361" t="inlineStr">
        <is>
          <t>Success</t>
        </is>
      </c>
    </row>
    <row r="182">
      <c r="A182" s="361" t="inlineStr">
        <is>
          <t>MOV_ROM98</t>
        </is>
      </c>
      <c r="B182" s="361" t="inlineStr">
        <is>
          <t>Single in Seoul</t>
        </is>
      </c>
      <c r="C182" s="361" t="inlineStr">
        <is>
          <t>Movies</t>
        </is>
      </c>
      <c r="D182" s="361" t="n">
        <v>3</v>
      </c>
      <c r="E182" s="361" t="n">
        <v>2023</v>
      </c>
      <c r="F182" s="361" t="inlineStr">
        <is>
          <t>2024-12-11T00:00:00+07:00</t>
        </is>
      </c>
      <c r="H182" s="361" t="inlineStr">
        <is>
          <t>9634a0de-81f6-4f83-a085-9854e2eb8c5c</t>
        </is>
      </c>
      <c r="I182" s="361" t="inlineStr">
        <is>
          <t>https://censorship.kplus.vn/MediaAssets/Asset/5222b54c-01d7-ef11-8593-0c42a12723cb/StreamPreview</t>
        </is>
      </c>
      <c r="J182" s="361" t="inlineStr">
        <is>
          <t>YES</t>
        </is>
      </c>
      <c r="K182" s="361" t="inlineStr">
        <is>
          <t>Success</t>
        </is>
      </c>
    </row>
    <row r="183">
      <c r="A183" s="361" t="inlineStr">
        <is>
          <t>MOV_DRA737</t>
        </is>
      </c>
      <c r="B183" s="361" t="inlineStr">
        <is>
          <t>Better man</t>
        </is>
      </c>
      <c r="C183" s="361" t="inlineStr">
        <is>
          <t>Movies</t>
        </is>
      </c>
      <c r="D183" s="361" t="n">
        <v>5</v>
      </c>
      <c r="E183" s="361" t="n">
        <v>2022</v>
      </c>
      <c r="F183" s="361" t="inlineStr">
        <is>
          <t>2024-12-19T00:00:00+07:00</t>
        </is>
      </c>
      <c r="H183" s="361" t="inlineStr">
        <is>
          <t>ceae8bb0-c996-4fb4-bfa7-92de1bba14c0</t>
        </is>
      </c>
      <c r="I183" s="361" t="inlineStr">
        <is>
          <t>https://censorship.kplus.vn/MediaAssets/Asset/a4a3ef10-95d1-ef11-8593-0c42a12723cb/StreamPreview</t>
        </is>
      </c>
      <c r="J183" s="361" t="inlineStr">
        <is>
          <t>YES</t>
        </is>
      </c>
      <c r="K183" s="361" t="inlineStr">
        <is>
          <t>Success</t>
        </is>
      </c>
    </row>
    <row r="184">
      <c r="A184" s="361" t="inlineStr">
        <is>
          <t>MOV_ACT_23__2691046</t>
        </is>
      </c>
      <c r="B184" s="361" t="inlineStr">
        <is>
          <t>SKYLIN3S</t>
        </is>
      </c>
      <c r="C184" s="361" t="inlineStr">
        <is>
          <t>Movies</t>
        </is>
      </c>
      <c r="D184" s="361" t="n">
        <v>3</v>
      </c>
      <c r="E184" s="361" t="n">
        <v>2020</v>
      </c>
      <c r="F184" s="361" t="inlineStr">
        <is>
          <t>2023-02-23T00:00:00+07:00</t>
        </is>
      </c>
      <c r="H184" s="361" t="inlineStr">
        <is>
          <t>a9eee5e1-6db2-476c-829c-539d1b155fd0</t>
        </is>
      </c>
      <c r="I184" s="361" t="inlineStr">
        <is>
          <t>https://censorship.kplus.vn/MediaAssets/Asset/c2de4724-edef-ee11-9144-f40270bf9ea7/StreamPreview</t>
        </is>
      </c>
      <c r="J184" s="361" t="inlineStr">
        <is>
          <t>YES</t>
        </is>
      </c>
      <c r="K184" s="361" t="inlineStr">
        <is>
          <t>Success</t>
        </is>
      </c>
    </row>
    <row r="185">
      <c r="A185" s="361" t="inlineStr">
        <is>
          <t>MOV_DRA_18__2558894</t>
        </is>
      </c>
      <c r="B185" s="361" t="inlineStr">
        <is>
          <t>THE TAILOR</t>
        </is>
      </c>
      <c r="C185" s="361" t="inlineStr">
        <is>
          <t>Movies</t>
        </is>
      </c>
      <c r="D185" s="361" t="n">
        <v>1</v>
      </c>
      <c r="E185" s="361" t="n">
        <v>2017</v>
      </c>
      <c r="F185" s="361" t="inlineStr">
        <is>
          <t>2018-07-14T00:00:00+07:00</t>
        </is>
      </c>
      <c r="H185" s="361" t="inlineStr">
        <is>
          <t>06364595-a7ef-4668-bb55-31c9fa76fc4e</t>
        </is>
      </c>
      <c r="I185" s="361" t="inlineStr">
        <is>
          <t>https://censorship.kplus.vn/MediaAssets/Asset/a038abe0-a3b0-ef11-8593-0c42a12723cb/StreamPreview</t>
        </is>
      </c>
      <c r="J185" s="361" t="inlineStr">
        <is>
          <t>YES</t>
        </is>
      </c>
      <c r="K185" s="361" t="inlineStr">
        <is>
          <t>Success</t>
        </is>
      </c>
    </row>
    <row r="186">
      <c r="A186" s="361" t="inlineStr">
        <is>
          <t>MOV_ACT604</t>
        </is>
      </c>
      <c r="B186" s="361" t="inlineStr">
        <is>
          <t>12 hours</t>
        </is>
      </c>
      <c r="C186" s="361" t="inlineStr">
        <is>
          <t>Movies</t>
        </is>
      </c>
      <c r="D186" s="361" t="n">
        <v>3</v>
      </c>
      <c r="E186" s="361" t="n">
        <v>2022</v>
      </c>
      <c r="F186" s="361" t="inlineStr">
        <is>
          <t>2025-02-13T00:00:00+07:00</t>
        </is>
      </c>
      <c r="H186" s="361" t="inlineStr">
        <is>
          <t>c2b8effa-94f5-481a-ad86-736c4bb1522d</t>
        </is>
      </c>
      <c r="I186" s="361" t="inlineStr">
        <is>
          <t>https://censorship.kplus.vn/MediaAssets/Asset/c86b7a67-31fb-ef11-8593-0c42a12723cb/StreamPreview</t>
        </is>
      </c>
      <c r="J186" s="361" t="inlineStr">
        <is>
          <t>YES</t>
        </is>
      </c>
      <c r="K186" s="361" t="inlineStr">
        <is>
          <t>Success</t>
        </is>
      </c>
    </row>
    <row r="187">
      <c r="A187" s="361" t="inlineStr">
        <is>
          <t>MOV_CRI113</t>
        </is>
      </c>
      <c r="B187" s="361" t="inlineStr">
        <is>
          <t>Suspect</t>
        </is>
      </c>
      <c r="C187" s="361" t="inlineStr">
        <is>
          <t>Movies</t>
        </is>
      </c>
      <c r="D187" s="361" t="n">
        <v>3</v>
      </c>
      <c r="E187" s="361" t="n">
        <v>2024</v>
      </c>
      <c r="F187" s="361" t="inlineStr">
        <is>
          <t>2025-04-24T00:00:00+07:00</t>
        </is>
      </c>
      <c r="H187" s="361" t="inlineStr">
        <is>
          <t>ae115b90-5021-4dc3-9de4-0e61bebe31cd</t>
        </is>
      </c>
      <c r="I187" s="361" t="inlineStr">
        <is>
          <t>https://censorship.kplus.vn/MediaAssets/Asset/10f0f87d-f93a-f011-8593-0c42a12723cb/StreamPreview</t>
        </is>
      </c>
      <c r="J187" s="361" t="inlineStr">
        <is>
          <t>YES</t>
        </is>
      </c>
      <c r="K187" s="361" t="inlineStr">
        <is>
          <t>Success</t>
        </is>
      </c>
    </row>
    <row r="188">
      <c r="A188" s="361" t="inlineStr">
        <is>
          <t>MOV_SCI_23__2689053</t>
        </is>
      </c>
      <c r="B188" s="361" t="inlineStr">
        <is>
          <t>Arrival</t>
        </is>
      </c>
      <c r="C188" s="361" t="inlineStr">
        <is>
          <t>Movies</t>
        </is>
      </c>
      <c r="D188" s="361" t="n">
        <v>2</v>
      </c>
      <c r="E188" s="361" t="n">
        <v>2016</v>
      </c>
      <c r="F188" s="361" t="inlineStr">
        <is>
          <t>2023-01-19T00:00:00+07:00</t>
        </is>
      </c>
      <c r="H188" s="361" t="inlineStr">
        <is>
          <t>eab9f5db-b2b8-4e01-9405-32627af10c74</t>
        </is>
      </c>
      <c r="I188" s="361" t="inlineStr">
        <is>
          <t>https://censorship.kplus.vn/MediaAssets/Asset/1a43555a-bee9-ef11-8593-0c42a12723cb/StreamPreview</t>
        </is>
      </c>
      <c r="J188" s="361" t="inlineStr">
        <is>
          <t>YES</t>
        </is>
      </c>
      <c r="K188" s="361" t="inlineStr">
        <is>
          <t>Success</t>
        </is>
      </c>
    </row>
    <row r="189">
      <c r="A189" s="361" t="inlineStr">
        <is>
          <t>MOV_BIO26</t>
        </is>
      </c>
      <c r="B189" s="361" t="inlineStr">
        <is>
          <t>Whitney Houston: I Wanna Dance with Somebody</t>
        </is>
      </c>
      <c r="C189" s="361" t="inlineStr">
        <is>
          <t>Movies</t>
        </is>
      </c>
      <c r="D189" s="361" t="n">
        <v>3</v>
      </c>
      <c r="E189" s="361" t="n">
        <v>2022</v>
      </c>
      <c r="F189" s="361" t="inlineStr">
        <is>
          <t>2025-02-26T00:00:00+07:00</t>
        </is>
      </c>
      <c r="H189" s="361" t="inlineStr">
        <is>
          <t>3bdd1f79-8d21-412d-91f8-4b11b4339cbc</t>
        </is>
      </c>
      <c r="I189" s="361" t="inlineStr">
        <is>
          <t>https://censorship.kplus.vn/MediaAssets/Asset/c9ff5d38-3409-f011-8593-0c42a12723cb/StreamPreview</t>
        </is>
      </c>
      <c r="J189" s="361" t="inlineStr">
        <is>
          <t>YES</t>
        </is>
      </c>
      <c r="K189" s="361" t="inlineStr">
        <is>
          <t>Success</t>
        </is>
      </c>
    </row>
    <row r="190">
      <c r="A190" s="361" t="inlineStr">
        <is>
          <t>MOV_CRI_21__2650084</t>
        </is>
      </c>
      <c r="B190" s="361" t="inlineStr">
        <is>
          <t>THE CRIMES THAT BIND</t>
        </is>
      </c>
      <c r="C190" s="361" t="inlineStr">
        <is>
          <t>Movies</t>
        </is>
      </c>
      <c r="D190" s="361" t="n">
        <v>2</v>
      </c>
      <c r="E190" s="361" t="n">
        <v>2018</v>
      </c>
      <c r="F190" s="361" t="inlineStr">
        <is>
          <t>2021-05-17T00:00:00+07:00</t>
        </is>
      </c>
      <c r="H190" s="361" t="inlineStr">
        <is>
          <t>b3018c4b-6116-4605-9e04-a17bc5cdb512</t>
        </is>
      </c>
      <c r="I190" s="361" t="inlineStr">
        <is>
          <t>https://censorship.kplus.vn/MediaAssets/Asset/e2075f78-48f6-ee11-9144-f40270bf9ea7/StreamPreview</t>
        </is>
      </c>
      <c r="J190" s="361" t="inlineStr">
        <is>
          <t>YES</t>
        </is>
      </c>
      <c r="K190" s="361" t="inlineStr">
        <is>
          <t>Success</t>
        </is>
      </c>
    </row>
    <row r="191">
      <c r="A191" s="361" t="inlineStr">
        <is>
          <t>MOV_ACT583</t>
        </is>
      </c>
      <c r="B191" s="361" t="inlineStr">
        <is>
          <t xml:space="preserve">Upgrade  </t>
        </is>
      </c>
      <c r="C191" s="361" t="inlineStr">
        <is>
          <t>Movies</t>
        </is>
      </c>
      <c r="D191" s="361" t="n">
        <v>4</v>
      </c>
      <c r="E191" s="361" t="n">
        <v>2018</v>
      </c>
      <c r="F191" s="361" t="inlineStr">
        <is>
          <t>2024-07-09T00:00:00+07:00</t>
        </is>
      </c>
      <c r="H191" s="361" t="inlineStr">
        <is>
          <t>cf863ae4-d2fa-4606-9153-76c2ea99044d</t>
        </is>
      </c>
      <c r="I191" s="361" t="inlineStr">
        <is>
          <t>https://censorship.kplus.vn/MediaAssets/Asset/2f1a92ed-3e4b-ef11-914a-f40270bf9ea7/StreamPreview</t>
        </is>
      </c>
      <c r="J191" s="361" t="inlineStr">
        <is>
          <t>YES</t>
        </is>
      </c>
      <c r="K191" s="361" t="inlineStr">
        <is>
          <t>Success</t>
        </is>
      </c>
    </row>
    <row r="192">
      <c r="A192" s="361" t="inlineStr">
        <is>
          <t>MOV_DRA_21__2646322</t>
        </is>
      </c>
      <c r="B192" s="361" t="inlineStr">
        <is>
          <t>SECRETS OF THE WIND</t>
        </is>
      </c>
      <c r="C192" s="361" t="inlineStr">
        <is>
          <t>Movies</t>
        </is>
      </c>
      <c r="D192" s="361" t="n">
        <v>3</v>
      </c>
      <c r="E192" s="361" t="n">
        <v>2019</v>
      </c>
      <c r="F192" s="361" t="inlineStr">
        <is>
          <t>2021-03-17T00:00:00+07:00</t>
        </is>
      </c>
      <c r="H192" s="361" t="inlineStr">
        <is>
          <t>a9c4d941-4881-4052-a805-8215a11b215a</t>
        </is>
      </c>
      <c r="I192" s="361" t="inlineStr">
        <is>
          <t>https://censorship.kplus.vn/MediaAssets/Asset/473d71db-6eea-ee11-9144-f40270bf9ea7/StreamPreview</t>
        </is>
      </c>
      <c r="J192" s="361" t="inlineStr">
        <is>
          <t>YES</t>
        </is>
      </c>
      <c r="K192" s="361" t="inlineStr">
        <is>
          <t>Success</t>
        </is>
      </c>
    </row>
    <row r="193">
      <c r="A193" s="361" t="inlineStr">
        <is>
          <t>MOV_DRA750</t>
        </is>
      </c>
      <c r="B193" s="361" t="inlineStr">
        <is>
          <t>Yolo (CN)</t>
        </is>
      </c>
      <c r="C193" s="361" t="inlineStr">
        <is>
          <t>Movies</t>
        </is>
      </c>
      <c r="D193" s="361" t="n">
        <v>3</v>
      </c>
      <c r="E193" s="361" t="n">
        <v>2024</v>
      </c>
      <c r="F193" s="361" t="inlineStr">
        <is>
          <t>2025-02-14T00:00:00+07:00</t>
        </is>
      </c>
      <c r="H193" s="361" t="inlineStr">
        <is>
          <t>0591288e-3cef-4560-bc3b-c8c9d39f8c92</t>
        </is>
      </c>
      <c r="I193" s="361" t="inlineStr">
        <is>
          <t>https://censorship.kplus.vn/MediaAssets/Asset/11583ba0-b3f5-ef11-8593-0c42a12723cb/StreamPreview</t>
        </is>
      </c>
      <c r="J193" s="361" t="inlineStr">
        <is>
          <t>YES</t>
        </is>
      </c>
      <c r="K193" s="361" t="inlineStr">
        <is>
          <t>Success</t>
        </is>
      </c>
    </row>
    <row r="194">
      <c r="A194" s="361" t="inlineStr">
        <is>
          <t>MOV_ACT_24__2710438</t>
        </is>
      </c>
      <c r="B194" s="361" t="inlineStr">
        <is>
          <t>The White Storm 2: Drug Lords</t>
        </is>
      </c>
      <c r="C194" s="361" t="inlineStr">
        <is>
          <t>Movies</t>
        </is>
      </c>
      <c r="D194" s="361" t="n">
        <v>4</v>
      </c>
      <c r="E194" s="361" t="n">
        <v>2019</v>
      </c>
      <c r="F194" s="361" t="inlineStr">
        <is>
          <t>2024-01-09T00:00:00+07:00</t>
        </is>
      </c>
      <c r="H194" s="361" t="inlineStr">
        <is>
          <t>20d13bb4-2517-4d5b-943a-b3386bc5bc47</t>
        </is>
      </c>
      <c r="I194" s="361" t="inlineStr">
        <is>
          <t>https://censorship.kplus.vn/MediaAssets/Asset/ddcbc14e-11f8-ee11-9144-f40270bf9ea7/StreamPreview</t>
        </is>
      </c>
      <c r="J194" s="361" t="inlineStr">
        <is>
          <t>YES</t>
        </is>
      </c>
      <c r="K194" s="361" t="inlineStr">
        <is>
          <t>Success</t>
        </is>
      </c>
    </row>
    <row r="195">
      <c r="A195" s="361" t="inlineStr">
        <is>
          <t>MOV_COM_24__2714426</t>
        </is>
      </c>
      <c r="B195" s="361" t="inlineStr">
        <is>
          <t>Here comes the boom</t>
        </is>
      </c>
      <c r="C195" s="361" t="inlineStr">
        <is>
          <t>Movies</t>
        </is>
      </c>
      <c r="D195" s="361" t="n">
        <v>5</v>
      </c>
      <c r="E195" s="361" t="n">
        <v>2012</v>
      </c>
      <c r="F195" s="361" t="inlineStr">
        <is>
          <t>2024-03-15T00:00:00+07:00</t>
        </is>
      </c>
      <c r="H195" s="361" t="inlineStr">
        <is>
          <t>eb1f594b-17d3-4d3f-8226-f7f8a67aabf8</t>
        </is>
      </c>
      <c r="I195" s="361" t="inlineStr">
        <is>
          <t>https://censorship.kplus.vn/MediaAssets/Asset/99c9765a-5359-ef11-914a-f40270bf9ea7/StreamPreview</t>
        </is>
      </c>
      <c r="J195" s="361" t="inlineStr">
        <is>
          <t>YES</t>
        </is>
      </c>
      <c r="K195" s="361" t="inlineStr">
        <is>
          <t>Success</t>
        </is>
      </c>
    </row>
    <row r="196">
      <c r="A196" s="361" t="inlineStr">
        <is>
          <t>MOV_ACT_23__2709721</t>
        </is>
      </c>
      <c r="B196" s="361" t="inlineStr">
        <is>
          <t>The 355</t>
        </is>
      </c>
      <c r="C196" s="361" t="inlineStr">
        <is>
          <t>Movies</t>
        </is>
      </c>
      <c r="D196" s="361" t="n">
        <v>3</v>
      </c>
      <c r="E196" s="361" t="n">
        <v>2022</v>
      </c>
      <c r="F196" s="361" t="inlineStr">
        <is>
          <t>2023-12-21T00:00:00+07:00</t>
        </is>
      </c>
      <c r="H196" s="361" t="inlineStr">
        <is>
          <t>7424828e-2cb9-4a5d-ad45-06400f963199</t>
        </is>
      </c>
      <c r="I196" s="361" t="inlineStr">
        <is>
          <t>https://censorship.kplus.vn/MediaAssets/Asset/861ada37-27f1-ee11-9144-f40270bf9ea7/StreamPreview</t>
        </is>
      </c>
      <c r="J196" s="361" t="inlineStr">
        <is>
          <t>YES</t>
        </is>
      </c>
      <c r="K196" s="361" t="inlineStr">
        <is>
          <t>Success</t>
        </is>
      </c>
    </row>
    <row r="197">
      <c r="A197" s="361" t="inlineStr">
        <is>
          <t>MOV_ACT_21__2660584</t>
        </is>
      </c>
      <c r="B197" s="361" t="inlineStr">
        <is>
          <t>TAI CHI HERO</t>
        </is>
      </c>
      <c r="C197" s="361" t="inlineStr">
        <is>
          <t>Movies</t>
        </is>
      </c>
      <c r="D197" s="361" t="n">
        <v>3</v>
      </c>
      <c r="E197" s="361" t="n">
        <v>2020</v>
      </c>
      <c r="F197" s="361" t="inlineStr">
        <is>
          <t>2021-11-11T00:00:00+07:00</t>
        </is>
      </c>
      <c r="H197" s="361" t="inlineStr">
        <is>
          <t>e09f2c86-e76a-4e52-8fb6-5eda7b985977</t>
        </is>
      </c>
      <c r="I197" s="361" t="inlineStr">
        <is>
          <t>https://censorship.kplus.vn/MediaAssets/Asset/2e07b641-a5ea-ee11-9144-f40270bf9ea7/StreamPreview</t>
        </is>
      </c>
      <c r="J197" s="361" t="inlineStr">
        <is>
          <t>YES</t>
        </is>
      </c>
      <c r="K197" s="361" t="inlineStr">
        <is>
          <t>Success</t>
        </is>
      </c>
    </row>
    <row r="198">
      <c r="A198" s="361" t="inlineStr">
        <is>
          <t>MOV_DRA735</t>
        </is>
      </c>
      <c r="B198" s="361" t="inlineStr">
        <is>
          <t>Johnny keep walking!</t>
        </is>
      </c>
      <c r="C198" s="361" t="inlineStr">
        <is>
          <t>Movies</t>
        </is>
      </c>
      <c r="D198" s="361" t="n">
        <v>2</v>
      </c>
      <c r="E198" s="361" t="n">
        <v>2023</v>
      </c>
      <c r="F198" s="361" t="inlineStr">
        <is>
          <t>2024-12-19T00:00:00+07:00</t>
        </is>
      </c>
      <c r="H198" s="361" t="inlineStr">
        <is>
          <t>e987c01d-60d1-48b1-b439-0d4e5231aa0b</t>
        </is>
      </c>
      <c r="I198" s="361" t="inlineStr">
        <is>
          <t>https://censorship.kplus.vn/MediaAssets/Asset/4eb3b1d2-afc9-ef11-8593-0c42a12723cb/StreamPreview</t>
        </is>
      </c>
      <c r="J198" s="361" t="inlineStr">
        <is>
          <t>YES</t>
        </is>
      </c>
      <c r="K198" s="361" t="inlineStr">
        <is>
          <t>Success</t>
        </is>
      </c>
    </row>
    <row r="199">
      <c r="A199" s="361" t="inlineStr">
        <is>
          <t>MOV_ANI79</t>
        </is>
      </c>
      <c r="B199" s="361" t="inlineStr">
        <is>
          <t>Ooops! The Adventure Continues</t>
        </is>
      </c>
      <c r="C199" s="361" t="inlineStr">
        <is>
          <t>Movies</t>
        </is>
      </c>
      <c r="D199" s="361" t="n">
        <v>1</v>
      </c>
      <c r="E199" s="361" t="n">
        <v>2020</v>
      </c>
      <c r="F199" s="361" t="inlineStr">
        <is>
          <t>2024-12-11T00:00:00+07:00</t>
        </is>
      </c>
      <c r="H199" s="361" t="inlineStr">
        <is>
          <t>37cc31cc-7d2c-4491-a464-a2868668c775</t>
        </is>
      </c>
      <c r="I199" s="361" t="inlineStr">
        <is>
          <t>https://censorship.kplus.vn/MediaAssets/Asset/8f028f7e-c0cf-ef11-8593-0c42a12723cb/StreamPreview</t>
        </is>
      </c>
      <c r="J199" s="361" t="inlineStr">
        <is>
          <t>YES</t>
        </is>
      </c>
      <c r="K199" s="361" t="inlineStr">
        <is>
          <t>Success</t>
        </is>
      </c>
    </row>
    <row r="200">
      <c r="A200" s="361" t="inlineStr">
        <is>
          <t>MOV_ROM_23__2710031</t>
        </is>
      </c>
      <c r="B200" s="361" t="inlineStr">
        <is>
          <t>Love reset</t>
        </is>
      </c>
      <c r="C200" s="361" t="inlineStr">
        <is>
          <t>Movies</t>
        </is>
      </c>
      <c r="D200" s="361" t="n">
        <v>3</v>
      </c>
      <c r="E200" s="361" t="n">
        <v>2023</v>
      </c>
      <c r="F200" s="361" t="inlineStr">
        <is>
          <t>2023-12-28T00:00:00+07:00</t>
        </is>
      </c>
      <c r="H200" s="361" t="inlineStr">
        <is>
          <t>fed4444a-aa3f-41fb-97de-a51720da4315</t>
        </is>
      </c>
      <c r="I200" s="361" t="inlineStr">
        <is>
          <t>https://censorship.kplus.vn/MediaAssets/Asset/41ed1ed8-42f8-ee11-9144-f40270bf9ea7/StreamPreview</t>
        </is>
      </c>
      <c r="J200" s="361" t="inlineStr">
        <is>
          <t>YES</t>
        </is>
      </c>
      <c r="K200" s="361" t="inlineStr">
        <is>
          <t>Success</t>
        </is>
      </c>
    </row>
    <row r="201">
      <c r="A201" s="361" t="inlineStr">
        <is>
          <t>MOV_DRA_19__2608886</t>
        </is>
      </c>
      <c r="B201" s="361" t="inlineStr">
        <is>
          <t>YOLO - YOU ONLY LIVE ONCE</t>
        </is>
      </c>
      <c r="C201" s="361" t="inlineStr">
        <is>
          <t>Movies</t>
        </is>
      </c>
      <c r="D201" s="361" t="n">
        <v>3</v>
      </c>
      <c r="E201" s="361" t="n">
        <v>2019</v>
      </c>
      <c r="F201" s="361" t="inlineStr">
        <is>
          <t>2019-06-29T00:00:00+07:00</t>
        </is>
      </c>
      <c r="H201" s="361" t="inlineStr">
        <is>
          <t>36308cca-1641-4073-b01a-e6d9fa8631e5</t>
        </is>
      </c>
      <c r="I201" s="361" t="inlineStr">
        <is>
          <t>https://censorship.kplus.vn/MediaAssets/Asset/540ea8a1-90e8-ee11-9144-f40270bf9ea7/StreamPreview</t>
        </is>
      </c>
      <c r="J201" s="361" t="inlineStr">
        <is>
          <t>YES</t>
        </is>
      </c>
      <c r="K201" s="361" t="inlineStr">
        <is>
          <t>Success</t>
        </is>
      </c>
    </row>
    <row r="202">
      <c r="A202" s="361" t="inlineStr">
        <is>
          <t>MOV_DRA_24__2710434</t>
        </is>
      </c>
      <c r="B202" s="361" t="inlineStr">
        <is>
          <t>The Hummingbird Project</t>
        </is>
      </c>
      <c r="C202" s="361" t="inlineStr">
        <is>
          <t>Movies</t>
        </is>
      </c>
      <c r="D202" s="361" t="n">
        <v>2</v>
      </c>
      <c r="E202" s="361" t="n">
        <v>2018</v>
      </c>
      <c r="F202" s="361" t="inlineStr">
        <is>
          <t>2024-01-09T00:00:00+07:00</t>
        </is>
      </c>
      <c r="H202" s="361" t="inlineStr">
        <is>
          <t>f0c8ef3f-d2ac-4b2b-80ff-be304a80b378</t>
        </is>
      </c>
      <c r="I202" s="361" t="inlineStr">
        <is>
          <t>https://censorship.kplus.vn/MediaAssets/Asset/8a2fe88e-1bf8-ee11-9144-f40270bf9ea7/StreamPreview</t>
        </is>
      </c>
      <c r="J202" s="361" t="inlineStr">
        <is>
          <t>YES</t>
        </is>
      </c>
      <c r="K202" s="361" t="inlineStr">
        <is>
          <t>Success</t>
        </is>
      </c>
    </row>
    <row r="203">
      <c r="A203" s="361" t="inlineStr">
        <is>
          <t>MOV_ACT_23__2709732</t>
        </is>
      </c>
      <c r="B203" s="361" t="inlineStr">
        <is>
          <t>Blacklight</t>
        </is>
      </c>
      <c r="C203" s="361" t="inlineStr">
        <is>
          <t>Movies</t>
        </is>
      </c>
      <c r="D203" s="361" t="n">
        <v>3</v>
      </c>
      <c r="E203" s="361" t="n">
        <v>2022</v>
      </c>
      <c r="F203" s="361" t="inlineStr">
        <is>
          <t>2023-12-22T00:00:00+07:00</t>
        </is>
      </c>
      <c r="H203" s="361" t="inlineStr">
        <is>
          <t>ac9efc36-f247-4e92-81bc-ece378a46a51</t>
        </is>
      </c>
      <c r="I203" s="361" t="inlineStr">
        <is>
          <t>https://censorship.kplus.vn/MediaAssets/Asset/15627ba0-2df1-ee11-9144-f40270bf9ea7/StreamPreview</t>
        </is>
      </c>
      <c r="J203" s="361" t="inlineStr">
        <is>
          <t>YES</t>
        </is>
      </c>
      <c r="K203" s="361" t="inlineStr">
        <is>
          <t>Success</t>
        </is>
      </c>
    </row>
    <row r="204">
      <c r="A204" s="361" t="inlineStr">
        <is>
          <t>MOV_HOR_24__2713786</t>
        </is>
      </c>
      <c r="B204" s="361" t="inlineStr">
        <is>
          <t>The medium</t>
        </is>
      </c>
      <c r="C204" s="361" t="inlineStr">
        <is>
          <t>Movies</t>
        </is>
      </c>
      <c r="D204" s="361" t="n">
        <v>3</v>
      </c>
      <c r="E204" s="361" t="n">
        <v>2021</v>
      </c>
      <c r="F204" s="361" t="inlineStr">
        <is>
          <t>2024-03-05T00:00:00+07:00</t>
        </is>
      </c>
      <c r="H204" s="361" t="inlineStr">
        <is>
          <t>8ca60871-dca8-4af4-993e-adc0a12f3e4e</t>
        </is>
      </c>
      <c r="I204" s="361" t="inlineStr">
        <is>
          <t>https://censorship.kplus.vn/MediaAssets/Asset/99930d56-2485-ef11-8593-0c42a12723cb/StreamPreview</t>
        </is>
      </c>
      <c r="J204" s="361" t="inlineStr">
        <is>
          <t>YES</t>
        </is>
      </c>
      <c r="K204" s="361" t="inlineStr">
        <is>
          <t>Success</t>
        </is>
      </c>
    </row>
    <row r="205">
      <c r="A205" s="361" t="inlineStr">
        <is>
          <t>MOV_CRI_22__2668487</t>
        </is>
      </c>
      <c r="B205" s="361" t="inlineStr">
        <is>
          <t>Home Sweet Home</t>
        </is>
      </c>
      <c r="C205" s="361" t="inlineStr">
        <is>
          <t>Movies</t>
        </is>
      </c>
      <c r="D205" s="361" t="n">
        <v>3</v>
      </c>
      <c r="E205" s="361" t="n">
        <v>2021</v>
      </c>
      <c r="F205" s="361" t="inlineStr">
        <is>
          <t>2022-02-23T00:00:00+07:00</t>
        </is>
      </c>
      <c r="H205" s="361" t="inlineStr">
        <is>
          <t>bc59a0da-048e-4a47-9e63-5484690fb575</t>
        </is>
      </c>
      <c r="I205" s="361" t="inlineStr">
        <is>
          <t>https://censorship.kplus.vn/MediaAssets/Asset/0f340283-0cec-ee11-9144-f40270bf9ea7/StreamPreview</t>
        </is>
      </c>
      <c r="J205" s="361" t="inlineStr">
        <is>
          <t>YES</t>
        </is>
      </c>
      <c r="K205" s="361" t="inlineStr">
        <is>
          <t>Success</t>
        </is>
      </c>
    </row>
    <row r="206">
      <c r="A206" s="361" t="inlineStr">
        <is>
          <t>MOV_ANI_23__2695914</t>
        </is>
      </c>
      <c r="B206" s="361" t="inlineStr">
        <is>
          <t>The Amazing Maurice</t>
        </is>
      </c>
      <c r="C206" s="361" t="inlineStr">
        <is>
          <t>Movies</t>
        </is>
      </c>
      <c r="D206" s="361" t="n">
        <v>1</v>
      </c>
      <c r="E206" s="361" t="n">
        <v>2022</v>
      </c>
      <c r="F206" s="361" t="inlineStr">
        <is>
          <t>2023-04-27T00:00:00+07:00</t>
        </is>
      </c>
      <c r="H206" s="361" t="inlineStr">
        <is>
          <t>771ddf25-de53-461b-8be2-2d7ff0927932</t>
        </is>
      </c>
      <c r="I206" s="361" t="inlineStr">
        <is>
          <t>https://censorship.kplus.vn/MediaAssets/Asset/4a45ffb4-74f0-ee11-9144-f40270bf9ea7/StreamPreview</t>
        </is>
      </c>
      <c r="J206" s="361" t="inlineStr">
        <is>
          <t>YES</t>
        </is>
      </c>
      <c r="K206" s="361" t="inlineStr">
        <is>
          <t>Success</t>
        </is>
      </c>
    </row>
    <row r="207">
      <c r="A207" s="361" t="inlineStr">
        <is>
          <t>MOV_ANI_24__2711444</t>
        </is>
      </c>
      <c r="B207" s="361" t="inlineStr">
        <is>
          <t>Moonbound</t>
        </is>
      </c>
      <c r="C207" s="361" t="inlineStr">
        <is>
          <t>Movies</t>
        </is>
      </c>
      <c r="D207" s="361" t="n">
        <v>1</v>
      </c>
      <c r="E207" s="361" t="n">
        <v>2021</v>
      </c>
      <c r="F207" s="361" t="inlineStr">
        <is>
          <t>2024-01-22T00:00:00+07:00</t>
        </is>
      </c>
      <c r="H207" s="361" t="inlineStr">
        <is>
          <t>465fd68e-36cb-4203-b3ec-8f1dadf1941a</t>
        </is>
      </c>
      <c r="I207" s="361" t="inlineStr">
        <is>
          <t>https://censorship.kplus.vn/MediaAssets/Asset/79428666-28f8-ee11-9144-f40270bf9ea7/StreamPreview</t>
        </is>
      </c>
      <c r="J207" s="361" t="inlineStr">
        <is>
          <t>YES</t>
        </is>
      </c>
      <c r="K207" s="361" t="inlineStr">
        <is>
          <t>Success</t>
        </is>
      </c>
    </row>
    <row r="208">
      <c r="A208" s="361" t="inlineStr">
        <is>
          <t>MOV_DRA_LNVM__15__2471197</t>
        </is>
      </c>
      <c r="B208" s="361" t="inlineStr">
        <is>
          <t>FAREWELL BERLIN WALL</t>
        </is>
      </c>
      <c r="C208" s="361" t="inlineStr">
        <is>
          <t>Movies</t>
        </is>
      </c>
      <c r="D208" s="361" t="n">
        <v>3</v>
      </c>
      <c r="F208" s="361" t="inlineStr">
        <is>
          <t>2016-10-14T00:00:00+07:00</t>
        </is>
      </c>
      <c r="H208" s="361" t="inlineStr">
        <is>
          <t>cfa848c9-a43b-4fed-a21b-4f12096ac383</t>
        </is>
      </c>
      <c r="I208" s="361" t="inlineStr">
        <is>
          <t>https://censorship.kplus.vn/MediaAssets/Asset/ef607b27-d67c-ef11-8593-0c42a12723cb/StreamPreview</t>
        </is>
      </c>
      <c r="J208" s="361" t="inlineStr">
        <is>
          <t>YES</t>
        </is>
      </c>
      <c r="K208" s="361" t="inlineStr">
        <is>
          <t>Success</t>
        </is>
      </c>
    </row>
    <row r="209">
      <c r="A209" s="361" t="inlineStr">
        <is>
          <t>MOV_COM_19__2614753</t>
        </is>
      </c>
      <c r="B209" s="361" t="inlineStr">
        <is>
          <t>BUTTERFLY HOUSE</t>
        </is>
      </c>
      <c r="C209" s="361" t="inlineStr">
        <is>
          <t>Movies</t>
        </is>
      </c>
      <c r="D209" s="361" t="n">
        <v>3</v>
      </c>
      <c r="E209" s="361" t="n">
        <v>2019</v>
      </c>
      <c r="F209" s="361" t="inlineStr">
        <is>
          <t>2019-10-23T00:00:00+07:00</t>
        </is>
      </c>
      <c r="H209" s="361" t="inlineStr">
        <is>
          <t>ef3e2c89-bb6e-4fe1-a2a3-ab6256defb08</t>
        </is>
      </c>
      <c r="I209" s="361" t="inlineStr">
        <is>
          <t>https://censorship.kplus.vn/MediaAssets/Asset/04905413-5de8-ee11-9144-f40270bf9ea7/StreamPreview</t>
        </is>
      </c>
      <c r="J209" s="361" t="inlineStr">
        <is>
          <t>YES</t>
        </is>
      </c>
      <c r="K209" s="361" t="inlineStr">
        <is>
          <t>Success</t>
        </is>
      </c>
    </row>
    <row r="210">
      <c r="A210" s="361" t="inlineStr">
        <is>
          <t>MOV_BIO22</t>
        </is>
      </c>
      <c r="B210" s="361" t="inlineStr">
        <is>
          <t>Moneyball</t>
        </is>
      </c>
      <c r="C210" s="361" t="inlineStr">
        <is>
          <t>Movies</t>
        </is>
      </c>
      <c r="D210" s="361" t="n">
        <v>2</v>
      </c>
      <c r="E210" s="361" t="n">
        <v>2011</v>
      </c>
      <c r="F210" s="361" t="inlineStr">
        <is>
          <t>2024-06-19T00:00:00+07:00</t>
        </is>
      </c>
      <c r="H210" s="361" t="inlineStr">
        <is>
          <t>d1cae900-f428-4f7d-a23b-1fe0b54c42f7</t>
        </is>
      </c>
      <c r="I210" s="361" t="inlineStr">
        <is>
          <t>https://censorship.kplus.vn/MediaAssets/Asset/0d0e6504-746e-ef11-8593-0c42a12723cb/StreamPreview</t>
        </is>
      </c>
      <c r="J210" s="361" t="inlineStr">
        <is>
          <t>YES</t>
        </is>
      </c>
      <c r="K210" s="361" t="inlineStr">
        <is>
          <t>Success</t>
        </is>
      </c>
    </row>
    <row r="211">
      <c r="A211" s="361" t="inlineStr">
        <is>
          <t>MOV_DRA742</t>
        </is>
      </c>
      <c r="B211" s="361" t="inlineStr">
        <is>
          <t>Gyul-Baek</t>
        </is>
      </c>
      <c r="C211" s="361" t="inlineStr">
        <is>
          <t>Movies</t>
        </is>
      </c>
      <c r="D211" s="361" t="n">
        <v>3</v>
      </c>
      <c r="E211" s="361" t="n">
        <v>2020</v>
      </c>
      <c r="F211" s="361" t="inlineStr">
        <is>
          <t>2025-01-03T00:00:00+07:00</t>
        </is>
      </c>
      <c r="H211" s="361" t="inlineStr">
        <is>
          <t>b2d507c5-bbb7-4f76-8f06-23506265f58c</t>
        </is>
      </c>
      <c r="I211" s="361" t="inlineStr">
        <is>
          <t>https://censorship.kplus.vn/MediaAssets/Asset/d3ffa582-d2e9-ef11-8593-0c42a12723cb/StreamPreview</t>
        </is>
      </c>
      <c r="J211" s="361" t="inlineStr">
        <is>
          <t>YES</t>
        </is>
      </c>
      <c r="K211" s="361" t="inlineStr">
        <is>
          <t>Success</t>
        </is>
      </c>
    </row>
    <row r="212">
      <c r="A212" s="361" t="inlineStr">
        <is>
          <t>MOV_THR_21__2644512</t>
        </is>
      </c>
      <c r="B212" s="361" t="inlineStr">
        <is>
          <t>THE INSTRUMENT OF MURDER</t>
        </is>
      </c>
      <c r="C212" s="361" t="inlineStr">
        <is>
          <t>Movies</t>
        </is>
      </c>
      <c r="D212" s="361" t="n">
        <v>4</v>
      </c>
      <c r="E212" s="361" t="n">
        <v>2020</v>
      </c>
      <c r="F212" s="361" t="inlineStr">
        <is>
          <t>2021-02-05T00:00:00+07:00</t>
        </is>
      </c>
      <c r="H212" s="362" t="inlineStr">
        <is>
          <t>958e2583-21a3-478e-8f9e-3ea2dc9e742c</t>
        </is>
      </c>
      <c r="I212" s="361" t="inlineStr">
        <is>
          <t>https://censorship.kplus.vn/MediaAssets/Asset/7a5500be-a4ea-ee11-9144-f40270bf9ea7/StreamPreview</t>
        </is>
      </c>
      <c r="J212" s="361" t="inlineStr">
        <is>
          <t>YES</t>
        </is>
      </c>
      <c r="K212" s="361" t="inlineStr">
        <is>
          <t>Success</t>
        </is>
      </c>
    </row>
    <row r="213">
      <c r="A213" s="361" t="inlineStr">
        <is>
          <t>MOV_DRA729</t>
        </is>
      </c>
      <c r="B213" s="361" t="inlineStr">
        <is>
          <t>Downton Abbey: A New Era</t>
        </is>
      </c>
      <c r="C213" s="361" t="inlineStr">
        <is>
          <t>Movies</t>
        </is>
      </c>
      <c r="D213" s="361" t="n">
        <v>5</v>
      </c>
      <c r="E213" s="361" t="n">
        <v>2021</v>
      </c>
      <c r="F213" s="361" t="inlineStr">
        <is>
          <t>2024-09-19T00:00:00+07:00</t>
        </is>
      </c>
      <c r="H213" s="361" t="inlineStr">
        <is>
          <t>77e15b3b-a928-43ff-8298-59cae26e8931</t>
        </is>
      </c>
      <c r="I213" s="361" t="inlineStr">
        <is>
          <t>https://censorship.kplus.vn/MediaAssets/Asset/6d4f6d16-4ebc-ef11-8593-0c42a12723cb/StreamPreview</t>
        </is>
      </c>
      <c r="J213" s="361" t="inlineStr">
        <is>
          <t>YES</t>
        </is>
      </c>
      <c r="K213" s="361" t="inlineStr">
        <is>
          <t>Success</t>
        </is>
      </c>
    </row>
    <row r="214">
      <c r="A214" s="361" t="inlineStr">
        <is>
          <t>MOV_ACT_24__2710440</t>
        </is>
      </c>
      <c r="B214" s="361" t="inlineStr">
        <is>
          <t>The White Storm 3: Heaven Or Hell</t>
        </is>
      </c>
      <c r="C214" s="361" t="inlineStr">
        <is>
          <t>Movies</t>
        </is>
      </c>
      <c r="D214" s="361" t="n">
        <v>4</v>
      </c>
      <c r="E214" s="361" t="n">
        <v>2023</v>
      </c>
      <c r="F214" s="361" t="inlineStr">
        <is>
          <t>2024-01-09T00:00:00+07:00</t>
        </is>
      </c>
      <c r="H214" s="361" t="inlineStr">
        <is>
          <t>261143d4-c372-4912-821a-0ce8b4baabcd</t>
        </is>
      </c>
      <c r="I214" s="361" t="inlineStr">
        <is>
          <t>https://censorship.kplus.vn/MediaAssets/Asset/39ffbd93-0af8-ee11-9144-f40270bf9ea7/StreamPreview</t>
        </is>
      </c>
      <c r="J214" s="361" t="inlineStr">
        <is>
          <t>YES</t>
        </is>
      </c>
      <c r="K214" s="361" t="inlineStr">
        <is>
          <t>Success</t>
        </is>
      </c>
    </row>
    <row r="215">
      <c r="A215" s="361" t="inlineStr">
        <is>
          <t>MOV_ACT602</t>
        </is>
      </c>
      <c r="B215" s="361" t="inlineStr">
        <is>
          <t>The Plot</t>
        </is>
      </c>
      <c r="C215" s="361" t="inlineStr">
        <is>
          <t>Movies</t>
        </is>
      </c>
      <c r="D215" s="361" t="n">
        <v>3</v>
      </c>
      <c r="E215" s="361" t="n">
        <v>2024</v>
      </c>
      <c r="F215" s="361" t="inlineStr">
        <is>
          <t>2025-02-12T00:00:00+07:00</t>
        </is>
      </c>
      <c r="H215" s="361" t="inlineStr">
        <is>
          <t>36114f34-2b97-4bd5-a638-698bda3dd5c2</t>
        </is>
      </c>
      <c r="I215" s="361" t="inlineStr">
        <is>
          <t>https://censorship.kplus.vn/MediaAssets/Asset/53734cf4-ccf5-ef11-8593-0c42a12723cb/StreamPreview</t>
        </is>
      </c>
      <c r="J215" s="361" t="inlineStr">
        <is>
          <t>YES</t>
        </is>
      </c>
      <c r="K215" s="361" t="inlineStr">
        <is>
          <t>Success</t>
        </is>
      </c>
    </row>
    <row r="216">
      <c r="A216" s="361" t="inlineStr">
        <is>
          <t>MOV_ACT577</t>
        </is>
      </c>
      <c r="B216" s="361" t="inlineStr">
        <is>
          <t>Miss Bala</t>
        </is>
      </c>
      <c r="C216" s="361" t="inlineStr">
        <is>
          <t>Movies</t>
        </is>
      </c>
      <c r="D216" s="361" t="n">
        <v>3</v>
      </c>
      <c r="E216" s="361" t="n">
        <v>2019</v>
      </c>
      <c r="F216" s="361" t="inlineStr">
        <is>
          <t>2024-06-19T00:00:00+07:00</t>
        </is>
      </c>
      <c r="H216" s="361" t="inlineStr">
        <is>
          <t>f7849b81-73ac-42c4-87bf-a97d7e26b3a0</t>
        </is>
      </c>
      <c r="I216" s="361" t="inlineStr">
        <is>
          <t>https://censorship.kplus.vn/MediaAssets/Asset/67492056-1a65-ef11-8593-0c42a12723cb/StreamPreview</t>
        </is>
      </c>
      <c r="J216" s="361" t="inlineStr">
        <is>
          <t>YES</t>
        </is>
      </c>
      <c r="K216" s="361" t="inlineStr">
        <is>
          <t>Success</t>
        </is>
      </c>
    </row>
    <row r="217">
      <c r="A217" s="361" t="inlineStr">
        <is>
          <t>MOV_ACT_LNVM__16__2486863</t>
        </is>
      </c>
      <c r="B217" s="361" t="inlineStr">
        <is>
          <t>BITCOIN HEIST</t>
        </is>
      </c>
      <c r="C217" s="361" t="inlineStr">
        <is>
          <t>Movies</t>
        </is>
      </c>
      <c r="D217" s="361" t="n">
        <v>3</v>
      </c>
      <c r="E217" s="361" t="n">
        <v>2016</v>
      </c>
      <c r="F217" s="361" t="inlineStr">
        <is>
          <t>2018-07-28T00:00:00+07:00</t>
        </is>
      </c>
      <c r="H217" s="361" t="inlineStr">
        <is>
          <t>4b833cde-a18b-40c8-800d-8f91732310b0</t>
        </is>
      </c>
      <c r="I217" s="361" t="inlineStr">
        <is>
          <t>https://censorship.kplus.vn/MediaAssets/Asset/f9eb6dff-ff7e-ef11-8593-0c42a12723cb/StreamPreview</t>
        </is>
      </c>
      <c r="J217" s="361" t="inlineStr">
        <is>
          <t>YES</t>
        </is>
      </c>
      <c r="K217" s="361" t="inlineStr">
        <is>
          <t>Success</t>
        </is>
      </c>
    </row>
    <row r="218">
      <c r="A218" s="361" t="inlineStr">
        <is>
          <t>MOV_COM_24__2714425</t>
        </is>
      </c>
      <c r="B218" s="361" t="inlineStr">
        <is>
          <t>Death at a funeral</t>
        </is>
      </c>
      <c r="C218" s="361" t="inlineStr">
        <is>
          <t>Movies</t>
        </is>
      </c>
      <c r="D218" s="361" t="n">
        <v>3</v>
      </c>
      <c r="E218" s="361" t="n">
        <v>2010</v>
      </c>
      <c r="F218" s="361" t="inlineStr">
        <is>
          <t>2024-03-15T00:00:00+07:00</t>
        </is>
      </c>
      <c r="H218" s="361" t="inlineStr">
        <is>
          <t>a34c871e-af5a-4c14-87ff-df7fa527fa36</t>
        </is>
      </c>
      <c r="I218" s="361" t="inlineStr">
        <is>
          <t>https://censorship.kplus.vn/MediaAssets/Asset/a94b67c0-3b4f-ef11-914a-f40270bf9ea7/StreamPreview</t>
        </is>
      </c>
      <c r="J218" s="361" t="inlineStr">
        <is>
          <t>YES</t>
        </is>
      </c>
      <c r="K218" s="361" t="inlineStr">
        <is>
          <t>Success</t>
        </is>
      </c>
    </row>
    <row r="219">
      <c r="A219" s="361" t="inlineStr">
        <is>
          <t>MOV_HOR_24__2716635</t>
        </is>
      </c>
      <c r="B219" s="361" t="inlineStr">
        <is>
          <t>Last Night in Soho</t>
        </is>
      </c>
      <c r="C219" s="361" t="inlineStr">
        <is>
          <t>Movies</t>
        </is>
      </c>
      <c r="D219" s="361" t="n">
        <v>3</v>
      </c>
      <c r="E219" s="361" t="n">
        <v>2021</v>
      </c>
      <c r="F219" s="361" t="inlineStr">
        <is>
          <t>2024-04-23T00:00:00+07:00</t>
        </is>
      </c>
      <c r="H219" s="361" t="inlineStr">
        <is>
          <t>d4a2cd97-9c89-430f-b878-9f17b2072a86</t>
        </is>
      </c>
      <c r="I219" s="361" t="inlineStr">
        <is>
          <t>https://censorship.kplus.vn/MediaAssets/Asset/884bbfca-5616-ef11-9144-f40270bf9ea7/StreamPreview</t>
        </is>
      </c>
      <c r="J219" s="361" t="inlineStr">
        <is>
          <t>YES</t>
        </is>
      </c>
      <c r="K219" s="361" t="inlineStr">
        <is>
          <t>Success</t>
        </is>
      </c>
    </row>
    <row r="220">
      <c r="A220" s="361" t="inlineStr">
        <is>
          <t>MOV_ANI_23__2695078</t>
        </is>
      </c>
      <c r="B220" s="361" t="inlineStr">
        <is>
          <t>Ainbo</t>
        </is>
      </c>
      <c r="C220" s="361" t="inlineStr">
        <is>
          <t>Movies</t>
        </is>
      </c>
      <c r="D220" s="361" t="n">
        <v>1</v>
      </c>
      <c r="E220" s="361" t="n">
        <v>2021</v>
      </c>
      <c r="F220" s="361" t="inlineStr">
        <is>
          <t>2023-04-20T00:00:00+07:00</t>
        </is>
      </c>
      <c r="H220" s="361" t="inlineStr">
        <is>
          <t>c5229b12-38ca-4779-b55b-021e031fb0db</t>
        </is>
      </c>
      <c r="I220" s="361" t="inlineStr">
        <is>
          <t>https://censorship.kplus.vn/MediaAssets/Asset/0cc11a5d-6ef0-ee11-9144-f40270bf9ea7/StreamPreview</t>
        </is>
      </c>
      <c r="J220" s="361" t="inlineStr">
        <is>
          <t>YES</t>
        </is>
      </c>
      <c r="K220" s="361" t="inlineStr">
        <is>
          <t>Success</t>
        </is>
      </c>
    </row>
    <row r="221">
      <c r="A221" s="361" t="inlineStr">
        <is>
          <t>MOV_HOR_23__2696804</t>
        </is>
      </c>
      <c r="B221" s="361" t="inlineStr">
        <is>
          <t>Scent of Ghost</t>
        </is>
      </c>
      <c r="C221" s="361" t="inlineStr">
        <is>
          <t>Movies</t>
        </is>
      </c>
      <c r="D221" s="361" t="n">
        <v>3</v>
      </c>
      <c r="E221" s="361" t="n">
        <v>2019</v>
      </c>
      <c r="F221" s="361" t="inlineStr">
        <is>
          <t>2023-05-09T00:00:00+07:00</t>
        </is>
      </c>
      <c r="H221" s="362" t="inlineStr">
        <is>
          <t>2e6771ff-8408-48e8-b438-ee257996690d</t>
        </is>
      </c>
      <c r="I221" s="361" t="inlineStr">
        <is>
          <t>https://censorship.kplus.vn/MediaAssets/Asset/fe50607c-6af0-ee11-9144-f40270bf9ea7/StreamPreview</t>
        </is>
      </c>
      <c r="J221" s="361" t="inlineStr">
        <is>
          <t>YES</t>
        </is>
      </c>
      <c r="K221" s="361" t="inlineStr">
        <is>
          <t>Success</t>
        </is>
      </c>
    </row>
    <row r="222">
      <c r="A222" s="361" t="inlineStr">
        <is>
          <t>MOV_COM294</t>
        </is>
      </c>
      <c r="B222" s="361" t="inlineStr">
        <is>
          <t>Hunt for the Wilderpeople</t>
        </is>
      </c>
      <c r="C222" s="361" t="inlineStr">
        <is>
          <t>Movies</t>
        </is>
      </c>
      <c r="D222" s="361" t="n">
        <v>2</v>
      </c>
      <c r="E222" s="361" t="n">
        <v>2016</v>
      </c>
      <c r="F222" s="361" t="inlineStr">
        <is>
          <t>2025-02-19T00:00:00+07:00</t>
        </is>
      </c>
      <c r="H222" s="361" t="inlineStr">
        <is>
          <t>ecb43b45-c448-4cb5-b746-4c43328f4660</t>
        </is>
      </c>
      <c r="I222" s="361" t="inlineStr">
        <is>
          <t>https://censorship.kplus.vn/MediaAssets/Asset/cf74bd44-4bfa-ef11-8593-0c42a12723cb/StreamPreview</t>
        </is>
      </c>
      <c r="J222" s="361" t="inlineStr">
        <is>
          <t>YES</t>
        </is>
      </c>
      <c r="K222" s="361" t="inlineStr">
        <is>
          <t>Success</t>
        </is>
      </c>
    </row>
    <row r="223">
      <c r="A223" s="361" t="inlineStr">
        <is>
          <t>MOV_ACT_24__2713433</t>
        </is>
      </c>
      <c r="B223" s="361" t="inlineStr">
        <is>
          <t>Bear man</t>
        </is>
      </c>
      <c r="C223" s="361" t="inlineStr">
        <is>
          <t>Movies</t>
        </is>
      </c>
      <c r="D223" s="361" t="n">
        <v>3</v>
      </c>
      <c r="E223" s="361" t="n">
        <v>2023</v>
      </c>
      <c r="F223" s="361" t="inlineStr">
        <is>
          <t>2024-02-28T00:00:00+07:00</t>
        </is>
      </c>
      <c r="H223" s="362" t="inlineStr">
        <is>
          <t>237e7908-d4b1-4d3a-b2a2-2c88d6a0f584</t>
        </is>
      </c>
      <c r="I223" s="361" t="inlineStr">
        <is>
          <t>https://censorship.kplus.vn/MediaAssets/Asset/88c33de9-6f25-ef11-9145-f40270bf9ea7/StreamPreview</t>
        </is>
      </c>
      <c r="J223" s="361" t="inlineStr">
        <is>
          <t>YES</t>
        </is>
      </c>
      <c r="K223" s="361" t="inlineStr">
        <is>
          <t>Success</t>
        </is>
      </c>
    </row>
    <row r="224">
      <c r="A224" s="361" t="inlineStr">
        <is>
          <t>MOV_ACT_21__2654661</t>
        </is>
      </c>
      <c r="B224" s="361" t="inlineStr">
        <is>
          <t>HEROES RETURN</t>
        </is>
      </c>
      <c r="C224" s="361" t="inlineStr">
        <is>
          <t>Movies</t>
        </is>
      </c>
      <c r="D224" s="361" t="n">
        <v>3</v>
      </c>
      <c r="E224" s="361" t="n">
        <v>2021</v>
      </c>
      <c r="F224" s="361" t="inlineStr">
        <is>
          <t>2021-08-25T00:00:00+07:00</t>
        </is>
      </c>
      <c r="H224" s="361" t="inlineStr">
        <is>
          <t>f6e82a1b-12dd-4397-863c-a38d95ff956f</t>
        </is>
      </c>
      <c r="I224" s="361" t="inlineStr">
        <is>
          <t>https://censorship.kplus.vn/MediaAssets/Asset/ae3ee234-15ea-ee11-9144-f40270bf9ea7/StreamPreview</t>
        </is>
      </c>
      <c r="J224" s="361" t="inlineStr">
        <is>
          <t>YES</t>
        </is>
      </c>
      <c r="K224" s="361" t="inlineStr">
        <is>
          <t>Success</t>
        </is>
      </c>
    </row>
    <row r="225">
      <c r="A225" s="361" t="inlineStr">
        <is>
          <t>MOV_DRA745</t>
        </is>
      </c>
      <c r="B225" s="361" t="inlineStr">
        <is>
          <t>Belfast</t>
        </is>
      </c>
      <c r="C225" s="361" t="inlineStr">
        <is>
          <t>Movies</t>
        </is>
      </c>
      <c r="D225" s="361" t="n">
        <v>2</v>
      </c>
      <c r="E225" s="361" t="n">
        <v>2021</v>
      </c>
      <c r="F225" s="361" t="inlineStr">
        <is>
          <t>2025-01-03T00:00:00+07:00</t>
        </is>
      </c>
      <c r="H225" s="361" t="inlineStr">
        <is>
          <t>d4fdc0ca-7312-4b90-92a5-11009e751834</t>
        </is>
      </c>
      <c r="I225" s="361" t="inlineStr">
        <is>
          <t>https://censorship.kplus.vn/MediaAssets/Asset/ca2656b2-64ef-ef11-8593-0c42a12723cb/StreamPreview</t>
        </is>
      </c>
      <c r="J225" s="361" t="inlineStr">
        <is>
          <t>YES</t>
        </is>
      </c>
      <c r="K225" s="361" t="inlineStr">
        <is>
          <t>Success</t>
        </is>
      </c>
    </row>
    <row r="226">
      <c r="A226" s="361" t="inlineStr">
        <is>
          <t>MOV_THR167</t>
        </is>
      </c>
      <c r="B226" s="361" t="inlineStr">
        <is>
          <t>Trending Topic</t>
        </is>
      </c>
      <c r="C226" s="361" t="inlineStr">
        <is>
          <t>Movies</t>
        </is>
      </c>
      <c r="D226" s="361" t="n">
        <v>3</v>
      </c>
      <c r="E226" s="361" t="n">
        <v>2023</v>
      </c>
      <c r="F226" s="361" t="inlineStr">
        <is>
          <t>2025-04-05T00:00:00+07:00</t>
        </is>
      </c>
      <c r="H226" s="361" t="inlineStr">
        <is>
          <t>842f4f39-e509-451e-a669-3b7adb0ee6f4</t>
        </is>
      </c>
      <c r="I226" s="361" t="inlineStr">
        <is>
          <t>https://censorship.kplus.vn/MediaAssets/Asset/96420d5d-953f-f011-8593-0c42a12723cb/StreamPreview</t>
        </is>
      </c>
      <c r="J226" s="361" t="inlineStr">
        <is>
          <t>YES</t>
        </is>
      </c>
      <c r="K226" s="361" t="inlineStr">
        <is>
          <t>Success</t>
        </is>
      </c>
    </row>
    <row r="227">
      <c r="A227" s="361" t="inlineStr">
        <is>
          <t>MOV_ANI90</t>
        </is>
      </c>
      <c r="B227" s="361" t="inlineStr">
        <is>
          <t>Madagascar 3: Europe's Most Wanted</t>
        </is>
      </c>
      <c r="C227" s="361" t="inlineStr">
        <is>
          <t>Movies</t>
        </is>
      </c>
      <c r="D227" s="361" t="n">
        <v>1</v>
      </c>
      <c r="E227" s="361" t="n">
        <v>2012</v>
      </c>
      <c r="F227" s="361" t="inlineStr">
        <is>
          <t>2025-05-06T00:00:00+07:00</t>
        </is>
      </c>
      <c r="H227" s="361" t="inlineStr">
        <is>
          <t>b748b298-bf9e-4f6d-9ccf-0819e1a8ddcd</t>
        </is>
      </c>
      <c r="I227" s="361" t="inlineStr">
        <is>
          <t>https://censorship.kplus.vn/MediaAssets/Asset/ef9adcd2-3941-f011-8593-0c42a12723cb/StreamPreview</t>
        </is>
      </c>
      <c r="J227" s="361" t="inlineStr">
        <is>
          <t>YES</t>
        </is>
      </c>
      <c r="K227" s="361" t="inlineStr">
        <is>
          <t>Success</t>
        </is>
      </c>
    </row>
    <row r="228">
      <c r="A228" s="361" t="inlineStr">
        <is>
          <t>MOV_DRA736</t>
        </is>
      </c>
      <c r="B228" s="361" t="inlineStr">
        <is>
          <t>Mozart from space</t>
        </is>
      </c>
      <c r="C228" s="361" t="inlineStr">
        <is>
          <t>Movies</t>
        </is>
      </c>
      <c r="D228" s="361" t="n">
        <v>1</v>
      </c>
      <c r="E228" s="361" t="n">
        <v>2022</v>
      </c>
      <c r="F228" s="361" t="inlineStr">
        <is>
          <t>2024-12-19T00:00:00+07:00</t>
        </is>
      </c>
      <c r="H228" s="361" t="inlineStr">
        <is>
          <t>1fe16488-3792-4eaf-a2a6-10b8d22e0d21</t>
        </is>
      </c>
      <c r="I228" s="361" t="inlineStr">
        <is>
          <t>https://censorship.kplus.vn/MediaAssets/Asset/e640bca2-46cf-ef11-8593-0c42a12723cb/StreamPreview</t>
        </is>
      </c>
      <c r="J228" s="361" t="inlineStr">
        <is>
          <t>YES</t>
        </is>
      </c>
      <c r="K228" s="361" t="inlineStr">
        <is>
          <t>Success</t>
        </is>
      </c>
    </row>
    <row r="229">
      <c r="A229" s="361" t="inlineStr">
        <is>
          <t>MOV_COM_24__2713434</t>
        </is>
      </c>
      <c r="B229" s="361" t="inlineStr">
        <is>
          <t>Cobweb</t>
        </is>
      </c>
      <c r="C229" s="361" t="inlineStr">
        <is>
          <t>Movies</t>
        </is>
      </c>
      <c r="D229" s="361" t="n">
        <v>3</v>
      </c>
      <c r="E229" s="361" t="n">
        <v>2023</v>
      </c>
      <c r="F229" s="361" t="inlineStr">
        <is>
          <t>2024-02-28T00:00:00+07:00</t>
        </is>
      </c>
      <c r="H229" s="361" t="inlineStr">
        <is>
          <t>dc217394-bc24-44d5-af96-39314215f1dc</t>
        </is>
      </c>
      <c r="I229" s="361" t="inlineStr">
        <is>
          <t>https://censorship.kplus.vn/MediaAssets/Asset/d1c433fa-e665-ef11-8593-0c42a12723cb/StreamPreview</t>
        </is>
      </c>
      <c r="J229" s="361" t="inlineStr">
        <is>
          <t>YES</t>
        </is>
      </c>
      <c r="K229" s="361" t="inlineStr">
        <is>
          <t>Success</t>
        </is>
      </c>
    </row>
    <row r="230">
      <c r="A230" s="361" t="inlineStr">
        <is>
          <t>MOV_DRA732</t>
        </is>
      </c>
      <c r="B230" s="361" t="inlineStr">
        <is>
          <t>The Cougar Queen</t>
        </is>
      </c>
      <c r="C230" s="361" t="inlineStr">
        <is>
          <t>Movies</t>
        </is>
      </c>
      <c r="D230" s="361" t="n">
        <v>3</v>
      </c>
      <c r="E230" s="361" t="n">
        <v>2018</v>
      </c>
      <c r="F230" s="361" t="inlineStr">
        <is>
          <t>2024-12-11T00:00:00+07:00</t>
        </is>
      </c>
      <c r="H230" s="361" t="inlineStr">
        <is>
          <t>ca5495e2-603b-4fd3-9be1-65b2a5994d99</t>
        </is>
      </c>
      <c r="I230" s="361" t="inlineStr">
        <is>
          <t>https://censorship.kplus.vn/MediaAssets/Asset/3159862f-6ebf-ef11-8593-0c42a12723cb/StreamPreview</t>
        </is>
      </c>
      <c r="J230" s="361" t="inlineStr">
        <is>
          <t>YES</t>
        </is>
      </c>
      <c r="K230" s="361" t="inlineStr">
        <is>
          <t>Success</t>
        </is>
      </c>
    </row>
    <row r="231">
      <c r="A231" s="361" t="inlineStr">
        <is>
          <t>MOV_ROM100</t>
        </is>
      </c>
      <c r="B231" s="361" t="inlineStr">
        <is>
          <t>Marry Me</t>
        </is>
      </c>
      <c r="C231" s="361" t="inlineStr">
        <is>
          <t>Movies</t>
        </is>
      </c>
      <c r="D231" s="361" t="n">
        <v>2</v>
      </c>
      <c r="E231" s="361" t="n">
        <v>2022</v>
      </c>
      <c r="F231" s="361" t="inlineStr">
        <is>
          <t>2024-12-21T00:00:00+07:00</t>
        </is>
      </c>
      <c r="H231" s="361" t="inlineStr">
        <is>
          <t>22d352d1-5152-4e7e-b032-6c81d7885da9</t>
        </is>
      </c>
      <c r="I231" s="361" t="inlineStr">
        <is>
          <t>https://censorship.kplus.vn/MediaAssets/Asset/65a42690-fdd2-ef11-8593-0c42a12723cb/StreamPreview</t>
        </is>
      </c>
      <c r="J231" s="361" t="inlineStr">
        <is>
          <t>YES</t>
        </is>
      </c>
      <c r="K231" s="361" t="inlineStr">
        <is>
          <t>Success</t>
        </is>
      </c>
    </row>
    <row r="232">
      <c r="A232" s="361" t="inlineStr">
        <is>
          <t>MOV_DRA__17__2495883</t>
        </is>
      </c>
      <c r="B232" s="361" t="inlineStr">
        <is>
          <t>VICTORY</t>
        </is>
      </c>
      <c r="C232" s="361" t="inlineStr">
        <is>
          <t>Movies</t>
        </is>
      </c>
      <c r="D232" s="361" t="n">
        <v>1</v>
      </c>
      <c r="E232" s="361" t="n">
        <v>2016</v>
      </c>
      <c r="F232" s="361" t="inlineStr">
        <is>
          <t>2018-03-31T00:00:00+07:00</t>
        </is>
      </c>
      <c r="H232" s="361" t="inlineStr">
        <is>
          <t>088e83d6-d3fe-4dba-bc79-4f5e35b0278e</t>
        </is>
      </c>
      <c r="I232" s="361" t="inlineStr">
        <is>
          <t>https://censorship.kplus.vn/MediaAssets/Asset/bbf37ffc-51e7-ee11-9144-f40270bf9ea7/StreamPreview</t>
        </is>
      </c>
      <c r="J232" s="361" t="inlineStr">
        <is>
          <t>YES</t>
        </is>
      </c>
      <c r="K232" s="361" t="inlineStr">
        <is>
          <t>Success</t>
        </is>
      </c>
    </row>
    <row r="233">
      <c r="A233" s="361" t="inlineStr">
        <is>
          <t>MOV_ACT609</t>
        </is>
      </c>
      <c r="B233" s="361" t="inlineStr">
        <is>
          <t>Deep Fear</t>
        </is>
      </c>
      <c r="C233" s="361" t="inlineStr">
        <is>
          <t>Movies</t>
        </is>
      </c>
      <c r="D233" s="361" t="n">
        <v>3</v>
      </c>
      <c r="E233" s="361" t="n">
        <v>2023</v>
      </c>
      <c r="F233" s="361" t="inlineStr">
        <is>
          <t>2025-02-27T00:00:00+07:00</t>
        </is>
      </c>
      <c r="H233" s="361" t="inlineStr">
        <is>
          <t>0aa0d548-ebf5-41e4-a731-88b23cd9a330</t>
        </is>
      </c>
      <c r="I233" s="361" t="inlineStr">
        <is>
          <t>https://censorship.kplus.vn/MediaAssets/Asset/e076fa3a-d1ff-ef11-8593-0c42a12723cb/StreamPreview</t>
        </is>
      </c>
      <c r="J233" s="361" t="inlineStr">
        <is>
          <t>YES</t>
        </is>
      </c>
      <c r="K233" s="361" t="inlineStr">
        <is>
          <t>Success</t>
        </is>
      </c>
    </row>
    <row r="234">
      <c r="A234" s="361" t="inlineStr">
        <is>
          <t>MOV_DRA_24__2710439</t>
        </is>
      </c>
      <c r="B234" s="361" t="inlineStr">
        <is>
          <t>Angel Of Mine</t>
        </is>
      </c>
      <c r="C234" s="361" t="inlineStr">
        <is>
          <t>Movies</t>
        </is>
      </c>
      <c r="D234" s="361" t="n">
        <v>3</v>
      </c>
      <c r="E234" s="361" t="n">
        <v>2019</v>
      </c>
      <c r="F234" s="361" t="inlineStr">
        <is>
          <t>2024-01-09T00:00:00+07:00</t>
        </is>
      </c>
      <c r="H234" s="361" t="inlineStr">
        <is>
          <t>a53ced61-3523-4e3c-9e59-1b3c44026820</t>
        </is>
      </c>
      <c r="I234" s="361" t="inlineStr">
        <is>
          <t>https://censorship.kplus.vn/MediaAssets/Asset/f4c4a5ef-27f8-ee11-9144-f40270bf9ea7/StreamPreview</t>
        </is>
      </c>
      <c r="J234" s="361" t="inlineStr">
        <is>
          <t>YES</t>
        </is>
      </c>
      <c r="K234" s="361" t="inlineStr">
        <is>
          <t>Success</t>
        </is>
      </c>
    </row>
    <row r="235">
      <c r="A235" s="361" t="inlineStr">
        <is>
          <t>MOV_HOR71</t>
        </is>
      </c>
      <c r="B235" s="361" t="inlineStr">
        <is>
          <t>Exhuma</t>
        </is>
      </c>
      <c r="C235" s="361" t="inlineStr">
        <is>
          <t>Movies</t>
        </is>
      </c>
      <c r="D235" s="361" t="n">
        <v>3</v>
      </c>
      <c r="E235" s="361" t="n">
        <v>2024</v>
      </c>
      <c r="F235" s="361" t="inlineStr">
        <is>
          <t>2025-02-12T00:00:00+07:00</t>
        </is>
      </c>
      <c r="H235" s="361" t="inlineStr">
        <is>
          <t>32b0801f-a003-45bd-9f97-b40137e0c83f</t>
        </is>
      </c>
      <c r="I235" s="361" t="inlineStr">
        <is>
          <t>https://censorship.kplus.vn/MediaAssets/Asset/0f2a5e2d-d6ff-ef11-8593-0c42a12723cb/StreamPreview</t>
        </is>
      </c>
      <c r="J235" s="361" t="inlineStr">
        <is>
          <t>YES</t>
        </is>
      </c>
      <c r="K235" s="361" t="inlineStr">
        <is>
          <t>Success</t>
        </is>
      </c>
    </row>
    <row r="236">
      <c r="A236" s="361" t="inlineStr">
        <is>
          <t>MOV_DRA_24__2712650</t>
        </is>
      </c>
      <c r="B236" s="361" t="inlineStr">
        <is>
          <t>Promising young woman</t>
        </is>
      </c>
      <c r="C236" s="361" t="inlineStr">
        <is>
          <t>Movies</t>
        </is>
      </c>
      <c r="D236" s="361" t="n">
        <v>4</v>
      </c>
      <c r="E236" s="361" t="n">
        <v>2020</v>
      </c>
      <c r="F236" s="361" t="inlineStr">
        <is>
          <t>2024-02-16T00:00:00+07:00</t>
        </is>
      </c>
      <c r="H236" s="361" t="inlineStr">
        <is>
          <t>81cb3d95-ed48-4e9a-a0a8-608eb048a591</t>
        </is>
      </c>
      <c r="I236" s="361" t="inlineStr">
        <is>
          <t>https://censorship.kplus.vn/MediaAssets/Asset/c708715d-37f8-ee11-9144-f40270bf9ea7/StreamPreview</t>
        </is>
      </c>
      <c r="J236" s="361" t="inlineStr">
        <is>
          <t>YES</t>
        </is>
      </c>
      <c r="K236" s="361" t="inlineStr">
        <is>
          <t>Success</t>
        </is>
      </c>
    </row>
    <row r="237">
      <c r="A237" s="361" t="inlineStr">
        <is>
          <t>MOV_HOR69</t>
        </is>
      </c>
      <c r="B237" s="361" t="inlineStr">
        <is>
          <t>The Black Phone</t>
        </is>
      </c>
      <c r="C237" s="361" t="inlineStr">
        <is>
          <t>Movies</t>
        </is>
      </c>
      <c r="D237" s="361" t="n">
        <v>4</v>
      </c>
      <c r="E237" s="361" t="n">
        <v>2021</v>
      </c>
      <c r="F237" s="361" t="inlineStr">
        <is>
          <t>2024-10-10T00:00:00+07:00</t>
        </is>
      </c>
      <c r="H237" s="361" t="inlineStr">
        <is>
          <t>6af78138-a8b4-4a91-8d23-45c7079e7a3b</t>
        </is>
      </c>
      <c r="I237" s="361" t="inlineStr">
        <is>
          <t>https://censorship.kplus.vn/MediaAssets/Asset/0fd2357b-a7ab-ef11-8593-0c42a12723cb/StreamPreview</t>
        </is>
      </c>
      <c r="J237" s="361" t="inlineStr">
        <is>
          <t>YES</t>
        </is>
      </c>
      <c r="K237" s="361" t="inlineStr">
        <is>
          <t>Success</t>
        </is>
      </c>
    </row>
    <row r="238">
      <c r="A238" s="361" t="inlineStr">
        <is>
          <t>MOV_CRI_24__2714939</t>
        </is>
      </c>
      <c r="B238" s="361" t="inlineStr">
        <is>
          <t>Detective Vs. Sleuths</t>
        </is>
      </c>
      <c r="C238" s="361" t="inlineStr">
        <is>
          <t>Movies</t>
        </is>
      </c>
      <c r="D238" s="361" t="n">
        <v>3</v>
      </c>
      <c r="E238" s="361" t="n">
        <v>2022</v>
      </c>
      <c r="F238" s="361" t="inlineStr">
        <is>
          <t>2024-03-26T00:00:00+07:00</t>
        </is>
      </c>
      <c r="H238" s="361" t="inlineStr">
        <is>
          <t>9f99e4e6-8edb-47d3-866b-923943c59b4a</t>
        </is>
      </c>
      <c r="I238" s="361" t="inlineStr">
        <is>
          <t>https://censorship.kplus.vn/MediaAssets/Asset/68764632-5d13-ef11-9144-f40270bf9ea7/StreamPreview</t>
        </is>
      </c>
      <c r="J238" s="361" t="inlineStr">
        <is>
          <t>YES</t>
        </is>
      </c>
      <c r="K238" s="361" t="inlineStr">
        <is>
          <t>Success</t>
        </is>
      </c>
    </row>
    <row r="239">
      <c r="A239" s="361" t="inlineStr">
        <is>
          <t>MOV_COM289</t>
        </is>
      </c>
      <c r="B239" s="361" t="inlineStr">
        <is>
          <t>Miss Fortune</t>
        </is>
      </c>
      <c r="C239" s="361" t="inlineStr">
        <is>
          <t>Movies</t>
        </is>
      </c>
      <c r="D239" s="361" t="n">
        <v>2</v>
      </c>
      <c r="F239" s="361" t="inlineStr">
        <is>
          <t>2024-12-11T00:00:00+07:00</t>
        </is>
      </c>
      <c r="H239" s="361" t="inlineStr">
        <is>
          <t>333edc5a-85ea-4761-87d5-0bc5f9b9bcbf</t>
        </is>
      </c>
      <c r="I239" s="361" t="inlineStr">
        <is>
          <t>https://censorship.kplus.vn/MediaAssets/Asset/382f0fe5-6afd-ef11-8593-0c42a12723cb/StreamPreview</t>
        </is>
      </c>
      <c r="J239" s="361" t="inlineStr">
        <is>
          <t>YES</t>
        </is>
      </c>
      <c r="K239" s="361" t="inlineStr">
        <is>
          <t>Success</t>
        </is>
      </c>
    </row>
    <row r="240">
      <c r="A240" s="361" t="inlineStr">
        <is>
          <t>MOV_FAN__16__2492574</t>
        </is>
      </c>
      <c r="B240" s="361" t="inlineStr">
        <is>
          <t>TAM CAM: THE UNTOLD STORY</t>
        </is>
      </c>
      <c r="C240" s="361" t="inlineStr">
        <is>
          <t>Movies</t>
        </is>
      </c>
      <c r="D240" s="361" t="n">
        <v>1</v>
      </c>
      <c r="E240" s="361" t="n">
        <v>2016</v>
      </c>
      <c r="F240" s="361" t="inlineStr">
        <is>
          <t>2018-04-21T00:00:00+07:00</t>
        </is>
      </c>
      <c r="H240" s="361" t="inlineStr">
        <is>
          <t>d75f0469-e8cc-4e8b-98f5-79c07696422f</t>
        </is>
      </c>
      <c r="I240" s="361" t="inlineStr">
        <is>
          <t>https://censorship.kplus.vn/MediaAssets/Asset/c4464389-15d3-ef11-8593-0c42a12723cb/StreamPreview</t>
        </is>
      </c>
      <c r="J240" s="361" t="inlineStr">
        <is>
          <t>YES</t>
        </is>
      </c>
      <c r="K240" s="361" t="inlineStr">
        <is>
          <t>Success</t>
        </is>
      </c>
    </row>
    <row r="241">
      <c r="A241" s="361" t="inlineStr">
        <is>
          <t>MOV_ACT_23__2689674</t>
        </is>
      </c>
      <c r="B241" s="361" t="inlineStr">
        <is>
          <t>7 days in Entebbe</t>
        </is>
      </c>
      <c r="C241" s="361" t="inlineStr">
        <is>
          <t>Movies</t>
        </is>
      </c>
      <c r="D241" s="361" t="n">
        <v>2</v>
      </c>
      <c r="E241" s="361" t="n">
        <v>2017</v>
      </c>
      <c r="F241" s="361" t="inlineStr">
        <is>
          <t>2023-02-02T00:00:00+07:00</t>
        </is>
      </c>
      <c r="H241" s="361" t="inlineStr">
        <is>
          <t>76ed25f0-a936-44d7-b4c0-ff55a3feed79</t>
        </is>
      </c>
      <c r="I241" s="361" t="inlineStr">
        <is>
          <t>https://censorship.kplus.vn/MediaAssets/Asset/a9237b43-edef-ee11-9144-f40270bf9ea7/StreamPreview</t>
        </is>
      </c>
      <c r="J241" s="361" t="inlineStr">
        <is>
          <t>YES</t>
        </is>
      </c>
      <c r="K241" s="361" t="inlineStr">
        <is>
          <t>Success</t>
        </is>
      </c>
    </row>
    <row r="242">
      <c r="A242" s="361" t="inlineStr">
        <is>
          <t>MOV_ACT_23__2691049</t>
        </is>
      </c>
      <c r="B242" s="361" t="inlineStr">
        <is>
          <t>Horizon Line</t>
        </is>
      </c>
      <c r="C242" s="361" t="inlineStr">
        <is>
          <t>Movies</t>
        </is>
      </c>
      <c r="D242" s="361" t="n">
        <v>3</v>
      </c>
      <c r="E242" s="361" t="n">
        <v>2020</v>
      </c>
      <c r="F242" s="361" t="inlineStr">
        <is>
          <t>2023-02-23T00:00:00+07:00</t>
        </is>
      </c>
      <c r="H242" s="361" t="inlineStr">
        <is>
          <t>b70ab95e-ed0f-4f6a-bd51-67aa2185ece2</t>
        </is>
      </c>
      <c r="I242" s="361" t="inlineStr">
        <is>
          <t>https://censorship.kplus.vn/MediaAssets/Asset/84eda8f6-bbf4-ee11-9144-f40270bf9ea7/StreamPreview</t>
        </is>
      </c>
      <c r="J242" s="361" t="inlineStr">
        <is>
          <t>YES</t>
        </is>
      </c>
      <c r="K242" s="361" t="inlineStr">
        <is>
          <t>Success</t>
        </is>
      </c>
    </row>
    <row r="243">
      <c r="A243" s="361" t="inlineStr">
        <is>
          <t>MOV_ACT607</t>
        </is>
      </c>
      <c r="B243" s="361" t="inlineStr">
        <is>
          <t>Battle Los Angeles</t>
        </is>
      </c>
      <c r="C243" s="361" t="inlineStr">
        <is>
          <t>Movies</t>
        </is>
      </c>
      <c r="D243" s="361" t="n">
        <v>2</v>
      </c>
      <c r="E243" s="361" t="n">
        <v>2011</v>
      </c>
      <c r="F243" s="361" t="inlineStr">
        <is>
          <t>2025-02-26T00:00:00+07:00</t>
        </is>
      </c>
      <c r="H243" s="361" t="inlineStr">
        <is>
          <t>82993f56-abae-42ce-82ba-e7d51b359793</t>
        </is>
      </c>
      <c r="I243" s="361" t="inlineStr">
        <is>
          <t>https://censorship.kplus.vn/MediaAssets/Asset/a07c9fe0-0419-f011-8593-0c42a12723cb/StreamPreview</t>
        </is>
      </c>
      <c r="J243" s="361" t="inlineStr">
        <is>
          <t>YES</t>
        </is>
      </c>
      <c r="K243" s="361" t="inlineStr">
        <is>
          <t>Success</t>
        </is>
      </c>
    </row>
    <row r="244">
      <c r="A244" s="361" t="inlineStr">
        <is>
          <t>MOV_CRI114</t>
        </is>
      </c>
      <c r="B244" s="361" t="inlineStr">
        <is>
          <t>Hovering Blade</t>
        </is>
      </c>
      <c r="C244" s="361" t="inlineStr">
        <is>
          <t>Movies</t>
        </is>
      </c>
      <c r="D244" s="361" t="n">
        <v>3</v>
      </c>
      <c r="E244" s="361" t="n">
        <v>2024</v>
      </c>
      <c r="F244" s="361" t="inlineStr">
        <is>
          <t>2025-04-24T00:00:00+07:00</t>
        </is>
      </c>
      <c r="H244" s="361" t="inlineStr">
        <is>
          <t>0e5a226d-464c-4dd9-9187-9bc94e206b2d</t>
        </is>
      </c>
      <c r="I244" s="361" t="inlineStr">
        <is>
          <t>https://censorship.kplus.vn/MediaAssets/Asset/cf965b7b-1342-f011-8593-0c42a12723cb/StreamPreview</t>
        </is>
      </c>
      <c r="J244" s="361" t="inlineStr">
        <is>
          <t>YES</t>
        </is>
      </c>
      <c r="K244" s="361" t="inlineStr">
        <is>
          <t>Success</t>
        </is>
      </c>
    </row>
    <row r="245">
      <c r="A245" s="361" t="inlineStr">
        <is>
          <t>MOV_COM__2686867</t>
        </is>
      </c>
      <c r="B245" s="361" t="inlineStr">
        <is>
          <t>FAMILY SWAP</t>
        </is>
      </c>
      <c r="C245" s="361" t="inlineStr">
        <is>
          <t>Movies</t>
        </is>
      </c>
      <c r="D245" s="361" t="n">
        <v>3</v>
      </c>
      <c r="E245" s="361" t="n">
        <v>2021</v>
      </c>
      <c r="F245" s="361" t="inlineStr">
        <is>
          <t>2022-12-15T00:00:00+07:00</t>
        </is>
      </c>
      <c r="H245" s="361" t="inlineStr">
        <is>
          <t>e71aec97-b02d-4345-a987-03bbc48920e2</t>
        </is>
      </c>
      <c r="I245" s="361" t="inlineStr">
        <is>
          <t>https://censorship.kplus.vn/MediaAssets/Asset/71e623e3-d5ed-ee11-9144-f40270bf9ea7/StreamPreview</t>
        </is>
      </c>
      <c r="J245" s="361" t="inlineStr">
        <is>
          <t>YES</t>
        </is>
      </c>
      <c r="K245" s="361" t="inlineStr">
        <is>
          <t>Success</t>
        </is>
      </c>
    </row>
    <row r="246">
      <c r="A246" s="361" t="inlineStr">
        <is>
          <t>MOV_MUS8</t>
        </is>
      </c>
      <c r="B246" s="361" t="inlineStr">
        <is>
          <t>Cats</t>
        </is>
      </c>
      <c r="C246" s="361" t="inlineStr">
        <is>
          <t>Movies</t>
        </is>
      </c>
      <c r="D246" s="361" t="n">
        <v>1</v>
      </c>
      <c r="E246" s="361" t="n">
        <v>2019</v>
      </c>
      <c r="F246" s="361" t="inlineStr">
        <is>
          <t>2024-07-17T00:00:00+07:00</t>
        </is>
      </c>
      <c r="H246" s="361" t="inlineStr">
        <is>
          <t>43682661-84e6-4fda-b00a-20feecac1848</t>
        </is>
      </c>
      <c r="I246" s="361" t="inlineStr">
        <is>
          <t>https://censorship.kplus.vn/MediaAssets/Asset/76ef5597-8c9d-ef11-8593-0c42a12723cb/StreamPreview</t>
        </is>
      </c>
      <c r="J246" s="361" t="inlineStr">
        <is>
          <t>YES</t>
        </is>
      </c>
      <c r="K246" s="361" t="inlineStr">
        <is>
          <t>Success</t>
        </is>
      </c>
    </row>
    <row r="247">
      <c r="A247" s="361" t="inlineStr">
        <is>
          <t>MOV_DRA_22__2686502</t>
        </is>
      </c>
      <c r="B247" s="361" t="inlineStr">
        <is>
          <t>The Upside</t>
        </is>
      </c>
      <c r="C247" s="361" t="inlineStr">
        <is>
          <t>Movies</t>
        </is>
      </c>
      <c r="D247" s="361" t="n">
        <v>3</v>
      </c>
      <c r="E247" s="361" t="n">
        <v>2017</v>
      </c>
      <c r="F247" s="361" t="inlineStr">
        <is>
          <t>2022-12-08T00:00:00+07:00</t>
        </is>
      </c>
      <c r="H247" s="361" t="inlineStr">
        <is>
          <t>a0675418-78d7-4cdd-85d2-6b9e14192c0c</t>
        </is>
      </c>
      <c r="I247" s="361" t="inlineStr">
        <is>
          <t>https://censorship.kplus.vn/MediaAssets/Asset/03de7fd9-c9ed-ee11-9144-f40270bf9ea7/StreamPreview</t>
        </is>
      </c>
      <c r="J247" s="361" t="inlineStr">
        <is>
          <t>YES</t>
        </is>
      </c>
      <c r="K247" s="361" t="inlineStr">
        <is>
          <t>Success</t>
        </is>
      </c>
    </row>
    <row r="248">
      <c r="A248" s="361" t="inlineStr">
        <is>
          <t>MOV_HIS10</t>
        </is>
      </c>
      <c r="B248" s="361" t="inlineStr">
        <is>
          <t>Black '47</t>
        </is>
      </c>
      <c r="C248" s="361" t="inlineStr">
        <is>
          <t>Movies</t>
        </is>
      </c>
      <c r="D248" s="361" t="n">
        <v>3</v>
      </c>
      <c r="E248" s="361" t="n">
        <v>2018</v>
      </c>
      <c r="F248" s="361" t="inlineStr">
        <is>
          <t>2024-12-11T00:00:00+07:00</t>
        </is>
      </c>
      <c r="H248" s="361" t="inlineStr">
        <is>
          <t>5178fb45-6f8b-4947-a437-8cbc6016a5ee</t>
        </is>
      </c>
      <c r="I248" s="361" t="inlineStr">
        <is>
          <t>https://censorship.kplus.vn/MediaAssets/Asset/39f7fab2-65d1-ef11-8593-0c42a12723cb/StreamPreview</t>
        </is>
      </c>
      <c r="J248" s="361" t="inlineStr">
        <is>
          <t>YES</t>
        </is>
      </c>
      <c r="K248" s="361" t="inlineStr">
        <is>
          <t>Success</t>
        </is>
      </c>
    </row>
    <row r="249">
      <c r="A249" s="361" t="inlineStr">
        <is>
          <t>MOV_DRA_24__2713877</t>
        </is>
      </c>
      <c r="B249" s="361" t="inlineStr">
        <is>
          <t>The Fabelmans</t>
        </is>
      </c>
      <c r="C249" s="361" t="inlineStr">
        <is>
          <t>Movies</t>
        </is>
      </c>
      <c r="D249" s="361" t="n">
        <v>2</v>
      </c>
      <c r="E249" s="361" t="n">
        <v>2022</v>
      </c>
      <c r="F249" s="361" t="inlineStr">
        <is>
          <t>2024-03-07T00:00:00+07:00</t>
        </is>
      </c>
      <c r="H249" s="361" t="inlineStr">
        <is>
          <t>41b96d1a-ab61-4e94-a12f-81cf9a6e0a14</t>
        </is>
      </c>
      <c r="I249" s="361" t="inlineStr">
        <is>
          <t>https://censorship.kplus.vn/MediaAssets/Asset/a905b669-83a8-ef11-8593-0c42a12723cb/StreamPreview</t>
        </is>
      </c>
      <c r="J249" s="361" t="inlineStr">
        <is>
          <t>YES</t>
        </is>
      </c>
      <c r="K249" s="361" t="inlineStr">
        <is>
          <t>Success</t>
        </is>
      </c>
    </row>
    <row r="250">
      <c r="A250" s="361" t="inlineStr">
        <is>
          <t>MOV_ANI86</t>
        </is>
      </c>
      <c r="B250" s="361" t="inlineStr">
        <is>
          <t>PAW PATROL: THE MOVIE</t>
        </is>
      </c>
      <c r="C250" s="361" t="inlineStr">
        <is>
          <t>Movies</t>
        </is>
      </c>
      <c r="D250" s="361" t="n">
        <v>1</v>
      </c>
      <c r="E250" s="361" t="n">
        <v>2021</v>
      </c>
      <c r="F250" s="361" t="inlineStr">
        <is>
          <t>2025-04-29T00:00:00+07:00</t>
        </is>
      </c>
      <c r="H250" s="361" t="inlineStr">
        <is>
          <t>c06ca263-ae4c-426d-9dea-729e0c412db0</t>
        </is>
      </c>
      <c r="I250" s="361" t="inlineStr">
        <is>
          <t>https://censorship.kplus.vn/MediaAssets/Asset/f15564ac-8334-f011-8593-0c42a12723cb/StreamPreview</t>
        </is>
      </c>
      <c r="J250" s="361" t="inlineStr">
        <is>
          <t>YES</t>
        </is>
      </c>
      <c r="K250" s="361" t="inlineStr">
        <is>
          <t>Success</t>
        </is>
      </c>
    </row>
    <row r="251">
      <c r="A251" s="361" t="inlineStr">
        <is>
          <t>MOV_DRA740</t>
        </is>
      </c>
      <c r="B251" s="361" t="inlineStr">
        <is>
          <t>Love in the big city</t>
        </is>
      </c>
      <c r="C251" s="361" t="inlineStr">
        <is>
          <t>Movies</t>
        </is>
      </c>
      <c r="D251" s="361" t="n">
        <v>4</v>
      </c>
      <c r="E251" s="361" t="n">
        <v>2024</v>
      </c>
      <c r="F251" s="361" t="inlineStr">
        <is>
          <t>2024-12-28T00:00:00+07:00</t>
        </is>
      </c>
      <c r="H251" s="361" t="inlineStr">
        <is>
          <t>49af3305-1e14-49bd-8f30-444b06b7e4de</t>
        </is>
      </c>
      <c r="I251" s="361" t="inlineStr">
        <is>
          <t>https://censorship.kplus.vn/MediaAssets/Asset/3e55d067-54b6-f011-8593-0c42a12723cb/StreamPreview</t>
        </is>
      </c>
      <c r="J251" s="361" t="inlineStr">
        <is>
          <t>YES</t>
        </is>
      </c>
      <c r="K251" s="361" t="inlineStr">
        <is>
          <t>Success</t>
        </is>
      </c>
    </row>
    <row r="252">
      <c r="A252" s="361" t="inlineStr">
        <is>
          <t>MOV_ANI84</t>
        </is>
      </c>
      <c r="B252" s="361" t="inlineStr">
        <is>
          <t>Katak: The Brave Beluga</t>
        </is>
      </c>
      <c r="C252" s="361" t="inlineStr">
        <is>
          <t>Movies</t>
        </is>
      </c>
      <c r="D252" s="361" t="n">
        <v>1</v>
      </c>
      <c r="E252" s="361" t="n">
        <v>2023</v>
      </c>
      <c r="F252" s="361" t="inlineStr">
        <is>
          <t>2025-03-21T00:00:00+07:00</t>
        </is>
      </c>
      <c r="H252" s="361" t="inlineStr">
        <is>
          <t>3203baa9-27a7-4953-8f48-c41b8056c6ba</t>
        </is>
      </c>
      <c r="I252" s="361" t="inlineStr">
        <is>
          <t>https://censorship.kplus.vn/MediaAssets/Asset/e3ad160f-b645-f011-8593-0c42a12723cb/StreamPreview</t>
        </is>
      </c>
      <c r="J252" s="361" t="inlineStr">
        <is>
          <t>YES</t>
        </is>
      </c>
      <c r="K252" s="361" t="inlineStr">
        <is>
          <t>Success</t>
        </is>
      </c>
    </row>
    <row r="253">
      <c r="A253" s="361" t="inlineStr">
        <is>
          <t>MOV_DRA_23__2694715</t>
        </is>
      </c>
      <c r="B253" s="361" t="inlineStr">
        <is>
          <t>I can speak</t>
        </is>
      </c>
      <c r="C253" s="361" t="inlineStr">
        <is>
          <t>Movies</t>
        </is>
      </c>
      <c r="D253" s="361" t="n">
        <v>3</v>
      </c>
      <c r="E253" s="361" t="n">
        <v>2017</v>
      </c>
      <c r="F253" s="361" t="inlineStr">
        <is>
          <t>2023-04-13T00:00:00+07:00</t>
        </is>
      </c>
      <c r="H253" s="361" t="inlineStr">
        <is>
          <t>4d660e2f-93d2-4448-a231-22e25d9aed26</t>
        </is>
      </c>
      <c r="I253" s="361" t="inlineStr">
        <is>
          <t>https://censorship.kplus.vn/MediaAssets/Asset/fed7f4bd-6af0-ee11-9144-f40270bf9ea7/StreamPreview</t>
        </is>
      </c>
      <c r="J253" s="361" t="inlineStr">
        <is>
          <t>YES</t>
        </is>
      </c>
      <c r="K253" s="361" t="inlineStr">
        <is>
          <t>Success</t>
        </is>
      </c>
    </row>
    <row r="254">
      <c r="A254" s="361" t="inlineStr">
        <is>
          <t>MOV_CRI_24__2711480</t>
        </is>
      </c>
      <c r="B254" s="361" t="inlineStr">
        <is>
          <t>Stillwater</t>
        </is>
      </c>
      <c r="C254" s="361" t="inlineStr">
        <is>
          <t>Movies</t>
        </is>
      </c>
      <c r="D254" s="361" t="n">
        <v>3</v>
      </c>
      <c r="E254" s="361" t="n">
        <v>2021</v>
      </c>
      <c r="F254" s="361" t="inlineStr">
        <is>
          <t>2024-01-23T00:00:00+07:00</t>
        </is>
      </c>
      <c r="H254" s="361" t="inlineStr">
        <is>
          <t>bef42ed3-1317-4024-855b-fca6994ecc48</t>
        </is>
      </c>
      <c r="I254" s="361" t="inlineStr">
        <is>
          <t>https://censorship.kplus.vn/MediaAssets/Asset/f11eee38-ba70-ef11-8593-0c42a12723cb/StreamPreview</t>
        </is>
      </c>
      <c r="J254" s="361" t="inlineStr">
        <is>
          <t>YES</t>
        </is>
      </c>
      <c r="K254" s="361" t="inlineStr">
        <is>
          <t>Success</t>
        </is>
      </c>
    </row>
    <row r="255">
      <c r="A255" s="361" t="inlineStr">
        <is>
          <t>MOV_ROM_21__2642967</t>
        </is>
      </c>
      <c r="B255" s="361" t="inlineStr">
        <is>
          <t>SAI GON IN THE RAIN</t>
        </is>
      </c>
      <c r="C255" s="361" t="inlineStr">
        <is>
          <t>Movies</t>
        </is>
      </c>
      <c r="D255" s="361" t="n">
        <v>3</v>
      </c>
      <c r="E255" s="361" t="n">
        <v>2020</v>
      </c>
      <c r="F255" s="361" t="inlineStr">
        <is>
          <t>2021-01-05T00:00:00+07:00</t>
        </is>
      </c>
      <c r="H255" s="361" t="inlineStr">
        <is>
          <t>1960c915-6d7e-437c-85c1-2b2e5fe5406a</t>
        </is>
      </c>
      <c r="I255" s="361" t="inlineStr">
        <is>
          <t>https://censorship.kplus.vn/MediaAssets/Asset/63987fff-9dea-ee11-9144-f40270bf9ea7/StreamPreview</t>
        </is>
      </c>
      <c r="J255" s="361" t="inlineStr">
        <is>
          <t>YES</t>
        </is>
      </c>
      <c r="K255" s="361" t="inlineStr">
        <is>
          <t>Success</t>
        </is>
      </c>
    </row>
    <row r="256">
      <c r="A256" s="361" t="inlineStr">
        <is>
          <t>MOV_ACT_22__2686507</t>
        </is>
      </c>
      <c r="B256" s="361" t="inlineStr">
        <is>
          <t>Shock Wave 2</t>
        </is>
      </c>
      <c r="C256" s="361" t="inlineStr">
        <is>
          <t>Movies</t>
        </is>
      </c>
      <c r="D256" s="361" t="n">
        <v>2</v>
      </c>
      <c r="E256" s="361" t="n">
        <v>2020</v>
      </c>
      <c r="F256" s="361" t="inlineStr">
        <is>
          <t>2022-12-08T00:00:00+07:00</t>
        </is>
      </c>
      <c r="H256" s="361" t="inlineStr">
        <is>
          <t>c4b13ac7-ae07-4ff5-aaa3-127fcecf1651</t>
        </is>
      </c>
      <c r="I256" s="361" t="inlineStr">
        <is>
          <t>https://censorship.kplus.vn/MediaAssets/Asset/3f8bacbd-d5ed-ee11-9144-f40270bf9ea7/StreamPreview</t>
        </is>
      </c>
      <c r="J256" s="361" t="inlineStr">
        <is>
          <t>YES</t>
        </is>
      </c>
      <c r="K256" s="361" t="inlineStr">
        <is>
          <t>Success</t>
        </is>
      </c>
    </row>
    <row r="257">
      <c r="A257" s="361" t="inlineStr">
        <is>
          <t>MOV_ACT_23__2698984</t>
        </is>
      </c>
      <c r="B257" s="361" t="inlineStr">
        <is>
          <t>Dangerous</t>
        </is>
      </c>
      <c r="C257" s="361" t="inlineStr">
        <is>
          <t>Movies</t>
        </is>
      </c>
      <c r="D257" s="361" t="n">
        <v>3</v>
      </c>
      <c r="E257" s="361" t="n">
        <v>2021</v>
      </c>
      <c r="F257" s="361" t="inlineStr">
        <is>
          <t>2023-06-15T00:00:00+07:00</t>
        </is>
      </c>
      <c r="H257" s="361" t="inlineStr">
        <is>
          <t>b33d038f-3a9f-4fe8-9f8b-1b05581edc6f</t>
        </is>
      </c>
      <c r="I257" s="361" t="inlineStr">
        <is>
          <t>https://censorship.kplus.vn/MediaAssets/Asset/800802cc-97f0-ee11-9144-f40270bf9ea7/StreamPreview</t>
        </is>
      </c>
      <c r="J257" s="361" t="inlineStr">
        <is>
          <t>YES</t>
        </is>
      </c>
      <c r="K257" s="361" t="inlineStr">
        <is>
          <t>Success</t>
        </is>
      </c>
    </row>
    <row r="258">
      <c r="A258" s="361" t="inlineStr">
        <is>
          <t>MOV_ACT_22__2686506</t>
        </is>
      </c>
      <c r="B258" s="361" t="inlineStr">
        <is>
          <t>Shock Wave</t>
        </is>
      </c>
      <c r="C258" s="361" t="inlineStr">
        <is>
          <t>Movies</t>
        </is>
      </c>
      <c r="D258" s="361" t="n">
        <v>2</v>
      </c>
      <c r="E258" s="361" t="n">
        <v>2017</v>
      </c>
      <c r="F258" s="361" t="inlineStr">
        <is>
          <t>2022-12-08T00:00:00+07:00</t>
        </is>
      </c>
      <c r="H258" s="361" t="inlineStr">
        <is>
          <t>4e4cb458-f187-4e06-b544-87e2f851630e</t>
        </is>
      </c>
      <c r="I258" s="361" t="inlineStr">
        <is>
          <t>https://censorship.kplus.vn/MediaAssets/Asset/d5ffdcb3-cded-ee11-9144-f40270bf9ea7/StreamPreview</t>
        </is>
      </c>
      <c r="J258" s="361" t="inlineStr">
        <is>
          <t>YES</t>
        </is>
      </c>
      <c r="K258" s="361" t="inlineStr">
        <is>
          <t>Success</t>
        </is>
      </c>
    </row>
    <row r="259">
      <c r="A259" s="361" t="inlineStr">
        <is>
          <t>MOV_DRA_19__2597304</t>
        </is>
      </c>
      <c r="B259" s="361" t="inlineStr">
        <is>
          <t>MY SON WHERE ARE YOU?</t>
        </is>
      </c>
      <c r="C259" s="361" t="inlineStr">
        <is>
          <t>Movies</t>
        </is>
      </c>
      <c r="D259" s="361" t="n">
        <v>2</v>
      </c>
      <c r="E259" s="361" t="n">
        <v>2018</v>
      </c>
      <c r="F259" s="361" t="inlineStr">
        <is>
          <t>2019-06-01T00:00:00+07:00</t>
        </is>
      </c>
      <c r="H259" s="361" t="inlineStr">
        <is>
          <t>8d3505d7-5391-46a1-b7eb-ef9398bf9ab2</t>
        </is>
      </c>
      <c r="I259" s="361" t="inlineStr">
        <is>
          <t>https://censorship.kplus.vn/MediaAssets/Asset/30954923-6dd2-ef11-8593-0c42a12723cb/StreamPreview</t>
        </is>
      </c>
      <c r="J259" s="361" t="inlineStr">
        <is>
          <t>YES</t>
        </is>
      </c>
      <c r="K259" s="361" t="inlineStr">
        <is>
          <t>Success</t>
        </is>
      </c>
    </row>
    <row r="260">
      <c r="A260" s="361" t="inlineStr">
        <is>
          <t>MOV_CRI110</t>
        </is>
      </c>
      <c r="B260" s="361" t="inlineStr">
        <is>
          <t>The Invisible Guest</t>
        </is>
      </c>
      <c r="C260" s="361" t="inlineStr">
        <is>
          <t>Movies</t>
        </is>
      </c>
      <c r="D260" s="361" t="n">
        <v>3</v>
      </c>
      <c r="E260" s="361" t="n">
        <v>2023</v>
      </c>
      <c r="F260" s="361" t="inlineStr">
        <is>
          <t>2025-02-25T00:00:00+07:00</t>
        </is>
      </c>
      <c r="H260" s="361" t="inlineStr">
        <is>
          <t>2b707ac1-0f7e-4424-97ae-d806466c91a3</t>
        </is>
      </c>
      <c r="I260" s="361" t="inlineStr">
        <is>
          <t>https://censorship.kplus.vn/MediaAssets/Asset/eb1f6ff9-d2ff-ef11-8593-0c42a12723cb/StreamPreview</t>
        </is>
      </c>
      <c r="J260" s="361" t="inlineStr">
        <is>
          <t>YES</t>
        </is>
      </c>
      <c r="K260" s="361" t="inlineStr">
        <is>
          <t>Success</t>
        </is>
      </c>
    </row>
    <row r="261">
      <c r="A261" s="361" t="inlineStr">
        <is>
          <t>MOV_DRA_23__2691045</t>
        </is>
      </c>
      <c r="B261" s="361" t="inlineStr">
        <is>
          <t>The personal history of David Copperfield</t>
        </is>
      </c>
      <c r="C261" s="361" t="inlineStr">
        <is>
          <t>Movies</t>
        </is>
      </c>
      <c r="D261" s="361" t="n">
        <v>2</v>
      </c>
      <c r="E261" s="361" t="n">
        <v>2019</v>
      </c>
      <c r="F261" s="361" t="inlineStr">
        <is>
          <t>2023-02-23T00:00:00+07:00</t>
        </is>
      </c>
      <c r="H261" s="361" t="inlineStr">
        <is>
          <t>b7e5cdf9-ad11-4d49-b8f4-014239a8a360</t>
        </is>
      </c>
      <c r="I261" s="361" t="inlineStr">
        <is>
          <t>https://censorship.kplus.vn/MediaAssets/Asset/e53ccc5f-57f8-ee11-9144-f40270bf9ea7/StreamPreview</t>
        </is>
      </c>
      <c r="J261" s="361" t="inlineStr">
        <is>
          <t>YES</t>
        </is>
      </c>
      <c r="K261" s="361" t="inlineStr">
        <is>
          <t>Success</t>
        </is>
      </c>
    </row>
    <row r="262">
      <c r="A262" s="361" t="inlineStr">
        <is>
          <t>MOV_ROM_23__2694716</t>
        </is>
      </c>
      <c r="B262" s="361" t="inlineStr">
        <is>
          <t>Happy ending</t>
        </is>
      </c>
      <c r="C262" s="361" t="inlineStr">
        <is>
          <t>Movies</t>
        </is>
      </c>
      <c r="D262" s="361" t="n">
        <v>2</v>
      </c>
      <c r="E262" s="361" t="n">
        <v>2022</v>
      </c>
      <c r="F262" s="361" t="inlineStr">
        <is>
          <t>2023-04-13T00:00:00+07:00</t>
        </is>
      </c>
      <c r="H262" s="361" t="inlineStr">
        <is>
          <t>f3ba18c9-c7f5-495f-ab0a-4888877e5055</t>
        </is>
      </c>
      <c r="I262" s="361" t="inlineStr">
        <is>
          <t>https://censorship.kplus.vn/MediaAssets/Asset/408f3d2a-3ef0-ee11-9144-f40270bf9ea7/StreamPreview</t>
        </is>
      </c>
      <c r="J262" s="361" t="inlineStr">
        <is>
          <t>YES</t>
        </is>
      </c>
      <c r="K262" s="361" t="inlineStr">
        <is>
          <t>Success</t>
        </is>
      </c>
    </row>
    <row r="263">
      <c r="A263" s="361" t="inlineStr">
        <is>
          <t>MOV_ACT_22__2686508</t>
        </is>
      </c>
      <c r="B263" s="361" t="inlineStr">
        <is>
          <t>Spiritwalker</t>
        </is>
      </c>
      <c r="C263" s="361" t="inlineStr">
        <is>
          <t>Movies</t>
        </is>
      </c>
      <c r="D263" s="361" t="n">
        <v>3</v>
      </c>
      <c r="E263" s="361" t="n">
        <v>2021</v>
      </c>
      <c r="F263" s="361" t="inlineStr">
        <is>
          <t>2022-12-08T00:00:00+07:00</t>
        </is>
      </c>
      <c r="H263" s="361" t="inlineStr">
        <is>
          <t>205c8d72-f8f2-4cf8-b2f8-692392abd10f</t>
        </is>
      </c>
      <c r="I263" s="361" t="inlineStr">
        <is>
          <t>https://censorship.kplus.vn/MediaAssets/Asset/0e997ed0-d5ed-ee11-9144-f40270bf9ea7/StreamPreview</t>
        </is>
      </c>
      <c r="J263" s="361" t="inlineStr">
        <is>
          <t>YES</t>
        </is>
      </c>
      <c r="K263" s="361" t="inlineStr">
        <is>
          <t>Success</t>
        </is>
      </c>
    </row>
    <row r="264">
      <c r="A264" s="361" t="inlineStr">
        <is>
          <t>MOV_DRA_19__2627771</t>
        </is>
      </c>
      <c r="B264" s="361" t="inlineStr">
        <is>
          <t>GOODBYE MOTHER</t>
        </is>
      </c>
      <c r="C264" s="361" t="inlineStr">
        <is>
          <t>Movies</t>
        </is>
      </c>
      <c r="D264" s="361" t="n">
        <v>4</v>
      </c>
      <c r="E264" s="361" t="n">
        <v>2019</v>
      </c>
      <c r="F264" s="361" t="inlineStr">
        <is>
          <t>2020-03-28T00:00:00+07:00</t>
        </is>
      </c>
      <c r="H264" s="361" t="inlineStr">
        <is>
          <t>de1e68d5-024d-421b-96d1-fc97c0f8049e</t>
        </is>
      </c>
      <c r="I264" s="361" t="inlineStr">
        <is>
          <t>https://censorship.kplus.vn/MediaAssets/Asset/a944bd03-45f6-ee11-9144-f40270bf9ea7/StreamPreview</t>
        </is>
      </c>
      <c r="J264" s="361" t="inlineStr">
        <is>
          <t>YES</t>
        </is>
      </c>
      <c r="K264" s="361" t="inlineStr">
        <is>
          <t>Success</t>
        </is>
      </c>
    </row>
    <row r="265">
      <c r="A265" s="361" t="inlineStr">
        <is>
          <t>MOV_DRA__2557492</t>
        </is>
      </c>
      <c r="B265" s="361" t="inlineStr">
        <is>
          <t>Misstress</t>
        </is>
      </c>
      <c r="C265" s="361" t="inlineStr">
        <is>
          <t>Movies</t>
        </is>
      </c>
      <c r="D265" s="361" t="n">
        <v>3</v>
      </c>
      <c r="E265" s="361" t="n">
        <v>2018</v>
      </c>
      <c r="F265" s="361" t="inlineStr">
        <is>
          <t>2018-05-25T00:00:00+07:00</t>
        </is>
      </c>
      <c r="H265" s="361" t="inlineStr">
        <is>
          <t>235a10a7-b2c9-45a8-8bfe-be67da87b24b</t>
        </is>
      </c>
      <c r="I265" s="361" t="inlineStr">
        <is>
          <t>https://censorship.kplus.vn/MediaAssets/Asset/92b5dc18-06ed-ef11-8593-0c42a12723cb/StreamPreview</t>
        </is>
      </c>
      <c r="J265" s="361" t="inlineStr">
        <is>
          <t>YES</t>
        </is>
      </c>
      <c r="K265" s="361" t="inlineStr">
        <is>
          <t>Success</t>
        </is>
      </c>
    </row>
    <row r="266">
      <c r="A266" s="361" t="inlineStr">
        <is>
          <t>MOV_DRA_22__2672129</t>
        </is>
      </c>
      <c r="B266" s="361" t="inlineStr">
        <is>
          <t>Listeners: The Whispering</t>
        </is>
      </c>
      <c r="C266" s="361" t="inlineStr">
        <is>
          <t>Movies</t>
        </is>
      </c>
      <c r="D266" s="361" t="n">
        <v>4</v>
      </c>
      <c r="E266" s="361" t="n">
        <v>2021</v>
      </c>
      <c r="F266" s="361" t="inlineStr">
        <is>
          <t>2022-04-14T00:00:00+07:00</t>
        </is>
      </c>
      <c r="H266" s="361" t="inlineStr">
        <is>
          <t>db3c8ecd-b350-4f96-a1fc-a2f864314fac</t>
        </is>
      </c>
      <c r="I266" s="361" t="inlineStr">
        <is>
          <t>https://censorship.kplus.vn/MediaAssets/Asset/9978d315-a6ec-ee11-9144-f40270bf9ea7/StreamPreview</t>
        </is>
      </c>
      <c r="J266" s="361" t="inlineStr">
        <is>
          <t>YES</t>
        </is>
      </c>
      <c r="K266" s="361" t="inlineStr">
        <is>
          <t>Success</t>
        </is>
      </c>
    </row>
    <row r="267">
      <c r="A267" s="361" t="inlineStr">
        <is>
          <t>MOV_DRA_23__2692573</t>
        </is>
      </c>
      <c r="B267" s="361" t="inlineStr">
        <is>
          <t>The Farewell</t>
        </is>
      </c>
      <c r="C267" s="361" t="inlineStr">
        <is>
          <t>Movies</t>
        </is>
      </c>
      <c r="D267" s="361" t="n">
        <v>2</v>
      </c>
      <c r="E267" s="361" t="n">
        <v>2019</v>
      </c>
      <c r="F267" s="361" t="inlineStr">
        <is>
          <t>2023-03-09T00:00:00+07:00</t>
        </is>
      </c>
      <c r="H267" s="361" t="inlineStr">
        <is>
          <t>278e7df3-1875-4238-aac9-e087ceadeb71</t>
        </is>
      </c>
      <c r="I267" s="361" t="inlineStr">
        <is>
          <t>https://censorship.kplus.vn/MediaAssets/Asset/17c7456b-79f0-ee11-9144-f40270bf9ea7/StreamPreview</t>
        </is>
      </c>
      <c r="J267" s="361" t="inlineStr">
        <is>
          <t>YES</t>
        </is>
      </c>
      <c r="K267" s="361" t="inlineStr">
        <is>
          <t>Success</t>
        </is>
      </c>
    </row>
    <row r="268">
      <c r="A268" s="361" t="inlineStr">
        <is>
          <t>MOV_ANI77</t>
        </is>
      </c>
      <c r="B268" s="361" t="inlineStr">
        <is>
          <t>Leap!</t>
        </is>
      </c>
      <c r="C268" s="361" t="inlineStr">
        <is>
          <t>Movies</t>
        </is>
      </c>
      <c r="D268" s="361" t="n">
        <v>1</v>
      </c>
      <c r="E268" s="361" t="n">
        <v>2016</v>
      </c>
      <c r="F268" s="361" t="inlineStr">
        <is>
          <t>2024-12-11T00:00:00+07:00</t>
        </is>
      </c>
      <c r="H268" s="361" t="inlineStr">
        <is>
          <t>644b7ba0-a06b-47c9-8b97-f4becf1e49e6</t>
        </is>
      </c>
      <c r="I268" s="361" t="inlineStr">
        <is>
          <t>https://censorship.kplus.vn/MediaAssets/Asset/de06e3be-7a5c-f011-8593-0c42a12723cb/StreamPreview</t>
        </is>
      </c>
      <c r="J268" s="361" t="inlineStr">
        <is>
          <t>YES</t>
        </is>
      </c>
      <c r="K268" s="361" t="inlineStr">
        <is>
          <t>Success</t>
        </is>
      </c>
    </row>
    <row r="269">
      <c r="A269" s="361" t="inlineStr">
        <is>
          <t>MOV_ANI80</t>
        </is>
      </c>
      <c r="B269" s="361" t="inlineStr">
        <is>
          <t>Norm of the North: Family Vacation</t>
        </is>
      </c>
      <c r="C269" s="361" t="inlineStr">
        <is>
          <t>Movies</t>
        </is>
      </c>
      <c r="D269" s="361" t="n">
        <v>1</v>
      </c>
      <c r="E269" s="361" t="n">
        <v>2020</v>
      </c>
      <c r="F269" s="361" t="inlineStr">
        <is>
          <t>2024-12-11T00:00:00+07:00</t>
        </is>
      </c>
      <c r="H269" s="361" t="inlineStr">
        <is>
          <t>ecdeee11-5925-431f-9cef-3325c34d2ca5</t>
        </is>
      </c>
      <c r="I269" s="361" t="inlineStr">
        <is>
          <t>https://censorship.kplus.vn/MediaAssets/Asset/1b1c48ff-2d19-f011-8593-0c42a12723cb/StreamPreview</t>
        </is>
      </c>
      <c r="J269" s="361" t="inlineStr">
        <is>
          <t>YES</t>
        </is>
      </c>
      <c r="K269" s="361" t="inlineStr">
        <is>
          <t>Success</t>
        </is>
      </c>
    </row>
    <row r="270">
      <c r="A270" s="361" t="inlineStr">
        <is>
          <t>MOV_ACT592</t>
        </is>
      </c>
      <c r="B270" s="361" t="inlineStr">
        <is>
          <t>Weekend in Taipei</t>
        </is>
      </c>
      <c r="C270" s="361" t="inlineStr">
        <is>
          <t>Movies</t>
        </is>
      </c>
      <c r="D270" s="361" t="n">
        <v>4</v>
      </c>
      <c r="E270" s="361" t="n">
        <v>2024</v>
      </c>
      <c r="F270" s="361" t="inlineStr">
        <is>
          <t>2024-12-11T00:00:00+07:00</t>
        </is>
      </c>
      <c r="H270" s="361" t="inlineStr">
        <is>
          <t>badfdeb9-d228-405e-bd2f-941a9c4ec70b</t>
        </is>
      </c>
      <c r="I270" s="361" t="inlineStr">
        <is>
          <t>https://censorship.kplus.vn/MediaAssets/Asset/616063c8-c262-f011-8593-0c42a12723cb/StreamPreview</t>
        </is>
      </c>
      <c r="J270" s="361" t="inlineStr">
        <is>
          <t>YES</t>
        </is>
      </c>
      <c r="K270" s="361" t="inlineStr">
        <is>
          <t>Success</t>
        </is>
      </c>
    </row>
    <row r="271">
      <c r="A271" s="361" t="inlineStr">
        <is>
          <t>MOV_DRA747</t>
        </is>
      </c>
      <c r="B271" s="361" t="inlineStr">
        <is>
          <t>Heart’s motive</t>
        </is>
      </c>
      <c r="C271" s="361" t="inlineStr">
        <is>
          <t>Movies</t>
        </is>
      </c>
      <c r="D271" s="361" t="n">
        <v>3</v>
      </c>
      <c r="E271" s="361" t="n">
        <v>2023</v>
      </c>
      <c r="F271" s="361" t="inlineStr">
        <is>
          <t>2025-02-05T00:00:00+07:00</t>
        </is>
      </c>
      <c r="H271" s="361" t="inlineStr">
        <is>
          <t>160cd8a0-bbef-4d84-b352-6da8f6a1987b</t>
        </is>
      </c>
      <c r="I271" s="361" t="inlineStr">
        <is>
          <t>https://censorship.kplus.vn/MediaAssets/Asset/57493ed4-ca6d-f011-8593-0c42a12723cb/StreamPreview</t>
        </is>
      </c>
      <c r="J271" s="361" t="inlineStr">
        <is>
          <t>YES</t>
        </is>
      </c>
      <c r="K271" s="361" t="inlineStr">
        <is>
          <t>Success</t>
        </is>
      </c>
    </row>
    <row r="272">
      <c r="A272" s="361" t="inlineStr">
        <is>
          <t>MOV_SCI21</t>
        </is>
      </c>
      <c r="B272" s="361" t="inlineStr">
        <is>
          <t>Moon man</t>
        </is>
      </c>
      <c r="C272" s="361" t="inlineStr">
        <is>
          <t>Movies</t>
        </is>
      </c>
      <c r="D272" s="361" t="n">
        <v>5</v>
      </c>
      <c r="E272" s="361" t="n">
        <v>2022</v>
      </c>
      <c r="F272" s="361" t="inlineStr">
        <is>
          <t>2025-04-02T00:00:00+07:00</t>
        </is>
      </c>
      <c r="H272" s="361" t="inlineStr">
        <is>
          <t>802313b2-733e-49e0-9c16-b0a1574bf3b9</t>
        </is>
      </c>
      <c r="I272" s="361" t="inlineStr">
        <is>
          <t>https://censorship.kplus.vn/MediaAssets/Asset/9711dbe1-f46d-f011-8593-0c42a12723cb/StreamPreview</t>
        </is>
      </c>
      <c r="J272" s="361" t="inlineStr">
        <is>
          <t>YES</t>
        </is>
      </c>
      <c r="K272" s="361" t="inlineStr">
        <is>
          <t>Success</t>
        </is>
      </c>
    </row>
    <row r="273">
      <c r="A273" s="361" t="inlineStr">
        <is>
          <t>MOV_SPO7</t>
        </is>
      </c>
      <c r="B273" s="361" t="inlineStr">
        <is>
          <t>Lose to Win</t>
        </is>
      </c>
      <c r="C273" s="361" t="inlineStr">
        <is>
          <t>Movies</t>
        </is>
      </c>
      <c r="D273" s="361" t="n">
        <v>1</v>
      </c>
      <c r="E273" s="361" t="n">
        <v>2023</v>
      </c>
      <c r="F273" s="361" t="inlineStr">
        <is>
          <t>2025-08-27T00:00:00+07:00</t>
        </is>
      </c>
      <c r="H273" s="361" t="inlineStr">
        <is>
          <t>fa517d93-afe2-47ab-b7b7-2ff7d7423641</t>
        </is>
      </c>
      <c r="I273" s="361" t="inlineStr">
        <is>
          <t>https://censorship.kplus.vn/MediaAssets/Asset/4827b279-7a35-f011-8593-0c42a12723cb/StreamPreview</t>
        </is>
      </c>
      <c r="J273" s="361" t="inlineStr">
        <is>
          <t>YES</t>
        </is>
      </c>
      <c r="K273" s="361" t="inlineStr">
        <is>
          <t>Success</t>
        </is>
      </c>
    </row>
    <row r="274">
      <c r="A274" s="361" t="inlineStr">
        <is>
          <t>MOV_DRA748</t>
        </is>
      </c>
      <c r="B274" s="361" t="inlineStr">
        <is>
          <t>Hi mom</t>
        </is>
      </c>
      <c r="C274" s="361" t="inlineStr">
        <is>
          <t>Movies</t>
        </is>
      </c>
      <c r="D274" s="361" t="n">
        <v>2</v>
      </c>
      <c r="E274" s="361" t="n">
        <v>2021</v>
      </c>
      <c r="F274" s="361" t="inlineStr">
        <is>
          <t>2025-02-05T00:00:00+07:00</t>
        </is>
      </c>
      <c r="H274" s="361" t="inlineStr">
        <is>
          <t>d06f0c4a-6eb0-49ae-9e0d-9d84f18ca8fe</t>
        </is>
      </c>
      <c r="I274" s="361" t="inlineStr">
        <is>
          <t>https://censorship.kplus.vn/MediaAssets/Asset/75045f15-9781-f011-8593-0c42a12723cb/StreamPreview</t>
        </is>
      </c>
      <c r="J274" s="361" t="inlineStr">
        <is>
          <t>YES</t>
        </is>
      </c>
      <c r="K274" s="361" t="inlineStr">
        <is>
          <t>Success</t>
        </is>
      </c>
    </row>
    <row r="275">
      <c r="A275" s="361" t="inlineStr">
        <is>
          <t>MOV_ACT599</t>
        </is>
      </c>
      <c r="B275" s="361" t="inlineStr">
        <is>
          <t>The Protégé</t>
        </is>
      </c>
      <c r="C275" s="361" t="inlineStr">
        <is>
          <t>Movies</t>
        </is>
      </c>
      <c r="D275" s="361" t="n">
        <v>3</v>
      </c>
      <c r="E275" s="361" t="n">
        <v>2021</v>
      </c>
      <c r="F275" s="361" t="inlineStr">
        <is>
          <t>2024-12-28T00:00:00+07:00</t>
        </is>
      </c>
      <c r="H275" s="361" t="inlineStr">
        <is>
          <t>c21cdef7-baed-4b19-8d97-6b8408be7290</t>
        </is>
      </c>
      <c r="I275" s="361" t="inlineStr">
        <is>
          <t>https://censorship.kplus.vn/MediaAssets/Asset/f55cd74b-12e5-ef11-8593-0c42a12723cb/StreamPreview</t>
        </is>
      </c>
      <c r="J275" s="361" t="inlineStr">
        <is>
          <t>YES</t>
        </is>
      </c>
      <c r="K275" s="361" t="inlineStr">
        <is>
          <t>Success</t>
        </is>
      </c>
    </row>
    <row r="276">
      <c r="A276" s="361" t="inlineStr">
        <is>
          <t>MOV_FAN29</t>
        </is>
      </c>
      <c r="B276" s="361" t="inlineStr">
        <is>
          <t>Gretel and Hansel</t>
        </is>
      </c>
      <c r="C276" s="361" t="inlineStr">
        <is>
          <t>Movies</t>
        </is>
      </c>
      <c r="D276" s="361" t="n">
        <v>2</v>
      </c>
      <c r="E276" s="361" t="n">
        <v>2020</v>
      </c>
      <c r="F276" s="361" t="inlineStr">
        <is>
          <t>2025-06-06T00:00:00+07:00</t>
        </is>
      </c>
      <c r="H276" s="361" t="inlineStr">
        <is>
          <t>52a66116-b411-431b-9ea3-428a39c8c87d</t>
        </is>
      </c>
      <c r="I276" s="361" t="inlineStr">
        <is>
          <t>https://censorship.kplus.vn/MediaAssets/Asset/da07cd5d-0350-f011-8593-0c42a12723cb/StreamPreview</t>
        </is>
      </c>
      <c r="J276" s="361" t="inlineStr">
        <is>
          <t>YES</t>
        </is>
      </c>
      <c r="K276" s="361" t="inlineStr">
        <is>
          <t>Success</t>
        </is>
      </c>
    </row>
    <row r="277">
      <c r="A277" s="361" t="inlineStr">
        <is>
          <t>MOV_DRA758</t>
        </is>
      </c>
      <c r="B277" s="361" t="inlineStr">
        <is>
          <t>Murder In the Lens</t>
        </is>
      </c>
      <c r="C277" s="361" t="inlineStr">
        <is>
          <t>Movies</t>
        </is>
      </c>
      <c r="D277" s="361" t="n">
        <v>4</v>
      </c>
      <c r="E277" s="361" t="n">
        <v>2018</v>
      </c>
      <c r="F277" s="361" t="inlineStr">
        <is>
          <t>2025-04-22T00:00:00+07:00</t>
        </is>
      </c>
      <c r="H277" s="361" t="inlineStr">
        <is>
          <t>44be691d-9c7c-4f3b-be73-ccffa4f12f9b</t>
        </is>
      </c>
      <c r="I277" s="361" t="inlineStr">
        <is>
          <t>https://censorship.kplus.vn/MediaAssets/Asset/11119240-2020-f011-8593-0c42a12723cb/StreamPreview</t>
        </is>
      </c>
      <c r="J277" s="361" t="inlineStr">
        <is>
          <t>YES</t>
        </is>
      </c>
      <c r="K277" s="361" t="inlineStr">
        <is>
          <t>Success</t>
        </is>
      </c>
    </row>
    <row r="278">
      <c r="A278" s="361" t="inlineStr">
        <is>
          <t>MOV_DRA755</t>
        </is>
      </c>
      <c r="B278" s="361" t="inlineStr">
        <is>
          <t>A Dog's Journey</t>
        </is>
      </c>
      <c r="C278" s="361" t="inlineStr">
        <is>
          <t>Movies</t>
        </is>
      </c>
      <c r="D278" s="361" t="n">
        <v>1</v>
      </c>
      <c r="E278" s="361" t="n">
        <v>2019</v>
      </c>
      <c r="F278" s="361" t="inlineStr">
        <is>
          <t>2025-03-21T00:00:00+07:00</t>
        </is>
      </c>
      <c r="H278" s="361" t="inlineStr">
        <is>
          <t>208ffc19-423b-45f3-bc59-415868997adf</t>
        </is>
      </c>
      <c r="I278" s="361" t="inlineStr">
        <is>
          <t>https://censorship.kplus.vn/MediaAssets/Asset/e5572594-846e-f011-8593-0c42a12723cb/StreamPreview</t>
        </is>
      </c>
      <c r="J278" s="361" t="inlineStr">
        <is>
          <t>YES</t>
        </is>
      </c>
      <c r="K278" s="361" t="inlineStr">
        <is>
          <t>Success</t>
        </is>
      </c>
    </row>
    <row r="279">
      <c r="A279" s="361" t="inlineStr">
        <is>
          <t>MOV_ANI85</t>
        </is>
      </c>
      <c r="B279" s="361" t="inlineStr">
        <is>
          <t>Little Eggs: A Frozen Rescue</t>
        </is>
      </c>
      <c r="C279" s="361" t="inlineStr">
        <is>
          <t>Movies</t>
        </is>
      </c>
      <c r="D279" s="361" t="n">
        <v>1</v>
      </c>
      <c r="E279" s="361" t="n">
        <v>2022</v>
      </c>
      <c r="F279" s="361" t="inlineStr">
        <is>
          <t>2025-03-21T00:00:00+07:00</t>
        </is>
      </c>
      <c r="H279" s="361" t="inlineStr">
        <is>
          <t>73c59328-9dc9-40a5-9458-256ccd935bb8</t>
        </is>
      </c>
      <c r="I279" s="361" t="inlineStr">
        <is>
          <t>https://censorship.kplus.vn/MediaAssets/Asset/d4eeb4f7-6905-f011-8593-0c42a12723cb/StreamPreview</t>
        </is>
      </c>
      <c r="J279" s="361" t="inlineStr">
        <is>
          <t>YES</t>
        </is>
      </c>
      <c r="K279" s="361" t="inlineStr">
        <is>
          <t>Success</t>
        </is>
      </c>
    </row>
    <row r="280">
      <c r="A280" s="361" t="inlineStr">
        <is>
          <t>MOV_COM295</t>
        </is>
      </c>
      <c r="B280" s="361" t="inlineStr">
        <is>
          <t>The good house</t>
        </is>
      </c>
      <c r="C280" s="361" t="inlineStr">
        <is>
          <t>Movies</t>
        </is>
      </c>
      <c r="D280" s="361" t="n">
        <v>3</v>
      </c>
      <c r="E280" s="361" t="n">
        <v>2021</v>
      </c>
      <c r="F280" s="361" t="inlineStr">
        <is>
          <t>2025-03-21T00:00:00+07:00</t>
        </is>
      </c>
      <c r="H280" s="361" t="inlineStr">
        <is>
          <t>dd1756ee-1c48-4830-855f-c679e444ab70</t>
        </is>
      </c>
      <c r="I280" s="361" t="inlineStr">
        <is>
          <t>https://censorship.kplus.vn/MediaAssets/Asset/7de41432-13cc-f011-8593-0c42a12723cb/StreamPreview</t>
        </is>
      </c>
      <c r="J280" s="361" t="inlineStr">
        <is>
          <t>YES</t>
        </is>
      </c>
      <c r="K280" s="361" t="inlineStr">
        <is>
          <t>Success</t>
        </is>
      </c>
    </row>
    <row r="281">
      <c r="A281" s="361" t="inlineStr">
        <is>
          <t>MOV_ACT612</t>
        </is>
      </c>
      <c r="B281" s="361" t="inlineStr">
        <is>
          <t>Spider-Man (2002)</t>
        </is>
      </c>
      <c r="C281" s="361" t="inlineStr">
        <is>
          <t>Movies</t>
        </is>
      </c>
      <c r="D281" s="361" t="n">
        <v>2</v>
      </c>
      <c r="E281" s="361" t="n">
        <v>2002</v>
      </c>
      <c r="F281" s="361" t="inlineStr">
        <is>
          <t>2025-04-18T00:00:00+07:00</t>
        </is>
      </c>
      <c r="H281" s="361" t="inlineStr">
        <is>
          <t>e60c6ade-1f99-464d-9d0d-3c45e11f4afb</t>
        </is>
      </c>
      <c r="I281" s="361" t="inlineStr">
        <is>
          <t>https://censorship.kplus.vn/MediaAssets/Asset/2183a145-973b-f011-8593-0c42a12723cb/StreamPreview</t>
        </is>
      </c>
      <c r="J281" s="361" t="inlineStr">
        <is>
          <t>YES</t>
        </is>
      </c>
      <c r="K281" s="361" t="inlineStr">
        <is>
          <t>Success</t>
        </is>
      </c>
    </row>
    <row r="282">
      <c r="A282" s="361" t="inlineStr">
        <is>
          <t>MOV_ACT613</t>
        </is>
      </c>
      <c r="B282" s="361" t="inlineStr">
        <is>
          <t>Spider-Man 3 (2007)</t>
        </is>
      </c>
      <c r="C282" s="361" t="inlineStr">
        <is>
          <t>Movies</t>
        </is>
      </c>
      <c r="D282" s="361" t="n">
        <v>5</v>
      </c>
      <c r="E282" s="361" t="n">
        <v>2007</v>
      </c>
      <c r="F282" s="361" t="inlineStr">
        <is>
          <t>2025-04-18T00:00:00+07:00</t>
        </is>
      </c>
      <c r="H282" s="361" t="inlineStr">
        <is>
          <t>2a590cf2-be0c-4783-b5f6-d8295a9dda96</t>
        </is>
      </c>
      <c r="I282" s="361" t="inlineStr">
        <is>
          <t>https://censorship.kplus.vn/MediaAssets/Asset/7e513122-3856-f011-8593-0c42a12723cb/StreamPreview</t>
        </is>
      </c>
      <c r="J282" s="361" t="inlineStr">
        <is>
          <t>YES</t>
        </is>
      </c>
      <c r="K282" s="361" t="inlineStr">
        <is>
          <t>Success</t>
        </is>
      </c>
    </row>
    <row r="283">
      <c r="A283" s="361" t="inlineStr">
        <is>
          <t>MOV_ACT614</t>
        </is>
      </c>
      <c r="B283" s="361" t="inlineStr">
        <is>
          <t>Spider-Man: No way home</t>
        </is>
      </c>
      <c r="C283" s="361" t="inlineStr">
        <is>
          <t>Movies</t>
        </is>
      </c>
      <c r="D283" s="361" t="n">
        <v>2</v>
      </c>
      <c r="E283" s="361" t="n">
        <v>2021</v>
      </c>
      <c r="F283" s="361" t="inlineStr">
        <is>
          <t>2025-04-18T00:00:00+07:00</t>
        </is>
      </c>
      <c r="H283" s="361" t="inlineStr">
        <is>
          <t>3ae0073b-287f-4862-9ef9-916706956229</t>
        </is>
      </c>
      <c r="I283" s="361" t="inlineStr">
        <is>
          <t>https://censorship.kplus.vn/MediaAssets/Asset/1e302a56-df5b-f011-8593-0c42a12723cb/StreamPreview</t>
        </is>
      </c>
      <c r="J283" s="361" t="inlineStr">
        <is>
          <t>YES</t>
        </is>
      </c>
      <c r="K283" s="361" t="inlineStr">
        <is>
          <t>Success</t>
        </is>
      </c>
    </row>
    <row r="284">
      <c r="A284" s="361" t="inlineStr">
        <is>
          <t>MOV_ACT616</t>
        </is>
      </c>
      <c r="B284" s="361" t="inlineStr">
        <is>
          <t>Don't Breathe 2</t>
        </is>
      </c>
      <c r="C284" s="361" t="inlineStr">
        <is>
          <t>Movies</t>
        </is>
      </c>
      <c r="D284" s="361" t="n">
        <v>3</v>
      </c>
      <c r="E284" s="361" t="n">
        <v>2021</v>
      </c>
      <c r="F284" s="361" t="inlineStr">
        <is>
          <t>2025-05-29T00:00:00+07:00</t>
        </is>
      </c>
      <c r="H284" s="361" t="inlineStr">
        <is>
          <t>f24e1c36-409d-4305-bd74-719e7d5c62a5</t>
        </is>
      </c>
      <c r="I284" s="361" t="inlineStr">
        <is>
          <t>https://censorship.kplus.vn/MediaAssets/Asset/e9f9030f-e857-f011-8593-0c42a12723cb/StreamPreview</t>
        </is>
      </c>
      <c r="J284" s="361" t="inlineStr">
        <is>
          <t>YES</t>
        </is>
      </c>
      <c r="K284" s="361" t="inlineStr">
        <is>
          <t>Success</t>
        </is>
      </c>
    </row>
    <row r="285">
      <c r="A285" s="361" t="inlineStr">
        <is>
          <t>MOV_ANI88</t>
        </is>
      </c>
      <c r="B285" s="361" t="inlineStr">
        <is>
          <t>Peter Rabbit</t>
        </is>
      </c>
      <c r="C285" s="361" t="inlineStr">
        <is>
          <t>Movies</t>
        </is>
      </c>
      <c r="D285" s="361" t="n">
        <v>1</v>
      </c>
      <c r="E285" s="361" t="n">
        <v>2018</v>
      </c>
      <c r="F285" s="361" t="inlineStr">
        <is>
          <t>2025-04-18T00:00:00+07:00</t>
        </is>
      </c>
      <c r="H285" s="361" t="inlineStr">
        <is>
          <t>0ce952bd-6b43-405a-a9e1-7e6a176a9ec4</t>
        </is>
      </c>
      <c r="I285" s="361" t="inlineStr">
        <is>
          <t>https://censorship.kplus.vn/MediaAssets/Asset/ee7982d0-0050-f011-8593-0c42a12723cb/StreamPreview</t>
        </is>
      </c>
      <c r="J285" s="361" t="inlineStr">
        <is>
          <t>YES</t>
        </is>
      </c>
      <c r="K285" s="361" t="inlineStr">
        <is>
          <t>Success</t>
        </is>
      </c>
    </row>
    <row r="286">
      <c r="A286" s="361" t="inlineStr">
        <is>
          <t>MOV_COM296</t>
        </is>
      </c>
      <c r="B286" s="361" t="inlineStr">
        <is>
          <t>Grown up 2</t>
        </is>
      </c>
      <c r="C286" s="361" t="inlineStr">
        <is>
          <t>Movies</t>
        </is>
      </c>
      <c r="D286" s="361" t="n">
        <v>3</v>
      </c>
      <c r="E286" s="361" t="n">
        <v>2013</v>
      </c>
      <c r="F286" s="361" t="inlineStr">
        <is>
          <t>2025-05-29T00:00:00+07:00</t>
        </is>
      </c>
      <c r="H286" s="361" t="inlineStr">
        <is>
          <t>94123805-85bd-41ed-8aa3-87a61aed7e4b</t>
        </is>
      </c>
      <c r="I286" s="361" t="inlineStr">
        <is>
          <t>https://censorship.kplus.vn/MediaAssets/Asset/124fbf73-c96d-f011-8593-0c42a12723cb/StreamPreview</t>
        </is>
      </c>
      <c r="J286" s="361" t="inlineStr">
        <is>
          <t>YES</t>
        </is>
      </c>
      <c r="K286" s="361" t="inlineStr">
        <is>
          <t>Success</t>
        </is>
      </c>
    </row>
    <row r="287">
      <c r="A287" s="361" t="inlineStr">
        <is>
          <t>MOV_COM299</t>
        </is>
      </c>
      <c r="B287" s="361" t="inlineStr">
        <is>
          <t>BAD TEACHER</t>
        </is>
      </c>
      <c r="C287" s="361" t="inlineStr">
        <is>
          <t>Movies</t>
        </is>
      </c>
      <c r="D287" s="361" t="n">
        <v>4</v>
      </c>
      <c r="E287" s="361" t="n">
        <v>2011</v>
      </c>
      <c r="F287" s="361" t="inlineStr">
        <is>
          <t>2025-06-20T00:00:00+07:00</t>
        </is>
      </c>
      <c r="H287" s="361" t="inlineStr">
        <is>
          <t>69a3bb7f-ad26-4e56-b753-e62e113bcac2</t>
        </is>
      </c>
      <c r="I287" s="361" t="inlineStr">
        <is>
          <t>https://censorship.kplus.vn/MediaAssets/Asset/7dc40b96-7c7d-f011-8593-0c42a12723cb/StreamPreview</t>
        </is>
      </c>
      <c r="J287" s="361" t="inlineStr">
        <is>
          <t>YES</t>
        </is>
      </c>
      <c r="K287" s="361" t="inlineStr">
        <is>
          <t>Success</t>
        </is>
      </c>
    </row>
    <row r="288">
      <c r="A288" s="361" t="inlineStr">
        <is>
          <t>MOV_DRA760</t>
        </is>
      </c>
      <c r="B288" s="361" t="inlineStr">
        <is>
          <t>ARE YOU THERE GOD? IT'S ME MARGARET</t>
        </is>
      </c>
      <c r="C288" s="361" t="inlineStr">
        <is>
          <t>Movies</t>
        </is>
      </c>
      <c r="D288" s="361" t="n">
        <v>2</v>
      </c>
      <c r="E288" s="361" t="n">
        <v>2023</v>
      </c>
      <c r="F288" s="361" t="inlineStr">
        <is>
          <t>2025-06-25T00:00:00+07:00</t>
        </is>
      </c>
      <c r="H288" s="361" t="inlineStr">
        <is>
          <t>f3661bc8-4327-4462-9342-c79a26853a13</t>
        </is>
      </c>
      <c r="I288" s="361" t="inlineStr">
        <is>
          <t>https://censorship.kplus.vn/MediaAssets/Asset/a834e697-157f-f011-8593-0c42a12723cb/StreamPreview</t>
        </is>
      </c>
      <c r="J288" s="361" t="inlineStr">
        <is>
          <t>YES</t>
        </is>
      </c>
      <c r="K288" s="361" t="inlineStr">
        <is>
          <t>Success</t>
        </is>
      </c>
    </row>
    <row r="289">
      <c r="A289" s="361" t="inlineStr">
        <is>
          <t>MOV_ACT621</t>
        </is>
      </c>
      <c r="B289" s="361" t="inlineStr">
        <is>
          <t>THE DA VINCI CODE</t>
        </is>
      </c>
      <c r="C289" s="361" t="inlineStr">
        <is>
          <t>Movies</t>
        </is>
      </c>
      <c r="D289" s="361" t="n">
        <v>3</v>
      </c>
      <c r="E289" s="361" t="n">
        <v>2006</v>
      </c>
      <c r="F289" s="361" t="inlineStr">
        <is>
          <t>2025-06-28T00:00:00+07:00</t>
        </is>
      </c>
      <c r="H289" s="361" t="inlineStr">
        <is>
          <t>cf1810c9-6df0-4b20-8a4c-4ef048978004</t>
        </is>
      </c>
      <c r="I289" s="361" t="inlineStr">
        <is>
          <t>https://censorship.kplus.vn/MediaAssets/Asset/171dc76b-4289-f011-8593-0c42a12723cb/StreamPreview</t>
        </is>
      </c>
      <c r="J289" s="361" t="inlineStr">
        <is>
          <t>YES</t>
        </is>
      </c>
      <c r="K289" s="361" t="inlineStr">
        <is>
          <t>Success</t>
        </is>
      </c>
    </row>
    <row r="290">
      <c r="A290" s="361" t="inlineStr">
        <is>
          <t>MOV_HOR75</t>
        </is>
      </c>
      <c r="B290" s="361" t="inlineStr">
        <is>
          <t>ESCAPE ROOM</t>
        </is>
      </c>
      <c r="C290" s="361" t="inlineStr">
        <is>
          <t>Movies</t>
        </is>
      </c>
      <c r="D290" s="361" t="n">
        <v>3</v>
      </c>
      <c r="E290" s="361" t="n">
        <v>2019</v>
      </c>
      <c r="F290" s="361" t="inlineStr">
        <is>
          <t>2025-06-25T00:00:00+07:00</t>
        </is>
      </c>
      <c r="H290" s="361" t="inlineStr">
        <is>
          <t>fe6d4bd8-68ca-4b8d-abde-51c5faf7dd54</t>
        </is>
      </c>
      <c r="I290" s="361" t="inlineStr">
        <is>
          <t>https://censorship.kplus.vn/MediaAssets/Asset/3977189c-bc83-f011-8593-0c42a12723cb/StreamPreview</t>
        </is>
      </c>
      <c r="J290" s="361" t="inlineStr">
        <is>
          <t>YES</t>
        </is>
      </c>
      <c r="K290" s="361" t="inlineStr">
        <is>
          <t>Success</t>
        </is>
      </c>
    </row>
    <row r="291">
      <c r="A291" s="361" t="inlineStr">
        <is>
          <t>MOV_HOR76</t>
        </is>
      </c>
      <c r="B291" s="361" t="inlineStr">
        <is>
          <t>ESCAPE ROOM: TOURNAMENT OF CHAMPIONS</t>
        </is>
      </c>
      <c r="C291" s="361" t="inlineStr">
        <is>
          <t>Movies</t>
        </is>
      </c>
      <c r="D291" s="361" t="n">
        <v>2</v>
      </c>
      <c r="E291" s="361" t="n">
        <v>2021</v>
      </c>
      <c r="F291" s="361" t="inlineStr">
        <is>
          <t>2025-07-10T00:00:00+07:00</t>
        </is>
      </c>
      <c r="H291" s="361" t="inlineStr">
        <is>
          <t>84120fe5-f22e-47dd-957e-449a351f02c7</t>
        </is>
      </c>
      <c r="I291" s="361" t="inlineStr">
        <is>
          <t>https://censorship.kplus.vn/MediaAssets/Asset/52a2bccb-3774-f011-8593-0c42a12723cb/StreamPreview</t>
        </is>
      </c>
      <c r="J291" s="361" t="inlineStr">
        <is>
          <t>YES</t>
        </is>
      </c>
      <c r="K291" s="361" t="inlineStr">
        <is>
          <t>Success</t>
        </is>
      </c>
    </row>
    <row r="292">
      <c r="A292" s="361" t="inlineStr">
        <is>
          <t>MOV_ANI91</t>
        </is>
      </c>
      <c r="B292" s="361" t="inlineStr">
        <is>
          <t>The Angry Birds Movie 2</t>
        </is>
      </c>
      <c r="C292" s="361" t="inlineStr">
        <is>
          <t>Movies</t>
        </is>
      </c>
      <c r="D292" s="361" t="n">
        <v>1</v>
      </c>
      <c r="E292" s="361" t="n">
        <v>2019</v>
      </c>
      <c r="F292" s="361" t="inlineStr">
        <is>
          <t>2025-06-27T00:00:00+07:00</t>
        </is>
      </c>
      <c r="H292" s="361" t="inlineStr">
        <is>
          <t>0cf1df22-9bb0-445b-8c26-1469c95ba70c</t>
        </is>
      </c>
      <c r="I292" s="361" t="inlineStr">
        <is>
          <t>https://censorship.kplus.vn/MediaAssets/Asset/99993bb2-7952-f011-8593-0c42a12723cb/StreamPreview</t>
        </is>
      </c>
      <c r="J292" s="361" t="inlineStr">
        <is>
          <t>YES</t>
        </is>
      </c>
      <c r="K292" s="361" t="inlineStr">
        <is>
          <t>Success</t>
        </is>
      </c>
    </row>
    <row r="293">
      <c r="A293" s="361" t="inlineStr">
        <is>
          <t>MOV_ACT620</t>
        </is>
      </c>
      <c r="B293" s="361" t="n">
        <v>2012</v>
      </c>
      <c r="C293" s="361" t="inlineStr">
        <is>
          <t>Movies</t>
        </is>
      </c>
      <c r="D293" s="361" t="n">
        <v>3</v>
      </c>
      <c r="E293" s="361" t="n">
        <v>2009</v>
      </c>
      <c r="F293" s="361" t="inlineStr">
        <is>
          <t>2025-06-20T00:00:00+07:00</t>
        </is>
      </c>
      <c r="H293" s="362" t="inlineStr">
        <is>
          <t>9e656c53-8611-4737-9dcc-35faa2c9e615</t>
        </is>
      </c>
      <c r="I293" s="361" t="inlineStr">
        <is>
          <t>https://censorship.kplus.vn/MediaAssets/Asset/e19e5295-d97c-f011-8593-0c42a12723cb/StreamPreview</t>
        </is>
      </c>
      <c r="J293" s="361" t="inlineStr">
        <is>
          <t>YES</t>
        </is>
      </c>
      <c r="K293" s="361" t="inlineStr">
        <is>
          <t>Success</t>
        </is>
      </c>
    </row>
    <row r="294">
      <c r="A294" s="361" t="inlineStr">
        <is>
          <t>MOV_ANI89</t>
        </is>
      </c>
      <c r="B294" s="361" t="inlineStr">
        <is>
          <t>Madagascar: Escape 2 Africa</t>
        </is>
      </c>
      <c r="C294" s="361" t="inlineStr">
        <is>
          <t>Movies</t>
        </is>
      </c>
      <c r="D294" s="361" t="n">
        <v>1</v>
      </c>
      <c r="F294" s="361" t="inlineStr">
        <is>
          <t>2025-05-06T00:00:00+07:00</t>
        </is>
      </c>
      <c r="H294" s="361" t="inlineStr">
        <is>
          <t>e686159d-62a8-4ce7-8ce5-6d35b38f795d</t>
        </is>
      </c>
      <c r="I294" s="361" t="inlineStr">
        <is>
          <t>https://censorship.kplus.vn/MediaAssets/Asset/1de35776-7d53-f011-8593-0c42a12723cb/StreamPreview</t>
        </is>
      </c>
      <c r="J294" s="361" t="inlineStr">
        <is>
          <t>YES</t>
        </is>
      </c>
      <c r="K294" s="361" t="inlineStr">
        <is>
          <t>Success</t>
        </is>
      </c>
    </row>
    <row r="295">
      <c r="A295" s="361" t="inlineStr">
        <is>
          <t>MOV_COM297</t>
        </is>
      </c>
      <c r="B295" s="361" t="inlineStr">
        <is>
          <t>Blockers</t>
        </is>
      </c>
      <c r="C295" s="361" t="inlineStr">
        <is>
          <t>Movies</t>
        </is>
      </c>
      <c r="D295" s="361" t="n">
        <v>3</v>
      </c>
      <c r="E295" s="361" t="n">
        <v>2018</v>
      </c>
      <c r="F295" s="361" t="inlineStr">
        <is>
          <t>2025-05-29T00:00:00+07:00</t>
        </is>
      </c>
      <c r="H295" s="361" t="inlineStr">
        <is>
          <t>8658f63a-4f0e-4f8c-8c21-7bf5715db1bf</t>
        </is>
      </c>
      <c r="I295" s="361" t="inlineStr">
        <is>
          <t>https://censorship.kplus.vn/MediaAssets/Asset/c6f1d429-b57c-f011-8593-0c42a12723cb/StreamPreview</t>
        </is>
      </c>
      <c r="J295" s="361" t="inlineStr">
        <is>
          <t>YES</t>
        </is>
      </c>
      <c r="K295" s="361" t="inlineStr">
        <is>
          <t>Success</t>
        </is>
      </c>
    </row>
    <row r="296">
      <c r="A296" s="361" t="inlineStr">
        <is>
          <t>MOV_KID9</t>
        </is>
      </c>
      <c r="B296" s="361" t="inlineStr">
        <is>
          <t>The Super Mario Bros. Movie</t>
        </is>
      </c>
      <c r="C296" s="361" t="inlineStr">
        <is>
          <t>Movies</t>
        </is>
      </c>
      <c r="D296" s="361" t="n">
        <v>1</v>
      </c>
      <c r="E296" s="361" t="n">
        <v>2023</v>
      </c>
      <c r="F296" s="361" t="inlineStr">
        <is>
          <t>2025-05-29T00:00:00+07:00</t>
        </is>
      </c>
      <c r="H296" s="361" t="inlineStr">
        <is>
          <t>40dc9816-3e9f-438a-ac53-8c80546e8576</t>
        </is>
      </c>
      <c r="I296" s="361" t="inlineStr">
        <is>
          <t>https://censorship.kplus.vn/MediaAssets/Asset/403cea70-a87c-f011-8593-0c42a12723cb/StreamPreview</t>
        </is>
      </c>
      <c r="J296" s="361" t="inlineStr">
        <is>
          <t>YES</t>
        </is>
      </c>
      <c r="K296" s="361" t="inlineStr">
        <is>
          <t>Success</t>
        </is>
      </c>
    </row>
    <row r="297">
      <c r="A297" s="361" t="inlineStr">
        <is>
          <t>MOV_ACT617</t>
        </is>
      </c>
      <c r="B297" s="361" t="inlineStr">
        <is>
          <t>Beast (2022)</t>
        </is>
      </c>
      <c r="C297" s="361" t="inlineStr">
        <is>
          <t>Movies</t>
        </is>
      </c>
      <c r="D297" s="361" t="n">
        <v>3</v>
      </c>
      <c r="E297" s="361" t="n">
        <v>2022</v>
      </c>
      <c r="F297" s="361" t="inlineStr">
        <is>
          <t>2025-05-29T00:00:00+07:00</t>
        </is>
      </c>
      <c r="H297" s="361" t="inlineStr">
        <is>
          <t>3182f49c-2f59-47ba-8f33-cef734ecca9c</t>
        </is>
      </c>
      <c r="I297" s="361" t="inlineStr">
        <is>
          <t>https://censorship.kplus.vn/MediaAssets/Asset/3921028d-bd83-f011-8593-0c42a12723cb/StreamPreview</t>
        </is>
      </c>
      <c r="J297" s="361" t="inlineStr">
        <is>
          <t>YES</t>
        </is>
      </c>
      <c r="K297" s="361" t="inlineStr">
        <is>
          <t>Success</t>
        </is>
      </c>
    </row>
    <row r="298">
      <c r="A298" s="361" t="inlineStr">
        <is>
          <t>MOV_WAR4</t>
        </is>
      </c>
      <c r="B298" s="361" t="inlineStr">
        <is>
          <t>UNBROKEN</t>
        </is>
      </c>
      <c r="C298" s="361" t="inlineStr">
        <is>
          <t>Movies</t>
        </is>
      </c>
      <c r="D298" s="361" t="n">
        <v>3</v>
      </c>
      <c r="E298" s="361" t="n">
        <v>2014</v>
      </c>
      <c r="F298" s="361" t="inlineStr">
        <is>
          <t>2025-06-28T00:00:00+07:00</t>
        </is>
      </c>
      <c r="H298" s="361" t="inlineStr">
        <is>
          <t>38c4a70b-cc49-43c6-a3eb-46fa493f0fd0</t>
        </is>
      </c>
      <c r="I298" s="361" t="inlineStr">
        <is>
          <t>https://censorship.kplus.vn/MediaAssets/Asset/f13e1ae0-a688-f011-8593-0c42a12723cb/StreamPreview</t>
        </is>
      </c>
      <c r="J298" s="361" t="inlineStr">
        <is>
          <t>YES</t>
        </is>
      </c>
      <c r="K298" s="361" t="inlineStr">
        <is>
          <t>Success</t>
        </is>
      </c>
    </row>
    <row r="299">
      <c r="A299" s="361" t="inlineStr">
        <is>
          <t>MOV_ACT622</t>
        </is>
      </c>
      <c r="B299" s="361" t="inlineStr">
        <is>
          <t>CENTRAL INTELLIGENCE</t>
        </is>
      </c>
      <c r="C299" s="361" t="inlineStr">
        <is>
          <t>Movies</t>
        </is>
      </c>
      <c r="D299" s="361" t="n">
        <v>3</v>
      </c>
      <c r="E299" s="361" t="n">
        <v>2016</v>
      </c>
      <c r="F299" s="361" t="inlineStr">
        <is>
          <t>2025-06-28T00:00:00+07:00</t>
        </is>
      </c>
      <c r="H299" s="361" t="inlineStr">
        <is>
          <t>adecf129-6b6d-4b93-940b-f92e8fab2d7d</t>
        </is>
      </c>
      <c r="I299" s="361" t="inlineStr">
        <is>
          <t>https://censorship.kplus.vn/MediaAssets/Asset/9426bf7d-518d-f011-8593-0c42a12723cb/StreamPreview</t>
        </is>
      </c>
      <c r="J299" s="361" t="inlineStr">
        <is>
          <t>YES</t>
        </is>
      </c>
      <c r="K299" s="361" t="inlineStr">
        <is>
          <t>Success</t>
        </is>
      </c>
    </row>
    <row r="300">
      <c r="A300" s="361" t="inlineStr">
        <is>
          <t>MOV_CRI116</t>
        </is>
      </c>
      <c r="B300" s="361" t="inlineStr">
        <is>
          <t>THE OUTFIT</t>
        </is>
      </c>
      <c r="C300" s="361" t="inlineStr">
        <is>
          <t>Movies</t>
        </is>
      </c>
      <c r="D300" s="361" t="n">
        <v>3</v>
      </c>
      <c r="E300" s="361" t="n">
        <v>2021</v>
      </c>
      <c r="F300" s="361" t="inlineStr">
        <is>
          <t>2025-06-28T00:00:00+07:00</t>
        </is>
      </c>
      <c r="H300" s="362" t="inlineStr">
        <is>
          <t>24e90212-d08c-416a-b678-da6be59fac03</t>
        </is>
      </c>
      <c r="I300" s="361" t="inlineStr">
        <is>
          <t>https://censorship.kplus.vn/MediaAssets/Asset/461f34eb-5261-f011-8593-0c42a12723cb/StreamPreview</t>
        </is>
      </c>
      <c r="J300" s="361" t="inlineStr">
        <is>
          <t>YES</t>
        </is>
      </c>
      <c r="K300" s="361" t="inlineStr">
        <is>
          <t>Success</t>
        </is>
      </c>
    </row>
    <row r="301">
      <c r="A301" s="361" t="inlineStr">
        <is>
          <t>MOV_ACT623</t>
        </is>
      </c>
      <c r="B301" s="361" t="inlineStr">
        <is>
          <t>FAST X</t>
        </is>
      </c>
      <c r="C301" s="361" t="inlineStr">
        <is>
          <t>Movies</t>
        </is>
      </c>
      <c r="D301" s="361" t="n">
        <v>3</v>
      </c>
      <c r="E301" s="361" t="n">
        <v>2023</v>
      </c>
      <c r="F301" s="361" t="inlineStr">
        <is>
          <t>2025-06-28T00:00:00+07:00</t>
        </is>
      </c>
      <c r="H301" s="361" t="inlineStr">
        <is>
          <t>99227810-6d8a-4a57-975e-1418bdec8ce0</t>
        </is>
      </c>
      <c r="I301" s="361" t="inlineStr">
        <is>
          <t>https://censorship.kplus.vn/MediaAssets/Asset/44e1128d-348e-f011-8593-0c42a12723cb/StreamPreview</t>
        </is>
      </c>
      <c r="J301" s="361" t="inlineStr">
        <is>
          <t>YES</t>
        </is>
      </c>
      <c r="K301" s="361" t="inlineStr">
        <is>
          <t>Success</t>
        </is>
      </c>
    </row>
    <row r="302">
      <c r="A302" s="361" t="inlineStr">
        <is>
          <t>MOV_ACT627</t>
        </is>
      </c>
      <c r="B302" s="361" t="inlineStr">
        <is>
          <t>VIOLENT NIGHT</t>
        </is>
      </c>
      <c r="C302" s="361" t="inlineStr">
        <is>
          <t>Movies</t>
        </is>
      </c>
      <c r="D302" s="361" t="n">
        <v>4</v>
      </c>
      <c r="E302" s="361" t="n">
        <v>2022</v>
      </c>
      <c r="F302" s="361" t="inlineStr">
        <is>
          <t>2025-08-14T00:00:00+07:00</t>
        </is>
      </c>
      <c r="H302" s="361" t="inlineStr">
        <is>
          <t>24fdf841-913d-4d6e-98ab-4fe69549bac2</t>
        </is>
      </c>
      <c r="I302" s="361" t="inlineStr">
        <is>
          <t>https://censorship.kplus.vn/MediaAssets/Asset/651c4dba-028a-f011-8593-0c42a12723cb/StreamPreview</t>
        </is>
      </c>
      <c r="J302" s="361" t="inlineStr">
        <is>
          <t>YES</t>
        </is>
      </c>
      <c r="K302" s="361" t="inlineStr">
        <is>
          <t>Success</t>
        </is>
      </c>
    </row>
    <row r="303">
      <c r="A303" s="361" t="inlineStr">
        <is>
          <t>MOV_COM300</t>
        </is>
      </c>
      <c r="B303" s="361" t="inlineStr">
        <is>
          <t>SISTERS</t>
        </is>
      </c>
      <c r="C303" s="361" t="inlineStr">
        <is>
          <t>Movies</t>
        </is>
      </c>
      <c r="D303" s="361" t="n">
        <v>3</v>
      </c>
      <c r="E303" s="361" t="n">
        <v>2015</v>
      </c>
      <c r="F303" s="361" t="inlineStr">
        <is>
          <t>2025-07-03T00:00:00+07:00</t>
        </is>
      </c>
      <c r="H303" s="361" t="inlineStr">
        <is>
          <t>ffc2e32f-62bb-44dd-bd95-e3255d80144c</t>
        </is>
      </c>
      <c r="I303" s="361" t="inlineStr">
        <is>
          <t>https://censorship.kplus.vn/MediaAssets/Asset/3981ca14-6281-f011-8593-0c42a12723cb/StreamPreview</t>
        </is>
      </c>
      <c r="J303" s="361" t="inlineStr">
        <is>
          <t>YES</t>
        </is>
      </c>
      <c r="K303" s="361" t="inlineStr">
        <is>
          <t>Success</t>
        </is>
      </c>
    </row>
    <row r="304">
      <c r="A304" s="361" t="inlineStr">
        <is>
          <t>MOV_HOR77</t>
        </is>
      </c>
      <c r="B304" s="361" t="inlineStr">
        <is>
          <t>OLD</t>
        </is>
      </c>
      <c r="C304" s="361" t="inlineStr">
        <is>
          <t>Movies</t>
        </is>
      </c>
      <c r="D304" s="361" t="n">
        <v>3</v>
      </c>
      <c r="E304" s="361" t="n">
        <v>2021</v>
      </c>
      <c r="F304" s="361" t="inlineStr">
        <is>
          <t>2025-08-08T00:00:00+07:00</t>
        </is>
      </c>
      <c r="H304" s="361" t="inlineStr">
        <is>
          <t>8319f95d-88e5-448d-a734-a4a00325d746</t>
        </is>
      </c>
      <c r="I304" s="361" t="inlineStr">
        <is>
          <t>https://censorship.kplus.vn/MediaAssets/Asset/d3e4b7a2-4089-f011-8593-0c42a12723cb/StreamPreview</t>
        </is>
      </c>
      <c r="J304" s="361" t="inlineStr">
        <is>
          <t>YES</t>
        </is>
      </c>
      <c r="K304" s="361" t="inlineStr">
        <is>
          <t>Success</t>
        </is>
      </c>
    </row>
    <row r="305">
      <c r="A305" s="361" t="inlineStr">
        <is>
          <t>MOV_ROM102</t>
        </is>
      </c>
      <c r="B305" s="361" t="inlineStr">
        <is>
          <t>BOOK CLUB: THE NEXT CHAPTER</t>
        </is>
      </c>
      <c r="C305" s="361" t="inlineStr">
        <is>
          <t>Movies</t>
        </is>
      </c>
      <c r="D305" s="361" t="n">
        <v>2</v>
      </c>
      <c r="E305" s="361" t="n">
        <v>2023</v>
      </c>
      <c r="F305" s="361" t="inlineStr">
        <is>
          <t>2025-08-08T00:00:00+07:00</t>
        </is>
      </c>
      <c r="H305" s="361" t="inlineStr">
        <is>
          <t>45abf179-49db-4351-a68e-c880629000fa</t>
        </is>
      </c>
      <c r="I305" s="361" t="inlineStr">
        <is>
          <t>https://censorship.kplus.vn/MediaAssets/Asset/e56bced0-03a4-f011-8593-0c42a12723cb/StreamPreview</t>
        </is>
      </c>
      <c r="J305" s="361" t="inlineStr">
        <is>
          <t>YES</t>
        </is>
      </c>
      <c r="K305" s="361" t="inlineStr">
        <is>
          <t>Success</t>
        </is>
      </c>
    </row>
    <row r="306">
      <c r="A306" s="361" t="inlineStr">
        <is>
          <t>MOV_CRI117</t>
        </is>
      </c>
      <c r="B306" s="361" t="inlineStr">
        <is>
          <t>SHE SAID</t>
        </is>
      </c>
      <c r="C306" s="361" t="inlineStr">
        <is>
          <t>Movies</t>
        </is>
      </c>
      <c r="D306" s="361" t="n">
        <v>3</v>
      </c>
      <c r="E306" s="361" t="n">
        <v>2022</v>
      </c>
      <c r="F306" s="361" t="inlineStr">
        <is>
          <t>2025-07-03T00:00:00+07:00</t>
        </is>
      </c>
      <c r="H306" s="361" t="inlineStr">
        <is>
          <t>6cec29ac-3a8a-42da-b294-84ae008a3f6c</t>
        </is>
      </c>
      <c r="I306" s="361" t="inlineStr">
        <is>
          <t>https://censorship.kplus.vn/MediaAssets/Asset/77f631ed-3199-f011-8593-0c42a12723cb/StreamPreview</t>
        </is>
      </c>
      <c r="J306" s="361" t="inlineStr">
        <is>
          <t>YES</t>
        </is>
      </c>
      <c r="K306" s="361" t="inlineStr">
        <is>
          <t>Success</t>
        </is>
      </c>
    </row>
    <row r="307">
      <c r="A307" s="361" t="inlineStr">
        <is>
          <t>MOV_HOR78</t>
        </is>
      </c>
      <c r="B307" s="361" t="inlineStr">
        <is>
          <t>NOPE</t>
        </is>
      </c>
      <c r="C307" s="361" t="inlineStr">
        <is>
          <t>Movies</t>
        </is>
      </c>
      <c r="D307" s="361" t="n">
        <v>3</v>
      </c>
      <c r="E307" s="361" t="n">
        <v>2022</v>
      </c>
      <c r="F307" s="361" t="inlineStr">
        <is>
          <t>2025-08-08T00:00:00+07:00</t>
        </is>
      </c>
      <c r="H307" s="361" t="inlineStr">
        <is>
          <t>20095b61-f3d6-44ee-a6cc-6ae3ccd85b8c</t>
        </is>
      </c>
      <c r="I307" s="361" t="inlineStr">
        <is>
          <t>https://censorship.kplus.vn/MediaAssets/Asset/707cfebe-99a2-f011-8593-0c42a12723cb/StreamPreview</t>
        </is>
      </c>
      <c r="J307" s="361" t="inlineStr">
        <is>
          <t>YES</t>
        </is>
      </c>
      <c r="K307" s="361" t="inlineStr">
        <is>
          <t>Success</t>
        </is>
      </c>
    </row>
    <row r="308">
      <c r="A308" s="361" t="inlineStr">
        <is>
          <t>MOV_COM304</t>
        </is>
      </c>
      <c r="B308" s="361" t="inlineStr">
        <is>
          <t>TRAINWRECK</t>
        </is>
      </c>
      <c r="C308" s="361" t="inlineStr">
        <is>
          <t>Movies</t>
        </is>
      </c>
      <c r="D308" s="361" t="n">
        <v>3</v>
      </c>
      <c r="E308" s="361" t="n">
        <v>2015</v>
      </c>
      <c r="F308" s="361" t="inlineStr">
        <is>
          <t>2025-08-08T00:00:00+07:00</t>
        </is>
      </c>
      <c r="H308" s="361" t="inlineStr">
        <is>
          <t>7499bf72-106e-4357-acfb-fd2f157e1387</t>
        </is>
      </c>
      <c r="I308" s="361" t="inlineStr">
        <is>
          <t>https://censorship.kplus.vn/MediaAssets/Asset/780c59d8-089a-f011-8593-0c42a12723cb/StreamPreview</t>
        </is>
      </c>
      <c r="J308" s="361" t="inlineStr">
        <is>
          <t>YES</t>
        </is>
      </c>
      <c r="K308" s="361" t="inlineStr">
        <is>
          <t>Success</t>
        </is>
      </c>
    </row>
    <row r="309">
      <c r="A309" s="361" t="inlineStr">
        <is>
          <t>MOV_ANI92</t>
        </is>
      </c>
      <c r="B309" s="361" t="inlineStr">
        <is>
          <t>PUSS IN BOOTS: THE LAST WISH</t>
        </is>
      </c>
      <c r="C309" s="361" t="inlineStr">
        <is>
          <t>Movies</t>
        </is>
      </c>
      <c r="D309" s="361" t="n">
        <v>1</v>
      </c>
      <c r="E309" s="361" t="n">
        <v>2022</v>
      </c>
      <c r="F309" s="361" t="inlineStr">
        <is>
          <t>2025-08-08T00:00:00+07:00</t>
        </is>
      </c>
      <c r="H309" s="361" t="inlineStr">
        <is>
          <t>7888a56f-5198-4fa1-b738-7bf97346fedc</t>
        </is>
      </c>
      <c r="I309" s="361" t="inlineStr">
        <is>
          <t>https://censorship.kplus.vn/MediaAssets/Asset/9bbf5b34-57ae-f011-8593-0c42a12723cb/StreamPreview</t>
        </is>
      </c>
      <c r="J309" s="361" t="inlineStr">
        <is>
          <t>YES</t>
        </is>
      </c>
      <c r="K309" s="361" t="inlineStr">
        <is>
          <t>Success</t>
        </is>
      </c>
    </row>
    <row r="310">
      <c r="A310" s="361" t="inlineStr">
        <is>
          <t>MOV_COM305</t>
        </is>
      </c>
      <c r="B310" s="361" t="inlineStr">
        <is>
          <t>TICKET TO PARADISE</t>
        </is>
      </c>
      <c r="C310" s="361" t="inlineStr">
        <is>
          <t>Movies</t>
        </is>
      </c>
      <c r="D310" s="361" t="n">
        <v>1</v>
      </c>
      <c r="E310" s="361" t="n">
        <v>2022</v>
      </c>
      <c r="F310" s="361" t="inlineStr">
        <is>
          <t>2025-08-08T00:00:00+07:00</t>
        </is>
      </c>
      <c r="H310" s="361" t="inlineStr">
        <is>
          <t>2c0c131e-0817-4e0f-ac00-8ebba59808cf</t>
        </is>
      </c>
      <c r="I310" s="361" t="inlineStr">
        <is>
          <t>https://censorship.kplus.vn/MediaAssets/Asset/a3d54ab6-4c9f-f011-8593-0c42a12723cb/StreamPreview</t>
        </is>
      </c>
      <c r="J310" s="361" t="inlineStr">
        <is>
          <t>YES</t>
        </is>
      </c>
      <c r="K310" s="361" t="inlineStr">
        <is>
          <t>Success</t>
        </is>
      </c>
    </row>
    <row r="311">
      <c r="A311" s="361" t="inlineStr">
        <is>
          <t>MOV_COM306</t>
        </is>
      </c>
      <c r="B311" s="361" t="inlineStr">
        <is>
          <t>GENIE</t>
        </is>
      </c>
      <c r="C311" s="361" t="inlineStr">
        <is>
          <t>Movies</t>
        </is>
      </c>
      <c r="D311" s="361" t="n">
        <v>1</v>
      </c>
      <c r="E311" s="361" t="n">
        <v>2023</v>
      </c>
      <c r="F311" s="361" t="inlineStr">
        <is>
          <t>2025-08-14T00:00:00+07:00</t>
        </is>
      </c>
      <c r="H311" s="361" t="inlineStr">
        <is>
          <t>4dbef7d8-83c5-4aa2-98f4-476ca8ecde5e</t>
        </is>
      </c>
      <c r="I311" s="361" t="inlineStr">
        <is>
          <t>https://censorship.kplus.vn/MediaAssets/Asset/3bca470c-7288-f011-8593-0c42a12723cb/StreamPreview</t>
        </is>
      </c>
      <c r="J311" s="361" t="inlineStr">
        <is>
          <t>YES</t>
        </is>
      </c>
      <c r="K311" s="361" t="inlineStr">
        <is>
          <t>Success</t>
        </is>
      </c>
    </row>
    <row r="312">
      <c r="A312" s="361" t="inlineStr">
        <is>
          <t>MOV_COM307</t>
        </is>
      </c>
      <c r="B312" s="361" t="inlineStr">
        <is>
          <t>NEIGHBORS</t>
        </is>
      </c>
      <c r="C312" s="361" t="inlineStr">
        <is>
          <t>Movies</t>
        </is>
      </c>
      <c r="D312" s="361" t="n">
        <v>4</v>
      </c>
      <c r="E312" s="361" t="n">
        <v>2014</v>
      </c>
      <c r="F312" s="361" t="inlineStr">
        <is>
          <t>2025-08-14T00:00:00+07:00</t>
        </is>
      </c>
      <c r="H312" s="361" t="inlineStr">
        <is>
          <t>fcb288d2-9a1c-40c4-b3e2-46590a77701c</t>
        </is>
      </c>
      <c r="I312" s="361" t="inlineStr">
        <is>
          <t>https://censorship.kplus.vn/MediaAssets/Asset/932a989c-b99e-f011-8593-0c42a12723cb/StreamPreview</t>
        </is>
      </c>
      <c r="J312" s="361" t="inlineStr">
        <is>
          <t>YES</t>
        </is>
      </c>
      <c r="K312" s="361" t="inlineStr">
        <is>
          <t>Success</t>
        </is>
      </c>
    </row>
    <row r="313">
      <c r="A313" s="361" t="inlineStr">
        <is>
          <t>MOV_ACT626</t>
        </is>
      </c>
      <c r="B313" s="361" t="inlineStr">
        <is>
          <t>MAFIA MAMMA</t>
        </is>
      </c>
      <c r="C313" s="361" t="inlineStr">
        <is>
          <t>Movies</t>
        </is>
      </c>
      <c r="D313" s="361" t="n">
        <v>3</v>
      </c>
      <c r="E313" s="361" t="n">
        <v>2023</v>
      </c>
      <c r="F313" s="361" t="inlineStr">
        <is>
          <t>2025-08-14T00:00:00+07:00</t>
        </is>
      </c>
      <c r="H313" s="361" t="inlineStr">
        <is>
          <t>38007475-754c-454b-a6b5-a22cd41de2f0</t>
        </is>
      </c>
      <c r="I313" s="361" t="inlineStr">
        <is>
          <t>https://censorship.kplus.vn/MediaAssets/Asset/75f41d99-9a9e-f011-8593-0c42a12723cb/StreamPreview</t>
        </is>
      </c>
      <c r="J313" s="361" t="inlineStr">
        <is>
          <t>YES</t>
        </is>
      </c>
      <c r="K313" s="361" t="inlineStr">
        <is>
          <t>Success</t>
        </is>
      </c>
    </row>
    <row r="314">
      <c r="A314" s="361" t="inlineStr">
        <is>
          <t>MOV_DRA756</t>
        </is>
      </c>
      <c r="B314" s="361" t="inlineStr">
        <is>
          <t>FORREST GUMP</t>
        </is>
      </c>
      <c r="C314" s="361" t="inlineStr">
        <is>
          <t>Movies</t>
        </is>
      </c>
      <c r="D314" s="361" t="n">
        <v>3</v>
      </c>
      <c r="E314" s="361" t="n">
        <v>1996</v>
      </c>
      <c r="F314" s="361" t="inlineStr">
        <is>
          <t>2025-04-29T00:00:00+07:00</t>
        </is>
      </c>
      <c r="H314" s="361" t="inlineStr">
        <is>
          <t>de7409db-5523-4bb1-ad9b-909064328636</t>
        </is>
      </c>
      <c r="I314" s="361" t="inlineStr">
        <is>
          <t>https://censorship.kplus.vn/MediaAssets/Asset/75876119-a850-f011-8593-0c42a12723cb/StreamPreview</t>
        </is>
      </c>
      <c r="J314" s="361" t="inlineStr">
        <is>
          <t>YES</t>
        </is>
      </c>
      <c r="K314" s="361" t="inlineStr">
        <is>
          <t>Success</t>
        </is>
      </c>
    </row>
    <row r="315">
      <c r="A315" s="361" t="inlineStr">
        <is>
          <t>MOV_DRA759</t>
        </is>
      </c>
      <c r="B315" s="361" t="inlineStr">
        <is>
          <t>Babylon</t>
        </is>
      </c>
      <c r="C315" s="361" t="inlineStr">
        <is>
          <t>Movies</t>
        </is>
      </c>
      <c r="D315" s="361" t="n">
        <v>4</v>
      </c>
      <c r="E315" s="361" t="n">
        <v>2022</v>
      </c>
      <c r="F315" s="361" t="inlineStr">
        <is>
          <t>2025-06-06T00:00:00+07:00</t>
        </is>
      </c>
      <c r="H315" s="361" t="inlineStr">
        <is>
          <t>d0fd1893-bb1d-4db0-8854-1e88705e7085</t>
        </is>
      </c>
      <c r="I315" s="361" t="inlineStr">
        <is>
          <t>https://censorship.kplus.vn/MediaAssets/Asset/d0230841-068b-f011-8593-0c42a12723cb/StreamPreview</t>
        </is>
      </c>
      <c r="J315" s="361" t="inlineStr">
        <is>
          <t>YES</t>
        </is>
      </c>
      <c r="K315" s="361" t="inlineStr">
        <is>
          <t>Success</t>
        </is>
      </c>
    </row>
    <row r="316">
      <c r="A316" s="361" t="inlineStr">
        <is>
          <t>MOV_FAN28</t>
        </is>
      </c>
      <c r="B316" s="361" t="inlineStr">
        <is>
          <t>Beastly</t>
        </is>
      </c>
      <c r="C316" s="361" t="inlineStr">
        <is>
          <t>Movies</t>
        </is>
      </c>
      <c r="D316" s="361" t="n">
        <v>1</v>
      </c>
      <c r="E316" s="361" t="n">
        <v>2011</v>
      </c>
      <c r="F316" s="361" t="inlineStr">
        <is>
          <t>2025-06-06T00:00:00+07:00</t>
        </is>
      </c>
      <c r="H316" s="361" t="inlineStr">
        <is>
          <t>b6aaa179-d767-4f7b-a93e-15fcc23817cb</t>
        </is>
      </c>
      <c r="I316" s="361" t="inlineStr">
        <is>
          <t>https://censorship.kplus.vn/MediaAssets/Asset/b495b70e-ea4f-f011-8593-0c42a12723cb/StreamPreview</t>
        </is>
      </c>
      <c r="J316" s="361" t="inlineStr">
        <is>
          <t>YES</t>
        </is>
      </c>
      <c r="K316" s="361" t="inlineStr">
        <is>
          <t>Success</t>
        </is>
      </c>
    </row>
    <row r="317">
      <c r="A317" s="361" t="inlineStr">
        <is>
          <t>MOV_CRI115</t>
        </is>
      </c>
      <c r="B317" s="361" t="inlineStr">
        <is>
          <t>The Gambler (2014)</t>
        </is>
      </c>
      <c r="C317" s="361" t="inlineStr">
        <is>
          <t>Movies</t>
        </is>
      </c>
      <c r="D317" s="361" t="n">
        <v>3</v>
      </c>
      <c r="E317" s="361" t="n">
        <v>2014</v>
      </c>
      <c r="F317" s="361" t="inlineStr">
        <is>
          <t>2025-06-06T00:00:00+07:00</t>
        </is>
      </c>
      <c r="H317" s="361" t="inlineStr">
        <is>
          <t>28fd73bd-8cf6-4fc9-9eef-c3c090b75adc</t>
        </is>
      </c>
      <c r="I317" s="361" t="inlineStr">
        <is>
          <t>https://censorship.kplus.vn/MediaAssets/Asset/33167a3b-d971-f011-8593-0c42a12723cb/StreamPreview</t>
        </is>
      </c>
      <c r="J317" s="361" t="inlineStr">
        <is>
          <t>YES</t>
        </is>
      </c>
      <c r="K317" s="361" t="inlineStr">
        <is>
          <t>Success</t>
        </is>
      </c>
    </row>
    <row r="318">
      <c r="A318" s="361" t="inlineStr">
        <is>
          <t>MOV_COM298</t>
        </is>
      </c>
      <c r="B318" s="361" t="inlineStr">
        <is>
          <t>Love in Taipei</t>
        </is>
      </c>
      <c r="C318" s="361" t="inlineStr">
        <is>
          <t>Movies</t>
        </is>
      </c>
      <c r="D318" s="361" t="n">
        <v>3</v>
      </c>
      <c r="E318" s="361" t="n">
        <v>2023</v>
      </c>
      <c r="F318" s="361" t="inlineStr">
        <is>
          <t>2025-06-06T00:00:00+07:00</t>
        </is>
      </c>
      <c r="H318" s="361" t="inlineStr">
        <is>
          <t>547a247c-0ba0-4493-9e21-7bf3baef5227</t>
        </is>
      </c>
      <c r="I318" s="361" t="inlineStr">
        <is>
          <t>https://censorship.kplus.vn/MediaAssets/Asset/a16cb66d-bb51-f011-8593-0c42a12723cb/StreamPreview</t>
        </is>
      </c>
      <c r="J318" s="361" t="inlineStr">
        <is>
          <t>YES</t>
        </is>
      </c>
      <c r="K318" s="361" t="inlineStr">
        <is>
          <t>Success</t>
        </is>
      </c>
    </row>
    <row r="319">
      <c r="A319" s="361" t="inlineStr">
        <is>
          <t>MOV_COM301</t>
        </is>
      </c>
      <c r="B319" s="361" t="inlineStr">
        <is>
          <t>SHE'S OUT OF MY LEAGUE</t>
        </is>
      </c>
      <c r="C319" s="361" t="inlineStr">
        <is>
          <t>Movies</t>
        </is>
      </c>
      <c r="D319" s="361" t="n">
        <v>3</v>
      </c>
      <c r="E319" s="361" t="n">
        <v>2010</v>
      </c>
      <c r="F319" s="361" t="inlineStr">
        <is>
          <t>2025-07-24T00:00:00+07:00</t>
        </is>
      </c>
      <c r="H319" s="361" t="inlineStr">
        <is>
          <t>cdd8c194-96df-4a55-90da-fc3eccc468e9</t>
        </is>
      </c>
      <c r="I319" s="361" t="inlineStr">
        <is>
          <t>https://censorship.kplus.vn/MediaAssets/Asset/b33f7939-8c81-f011-8593-0c42a12723cb/StreamPreview</t>
        </is>
      </c>
      <c r="J319" s="361" t="inlineStr">
        <is>
          <t>YES</t>
        </is>
      </c>
      <c r="K319" s="361" t="inlineStr">
        <is>
          <t>Success</t>
        </is>
      </c>
    </row>
    <row r="320">
      <c r="A320" s="361" t="inlineStr">
        <is>
          <t>MOV_HOR74</t>
        </is>
      </c>
      <c r="B320" s="361" t="inlineStr">
        <is>
          <t>A Quiet Place</t>
        </is>
      </c>
      <c r="C320" s="361" t="inlineStr">
        <is>
          <t>Movies</t>
        </is>
      </c>
      <c r="D320" s="361" t="n">
        <v>3</v>
      </c>
      <c r="E320" s="361" t="n">
        <v>2018</v>
      </c>
      <c r="F320" s="361" t="inlineStr">
        <is>
          <t>2025-06-06T00:00:00+07:00</t>
        </is>
      </c>
      <c r="H320" s="361" t="inlineStr">
        <is>
          <t>1f757182-0b91-4113-8679-5b78990aa257</t>
        </is>
      </c>
      <c r="I320" s="361" t="inlineStr">
        <is>
          <t>https://censorship.kplus.vn/MediaAssets/Asset/5284866c-7452-f011-8593-0c42a12723cb/StreamPreview</t>
        </is>
      </c>
      <c r="J320" s="361" t="inlineStr">
        <is>
          <t>YES</t>
        </is>
      </c>
      <c r="K320" s="361" t="inlineStr">
        <is>
          <t>Success</t>
        </is>
      </c>
    </row>
    <row r="321">
      <c r="A321" s="361" t="inlineStr">
        <is>
          <t>MOV_ACT618</t>
        </is>
      </c>
      <c r="B321" s="361" t="inlineStr">
        <is>
          <t>Teenage Mutant Ninja Turtles</t>
        </is>
      </c>
      <c r="C321" s="361" t="inlineStr">
        <is>
          <t>Movies</t>
        </is>
      </c>
      <c r="D321" s="361" t="n">
        <v>2</v>
      </c>
      <c r="E321" s="361" t="n">
        <v>2014</v>
      </c>
      <c r="F321" s="361" t="inlineStr">
        <is>
          <t>2025-06-06T00:00:00+07:00</t>
        </is>
      </c>
      <c r="H321" s="362" t="inlineStr">
        <is>
          <t>373e0444-ed88-4c93-b476-e5fa74854cb8</t>
        </is>
      </c>
      <c r="I321" s="361" t="inlineStr">
        <is>
          <t>https://censorship.kplus.vn/MediaAssets/Asset/7020c426-5d73-f011-8593-0c42a12723cb/StreamPreview</t>
        </is>
      </c>
      <c r="J321" s="361" t="inlineStr">
        <is>
          <t>YES</t>
        </is>
      </c>
      <c r="K321" s="361" t="inlineStr">
        <is>
          <t>Success</t>
        </is>
      </c>
    </row>
    <row r="322">
      <c r="A322" s="361" t="inlineStr">
        <is>
          <t>MOV_ACT619</t>
        </is>
      </c>
      <c r="B322" s="361" t="inlineStr">
        <is>
          <t>Teenage Mutant Ninja Turtles: Out of the Shadows</t>
        </is>
      </c>
      <c r="C322" s="361" t="inlineStr">
        <is>
          <t>Movies</t>
        </is>
      </c>
      <c r="D322" s="361" t="n">
        <v>2</v>
      </c>
      <c r="E322" s="361" t="n">
        <v>2016</v>
      </c>
      <c r="F322" s="361" t="inlineStr">
        <is>
          <t>2025-06-06T00:00:00+07:00</t>
        </is>
      </c>
      <c r="H322" s="361" t="inlineStr">
        <is>
          <t>2a87bc4b-90be-4b60-ad6b-b458a343ba67</t>
        </is>
      </c>
      <c r="I322" s="361" t="inlineStr">
        <is>
          <t>https://censorship.kplus.vn/MediaAssets/Asset/eec26fdf-8b73-f011-8593-0c42a12723cb/StreamPreview</t>
        </is>
      </c>
      <c r="J322" s="361" t="inlineStr">
        <is>
          <t>YES</t>
        </is>
      </c>
      <c r="K322" s="361" t="inlineStr">
        <is>
          <t>Success</t>
        </is>
      </c>
    </row>
    <row r="323">
      <c r="A323" s="361" t="inlineStr">
        <is>
          <t>MOV_SCI25</t>
        </is>
      </c>
      <c r="B323" s="361" t="inlineStr">
        <is>
          <t>SUPER 8</t>
        </is>
      </c>
      <c r="C323" s="361" t="inlineStr">
        <is>
          <t>Movies</t>
        </is>
      </c>
      <c r="D323" s="361" t="n">
        <v>2</v>
      </c>
      <c r="E323" s="361" t="n">
        <v>2011</v>
      </c>
      <c r="F323" s="361" t="inlineStr">
        <is>
          <t>2025-08-15T00:00:00+07:00</t>
        </is>
      </c>
      <c r="H323" s="361" t="inlineStr">
        <is>
          <t>5d012149-46e8-440a-851e-0ac11fefeaff</t>
        </is>
      </c>
      <c r="I323" s="361" t="inlineStr">
        <is>
          <t>https://censorship.kplus.vn/MediaAssets/Asset/897c6077-3b95-f011-8593-0c42a12723cb/StreamPreview</t>
        </is>
      </c>
      <c r="J323" s="361" t="inlineStr">
        <is>
          <t>YES</t>
        </is>
      </c>
      <c r="K323" s="361" t="inlineStr">
        <is>
          <t>Success</t>
        </is>
      </c>
    </row>
    <row r="324">
      <c r="A324" s="361" t="inlineStr">
        <is>
          <t>MOV_SCI22</t>
        </is>
      </c>
      <c r="B324" s="361" t="inlineStr">
        <is>
          <t>ANNIHILATION</t>
        </is>
      </c>
      <c r="C324" s="361" t="inlineStr">
        <is>
          <t>Movies</t>
        </is>
      </c>
      <c r="D324" s="361" t="n">
        <v>3</v>
      </c>
      <c r="E324" s="361" t="n">
        <v>2018</v>
      </c>
      <c r="F324" s="361" t="inlineStr">
        <is>
          <t>2025-08-05T00:00:00+07:00</t>
        </is>
      </c>
      <c r="H324" s="361" t="inlineStr">
        <is>
          <t>28ba2e8c-4a96-4ea9-a70e-c61025778430</t>
        </is>
      </c>
      <c r="I324" s="361" t="inlineStr">
        <is>
          <t>https://censorship.kplus.vn/MediaAssets/Asset/ef0760af-537e-f011-8593-0c42a12723cb/StreamPreview</t>
        </is>
      </c>
      <c r="J324" s="361" t="inlineStr">
        <is>
          <t>YES</t>
        </is>
      </c>
      <c r="K324" s="361" t="inlineStr">
        <is>
          <t>Success</t>
        </is>
      </c>
    </row>
    <row r="325">
      <c r="A325" s="361" t="inlineStr">
        <is>
          <t>MOV_CRI118</t>
        </is>
      </c>
      <c r="B325" s="361" t="inlineStr">
        <is>
          <t>CONFESS FLETCH</t>
        </is>
      </c>
      <c r="C325" s="361" t="inlineStr">
        <is>
          <t>Movies</t>
        </is>
      </c>
      <c r="D325" s="361" t="n">
        <v>1</v>
      </c>
      <c r="E325" s="361" t="n">
        <v>2022</v>
      </c>
      <c r="F325" s="361" t="inlineStr">
        <is>
          <t>2025-10-29T00:00:00+07:00</t>
        </is>
      </c>
      <c r="H325" s="361" t="inlineStr">
        <is>
          <t>adec2027-9776-49b4-9edb-6303db8b9c64</t>
        </is>
      </c>
      <c r="I325" s="361" t="inlineStr">
        <is>
          <t>https://censorship.kplus.vn/MediaAssets/Asset/896ca66a-e7b3-f011-8593-0c42a12723cb/StreamPreview</t>
        </is>
      </c>
      <c r="J325" s="361" t="inlineStr">
        <is>
          <t>YES</t>
        </is>
      </c>
      <c r="K325" s="361" t="inlineStr">
        <is>
          <t>Success</t>
        </is>
      </c>
    </row>
    <row r="326">
      <c r="A326" s="361" t="inlineStr">
        <is>
          <t>MOV_COM302</t>
        </is>
      </c>
      <c r="B326" s="361" t="inlineStr">
        <is>
          <t>LITTLE FOCKERS</t>
        </is>
      </c>
      <c r="C326" s="361" t="inlineStr">
        <is>
          <t>Movies</t>
        </is>
      </c>
      <c r="D326" s="361" t="n">
        <v>3</v>
      </c>
      <c r="E326" s="361" t="n">
        <v>2010</v>
      </c>
      <c r="F326" s="361" t="inlineStr">
        <is>
          <t>2025-08-05T00:00:00+07:00</t>
        </is>
      </c>
      <c r="H326" s="361" t="inlineStr">
        <is>
          <t>904fb92f-7173-4803-a04e-71285deaed97</t>
        </is>
      </c>
      <c r="I326" s="361" t="inlineStr">
        <is>
          <t>https://censorship.kplus.vn/MediaAssets/Asset/60dde437-197f-f011-8593-0c42a12723cb/StreamPreview</t>
        </is>
      </c>
      <c r="J326" s="361" t="inlineStr">
        <is>
          <t>YES</t>
        </is>
      </c>
      <c r="K326" s="361" t="inlineStr">
        <is>
          <t>Success</t>
        </is>
      </c>
    </row>
    <row r="327">
      <c r="A327" s="361" t="inlineStr">
        <is>
          <t>MOV_ADV54</t>
        </is>
      </c>
      <c r="B327" s="361" t="inlineStr">
        <is>
          <t>THE LOST CITY</t>
        </is>
      </c>
      <c r="C327" s="361" t="inlineStr">
        <is>
          <t>Movies</t>
        </is>
      </c>
      <c r="D327" s="361" t="n">
        <v>2</v>
      </c>
      <c r="E327" s="361" t="n">
        <v>2022</v>
      </c>
      <c r="F327" s="361" t="inlineStr">
        <is>
          <t>2025-08-05T00:00:00+07:00</t>
        </is>
      </c>
      <c r="H327" s="361" t="inlineStr">
        <is>
          <t>cc359b36-f19e-4163-bb7c-9abf2ce6bc83</t>
        </is>
      </c>
      <c r="I327" s="361" t="inlineStr">
        <is>
          <t>https://censorship.kplus.vn/MediaAssets/Asset/1b28d49e-799e-f011-8593-0c42a12723cb/StreamPreview</t>
        </is>
      </c>
      <c r="J327" s="361" t="inlineStr">
        <is>
          <t>YES</t>
        </is>
      </c>
      <c r="K327" s="361" t="inlineStr">
        <is>
          <t>Success</t>
        </is>
      </c>
    </row>
    <row r="328">
      <c r="A328" s="361" t="inlineStr">
        <is>
          <t>MOV_COM303</t>
        </is>
      </c>
      <c r="B328" s="361" t="inlineStr">
        <is>
          <t>MEET THE FOCKERS</t>
        </is>
      </c>
      <c r="C328" s="361" t="inlineStr">
        <is>
          <t>Movies</t>
        </is>
      </c>
      <c r="D328" s="361" t="n">
        <v>3</v>
      </c>
      <c r="E328" s="361" t="n">
        <v>2004</v>
      </c>
      <c r="F328" s="361" t="inlineStr">
        <is>
          <t>2025-08-05T00:00:00+07:00</t>
        </is>
      </c>
      <c r="H328" s="361" t="inlineStr">
        <is>
          <t>d01c2901-1f7d-4e19-b8ed-2c8879178023</t>
        </is>
      </c>
      <c r="I328" s="361" t="inlineStr">
        <is>
          <t>https://censorship.kplus.vn/MediaAssets/Asset/3de2be94-5a8d-f011-8593-0c42a12723cb/StreamPreview</t>
        </is>
      </c>
      <c r="J328" s="361" t="inlineStr">
        <is>
          <t>YES</t>
        </is>
      </c>
      <c r="K328" s="361" t="inlineStr">
        <is>
          <t>Success</t>
        </is>
      </c>
    </row>
    <row r="329">
      <c r="A329" s="361" t="inlineStr">
        <is>
          <t>MOV_ACT624</t>
        </is>
      </c>
      <c r="B329" s="361" t="inlineStr">
        <is>
          <t>MISSION: IMPOSSIBLE - FALLOUT</t>
        </is>
      </c>
      <c r="C329" s="361" t="inlineStr">
        <is>
          <t>Movies</t>
        </is>
      </c>
      <c r="D329" s="361" t="n">
        <v>1</v>
      </c>
      <c r="E329" s="361" t="n">
        <v>2018</v>
      </c>
      <c r="F329" s="361" t="inlineStr">
        <is>
          <t>2025-08-05T00:00:00+07:00</t>
        </is>
      </c>
      <c r="H329" s="361" t="inlineStr">
        <is>
          <t>3f5708d7-64a6-42d2-910c-4e8468ceda6a</t>
        </is>
      </c>
      <c r="I329" s="361" t="inlineStr">
        <is>
          <t>https://censorship.kplus.vn/MediaAssets/Asset/06fdc5fe-6a82-f011-8593-0c42a12723cb/StreamPreview</t>
        </is>
      </c>
      <c r="J329" s="361" t="inlineStr">
        <is>
          <t>YES</t>
        </is>
      </c>
      <c r="K329" s="361" t="inlineStr">
        <is>
          <t>Success</t>
        </is>
      </c>
    </row>
    <row r="330">
      <c r="A330" s="361" t="inlineStr">
        <is>
          <t>MOV_SCI23</t>
        </is>
      </c>
      <c r="B330" s="361" t="inlineStr">
        <is>
          <t>PROJECT ALMANAC</t>
        </is>
      </c>
      <c r="C330" s="361" t="inlineStr">
        <is>
          <t>Movies</t>
        </is>
      </c>
      <c r="D330" s="361" t="n">
        <v>2</v>
      </c>
      <c r="E330" s="361" t="n">
        <v>2015</v>
      </c>
      <c r="F330" s="361" t="inlineStr">
        <is>
          <t>2025-08-05T00:00:00+07:00</t>
        </is>
      </c>
      <c r="H330" s="361" t="inlineStr">
        <is>
          <t>260a1b45-782c-4921-b6a3-3f6f58464dfb</t>
        </is>
      </c>
      <c r="I330" s="361" t="inlineStr">
        <is>
          <t>https://censorship.kplus.vn/MediaAssets/Asset/b4a36af7-0892-f011-8593-0c42a12723cb/StreamPreview</t>
        </is>
      </c>
      <c r="J330" s="361" t="inlineStr">
        <is>
          <t>YES</t>
        </is>
      </c>
      <c r="K330" s="361" t="inlineStr">
        <is>
          <t>Success</t>
        </is>
      </c>
    </row>
    <row r="331">
      <c r="A331" s="361" t="inlineStr">
        <is>
          <t>MOV_SCI24</t>
        </is>
      </c>
      <c r="B331" s="361" t="inlineStr">
        <is>
          <t>SECRET HEADQUARTERS</t>
        </is>
      </c>
      <c r="C331" s="361" t="inlineStr">
        <is>
          <t>Movies</t>
        </is>
      </c>
      <c r="D331" s="361" t="n">
        <v>2</v>
      </c>
      <c r="E331" s="361" t="n">
        <v>2022</v>
      </c>
      <c r="F331" s="361" t="inlineStr">
        <is>
          <t>2025-08-05T00:00:00+07:00</t>
        </is>
      </c>
      <c r="H331" s="361" t="inlineStr">
        <is>
          <t>5fe2c606-690b-4497-be38-0bbdd15d3882</t>
        </is>
      </c>
      <c r="I331" s="361" t="inlineStr">
        <is>
          <t>https://censorship.kplus.vn/MediaAssets/Asset/8b5dc7cd-a37d-f011-8593-0c42a12723cb/StreamPreview</t>
        </is>
      </c>
      <c r="J331" s="361" t="inlineStr">
        <is>
          <t>YES</t>
        </is>
      </c>
      <c r="K331" s="361" t="inlineStr">
        <is>
          <t>Success</t>
        </is>
      </c>
    </row>
    <row r="332">
      <c r="A332" s="361" t="inlineStr">
        <is>
          <t>MOV_FAN30</t>
        </is>
      </c>
      <c r="B332" s="361" t="inlineStr">
        <is>
          <t>LEAGUE OF GODS</t>
        </is>
      </c>
      <c r="C332" s="361" t="inlineStr">
        <is>
          <t>Movies</t>
        </is>
      </c>
      <c r="D332" s="361" t="n">
        <v>3</v>
      </c>
      <c r="E332" s="361" t="n">
        <v>2016</v>
      </c>
      <c r="F332" s="361" t="inlineStr">
        <is>
          <t>2025-07-10T00:00:00+07:00</t>
        </is>
      </c>
      <c r="H332" s="361" t="inlineStr">
        <is>
          <t>49811427-1a6e-44d8-9324-775ae17fb0eb</t>
        </is>
      </c>
      <c r="I332" s="361" t="inlineStr">
        <is>
          <t>https://censorship.kplus.vn/MediaAssets/Asset/d0708892-0c6d-f011-8593-0c42a12723cb/StreamPreview</t>
        </is>
      </c>
      <c r="J332" s="361" t="inlineStr">
        <is>
          <t>YES</t>
        </is>
      </c>
      <c r="K332" s="361" t="inlineStr">
        <is>
          <t>Success</t>
        </is>
      </c>
    </row>
    <row r="333">
      <c r="A333" s="361" t="inlineStr">
        <is>
          <t>MOV_ANI_23__2690720</t>
        </is>
      </c>
      <c r="B333" s="361" t="inlineStr">
        <is>
          <t>The angry birds movie</t>
        </is>
      </c>
      <c r="C333" s="361" t="inlineStr">
        <is>
          <t>Movies</t>
        </is>
      </c>
      <c r="D333" s="361" t="n">
        <v>1</v>
      </c>
      <c r="E333" s="361" t="n">
        <v>2016</v>
      </c>
      <c r="F333" s="361" t="inlineStr">
        <is>
          <t>2023-02-16T00:00:00+07:00</t>
        </is>
      </c>
      <c r="H333" s="361" t="inlineStr">
        <is>
          <t>21a687b1-2a3a-4908-826c-76a51f6a129e</t>
        </is>
      </c>
      <c r="I333" s="361" t="inlineStr">
        <is>
          <t>https://censorship.kplus.vn/MediaAssets/Asset/18341ae2-3609-ef11-9144-f40270bf9ea7/StreamPreview</t>
        </is>
      </c>
      <c r="J333" s="361" t="inlineStr">
        <is>
          <t>YES</t>
        </is>
      </c>
      <c r="K333" s="361" t="inlineStr">
        <is>
          <t>Success</t>
        </is>
      </c>
    </row>
    <row r="334">
      <c r="A334" s="361" t="inlineStr">
        <is>
          <t>MOV_ACT615</t>
        </is>
      </c>
      <c r="B334" s="361" t="inlineStr">
        <is>
          <t>Man on the Edge</t>
        </is>
      </c>
      <c r="C334" s="361" t="inlineStr">
        <is>
          <t>Movies</t>
        </is>
      </c>
      <c r="D334" s="361" t="n">
        <v>3</v>
      </c>
      <c r="E334" s="361" t="n">
        <v>2022</v>
      </c>
      <c r="F334" s="361" t="inlineStr">
        <is>
          <t>2025-05-05T00:00:00+07:00</t>
        </is>
      </c>
      <c r="H334" s="362" t="inlineStr">
        <is>
          <t>9e17782f-4a19-4825-81be-1a3dd7fdeb12</t>
        </is>
      </c>
      <c r="I334" s="361" t="inlineStr">
        <is>
          <t>https://censorship.kplus.vn/MediaAssets/Asset/0010fd2f-5a34-f011-8593-0c42a12723cb/StreamPreview</t>
        </is>
      </c>
      <c r="J334" s="361" t="inlineStr">
        <is>
          <t>YES</t>
        </is>
      </c>
      <c r="K334" s="361" t="inlineStr">
        <is>
          <t>Success</t>
        </is>
      </c>
    </row>
    <row r="335">
      <c r="A335" s="361" t="inlineStr">
        <is>
          <t>MOV_ACT625</t>
        </is>
      </c>
      <c r="B335" s="361" t="inlineStr">
        <is>
          <t>SNAKE EYES: G.I. JOE ORIGINS</t>
        </is>
      </c>
      <c r="C335" s="361" t="inlineStr">
        <is>
          <t>Movies</t>
        </is>
      </c>
      <c r="D335" s="361" t="n">
        <v>3</v>
      </c>
      <c r="E335" s="361" t="n">
        <v>2022</v>
      </c>
      <c r="F335" s="361" t="inlineStr">
        <is>
          <t>2025-08-05T00:00:00+07:00</t>
        </is>
      </c>
      <c r="H335" s="361" t="inlineStr">
        <is>
          <t>e7ad40ab-b46b-4d53-a6c1-fe814d88241d</t>
        </is>
      </c>
      <c r="I335" s="361" t="inlineStr">
        <is>
          <t>https://censorship.kplus.vn/MediaAssets/Asset/406ab298-f6ba-f011-8593-0c42a12723cb/StreamPreview</t>
        </is>
      </c>
      <c r="J335" s="361" t="inlineStr">
        <is>
          <t>YES</t>
        </is>
      </c>
      <c r="K335" s="361" t="inlineStr">
        <is>
          <t>Success</t>
        </is>
      </c>
    </row>
    <row r="336">
      <c r="A336" s="361" t="inlineStr">
        <is>
          <t>MOV_SCI26</t>
        </is>
      </c>
      <c r="B336" s="361" t="inlineStr">
        <is>
          <t>INFINITE</t>
        </is>
      </c>
      <c r="C336" s="361" t="inlineStr">
        <is>
          <t>Movies</t>
        </is>
      </c>
      <c r="D336" s="361" t="n">
        <v>3</v>
      </c>
      <c r="E336" s="361" t="n">
        <v>2022</v>
      </c>
      <c r="F336" s="361" t="inlineStr">
        <is>
          <t>2025-08-15T00:00:00+07:00</t>
        </is>
      </c>
      <c r="H336" s="361" t="inlineStr">
        <is>
          <t>13c98620-0b8a-4648-a5bb-723d124f5fb6</t>
        </is>
      </c>
      <c r="I336" s="361" t="inlineStr">
        <is>
          <t>https://censorship.kplus.vn/MediaAssets/Asset/4eb4b42d-adbf-f011-8593-0c42a12723cb/StreamPreview</t>
        </is>
      </c>
      <c r="J336" s="361" t="inlineStr">
        <is>
          <t>YES</t>
        </is>
      </c>
      <c r="K336" s="361" t="inlineStr">
        <is>
          <t>Success</t>
        </is>
      </c>
    </row>
    <row r="337">
      <c r="A337" s="361" t="inlineStr">
        <is>
          <t>MOV_ROM_21__2654654</t>
        </is>
      </c>
      <c r="B337" s="361" t="inlineStr">
        <is>
          <t>THE BREAKUP GURU</t>
        </is>
      </c>
      <c r="C337" s="361" t="inlineStr">
        <is>
          <t>Movies</t>
        </is>
      </c>
      <c r="D337" s="361" t="n">
        <v>2</v>
      </c>
      <c r="E337" s="361" t="n">
        <v>2014</v>
      </c>
      <c r="F337" s="361" t="inlineStr">
        <is>
          <t>2021-08-25T00:00:00+07:00</t>
        </is>
      </c>
      <c r="H337" s="361" t="inlineStr">
        <is>
          <t>d78b93fd-93ba-408a-bd17-fb05b6ec3e0c</t>
        </is>
      </c>
      <c r="I337" s="361" t="inlineStr">
        <is>
          <t>https://censorship.kplus.vn/MediaAssets/Asset/86e2c5ff-d2ea-ee11-9144-f40270bf9ea7/StreamPreview</t>
        </is>
      </c>
      <c r="J337" s="361" t="inlineStr">
        <is>
          <t>YES</t>
        </is>
      </c>
      <c r="K337" s="361" t="inlineStr">
        <is>
          <t>Success</t>
        </is>
      </c>
    </row>
    <row r="338">
      <c r="A338" s="361" t="inlineStr">
        <is>
          <t>MOV_ROM_21__2654655</t>
        </is>
      </c>
      <c r="B338" s="361" t="inlineStr">
        <is>
          <t>FALL IN LOVE LIKE A STAR</t>
        </is>
      </c>
      <c r="C338" s="361" t="inlineStr">
        <is>
          <t>Movies</t>
        </is>
      </c>
      <c r="D338" s="361" t="n">
        <v>2</v>
      </c>
      <c r="E338" s="361" t="n">
        <v>2015</v>
      </c>
      <c r="F338" s="361" t="inlineStr">
        <is>
          <t>2021-08-25T00:00:00+07:00</t>
        </is>
      </c>
      <c r="H338" s="361" t="inlineStr">
        <is>
          <t>a8a71571-5aa7-48b8-bbc2-82263f0a0797</t>
        </is>
      </c>
      <c r="I338" s="361" t="inlineStr">
        <is>
          <t>https://censorship.kplus.vn/MediaAssets/Asset/26b51d99-cbea-ee11-9144-f40270bf9ea7/StreamPreview</t>
        </is>
      </c>
      <c r="J338" s="361" t="inlineStr">
        <is>
          <t>YES</t>
        </is>
      </c>
      <c r="K338" s="361" t="inlineStr">
        <is>
          <t>Success</t>
        </is>
      </c>
    </row>
    <row r="339">
      <c r="A339" s="361" t="inlineStr">
        <is>
          <t>MOV_ANI_21__2654656</t>
        </is>
      </c>
      <c r="B339" s="361" t="inlineStr">
        <is>
          <t>NE ZHA</t>
        </is>
      </c>
      <c r="C339" s="361" t="inlineStr">
        <is>
          <t>Movies</t>
        </is>
      </c>
      <c r="D339" s="361" t="n">
        <v>1</v>
      </c>
      <c r="E339" s="361" t="n">
        <v>2019</v>
      </c>
      <c r="F339" s="361" t="inlineStr">
        <is>
          <t>2021-08-25T00:00:00+07:00</t>
        </is>
      </c>
      <c r="H339" s="361" t="inlineStr">
        <is>
          <t>bda338f1-5512-4db4-820b-919a75eabca0</t>
        </is>
      </c>
      <c r="I339" s="361" t="inlineStr">
        <is>
          <t>https://censorship.kplus.vn/MediaAssets/Asset/859edbdc-c4ea-ee11-9144-f40270bf9ea7/StreamPreview</t>
        </is>
      </c>
      <c r="J339" s="361" t="inlineStr">
        <is>
          <t>YES</t>
        </is>
      </c>
      <c r="K339" s="361" t="inlineStr">
        <is>
          <t>Success</t>
        </is>
      </c>
    </row>
    <row r="340">
      <c r="A340" s="361" t="inlineStr">
        <is>
          <t>MOV_FAN_21__2654657</t>
        </is>
      </c>
      <c r="B340" s="361" t="inlineStr">
        <is>
          <t>SOUL SNATCHER</t>
        </is>
      </c>
      <c r="C340" s="361" t="inlineStr">
        <is>
          <t>Movies</t>
        </is>
      </c>
      <c r="D340" s="361" t="n">
        <v>2</v>
      </c>
      <c r="E340" s="361" t="n">
        <v>2020</v>
      </c>
      <c r="F340" s="361" t="inlineStr">
        <is>
          <t>2021-08-25T00:00:00+07:00</t>
        </is>
      </c>
      <c r="H340" s="361" t="inlineStr">
        <is>
          <t>e6a7a26f-d731-4bc8-bf87-617f8d022f83</t>
        </is>
      </c>
      <c r="I340" s="361" t="inlineStr">
        <is>
          <t>https://censorship.kplus.vn/MediaAssets/Asset/426c9536-96ea-ee11-9144-f40270bf9ea7/StreamPreview</t>
        </is>
      </c>
      <c r="J340" s="361" t="inlineStr">
        <is>
          <t>YES</t>
        </is>
      </c>
      <c r="K340" s="361" t="inlineStr">
        <is>
          <t>Success</t>
        </is>
      </c>
    </row>
    <row r="341">
      <c r="A341" s="361" t="inlineStr">
        <is>
          <t>MOV_THR_21__2654659</t>
        </is>
      </c>
      <c r="B341" s="361" t="inlineStr">
        <is>
          <t>RAT DISASTER</t>
        </is>
      </c>
      <c r="C341" s="361" t="inlineStr">
        <is>
          <t>Movies</t>
        </is>
      </c>
      <c r="D341" s="361" t="n">
        <v>3</v>
      </c>
      <c r="E341" s="361" t="n">
        <v>2021</v>
      </c>
      <c r="F341" s="361" t="inlineStr">
        <is>
          <t>2021-08-25T00:00:00+07:00</t>
        </is>
      </c>
      <c r="H341" s="361" t="inlineStr">
        <is>
          <t>d2925425-16fa-4136-bb78-f122458a876a</t>
        </is>
      </c>
      <c r="I341" s="361" t="inlineStr">
        <is>
          <t>https://censorship.kplus.vn/MediaAssets/Asset/153c6fe9-b5ea-ee11-9144-f40270bf9ea7/StreamPreview</t>
        </is>
      </c>
      <c r="J341" s="361" t="inlineStr">
        <is>
          <t>YES</t>
        </is>
      </c>
      <c r="K341" s="361" t="inlineStr">
        <is>
          <t>Success</t>
        </is>
      </c>
    </row>
    <row r="342">
      <c r="A342" s="361" t="inlineStr">
        <is>
          <t>MOV_MAT_21__2654662</t>
        </is>
      </c>
      <c r="B342" s="361" t="inlineStr">
        <is>
          <t>FEARLESS KUNGFU KING</t>
        </is>
      </c>
      <c r="C342" s="361" t="inlineStr">
        <is>
          <t>Movies</t>
        </is>
      </c>
      <c r="D342" s="361" t="n">
        <v>2</v>
      </c>
      <c r="E342" s="361" t="n">
        <v>2020</v>
      </c>
      <c r="F342" s="361" t="inlineStr">
        <is>
          <t>2021-08-25T00:00:00+07:00</t>
        </is>
      </c>
      <c r="H342" s="361" t="inlineStr">
        <is>
          <t>25312b93-fab6-48aa-871f-8f88e175d89b</t>
        </is>
      </c>
      <c r="I342" s="361" t="inlineStr">
        <is>
          <t>https://censorship.kplus.vn/MediaAssets/Asset/59c9a872-73ea-ee11-9144-f40270bf9ea7/StreamPreview</t>
        </is>
      </c>
      <c r="J342" s="361" t="inlineStr">
        <is>
          <t>YES</t>
        </is>
      </c>
      <c r="K342" s="361" t="inlineStr">
        <is>
          <t>Success</t>
        </is>
      </c>
    </row>
    <row r="343">
      <c r="A343" s="361" t="inlineStr">
        <is>
          <t>MOV_ACT_21__2654663</t>
        </is>
      </c>
      <c r="B343" s="361" t="inlineStr">
        <is>
          <t>MATCHLESS MULAN</t>
        </is>
      </c>
      <c r="C343" s="361" t="inlineStr">
        <is>
          <t>Movies</t>
        </is>
      </c>
      <c r="D343" s="361" t="n">
        <v>2</v>
      </c>
      <c r="E343" s="361" t="n">
        <v>2020</v>
      </c>
      <c r="F343" s="361" t="inlineStr">
        <is>
          <t>2021-08-25T00:00:00+07:00</t>
        </is>
      </c>
      <c r="H343" s="361" t="inlineStr">
        <is>
          <t>ae4ba5ee-3d65-43cb-869f-306c322a3738</t>
        </is>
      </c>
      <c r="I343" s="361" t="inlineStr">
        <is>
          <t>https://censorship.kplus.vn/MediaAssets/Asset/41c81a4e-57ea-ee11-9144-f40270bf9ea7/StreamPreview</t>
        </is>
      </c>
      <c r="J343" s="361" t="inlineStr">
        <is>
          <t>YES</t>
        </is>
      </c>
      <c r="K343" s="361" t="inlineStr">
        <is>
          <t>Success</t>
        </is>
      </c>
    </row>
    <row r="344">
      <c r="A344" s="361" t="inlineStr">
        <is>
          <t>MOV_FAN_21__2654149</t>
        </is>
      </c>
      <c r="B344" s="361" t="inlineStr">
        <is>
          <t>LOVE IN BLOOD</t>
        </is>
      </c>
      <c r="C344" s="361" t="inlineStr">
        <is>
          <t>Movies</t>
        </is>
      </c>
      <c r="D344" s="361" t="n">
        <v>3</v>
      </c>
      <c r="E344" s="361" t="n">
        <v>2020</v>
      </c>
      <c r="F344" s="361" t="inlineStr">
        <is>
          <t>2021-08-15T00:00:00+07:00</t>
        </is>
      </c>
      <c r="H344" s="361" t="inlineStr">
        <is>
          <t>20ddce27-7c55-4372-bfb1-0366c94a619e</t>
        </is>
      </c>
      <c r="I344" s="361" t="inlineStr">
        <is>
          <t>https://censorship.kplus.vn/MediaAssets/Asset/84fe403b-61ea-ee11-9144-f40270bf9ea7/StreamPreview</t>
        </is>
      </c>
      <c r="J344" s="361" t="inlineStr">
        <is>
          <t>YES</t>
        </is>
      </c>
      <c r="K344" s="361" t="inlineStr">
        <is>
          <t>Success</t>
        </is>
      </c>
    </row>
    <row r="345">
      <c r="A345" s="361" t="inlineStr">
        <is>
          <t>MOV_WAR_21__2654664</t>
        </is>
      </c>
      <c r="B345" s="361" t="inlineStr">
        <is>
          <t>GOD OF WAR</t>
        </is>
      </c>
      <c r="C345" s="361" t="inlineStr">
        <is>
          <t>Movies</t>
        </is>
      </c>
      <c r="D345" s="361" t="n">
        <v>3</v>
      </c>
      <c r="E345" s="361" t="n">
        <v>2017</v>
      </c>
      <c r="F345" s="361" t="inlineStr">
        <is>
          <t>2021-08-25T00:00:00+07:00</t>
        </is>
      </c>
      <c r="H345" s="361" t="inlineStr">
        <is>
          <t>e72eecee-67a4-4472-99f0-d1637c5f3ab0</t>
        </is>
      </c>
      <c r="I345" s="361" t="inlineStr">
        <is>
          <t>https://censorship.kplus.vn/MediaAssets/Asset/a37764d0-bfea-ee11-9144-f40270bf9ea7/StreamPreview</t>
        </is>
      </c>
      <c r="J345" s="361" t="inlineStr">
        <is>
          <t>YES</t>
        </is>
      </c>
      <c r="K345" s="361" t="inlineStr">
        <is>
          <t>Success</t>
        </is>
      </c>
    </row>
    <row r="346">
      <c r="A346" s="361" t="inlineStr">
        <is>
          <t>MOV_ACT_21__2654666</t>
        </is>
      </c>
      <c r="B346" s="361" t="inlineStr">
        <is>
          <t>SWORDSMAN</t>
        </is>
      </c>
      <c r="C346" s="361" t="inlineStr">
        <is>
          <t>Movies</t>
        </is>
      </c>
      <c r="D346" s="361" t="n">
        <v>3</v>
      </c>
      <c r="E346" s="361" t="n">
        <v>2020</v>
      </c>
      <c r="F346" s="361" t="inlineStr">
        <is>
          <t>2021-08-25T00:00:00+07:00</t>
        </is>
      </c>
      <c r="H346" s="361" t="inlineStr">
        <is>
          <t>c55cc74b-7ae0-4eec-b800-279b3b796627</t>
        </is>
      </c>
      <c r="I346" s="361" t="inlineStr">
        <is>
          <t>https://censorship.kplus.vn/MediaAssets/Asset/0b4828db-66f8-ee11-9144-f40270bf9ea7/StreamPreview</t>
        </is>
      </c>
      <c r="J346" s="361" t="inlineStr">
        <is>
          <t>YES</t>
        </is>
      </c>
      <c r="K346" s="361" t="inlineStr">
        <is>
          <t>Success</t>
        </is>
      </c>
    </row>
    <row r="347">
      <c r="A347" s="361" t="inlineStr">
        <is>
          <t>MOV_ACT_24__2715557</t>
        </is>
      </c>
      <c r="B347" s="361" t="inlineStr">
        <is>
          <t>Mission: Impossible - Rogue nation</t>
        </is>
      </c>
      <c r="C347" s="361" t="inlineStr">
        <is>
          <t>Movies</t>
        </is>
      </c>
      <c r="D347" s="361" t="n">
        <v>2</v>
      </c>
      <c r="E347" s="361" t="n">
        <v>2015</v>
      </c>
      <c r="F347" s="361" t="inlineStr">
        <is>
          <t>2024-04-02T00:00:00+07:00</t>
        </is>
      </c>
      <c r="H347" s="361" t="inlineStr">
        <is>
          <t>c804d2ef-65d4-4437-8ec1-20df8a4875e3</t>
        </is>
      </c>
      <c r="I347" s="361" t="inlineStr">
        <is>
          <t>https://censorship.kplus.vn/MediaAssets/Asset/6dc94191-ac8a-ef11-8593-0c42a12723cb/StreamPreview</t>
        </is>
      </c>
      <c r="J347" s="361" t="inlineStr">
        <is>
          <t>YES</t>
        </is>
      </c>
      <c r="K347" s="361" t="inlineStr">
        <is>
          <t>Success</t>
        </is>
      </c>
    </row>
    <row r="348">
      <c r="A348" s="361" t="inlineStr">
        <is>
          <t>MOV_ACT_23__2691047</t>
        </is>
      </c>
      <c r="B348" s="361" t="inlineStr">
        <is>
          <t>Rogue</t>
        </is>
      </c>
      <c r="C348" s="361" t="inlineStr">
        <is>
          <t>Movies</t>
        </is>
      </c>
      <c r="D348" s="361" t="n">
        <v>3</v>
      </c>
      <c r="E348" s="361" t="n">
        <v>2020</v>
      </c>
      <c r="F348" s="361" t="inlineStr">
        <is>
          <t>2023-02-23T00:00:00+07:00</t>
        </is>
      </c>
      <c r="H348" s="361" t="inlineStr">
        <is>
          <t>f2258306-4dcb-4197-a268-7896a7f70e45</t>
        </is>
      </c>
      <c r="I348" s="361" t="inlineStr">
        <is>
          <t>https://censorship.kplus.vn/MediaAssets/Asset/c38272f7-e9ef-ee11-9144-f40270bf9ea7/StreamPreview</t>
        </is>
      </c>
      <c r="J348" s="361" t="inlineStr">
        <is>
          <t>YES</t>
        </is>
      </c>
      <c r="K348" s="361" t="inlineStr">
        <is>
          <t>Success</t>
        </is>
      </c>
    </row>
    <row r="349">
      <c r="A349" s="361" t="inlineStr">
        <is>
          <t>MOV_ACT_21__2654660</t>
        </is>
      </c>
      <c r="B349" s="361" t="inlineStr">
        <is>
          <t>ROGUE HEROES</t>
        </is>
      </c>
      <c r="C349" s="361" t="inlineStr">
        <is>
          <t>Movies</t>
        </is>
      </c>
      <c r="D349" s="361" t="n">
        <v>3</v>
      </c>
      <c r="E349" s="361" t="n">
        <v>2021</v>
      </c>
      <c r="F349" s="361" t="inlineStr">
        <is>
          <t>2021-08-25T00:00:00+07:00</t>
        </is>
      </c>
      <c r="H349" s="361" t="inlineStr">
        <is>
          <t>d3655936-47eb-475c-8506-d8df562b8349</t>
        </is>
      </c>
      <c r="I349" s="361" t="inlineStr">
        <is>
          <t>https://censorship.kplus.vn/MediaAssets/Asset/3edd5cd8-84ea-ee11-9144-f40270bf9ea7/StreamPreview</t>
        </is>
      </c>
      <c r="J349" s="361" t="inlineStr">
        <is>
          <t>YES</t>
        </is>
      </c>
      <c r="K349" s="361" t="inlineStr">
        <is>
          <t>Success</t>
        </is>
      </c>
    </row>
    <row r="350">
      <c r="A350" s="361" t="inlineStr">
        <is>
          <t>MOV_HOR_24__2715560</t>
        </is>
      </c>
      <c r="B350" s="361" t="inlineStr">
        <is>
          <t>Crawl</t>
        </is>
      </c>
      <c r="C350" s="361" t="inlineStr">
        <is>
          <t>Movies</t>
        </is>
      </c>
      <c r="D350" s="361" t="n">
        <v>3</v>
      </c>
      <c r="E350" s="361" t="n">
        <v>2019</v>
      </c>
      <c r="F350" s="361" t="inlineStr">
        <is>
          <t>2024-04-02T00:00:00+07:00</t>
        </is>
      </c>
      <c r="H350" s="361" t="inlineStr">
        <is>
          <t>8fcbb374-d2a0-4d2a-a582-cce8b7457db8</t>
        </is>
      </c>
      <c r="I350" s="361" t="inlineStr">
        <is>
          <t>https://censorship.kplus.vn/MediaAssets/Asset/69a85d75-0898-ef11-8593-0c42a12723cb/StreamPreview</t>
        </is>
      </c>
      <c r="J350" s="361" t="inlineStr">
        <is>
          <t>YES</t>
        </is>
      </c>
      <c r="K350" s="361" t="inlineStr">
        <is>
          <t>Success</t>
        </is>
      </c>
    </row>
    <row r="351">
      <c r="A351" s="361" t="inlineStr">
        <is>
          <t>MOV_ACT578</t>
        </is>
      </c>
      <c r="B351" s="361" t="inlineStr">
        <is>
          <t>Jack Ryan: Shadow recruit</t>
        </is>
      </c>
      <c r="C351" s="361" t="inlineStr">
        <is>
          <t>Movies</t>
        </is>
      </c>
      <c r="D351" s="361" t="n">
        <v>3</v>
      </c>
      <c r="E351" s="361" t="n">
        <v>2014</v>
      </c>
      <c r="F351" s="361" t="inlineStr">
        <is>
          <t>2024-06-27T00:00:00+07:00</t>
        </is>
      </c>
      <c r="H351" s="361" t="inlineStr">
        <is>
          <t>70a82fd5-ddd7-4810-8885-707b14481c2b</t>
        </is>
      </c>
      <c r="I351" s="361" t="inlineStr">
        <is>
          <t>https://censorship.kplus.vn/MediaAssets/Asset/ce9a9bd0-cc7c-ef11-8593-0c42a12723cb/StreamPreview</t>
        </is>
      </c>
      <c r="J351" s="361" t="inlineStr">
        <is>
          <t>YES</t>
        </is>
      </c>
      <c r="K351" s="361" t="inlineStr">
        <is>
          <t>Success</t>
        </is>
      </c>
    </row>
    <row r="352">
      <c r="A352" s="361" t="inlineStr">
        <is>
          <t>MOV_ACT624</t>
        </is>
      </c>
      <c r="B352" s="361" t="inlineStr">
        <is>
          <t>MISSION: IMPOSSIBLE - FALLOUT</t>
        </is>
      </c>
      <c r="C352" s="361" t="inlineStr">
        <is>
          <t>Movies</t>
        </is>
      </c>
      <c r="D352" s="361" t="n">
        <v>1</v>
      </c>
      <c r="E352" s="361" t="n">
        <v>2018</v>
      </c>
      <c r="F352" s="361" t="inlineStr">
        <is>
          <t>2025-08-05T00:00:00+07:00</t>
        </is>
      </c>
      <c r="H352" s="361" t="inlineStr">
        <is>
          <t>3f5708d7-64a6-42d2-910c-4e8468ceda6a</t>
        </is>
      </c>
      <c r="I352" s="361" t="inlineStr">
        <is>
          <t>https://censorship.kplus.vn/MediaAssets/Asset/06fdc5fe-6a82-f011-8593-0c42a12723cb/StreamPreview</t>
        </is>
      </c>
      <c r="J352" s="361" t="inlineStr">
        <is>
          <t>YES</t>
        </is>
      </c>
      <c r="K352" s="361" t="inlineStr">
        <is>
          <t>Success</t>
        </is>
      </c>
    </row>
    <row r="353">
      <c r="A353" s="361" t="inlineStr">
        <is>
          <t>MOV_ACT581</t>
        </is>
      </c>
      <c r="B353" s="361" t="inlineStr">
        <is>
          <t>Mission: Impossible</t>
        </is>
      </c>
      <c r="C353" s="361" t="inlineStr">
        <is>
          <t>Movies</t>
        </is>
      </c>
      <c r="D353" s="361" t="n">
        <v>2</v>
      </c>
      <c r="E353" s="361" t="n">
        <v>1996</v>
      </c>
      <c r="F353" s="361" t="inlineStr">
        <is>
          <t>2024-06-27T00:00:00+07:00</t>
        </is>
      </c>
      <c r="H353" s="361" t="inlineStr">
        <is>
          <t>65bc50fc-99e9-4665-a52c-2909c8b8fd64</t>
        </is>
      </c>
      <c r="I353" s="361" t="inlineStr">
        <is>
          <t>https://censorship.kplus.vn/MediaAssets/Asset/21575709-8863-ef11-8593-0c42a12723cb/StreamPreview</t>
        </is>
      </c>
      <c r="J353" s="361" t="inlineStr">
        <is>
          <t>YES</t>
        </is>
      </c>
      <c r="K353" s="361" t="inlineStr">
        <is>
          <t>Success</t>
        </is>
      </c>
    </row>
    <row r="354">
      <c r="A354" s="361" t="inlineStr">
        <is>
          <t>MOV_ACT_24__2715559</t>
        </is>
      </c>
      <c r="B354" s="361" t="inlineStr">
        <is>
          <t>Mission: Impossible III</t>
        </is>
      </c>
      <c r="C354" s="361" t="inlineStr">
        <is>
          <t>Movies</t>
        </is>
      </c>
      <c r="D354" s="361" t="n">
        <v>2</v>
      </c>
      <c r="E354" s="361" t="n">
        <v>2006</v>
      </c>
      <c r="F354" s="361" t="inlineStr">
        <is>
          <t>2024-04-02T00:00:00+07:00</t>
        </is>
      </c>
      <c r="H354" s="361" t="inlineStr">
        <is>
          <t>2bb629af-f6db-4368-936b-dbd078632e13</t>
        </is>
      </c>
      <c r="I354" s="361" t="inlineStr">
        <is>
          <t>https://censorship.kplus.vn/MediaAssets/Asset/b525d085-5d64-ef11-8593-0c42a12723cb/StreamPreview</t>
        </is>
      </c>
      <c r="J354" s="361" t="inlineStr">
        <is>
          <t>YES</t>
        </is>
      </c>
      <c r="K354" s="361" t="inlineStr">
        <is>
          <t>Success</t>
        </is>
      </c>
    </row>
    <row r="355">
      <c r="A355" s="361" t="inlineStr">
        <is>
          <t>MOV_ACT_24__2715558</t>
        </is>
      </c>
      <c r="B355" s="361" t="inlineStr">
        <is>
          <t>Mission: Impossible II</t>
        </is>
      </c>
      <c r="C355" s="361" t="inlineStr">
        <is>
          <t>Movies</t>
        </is>
      </c>
      <c r="D355" s="361" t="n">
        <v>2</v>
      </c>
      <c r="E355" s="361" t="n">
        <v>2000</v>
      </c>
      <c r="F355" s="361" t="inlineStr">
        <is>
          <t>2024-04-02T00:00:00+07:00</t>
        </is>
      </c>
      <c r="H355" s="361" t="inlineStr">
        <is>
          <t>eebc25fd-33e8-4a55-a2b4-2cfa7a7be84d</t>
        </is>
      </c>
      <c r="I355" s="361" t="inlineStr">
        <is>
          <t>https://censorship.kplus.vn/MediaAssets/Asset/7321fafa-b05e-ef11-8593-0c42a12723cb/StreamPreview</t>
        </is>
      </c>
      <c r="J355" s="361" t="inlineStr">
        <is>
          <t>YES</t>
        </is>
      </c>
      <c r="K355" s="361" t="inlineStr">
        <is>
          <t>Success</t>
        </is>
      </c>
    </row>
    <row r="356">
      <c r="A356" s="361" t="inlineStr">
        <is>
          <t>MOV_ACT_24__2715557</t>
        </is>
      </c>
      <c r="B356" s="361" t="inlineStr">
        <is>
          <t>Mission: Impossible - Rogue nation</t>
        </is>
      </c>
      <c r="C356" s="361" t="inlineStr">
        <is>
          <t>Movies</t>
        </is>
      </c>
      <c r="D356" s="361" t="n">
        <v>2</v>
      </c>
      <c r="E356" s="361" t="n">
        <v>2015</v>
      </c>
      <c r="F356" s="361" t="inlineStr">
        <is>
          <t>2024-04-02T00:00:00+07:00</t>
        </is>
      </c>
      <c r="H356" s="361" t="inlineStr">
        <is>
          <t>c804d2ef-65d4-4437-8ec1-20df8a4875e3</t>
        </is>
      </c>
      <c r="I356" s="361" t="inlineStr">
        <is>
          <t>https://censorship.kplus.vn/MediaAssets/Asset/6dc94191-ac8a-ef11-8593-0c42a12723cb/StreamPreview</t>
        </is>
      </c>
      <c r="J356" s="361" t="inlineStr">
        <is>
          <t>YES</t>
        </is>
      </c>
      <c r="K356" s="361" t="inlineStr">
        <is>
          <t>Success</t>
        </is>
      </c>
    </row>
    <row r="357">
      <c r="A357" s="361" t="inlineStr">
        <is>
          <t>MOV_ACT_24__2715556</t>
        </is>
      </c>
      <c r="B357" s="361" t="inlineStr">
        <is>
          <t>Mission: Impossible - Ghost protocol</t>
        </is>
      </c>
      <c r="C357" s="361" t="inlineStr">
        <is>
          <t>Movies</t>
        </is>
      </c>
      <c r="D357" s="361" t="n">
        <v>3</v>
      </c>
      <c r="E357" s="361" t="n">
        <v>2011</v>
      </c>
      <c r="F357" s="361" t="inlineStr">
        <is>
          <t>2024-04-02T00:00:00+07:00</t>
        </is>
      </c>
      <c r="H357" s="361" t="inlineStr">
        <is>
          <t>b0c39ec4-e83e-42f5-96ab-8006b5982f4b</t>
        </is>
      </c>
      <c r="I357" s="361" t="inlineStr">
        <is>
          <t>https://censorship.kplus.vn/MediaAssets/Asset/1913b541-e686-ef11-8593-0c42a12723cb/StreamPreview</t>
        </is>
      </c>
      <c r="J357" s="361" t="inlineStr">
        <is>
          <t>YES</t>
        </is>
      </c>
      <c r="K357" s="361" t="inlineStr">
        <is>
          <t>Success</t>
        </is>
      </c>
    </row>
    <row r="358">
      <c r="A358" s="361" t="inlineStr">
        <is>
          <t>MOV_ACT_24__2715556</t>
        </is>
      </c>
      <c r="B358" s="361" t="inlineStr">
        <is>
          <t>Mission: Impossible - Ghost protocol</t>
        </is>
      </c>
      <c r="C358" s="361" t="inlineStr">
        <is>
          <t>Movies</t>
        </is>
      </c>
      <c r="D358" s="361" t="n">
        <v>3</v>
      </c>
      <c r="E358" s="361" t="n">
        <v>2011</v>
      </c>
      <c r="F358" s="361" t="inlineStr">
        <is>
          <t>2024-04-02T00:00:00+07:00</t>
        </is>
      </c>
      <c r="H358" s="361" t="inlineStr">
        <is>
          <t>b0c39ec4-e83e-42f5-96ab-8006b5982f4b</t>
        </is>
      </c>
      <c r="I358" s="361" t="inlineStr">
        <is>
          <t>https://censorship.kplus.vn/MediaAssets/Asset/1913b541-e686-ef11-8593-0c42a12723cb/StreamPreview</t>
        </is>
      </c>
      <c r="J358" s="361" t="inlineStr">
        <is>
          <t>YES</t>
        </is>
      </c>
      <c r="K358" s="361" t="inlineStr">
        <is>
          <t>Success</t>
        </is>
      </c>
    </row>
    <row r="359">
      <c r="A359" s="361" t="inlineStr">
        <is>
          <t>MOV_ACT_24__2715557</t>
        </is>
      </c>
      <c r="B359" s="361" t="inlineStr">
        <is>
          <t>Mission: Impossible - Rogue nation</t>
        </is>
      </c>
      <c r="C359" s="361" t="inlineStr">
        <is>
          <t>Movies</t>
        </is>
      </c>
      <c r="D359" s="361" t="n">
        <v>2</v>
      </c>
      <c r="E359" s="361" t="n">
        <v>2015</v>
      </c>
      <c r="F359" s="361" t="inlineStr">
        <is>
          <t>2024-04-02T00:00:00+07:00</t>
        </is>
      </c>
      <c r="H359" s="361" t="inlineStr">
        <is>
          <t>c804d2ef-65d4-4437-8ec1-20df8a4875e3</t>
        </is>
      </c>
      <c r="I359" s="361" t="inlineStr">
        <is>
          <t>https://censorship.kplus.vn/MediaAssets/Asset/6dc94191-ac8a-ef11-8593-0c42a12723cb/StreamPreview</t>
        </is>
      </c>
      <c r="J359" s="361" t="inlineStr">
        <is>
          <t>YES</t>
        </is>
      </c>
      <c r="K359" s="361" t="inlineStr">
        <is>
          <t>Success</t>
        </is>
      </c>
    </row>
    <row r="360">
      <c r="A360" s="361" t="inlineStr">
        <is>
          <t>MOV_ACT_24__2715559</t>
        </is>
      </c>
      <c r="B360" s="361" t="inlineStr">
        <is>
          <t>Mission: Impossible III</t>
        </is>
      </c>
      <c r="C360" s="361" t="inlineStr">
        <is>
          <t>Movies</t>
        </is>
      </c>
      <c r="D360" s="361" t="n">
        <v>2</v>
      </c>
      <c r="E360" s="361" t="n">
        <v>2006</v>
      </c>
      <c r="F360" s="361" t="inlineStr">
        <is>
          <t>2024-04-02T00:00:00+07:00</t>
        </is>
      </c>
      <c r="H360" s="361" t="inlineStr">
        <is>
          <t>2bb629af-f6db-4368-936b-dbd078632e13</t>
        </is>
      </c>
      <c r="I360" s="361" t="inlineStr">
        <is>
          <t>https://censorship.kplus.vn/MediaAssets/Asset/b525d085-5d64-ef11-8593-0c42a12723cb/StreamPreview</t>
        </is>
      </c>
      <c r="J360" s="361" t="inlineStr">
        <is>
          <t>YES</t>
        </is>
      </c>
      <c r="K360" s="361" t="inlineStr">
        <is>
          <t>Success</t>
        </is>
      </c>
    </row>
    <row r="361">
      <c r="A361" s="361" t="inlineStr">
        <is>
          <t>MOV_ACT_24__2715558</t>
        </is>
      </c>
      <c r="B361" s="361" t="inlineStr">
        <is>
          <t>Mission: Impossible II</t>
        </is>
      </c>
      <c r="C361" s="361" t="inlineStr">
        <is>
          <t>Movies</t>
        </is>
      </c>
      <c r="D361" s="361" t="n">
        <v>2</v>
      </c>
      <c r="E361" s="361" t="n">
        <v>2000</v>
      </c>
      <c r="F361" s="361" t="inlineStr">
        <is>
          <t>2024-04-02T00:00:00+07:00</t>
        </is>
      </c>
      <c r="H361" s="361" t="inlineStr">
        <is>
          <t>eebc25fd-33e8-4a55-a2b4-2cfa7a7be84d</t>
        </is>
      </c>
      <c r="I361" s="361" t="inlineStr">
        <is>
          <t>https://censorship.kplus.vn/MediaAssets/Asset/7321fafa-b05e-ef11-8593-0c42a12723cb/StreamPreview</t>
        </is>
      </c>
      <c r="J361" s="361" t="inlineStr">
        <is>
          <t>YES</t>
        </is>
      </c>
      <c r="K361" s="361" t="inlineStr">
        <is>
          <t>Success</t>
        </is>
      </c>
    </row>
    <row r="362">
      <c r="A362" s="361" t="inlineStr">
        <is>
          <t>MOV_ACT_24__2715559</t>
        </is>
      </c>
      <c r="B362" s="361" t="inlineStr">
        <is>
          <t>Mission: Impossible III</t>
        </is>
      </c>
      <c r="C362" s="361" t="inlineStr">
        <is>
          <t>Movies</t>
        </is>
      </c>
      <c r="D362" s="361" t="n">
        <v>2</v>
      </c>
      <c r="E362" s="361" t="n">
        <v>2006</v>
      </c>
      <c r="F362" s="361" t="inlineStr">
        <is>
          <t>2024-04-02T00:00:00+07:00</t>
        </is>
      </c>
      <c r="H362" s="361" t="inlineStr">
        <is>
          <t>2bb629af-f6db-4368-936b-dbd078632e13</t>
        </is>
      </c>
      <c r="I362" s="361" t="inlineStr">
        <is>
          <t>https://censorship.kplus.vn/MediaAssets/Asset/b525d085-5d64-ef11-8593-0c42a12723cb/StreamPreview</t>
        </is>
      </c>
      <c r="J362" s="361" t="inlineStr">
        <is>
          <t>YES</t>
        </is>
      </c>
      <c r="K362" s="361" t="inlineStr">
        <is>
          <t>Success</t>
        </is>
      </c>
    </row>
    <row r="363">
      <c r="A363" s="361" t="inlineStr">
        <is>
          <t>MOV_ACT579</t>
        </is>
      </c>
      <c r="B363" s="361" t="inlineStr">
        <is>
          <t xml:space="preserve">Terminator Genisys </t>
        </is>
      </c>
      <c r="C363" s="361" t="inlineStr">
        <is>
          <t>Movies</t>
        </is>
      </c>
      <c r="D363" s="361" t="n">
        <v>3</v>
      </c>
      <c r="E363" s="361" t="n">
        <v>2015</v>
      </c>
      <c r="F363" s="361" t="inlineStr">
        <is>
          <t>2024-06-27T00:00:00+07:00</t>
        </is>
      </c>
      <c r="H363" s="361" t="inlineStr">
        <is>
          <t>ab75f97e-e9ff-42a3-a708-f96885647e75</t>
        </is>
      </c>
      <c r="I363" s="361" t="inlineStr">
        <is>
          <t>https://censorship.kplus.vn/MediaAssets/Asset/7c4c93e5-5b79-ef11-8593-0c42a12723cb/StreamPreview</t>
        </is>
      </c>
      <c r="J363" s="361" t="inlineStr">
        <is>
          <t>YES</t>
        </is>
      </c>
      <c r="K363" s="361" t="inlineStr">
        <is>
          <t>Success</t>
        </is>
      </c>
    </row>
    <row r="364">
      <c r="A364" s="361" t="inlineStr">
        <is>
          <t>MOV_ACT580</t>
        </is>
      </c>
      <c r="B364" s="361" t="inlineStr">
        <is>
          <t>Transformers: The Last Knight</t>
        </is>
      </c>
      <c r="C364" s="361" t="inlineStr">
        <is>
          <t>Movies</t>
        </is>
      </c>
      <c r="D364" s="361" t="n">
        <v>3</v>
      </c>
      <c r="E364" s="361" t="n">
        <v>2017</v>
      </c>
      <c r="F364" s="361" t="inlineStr">
        <is>
          <t>2024-06-27T00:00:00+07:00</t>
        </is>
      </c>
      <c r="H364" s="361" t="inlineStr">
        <is>
          <t>ddbc69ce-7fc9-4f3d-9bb2-600403808f59</t>
        </is>
      </c>
      <c r="I364" s="361" t="inlineStr">
        <is>
          <t>https://censorship.kplus.vn/MediaAssets/Asset/5d1d7473-0186-ef11-8593-0c42a12723cb/StreamPreview</t>
        </is>
      </c>
      <c r="J364" s="361" t="inlineStr">
        <is>
          <t>YES</t>
        </is>
      </c>
      <c r="K364" s="361" t="inlineStr">
        <is>
          <t>Success</t>
        </is>
      </c>
    </row>
    <row r="365">
      <c r="A365" s="361" t="inlineStr">
        <is>
          <t>MOV_ACT594</t>
        </is>
      </c>
      <c r="B365" s="361" t="inlineStr">
        <is>
          <t>Retribution</t>
        </is>
      </c>
      <c r="C365" s="361" t="inlineStr">
        <is>
          <t>Movies</t>
        </is>
      </c>
      <c r="D365" s="361" t="n">
        <v>3</v>
      </c>
      <c r="E365" s="361" t="n">
        <v>2023</v>
      </c>
      <c r="F365" s="361" t="inlineStr">
        <is>
          <t>2024-12-11T00:00:00+07:00</t>
        </is>
      </c>
      <c r="H365" s="361" t="inlineStr">
        <is>
          <t>2df13dd4-34c1-45fc-8054-c52eff968303</t>
        </is>
      </c>
      <c r="I365" s="361" t="inlineStr">
        <is>
          <t>https://censorship.kplus.vn/MediaAssets/Asset/5b61c998-7ac3-ef11-8593-0c42a12723cb/StreamPreview</t>
        </is>
      </c>
      <c r="J365" s="361" t="inlineStr">
        <is>
          <t>YES</t>
        </is>
      </c>
      <c r="K365" s="361" t="inlineStr">
        <is>
          <t>Success</t>
        </is>
      </c>
    </row>
    <row r="366">
      <c r="A366" s="361" t="inlineStr">
        <is>
          <t>MOV_ACT__2649017</t>
        </is>
      </c>
      <c r="B366" s="361" t="inlineStr">
        <is>
          <t>RESIDENT EVIL: RETRIBUTION</t>
        </is>
      </c>
      <c r="C366" s="361" t="inlineStr">
        <is>
          <t>Movies</t>
        </is>
      </c>
      <c r="D366" s="361" t="n">
        <v>3</v>
      </c>
      <c r="E366" s="361" t="n">
        <v>2012</v>
      </c>
      <c r="F366" s="361" t="inlineStr">
        <is>
          <t>2021-04-27T00:00:00+07:00</t>
        </is>
      </c>
      <c r="H366" s="361" t="inlineStr">
        <is>
          <t>88c17a1d-3cd4-4f12-9ec7-a350e1761e95</t>
        </is>
      </c>
      <c r="I366" s="361" t="inlineStr">
        <is>
          <t>https://censorship.kplus.vn/MediaAssets/Asset/0e8b17d9-50ea-ee11-9144-f40270bf9ea7/StreamPreview</t>
        </is>
      </c>
      <c r="J366" s="361" t="inlineStr">
        <is>
          <t>YES</t>
        </is>
      </c>
      <c r="K366" s="361" t="inlineStr">
        <is>
          <t>Success</t>
        </is>
      </c>
    </row>
    <row r="367">
      <c r="A367" s="361" t="inlineStr">
        <is>
          <t>MOV_ACT595</t>
        </is>
      </c>
      <c r="B367" s="361" t="inlineStr">
        <is>
          <t>The Hunger Games: Ballad of Songbirds and Snakes</t>
        </is>
      </c>
      <c r="C367" s="361" t="inlineStr">
        <is>
          <t>Movies</t>
        </is>
      </c>
      <c r="D367" s="361" t="n">
        <v>3</v>
      </c>
      <c r="E367" s="361" t="n">
        <v>2023</v>
      </c>
      <c r="F367" s="361" t="inlineStr">
        <is>
          <t>2024-12-11T00:00:00+07:00</t>
        </is>
      </c>
      <c r="H367" s="361" t="inlineStr">
        <is>
          <t>4b2bf0d3-62c9-43e4-9bc4-c0a74e898dc6</t>
        </is>
      </c>
      <c r="I367" s="361" t="inlineStr">
        <is>
          <t>https://censorship.kplus.vn/MediaAssets/Asset/f88991b1-73d1-ef11-8593-0c42a12723cb/StreamPreview</t>
        </is>
      </c>
      <c r="J367" s="361" t="inlineStr">
        <is>
          <t>YES</t>
        </is>
      </c>
      <c r="K367" s="361" t="inlineStr">
        <is>
          <t>Success</t>
        </is>
      </c>
    </row>
    <row r="368">
      <c r="A368" s="361" t="inlineStr">
        <is>
          <t>MOV_DRA731</t>
        </is>
      </c>
      <c r="B368" s="361" t="inlineStr">
        <is>
          <t>Article 20</t>
        </is>
      </c>
      <c r="C368" s="361" t="inlineStr">
        <is>
          <t>Movies</t>
        </is>
      </c>
      <c r="D368" s="361" t="n">
        <v>1</v>
      </c>
      <c r="E368" s="361" t="n">
        <v>2024</v>
      </c>
      <c r="F368" s="361" t="inlineStr">
        <is>
          <t>2024-12-11T00:00:00+07:00</t>
        </is>
      </c>
      <c r="H368" s="361" t="inlineStr">
        <is>
          <t>a8ea48a0-fe5e-4c25-84b9-081bf4a507de</t>
        </is>
      </c>
      <c r="I368" s="361" t="inlineStr">
        <is>
          <t>https://censorship.kplus.vn/MediaAssets/Asset/267829d8-7022-f011-8593-0c42a12723cb/StreamPreview</t>
        </is>
      </c>
      <c r="J368" s="361" t="inlineStr">
        <is>
          <t>YES</t>
        </is>
      </c>
      <c r="K368" s="361" t="inlineStr">
        <is>
          <t>Success</t>
        </is>
      </c>
    </row>
    <row r="369">
      <c r="A369" s="361" t="inlineStr">
        <is>
          <t>MOV_ACT_23__2692453</t>
        </is>
      </c>
      <c r="B369" s="361" t="inlineStr">
        <is>
          <t>Resident Evil: Retribution (không dùng)</t>
        </is>
      </c>
      <c r="C369" s="361" t="inlineStr">
        <is>
          <t>Movies</t>
        </is>
      </c>
      <c r="D369" s="361" t="n">
        <v>3</v>
      </c>
      <c r="F369" s="361" t="inlineStr">
        <is>
          <t>2023-03-08T00:00:00+07:00</t>
        </is>
      </c>
      <c r="H369" s="361" t="inlineStr">
        <is>
          <t>f3497aaf-63f2-4d23-91f6-f5426e05f5da</t>
        </is>
      </c>
      <c r="I369" s="361" t="inlineStr">
        <is>
          <t>https://censorship.kplus.vn/MediaAssets/Asset/2db564d7-66f0-ee11-9144-f40270bf9ea7/StreamPreview</t>
        </is>
      </c>
      <c r="J369" s="361" t="inlineStr">
        <is>
          <t>NO (404)</t>
        </is>
      </c>
      <c r="K369" s="361" t="inlineStr">
        <is>
          <t>Success</t>
        </is>
      </c>
    </row>
    <row r="370">
      <c r="A370" s="361" t="inlineStr">
        <is>
          <t>MOV_ACT_LNIM_17__2499678</t>
        </is>
      </c>
      <c r="B370" s="361" t="inlineStr">
        <is>
          <t>ATHENA: GODDESS OF WAR</t>
        </is>
      </c>
      <c r="C370" s="361" t="inlineStr">
        <is>
          <t>Movies</t>
        </is>
      </c>
      <c r="D370" s="361" t="n">
        <v>1</v>
      </c>
      <c r="E370" s="361" t="n">
        <v>2015</v>
      </c>
      <c r="F370" s="361" t="inlineStr">
        <is>
          <t>2018-07-26T00:00:00+07:00</t>
        </is>
      </c>
      <c r="H370" s="361" t="inlineStr">
        <is>
          <t>d290614a-2864-4976-a1f1-ba95f4e6f774</t>
        </is>
      </c>
      <c r="J370" s="361" t="inlineStr">
        <is>
          <t>MXF NOT FOUND</t>
        </is>
      </c>
      <c r="K370" s="361" t="inlineStr">
        <is>
          <t>Success</t>
        </is>
      </c>
    </row>
    <row r="371">
      <c r="A371" s="361" t="inlineStr">
        <is>
          <t>MOV_CRI_LNIM__16__2493014</t>
        </is>
      </c>
      <c r="B371" s="361" t="inlineStr">
        <is>
          <t>NIGHTCRAWLER</t>
        </is>
      </c>
      <c r="C371" s="361" t="inlineStr">
        <is>
          <t>Movies</t>
        </is>
      </c>
      <c r="F371" s="361" t="inlineStr">
        <is>
          <t>2018-01-23T00:00:00+07:00</t>
        </is>
      </c>
      <c r="H371" s="361" t="inlineStr">
        <is>
          <t>5df22cee-d975-441f-990a-ef398684b8a3</t>
        </is>
      </c>
      <c r="J371" s="361" t="inlineStr">
        <is>
          <t>MXF NOT FOUND</t>
        </is>
      </c>
      <c r="K371" s="361" t="inlineStr">
        <is>
          <t>Success</t>
        </is>
      </c>
    </row>
    <row r="372">
      <c r="A372" s="361" t="inlineStr">
        <is>
          <t>MOV_ACT_24__2715553</t>
        </is>
      </c>
      <c r="B372" s="361" t="inlineStr">
        <is>
          <t>Terminator genisys</t>
        </is>
      </c>
      <c r="C372" s="361" t="inlineStr">
        <is>
          <t>Movies</t>
        </is>
      </c>
      <c r="D372" s="361" t="n">
        <v>1</v>
      </c>
      <c r="F372" s="361" t="inlineStr">
        <is>
          <t>2024-04-02T00:00:00+07:00</t>
        </is>
      </c>
      <c r="H372" s="361" t="inlineStr">
        <is>
          <t>f4954133-ae36-4ecb-b7f5-fe2f26a62751</t>
        </is>
      </c>
      <c r="J372" s="361" t="inlineStr">
        <is>
          <t>MXF NOT FOUND</t>
        </is>
      </c>
      <c r="K372" s="361" t="inlineStr">
        <is>
          <t>Success</t>
        </is>
      </c>
    </row>
    <row r="373">
      <c r="A373" s="361" t="inlineStr">
        <is>
          <t>MOV_DRA734</t>
        </is>
      </c>
      <c r="B373" s="361" t="inlineStr">
        <is>
          <t xml:space="preserve"> Shockingly Evil and Vile </t>
        </is>
      </c>
      <c r="C373" s="361" t="inlineStr">
        <is>
          <t>Movies</t>
        </is>
      </c>
      <c r="E373" s="361" t="inlineStr">
        <is>
          <t>HD</t>
        </is>
      </c>
      <c r="F373" s="361" t="inlineStr">
        <is>
          <t>2024-12-19T00:00:00+07:00</t>
        </is>
      </c>
      <c r="H373" s="361" t="inlineStr">
        <is>
          <t>08025ed4-7d21-4ad0-a2c7-12ce69b19439</t>
        </is>
      </c>
      <c r="I373" s="361" t="inlineStr">
        <is>
          <t>https://censorship.kplus.vn/MediaAssets/Asset/0c5f090a-55c6-ef11-8593-0c42a12723cb/StreamPreview</t>
        </is>
      </c>
      <c r="J373" s="361" t="inlineStr">
        <is>
          <t>YES</t>
        </is>
      </c>
      <c r="K373" s="361" t="inlineStr">
        <is>
          <t>Success</t>
        </is>
      </c>
    </row>
    <row r="374" ht="14.4" customHeight="1" s="578">
      <c r="A374" s="361" t="inlineStr">
        <is>
          <t>MOV_ROM_21__2654654</t>
        </is>
      </c>
      <c r="B374" t="inlineStr">
        <is>
          <t>THE BREAKUP GURU</t>
        </is>
      </c>
      <c r="C374" s="361" t="inlineStr">
        <is>
          <t>Movies</t>
        </is>
      </c>
      <c r="D374" s="361" t="n">
        <v>2</v>
      </c>
      <c r="E374" s="361" t="n">
        <v>2014</v>
      </c>
      <c r="F374" s="361" t="inlineStr">
        <is>
          <t>2021-08-25T00:00:00+07:00</t>
        </is>
      </c>
      <c r="H374" s="361" t="inlineStr">
        <is>
          <t>d78b93fd-93ba-408a-bd17-fb05b6ec3e0c</t>
        </is>
      </c>
      <c r="I374" s="361" t="inlineStr">
        <is>
          <t>https://censorship.kplus.vn/MediaAssets/Asset/86e2c5ff-d2ea-ee11-9144-f40270bf9ea7/StreamPreview</t>
        </is>
      </c>
      <c r="J374" s="361" t="inlineStr">
        <is>
          <t>YES</t>
        </is>
      </c>
      <c r="K374" s="361" t="inlineStr">
        <is>
          <t>Success</t>
        </is>
      </c>
    </row>
    <row r="375" ht="14.4" customHeight="1" s="578">
      <c r="A375" s="361" t="inlineStr">
        <is>
          <t>MOV_ROM_21__2654655</t>
        </is>
      </c>
      <c r="B375" t="inlineStr">
        <is>
          <t>FALL IN LOVE LIKE A STAR</t>
        </is>
      </c>
      <c r="C375" s="361" t="inlineStr">
        <is>
          <t>Movies</t>
        </is>
      </c>
      <c r="D375" s="361" t="n">
        <v>2</v>
      </c>
      <c r="E375" s="361" t="n">
        <v>2015</v>
      </c>
      <c r="F375" s="361" t="inlineStr">
        <is>
          <t>2021-08-25T00:00:00+07:00</t>
        </is>
      </c>
      <c r="H375" s="361" t="inlineStr">
        <is>
          <t>a8a71571-5aa7-48b8-bbc2-82263f0a0797</t>
        </is>
      </c>
      <c r="I375" s="361" t="inlineStr">
        <is>
          <t>https://censorship.kplus.vn/MediaAssets/Asset/26b51d99-cbea-ee11-9144-f40270bf9ea7/StreamPreview</t>
        </is>
      </c>
      <c r="J375" s="361" t="inlineStr">
        <is>
          <t>YES</t>
        </is>
      </c>
      <c r="K375" s="361" t="inlineStr">
        <is>
          <t>Success</t>
        </is>
      </c>
    </row>
    <row r="376" ht="14.4" customHeight="1" s="578">
      <c r="A376" s="361" t="inlineStr">
        <is>
          <t>MOV_ANI_21__2654656</t>
        </is>
      </c>
      <c r="B376" t="inlineStr">
        <is>
          <t>NE ZHA</t>
        </is>
      </c>
      <c r="C376" s="361" t="inlineStr">
        <is>
          <t>Movies</t>
        </is>
      </c>
      <c r="D376" s="361" t="n">
        <v>1</v>
      </c>
      <c r="E376" s="361" t="n">
        <v>2019</v>
      </c>
      <c r="F376" s="361" t="inlineStr">
        <is>
          <t>2021-08-25T00:00:00+07:00</t>
        </is>
      </c>
      <c r="H376" s="361" t="inlineStr">
        <is>
          <t>bda338f1-5512-4db4-820b-919a75eabca0</t>
        </is>
      </c>
      <c r="I376" s="361" t="inlineStr">
        <is>
          <t>https://censorship.kplus.vn/MediaAssets/Asset/859edbdc-c4ea-ee11-9144-f40270bf9ea7/StreamPreview</t>
        </is>
      </c>
      <c r="J376" s="361" t="inlineStr">
        <is>
          <t>YES</t>
        </is>
      </c>
      <c r="K376" s="361" t="inlineStr">
        <is>
          <t>Success</t>
        </is>
      </c>
    </row>
    <row r="377" ht="14.4" customHeight="1" s="578">
      <c r="A377" s="361" t="inlineStr">
        <is>
          <t>MOV_FAN_21__2654657</t>
        </is>
      </c>
      <c r="B377" t="inlineStr">
        <is>
          <t>SOUL SNATCHER</t>
        </is>
      </c>
      <c r="C377" s="361" t="inlineStr">
        <is>
          <t>Movies</t>
        </is>
      </c>
      <c r="D377" s="361" t="n">
        <v>2</v>
      </c>
      <c r="E377" s="361" t="n">
        <v>2020</v>
      </c>
      <c r="F377" s="361" t="inlineStr">
        <is>
          <t>2021-08-25T00:00:00+07:00</t>
        </is>
      </c>
      <c r="H377" s="361" t="inlineStr">
        <is>
          <t>e6a7a26f-d731-4bc8-bf87-617f8d022f83</t>
        </is>
      </c>
      <c r="I377" s="361" t="inlineStr">
        <is>
          <t>https://censorship.kplus.vn/MediaAssets/Asset/426c9536-96ea-ee11-9144-f40270bf9ea7/StreamPreview</t>
        </is>
      </c>
      <c r="J377" s="361" t="inlineStr">
        <is>
          <t>YES</t>
        </is>
      </c>
      <c r="K377" s="361" t="inlineStr">
        <is>
          <t>Success</t>
        </is>
      </c>
    </row>
    <row r="378" ht="14.4" customHeight="1" s="578">
      <c r="A378" s="361" t="inlineStr">
        <is>
          <t>MOV_THR_21__2654659</t>
        </is>
      </c>
      <c r="B378" t="inlineStr">
        <is>
          <t>RAT DISASTER</t>
        </is>
      </c>
      <c r="C378" s="361" t="inlineStr">
        <is>
          <t>Movies</t>
        </is>
      </c>
      <c r="D378" s="361" t="n">
        <v>3</v>
      </c>
      <c r="E378" s="361" t="n">
        <v>2021</v>
      </c>
      <c r="F378" s="361" t="inlineStr">
        <is>
          <t>2021-08-25T00:00:00+07:00</t>
        </is>
      </c>
      <c r="H378" s="361" t="inlineStr">
        <is>
          <t>d2925425-16fa-4136-bb78-f122458a876a</t>
        </is>
      </c>
      <c r="I378" s="361" t="inlineStr">
        <is>
          <t>https://censorship.kplus.vn/MediaAssets/Asset/153c6fe9-b5ea-ee11-9144-f40270bf9ea7/StreamPreview</t>
        </is>
      </c>
      <c r="J378" s="361" t="inlineStr">
        <is>
          <t>YES</t>
        </is>
      </c>
      <c r="K378" s="361" t="inlineStr">
        <is>
          <t>Success</t>
        </is>
      </c>
    </row>
    <row r="379" ht="14.4" customHeight="1" s="578">
      <c r="A379" s="361" t="inlineStr">
        <is>
          <t>MOV_MAT_21__2654662</t>
        </is>
      </c>
      <c r="B379" t="inlineStr">
        <is>
          <t>FEARLESS KUNGFU KING</t>
        </is>
      </c>
      <c r="C379" s="361" t="inlineStr">
        <is>
          <t>Movies</t>
        </is>
      </c>
      <c r="D379" s="361" t="n">
        <v>2</v>
      </c>
      <c r="E379" s="361" t="n">
        <v>2020</v>
      </c>
      <c r="F379" s="361" t="inlineStr">
        <is>
          <t>2021-08-25T00:00:00+07:00</t>
        </is>
      </c>
      <c r="H379" s="361" t="inlineStr">
        <is>
          <t>25312b93-fab6-48aa-871f-8f88e175d89b</t>
        </is>
      </c>
      <c r="I379" s="361" t="inlineStr">
        <is>
          <t>https://censorship.kplus.vn/MediaAssets/Asset/59c9a872-73ea-ee11-9144-f40270bf9ea7/StreamPreview</t>
        </is>
      </c>
      <c r="J379" s="361" t="inlineStr">
        <is>
          <t>YES</t>
        </is>
      </c>
      <c r="K379" s="361" t="inlineStr">
        <is>
          <t>Success</t>
        </is>
      </c>
    </row>
    <row r="380" ht="14.4" customHeight="1" s="578">
      <c r="A380" s="361" t="inlineStr">
        <is>
          <t>MOV_ACT_21__2654663</t>
        </is>
      </c>
      <c r="B380" t="inlineStr">
        <is>
          <t>MATCHLESS MULAN</t>
        </is>
      </c>
      <c r="C380" s="361" t="inlineStr">
        <is>
          <t>Movies</t>
        </is>
      </c>
      <c r="D380" s="361" t="n">
        <v>2</v>
      </c>
      <c r="E380" s="361" t="n">
        <v>2020</v>
      </c>
      <c r="F380" s="361" t="inlineStr">
        <is>
          <t>2021-08-25T00:00:00+07:00</t>
        </is>
      </c>
      <c r="H380" s="361" t="inlineStr">
        <is>
          <t>ae4ba5ee-3d65-43cb-869f-306c322a3738</t>
        </is>
      </c>
      <c r="I380" s="361" t="inlineStr">
        <is>
          <t>https://censorship.kplus.vn/MediaAssets/Asset/41c81a4e-57ea-ee11-9144-f40270bf9ea7/StreamPreview</t>
        </is>
      </c>
      <c r="J380" s="361" t="inlineStr">
        <is>
          <t>YES</t>
        </is>
      </c>
      <c r="K380" s="361" t="inlineStr">
        <is>
          <t>Success</t>
        </is>
      </c>
    </row>
    <row r="381" ht="14.4" customHeight="1" s="578">
      <c r="A381" s="361" t="inlineStr">
        <is>
          <t>MOV_FAN_21__2654149</t>
        </is>
      </c>
      <c r="B381" t="inlineStr">
        <is>
          <t>LOVE IN BLOOD</t>
        </is>
      </c>
      <c r="C381" s="361" t="inlineStr">
        <is>
          <t>Movies</t>
        </is>
      </c>
      <c r="D381" s="361" t="n">
        <v>3</v>
      </c>
      <c r="E381" s="361" t="n">
        <v>2020</v>
      </c>
      <c r="F381" s="361" t="inlineStr">
        <is>
          <t>2021-08-15T00:00:00+07:00</t>
        </is>
      </c>
      <c r="H381" s="361" t="inlineStr">
        <is>
          <t>20ddce27-7c55-4372-bfb1-0366c94a619e</t>
        </is>
      </c>
      <c r="I381" s="361" t="inlineStr">
        <is>
          <t>https://censorship.kplus.vn/MediaAssets/Asset/84fe403b-61ea-ee11-9144-f40270bf9ea7/StreamPreview</t>
        </is>
      </c>
      <c r="J381" s="361" t="inlineStr">
        <is>
          <t>YES</t>
        </is>
      </c>
      <c r="K381" s="361" t="inlineStr">
        <is>
          <t>Success</t>
        </is>
      </c>
    </row>
    <row r="382" ht="14.4" customHeight="1" s="578">
      <c r="A382" s="361" t="inlineStr">
        <is>
          <t>MOV_WAR_21__2654664</t>
        </is>
      </c>
      <c r="B382" t="inlineStr">
        <is>
          <t>GOD OF WAR</t>
        </is>
      </c>
      <c r="C382" s="361" t="inlineStr">
        <is>
          <t>Movies</t>
        </is>
      </c>
      <c r="D382" s="361" t="n">
        <v>3</v>
      </c>
      <c r="E382" s="361" t="n">
        <v>2017</v>
      </c>
      <c r="F382" s="361" t="inlineStr">
        <is>
          <t>2021-08-25T00:00:00+07:00</t>
        </is>
      </c>
      <c r="H382" s="361" t="inlineStr">
        <is>
          <t>e72eecee-67a4-4472-99f0-d1637c5f3ab0</t>
        </is>
      </c>
      <c r="I382" s="361" t="inlineStr">
        <is>
          <t>https://censorship.kplus.vn/MediaAssets/Asset/a37764d0-bfea-ee11-9144-f40270bf9ea7/StreamPreview</t>
        </is>
      </c>
      <c r="J382" s="361" t="inlineStr">
        <is>
          <t>YES</t>
        </is>
      </c>
      <c r="K382" s="361" t="inlineStr">
        <is>
          <t>Success</t>
        </is>
      </c>
    </row>
    <row r="383" ht="14.4" customHeight="1" s="578">
      <c r="A383" s="361" t="inlineStr">
        <is>
          <t>MOV_ACT_LNIM_17__2499678</t>
        </is>
      </c>
      <c r="B383" t="inlineStr">
        <is>
          <t>GOD OF WAR</t>
        </is>
      </c>
      <c r="C383" s="361" t="inlineStr">
        <is>
          <t>Movies</t>
        </is>
      </c>
      <c r="D383" s="361" t="n">
        <v>1</v>
      </c>
      <c r="E383" s="361" t="n">
        <v>2015</v>
      </c>
      <c r="F383" s="361" t="inlineStr">
        <is>
          <t>2018-07-26T00:00:00+07:00</t>
        </is>
      </c>
      <c r="H383" s="361" t="inlineStr">
        <is>
          <t>d290614a-2864-4976-a1f1-ba95f4e6f774</t>
        </is>
      </c>
      <c r="J383" s="361" t="inlineStr">
        <is>
          <t>MXF NOT FOUND</t>
        </is>
      </c>
      <c r="K383" s="361" t="inlineStr">
        <is>
          <t>Success</t>
        </is>
      </c>
    </row>
    <row r="384" ht="14.4" customHeight="1" s="578">
      <c r="A384" s="361" t="inlineStr">
        <is>
          <t>Not Found</t>
        </is>
      </c>
      <c r="B384" t="inlineStr">
        <is>
          <t>THE RISE OF HERO</t>
        </is>
      </c>
      <c r="J384" s="361" t="inlineStr">
        <is>
          <t>N/A</t>
        </is>
      </c>
      <c r="K384" s="361" t="inlineStr">
        <is>
          <t>Not Found in DB</t>
        </is>
      </c>
    </row>
    <row r="385" ht="14.4" customHeight="1" s="578">
      <c r="A385" s="361" t="inlineStr">
        <is>
          <t>MOV_ACT_21__2654666</t>
        </is>
      </c>
      <c r="B385" t="inlineStr">
        <is>
          <t>SWORDSMAN</t>
        </is>
      </c>
      <c r="C385" s="361" t="inlineStr">
        <is>
          <t>Movies</t>
        </is>
      </c>
      <c r="D385" s="361" t="n">
        <v>3</v>
      </c>
      <c r="E385" s="361" t="n">
        <v>2020</v>
      </c>
      <c r="F385" s="361" t="inlineStr">
        <is>
          <t>2021-08-25T00:00:00+07:00</t>
        </is>
      </c>
      <c r="H385" s="361" t="inlineStr">
        <is>
          <t>c55cc74b-7ae0-4eec-b800-279b3b796627</t>
        </is>
      </c>
      <c r="I385" s="361" t="inlineStr">
        <is>
          <t>https://censorship.kplus.vn/MediaAssets/Asset/0b4828db-66f8-ee11-9144-f40270bf9ea7/StreamPreview</t>
        </is>
      </c>
      <c r="J385" s="361" t="inlineStr">
        <is>
          <t>YES</t>
        </is>
      </c>
      <c r="K385" s="361" t="inlineStr">
        <is>
          <t>Success</t>
        </is>
      </c>
    </row>
    <row r="386" ht="14.4" customHeight="1" s="578">
      <c r="A386" s="361" t="inlineStr">
        <is>
          <t>MOV_ACT_24__2715557</t>
        </is>
      </c>
      <c r="B386" t="inlineStr">
        <is>
          <t>ROGUE</t>
        </is>
      </c>
      <c r="C386" s="361" t="inlineStr">
        <is>
          <t>Movies</t>
        </is>
      </c>
      <c r="D386" s="361" t="n">
        <v>2</v>
      </c>
      <c r="E386" s="361" t="n">
        <v>2015</v>
      </c>
      <c r="F386" s="361" t="inlineStr">
        <is>
          <t>2024-04-02T00:00:00+07:00</t>
        </is>
      </c>
      <c r="H386" s="361" t="inlineStr">
        <is>
          <t>c804d2ef-65d4-4437-8ec1-20df8a4875e3</t>
        </is>
      </c>
      <c r="I386" s="361" t="inlineStr">
        <is>
          <t>https://censorship.kplus.vn/MediaAssets/Asset/6dc94191-ac8a-ef11-8593-0c42a12723cb/StreamPreview</t>
        </is>
      </c>
      <c r="J386" s="361" t="inlineStr">
        <is>
          <t>YES</t>
        </is>
      </c>
      <c r="K386" s="361" t="inlineStr">
        <is>
          <t>Success</t>
        </is>
      </c>
    </row>
    <row r="387" ht="14.4" customHeight="1" s="578">
      <c r="A387" s="361" t="inlineStr">
        <is>
          <t>MOV_ACT_23__2691047</t>
        </is>
      </c>
      <c r="B387" t="inlineStr">
        <is>
          <t>ROGUE</t>
        </is>
      </c>
      <c r="C387" s="361" t="inlineStr">
        <is>
          <t>Movies</t>
        </is>
      </c>
      <c r="D387" s="361" t="n">
        <v>3</v>
      </c>
      <c r="E387" s="361" t="n">
        <v>2020</v>
      </c>
      <c r="F387" s="361" t="inlineStr">
        <is>
          <t>2023-02-23T00:00:00+07:00</t>
        </is>
      </c>
      <c r="H387" s="361" t="inlineStr">
        <is>
          <t>f2258306-4dcb-4197-a268-7896a7f70e45</t>
        </is>
      </c>
      <c r="I387" s="361" t="inlineStr">
        <is>
          <t>https://censorship.kplus.vn/MediaAssets/Asset/c38272f7-e9ef-ee11-9144-f40270bf9ea7/StreamPreview</t>
        </is>
      </c>
      <c r="J387" s="361" t="inlineStr">
        <is>
          <t>YES</t>
        </is>
      </c>
      <c r="K387" s="361" t="inlineStr">
        <is>
          <t>Success</t>
        </is>
      </c>
    </row>
    <row r="388" ht="14.4" customHeight="1" s="578">
      <c r="A388" s="361" t="inlineStr">
        <is>
          <t>MOV_ACT_21__2654660</t>
        </is>
      </c>
      <c r="B388" t="inlineStr">
        <is>
          <t>ROGUE</t>
        </is>
      </c>
      <c r="C388" s="361" t="inlineStr">
        <is>
          <t>Movies</t>
        </is>
      </c>
      <c r="D388" s="361" t="n">
        <v>3</v>
      </c>
      <c r="E388" s="361" t="n">
        <v>2021</v>
      </c>
      <c r="F388" s="361" t="inlineStr">
        <is>
          <t>2021-08-25T00:00:00+07:00</t>
        </is>
      </c>
      <c r="H388" s="361" t="inlineStr">
        <is>
          <t>d3655936-47eb-475c-8506-d8df562b8349</t>
        </is>
      </c>
      <c r="I388" s="361" t="inlineStr">
        <is>
          <t>https://censorship.kplus.vn/MediaAssets/Asset/3edd5cd8-84ea-ee11-9144-f40270bf9ea7/StreamPreview</t>
        </is>
      </c>
      <c r="J388" s="361" t="inlineStr">
        <is>
          <t>YES</t>
        </is>
      </c>
      <c r="K388" s="361" t="inlineStr">
        <is>
          <t>Success</t>
        </is>
      </c>
    </row>
    <row r="389" ht="14.4" customHeight="1" s="578">
      <c r="A389" s="361" t="inlineStr">
        <is>
          <t>N/A</t>
        </is>
      </c>
      <c r="B389" t="inlineStr">
        <is>
          <t>The Hot-Blooded</t>
        </is>
      </c>
      <c r="J389" s="361" t="inlineStr">
        <is>
          <t>N/A</t>
        </is>
      </c>
      <c r="K389" s="361" t="inlineStr">
        <is>
          <t>Filtered Out (Trailer/Whitelist)</t>
        </is>
      </c>
    </row>
    <row r="390" ht="14.4" customHeight="1" s="578">
      <c r="A390" s="361" t="inlineStr">
        <is>
          <t>N/A</t>
        </is>
      </c>
      <c r="B390" t="inlineStr">
        <is>
          <t>Z Storm</t>
        </is>
      </c>
      <c r="J390" s="361" t="inlineStr">
        <is>
          <t>N/A</t>
        </is>
      </c>
      <c r="K390" s="361" t="inlineStr">
        <is>
          <t>Filtered Out (Trailer/Whitelist)</t>
        </is>
      </c>
    </row>
    <row r="391" ht="14.4" customHeight="1" s="578">
      <c r="A391" s="361" t="inlineStr">
        <is>
          <t>Not Found</t>
        </is>
      </c>
      <c r="B391" t="inlineStr">
        <is>
          <t>Raging Fire</t>
        </is>
      </c>
      <c r="J391" s="361" t="inlineStr">
        <is>
          <t>N/A</t>
        </is>
      </c>
      <c r="K391" s="361" t="inlineStr">
        <is>
          <t>Not Found in DB</t>
        </is>
      </c>
    </row>
    <row r="392" ht="14.4" customHeight="1" s="578">
      <c r="A392" s="361" t="inlineStr">
        <is>
          <t>N/A</t>
        </is>
      </c>
      <c r="B392" t="inlineStr">
        <is>
          <t>Ip Man 3</t>
        </is>
      </c>
      <c r="J392" s="361" t="inlineStr">
        <is>
          <t>N/A</t>
        </is>
      </c>
      <c r="K392" s="361" t="inlineStr">
        <is>
          <t>Filtered Out (Trailer/Whitelist)</t>
        </is>
      </c>
    </row>
    <row r="393" ht="14.4" customHeight="1" s="578">
      <c r="A393" s="361" t="inlineStr">
        <is>
          <t>MOV_HOR_24__2715560</t>
        </is>
      </c>
      <c r="B393" t="inlineStr">
        <is>
          <t>CRAWL</t>
        </is>
      </c>
      <c r="C393" s="361" t="inlineStr">
        <is>
          <t>Movies</t>
        </is>
      </c>
      <c r="D393" s="361" t="n">
        <v>3</v>
      </c>
      <c r="E393" s="361" t="n">
        <v>2019</v>
      </c>
      <c r="F393" s="361" t="inlineStr">
        <is>
          <t>2024-04-02T00:00:00+07:00</t>
        </is>
      </c>
      <c r="H393" s="361" t="inlineStr">
        <is>
          <t>8fcbb374-d2a0-4d2a-a582-cce8b7457db8</t>
        </is>
      </c>
      <c r="I393" s="361" t="inlineStr">
        <is>
          <t>https://censorship.kplus.vn/MediaAssets/Asset/69a85d75-0898-ef11-8593-0c42a12723cb/StreamPreview</t>
        </is>
      </c>
      <c r="J393" s="361" t="inlineStr">
        <is>
          <t>YES</t>
        </is>
      </c>
      <c r="K393" s="361" t="inlineStr">
        <is>
          <t>Success</t>
        </is>
      </c>
    </row>
    <row r="394" ht="14.4" customHeight="1" s="578">
      <c r="A394" s="361" t="inlineStr">
        <is>
          <t>MOV_CRI_LNIM__16__2493014</t>
        </is>
      </c>
      <c r="B394" t="inlineStr">
        <is>
          <t>CRAWL</t>
        </is>
      </c>
      <c r="C394" s="361" t="inlineStr">
        <is>
          <t>Movies</t>
        </is>
      </c>
      <c r="F394" s="361" t="inlineStr">
        <is>
          <t>2018-01-23T00:00:00+07:00</t>
        </is>
      </c>
      <c r="H394" s="361" t="inlineStr">
        <is>
          <t>5df22cee-d975-441f-990a-ef398684b8a3</t>
        </is>
      </c>
      <c r="J394" s="361" t="inlineStr">
        <is>
          <t>MXF NOT FOUND</t>
        </is>
      </c>
      <c r="K394" s="361" t="inlineStr">
        <is>
          <t>Success</t>
        </is>
      </c>
    </row>
    <row r="395" ht="14.4" customHeight="1" s="578">
      <c r="A395" s="361" t="inlineStr">
        <is>
          <t>Not Found</t>
        </is>
      </c>
      <c r="B395" t="inlineStr">
        <is>
          <t>GHOST IN THE SHELL (2017)</t>
        </is>
      </c>
      <c r="J395" s="361" t="inlineStr">
        <is>
          <t>N/A</t>
        </is>
      </c>
      <c r="K395" s="361" t="inlineStr">
        <is>
          <t>Not Found in DB</t>
        </is>
      </c>
    </row>
    <row r="396" ht="14.4" customHeight="1" s="578">
      <c r="A396" s="361" t="inlineStr">
        <is>
          <t>MOV_ACT578</t>
        </is>
      </c>
      <c r="B396" t="inlineStr">
        <is>
          <t>JACK RYAN: SHADOW RECRUIT</t>
        </is>
      </c>
      <c r="C396" s="361" t="inlineStr">
        <is>
          <t>Movies</t>
        </is>
      </c>
      <c r="D396" s="361" t="n">
        <v>3</v>
      </c>
      <c r="E396" s="361" t="n">
        <v>2014</v>
      </c>
      <c r="F396" s="361" t="inlineStr">
        <is>
          <t>2024-06-27T00:00:00+07:00</t>
        </is>
      </c>
      <c r="H396" s="361" t="inlineStr">
        <is>
          <t>70a82fd5-ddd7-4810-8885-707b14481c2b</t>
        </is>
      </c>
      <c r="I396" s="361" t="inlineStr">
        <is>
          <t>https://censorship.kplus.vn/MediaAssets/Asset/ce9a9bd0-cc7c-ef11-8593-0c42a12723cb/StreamPreview</t>
        </is>
      </c>
      <c r="J396" s="361" t="inlineStr">
        <is>
          <t>YES</t>
        </is>
      </c>
      <c r="K396" s="361" t="inlineStr">
        <is>
          <t>Success</t>
        </is>
      </c>
    </row>
    <row r="397" ht="14.4" customHeight="1" s="578">
      <c r="A397" s="361" t="inlineStr">
        <is>
          <t>MOV_ACT624</t>
        </is>
      </c>
      <c r="B397" t="inlineStr">
        <is>
          <t>MISSION: IMPOSSIBLE</t>
        </is>
      </c>
      <c r="C397" s="361" t="inlineStr">
        <is>
          <t>Movies</t>
        </is>
      </c>
      <c r="D397" s="361" t="n">
        <v>1</v>
      </c>
      <c r="E397" s="361" t="n">
        <v>2018</v>
      </c>
      <c r="F397" s="361" t="inlineStr">
        <is>
          <t>2025-08-05T00:00:00+07:00</t>
        </is>
      </c>
      <c r="H397" s="361" t="inlineStr">
        <is>
          <t>3f5708d7-64a6-42d2-910c-4e8468ceda6a</t>
        </is>
      </c>
      <c r="I397" s="361" t="inlineStr">
        <is>
          <t>https://censorship.kplus.vn/MediaAssets/Asset/06fdc5fe-6a82-f011-8593-0c42a12723cb/StreamPreview</t>
        </is>
      </c>
      <c r="J397" s="361" t="inlineStr">
        <is>
          <t>YES</t>
        </is>
      </c>
      <c r="K397" s="361" t="inlineStr">
        <is>
          <t>Success</t>
        </is>
      </c>
    </row>
    <row r="398" ht="14.4" customHeight="1" s="578">
      <c r="A398" s="361" t="inlineStr">
        <is>
          <t>MOV_ACT581</t>
        </is>
      </c>
      <c r="B398" t="inlineStr">
        <is>
          <t>MISSION: IMPOSSIBLE</t>
        </is>
      </c>
      <c r="C398" s="361" t="inlineStr">
        <is>
          <t>Movies</t>
        </is>
      </c>
      <c r="D398" s="361" t="n">
        <v>2</v>
      </c>
      <c r="E398" s="361" t="n">
        <v>1996</v>
      </c>
      <c r="F398" s="361" t="inlineStr">
        <is>
          <t>2024-06-27T00:00:00+07:00</t>
        </is>
      </c>
      <c r="H398" s="361" t="inlineStr">
        <is>
          <t>65bc50fc-99e9-4665-a52c-2909c8b8fd64</t>
        </is>
      </c>
      <c r="I398" s="361" t="inlineStr">
        <is>
          <t>https://censorship.kplus.vn/MediaAssets/Asset/21575709-8863-ef11-8593-0c42a12723cb/StreamPreview</t>
        </is>
      </c>
      <c r="J398" s="361" t="inlineStr">
        <is>
          <t>YES</t>
        </is>
      </c>
      <c r="K398" s="361" t="inlineStr">
        <is>
          <t>Success</t>
        </is>
      </c>
    </row>
    <row r="399" ht="14.4" customHeight="1" s="578">
      <c r="A399" s="361" t="inlineStr">
        <is>
          <t>MOV_ACT_24__2715559</t>
        </is>
      </c>
      <c r="B399" t="inlineStr">
        <is>
          <t>MISSION: IMPOSSIBLE</t>
        </is>
      </c>
      <c r="C399" s="361" t="inlineStr">
        <is>
          <t>Movies</t>
        </is>
      </c>
      <c r="D399" s="361" t="n">
        <v>2</v>
      </c>
      <c r="E399" s="361" t="n">
        <v>2006</v>
      </c>
      <c r="F399" s="361" t="inlineStr">
        <is>
          <t>2024-04-02T00:00:00+07:00</t>
        </is>
      </c>
      <c r="H399" s="361" t="inlineStr">
        <is>
          <t>2bb629af-f6db-4368-936b-dbd078632e13</t>
        </is>
      </c>
      <c r="I399" s="361" t="inlineStr">
        <is>
          <t>https://censorship.kplus.vn/MediaAssets/Asset/b525d085-5d64-ef11-8593-0c42a12723cb/StreamPreview</t>
        </is>
      </c>
      <c r="J399" s="361" t="inlineStr">
        <is>
          <t>YES</t>
        </is>
      </c>
      <c r="K399" s="361" t="inlineStr">
        <is>
          <t>Success</t>
        </is>
      </c>
    </row>
    <row r="400" ht="14.4" customHeight="1" s="578">
      <c r="A400" s="361" t="inlineStr">
        <is>
          <t>MOV_ACT_24__2715558</t>
        </is>
      </c>
      <c r="B400" t="inlineStr">
        <is>
          <t>MISSION: IMPOSSIBLE</t>
        </is>
      </c>
      <c r="C400" s="361" t="inlineStr">
        <is>
          <t>Movies</t>
        </is>
      </c>
      <c r="D400" s="361" t="n">
        <v>2</v>
      </c>
      <c r="E400" s="361" t="n">
        <v>2000</v>
      </c>
      <c r="F400" s="361" t="inlineStr">
        <is>
          <t>2024-04-02T00:00:00+07:00</t>
        </is>
      </c>
      <c r="H400" s="361" t="inlineStr">
        <is>
          <t>eebc25fd-33e8-4a55-a2b4-2cfa7a7be84d</t>
        </is>
      </c>
      <c r="I400" s="361" t="inlineStr">
        <is>
          <t>https://censorship.kplus.vn/MediaAssets/Asset/7321fafa-b05e-ef11-8593-0c42a12723cb/StreamPreview</t>
        </is>
      </c>
      <c r="J400" s="361" t="inlineStr">
        <is>
          <t>YES</t>
        </is>
      </c>
      <c r="K400" s="361" t="inlineStr">
        <is>
          <t>Success</t>
        </is>
      </c>
    </row>
    <row r="401" ht="14.4" customHeight="1" s="578">
      <c r="A401" s="361" t="inlineStr">
        <is>
          <t>MOV_ACT_24__2715557</t>
        </is>
      </c>
      <c r="B401" t="inlineStr">
        <is>
          <t>MISSION: IMPOSSIBLE</t>
        </is>
      </c>
      <c r="C401" s="361" t="inlineStr">
        <is>
          <t>Movies</t>
        </is>
      </c>
      <c r="D401" s="361" t="n">
        <v>2</v>
      </c>
      <c r="E401" s="361" t="n">
        <v>2015</v>
      </c>
      <c r="F401" s="361" t="inlineStr">
        <is>
          <t>2024-04-02T00:00:00+07:00</t>
        </is>
      </c>
      <c r="H401" s="361" t="inlineStr">
        <is>
          <t>c804d2ef-65d4-4437-8ec1-20df8a4875e3</t>
        </is>
      </c>
      <c r="I401" s="361" t="inlineStr">
        <is>
          <t>https://censorship.kplus.vn/MediaAssets/Asset/6dc94191-ac8a-ef11-8593-0c42a12723cb/StreamPreview</t>
        </is>
      </c>
      <c r="J401" s="361" t="inlineStr">
        <is>
          <t>YES</t>
        </is>
      </c>
      <c r="K401" s="361" t="inlineStr">
        <is>
          <t>Success</t>
        </is>
      </c>
    </row>
    <row r="402" ht="14.4" customHeight="1" s="578">
      <c r="A402" s="361" t="inlineStr">
        <is>
          <t>MOV_ACT_24__2715556</t>
        </is>
      </c>
      <c r="B402" t="inlineStr">
        <is>
          <t>MISSION: IMPOSSIBLE</t>
        </is>
      </c>
      <c r="C402" s="361" t="inlineStr">
        <is>
          <t>Movies</t>
        </is>
      </c>
      <c r="D402" s="361" t="n">
        <v>3</v>
      </c>
      <c r="E402" s="361" t="n">
        <v>2011</v>
      </c>
      <c r="F402" s="361" t="inlineStr">
        <is>
          <t>2024-04-02T00:00:00+07:00</t>
        </is>
      </c>
      <c r="H402" s="361" t="inlineStr">
        <is>
          <t>b0c39ec4-e83e-42f5-96ab-8006b5982f4b</t>
        </is>
      </c>
      <c r="I402" s="361" t="inlineStr">
        <is>
          <t>https://censorship.kplus.vn/MediaAssets/Asset/1913b541-e686-ef11-8593-0c42a12723cb/StreamPreview</t>
        </is>
      </c>
      <c r="J402" s="361" t="inlineStr">
        <is>
          <t>YES</t>
        </is>
      </c>
      <c r="K402" s="361" t="inlineStr">
        <is>
          <t>Success</t>
        </is>
      </c>
    </row>
    <row r="403" ht="14.4" customHeight="1" s="578">
      <c r="A403" s="361" t="inlineStr">
        <is>
          <t>MOV_ACT_24__2715556</t>
        </is>
      </c>
      <c r="B403" t="inlineStr">
        <is>
          <t>MISSION: IMPOSSIBLE - GHOST PROTOCOL</t>
        </is>
      </c>
      <c r="C403" s="361" t="inlineStr">
        <is>
          <t>Movies</t>
        </is>
      </c>
      <c r="D403" s="361" t="n">
        <v>3</v>
      </c>
      <c r="E403" s="361" t="n">
        <v>2011</v>
      </c>
      <c r="F403" s="361" t="inlineStr">
        <is>
          <t>2024-04-02T00:00:00+07:00</t>
        </is>
      </c>
      <c r="H403" s="361" t="inlineStr">
        <is>
          <t>b0c39ec4-e83e-42f5-96ab-8006b5982f4b</t>
        </is>
      </c>
      <c r="I403" s="361" t="inlineStr">
        <is>
          <t>https://censorship.kplus.vn/MediaAssets/Asset/1913b541-e686-ef11-8593-0c42a12723cb/StreamPreview</t>
        </is>
      </c>
      <c r="J403" s="361" t="inlineStr">
        <is>
          <t>YES</t>
        </is>
      </c>
      <c r="K403" s="361" t="inlineStr">
        <is>
          <t>Success</t>
        </is>
      </c>
    </row>
    <row r="404" ht="14.4" customHeight="1" s="578">
      <c r="A404" s="361" t="inlineStr">
        <is>
          <t>MOV_ACT_24__2715557</t>
        </is>
      </c>
      <c r="B404" t="inlineStr">
        <is>
          <t>MISSION: IMPOSSIBLE - ROGUE NATION</t>
        </is>
      </c>
      <c r="C404" s="361" t="inlineStr">
        <is>
          <t>Movies</t>
        </is>
      </c>
      <c r="D404" s="361" t="n">
        <v>2</v>
      </c>
      <c r="E404" s="361" t="n">
        <v>2015</v>
      </c>
      <c r="F404" s="361" t="inlineStr">
        <is>
          <t>2024-04-02T00:00:00+07:00</t>
        </is>
      </c>
      <c r="H404" s="361" t="inlineStr">
        <is>
          <t>c804d2ef-65d4-4437-8ec1-20df8a4875e3</t>
        </is>
      </c>
      <c r="I404" s="361" t="inlineStr">
        <is>
          <t>https://censorship.kplus.vn/MediaAssets/Asset/6dc94191-ac8a-ef11-8593-0c42a12723cb/StreamPreview</t>
        </is>
      </c>
      <c r="J404" s="361" t="inlineStr">
        <is>
          <t>YES</t>
        </is>
      </c>
      <c r="K404" s="361" t="inlineStr">
        <is>
          <t>Success</t>
        </is>
      </c>
    </row>
    <row r="405" ht="14.4" customHeight="1" s="578">
      <c r="A405" s="361" t="inlineStr">
        <is>
          <t>MOV_ACT_24__2715559</t>
        </is>
      </c>
      <c r="B405" t="inlineStr">
        <is>
          <t>MISSION: IMPOSSIBLE II</t>
        </is>
      </c>
      <c r="C405" s="361" t="inlineStr">
        <is>
          <t>Movies</t>
        </is>
      </c>
      <c r="D405" s="361" t="n">
        <v>2</v>
      </c>
      <c r="E405" s="361" t="n">
        <v>2006</v>
      </c>
      <c r="F405" s="361" t="inlineStr">
        <is>
          <t>2024-04-02T00:00:00+07:00</t>
        </is>
      </c>
      <c r="H405" s="361" t="inlineStr">
        <is>
          <t>2bb629af-f6db-4368-936b-dbd078632e13</t>
        </is>
      </c>
      <c r="I405" s="361" t="inlineStr">
        <is>
          <t>https://censorship.kplus.vn/MediaAssets/Asset/b525d085-5d64-ef11-8593-0c42a12723cb/StreamPreview</t>
        </is>
      </c>
      <c r="J405" s="361" t="inlineStr">
        <is>
          <t>YES</t>
        </is>
      </c>
      <c r="K405" s="361" t="inlineStr">
        <is>
          <t>Success</t>
        </is>
      </c>
    </row>
    <row r="406" ht="14.4" customHeight="1" s="578">
      <c r="A406" s="361" t="inlineStr">
        <is>
          <t>MOV_ACT_24__2715558</t>
        </is>
      </c>
      <c r="B406" t="inlineStr">
        <is>
          <t>MISSION: IMPOSSIBLE II</t>
        </is>
      </c>
      <c r="C406" s="361" t="inlineStr">
        <is>
          <t>Movies</t>
        </is>
      </c>
      <c r="D406" s="361" t="n">
        <v>2</v>
      </c>
      <c r="E406" s="361" t="n">
        <v>2000</v>
      </c>
      <c r="F406" s="361" t="inlineStr">
        <is>
          <t>2024-04-02T00:00:00+07:00</t>
        </is>
      </c>
      <c r="H406" s="361" t="inlineStr">
        <is>
          <t>eebc25fd-33e8-4a55-a2b4-2cfa7a7be84d</t>
        </is>
      </c>
      <c r="I406" s="361" t="inlineStr">
        <is>
          <t>https://censorship.kplus.vn/MediaAssets/Asset/7321fafa-b05e-ef11-8593-0c42a12723cb/StreamPreview</t>
        </is>
      </c>
      <c r="J406" s="361" t="inlineStr">
        <is>
          <t>YES</t>
        </is>
      </c>
      <c r="K406" s="361" t="inlineStr">
        <is>
          <t>Success</t>
        </is>
      </c>
    </row>
    <row r="407" ht="14.4" customHeight="1" s="578">
      <c r="A407" s="361" t="inlineStr">
        <is>
          <t>MOV_ACT_24__2715559</t>
        </is>
      </c>
      <c r="B407" t="inlineStr">
        <is>
          <t>MISSION: IMPOSSIBLE III</t>
        </is>
      </c>
      <c r="C407" s="361" t="inlineStr">
        <is>
          <t>Movies</t>
        </is>
      </c>
      <c r="D407" s="361" t="n">
        <v>2</v>
      </c>
      <c r="E407" s="361" t="n">
        <v>2006</v>
      </c>
      <c r="F407" s="361" t="inlineStr">
        <is>
          <t>2024-04-02T00:00:00+07:00</t>
        </is>
      </c>
      <c r="H407" s="361" t="inlineStr">
        <is>
          <t>2bb629af-f6db-4368-936b-dbd078632e13</t>
        </is>
      </c>
      <c r="I407" s="361" t="inlineStr">
        <is>
          <t>https://censorship.kplus.vn/MediaAssets/Asset/b525d085-5d64-ef11-8593-0c42a12723cb/StreamPreview</t>
        </is>
      </c>
      <c r="J407" s="361" t="inlineStr">
        <is>
          <t>YES</t>
        </is>
      </c>
      <c r="K407" s="361" t="inlineStr">
        <is>
          <t>Success</t>
        </is>
      </c>
    </row>
    <row r="408" ht="14.4" customHeight="1" s="578">
      <c r="A408" s="361" t="inlineStr">
        <is>
          <t>MOV_ACT579</t>
        </is>
      </c>
      <c r="B408" t="inlineStr">
        <is>
          <t>TERMINATOR GENISYS</t>
        </is>
      </c>
      <c r="C408" s="361" t="inlineStr">
        <is>
          <t>Movies</t>
        </is>
      </c>
      <c r="D408" s="361" t="n">
        <v>3</v>
      </c>
      <c r="E408" s="361" t="n">
        <v>2015</v>
      </c>
      <c r="F408" s="361" t="inlineStr">
        <is>
          <t>2024-06-27T00:00:00+07:00</t>
        </is>
      </c>
      <c r="H408" s="361" t="inlineStr">
        <is>
          <t>ab75f97e-e9ff-42a3-a708-f96885647e75</t>
        </is>
      </c>
      <c r="I408" s="361" t="inlineStr">
        <is>
          <t>https://censorship.kplus.vn/MediaAssets/Asset/7c4c93e5-5b79-ef11-8593-0c42a12723cb/StreamPreview</t>
        </is>
      </c>
      <c r="J408" s="361" t="inlineStr">
        <is>
          <t>YES</t>
        </is>
      </c>
      <c r="K408" s="361" t="inlineStr">
        <is>
          <t>Success</t>
        </is>
      </c>
    </row>
    <row r="409" ht="14.4" customHeight="1" s="578">
      <c r="A409" s="361" t="inlineStr">
        <is>
          <t>MOV_ACT_24__2715553</t>
        </is>
      </c>
      <c r="B409" t="inlineStr">
        <is>
          <t>TERMINATOR GENISYS</t>
        </is>
      </c>
      <c r="C409" s="361" t="inlineStr">
        <is>
          <t>Movies</t>
        </is>
      </c>
      <c r="D409" s="361" t="n">
        <v>1</v>
      </c>
      <c r="F409" s="361" t="inlineStr">
        <is>
          <t>2024-04-02T00:00:00+07:00</t>
        </is>
      </c>
      <c r="H409" s="361" t="inlineStr">
        <is>
          <t>f4954133-ae36-4ecb-b7f5-fe2f26a62751</t>
        </is>
      </c>
      <c r="J409" s="361" t="inlineStr">
        <is>
          <t>MXF NOT FOUND</t>
        </is>
      </c>
      <c r="K409" s="361" t="inlineStr">
        <is>
          <t>Success</t>
        </is>
      </c>
    </row>
    <row r="410" ht="14.4" customHeight="1" s="578">
      <c r="A410" s="361" t="inlineStr">
        <is>
          <t>MOV_ACT580</t>
        </is>
      </c>
      <c r="B410" t="inlineStr">
        <is>
          <t>TRANSFORMERS: THE LAST KNIGHT</t>
        </is>
      </c>
      <c r="C410" s="361" t="inlineStr">
        <is>
          <t>Movies</t>
        </is>
      </c>
      <c r="D410" s="361" t="n">
        <v>3</v>
      </c>
      <c r="E410" s="361" t="n">
        <v>2017</v>
      </c>
      <c r="F410" s="361" t="inlineStr">
        <is>
          <t>2024-06-27T00:00:00+07:00</t>
        </is>
      </c>
      <c r="H410" s="361" t="inlineStr">
        <is>
          <t>ddbc69ce-7fc9-4f3d-9bb2-600403808f59</t>
        </is>
      </c>
      <c r="I410" s="361" t="inlineStr">
        <is>
          <t>https://censorship.kplus.vn/MediaAssets/Asset/5d1d7473-0186-ef11-8593-0c42a12723cb/StreamPreview</t>
        </is>
      </c>
      <c r="J410" s="361" t="inlineStr">
        <is>
          <t>YES</t>
        </is>
      </c>
      <c r="K410" s="361" t="inlineStr">
        <is>
          <t>Success</t>
        </is>
      </c>
    </row>
    <row r="411" ht="14.4" customHeight="1" s="578">
      <c r="A411" s="361" t="inlineStr">
        <is>
          <t>Not Found</t>
        </is>
      </c>
      <c r="B411" t="inlineStr">
        <is>
          <t>Skin (Xóa bỏ hận thù)</t>
        </is>
      </c>
      <c r="J411" s="361" t="inlineStr">
        <is>
          <t>N/A</t>
        </is>
      </c>
      <c r="K411" s="361" t="inlineStr">
        <is>
          <t>Not Found in DB</t>
        </is>
      </c>
    </row>
    <row r="412" ht="14.4" customHeight="1" s="578">
      <c r="A412" s="361" t="inlineStr">
        <is>
          <t>MOV_DRA734</t>
        </is>
      </c>
      <c r="B412" t="inlineStr">
        <is>
          <t xml:space="preserve">Extremely Wicked, Shockingly Evil and Vile </t>
        </is>
      </c>
      <c r="C412" s="361" t="inlineStr">
        <is>
          <t>Movies</t>
        </is>
      </c>
      <c r="D412" s="361" t="n">
        <v>4</v>
      </c>
      <c r="E412" s="361" t="n">
        <v>2019</v>
      </c>
      <c r="F412" s="361" t="inlineStr">
        <is>
          <t>2024-12-19T00:00:00+07:00</t>
        </is>
      </c>
      <c r="H412" s="361" t="inlineStr">
        <is>
          <t>08025ed4-7d21-4ad0-a2c7-12ce69b19439</t>
        </is>
      </c>
      <c r="I412" s="361" t="inlineStr">
        <is>
          <t>https://censorship.kplus.vn/MediaAssets/Asset/0c5f090a-55c6-ef11-8593-0c42a12723cb/StreamPreview</t>
        </is>
      </c>
      <c r="J412" s="361" t="inlineStr">
        <is>
          <t>YES</t>
        </is>
      </c>
      <c r="K412" s="361" t="inlineStr">
        <is>
          <t>Success</t>
        </is>
      </c>
    </row>
    <row r="413" ht="14.4" customHeight="1" s="578">
      <c r="A413" s="361" t="inlineStr">
        <is>
          <t>Not Found</t>
        </is>
      </c>
      <c r="B413" t="inlineStr">
        <is>
          <t>Anti -piracy-contract 15 movies STK 2025</t>
        </is>
      </c>
      <c r="J413" s="361" t="inlineStr">
        <is>
          <t>N/A</t>
        </is>
      </c>
      <c r="K413" s="361" t="inlineStr">
        <is>
          <t>Not Found in DB</t>
        </is>
      </c>
    </row>
    <row r="414" ht="14.4" customHeight="1" s="578">
      <c r="A414" s="361" t="inlineStr">
        <is>
          <t>MOV_ACT594</t>
        </is>
      </c>
      <c r="B414" t="inlineStr">
        <is>
          <t>Retribution</t>
        </is>
      </c>
      <c r="C414" s="361" t="inlineStr">
        <is>
          <t>Movies</t>
        </is>
      </c>
      <c r="D414" s="361" t="n">
        <v>3</v>
      </c>
      <c r="E414" s="361" t="n">
        <v>2023</v>
      </c>
      <c r="F414" s="361" t="inlineStr">
        <is>
          <t>2024-12-11T00:00:00+07:00</t>
        </is>
      </c>
      <c r="H414" s="361" t="inlineStr">
        <is>
          <t>2df13dd4-34c1-45fc-8054-c52eff968303</t>
        </is>
      </c>
      <c r="I414" s="361" t="inlineStr">
        <is>
          <t>https://censorship.kplus.vn/MediaAssets/Asset/5b61c998-7ac3-ef11-8593-0c42a12723cb/StreamPreview</t>
        </is>
      </c>
      <c r="J414" s="361" t="inlineStr">
        <is>
          <t>YES</t>
        </is>
      </c>
      <c r="K414" s="361" t="inlineStr">
        <is>
          <t>Success</t>
        </is>
      </c>
    </row>
    <row r="415" ht="14.4" customHeight="1" s="578">
      <c r="A415" s="361" t="inlineStr">
        <is>
          <t>MOV_ACT_23__2692453</t>
        </is>
      </c>
      <c r="B415" t="inlineStr">
        <is>
          <t>Retribution</t>
        </is>
      </c>
      <c r="C415" s="361" t="inlineStr">
        <is>
          <t>Movies</t>
        </is>
      </c>
      <c r="D415" s="361" t="n">
        <v>3</v>
      </c>
      <c r="F415" s="361" t="inlineStr">
        <is>
          <t>2023-03-08T00:00:00+07:00</t>
        </is>
      </c>
      <c r="H415" s="361" t="inlineStr">
        <is>
          <t>f3497aaf-63f2-4d23-91f6-f5426e05f5da</t>
        </is>
      </c>
      <c r="I415" s="361" t="inlineStr">
        <is>
          <t>https://censorship.kplus.vn/MediaAssets/Asset/2db564d7-66f0-ee11-9144-f40270bf9ea7/StreamPreview</t>
        </is>
      </c>
      <c r="J415" s="361" t="inlineStr">
        <is>
          <t>NO (404)</t>
        </is>
      </c>
      <c r="K415" s="361" t="inlineStr">
        <is>
          <t>Success</t>
        </is>
      </c>
    </row>
    <row r="416" ht="14.4" customHeight="1" s="578">
      <c r="A416" s="361" t="inlineStr">
        <is>
          <t>MOV_ACT__2649017</t>
        </is>
      </c>
      <c r="B416" t="inlineStr">
        <is>
          <t>Retribution</t>
        </is>
      </c>
      <c r="C416" s="361" t="inlineStr">
        <is>
          <t>Movies</t>
        </is>
      </c>
      <c r="D416" s="361" t="n">
        <v>3</v>
      </c>
      <c r="E416" s="361" t="n">
        <v>2012</v>
      </c>
      <c r="F416" s="361" t="inlineStr">
        <is>
          <t>2021-04-27T00:00:00+07:00</t>
        </is>
      </c>
      <c r="H416" s="361" t="inlineStr">
        <is>
          <t>88c17a1d-3cd4-4f12-9ec7-a350e1761e95</t>
        </is>
      </c>
      <c r="I416" s="361" t="inlineStr">
        <is>
          <t>https://censorship.kplus.vn/MediaAssets/Asset/0e8b17d9-50ea-ee11-9144-f40270bf9ea7/StreamPreview</t>
        </is>
      </c>
      <c r="J416" s="361" t="inlineStr">
        <is>
          <t>YES</t>
        </is>
      </c>
      <c r="K416" s="361" t="inlineStr">
        <is>
          <t>Success</t>
        </is>
      </c>
    </row>
    <row r="417" ht="14.4" customHeight="1" s="578">
      <c r="A417" s="361" t="inlineStr">
        <is>
          <t>MOV_ACT595</t>
        </is>
      </c>
      <c r="B417" t="inlineStr">
        <is>
          <t>The Hunger Games: Ballad of Songbirds and Snakes</t>
        </is>
      </c>
      <c r="C417" s="361" t="inlineStr">
        <is>
          <t>Movies</t>
        </is>
      </c>
      <c r="D417" s="361" t="n">
        <v>3</v>
      </c>
      <c r="E417" s="361" t="n">
        <v>2023</v>
      </c>
      <c r="F417" s="361" t="inlineStr">
        <is>
          <t>2024-12-11T00:00:00+07:00</t>
        </is>
      </c>
      <c r="H417" s="361" t="inlineStr">
        <is>
          <t>4b2bf0d3-62c9-43e4-9bc4-c0a74e898dc6</t>
        </is>
      </c>
      <c r="I417" s="361" t="inlineStr">
        <is>
          <t>https://censorship.kplus.vn/MediaAssets/Asset/f88991b1-73d1-ef11-8593-0c42a12723cb/StreamPreview</t>
        </is>
      </c>
      <c r="J417" s="361" t="inlineStr">
        <is>
          <t>YES</t>
        </is>
      </c>
      <c r="K417" s="361" t="inlineStr">
        <is>
          <t>Success</t>
        </is>
      </c>
    </row>
    <row r="418" ht="14.4" customHeight="1" s="578">
      <c r="A418" s="361" t="inlineStr">
        <is>
          <t>Not Found</t>
        </is>
      </c>
      <c r="B418" t="inlineStr">
        <is>
          <t>Anti -piracy-contract 8 movies Mockingbird 2025</t>
        </is>
      </c>
      <c r="J418" s="361" t="inlineStr">
        <is>
          <t>N/A</t>
        </is>
      </c>
      <c r="K418" s="361" t="inlineStr">
        <is>
          <t>Not Found in DB</t>
        </is>
      </c>
    </row>
    <row r="419" ht="14.4" customHeight="1" s="578">
      <c r="A419" s="361" t="inlineStr">
        <is>
          <t>MOV_DRA731</t>
        </is>
      </c>
      <c r="B419" t="inlineStr">
        <is>
          <t>ARTICLE 20</t>
        </is>
      </c>
      <c r="C419" s="361" t="inlineStr">
        <is>
          <t>Movies</t>
        </is>
      </c>
      <c r="D419" s="361" t="n">
        <v>1</v>
      </c>
      <c r="E419" s="361" t="n">
        <v>2024</v>
      </c>
      <c r="F419" s="361" t="inlineStr">
        <is>
          <t>2024-12-11T00:00:00+07:00</t>
        </is>
      </c>
      <c r="H419" s="361" t="inlineStr">
        <is>
          <t>a8ea48a0-fe5e-4c25-84b9-081bf4a507de</t>
        </is>
      </c>
      <c r="I419" s="361" t="inlineStr">
        <is>
          <t>https://censorship.kplus.vn/MediaAssets/Asset/267829d8-7022-f011-8593-0c42a12723cb/StreamPreview</t>
        </is>
      </c>
      <c r="J419" s="361" t="inlineStr">
        <is>
          <t>YES</t>
        </is>
      </c>
      <c r="K419" s="361" t="inlineStr">
        <is>
          <t>Success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>
    <tabColor rgb="FF92D050"/>
    <outlinePr summaryBelow="1" summaryRight="1"/>
    <pageSetUpPr/>
  </sheetPr>
  <dimension ref="A1:AT381"/>
  <sheetViews>
    <sheetView zoomScale="70" zoomScaleNormal="70" workbookViewId="0">
      <pane xSplit="3" ySplit="6" topLeftCell="D369" activePane="bottomRight" state="frozen"/>
      <selection pane="topRight" activeCell="D1" sqref="D1"/>
      <selection pane="bottomLeft" activeCell="A4" sqref="A4"/>
      <selection pane="bottomRight" activeCell="AT6" sqref="AO6:AT6"/>
    </sheetView>
  </sheetViews>
  <sheetFormatPr baseColWidth="8" defaultColWidth="8.77734375" defaultRowHeight="13.2"/>
  <cols>
    <col width="9.77734375" bestFit="1" customWidth="1" style="218" min="1" max="1"/>
    <col hidden="1" width="7.6640625" customWidth="1" style="546" min="2" max="2"/>
    <col width="23.33203125" customWidth="1" style="548" min="3" max="3"/>
    <col width="19" customWidth="1" style="548" min="4" max="4"/>
    <col width="17.88671875" customWidth="1" style="546" min="5" max="5"/>
    <col width="19.109375" customWidth="1" style="546" min="6" max="6"/>
    <col width="12.88671875" customWidth="1" style="546" min="7" max="7"/>
    <col width="22.44140625" customWidth="1" style="549" min="8" max="8"/>
    <col width="8.77734375" bestFit="1" customWidth="1" style="546" min="9" max="9"/>
    <col outlineLevel="1" width="8.77734375" customWidth="1" style="546" min="10" max="11"/>
    <col hidden="1" outlineLevel="1" width="13.5546875" customWidth="1" style="546" min="12" max="14"/>
    <col hidden="1" outlineLevel="1" width="8.77734375" customWidth="1" style="546" min="15" max="18"/>
    <col hidden="1" outlineLevel="1" width="10.5546875" customWidth="1" style="546" min="19" max="19"/>
    <col hidden="1" outlineLevel="1" width="8.77734375" customWidth="1" style="546" min="20" max="23"/>
    <col hidden="1" outlineLevel="1" width="12.44140625" customWidth="1" style="546" min="24" max="24"/>
    <col hidden="1" outlineLevel="1" width="15.21875" customWidth="1" style="546" min="25" max="25"/>
    <col outlineLevel="1" width="14.21875" customWidth="1" style="546" min="26" max="26"/>
    <col outlineLevel="1" width="13.5546875" customWidth="1" style="546" min="27" max="27"/>
    <col hidden="1" outlineLevel="1" width="10.5546875" customWidth="1" style="546" min="28" max="28"/>
    <col hidden="1" outlineLevel="1" width="8.77734375" customWidth="1" style="546" min="29" max="29"/>
    <col outlineLevel="1" width="8.77734375" customWidth="1" style="550" min="30" max="31"/>
    <col outlineLevel="1" width="8.77734375" customWidth="1" style="546" min="32" max="32"/>
    <col hidden="1" outlineLevel="1" width="21.77734375" customWidth="1" style="546" min="33" max="33"/>
    <col hidden="1" outlineLevel="1" width="30.77734375" customWidth="1" style="546" min="34" max="34"/>
    <col hidden="1" width="23.44140625" customWidth="1" style="549" min="35" max="35"/>
    <col hidden="1" width="14.6640625" customWidth="1" style="546" min="36" max="36"/>
    <col hidden="1" width="13.6640625" customWidth="1" style="551" min="37" max="37"/>
    <col hidden="1" width="19.6640625" customWidth="1" style="546" min="38" max="38"/>
    <col hidden="1" width="20.88671875" customWidth="1" style="546" min="39" max="39"/>
    <col hidden="1" width="14.21875" customWidth="1" style="546" min="40" max="40"/>
    <col width="9.21875" bestFit="1" customWidth="1" style="546" min="41" max="41"/>
    <col width="11.21875" bestFit="1" customWidth="1" style="546" min="42" max="42"/>
    <col width="8.77734375" bestFit="1" customWidth="1" style="546" min="43" max="43"/>
    <col width="18.109375" customWidth="1" style="546" min="44" max="44"/>
    <col width="17.21875" customWidth="1" style="546" min="45" max="45"/>
    <col width="8.77734375" customWidth="1" style="546" min="46" max="47"/>
    <col width="8.77734375" customWidth="1" style="546" min="48" max="16384"/>
  </cols>
  <sheetData>
    <row r="1">
      <c r="A1" s="187" t="inlineStr">
        <is>
          <t xml:space="preserve">CÔNG TY: </t>
        </is>
      </c>
      <c r="C1" s="188" t="inlineStr">
        <is>
          <t xml:space="preserve"> Công ty TNHH Truyền hình số vệ tinh Việt Nam</t>
        </is>
      </c>
      <c r="D1" s="546" t="n"/>
      <c r="H1" s="558" t="n"/>
      <c r="J1" s="582" t="n"/>
      <c r="AD1" s="546" t="n"/>
      <c r="AE1" s="546" t="n"/>
      <c r="AO1" s="582" t="inlineStr">
        <is>
          <t xml:space="preserve">           Cộng Hòa Xã Hội Chủ Nghĩa Việt Nam</t>
        </is>
      </c>
    </row>
    <row r="2">
      <c r="A2" s="187" t="n"/>
      <c r="C2" s="546" t="n"/>
      <c r="D2" s="546" t="n"/>
      <c r="H2" s="558" t="n"/>
      <c r="J2" s="583" t="n"/>
      <c r="AD2" s="546" t="n"/>
      <c r="AE2" s="546" t="n"/>
      <c r="AO2" s="583" t="inlineStr">
        <is>
          <t xml:space="preserve">                  Độc Lập - Tự Do - Hạnh Phúc</t>
        </is>
      </c>
    </row>
    <row r="3">
      <c r="A3" s="547" t="inlineStr">
        <is>
          <t>BÁO CÁO KIỂM KÊ BẢN QUYỀN MOVIES</t>
        </is>
      </c>
    </row>
    <row r="4">
      <c r="A4" s="547" t="inlineStr">
        <is>
          <t>Thời điểm:….......giờ, ngày…....tháng.........năm 2026</t>
        </is>
      </c>
    </row>
    <row r="5" ht="13.2" customHeight="1" s="578">
      <c r="A5" s="364" t="n"/>
      <c r="B5" s="203" t="n"/>
      <c r="C5" s="234" t="n"/>
      <c r="D5" s="234" t="n"/>
      <c r="E5" s="203" t="n"/>
      <c r="F5" s="203" t="n"/>
      <c r="G5" s="203" t="n"/>
      <c r="H5" s="206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584" t="inlineStr">
        <is>
          <t>Lưu trữ</t>
        </is>
      </c>
      <c r="AE5" s="539" t="n"/>
      <c r="AF5" s="535" t="n"/>
      <c r="AG5" s="203" t="n"/>
      <c r="AH5" s="203" t="n"/>
      <c r="AI5" s="553" t="inlineStr">
        <is>
          <t>Ref File Kế toán</t>
        </is>
      </c>
      <c r="AJ5" s="539" t="n"/>
      <c r="AK5" s="539" t="n"/>
      <c r="AL5" s="539" t="n"/>
      <c r="AM5" s="535" t="n"/>
      <c r="AN5" s="542" t="inlineStr">
        <is>
          <t>Check</t>
        </is>
      </c>
      <c r="AO5" s="585" t="inlineStr">
        <is>
          <t>SỐ LIỆU KIỂM KÊ</t>
        </is>
      </c>
      <c r="AP5" s="539" t="n"/>
      <c r="AQ5" s="535" t="n"/>
      <c r="AR5" s="199" t="inlineStr">
        <is>
          <t>Giải trình chênh lệch</t>
        </is>
      </c>
      <c r="AS5" s="199" t="inlineStr">
        <is>
          <t>Đề xuất Phương án xử lý</t>
        </is>
      </c>
      <c r="AT5" s="365" t="n"/>
    </row>
    <row r="6" ht="39.6" customHeight="1" s="578">
      <c r="A6" s="190" t="inlineStr">
        <is>
          <t>STT</t>
        </is>
      </c>
      <c r="B6" s="94" t="inlineStr">
        <is>
          <t>Content Rating</t>
        </is>
      </c>
      <c r="C6" s="94" t="inlineStr">
        <is>
          <t>Clip Code</t>
        </is>
      </c>
      <c r="D6" s="94" t="inlineStr">
        <is>
          <t>ENGLISH Title</t>
        </is>
      </c>
      <c r="E6" s="94" t="inlineStr">
        <is>
          <t>VIET Title</t>
        </is>
      </c>
      <c r="F6" s="191" t="inlineStr">
        <is>
          <t>Main Genre</t>
        </is>
      </c>
      <c r="G6" s="191" t="inlineStr">
        <is>
          <t>Provider</t>
        </is>
      </c>
      <c r="H6" s="191" t="inlineStr">
        <is>
          <t>Contract number</t>
        </is>
      </c>
      <c r="I6" s="94" t="inlineStr">
        <is>
          <t>Year of Production</t>
        </is>
      </c>
      <c r="J6" s="94" t="inlineStr">
        <is>
          <t>Origin</t>
        </is>
      </c>
      <c r="K6" s="94" t="inlineStr">
        <is>
          <t>Duration
(minute)</t>
        </is>
      </c>
      <c r="L6" s="192" t="inlineStr">
        <is>
          <t>From (DTH)</t>
        </is>
      </c>
      <c r="M6" s="192" t="inlineStr">
        <is>
          <t>To (DTH)</t>
        </is>
      </c>
      <c r="N6" s="192" t="inlineStr">
        <is>
          <t>VSTV's 1st airing date</t>
        </is>
      </c>
      <c r="O6" s="94" t="inlineStr">
        <is>
          <t>Channel</t>
        </is>
      </c>
      <c r="P6" s="239" t="inlineStr">
        <is>
          <t>Exclusive
(month)</t>
        </is>
      </c>
      <c r="Q6" s="94" t="inlineStr">
        <is>
          <t>Sub-license</t>
        </is>
      </c>
      <c r="R6" s="94" t="inlineStr">
        <is>
          <t>OTT rights</t>
        </is>
      </c>
      <c r="S6" s="94" t="inlineStr">
        <is>
          <t>Catch-up</t>
        </is>
      </c>
      <c r="T6" s="586" t="inlineStr">
        <is>
          <t>SVOD</t>
        </is>
      </c>
      <c r="U6" s="586" t="inlineStr">
        <is>
          <t>FVOD</t>
        </is>
      </c>
      <c r="V6" s="586" t="inlineStr">
        <is>
          <t>AVOD</t>
        </is>
      </c>
      <c r="W6" s="586" t="inlineStr">
        <is>
          <t>TVOD</t>
        </is>
      </c>
      <c r="X6" s="586" t="inlineStr">
        <is>
          <t>Internet
Streaming</t>
        </is>
      </c>
      <c r="Y6" s="586" t="inlineStr">
        <is>
          <t>Internet
Downloading</t>
        </is>
      </c>
      <c r="Z6" s="193" t="inlineStr">
        <is>
          <t>From (VOD)</t>
        </is>
      </c>
      <c r="AA6" s="194" t="inlineStr">
        <is>
          <t>To (VOD)</t>
        </is>
      </c>
      <c r="AB6" s="94" t="inlineStr">
        <is>
          <t>Runs No.</t>
        </is>
      </c>
      <c r="AC6" s="190" t="inlineStr">
        <is>
          <t>Broadcasted runs</t>
        </is>
      </c>
      <c r="AD6" s="587" t="inlineStr">
        <is>
          <t>HD Censorship</t>
        </is>
      </c>
      <c r="AE6" s="588" t="inlineStr">
        <is>
          <t>LTO</t>
        </is>
      </c>
      <c r="AF6" s="588" t="inlineStr">
        <is>
          <t>Drive ( ổ cứng)</t>
        </is>
      </c>
      <c r="AG6" s="588" t="inlineStr">
        <is>
          <t>Note</t>
        </is>
      </c>
      <c r="AH6" s="195" t="n"/>
      <c r="AI6" s="196" t="inlineStr">
        <is>
          <t>Tên trên file Kế toán</t>
        </is>
      </c>
      <c r="AJ6" s="197" t="inlineStr">
        <is>
          <t>details kế toán</t>
        </is>
      </c>
      <c r="AK6" s="198" t="inlineStr">
        <is>
          <t>Giá trị còn lại (15661)</t>
        </is>
      </c>
      <c r="AL6" s="199" t="inlineStr">
        <is>
          <t>Check ref "TK 242.BQ Phim hợp tác"</t>
        </is>
      </c>
      <c r="AM6" s="199" t="inlineStr">
        <is>
          <t>Check ref "TK 15661. Bản quyền phim"</t>
        </is>
      </c>
      <c r="AN6" s="543" t="n"/>
      <c r="AO6" s="200" t="inlineStr">
        <is>
          <t>Số lượng</t>
        </is>
      </c>
      <c r="AP6" s="200" t="inlineStr">
        <is>
          <t>From (VOD)</t>
        </is>
      </c>
      <c r="AQ6" s="200" t="inlineStr">
        <is>
          <t>To (VOD)</t>
        </is>
      </c>
      <c r="AR6" s="199" t="inlineStr">
        <is>
          <t>Giải trình chênh lệch</t>
        </is>
      </c>
      <c r="AS6" s="199" t="inlineStr">
        <is>
          <t>Đề xuất Phương án xử lý</t>
        </is>
      </c>
      <c r="AT6" s="365" t="inlineStr">
        <is>
          <t>Kết quả tìm</t>
        </is>
      </c>
    </row>
    <row r="7" ht="26.4" customHeight="1" s="578">
      <c r="A7" s="201">
        <f>_xlfn.AGGREGATE(3,3,$D$7:D7)</f>
        <v/>
      </c>
      <c r="B7" s="589" t="inlineStr">
        <is>
          <t>13+</t>
        </is>
      </c>
      <c r="C7" s="590" t="inlineStr">
        <is>
          <t>MOV_DRA730</t>
        </is>
      </c>
      <c r="D7" s="105" t="inlineStr">
        <is>
          <t>SHINING FOR ONE THING</t>
        </is>
      </c>
      <c r="E7" s="105" t="inlineStr">
        <is>
          <t>Ngôi Sao Lấp Lánh</t>
        </is>
      </c>
      <c r="F7" s="108" t="inlineStr">
        <is>
          <t>Thriller, Mystery, Romance, Fantasy</t>
        </is>
      </c>
      <c r="G7" s="108" t="inlineStr">
        <is>
          <t>Skyline Media</t>
        </is>
      </c>
      <c r="H7" s="590" t="inlineStr">
        <is>
          <t>36/2025/HDBQ/VSTV-SM</t>
        </is>
      </c>
      <c r="I7" s="107" t="n">
        <v>2023</v>
      </c>
      <c r="J7" s="107" t="inlineStr">
        <is>
          <t>China</t>
        </is>
      </c>
      <c r="K7" s="107" t="n">
        <v>107</v>
      </c>
      <c r="L7" s="591" t="n">
        <v>45674</v>
      </c>
      <c r="M7" s="109" t="n">
        <v>47169</v>
      </c>
      <c r="N7" s="591" t="n">
        <v>45674</v>
      </c>
      <c r="O7" s="592" t="n"/>
      <c r="P7" s="104" t="n">
        <v>12</v>
      </c>
      <c r="Q7" s="107" t="inlineStr">
        <is>
          <t>No</t>
        </is>
      </c>
      <c r="R7" s="592" t="inlineStr">
        <is>
          <t>Yes</t>
        </is>
      </c>
      <c r="S7" s="104" t="inlineStr">
        <is>
          <t>Yes</t>
        </is>
      </c>
      <c r="T7" s="592" t="inlineStr">
        <is>
          <t>Yes</t>
        </is>
      </c>
      <c r="U7" s="104" t="inlineStr">
        <is>
          <t>Yes</t>
        </is>
      </c>
      <c r="V7" s="104" t="inlineStr">
        <is>
          <t>Yes</t>
        </is>
      </c>
      <c r="W7" s="104" t="inlineStr">
        <is>
          <t>Yes</t>
        </is>
      </c>
      <c r="X7" s="104" t="inlineStr">
        <is>
          <t>Yes</t>
        </is>
      </c>
      <c r="Y7" s="104" t="inlineStr">
        <is>
          <t>No</t>
        </is>
      </c>
      <c r="Z7" s="109" t="n">
        <v>45674</v>
      </c>
      <c r="AA7" s="109" t="n">
        <v>47169</v>
      </c>
      <c r="AB7" s="107" t="n">
        <v>24</v>
      </c>
      <c r="AC7" s="202" t="n">
        <v>3</v>
      </c>
      <c r="AD7" s="592" t="inlineStr">
        <is>
          <t>Yes</t>
        </is>
      </c>
      <c r="AE7" s="592" t="inlineStr">
        <is>
          <t>Yes</t>
        </is>
      </c>
      <c r="AF7" s="593" t="n"/>
      <c r="AG7" s="593" t="inlineStr">
        <is>
          <t>Phim còn hạn từ 2026</t>
        </is>
      </c>
      <c r="AH7" s="594" t="n"/>
      <c r="AI7" s="595" t="inlineStr">
        <is>
          <t>SHINING FOR ONE THING</t>
        </is>
      </c>
      <c r="AJ7" s="128">
        <f>SUMIF('TK 15661.Bản quyền phim '!F:F,'KK1. Movies'!D7,'TK 15661.Bản quyền phim '!X:X)</f>
        <v/>
      </c>
      <c r="AK7" s="128">
        <f>SUMIF('TK 15661.Bản quyền phim '!F:F,'KK1. Movies'!AI7,'TK 15661.Bản quyền phim '!X:X)</f>
        <v/>
      </c>
      <c r="AL7" s="203">
        <f>COUNTIF('242.BQ Phim hợp tác'!$C:$C,'KK1. Movies'!AI7)</f>
        <v/>
      </c>
      <c r="AM7" s="203">
        <f>COUNTIF('TK 15661.Bản quyền phim '!F:F,'KK1. Movies'!AI7)</f>
        <v/>
      </c>
      <c r="AN7" s="546">
        <f>AL7+AM7</f>
        <v/>
      </c>
      <c r="AO7" s="203" t="n"/>
      <c r="AP7" s="203" t="n"/>
      <c r="AQ7" s="203" t="n"/>
      <c r="AR7" s="203" t="n"/>
      <c r="AS7" s="203" t="n"/>
      <c r="AT7" s="546">
        <f>IFERROR(VLOOKUP(C7, CodeRanMovies!$A:$K, 11, 0), "Not found")</f>
        <v/>
      </c>
    </row>
    <row r="8" ht="26.4" customHeight="1" s="578">
      <c r="A8" s="201">
        <f>_xlfn.AGGREGATE(3,3,$D$7:D8)</f>
        <v/>
      </c>
      <c r="B8" s="589" t="inlineStr">
        <is>
          <t>16+</t>
        </is>
      </c>
      <c r="C8" s="590" t="inlineStr">
        <is>
          <t>MOV_ACT_23__2691047</t>
        </is>
      </c>
      <c r="D8" s="596" t="inlineStr">
        <is>
          <t>ROGUE</t>
        </is>
      </c>
      <c r="E8" s="590" t="inlineStr">
        <is>
          <t>Biệt đội săn mồi</t>
        </is>
      </c>
      <c r="F8" s="590" t="inlineStr">
        <is>
          <t>Action, Adventure</t>
        </is>
      </c>
      <c r="G8" s="589" t="inlineStr">
        <is>
          <t>Roses Media</t>
        </is>
      </c>
      <c r="H8" s="590" t="inlineStr">
        <is>
          <t>140/2022/HDBQ/VSTV-RM</t>
        </is>
      </c>
      <c r="I8" s="204" t="n">
        <v>2020</v>
      </c>
      <c r="J8" s="592" t="inlineStr">
        <is>
          <t>US</t>
        </is>
      </c>
      <c r="K8" s="204" t="n">
        <v>105</v>
      </c>
      <c r="L8" s="98" t="n">
        <v>45077</v>
      </c>
      <c r="M8" s="101" t="n">
        <v>46172</v>
      </c>
      <c r="N8" s="597" t="n">
        <v>45077</v>
      </c>
      <c r="O8" s="598" t="inlineStr">
        <is>
          <t>K+CINE</t>
        </is>
      </c>
      <c r="P8" s="592" t="inlineStr">
        <is>
          <t xml:space="preserve">Exclusive All Pay TV Rights for first 12 months.
Non exclusive All VOD during LP 
</t>
        </is>
      </c>
      <c r="Q8" s="592" t="inlineStr">
        <is>
          <t>No</t>
        </is>
      </c>
      <c r="R8" s="592" t="inlineStr">
        <is>
          <t>Yes</t>
        </is>
      </c>
      <c r="S8" s="592" t="inlineStr">
        <is>
          <t>No</t>
        </is>
      </c>
      <c r="T8" s="592" t="inlineStr">
        <is>
          <t>Yes</t>
        </is>
      </c>
      <c r="U8" s="592" t="inlineStr">
        <is>
          <t>Yes</t>
        </is>
      </c>
      <c r="V8" s="592" t="inlineStr">
        <is>
          <t>Yes</t>
        </is>
      </c>
      <c r="W8" s="592" t="inlineStr">
        <is>
          <t>Yes</t>
        </is>
      </c>
      <c r="X8" s="592" t="inlineStr">
        <is>
          <t>Yes</t>
        </is>
      </c>
      <c r="Y8" s="592" t="inlineStr">
        <is>
          <t>No</t>
        </is>
      </c>
      <c r="Z8" s="98" t="n">
        <v>45077</v>
      </c>
      <c r="AA8" s="101" t="n">
        <v>46172</v>
      </c>
      <c r="AB8" s="202" t="n">
        <v>24</v>
      </c>
      <c r="AC8" s="202" t="n">
        <v>14</v>
      </c>
      <c r="AD8" s="592" t="inlineStr">
        <is>
          <t>Yes</t>
        </is>
      </c>
      <c r="AE8" s="592" t="inlineStr">
        <is>
          <t>Yes</t>
        </is>
      </c>
      <c r="AF8" s="593" t="n"/>
      <c r="AG8" s="593" t="inlineStr">
        <is>
          <t>Phim còn hạn từ 2026</t>
        </is>
      </c>
      <c r="AH8" s="594" t="n"/>
      <c r="AI8" s="205" t="inlineStr">
        <is>
          <t>ROGUE HEROS</t>
        </is>
      </c>
      <c r="AJ8" s="128">
        <f>SUMIF('TK 15661.Bản quyền phim '!F:F,'KK1. Movies'!D8,'TK 15661.Bản quyền phim '!X:X)</f>
        <v/>
      </c>
      <c r="AK8" s="128">
        <f>SUMIF('TK 15661.Bản quyền phim '!F:F,'KK1. Movies'!AI8,'TK 15661.Bản quyền phim '!X:X)</f>
        <v/>
      </c>
      <c r="AL8" s="203">
        <f>COUNTIF('242.BQ Phim hợp tác'!$C:$C,'KK1. Movies'!AI8)</f>
        <v/>
      </c>
      <c r="AM8" s="203">
        <f>COUNTIF('TK 15661.Bản quyền phim '!F:F,'KK1. Movies'!AI8)</f>
        <v/>
      </c>
      <c r="AN8" s="546">
        <f>AL8+AM8</f>
        <v/>
      </c>
      <c r="AO8" s="203" t="n"/>
      <c r="AP8" s="203" t="n"/>
      <c r="AQ8" s="203" t="n"/>
      <c r="AR8" s="203" t="n"/>
      <c r="AS8" s="203" t="n"/>
      <c r="AT8" s="546">
        <f>IFERROR(VLOOKUP(C8, CodeRanMovies!$A:$K, 11, 0), "Not found")</f>
        <v/>
      </c>
    </row>
    <row r="9" ht="26.4" customHeight="1" s="578">
      <c r="A9" s="201">
        <f>_xlfn.AGGREGATE(3,3,$D$7:D9)</f>
        <v/>
      </c>
      <c r="B9" s="589" t="inlineStr">
        <is>
          <t>16+</t>
        </is>
      </c>
      <c r="C9" s="590" t="inlineStr">
        <is>
          <t>MOV_ACT_22__2687284</t>
        </is>
      </c>
      <c r="D9" s="596" t="inlineStr">
        <is>
          <t>Escape Plan 2: Hades</t>
        </is>
      </c>
      <c r="E9" s="590" t="inlineStr">
        <is>
          <t>Kế hoạch đào tẩu 2: Địa ngục</t>
        </is>
      </c>
      <c r="F9" s="590" t="inlineStr">
        <is>
          <t>Crime, Thriller</t>
        </is>
      </c>
      <c r="G9" s="589" t="inlineStr">
        <is>
          <t>Roses Media</t>
        </is>
      </c>
      <c r="H9" s="590" t="inlineStr">
        <is>
          <t>140/2022/HDBQ/VSTV-RM</t>
        </is>
      </c>
      <c r="I9" s="204" t="n">
        <v>2018</v>
      </c>
      <c r="J9" s="592" t="inlineStr">
        <is>
          <t>US</t>
        </is>
      </c>
      <c r="K9" s="204" t="n">
        <v>96</v>
      </c>
      <c r="L9" s="98" t="n">
        <v>44967</v>
      </c>
      <c r="M9" s="101" t="n">
        <v>46062</v>
      </c>
      <c r="N9" s="597" t="n">
        <v>44967</v>
      </c>
      <c r="O9" s="598" t="inlineStr">
        <is>
          <t>K+CINE</t>
        </is>
      </c>
      <c r="P9" s="592" t="inlineStr">
        <is>
          <t xml:space="preserve">Exclusive All Pay TV Rights for first 12 months.
Non exclusive All VOD during LP 
</t>
        </is>
      </c>
      <c r="Q9" s="592" t="inlineStr">
        <is>
          <t>No</t>
        </is>
      </c>
      <c r="R9" s="592" t="inlineStr">
        <is>
          <t>Yes</t>
        </is>
      </c>
      <c r="S9" s="592" t="inlineStr">
        <is>
          <t>No</t>
        </is>
      </c>
      <c r="T9" s="592" t="inlineStr">
        <is>
          <t>Yes</t>
        </is>
      </c>
      <c r="U9" s="592" t="inlineStr">
        <is>
          <t>Yes</t>
        </is>
      </c>
      <c r="V9" s="592" t="inlineStr">
        <is>
          <t>Yes</t>
        </is>
      </c>
      <c r="W9" s="592" t="inlineStr">
        <is>
          <t>Yes</t>
        </is>
      </c>
      <c r="X9" s="592" t="inlineStr">
        <is>
          <t>Yes</t>
        </is>
      </c>
      <c r="Y9" s="592" t="inlineStr">
        <is>
          <t>no</t>
        </is>
      </c>
      <c r="Z9" s="98" t="n">
        <v>44967</v>
      </c>
      <c r="AA9" s="101" t="n">
        <v>46062</v>
      </c>
      <c r="AB9" s="202" t="n">
        <v>24</v>
      </c>
      <c r="AC9" s="202" t="n">
        <v>22</v>
      </c>
      <c r="AD9" s="592" t="inlineStr">
        <is>
          <t>Yes</t>
        </is>
      </c>
      <c r="AE9" s="592" t="inlineStr">
        <is>
          <t>Yes</t>
        </is>
      </c>
      <c r="AF9" s="593" t="n"/>
      <c r="AG9" s="593" t="inlineStr">
        <is>
          <t>Phim còn hạn từ 2026</t>
        </is>
      </c>
      <c r="AH9" s="594" t="n"/>
      <c r="AI9" s="599" t="inlineStr">
        <is>
          <t>Escape Plan 2: Hades</t>
        </is>
      </c>
      <c r="AJ9" s="128">
        <f>SUMIF('TK 15661.Bản quyền phim '!F:F,'KK1. Movies'!D9,'TK 15661.Bản quyền phim '!X:X)</f>
        <v/>
      </c>
      <c r="AK9" s="128">
        <f>SUMIF('TK 15661.Bản quyền phim '!F:F,'KK1. Movies'!AI9,'TK 15661.Bản quyền phim '!X:X)</f>
        <v/>
      </c>
      <c r="AL9" s="203">
        <f>COUNTIF('242.BQ Phim hợp tác'!$C:$C,'KK1. Movies'!AI9)</f>
        <v/>
      </c>
      <c r="AM9" s="203">
        <f>COUNTIF('TK 15661.Bản quyền phim '!F:F,'KK1. Movies'!AI9)</f>
        <v/>
      </c>
      <c r="AN9" s="546">
        <f>AL9+AM9</f>
        <v/>
      </c>
      <c r="AO9" s="203" t="n"/>
      <c r="AP9" s="203" t="n"/>
      <c r="AQ9" s="203" t="n"/>
      <c r="AR9" s="203" t="n"/>
      <c r="AS9" s="203" t="n"/>
      <c r="AT9" s="546">
        <f>IFERROR(VLOOKUP(C9, CodeRanMovies!$A:$K, 11, 0), "Not found")</f>
        <v/>
      </c>
    </row>
    <row r="10" ht="26.4" customHeight="1" s="578">
      <c r="A10" s="201">
        <f>_xlfn.AGGREGATE(3,3,$D$7:D10)</f>
        <v/>
      </c>
      <c r="B10" s="589" t="inlineStr">
        <is>
          <t>16+</t>
        </is>
      </c>
      <c r="C10" s="590" t="inlineStr">
        <is>
          <t>MOV_ACT_23__2693370</t>
        </is>
      </c>
      <c r="D10" s="596" t="inlineStr">
        <is>
          <t>Riam: Fighting Angel</t>
        </is>
      </c>
      <c r="E10" s="590" t="inlineStr">
        <is>
          <t>Riam: Nữ quái nổi loạn</t>
        </is>
      </c>
      <c r="F10" s="590" t="inlineStr">
        <is>
          <t>Comedy</t>
        </is>
      </c>
      <c r="G10" s="589" t="inlineStr">
        <is>
          <t>Roses Media</t>
        </is>
      </c>
      <c r="H10" s="590" t="inlineStr">
        <is>
          <t>140/2022/HDBQ/VSTV-RM</t>
        </is>
      </c>
      <c r="I10" s="204" t="n">
        <v>2020</v>
      </c>
      <c r="J10" s="600" t="inlineStr">
        <is>
          <t>Thailand</t>
        </is>
      </c>
      <c r="K10" s="204" t="n">
        <v>108</v>
      </c>
      <c r="L10" s="98" t="n">
        <v>45064</v>
      </c>
      <c r="M10" s="101" t="n">
        <v>46159</v>
      </c>
      <c r="N10" s="597" t="n">
        <v>45064</v>
      </c>
      <c r="O10" s="598" t="inlineStr">
        <is>
          <t>K+CINE</t>
        </is>
      </c>
      <c r="P10" s="592" t="inlineStr">
        <is>
          <t xml:space="preserve">Exclusive All Pay TV Rights for first 12 months.
Non exclusive All VOD during LP 
</t>
        </is>
      </c>
      <c r="Q10" s="592" t="inlineStr">
        <is>
          <t>No</t>
        </is>
      </c>
      <c r="R10" s="592" t="inlineStr">
        <is>
          <t>Yes</t>
        </is>
      </c>
      <c r="S10" s="592" t="inlineStr">
        <is>
          <t>No</t>
        </is>
      </c>
      <c r="T10" s="592" t="inlineStr">
        <is>
          <t>Yes</t>
        </is>
      </c>
      <c r="U10" s="592" t="inlineStr">
        <is>
          <t>Yes</t>
        </is>
      </c>
      <c r="V10" s="592" t="inlineStr">
        <is>
          <t>Yes</t>
        </is>
      </c>
      <c r="W10" s="592" t="inlineStr">
        <is>
          <t>Yes</t>
        </is>
      </c>
      <c r="X10" s="592" t="inlineStr">
        <is>
          <t>Yes</t>
        </is>
      </c>
      <c r="Y10" s="592" t="inlineStr">
        <is>
          <t>No</t>
        </is>
      </c>
      <c r="Z10" s="98" t="n">
        <v>45064</v>
      </c>
      <c r="AA10" s="101" t="n">
        <v>46159</v>
      </c>
      <c r="AB10" s="202" t="n">
        <v>24</v>
      </c>
      <c r="AC10" s="202" t="n">
        <v>16</v>
      </c>
      <c r="AD10" s="592" t="inlineStr">
        <is>
          <t>Yes</t>
        </is>
      </c>
      <c r="AE10" s="592" t="inlineStr">
        <is>
          <t>Yes</t>
        </is>
      </c>
      <c r="AF10" s="593" t="n"/>
      <c r="AG10" s="593" t="inlineStr">
        <is>
          <t>Phim còn hạn từ 2026</t>
        </is>
      </c>
      <c r="AH10" s="594" t="n"/>
      <c r="AI10" s="599" t="inlineStr">
        <is>
          <t>Riam: Fighting Angel</t>
        </is>
      </c>
      <c r="AJ10" s="128">
        <f>SUMIF('TK 15661.Bản quyền phim '!F:F,'KK1. Movies'!D10,'TK 15661.Bản quyền phim '!X:X)</f>
        <v/>
      </c>
      <c r="AK10" s="128">
        <f>SUMIF('TK 15661.Bản quyền phim '!F:F,'KK1. Movies'!AI10,'TK 15661.Bản quyền phim '!X:X)</f>
        <v/>
      </c>
      <c r="AL10" s="203">
        <f>COUNTIF('242.BQ Phim hợp tác'!$C:$C,'KK1. Movies'!AI10)</f>
        <v/>
      </c>
      <c r="AM10" s="203">
        <f>COUNTIF('TK 15661.Bản quyền phim '!F:F,'KK1. Movies'!AI10)</f>
        <v/>
      </c>
      <c r="AN10" s="546">
        <f>AL10+AM10</f>
        <v/>
      </c>
      <c r="AO10" s="203" t="n"/>
      <c r="AP10" s="203" t="n"/>
      <c r="AQ10" s="203" t="n"/>
      <c r="AR10" s="203" t="n"/>
      <c r="AS10" s="203" t="n"/>
      <c r="AT10" s="546">
        <f>IFERROR(VLOOKUP(C10, CodeRanMovies!$A:$K, 11, 0), "Not found")</f>
        <v/>
      </c>
    </row>
    <row r="11" ht="26.4" customHeight="1" s="578">
      <c r="A11" s="201">
        <f>_xlfn.AGGREGATE(3,3,$D$7:D11)</f>
        <v/>
      </c>
      <c r="B11" s="589" t="inlineStr">
        <is>
          <t>P</t>
        </is>
      </c>
      <c r="C11" s="234" t="inlineStr">
        <is>
          <t>MOV_ANI_23__2697127</t>
        </is>
      </c>
      <c r="D11" s="596" t="inlineStr">
        <is>
          <t>Happy Family</t>
        </is>
      </c>
      <c r="E11" s="590" t="inlineStr">
        <is>
          <t>Gia đình là tất cả</t>
        </is>
      </c>
      <c r="F11" s="590" t="inlineStr">
        <is>
          <t>Comedy</t>
        </is>
      </c>
      <c r="G11" s="589" t="inlineStr">
        <is>
          <t>Roses Media</t>
        </is>
      </c>
      <c r="H11" s="590" t="inlineStr">
        <is>
          <t>140/2022/HDBQ/VSTV-RM</t>
        </is>
      </c>
      <c r="I11" s="204" t="n">
        <v>2017</v>
      </c>
      <c r="J11" s="204" t="inlineStr">
        <is>
          <t>Germany</t>
        </is>
      </c>
      <c r="K11" s="204" t="n">
        <v>96</v>
      </c>
      <c r="L11" s="98" t="n">
        <v>45227</v>
      </c>
      <c r="M11" s="101" t="n">
        <v>46322</v>
      </c>
      <c r="N11" s="601" t="n">
        <v>45227</v>
      </c>
      <c r="O11" s="592" t="inlineStr">
        <is>
          <t>K+KIDS</t>
        </is>
      </c>
      <c r="P11" s="592" t="n"/>
      <c r="Q11" s="592" t="inlineStr">
        <is>
          <t>No</t>
        </is>
      </c>
      <c r="R11" s="592" t="inlineStr">
        <is>
          <t>Yes</t>
        </is>
      </c>
      <c r="S11" s="592" t="inlineStr">
        <is>
          <t>No</t>
        </is>
      </c>
      <c r="T11" s="592" t="inlineStr">
        <is>
          <t>Yes</t>
        </is>
      </c>
      <c r="U11" s="592" t="inlineStr">
        <is>
          <t>Yes</t>
        </is>
      </c>
      <c r="V11" s="592" t="inlineStr">
        <is>
          <t>Yes</t>
        </is>
      </c>
      <c r="W11" s="592" t="inlineStr">
        <is>
          <t>Yes</t>
        </is>
      </c>
      <c r="X11" s="592" t="inlineStr">
        <is>
          <t>Yes</t>
        </is>
      </c>
      <c r="Y11" s="592" t="inlineStr">
        <is>
          <t>No</t>
        </is>
      </c>
      <c r="Z11" s="98" t="n">
        <v>45227</v>
      </c>
      <c r="AA11" s="101" t="n">
        <v>46322</v>
      </c>
      <c r="AB11" s="202" t="n">
        <v>24</v>
      </c>
      <c r="AC11" s="202" t="n">
        <v>16</v>
      </c>
      <c r="AD11" s="592" t="inlineStr">
        <is>
          <t>Yes</t>
        </is>
      </c>
      <c r="AE11" s="592" t="inlineStr">
        <is>
          <t>Yes</t>
        </is>
      </c>
      <c r="AF11" s="593" t="n"/>
      <c r="AG11" s="593" t="inlineStr">
        <is>
          <t>Phim còn hạn từ 2026</t>
        </is>
      </c>
      <c r="AH11" s="594" t="n"/>
      <c r="AI11" s="599" t="inlineStr">
        <is>
          <t>Happy Family</t>
        </is>
      </c>
      <c r="AJ11" s="128">
        <f>SUMIF('TK 15661.Bản quyền phim '!F:F,'KK1. Movies'!D11,'TK 15661.Bản quyền phim '!X:X)</f>
        <v/>
      </c>
      <c r="AK11" s="128">
        <f>SUMIF('TK 15661.Bản quyền phim '!F:F,'KK1. Movies'!AI11,'TK 15661.Bản quyền phim '!X:X)</f>
        <v/>
      </c>
      <c r="AL11" s="203">
        <f>COUNTIF('242.BQ Phim hợp tác'!$C:$C,'KK1. Movies'!AI11)</f>
        <v/>
      </c>
      <c r="AM11" s="203">
        <f>COUNTIF('TK 15661.Bản quyền phim '!F:F,'KK1. Movies'!AI11)</f>
        <v/>
      </c>
      <c r="AN11" s="546">
        <f>AL11+AM11</f>
        <v/>
      </c>
      <c r="AO11" s="203" t="n"/>
      <c r="AP11" s="203" t="n"/>
      <c r="AQ11" s="203" t="n"/>
      <c r="AR11" s="203" t="n"/>
      <c r="AS11" s="203" t="n"/>
      <c r="AT11" s="546">
        <f>IFERROR(VLOOKUP(C11, CodeRanMovies!$A:$K, 11, 0), "Not found")</f>
        <v/>
      </c>
    </row>
    <row r="12" ht="52.8" customHeight="1" s="578">
      <c r="A12" s="201">
        <f>_xlfn.AGGREGATE(3,3,$D$7:D12)</f>
        <v/>
      </c>
      <c r="B12" s="589" t="inlineStr">
        <is>
          <t>16+</t>
        </is>
      </c>
      <c r="C12" s="590" t="inlineStr">
        <is>
          <t>MOV_DRA739</t>
        </is>
      </c>
      <c r="D12" s="105" t="inlineStr">
        <is>
          <t>MEMOIRS OF A GEISHA</t>
        </is>
      </c>
      <c r="E12" s="110" t="inlineStr">
        <is>
          <t>Hồi ức của một Geisha</t>
        </is>
      </c>
      <c r="F12" s="590" t="inlineStr">
        <is>
          <t>Drama</t>
        </is>
      </c>
      <c r="G12" s="103" t="inlineStr">
        <is>
          <t>SONY</t>
        </is>
      </c>
      <c r="H12" s="590" t="inlineStr">
        <is>
          <t>Sony/K+Vietnam PayBasic SVOD Package Agmt D3A FE (Feb-5-24)</t>
        </is>
      </c>
      <c r="I12" s="104" t="n">
        <v>2005</v>
      </c>
      <c r="J12" s="104" t="inlineStr">
        <is>
          <t>U.S.A.[excluding Territories &amp; Possessions]</t>
        </is>
      </c>
      <c r="K12" s="104" t="n">
        <v>145</v>
      </c>
      <c r="L12" s="591" t="n">
        <v>45701</v>
      </c>
      <c r="M12" s="106" t="n">
        <v>46430</v>
      </c>
      <c r="N12" s="601" t="n"/>
      <c r="O12" s="592" t="n"/>
      <c r="P12" s="592" t="n"/>
      <c r="Q12" s="104" t="inlineStr">
        <is>
          <t>No</t>
        </is>
      </c>
      <c r="R12" s="104" t="inlineStr">
        <is>
          <t>Yes</t>
        </is>
      </c>
      <c r="S12" s="104" t="inlineStr">
        <is>
          <t>Yes</t>
        </is>
      </c>
      <c r="T12" s="592" t="inlineStr">
        <is>
          <t>Yes</t>
        </is>
      </c>
      <c r="U12" s="104" t="inlineStr">
        <is>
          <t>No</t>
        </is>
      </c>
      <c r="V12" s="104" t="inlineStr">
        <is>
          <t>No</t>
        </is>
      </c>
      <c r="W12" s="104" t="inlineStr">
        <is>
          <t>No</t>
        </is>
      </c>
      <c r="X12" s="104" t="inlineStr">
        <is>
          <t>Yes</t>
        </is>
      </c>
      <c r="Y12" s="104" t="inlineStr">
        <is>
          <t>No</t>
        </is>
      </c>
      <c r="Z12" s="106" t="n">
        <v>45701</v>
      </c>
      <c r="AA12" s="124" t="n">
        <v>46246</v>
      </c>
      <c r="AB12" s="104" t="n">
        <v>7</v>
      </c>
      <c r="AC12" s="202" t="n">
        <v>1</v>
      </c>
      <c r="AD12" s="592" t="inlineStr">
        <is>
          <t>Yes</t>
        </is>
      </c>
      <c r="AE12" s="592" t="inlineStr">
        <is>
          <t>Yes</t>
        </is>
      </c>
      <c r="AF12" s="593" t="n"/>
      <c r="AG12" s="593" t="inlineStr">
        <is>
          <t>Phim còn hạn từ 2026</t>
        </is>
      </c>
      <c r="AH12" s="594" t="n"/>
      <c r="AI12" s="206" t="inlineStr">
        <is>
          <t>MEMOIRS OF A GEISHA</t>
        </is>
      </c>
      <c r="AJ12" s="128">
        <f>SUMIF('TK 15661.Bản quyền phim '!F:F,'KK1. Movies'!D12,'TK 15661.Bản quyền phim '!X:X)</f>
        <v/>
      </c>
      <c r="AK12" s="128">
        <f>SUMIF('TK 15661.Bản quyền phim '!F:F,'KK1. Movies'!AI12,'TK 15661.Bản quyền phim '!X:X)</f>
        <v/>
      </c>
      <c r="AL12" s="203">
        <f>COUNTIF('242.BQ Phim hợp tác'!$C:$C,'KK1. Movies'!AI12)</f>
        <v/>
      </c>
      <c r="AM12" s="203">
        <f>COUNTIF('TK 15661.Bản quyền phim '!F:F,'KK1. Movies'!AI12)</f>
        <v/>
      </c>
      <c r="AN12" s="546">
        <f>AL12+AM12</f>
        <v/>
      </c>
      <c r="AO12" s="203" t="n"/>
      <c r="AP12" s="203" t="n"/>
      <c r="AQ12" s="203" t="n"/>
      <c r="AR12" s="203" t="n"/>
      <c r="AS12" s="203" t="n"/>
      <c r="AT12" s="546">
        <f>IFERROR(VLOOKUP(C12, CodeRanMovies!$A:$K, 11, 0), "Not found")</f>
        <v/>
      </c>
    </row>
    <row r="13" ht="26.4" customHeight="1" s="578">
      <c r="A13" s="201">
        <f>_xlfn.AGGREGATE(3,3,$D$7:D13)</f>
        <v/>
      </c>
      <c r="B13" s="589" t="inlineStr">
        <is>
          <t>16+</t>
        </is>
      </c>
      <c r="C13" s="234" t="inlineStr">
        <is>
          <t>MOV_DRA_23__2695077</t>
        </is>
      </c>
      <c r="D13" s="596" t="inlineStr">
        <is>
          <t>Ironbark/ The Courier</t>
        </is>
      </c>
      <c r="E13" s="590" t="inlineStr">
        <is>
          <t>Người đưa tin</t>
        </is>
      </c>
      <c r="F13" s="590" t="inlineStr">
        <is>
          <t>Crime, Thriller</t>
        </is>
      </c>
      <c r="G13" s="589" t="inlineStr">
        <is>
          <t>Roses Media</t>
        </is>
      </c>
      <c r="H13" s="590" t="inlineStr">
        <is>
          <t>140/2022/HDBQ/VSTV-RM</t>
        </is>
      </c>
      <c r="I13" s="204" t="n">
        <v>2021</v>
      </c>
      <c r="J13" s="592" t="inlineStr">
        <is>
          <t>US</t>
        </is>
      </c>
      <c r="K13" s="204" t="n">
        <v>112</v>
      </c>
      <c r="L13" s="98" t="n">
        <v>45191</v>
      </c>
      <c r="M13" s="101" t="n">
        <v>46286</v>
      </c>
      <c r="N13" s="597" t="n">
        <v>45191</v>
      </c>
      <c r="O13" s="598" t="inlineStr">
        <is>
          <t>K+CINE</t>
        </is>
      </c>
      <c r="P13" s="592" t="inlineStr">
        <is>
          <t xml:space="preserve">Exclusive All Pay TV Rights for first 12 months.
Non exclusive All VOD during LP 
</t>
        </is>
      </c>
      <c r="Q13" s="592" t="inlineStr">
        <is>
          <t>No</t>
        </is>
      </c>
      <c r="R13" s="592" t="inlineStr">
        <is>
          <t>Yes</t>
        </is>
      </c>
      <c r="S13" s="592" t="inlineStr">
        <is>
          <t>No</t>
        </is>
      </c>
      <c r="T13" s="592" t="inlineStr">
        <is>
          <t>Yes</t>
        </is>
      </c>
      <c r="U13" s="592" t="inlineStr">
        <is>
          <t>Yes</t>
        </is>
      </c>
      <c r="V13" s="592" t="inlineStr">
        <is>
          <t>Yes</t>
        </is>
      </c>
      <c r="W13" s="592" t="inlineStr">
        <is>
          <t>Yes</t>
        </is>
      </c>
      <c r="X13" s="592" t="inlineStr">
        <is>
          <t>Yes</t>
        </is>
      </c>
      <c r="Y13" s="592" t="inlineStr">
        <is>
          <t>Yes</t>
        </is>
      </c>
      <c r="Z13" s="98" t="n">
        <v>45191</v>
      </c>
      <c r="AA13" s="101" t="n">
        <v>46286</v>
      </c>
      <c r="AB13" s="202" t="n">
        <v>24</v>
      </c>
      <c r="AC13" s="202" t="n">
        <v>12</v>
      </c>
      <c r="AD13" s="592" t="inlineStr">
        <is>
          <t>Yes</t>
        </is>
      </c>
      <c r="AE13" s="592" t="inlineStr">
        <is>
          <t>Yes</t>
        </is>
      </c>
      <c r="AF13" s="596" t="n"/>
      <c r="AG13" s="593" t="inlineStr">
        <is>
          <t>Phim còn hạn từ 2026</t>
        </is>
      </c>
      <c r="AH13" s="594" t="n"/>
      <c r="AI13" s="595" t="inlineStr">
        <is>
          <t>Ironbark/The Courier</t>
        </is>
      </c>
      <c r="AJ13" s="128">
        <f>SUMIF('TK 15661.Bản quyền phim '!F:F,'KK1. Movies'!D13,'TK 15661.Bản quyền phim '!X:X)</f>
        <v/>
      </c>
      <c r="AK13" s="128">
        <f>SUMIF('TK 15661.Bản quyền phim '!F:F,'KK1. Movies'!AI13,'TK 15661.Bản quyền phim '!X:X)</f>
        <v/>
      </c>
      <c r="AL13" s="203">
        <f>COUNTIF('242.BQ Phim hợp tác'!$C:$C,'KK1. Movies'!AI13)</f>
        <v/>
      </c>
      <c r="AM13" s="203">
        <f>COUNTIF('TK 15661.Bản quyền phim '!F:F,'KK1. Movies'!AI13)</f>
        <v/>
      </c>
      <c r="AN13" s="546">
        <f>AL13+AM13</f>
        <v/>
      </c>
      <c r="AO13" s="203" t="n"/>
      <c r="AP13" s="203" t="n"/>
      <c r="AQ13" s="203" t="n"/>
      <c r="AR13" s="203" t="n"/>
      <c r="AS13" s="203" t="n"/>
      <c r="AT13" s="546">
        <f>IFERROR(VLOOKUP(C13, CodeRanMovies!$A:$K, 11, 0), "Not found")</f>
        <v/>
      </c>
    </row>
    <row r="14" ht="26.4" customHeight="1" s="578">
      <c r="A14" s="201">
        <f>_xlfn.AGGREGATE(3,3,$D$7:D14)</f>
        <v/>
      </c>
      <c r="B14" s="589" t="inlineStr">
        <is>
          <t>16+</t>
        </is>
      </c>
      <c r="C14" s="590" t="inlineStr">
        <is>
          <t>MOV_ACT_22__2686885</t>
        </is>
      </c>
      <c r="D14" s="596" t="inlineStr">
        <is>
          <t>Hitman's Wife's Bodyguard</t>
        </is>
      </c>
      <c r="E14" s="590" t="inlineStr">
        <is>
          <t>Vệ sĩ sát thủ 2: Nhà có nóc</t>
        </is>
      </c>
      <c r="F14" s="590" t="inlineStr">
        <is>
          <t>Action, Adventure</t>
        </is>
      </c>
      <c r="G14" s="589" t="inlineStr">
        <is>
          <t>Roses Media</t>
        </is>
      </c>
      <c r="H14" s="590" t="inlineStr">
        <is>
          <t>140/2022/HDBQ/VSTV-RM</t>
        </is>
      </c>
      <c r="I14" s="204" t="n">
        <v>2021</v>
      </c>
      <c r="J14" s="592" t="inlineStr">
        <is>
          <t>US</t>
        </is>
      </c>
      <c r="K14" s="204" t="n">
        <v>89</v>
      </c>
      <c r="L14" s="98" t="n">
        <v>44951</v>
      </c>
      <c r="M14" s="98" t="n">
        <v>46046</v>
      </c>
      <c r="N14" s="597" t="n">
        <v>44951</v>
      </c>
      <c r="O14" s="592" t="inlineStr">
        <is>
          <t>K+CINE</t>
        </is>
      </c>
      <c r="P14" s="592" t="inlineStr">
        <is>
          <t xml:space="preserve">Exclusive All Pay TV Rights for first 12 months.
Non exclusive All VOD during LP 
</t>
        </is>
      </c>
      <c r="Q14" s="592" t="inlineStr">
        <is>
          <t>No</t>
        </is>
      </c>
      <c r="R14" s="592" t="inlineStr">
        <is>
          <t>Yes</t>
        </is>
      </c>
      <c r="S14" s="592" t="inlineStr">
        <is>
          <t>Yes</t>
        </is>
      </c>
      <c r="T14" s="592" t="inlineStr">
        <is>
          <t>Yes</t>
        </is>
      </c>
      <c r="U14" s="592" t="inlineStr">
        <is>
          <t>Yes</t>
        </is>
      </c>
      <c r="V14" s="592" t="inlineStr">
        <is>
          <t>Yes</t>
        </is>
      </c>
      <c r="W14" s="592" t="inlineStr">
        <is>
          <t>Yes</t>
        </is>
      </c>
      <c r="X14" s="592" t="inlineStr">
        <is>
          <t>Yes</t>
        </is>
      </c>
      <c r="Y14" s="592" t="inlineStr">
        <is>
          <t>no</t>
        </is>
      </c>
      <c r="Z14" s="98" t="n">
        <v>44951</v>
      </c>
      <c r="AA14" s="98" t="n">
        <v>46046</v>
      </c>
      <c r="AB14" s="202" t="n">
        <v>24</v>
      </c>
      <c r="AC14" s="202" t="n">
        <v>13</v>
      </c>
      <c r="AD14" s="592" t="inlineStr">
        <is>
          <t>Yes</t>
        </is>
      </c>
      <c r="AE14" s="592" t="inlineStr">
        <is>
          <t>Yes</t>
        </is>
      </c>
      <c r="AF14" s="596" t="n"/>
      <c r="AG14" s="593" t="inlineStr">
        <is>
          <t>Phim còn hạn từ 2026</t>
        </is>
      </c>
      <c r="AH14" s="594" t="n"/>
      <c r="AI14" s="599" t="inlineStr">
        <is>
          <t>Hitman's Wife's Bodyguard</t>
        </is>
      </c>
      <c r="AJ14" s="128">
        <f>SUMIF('TK 15661.Bản quyền phim '!F:F,'KK1. Movies'!D14,'TK 15661.Bản quyền phim '!X:X)</f>
        <v/>
      </c>
      <c r="AK14" s="128">
        <f>SUMIF('TK 15661.Bản quyền phim '!F:F,'KK1. Movies'!AI14,'TK 15661.Bản quyền phim '!X:X)</f>
        <v/>
      </c>
      <c r="AL14" s="203">
        <f>COUNTIF('242.BQ Phim hợp tác'!$C:$C,'KK1. Movies'!AI14)</f>
        <v/>
      </c>
      <c r="AM14" s="203">
        <f>COUNTIF('TK 15661.Bản quyền phim '!F:F,'KK1. Movies'!AI14)</f>
        <v/>
      </c>
      <c r="AN14" s="546">
        <f>AL14+AM14</f>
        <v/>
      </c>
      <c r="AO14" s="203" t="n"/>
      <c r="AP14" s="203" t="n"/>
      <c r="AQ14" s="203" t="n"/>
      <c r="AR14" s="203" t="n"/>
      <c r="AS14" s="203" t="n"/>
      <c r="AT14" s="546">
        <f>IFERROR(VLOOKUP(C14, CodeRanMovies!$A:$K, 11, 0), "Not found")</f>
        <v/>
      </c>
    </row>
    <row r="15" ht="26.4" customHeight="1" s="578">
      <c r="A15" s="201">
        <f>_xlfn.AGGREGATE(3,3,$D$7:D15)</f>
        <v/>
      </c>
      <c r="B15" s="589" t="inlineStr">
        <is>
          <t>16+</t>
        </is>
      </c>
      <c r="C15" s="590" t="inlineStr">
        <is>
          <t>MOV_HOR_24__2713435</t>
        </is>
      </c>
      <c r="D15" s="105" t="inlineStr">
        <is>
          <t>GUIMOON: THE LIGHTLESS DOOR</t>
        </is>
      </c>
      <c r="E15" s="110" t="inlineStr">
        <is>
          <t>CỔNG ĐỊA NGỤC</t>
        </is>
      </c>
      <c r="F15" s="590" t="inlineStr">
        <is>
          <t>Horror</t>
        </is>
      </c>
      <c r="G15" s="103" t="inlineStr">
        <is>
          <t>CJ HK</t>
        </is>
      </c>
      <c r="H15" s="590" t="inlineStr">
        <is>
          <t>180/2024/HDBQ/VSTV-CJHK</t>
        </is>
      </c>
      <c r="I15" s="104" t="n">
        <v>2021</v>
      </c>
      <c r="J15" s="600" t="inlineStr">
        <is>
          <t>Korea</t>
        </is>
      </c>
      <c r="K15" s="104" t="n">
        <v>85</v>
      </c>
      <c r="L15" s="98" t="n">
        <v>45566</v>
      </c>
      <c r="M15" s="106" t="n">
        <v>46660</v>
      </c>
      <c r="N15" s="601" t="n">
        <v>45568</v>
      </c>
      <c r="O15" s="592" t="inlineStr">
        <is>
          <t>K+ACTION</t>
        </is>
      </c>
      <c r="P15" s="100" t="n">
        <v>12</v>
      </c>
      <c r="Q15" s="104" t="inlineStr">
        <is>
          <t>No</t>
        </is>
      </c>
      <c r="R15" s="592" t="inlineStr">
        <is>
          <t>Yes</t>
        </is>
      </c>
      <c r="S15" s="592" t="inlineStr">
        <is>
          <t>Yes</t>
        </is>
      </c>
      <c r="T15" s="592" t="inlineStr">
        <is>
          <t>Yes</t>
        </is>
      </c>
      <c r="U15" s="592" t="inlineStr">
        <is>
          <t>Yes</t>
        </is>
      </c>
      <c r="V15" s="592" t="inlineStr">
        <is>
          <t>Yes</t>
        </is>
      </c>
      <c r="W15" s="592" t="inlineStr">
        <is>
          <t>Yes</t>
        </is>
      </c>
      <c r="X15" s="104" t="inlineStr">
        <is>
          <t>No</t>
        </is>
      </c>
      <c r="Y15" s="592" t="inlineStr">
        <is>
          <t>Yes</t>
        </is>
      </c>
      <c r="Z15" s="98" t="n">
        <v>45566</v>
      </c>
      <c r="AA15" s="106" t="n">
        <v>46660</v>
      </c>
      <c r="AB15" s="592" t="inlineStr">
        <is>
          <t>Unlimited</t>
        </is>
      </c>
      <c r="AC15" s="202" t="n">
        <v>11</v>
      </c>
      <c r="AD15" s="592" t="inlineStr">
        <is>
          <t>Yes</t>
        </is>
      </c>
      <c r="AE15" s="592" t="inlineStr">
        <is>
          <t>Yes</t>
        </is>
      </c>
      <c r="AF15" s="592" t="n"/>
      <c r="AG15" s="593" t="inlineStr">
        <is>
          <t>Phim còn hạn từ 2026</t>
        </is>
      </c>
      <c r="AH15" s="594" t="n"/>
      <c r="AI15" s="595" t="inlineStr">
        <is>
          <t>GUIMOON: THE LIGHTLESS DOOR (CỔNG ĐỊA NGỤC)</t>
        </is>
      </c>
      <c r="AJ15" s="128">
        <f>SUMIF('TK 15661.Bản quyền phim '!F:F,'KK1. Movies'!D15,'TK 15661.Bản quyền phim '!X:X)</f>
        <v/>
      </c>
      <c r="AK15" s="128">
        <f>SUMIF('TK 15661.Bản quyền phim '!F:F,'KK1. Movies'!AI15,'TK 15661.Bản quyền phim '!X:X)</f>
        <v/>
      </c>
      <c r="AL15" s="203">
        <f>COUNTIF('242.BQ Phim hợp tác'!$C:$C,'KK1. Movies'!AI15)</f>
        <v/>
      </c>
      <c r="AM15" s="203">
        <f>COUNTIF('TK 15661.Bản quyền phim '!F:F,'KK1. Movies'!AI15)</f>
        <v/>
      </c>
      <c r="AN15" s="546">
        <f>AL15+AM15</f>
        <v/>
      </c>
      <c r="AO15" s="203" t="n"/>
      <c r="AP15" s="203" t="n"/>
      <c r="AQ15" s="203" t="n"/>
      <c r="AR15" s="203" t="n"/>
      <c r="AS15" s="203" t="n"/>
      <c r="AT15" s="546">
        <f>IFERROR(VLOOKUP(C15, CodeRanMovies!$A:$K, 11, 0), "Not found")</f>
        <v/>
      </c>
    </row>
    <row r="16" ht="26.4" customHeight="1" s="578">
      <c r="A16" s="201">
        <f>_xlfn.AGGREGATE(3,3,$D$7:D16)</f>
        <v/>
      </c>
      <c r="B16" s="589" t="inlineStr">
        <is>
          <t>16+</t>
        </is>
      </c>
      <c r="C16" s="590" t="inlineStr">
        <is>
          <t>MOV_DRA_23__2696593</t>
        </is>
      </c>
      <c r="D16" s="596" t="inlineStr">
        <is>
          <t>Greta</t>
        </is>
      </c>
      <c r="E16" s="590" t="inlineStr">
        <is>
          <t>Góa phụ Greta</t>
        </is>
      </c>
      <c r="F16" s="590" t="inlineStr">
        <is>
          <t>Crime, Thriller</t>
        </is>
      </c>
      <c r="G16" s="589" t="inlineStr">
        <is>
          <t>Roses Media</t>
        </is>
      </c>
      <c r="H16" s="590" t="inlineStr">
        <is>
          <t>140/2022/HDBQ/VSTV-RM</t>
        </is>
      </c>
      <c r="I16" s="204" t="n">
        <v>2018</v>
      </c>
      <c r="J16" s="592" t="inlineStr">
        <is>
          <t>US</t>
        </is>
      </c>
      <c r="K16" s="204" t="n">
        <v>98</v>
      </c>
      <c r="L16" s="98" t="n">
        <v>45217</v>
      </c>
      <c r="M16" s="101" t="n">
        <v>46312</v>
      </c>
      <c r="N16" s="597" t="n">
        <v>45217</v>
      </c>
      <c r="O16" s="598" t="inlineStr">
        <is>
          <t>K+CINE</t>
        </is>
      </c>
      <c r="P16" s="592" t="inlineStr">
        <is>
          <t xml:space="preserve">Exclusive All Pay TV Rights for first 12 months.
Non exclusive All VOD during LP 
</t>
        </is>
      </c>
      <c r="Q16" s="592" t="inlineStr">
        <is>
          <t>No</t>
        </is>
      </c>
      <c r="R16" s="592" t="inlineStr">
        <is>
          <t>Yes</t>
        </is>
      </c>
      <c r="S16" s="592" t="inlineStr">
        <is>
          <t>No</t>
        </is>
      </c>
      <c r="T16" s="592" t="inlineStr">
        <is>
          <t>Yes</t>
        </is>
      </c>
      <c r="U16" s="592" t="inlineStr">
        <is>
          <t>Yes</t>
        </is>
      </c>
      <c r="V16" s="592" t="inlineStr">
        <is>
          <t>Yes</t>
        </is>
      </c>
      <c r="W16" s="592" t="inlineStr">
        <is>
          <t>Yes</t>
        </is>
      </c>
      <c r="X16" s="592" t="inlineStr">
        <is>
          <t>Yes</t>
        </is>
      </c>
      <c r="Y16" s="592" t="inlineStr">
        <is>
          <t>No</t>
        </is>
      </c>
      <c r="Z16" s="98" t="n">
        <v>45217</v>
      </c>
      <c r="AA16" s="101" t="n">
        <v>46312</v>
      </c>
      <c r="AB16" s="202" t="n">
        <v>24</v>
      </c>
      <c r="AC16" s="202" t="n">
        <v>18</v>
      </c>
      <c r="AD16" s="592" t="inlineStr">
        <is>
          <t>Yes</t>
        </is>
      </c>
      <c r="AE16" s="592" t="inlineStr">
        <is>
          <t>Yes</t>
        </is>
      </c>
      <c r="AF16" s="593" t="n"/>
      <c r="AG16" s="593" t="inlineStr">
        <is>
          <t>Phim còn hạn từ 2026</t>
        </is>
      </c>
      <c r="AH16" s="594" t="inlineStr">
        <is>
          <t>MOV_DRA_23__2696593</t>
        </is>
      </c>
      <c r="AI16" s="599" t="inlineStr">
        <is>
          <t>Greta</t>
        </is>
      </c>
      <c r="AJ16" s="128">
        <f>SUMIF('TK 15661.Bản quyền phim '!F:F,'KK1. Movies'!D16,'TK 15661.Bản quyền phim '!X:X)</f>
        <v/>
      </c>
      <c r="AK16" s="128">
        <f>SUMIF('TK 15661.Bản quyền phim '!F:F,'KK1. Movies'!AI16,'TK 15661.Bản quyền phim '!X:X)</f>
        <v/>
      </c>
      <c r="AL16" s="203">
        <f>COUNTIF('242.BQ Phim hợp tác'!$C:$C,'KK1. Movies'!AI16)</f>
        <v/>
      </c>
      <c r="AM16" s="203">
        <f>COUNTIF('TK 15661.Bản quyền phim '!F:F,'KK1. Movies'!AI16)</f>
        <v/>
      </c>
      <c r="AN16" s="546">
        <f>AL16+AM16</f>
        <v/>
      </c>
      <c r="AO16" s="203" t="n"/>
      <c r="AP16" s="203" t="n"/>
      <c r="AQ16" s="203" t="n"/>
      <c r="AR16" s="203" t="n"/>
      <c r="AS16" s="203" t="n"/>
      <c r="AT16" s="546">
        <f>IFERROR(VLOOKUP(C16, CodeRanMovies!$A:$K, 11, 0), "Not found")</f>
        <v/>
      </c>
    </row>
    <row r="17" ht="39.6" customHeight="1" s="578">
      <c r="A17" s="201">
        <f>_xlfn.AGGREGATE(3,3,$D$7:D17)</f>
        <v/>
      </c>
      <c r="B17" s="589" t="inlineStr">
        <is>
          <t>K</t>
        </is>
      </c>
      <c r="C17" s="590" t="inlineStr">
        <is>
          <t>MOV_FAN_22__2686869</t>
        </is>
      </c>
      <c r="D17" s="596" t="inlineStr">
        <is>
          <t>HOUSE WITH A CLOCK IN ITS WALLS</t>
        </is>
      </c>
      <c r="E17" s="590" t="inlineStr">
        <is>
          <t>Ngôi nhà có chiếc đồng hồ ma thuật</t>
        </is>
      </c>
      <c r="F17" s="590" t="inlineStr">
        <is>
          <t>Comedy</t>
        </is>
      </c>
      <c r="G17" s="589" t="inlineStr">
        <is>
          <t>CJ HK</t>
        </is>
      </c>
      <c r="H17" s="590" t="inlineStr">
        <is>
          <t>135/2022/HDBQ/VSTV-CJHK</t>
        </is>
      </c>
      <c r="I17" s="204" t="n">
        <v>2018</v>
      </c>
      <c r="J17" s="600" t="inlineStr">
        <is>
          <t>US</t>
        </is>
      </c>
      <c r="K17" s="204" t="n">
        <v>105</v>
      </c>
      <c r="L17" s="98" t="n">
        <v>44952</v>
      </c>
      <c r="M17" s="98" t="n">
        <v>46047</v>
      </c>
      <c r="N17" s="597" t="n">
        <v>44952</v>
      </c>
      <c r="O17" s="598" t="inlineStr">
        <is>
          <t>K+CINE</t>
        </is>
      </c>
      <c r="P17" s="96" t="n">
        <v>12</v>
      </c>
      <c r="Q17" s="592" t="inlineStr">
        <is>
          <t>No</t>
        </is>
      </c>
      <c r="R17" s="592" t="inlineStr">
        <is>
          <t>Yes</t>
        </is>
      </c>
      <c r="S17" s="592" t="inlineStr">
        <is>
          <t>Yes</t>
        </is>
      </c>
      <c r="T17" s="592" t="inlineStr">
        <is>
          <t>Yes</t>
        </is>
      </c>
      <c r="U17" s="592" t="inlineStr">
        <is>
          <t>Yes</t>
        </is>
      </c>
      <c r="V17" s="592" t="inlineStr">
        <is>
          <t>Yes</t>
        </is>
      </c>
      <c r="W17" s="592" t="inlineStr">
        <is>
          <t>Yes</t>
        </is>
      </c>
      <c r="X17" s="592" t="inlineStr">
        <is>
          <t>No</t>
        </is>
      </c>
      <c r="Y17" s="592" t="inlineStr">
        <is>
          <t>Yes</t>
        </is>
      </c>
      <c r="Z17" s="98" t="n">
        <v>44952</v>
      </c>
      <c r="AA17" s="98" t="n">
        <v>46047</v>
      </c>
      <c r="AB17" s="96" t="inlineStr">
        <is>
          <t>unlimited</t>
        </is>
      </c>
      <c r="AC17" s="202" t="n">
        <v>22</v>
      </c>
      <c r="AD17" s="592" t="inlineStr">
        <is>
          <t>Yes</t>
        </is>
      </c>
      <c r="AE17" s="592" t="inlineStr">
        <is>
          <t>Yes</t>
        </is>
      </c>
      <c r="AF17" s="592" t="n"/>
      <c r="AG17" s="593" t="inlineStr">
        <is>
          <t>Phim còn hạn từ 2026</t>
        </is>
      </c>
      <c r="AH17" s="594" t="inlineStr">
        <is>
          <t>MOV_FAN_22__2686869</t>
        </is>
      </c>
      <c r="AI17" s="595" t="inlineStr">
        <is>
          <t>HOUSE WITH A CLOCK IN ITS WALLS (Ngôi nhà có chiếc đồng hồ ma thuật)</t>
        </is>
      </c>
      <c r="AJ17" s="128">
        <f>SUMIF('TK 15661.Bản quyền phim '!F:F,'KK1. Movies'!D17,'TK 15661.Bản quyền phim '!X:X)</f>
        <v/>
      </c>
      <c r="AK17" s="128">
        <f>SUMIF('TK 15661.Bản quyền phim '!F:F,'KK1. Movies'!AI17,'TK 15661.Bản quyền phim '!X:X)</f>
        <v/>
      </c>
      <c r="AL17" s="203">
        <f>COUNTIF('242.BQ Phim hợp tác'!$C:$C,'KK1. Movies'!AI17)</f>
        <v/>
      </c>
      <c r="AM17" s="203">
        <f>COUNTIF('TK 15661.Bản quyền phim '!F:F,'KK1. Movies'!AI17)</f>
        <v/>
      </c>
      <c r="AN17" s="546">
        <f>AL17+AM17</f>
        <v/>
      </c>
      <c r="AO17" s="203" t="n"/>
      <c r="AP17" s="203" t="n"/>
      <c r="AQ17" s="203" t="n"/>
      <c r="AR17" s="203" t="n"/>
      <c r="AS17" s="203" t="n"/>
      <c r="AT17" s="546">
        <f>IFERROR(VLOOKUP(C17, CodeRanMovies!$A:$K, 11, 0), "Not found")</f>
        <v/>
      </c>
    </row>
    <row r="18">
      <c r="A18" s="201">
        <f>_xlfn.AGGREGATE(3,3,$D$7:D18)</f>
        <v/>
      </c>
      <c r="B18" s="589" t="inlineStr">
        <is>
          <t>16+</t>
        </is>
      </c>
      <c r="C18" s="590" t="inlineStr">
        <is>
          <t>MOV_DRA730</t>
        </is>
      </c>
      <c r="D18" s="105" t="inlineStr">
        <is>
          <t>HUNT, THE</t>
        </is>
      </c>
      <c r="E18" s="110" t="inlineStr">
        <is>
          <t>Cuộc săn lùng</t>
        </is>
      </c>
      <c r="F18" s="108" t="inlineStr">
        <is>
          <t>action</t>
        </is>
      </c>
      <c r="G18" s="108" t="inlineStr">
        <is>
          <t>NBC Universal</t>
        </is>
      </c>
      <c r="H18" s="108" t="inlineStr">
        <is>
          <t>5049540-2/161434-3</t>
        </is>
      </c>
      <c r="I18" s="104" t="n">
        <v>2019</v>
      </c>
      <c r="J18" s="107" t="inlineStr">
        <is>
          <t>US</t>
        </is>
      </c>
      <c r="K18" s="104" t="n">
        <v>90</v>
      </c>
      <c r="L18" s="98" t="n">
        <v>45414</v>
      </c>
      <c r="M18" s="109" t="n">
        <v>46143</v>
      </c>
      <c r="N18" s="601" t="n">
        <v>45442</v>
      </c>
      <c r="O18" s="104" t="inlineStr">
        <is>
          <t>K+ACTION</t>
        </is>
      </c>
      <c r="P18" s="104" t="inlineStr">
        <is>
          <t>Non exclusive</t>
        </is>
      </c>
      <c r="Q18" s="104" t="inlineStr">
        <is>
          <t>No</t>
        </is>
      </c>
      <c r="R18" s="592" t="inlineStr">
        <is>
          <t>Yes</t>
        </is>
      </c>
      <c r="S18" s="104" t="inlineStr">
        <is>
          <t>Yes</t>
        </is>
      </c>
      <c r="T18" s="592" t="inlineStr">
        <is>
          <t>Yes</t>
        </is>
      </c>
      <c r="U18" s="104" t="inlineStr">
        <is>
          <t>No</t>
        </is>
      </c>
      <c r="V18" s="104" t="inlineStr">
        <is>
          <t>No</t>
        </is>
      </c>
      <c r="W18" s="104" t="inlineStr">
        <is>
          <t>No</t>
        </is>
      </c>
      <c r="X18" s="104" t="inlineStr">
        <is>
          <t>No</t>
        </is>
      </c>
      <c r="Y18" s="104" t="inlineStr">
        <is>
          <t>Yes</t>
        </is>
      </c>
      <c r="Z18" s="98" t="n">
        <v>45414</v>
      </c>
      <c r="AA18" s="109" t="n">
        <v>46143</v>
      </c>
      <c r="AB18" s="107" t="n">
        <v>6</v>
      </c>
      <c r="AC18" s="105" t="n">
        <v>4</v>
      </c>
      <c r="AD18" s="592" t="inlineStr">
        <is>
          <t>Yes</t>
        </is>
      </c>
      <c r="AE18" s="592" t="inlineStr">
        <is>
          <t>Yes</t>
        </is>
      </c>
      <c r="AF18" s="592" t="n"/>
      <c r="AG18" s="593" t="inlineStr">
        <is>
          <t>Phim còn hạn từ 2026</t>
        </is>
      </c>
      <c r="AH18" s="594" t="n"/>
      <c r="AI18" s="599" t="inlineStr">
        <is>
          <t>HUNT, THE</t>
        </is>
      </c>
      <c r="AJ18" s="128">
        <f>SUMIF('TK 15661.Bản quyền phim '!F:F,'KK1. Movies'!D18,'TK 15661.Bản quyền phim '!X:X)</f>
        <v/>
      </c>
      <c r="AK18" s="128">
        <f>SUMIF('TK 15661.Bản quyền phim '!F:F,'KK1. Movies'!AI18,'TK 15661.Bản quyền phim '!X:X)</f>
        <v/>
      </c>
      <c r="AL18" s="203">
        <f>COUNTIF('242.BQ Phim hợp tác'!$C:$C,'KK1. Movies'!AI18)</f>
        <v/>
      </c>
      <c r="AM18" s="203">
        <f>COUNTIF('TK 15661.Bản quyền phim '!F:F,'KK1. Movies'!AI18)</f>
        <v/>
      </c>
      <c r="AN18" s="546">
        <f>AL18+AM18</f>
        <v/>
      </c>
      <c r="AO18" s="203" t="n"/>
      <c r="AP18" s="203" t="n"/>
      <c r="AQ18" s="203" t="n"/>
      <c r="AR18" s="203" t="n"/>
      <c r="AS18" s="203" t="n"/>
      <c r="AT18" s="546">
        <f>IFERROR(VLOOKUP(C18, CodeRanMovies!$A:$K, 11, 0), "Not found")</f>
        <v/>
      </c>
    </row>
    <row r="19">
      <c r="A19" s="201">
        <f>_xlfn.AGGREGATE(3,3,$D$7:D19)</f>
        <v/>
      </c>
      <c r="B19" s="589" t="inlineStr">
        <is>
          <t>16+</t>
        </is>
      </c>
      <c r="C19" s="590" t="inlineStr">
        <is>
          <t>MOV_CRI_21__2648182</t>
        </is>
      </c>
      <c r="D19" s="590" t="inlineStr">
        <is>
          <t>MOZU</t>
        </is>
      </c>
      <c r="E19" s="590" t="inlineStr">
        <is>
          <t xml:space="preserve"> Sát thủ Mozu</t>
        </is>
      </c>
      <c r="F19" s="590" t="inlineStr">
        <is>
          <t>Crime, Thriller</t>
        </is>
      </c>
      <c r="G19" s="590" t="inlineStr">
        <is>
          <t>TBS</t>
        </is>
      </c>
      <c r="H19" s="114" t="n">
        <v>202104013</v>
      </c>
      <c r="I19" s="96" t="n">
        <v>2015</v>
      </c>
      <c r="J19" s="600" t="inlineStr">
        <is>
          <t>Japan</t>
        </is>
      </c>
      <c r="K19" s="96" t="n">
        <v>116</v>
      </c>
      <c r="L19" s="98" t="n">
        <v>44284</v>
      </c>
      <c r="M19" s="602" t="n">
        <v>46109</v>
      </c>
      <c r="N19" s="603" t="n">
        <v>44349</v>
      </c>
      <c r="O19" s="592" t="inlineStr">
        <is>
          <t>K+CINE</t>
        </is>
      </c>
      <c r="P19" s="592" t="n"/>
      <c r="Q19" s="592" t="inlineStr">
        <is>
          <t>No</t>
        </is>
      </c>
      <c r="R19" s="592" t="inlineStr">
        <is>
          <t>Yes</t>
        </is>
      </c>
      <c r="S19" s="592" t="inlineStr">
        <is>
          <t>Yes</t>
        </is>
      </c>
      <c r="T19" s="592" t="inlineStr">
        <is>
          <t>Yes</t>
        </is>
      </c>
      <c r="U19" s="592" t="inlineStr">
        <is>
          <t>Yes</t>
        </is>
      </c>
      <c r="V19" s="592" t="inlineStr">
        <is>
          <t>Yes</t>
        </is>
      </c>
      <c r="W19" s="592" t="inlineStr">
        <is>
          <t>Yes</t>
        </is>
      </c>
      <c r="X19" s="592" t="inlineStr">
        <is>
          <t>Yes</t>
        </is>
      </c>
      <c r="Y19" s="592" t="inlineStr">
        <is>
          <t>Yes</t>
        </is>
      </c>
      <c r="Z19" s="98" t="n">
        <v>44284</v>
      </c>
      <c r="AA19" s="602" t="n">
        <v>46109</v>
      </c>
      <c r="AB19" s="202" t="n">
        <v>50</v>
      </c>
      <c r="AC19" s="100" t="n">
        <v>34</v>
      </c>
      <c r="AD19" s="592" t="inlineStr">
        <is>
          <t>Yes</t>
        </is>
      </c>
      <c r="AE19" s="592" t="inlineStr">
        <is>
          <t>Yes</t>
        </is>
      </c>
      <c r="AF19" s="592" t="n"/>
      <c r="AG19" s="593" t="inlineStr">
        <is>
          <t>Phim còn hạn từ 2026</t>
        </is>
      </c>
      <c r="AH19" s="594" t="inlineStr">
        <is>
          <t>MOV_CRI_21__2648182</t>
        </is>
      </c>
      <c r="AI19" s="599" t="inlineStr">
        <is>
          <t>MOZU</t>
        </is>
      </c>
      <c r="AJ19" s="128">
        <f>SUMIF('TK 15661.Bản quyền phim '!F:F,'KK1. Movies'!D19,'TK 15661.Bản quyền phim '!X:X)</f>
        <v/>
      </c>
      <c r="AK19" s="128">
        <f>SUMIF('TK 15661.Bản quyền phim '!F:F,'KK1. Movies'!AI19,'TK 15661.Bản quyền phim '!X:X)</f>
        <v/>
      </c>
      <c r="AL19" s="203">
        <f>COUNTIF('242.BQ Phim hợp tác'!$C:$C,'KK1. Movies'!AI19)</f>
        <v/>
      </c>
      <c r="AM19" s="203">
        <f>COUNTIF('TK 15661.Bản quyền phim '!F:F,'KK1. Movies'!AI19)</f>
        <v/>
      </c>
      <c r="AN19" s="546">
        <f>AL19+AM19</f>
        <v/>
      </c>
      <c r="AO19" s="203" t="n"/>
      <c r="AP19" s="203" t="n"/>
      <c r="AQ19" s="203" t="n"/>
      <c r="AR19" s="203" t="n"/>
      <c r="AS19" s="203" t="n"/>
      <c r="AT19" s="546">
        <f>IFERROR(VLOOKUP(C19, CodeRanMovies!$A:$K, 11, 0), "Not found")</f>
        <v/>
      </c>
    </row>
    <row r="20" ht="26.4" customHeight="1" s="578">
      <c r="A20" s="201">
        <f>_xlfn.AGGREGATE(3,3,$D$7:D20)</f>
        <v/>
      </c>
      <c r="B20" s="589" t="inlineStr">
        <is>
          <t>16+</t>
        </is>
      </c>
      <c r="C20" s="590" t="inlineStr">
        <is>
          <t>MOV_ACT556</t>
        </is>
      </c>
      <c r="D20" s="105" t="inlineStr">
        <is>
          <t>Caught In Time</t>
        </is>
      </c>
      <c r="E20" s="110" t="inlineStr">
        <is>
          <t>Trừ Gian Diệt Ác</t>
        </is>
      </c>
      <c r="F20" s="108" t="inlineStr">
        <is>
          <t>action</t>
        </is>
      </c>
      <c r="G20" s="108" t="inlineStr">
        <is>
          <t>Hỏa Thổ</t>
        </is>
      </c>
      <c r="H20" s="108" t="inlineStr">
        <is>
          <t>25A/2024/HDBQ/VSTV-Hoa tho</t>
        </is>
      </c>
      <c r="I20" s="104" t="n">
        <v>2020</v>
      </c>
      <c r="J20" s="107" t="inlineStr">
        <is>
          <t>China</t>
        </is>
      </c>
      <c r="K20" s="104" t="n">
        <v>95</v>
      </c>
      <c r="L20" s="98" t="n">
        <v>45443</v>
      </c>
      <c r="M20" s="98" t="n">
        <v>46537</v>
      </c>
      <c r="N20" s="601" t="n">
        <v>45443</v>
      </c>
      <c r="O20" s="592" t="inlineStr">
        <is>
          <t>K+CINE</t>
        </is>
      </c>
      <c r="P20" s="104" t="inlineStr">
        <is>
          <t xml:space="preserve"> </t>
        </is>
      </c>
      <c r="Q20" s="104" t="inlineStr">
        <is>
          <t>No</t>
        </is>
      </c>
      <c r="R20" s="592" t="inlineStr">
        <is>
          <t>Yes</t>
        </is>
      </c>
      <c r="S20" s="104" t="inlineStr">
        <is>
          <t>Yes</t>
        </is>
      </c>
      <c r="T20" s="592" t="inlineStr">
        <is>
          <t>Yes</t>
        </is>
      </c>
      <c r="U20" s="104" t="inlineStr">
        <is>
          <t>No</t>
        </is>
      </c>
      <c r="V20" s="104" t="inlineStr">
        <is>
          <t>Yes</t>
        </is>
      </c>
      <c r="W20" s="104" t="inlineStr">
        <is>
          <t>Yes</t>
        </is>
      </c>
      <c r="X20" s="104" t="inlineStr">
        <is>
          <t>No</t>
        </is>
      </c>
      <c r="Y20" s="104" t="inlineStr">
        <is>
          <t>No</t>
        </is>
      </c>
      <c r="Z20" s="98" t="n">
        <v>45443</v>
      </c>
      <c r="AA20" s="98" t="n">
        <v>46537</v>
      </c>
      <c r="AB20" s="107" t="inlineStr">
        <is>
          <t>Unlimited run</t>
        </is>
      </c>
      <c r="AC20" s="105" t="n">
        <v>14</v>
      </c>
      <c r="AD20" s="592" t="inlineStr">
        <is>
          <t>Yes</t>
        </is>
      </c>
      <c r="AE20" s="592" t="inlineStr">
        <is>
          <t>Yes</t>
        </is>
      </c>
      <c r="AF20" s="592" t="n"/>
      <c r="AG20" s="593" t="inlineStr">
        <is>
          <t>Phim còn hạn từ 2026</t>
        </is>
      </c>
      <c r="AH20" s="594" t="inlineStr">
        <is>
          <t>MOV_ACT556</t>
        </is>
      </c>
      <c r="AI20" s="595" t="inlineStr">
        <is>
          <t>Caught In Time (Trừ Gian Diệt Ác)</t>
        </is>
      </c>
      <c r="AJ20" s="128">
        <f>SUMIF('TK 15661.Bản quyền phim '!F:F,'KK1. Movies'!D20,'TK 15661.Bản quyền phim '!X:X)</f>
        <v/>
      </c>
      <c r="AK20" s="128">
        <f>SUMIF('TK 15661.Bản quyền phim '!F:F,'KK1. Movies'!AI20,'TK 15661.Bản quyền phim '!X:X)</f>
        <v/>
      </c>
      <c r="AL20" s="203">
        <f>COUNTIF('242.BQ Phim hợp tác'!$C:$C,'KK1. Movies'!AI20)</f>
        <v/>
      </c>
      <c r="AM20" s="203">
        <f>COUNTIF('TK 15661.Bản quyền phim '!F:F,'KK1. Movies'!AI20)</f>
        <v/>
      </c>
      <c r="AN20" s="546">
        <f>AL20+AM20</f>
        <v/>
      </c>
      <c r="AO20" s="203" t="n"/>
      <c r="AP20" s="203" t="n"/>
      <c r="AQ20" s="203" t="n"/>
      <c r="AR20" s="203" t="n"/>
      <c r="AS20" s="203" t="n"/>
      <c r="AT20" s="546">
        <f>IFERROR(VLOOKUP(C20, CodeRanMovies!$A:$K, 11, 0), "Not found")</f>
        <v/>
      </c>
    </row>
    <row r="21" ht="26.4" customHeight="1" s="578">
      <c r="A21" s="201">
        <f>_xlfn.AGGREGATE(3,3,$D$7:D21)</f>
        <v/>
      </c>
      <c r="B21" s="589" t="inlineStr">
        <is>
          <t>16+</t>
        </is>
      </c>
      <c r="C21" s="590" t="inlineStr">
        <is>
          <t>MOV_HOR_24__2713878</t>
        </is>
      </c>
      <c r="D21" s="105" t="inlineStr">
        <is>
          <t>CONTORTED</t>
        </is>
      </c>
      <c r="E21" s="110" t="inlineStr">
        <is>
          <t>NHÀ KHO CHẾT CHÓC</t>
        </is>
      </c>
      <c r="F21" s="590" t="inlineStr">
        <is>
          <t>Horror</t>
        </is>
      </c>
      <c r="G21" s="103" t="inlineStr">
        <is>
          <t>CJ HK</t>
        </is>
      </c>
      <c r="H21" s="590" t="inlineStr">
        <is>
          <t>180/2024/HDBQ/VSTV-CJHK</t>
        </is>
      </c>
      <c r="I21" s="104" t="n">
        <v>2022</v>
      </c>
      <c r="J21" s="600" t="inlineStr">
        <is>
          <t>Korea</t>
        </is>
      </c>
      <c r="K21" s="104" t="n">
        <v>90</v>
      </c>
      <c r="L21" s="98" t="n">
        <v>45566</v>
      </c>
      <c r="M21" s="106" t="n">
        <v>46660</v>
      </c>
      <c r="N21" s="601" t="n">
        <v>45589</v>
      </c>
      <c r="O21" s="592" t="inlineStr">
        <is>
          <t>K+ACTION</t>
        </is>
      </c>
      <c r="P21" s="100" t="n">
        <v>12</v>
      </c>
      <c r="Q21" s="104" t="inlineStr">
        <is>
          <t>No</t>
        </is>
      </c>
      <c r="R21" s="592" t="inlineStr">
        <is>
          <t>Yes</t>
        </is>
      </c>
      <c r="S21" s="592" t="inlineStr">
        <is>
          <t>Yes</t>
        </is>
      </c>
      <c r="T21" s="592" t="inlineStr">
        <is>
          <t>Yes</t>
        </is>
      </c>
      <c r="U21" s="592" t="inlineStr">
        <is>
          <t>Yes</t>
        </is>
      </c>
      <c r="V21" s="592" t="inlineStr">
        <is>
          <t>Yes</t>
        </is>
      </c>
      <c r="W21" s="592" t="inlineStr">
        <is>
          <t>Yes</t>
        </is>
      </c>
      <c r="X21" s="104" t="inlineStr">
        <is>
          <t>No</t>
        </is>
      </c>
      <c r="Y21" s="104" t="inlineStr">
        <is>
          <t>No</t>
        </is>
      </c>
      <c r="Z21" s="98" t="n">
        <v>45566</v>
      </c>
      <c r="AA21" s="106" t="n">
        <v>46660</v>
      </c>
      <c r="AB21" s="592" t="inlineStr">
        <is>
          <t>Unlimited</t>
        </is>
      </c>
      <c r="AC21" s="202" t="n">
        <v>11</v>
      </c>
      <c r="AD21" s="592" t="inlineStr">
        <is>
          <t>Yes</t>
        </is>
      </c>
      <c r="AE21" s="592" t="inlineStr">
        <is>
          <t>Yes</t>
        </is>
      </c>
      <c r="AF21" s="593" t="n"/>
      <c r="AG21" s="593" t="inlineStr">
        <is>
          <t>Phim còn hạn từ 2026</t>
        </is>
      </c>
      <c r="AH21" s="594" t="inlineStr">
        <is>
          <t>MOV_HOR_24__2713878</t>
        </is>
      </c>
      <c r="AI21" s="595" t="inlineStr">
        <is>
          <t>CONTORTED (NHÀ KHO CHẾT CHÓC)</t>
        </is>
      </c>
      <c r="AJ21" s="128">
        <f>SUMIF('TK 15661.Bản quyền phim '!F:F,'KK1. Movies'!D21,'TK 15661.Bản quyền phim '!X:X)</f>
        <v/>
      </c>
      <c r="AK21" s="128">
        <f>SUMIF('TK 15661.Bản quyền phim '!F:F,'KK1. Movies'!AI21,'TK 15661.Bản quyền phim '!X:X)</f>
        <v/>
      </c>
      <c r="AL21" s="203">
        <f>COUNTIF('242.BQ Phim hợp tác'!$C:$C,'KK1. Movies'!AI21)</f>
        <v/>
      </c>
      <c r="AM21" s="203">
        <f>COUNTIF('TK 15661.Bản quyền phim '!F:F,'KK1. Movies'!AI21)</f>
        <v/>
      </c>
      <c r="AN21" s="546">
        <f>AL21+AM21</f>
        <v/>
      </c>
      <c r="AO21" s="203" t="n"/>
      <c r="AP21" s="203" t="n"/>
      <c r="AQ21" s="203" t="n"/>
      <c r="AR21" s="203" t="n"/>
      <c r="AS21" s="203" t="n"/>
      <c r="AT21" s="546">
        <f>IFERROR(VLOOKUP(C21, CodeRanMovies!$A:$K, 11, 0), "Not found")</f>
        <v/>
      </c>
    </row>
    <row r="22" ht="26.4" customHeight="1" s="578">
      <c r="A22" s="201">
        <f>_xlfn.AGGREGATE(3,3,$D$7:D22)</f>
        <v/>
      </c>
      <c r="B22" s="589" t="inlineStr">
        <is>
          <t>16+</t>
        </is>
      </c>
      <c r="C22" s="590" t="inlineStr">
        <is>
          <t>MOV_SCI20</t>
        </is>
      </c>
      <c r="D22" s="105" t="inlineStr">
        <is>
          <t>LONG DISTANCE</t>
        </is>
      </c>
      <c r="E22" s="110" t="inlineStr">
        <is>
          <t>Tín hiệu vũ trụ</t>
        </is>
      </c>
      <c r="F22" s="590" t="inlineStr">
        <is>
          <t xml:space="preserve">Others </t>
        </is>
      </c>
      <c r="G22" s="103" t="inlineStr">
        <is>
          <t>CJ HK</t>
        </is>
      </c>
      <c r="H22" s="590" t="inlineStr">
        <is>
          <t>15/2025/HDBQ/VSTV-CJHK</t>
        </is>
      </c>
      <c r="I22" s="104" t="n">
        <v>2024</v>
      </c>
      <c r="J22" s="104" t="inlineStr">
        <is>
          <t>US</t>
        </is>
      </c>
      <c r="K22" s="104" t="n">
        <v>91</v>
      </c>
      <c r="L22" s="591" t="n">
        <v>45722</v>
      </c>
      <c r="M22" s="106" t="n">
        <v>46817</v>
      </c>
      <c r="N22" s="591" t="n"/>
      <c r="O22" s="592" t="n"/>
      <c r="P22" s="104" t="n">
        <v>12</v>
      </c>
      <c r="Q22" s="104" t="inlineStr">
        <is>
          <t>No</t>
        </is>
      </c>
      <c r="R22" s="104" t="inlineStr">
        <is>
          <t>Yes</t>
        </is>
      </c>
      <c r="S22" s="104" t="inlineStr">
        <is>
          <t>Yes</t>
        </is>
      </c>
      <c r="T22" s="592" t="inlineStr">
        <is>
          <t>Yes</t>
        </is>
      </c>
      <c r="U22" s="104" t="inlineStr">
        <is>
          <t>Yes</t>
        </is>
      </c>
      <c r="V22" s="104" t="inlineStr">
        <is>
          <t>Yes</t>
        </is>
      </c>
      <c r="W22" s="104" t="inlineStr">
        <is>
          <t>Yes</t>
        </is>
      </c>
      <c r="X22" s="104" t="inlineStr">
        <is>
          <t>Yes</t>
        </is>
      </c>
      <c r="Y22" s="104" t="inlineStr">
        <is>
          <t>Yes</t>
        </is>
      </c>
      <c r="Z22" s="106" t="n">
        <v>45722</v>
      </c>
      <c r="AA22" s="124" t="n">
        <v>46817</v>
      </c>
      <c r="AB22" s="104" t="inlineStr">
        <is>
          <t xml:space="preserve">Unlimited </t>
        </is>
      </c>
      <c r="AC22" s="202" t="n">
        <v>8</v>
      </c>
      <c r="AD22" s="592" t="inlineStr">
        <is>
          <t>Yes</t>
        </is>
      </c>
      <c r="AE22" s="592" t="inlineStr">
        <is>
          <t>Yes</t>
        </is>
      </c>
      <c r="AF22" s="593" t="n"/>
      <c r="AG22" s="593" t="inlineStr">
        <is>
          <t>Phim còn hạn từ 2026</t>
        </is>
      </c>
      <c r="AH22" s="594" t="n"/>
      <c r="AI22" s="206" t="inlineStr">
        <is>
          <t>LONG DISTANCE</t>
        </is>
      </c>
      <c r="AJ22" s="128">
        <f>SUMIF('TK 15661.Bản quyền phim '!F:F,'KK1. Movies'!D22,'TK 15661.Bản quyền phim '!X:X)</f>
        <v/>
      </c>
      <c r="AK22" s="128">
        <f>SUMIF('TK 15661.Bản quyền phim '!F:F,'KK1. Movies'!AI22,'TK 15661.Bản quyền phim '!X:X)</f>
        <v/>
      </c>
      <c r="AL22" s="203">
        <f>COUNTIF('242.BQ Phim hợp tác'!$C:$C,'KK1. Movies'!AI22)</f>
        <v/>
      </c>
      <c r="AM22" s="203">
        <f>COUNTIF('TK 15661.Bản quyền phim '!F:F,'KK1. Movies'!AI22)</f>
        <v/>
      </c>
      <c r="AN22" s="546">
        <f>AL22+AM22</f>
        <v/>
      </c>
      <c r="AO22" s="203" t="n"/>
      <c r="AP22" s="203" t="n"/>
      <c r="AQ22" s="203" t="n"/>
      <c r="AR22" s="203" t="n"/>
      <c r="AS22" s="203" t="n"/>
      <c r="AT22" s="546">
        <f>IFERROR(VLOOKUP(C22, CodeRanMovies!$A:$K, 11, 0), "Not found")</f>
        <v/>
      </c>
    </row>
    <row r="23">
      <c r="A23" s="201">
        <f>_xlfn.AGGREGATE(3,3,$D$7:D23)</f>
        <v/>
      </c>
      <c r="B23" s="589" t="inlineStr">
        <is>
          <t>16+</t>
        </is>
      </c>
      <c r="C23" s="590" t="inlineStr">
        <is>
          <t>MOV_CRI_22__2686505</t>
        </is>
      </c>
      <c r="D23" s="596" t="inlineStr">
        <is>
          <t>The Night Clerk</t>
        </is>
      </c>
      <c r="E23" s="590" t="inlineStr">
        <is>
          <t>Người trực đêm</t>
        </is>
      </c>
      <c r="F23" s="590" t="inlineStr">
        <is>
          <t>Crime, Thriller</t>
        </is>
      </c>
      <c r="G23" s="604" t="inlineStr">
        <is>
          <t>Skyline Media</t>
        </is>
      </c>
      <c r="H23" s="590" t="inlineStr">
        <is>
          <t>66/2023/HDBQ/VSTV-SM</t>
        </is>
      </c>
      <c r="I23" s="204" t="n">
        <v>2020</v>
      </c>
      <c r="J23" s="600" t="inlineStr">
        <is>
          <t>US</t>
        </is>
      </c>
      <c r="K23" s="204" t="n">
        <v>90</v>
      </c>
      <c r="L23" s="98" t="n">
        <v>44937</v>
      </c>
      <c r="M23" s="591" t="n">
        <v>46032</v>
      </c>
      <c r="N23" s="601" t="n">
        <v>44937</v>
      </c>
      <c r="O23" s="598" t="inlineStr">
        <is>
          <t>K+CINE</t>
        </is>
      </c>
      <c r="P23" s="592" t="inlineStr">
        <is>
          <t>Exclusive All TV Rights the first 12 months of LP
 Non-exclusive with All Catch-up TV Rights; All VOD Rights during LP</t>
        </is>
      </c>
      <c r="Q23" s="600" t="inlineStr">
        <is>
          <t>No</t>
        </is>
      </c>
      <c r="R23" s="592" t="inlineStr">
        <is>
          <t>Yes</t>
        </is>
      </c>
      <c r="S23" s="592" t="inlineStr">
        <is>
          <t>Yes</t>
        </is>
      </c>
      <c r="T23" s="592" t="inlineStr">
        <is>
          <t>Yes</t>
        </is>
      </c>
      <c r="U23" s="592" t="inlineStr">
        <is>
          <t>Yes</t>
        </is>
      </c>
      <c r="V23" s="592" t="inlineStr">
        <is>
          <t>Yes</t>
        </is>
      </c>
      <c r="W23" s="592" t="inlineStr">
        <is>
          <t>Yes</t>
        </is>
      </c>
      <c r="X23" s="592" t="inlineStr">
        <is>
          <t>Yes</t>
        </is>
      </c>
      <c r="Y23" s="592" t="inlineStr">
        <is>
          <t>Yes</t>
        </is>
      </c>
      <c r="Z23" s="98" t="n">
        <v>44937</v>
      </c>
      <c r="AA23" s="591" t="n">
        <v>46032</v>
      </c>
      <c r="AB23" s="96" t="n">
        <v>24</v>
      </c>
      <c r="AC23" s="202" t="n">
        <v>21</v>
      </c>
      <c r="AD23" s="592" t="inlineStr">
        <is>
          <t>Yes</t>
        </is>
      </c>
      <c r="AE23" s="592" t="inlineStr">
        <is>
          <t>Yes</t>
        </is>
      </c>
      <c r="AF23" s="592" t="n"/>
      <c r="AG23" s="593" t="inlineStr">
        <is>
          <t>Phim còn hạn từ 2026</t>
        </is>
      </c>
      <c r="AH23" s="594" t="n"/>
      <c r="AI23" s="599" t="inlineStr">
        <is>
          <t>The Night Clerk</t>
        </is>
      </c>
      <c r="AJ23" s="128">
        <f>SUMIF('TK 15661.Bản quyền phim '!F:F,'KK1. Movies'!D23,'TK 15661.Bản quyền phim '!X:X)</f>
        <v/>
      </c>
      <c r="AK23" s="128">
        <f>SUMIF('TK 15661.Bản quyền phim '!F:F,'KK1. Movies'!AI23,'TK 15661.Bản quyền phim '!X:X)</f>
        <v/>
      </c>
      <c r="AL23" s="203">
        <f>COUNTIF('242.BQ Phim hợp tác'!$C:$C,'KK1. Movies'!AI23)</f>
        <v/>
      </c>
      <c r="AM23" s="203">
        <f>COUNTIF('TK 15661.Bản quyền phim '!F:F,'KK1. Movies'!AI23)</f>
        <v/>
      </c>
      <c r="AN23" s="546">
        <f>AL23+AM23</f>
        <v/>
      </c>
      <c r="AO23" s="203" t="n"/>
      <c r="AP23" s="203" t="n"/>
      <c r="AQ23" s="203" t="n"/>
      <c r="AR23" s="203" t="n"/>
      <c r="AS23" s="203" t="n"/>
      <c r="AT23" s="546">
        <f>IFERROR(VLOOKUP(C23, CodeRanMovies!$A:$K, 11, 0), "Not found")</f>
        <v/>
      </c>
    </row>
    <row r="24" ht="39.6" customHeight="1" s="578">
      <c r="A24" s="201">
        <f>_xlfn.AGGREGATE(3,3,$D$7:D24)</f>
        <v/>
      </c>
      <c r="B24" s="589" t="inlineStr">
        <is>
          <t>13+</t>
        </is>
      </c>
      <c r="C24" s="590" t="inlineStr">
        <is>
          <t>MOV_ACT_24__2710733</t>
        </is>
      </c>
      <c r="D24" s="105" t="inlineStr">
        <is>
          <t>Journey to China: The Mystery of the Dragon Seal</t>
        </is>
      </c>
      <c r="E24" s="590" t="inlineStr">
        <is>
          <t>Long ẩn cơ mật</t>
        </is>
      </c>
      <c r="F24" s="590" t="inlineStr">
        <is>
          <t>Action, Adventure</t>
        </is>
      </c>
      <c r="G24" s="108" t="inlineStr">
        <is>
          <t>Rose media</t>
        </is>
      </c>
      <c r="H24" s="590" t="inlineStr">
        <is>
          <t>5/2022/HDBQ/VSTV-RM</t>
        </is>
      </c>
      <c r="I24" s="104" t="n">
        <v>2019</v>
      </c>
      <c r="J24" s="104" t="inlineStr">
        <is>
          <t>China</t>
        </is>
      </c>
      <c r="K24" s="104" t="n">
        <v>120</v>
      </c>
      <c r="L24" s="98" t="n">
        <v>45338</v>
      </c>
      <c r="M24" s="106" t="n">
        <v>46433</v>
      </c>
      <c r="N24" s="601" t="n">
        <v>45338</v>
      </c>
      <c r="O24" s="592" t="inlineStr">
        <is>
          <t>K+CINE</t>
        </is>
      </c>
      <c r="P24" s="592" t="n"/>
      <c r="Q24" s="104" t="inlineStr">
        <is>
          <t>No</t>
        </is>
      </c>
      <c r="R24" s="592" t="inlineStr">
        <is>
          <t>Yes</t>
        </is>
      </c>
      <c r="S24" s="592" t="inlineStr">
        <is>
          <t>Yes</t>
        </is>
      </c>
      <c r="T24" s="592" t="inlineStr">
        <is>
          <t>Yes</t>
        </is>
      </c>
      <c r="U24" s="592" t="inlineStr">
        <is>
          <t>Yes</t>
        </is>
      </c>
      <c r="V24" s="592" t="inlineStr">
        <is>
          <t>Yes</t>
        </is>
      </c>
      <c r="W24" s="592" t="inlineStr">
        <is>
          <t>Yes</t>
        </is>
      </c>
      <c r="X24" s="592" t="inlineStr">
        <is>
          <t>Yes</t>
        </is>
      </c>
      <c r="Y24" s="107" t="inlineStr">
        <is>
          <t>No</t>
        </is>
      </c>
      <c r="Z24" s="98" t="n">
        <v>45338</v>
      </c>
      <c r="AA24" s="106" t="n">
        <v>46433</v>
      </c>
      <c r="AB24" s="104" t="n">
        <v>24</v>
      </c>
      <c r="AC24" s="202" t="n">
        <v>18</v>
      </c>
      <c r="AD24" s="592" t="inlineStr">
        <is>
          <t>Yes</t>
        </is>
      </c>
      <c r="AE24" s="592" t="inlineStr">
        <is>
          <t>Yes</t>
        </is>
      </c>
      <c r="AF24" s="592" t="n"/>
      <c r="AG24" s="593" t="inlineStr">
        <is>
          <t>Phim còn hạn từ 2026</t>
        </is>
      </c>
      <c r="AH24" s="594" t="n"/>
      <c r="AI24" s="206" t="inlineStr">
        <is>
          <t>Journey to China: The Mystery of the Dragon Seal</t>
        </is>
      </c>
      <c r="AJ24" s="128">
        <f>SUMIF('TK 15661.Bản quyền phim '!F:F,'KK1. Movies'!D24,'TK 15661.Bản quyền phim '!X:X)</f>
        <v/>
      </c>
      <c r="AK24" s="128">
        <f>SUMIF('TK 15661.Bản quyền phim '!F:F,'KK1. Movies'!AI24,'TK 15661.Bản quyền phim '!X:X)</f>
        <v/>
      </c>
      <c r="AL24" s="203">
        <f>COUNTIF('242.BQ Phim hợp tác'!$C:$C,'KK1. Movies'!AI24)</f>
        <v/>
      </c>
      <c r="AM24" s="203">
        <f>COUNTIF('TK 15661.Bản quyền phim '!F:F,'KK1. Movies'!AI24)</f>
        <v/>
      </c>
      <c r="AN24" s="546">
        <f>AL24+AM24</f>
        <v/>
      </c>
      <c r="AO24" s="203" t="n"/>
      <c r="AP24" s="203" t="n"/>
      <c r="AQ24" s="203" t="n"/>
      <c r="AR24" s="203" t="n"/>
      <c r="AS24" s="203" t="n"/>
      <c r="AT24" s="546">
        <f>IFERROR(VLOOKUP(C24, CodeRanMovies!$A:$K, 11, 0), "Not found")</f>
        <v/>
      </c>
    </row>
    <row r="25" ht="26.4" customHeight="1" s="578">
      <c r="A25" s="201">
        <f>_xlfn.AGGREGATE(3,3,$D$7:D25)</f>
        <v/>
      </c>
      <c r="B25" s="110" t="inlineStr">
        <is>
          <t>16+</t>
        </is>
      </c>
      <c r="C25" s="234" t="inlineStr">
        <is>
          <t>MOV_ACT_22__2686478</t>
        </is>
      </c>
      <c r="D25" s="596" t="inlineStr">
        <is>
          <t>Gringo</t>
        </is>
      </c>
      <c r="E25" s="590" t="inlineStr">
        <is>
          <t>Nhọ gặp hên</t>
        </is>
      </c>
      <c r="F25" s="590" t="inlineStr">
        <is>
          <t>Action, Adventure</t>
        </is>
      </c>
      <c r="G25" s="604" t="inlineStr">
        <is>
          <t>Pro Partner</t>
        </is>
      </c>
      <c r="H25" s="590" t="inlineStr">
        <is>
          <t>56/2023/HDBQ/VSTV-Pro Partner</t>
        </is>
      </c>
      <c r="I25" s="204" t="n">
        <v>2018</v>
      </c>
      <c r="J25" s="600" t="inlineStr">
        <is>
          <t>US</t>
        </is>
      </c>
      <c r="K25" s="204" t="n">
        <v>111</v>
      </c>
      <c r="L25" s="98" t="n">
        <v>44930</v>
      </c>
      <c r="M25" s="591" t="n">
        <v>46025</v>
      </c>
      <c r="N25" s="601" t="n">
        <v>44930</v>
      </c>
      <c r="O25" s="598" t="inlineStr">
        <is>
          <t>K+CINE</t>
        </is>
      </c>
      <c r="P25" s="592" t="inlineStr">
        <is>
          <t>Exclusive All TV Rights the first 9 months of LP
 Non-exclusive with All Catch-up TV Rights; All VOD Rights during LP</t>
        </is>
      </c>
      <c r="Q25" s="600" t="inlineStr">
        <is>
          <t>No</t>
        </is>
      </c>
      <c r="R25" s="592" t="inlineStr">
        <is>
          <t>Yes</t>
        </is>
      </c>
      <c r="S25" s="592" t="inlineStr">
        <is>
          <t>Yes</t>
        </is>
      </c>
      <c r="T25" s="592" t="inlineStr">
        <is>
          <t>Yes</t>
        </is>
      </c>
      <c r="U25" s="592" t="inlineStr">
        <is>
          <t>Yes</t>
        </is>
      </c>
      <c r="V25" s="592" t="inlineStr">
        <is>
          <t>Yes</t>
        </is>
      </c>
      <c r="W25" s="592" t="inlineStr">
        <is>
          <t>Yes</t>
        </is>
      </c>
      <c r="X25" s="592" t="inlineStr">
        <is>
          <t>Yes</t>
        </is>
      </c>
      <c r="Y25" s="592" t="inlineStr">
        <is>
          <t>Yes</t>
        </is>
      </c>
      <c r="Z25" s="98" t="n">
        <v>44930</v>
      </c>
      <c r="AA25" s="591" t="n">
        <v>46025</v>
      </c>
      <c r="AB25" s="96" t="inlineStr">
        <is>
          <t>unlimited</t>
        </is>
      </c>
      <c r="AC25" s="202" t="n">
        <v>27</v>
      </c>
      <c r="AD25" s="592" t="inlineStr">
        <is>
          <t>Yes</t>
        </is>
      </c>
      <c r="AE25" s="592" t="inlineStr">
        <is>
          <t>Yes</t>
        </is>
      </c>
      <c r="AF25" s="600" t="n"/>
      <c r="AG25" s="593" t="inlineStr">
        <is>
          <t>Phim còn hạn từ 2026</t>
        </is>
      </c>
      <c r="AH25" s="594" t="n"/>
      <c r="AI25" s="590" t="inlineStr">
        <is>
          <t>Gringo</t>
        </is>
      </c>
      <c r="AJ25" s="128">
        <f>SUMIF('TK 15661.Bản quyền phim '!F:F,'KK1. Movies'!D25,'TK 15661.Bản quyền phim '!X:X)</f>
        <v/>
      </c>
      <c r="AK25" s="128">
        <f>SUMIF('TK 15661.Bản quyền phim '!F:F,'KK1. Movies'!AI25,'TK 15661.Bản quyền phim '!X:X)</f>
        <v/>
      </c>
      <c r="AL25" s="203">
        <f>COUNTIF('242.BQ Phim hợp tác'!$C:$C,'KK1. Movies'!AI25)</f>
        <v/>
      </c>
      <c r="AM25" s="203">
        <f>COUNTIF('TK 15661.Bản quyền phim '!F:F,'KK1. Movies'!AI25)</f>
        <v/>
      </c>
      <c r="AN25" s="546">
        <f>AL25+AM25</f>
        <v/>
      </c>
      <c r="AO25" s="203" t="n"/>
      <c r="AP25" s="203" t="n"/>
      <c r="AQ25" s="203" t="n"/>
      <c r="AR25" s="203" t="n"/>
      <c r="AS25" s="203" t="n"/>
      <c r="AT25" s="546">
        <f>IFERROR(VLOOKUP(C25, CodeRanMovies!$A:$K, 11, 0), "Not found")</f>
        <v/>
      </c>
    </row>
    <row r="26" ht="26.4" customHeight="1" s="578">
      <c r="A26" s="201">
        <f>_xlfn.AGGREGATE(3,3,$D$7:D26)</f>
        <v/>
      </c>
      <c r="B26" s="589" t="inlineStr">
        <is>
          <t>16+</t>
        </is>
      </c>
      <c r="C26" s="590" t="inlineStr">
        <is>
          <t>MOV_CRI_23__2694717</t>
        </is>
      </c>
      <c r="D26" s="596" t="inlineStr">
        <is>
          <t>THE GIRL ON THE TRAIN</t>
        </is>
      </c>
      <c r="E26" s="590" t="inlineStr">
        <is>
          <t>Cô gái trên tàu</t>
        </is>
      </c>
      <c r="F26" s="590" t="inlineStr">
        <is>
          <t>Crime, Thriller</t>
        </is>
      </c>
      <c r="G26" s="589" t="inlineStr">
        <is>
          <t>CJ HK</t>
        </is>
      </c>
      <c r="H26" s="590" t="inlineStr">
        <is>
          <t>135/2022/HDBQ/VSTV-CJHK</t>
        </is>
      </c>
      <c r="I26" s="204" t="n">
        <v>2016</v>
      </c>
      <c r="J26" s="600" t="inlineStr">
        <is>
          <t>US</t>
        </is>
      </c>
      <c r="K26" s="204" t="n">
        <v>112</v>
      </c>
      <c r="L26" s="98" t="n">
        <v>45275</v>
      </c>
      <c r="M26" s="98" t="n">
        <v>46370</v>
      </c>
      <c r="N26" s="597" t="n">
        <v>45275</v>
      </c>
      <c r="O26" s="598" t="inlineStr">
        <is>
          <t>K+CINE</t>
        </is>
      </c>
      <c r="P26" s="96" t="n">
        <v>12</v>
      </c>
      <c r="Q26" s="592" t="inlineStr">
        <is>
          <t>No</t>
        </is>
      </c>
      <c r="R26" s="592" t="inlineStr">
        <is>
          <t>Yes</t>
        </is>
      </c>
      <c r="S26" s="592" t="inlineStr">
        <is>
          <t>Yes</t>
        </is>
      </c>
      <c r="T26" s="592" t="inlineStr">
        <is>
          <t>Yes</t>
        </is>
      </c>
      <c r="U26" s="592" t="inlineStr">
        <is>
          <t>Yes</t>
        </is>
      </c>
      <c r="V26" s="592" t="inlineStr">
        <is>
          <t>Yes</t>
        </is>
      </c>
      <c r="W26" s="592" t="inlineStr">
        <is>
          <t>Yes</t>
        </is>
      </c>
      <c r="X26" s="592" t="inlineStr">
        <is>
          <t>No</t>
        </is>
      </c>
      <c r="Y26" s="592" t="inlineStr">
        <is>
          <t>Yes</t>
        </is>
      </c>
      <c r="Z26" s="98" t="n">
        <v>45275</v>
      </c>
      <c r="AA26" s="98" t="n">
        <v>46370</v>
      </c>
      <c r="AB26" s="96" t="inlineStr">
        <is>
          <t>unlimited</t>
        </is>
      </c>
      <c r="AC26" s="202" t="n">
        <v>23</v>
      </c>
      <c r="AD26" s="592" t="inlineStr">
        <is>
          <t>Yes</t>
        </is>
      </c>
      <c r="AE26" s="592" t="inlineStr">
        <is>
          <t>Yes</t>
        </is>
      </c>
      <c r="AF26" s="592" t="n"/>
      <c r="AG26" s="593" t="inlineStr">
        <is>
          <t>Phim còn hạn từ 2026</t>
        </is>
      </c>
      <c r="AH26" s="594" t="n"/>
      <c r="AI26" s="595" t="inlineStr">
        <is>
          <t>THE GIRL ON THE TRAIN (Cô gái trên tàu)</t>
        </is>
      </c>
      <c r="AJ26" s="128">
        <f>SUMIF('TK 15661.Bản quyền phim '!F:F,'KK1. Movies'!D26,'TK 15661.Bản quyền phim '!X:X)</f>
        <v/>
      </c>
      <c r="AK26" s="128">
        <f>SUMIF('TK 15661.Bản quyền phim '!F:F,'KK1. Movies'!AI26,'TK 15661.Bản quyền phim '!X:X)</f>
        <v/>
      </c>
      <c r="AL26" s="203">
        <f>COUNTIF('242.BQ Phim hợp tác'!$C:$C,'KK1. Movies'!AI26)</f>
        <v/>
      </c>
      <c r="AM26" s="203">
        <f>COUNTIF('TK 15661.Bản quyền phim '!F:F,'KK1. Movies'!AI26)</f>
        <v/>
      </c>
      <c r="AN26" s="546">
        <f>AL26+AM26</f>
        <v/>
      </c>
      <c r="AO26" s="203" t="n"/>
      <c r="AP26" s="203" t="n"/>
      <c r="AQ26" s="203" t="n"/>
      <c r="AR26" s="203" t="n"/>
      <c r="AS26" s="203" t="n"/>
      <c r="AT26" s="546">
        <f>IFERROR(VLOOKUP(C26, CodeRanMovies!$A:$K, 11, 0), "Not found")</f>
        <v/>
      </c>
    </row>
    <row r="27" ht="26.4" customHeight="1" s="578">
      <c r="A27" s="201">
        <f>_xlfn.AGGREGATE(3,3,$D$7:D27)</f>
        <v/>
      </c>
      <c r="B27" s="589" t="inlineStr">
        <is>
          <t>16+</t>
        </is>
      </c>
      <c r="C27" s="590" t="inlineStr">
        <is>
          <t>MOV_ACT_23__2691050</t>
        </is>
      </c>
      <c r="D27" s="596" t="inlineStr">
        <is>
          <t>Triple Threat</t>
        </is>
      </c>
      <c r="E27" s="590" t="inlineStr">
        <is>
          <t>Bộ ba vệ sĩ</t>
        </is>
      </c>
      <c r="F27" s="590" t="inlineStr">
        <is>
          <t>Crime, Thriller</t>
        </is>
      </c>
      <c r="G27" s="589" t="inlineStr">
        <is>
          <t>Roses Media</t>
        </is>
      </c>
      <c r="H27" s="590" t="inlineStr">
        <is>
          <t>140/2022/HDBQ/VSTV-RM</t>
        </is>
      </c>
      <c r="I27" s="204" t="n">
        <v>2019</v>
      </c>
      <c r="J27" s="592" t="inlineStr">
        <is>
          <t>US, Thailand, China, France</t>
        </is>
      </c>
      <c r="K27" s="204" t="n">
        <v>96</v>
      </c>
      <c r="L27" s="98" t="n">
        <v>45161</v>
      </c>
      <c r="M27" s="101" t="n">
        <v>46256</v>
      </c>
      <c r="N27" s="597" t="n">
        <v>45161</v>
      </c>
      <c r="O27" s="598" t="inlineStr">
        <is>
          <t>K+CINE</t>
        </is>
      </c>
      <c r="P27" s="592" t="inlineStr">
        <is>
          <t xml:space="preserve">Exclusive All Pay TV Rights for first 12 months.
Non exclusive All VOD during LP 
</t>
        </is>
      </c>
      <c r="Q27" s="592" t="inlineStr">
        <is>
          <t>No</t>
        </is>
      </c>
      <c r="R27" s="592" t="inlineStr">
        <is>
          <t>Yes</t>
        </is>
      </c>
      <c r="S27" s="104" t="inlineStr">
        <is>
          <t>No</t>
        </is>
      </c>
      <c r="T27" s="592" t="inlineStr">
        <is>
          <t>Yes</t>
        </is>
      </c>
      <c r="U27" s="592" t="inlineStr">
        <is>
          <t>Yes</t>
        </is>
      </c>
      <c r="V27" s="592" t="inlineStr">
        <is>
          <t>Yes</t>
        </is>
      </c>
      <c r="W27" s="592" t="inlineStr">
        <is>
          <t>Yes</t>
        </is>
      </c>
      <c r="X27" s="592" t="inlineStr">
        <is>
          <t>Yes</t>
        </is>
      </c>
      <c r="Y27" s="592" t="inlineStr">
        <is>
          <t>No</t>
        </is>
      </c>
      <c r="Z27" s="98" t="n">
        <v>45161</v>
      </c>
      <c r="AA27" s="101" t="n">
        <v>46256</v>
      </c>
      <c r="AB27" s="202" t="n">
        <v>24</v>
      </c>
      <c r="AC27" s="202" t="n">
        <v>15</v>
      </c>
      <c r="AD27" s="592" t="inlineStr">
        <is>
          <t>Yes</t>
        </is>
      </c>
      <c r="AE27" s="592" t="inlineStr">
        <is>
          <t>Yes</t>
        </is>
      </c>
      <c r="AF27" s="592" t="n"/>
      <c r="AG27" s="593" t="inlineStr">
        <is>
          <t>Phim còn hạn từ 2026</t>
        </is>
      </c>
      <c r="AH27" s="594" t="n"/>
      <c r="AI27" s="599" t="inlineStr">
        <is>
          <t>Triple Threat</t>
        </is>
      </c>
      <c r="AJ27" s="128">
        <f>SUMIF('TK 15661.Bản quyền phim '!F:F,'KK1. Movies'!D27,'TK 15661.Bản quyền phim '!X:X)</f>
        <v/>
      </c>
      <c r="AK27" s="128">
        <f>SUMIF('TK 15661.Bản quyền phim '!F:F,'KK1. Movies'!AI27,'TK 15661.Bản quyền phim '!X:X)</f>
        <v/>
      </c>
      <c r="AL27" s="203">
        <f>COUNTIF('242.BQ Phim hợp tác'!$C:$C,'KK1. Movies'!AI27)</f>
        <v/>
      </c>
      <c r="AM27" s="203">
        <f>COUNTIF('TK 15661.Bản quyền phim '!F:F,'KK1. Movies'!AI27)</f>
        <v/>
      </c>
      <c r="AN27" s="546">
        <f>AL27+AM27</f>
        <v/>
      </c>
      <c r="AO27" s="203" t="n"/>
      <c r="AP27" s="203" t="n"/>
      <c r="AQ27" s="203" t="n"/>
      <c r="AR27" s="203" t="n"/>
      <c r="AS27" s="203" t="n"/>
      <c r="AT27" s="546">
        <f>IFERROR(VLOOKUP(C27, CodeRanMovies!$A:$K, 11, 0), "Not found")</f>
        <v/>
      </c>
    </row>
    <row r="28" ht="26.4" customHeight="1" s="578">
      <c r="A28" s="201">
        <f>_xlfn.AGGREGATE(3,3,$D$7:D28)</f>
        <v/>
      </c>
      <c r="B28" s="589" t="inlineStr">
        <is>
          <t>16+</t>
        </is>
      </c>
      <c r="C28" s="590" t="inlineStr">
        <is>
          <t>MOV_THR_24__2712729</t>
        </is>
      </c>
      <c r="D28" s="105" t="inlineStr">
        <is>
          <t>RECALLED</t>
        </is>
      </c>
      <c r="E28" s="110" t="inlineStr">
        <is>
          <t>TRIỆU HỒI</t>
        </is>
      </c>
      <c r="F28" s="108" t="inlineStr">
        <is>
          <t>Horror</t>
        </is>
      </c>
      <c r="G28" s="103" t="inlineStr">
        <is>
          <t>CJ HK</t>
        </is>
      </c>
      <c r="H28" s="590" t="inlineStr">
        <is>
          <t>180/2024/HDBQ/VSTV-CJHK</t>
        </is>
      </c>
      <c r="I28" s="104" t="n">
        <v>2021</v>
      </c>
      <c r="J28" s="600" t="inlineStr">
        <is>
          <t>Korea</t>
        </is>
      </c>
      <c r="K28" s="104" t="n">
        <v>99</v>
      </c>
      <c r="L28" s="98" t="n">
        <v>45358</v>
      </c>
      <c r="M28" s="106" t="n">
        <v>46452</v>
      </c>
      <c r="N28" s="601" t="n">
        <v>45358</v>
      </c>
      <c r="O28" s="592" t="inlineStr">
        <is>
          <t>K+ACTION</t>
        </is>
      </c>
      <c r="P28" s="100" t="n">
        <v>12</v>
      </c>
      <c r="Q28" s="104" t="inlineStr">
        <is>
          <t>No</t>
        </is>
      </c>
      <c r="R28" s="592" t="inlineStr">
        <is>
          <t>Yes</t>
        </is>
      </c>
      <c r="S28" s="592" t="inlineStr">
        <is>
          <t>Yes</t>
        </is>
      </c>
      <c r="T28" s="592" t="inlineStr">
        <is>
          <t>Yes</t>
        </is>
      </c>
      <c r="U28" s="592" t="inlineStr">
        <is>
          <t>Yes</t>
        </is>
      </c>
      <c r="V28" s="592" t="inlineStr">
        <is>
          <t>Yes</t>
        </is>
      </c>
      <c r="W28" s="592" t="inlineStr">
        <is>
          <t>Yes</t>
        </is>
      </c>
      <c r="X28" s="104" t="inlineStr">
        <is>
          <t>No</t>
        </is>
      </c>
      <c r="Y28" s="592" t="inlineStr">
        <is>
          <t>Yes</t>
        </is>
      </c>
      <c r="Z28" s="98" t="n">
        <v>45358</v>
      </c>
      <c r="AA28" s="106" t="n">
        <v>46452</v>
      </c>
      <c r="AB28" s="592" t="inlineStr">
        <is>
          <t>Unlimited</t>
        </is>
      </c>
      <c r="AC28" s="202" t="n">
        <v>18</v>
      </c>
      <c r="AD28" s="592" t="inlineStr">
        <is>
          <t>Yes</t>
        </is>
      </c>
      <c r="AE28" s="592" t="inlineStr">
        <is>
          <t>Yes</t>
        </is>
      </c>
      <c r="AF28" s="593" t="n"/>
      <c r="AG28" s="593" t="inlineStr">
        <is>
          <t>Phim còn hạn từ 2026</t>
        </is>
      </c>
      <c r="AH28" s="594" t="n"/>
      <c r="AI28" s="206" t="inlineStr">
        <is>
          <t>RECALLED (TRIỆU HỒI)</t>
        </is>
      </c>
      <c r="AJ28" s="128">
        <f>SUMIF('TK 15661.Bản quyền phim '!F:F,'KK1. Movies'!D28,'TK 15661.Bản quyền phim '!X:X)</f>
        <v/>
      </c>
      <c r="AK28" s="128">
        <f>SUMIF('TK 15661.Bản quyền phim '!F:F,'KK1. Movies'!AI28,'TK 15661.Bản quyền phim '!X:X)</f>
        <v/>
      </c>
      <c r="AL28" s="203">
        <f>COUNTIF('242.BQ Phim hợp tác'!$C:$C,'KK1. Movies'!AI28)</f>
        <v/>
      </c>
      <c r="AM28" s="203">
        <f>COUNTIF('TK 15661.Bản quyền phim '!F:F,'KK1. Movies'!AI28)</f>
        <v/>
      </c>
      <c r="AN28" s="546">
        <f>AL28+AM28</f>
        <v/>
      </c>
      <c r="AO28" s="203" t="n"/>
      <c r="AP28" s="203" t="n"/>
      <c r="AQ28" s="203" t="n"/>
      <c r="AR28" s="203" t="n"/>
      <c r="AS28" s="203" t="n"/>
      <c r="AT28" s="546">
        <f>IFERROR(VLOOKUP(C28, CodeRanMovies!$A:$K, 11, 0), "Not found")</f>
        <v/>
      </c>
    </row>
    <row r="29" ht="26.4" customHeight="1" s="578">
      <c r="A29" s="201">
        <f>_xlfn.AGGREGATE(3,3,$D$7:D29)</f>
        <v/>
      </c>
      <c r="B29" s="589" t="inlineStr">
        <is>
          <t>13+</t>
        </is>
      </c>
      <c r="C29" s="590" t="inlineStr">
        <is>
          <t>MOV_ADV_23__2694718</t>
        </is>
      </c>
      <c r="D29" s="596" t="inlineStr">
        <is>
          <t>A DOG'S PURPOSE</t>
        </is>
      </c>
      <c r="E29" s="590" t="inlineStr">
        <is>
          <t>Mục đích sống của một chú chó</t>
        </is>
      </c>
      <c r="F29" s="589" t="inlineStr">
        <is>
          <t>Drama</t>
        </is>
      </c>
      <c r="G29" s="589" t="inlineStr">
        <is>
          <t>CJ HK</t>
        </is>
      </c>
      <c r="H29" s="590" t="inlineStr">
        <is>
          <t>135/2022/HDBQ/VSTV-CJHK</t>
        </is>
      </c>
      <c r="I29" s="204" t="n">
        <v>2016</v>
      </c>
      <c r="J29" s="600" t="inlineStr">
        <is>
          <t>US</t>
        </is>
      </c>
      <c r="K29" s="204" t="n">
        <v>100</v>
      </c>
      <c r="L29" s="98" t="n">
        <v>45281</v>
      </c>
      <c r="M29" s="98" t="n">
        <v>46376</v>
      </c>
      <c r="N29" s="597" t="n">
        <v>45281</v>
      </c>
      <c r="O29" s="598" t="inlineStr">
        <is>
          <t>K+CINE</t>
        </is>
      </c>
      <c r="P29" s="96" t="n">
        <v>12</v>
      </c>
      <c r="Q29" s="592" t="inlineStr">
        <is>
          <t>No</t>
        </is>
      </c>
      <c r="R29" s="592" t="inlineStr">
        <is>
          <t>Yes</t>
        </is>
      </c>
      <c r="S29" s="592" t="inlineStr">
        <is>
          <t>Yes</t>
        </is>
      </c>
      <c r="T29" s="592" t="inlineStr">
        <is>
          <t>Yes</t>
        </is>
      </c>
      <c r="U29" s="592" t="inlineStr">
        <is>
          <t>Yes</t>
        </is>
      </c>
      <c r="V29" s="592" t="inlineStr">
        <is>
          <t>Yes</t>
        </is>
      </c>
      <c r="W29" s="592" t="inlineStr">
        <is>
          <t>Yes</t>
        </is>
      </c>
      <c r="X29" s="104" t="inlineStr">
        <is>
          <t>No</t>
        </is>
      </c>
      <c r="Y29" s="592" t="inlineStr">
        <is>
          <t>Yes</t>
        </is>
      </c>
      <c r="Z29" s="98" t="n">
        <v>45281</v>
      </c>
      <c r="AA29" s="98" t="n">
        <v>46376</v>
      </c>
      <c r="AB29" s="96" t="inlineStr">
        <is>
          <t>unlimited</t>
        </is>
      </c>
      <c r="AC29" s="202" t="n">
        <v>16</v>
      </c>
      <c r="AD29" s="592" t="inlineStr">
        <is>
          <t>Yes</t>
        </is>
      </c>
      <c r="AE29" s="592" t="inlineStr">
        <is>
          <t>Yes</t>
        </is>
      </c>
      <c r="AF29" s="593" t="n"/>
      <c r="AG29" s="593" t="inlineStr">
        <is>
          <t>Phim còn hạn từ 2026</t>
        </is>
      </c>
      <c r="AH29" s="594" t="n"/>
      <c r="AI29" s="206" t="inlineStr">
        <is>
          <t>A DOG'S PURPOSE (Mục đích sống của một chú chó)</t>
        </is>
      </c>
      <c r="AJ29" s="128">
        <f>SUMIF('TK 15661.Bản quyền phim '!F:F,'KK1. Movies'!D29,'TK 15661.Bản quyền phim '!X:X)</f>
        <v/>
      </c>
      <c r="AK29" s="128">
        <f>SUMIF('TK 15661.Bản quyền phim '!F:F,'KK1. Movies'!AI29,'TK 15661.Bản quyền phim '!X:X)</f>
        <v/>
      </c>
      <c r="AL29" s="203">
        <f>COUNTIF('242.BQ Phim hợp tác'!$C:$C,'KK1. Movies'!AI29)</f>
        <v/>
      </c>
      <c r="AM29" s="203">
        <f>COUNTIF('TK 15661.Bản quyền phim '!F:F,'KK1. Movies'!AI29)</f>
        <v/>
      </c>
      <c r="AN29" s="546">
        <f>AL29+AM29</f>
        <v/>
      </c>
      <c r="AO29" s="203" t="n"/>
      <c r="AP29" s="203" t="n"/>
      <c r="AQ29" s="203" t="n"/>
      <c r="AR29" s="203" t="n"/>
      <c r="AS29" s="203" t="n"/>
      <c r="AT29" s="546">
        <f>IFERROR(VLOOKUP(C29, CodeRanMovies!$A:$K, 11, 0), "Not found")</f>
        <v/>
      </c>
    </row>
    <row r="30" ht="52.8" customHeight="1" s="578">
      <c r="A30" s="201">
        <f>_xlfn.AGGREGATE(3,3,$D$7:D30)</f>
        <v/>
      </c>
      <c r="B30" s="589" t="inlineStr">
        <is>
          <t>13+</t>
        </is>
      </c>
      <c r="C30" s="590" t="inlineStr">
        <is>
          <t>MOV_MUS7</t>
        </is>
      </c>
      <c r="D30" s="105" t="inlineStr">
        <is>
          <t>BURLESQUE</t>
        </is>
      </c>
      <c r="E30" s="110" t="inlineStr">
        <is>
          <t>Vũ nữ</t>
        </is>
      </c>
      <c r="F30" s="590" t="inlineStr">
        <is>
          <t>Drama</t>
        </is>
      </c>
      <c r="G30" s="103" t="inlineStr">
        <is>
          <t>SONY PICTURES</t>
        </is>
      </c>
      <c r="H30" s="590" t="inlineStr">
        <is>
          <t>Sony/K+Vietnam PayBasic SVOD Package Agmt D2D per JK (19-01-2024)</t>
        </is>
      </c>
      <c r="I30" s="104" t="n">
        <v>2010</v>
      </c>
      <c r="J30" s="600" t="inlineStr">
        <is>
          <t>US</t>
        </is>
      </c>
      <c r="K30" s="104" t="n">
        <v>118</v>
      </c>
      <c r="L30" s="98" t="n">
        <v>45505</v>
      </c>
      <c r="M30" s="106" t="n">
        <v>46234</v>
      </c>
      <c r="N30" s="601" t="n">
        <v>45602</v>
      </c>
      <c r="O30" s="592" t="inlineStr">
        <is>
          <t>K+CINE</t>
        </is>
      </c>
      <c r="P30" s="592" t="n"/>
      <c r="Q30" s="104" t="inlineStr">
        <is>
          <t>No</t>
        </is>
      </c>
      <c r="R30" s="592" t="inlineStr">
        <is>
          <t>Yes</t>
        </is>
      </c>
      <c r="S30" s="592" t="inlineStr">
        <is>
          <t>Yes</t>
        </is>
      </c>
      <c r="T30" s="592" t="inlineStr">
        <is>
          <t>Yes</t>
        </is>
      </c>
      <c r="U30" s="104" t="inlineStr">
        <is>
          <t>No</t>
        </is>
      </c>
      <c r="V30" s="104" t="inlineStr">
        <is>
          <t>No</t>
        </is>
      </c>
      <c r="W30" s="104" t="inlineStr">
        <is>
          <t>No</t>
        </is>
      </c>
      <c r="X30" s="104" t="inlineStr">
        <is>
          <t>No</t>
        </is>
      </c>
      <c r="Y30" s="104" t="inlineStr">
        <is>
          <t>No</t>
        </is>
      </c>
      <c r="Z30" s="98" t="n">
        <v>45505</v>
      </c>
      <c r="AA30" s="106" t="n">
        <v>46234</v>
      </c>
      <c r="AB30" s="107" t="n">
        <v>7</v>
      </c>
      <c r="AC30" s="202" t="n">
        <v>2</v>
      </c>
      <c r="AD30" s="592" t="inlineStr">
        <is>
          <t>Yes</t>
        </is>
      </c>
      <c r="AE30" s="592" t="inlineStr">
        <is>
          <t>Yes</t>
        </is>
      </c>
      <c r="AF30" s="592" t="n"/>
      <c r="AG30" s="593" t="inlineStr">
        <is>
          <t>Phim còn hạn từ 2026</t>
        </is>
      </c>
      <c r="AH30" s="594" t="n"/>
      <c r="AI30" s="599" t="inlineStr">
        <is>
          <t>BURLESQUE</t>
        </is>
      </c>
      <c r="AJ30" s="128">
        <f>SUMIF('TK 15661.Bản quyền phim '!F:F,'KK1. Movies'!D30,'TK 15661.Bản quyền phim '!X:X)</f>
        <v/>
      </c>
      <c r="AK30" s="128">
        <f>SUMIF('TK 15661.Bản quyền phim '!F:F,'KK1. Movies'!AI30,'TK 15661.Bản quyền phim '!X:X)</f>
        <v/>
      </c>
      <c r="AL30" s="203">
        <f>COUNTIF('242.BQ Phim hợp tác'!$C:$C,'KK1. Movies'!AI30)</f>
        <v/>
      </c>
      <c r="AM30" s="203">
        <f>COUNTIF('TK 15661.Bản quyền phim '!F:F,'KK1. Movies'!AI30)</f>
        <v/>
      </c>
      <c r="AN30" s="546">
        <f>AL30+AM30</f>
        <v/>
      </c>
      <c r="AO30" s="203" t="n"/>
      <c r="AP30" s="203" t="n"/>
      <c r="AQ30" s="203" t="n"/>
      <c r="AR30" s="203" t="n"/>
      <c r="AS30" s="203" t="n"/>
      <c r="AT30" s="546">
        <f>IFERROR(VLOOKUP(C30, CodeRanMovies!$A:$K, 11, 0), "Not found")</f>
        <v/>
      </c>
    </row>
    <row r="31" ht="26.4" customHeight="1" s="578">
      <c r="A31" s="201">
        <f>_xlfn.AGGREGATE(3,3,$D$7:D31)</f>
        <v/>
      </c>
      <c r="B31" s="589" t="inlineStr">
        <is>
          <t>13+</t>
        </is>
      </c>
      <c r="C31" s="590" t="inlineStr">
        <is>
          <t>MOV_ACT_23__2695079</t>
        </is>
      </c>
      <c r="D31" s="596" t="inlineStr">
        <is>
          <t>My Spy</t>
        </is>
      </c>
      <c r="E31" s="590" t="inlineStr">
        <is>
          <t>Điệp viên tí hon</t>
        </is>
      </c>
      <c r="F31" s="590" t="inlineStr">
        <is>
          <t>Comedy</t>
        </is>
      </c>
      <c r="G31" s="589" t="inlineStr">
        <is>
          <t>Roses Media</t>
        </is>
      </c>
      <c r="H31" s="590" t="inlineStr">
        <is>
          <t>140/2022/HDBQ/VSTV-RM</t>
        </is>
      </c>
      <c r="I31" s="204" t="n">
        <v>2020</v>
      </c>
      <c r="J31" s="592" t="inlineStr">
        <is>
          <t>US</t>
        </is>
      </c>
      <c r="K31" s="204" t="n">
        <v>99</v>
      </c>
      <c r="L31" s="98" t="n">
        <v>45197</v>
      </c>
      <c r="M31" s="101" t="n">
        <v>46292</v>
      </c>
      <c r="N31" s="597" t="n">
        <v>45197</v>
      </c>
      <c r="O31" s="598" t="inlineStr">
        <is>
          <t>K+CINE</t>
        </is>
      </c>
      <c r="P31" s="592" t="inlineStr">
        <is>
          <t xml:space="preserve">Exclusive All Pay TV Rights for first 12 months.
Non exclusive All VOD during LP 
</t>
        </is>
      </c>
      <c r="Q31" s="592" t="inlineStr">
        <is>
          <t>No</t>
        </is>
      </c>
      <c r="R31" s="592" t="inlineStr">
        <is>
          <t>Yes</t>
        </is>
      </c>
      <c r="S31" s="592" t="inlineStr">
        <is>
          <t>No</t>
        </is>
      </c>
      <c r="T31" s="592" t="inlineStr">
        <is>
          <t>Yes</t>
        </is>
      </c>
      <c r="U31" s="592" t="inlineStr">
        <is>
          <t>Yes</t>
        </is>
      </c>
      <c r="V31" s="592" t="inlineStr">
        <is>
          <t>Yes</t>
        </is>
      </c>
      <c r="W31" s="592" t="inlineStr">
        <is>
          <t>Yes</t>
        </is>
      </c>
      <c r="X31" s="592" t="inlineStr">
        <is>
          <t>Yes</t>
        </is>
      </c>
      <c r="Y31" s="592" t="inlineStr">
        <is>
          <t>No</t>
        </is>
      </c>
      <c r="Z31" s="98" t="n">
        <v>45197</v>
      </c>
      <c r="AA31" s="101" t="n">
        <v>46292</v>
      </c>
      <c r="AB31" s="202" t="n">
        <v>24</v>
      </c>
      <c r="AC31" s="202" t="n">
        <v>14</v>
      </c>
      <c r="AD31" s="592" t="inlineStr">
        <is>
          <t>Yes</t>
        </is>
      </c>
      <c r="AE31" s="592" t="inlineStr">
        <is>
          <t>Yes</t>
        </is>
      </c>
      <c r="AF31" s="592" t="n"/>
      <c r="AG31" s="593" t="inlineStr">
        <is>
          <t>Phim còn hạn từ 2026</t>
        </is>
      </c>
      <c r="AH31" s="594" t="n"/>
      <c r="AI31" s="599" t="inlineStr">
        <is>
          <t>My Spy</t>
        </is>
      </c>
      <c r="AJ31" s="128">
        <f>SUMIF('TK 15661.Bản quyền phim '!F:F,'KK1. Movies'!D31,'TK 15661.Bản quyền phim '!X:X)</f>
        <v/>
      </c>
      <c r="AK31" s="128">
        <f>SUMIF('TK 15661.Bản quyền phim '!F:F,'KK1. Movies'!AI31,'TK 15661.Bản quyền phim '!X:X)</f>
        <v/>
      </c>
      <c r="AL31" s="203">
        <f>COUNTIF('242.BQ Phim hợp tác'!$C:$C,'KK1. Movies'!AI31)</f>
        <v/>
      </c>
      <c r="AM31" s="203">
        <f>COUNTIF('TK 15661.Bản quyền phim '!F:F,'KK1. Movies'!AI31)</f>
        <v/>
      </c>
      <c r="AN31" s="546">
        <f>AL31+AM31</f>
        <v/>
      </c>
      <c r="AO31" s="203" t="n"/>
      <c r="AP31" s="203" t="n"/>
      <c r="AQ31" s="203" t="n"/>
      <c r="AR31" s="203" t="n"/>
      <c r="AS31" s="203" t="n"/>
      <c r="AT31" s="546">
        <f>IFERROR(VLOOKUP(C31, CodeRanMovies!$A:$K, 11, 0), "Not found")</f>
        <v/>
      </c>
    </row>
    <row r="32" ht="26.4" customHeight="1" s="578">
      <c r="A32" s="201">
        <f>_xlfn.AGGREGATE(3,3,$D$7:D32)</f>
        <v/>
      </c>
      <c r="B32" s="605" t="inlineStr">
        <is>
          <t>16+</t>
        </is>
      </c>
      <c r="C32" s="590" t="inlineStr">
        <is>
          <t>MOV_CRI107</t>
        </is>
      </c>
      <c r="D32" s="105" t="inlineStr">
        <is>
          <t>EMILY THE CRIMINAL</t>
        </is>
      </c>
      <c r="E32" s="110" t="inlineStr">
        <is>
          <t>Tội phạm Emily</t>
        </is>
      </c>
      <c r="F32" s="108" t="inlineStr">
        <is>
          <t>action</t>
        </is>
      </c>
      <c r="G32" s="235" t="inlineStr">
        <is>
          <t>NBC Universal</t>
        </is>
      </c>
      <c r="H32" s="108" t="inlineStr">
        <is>
          <t>5049540-2/161434-3</t>
        </is>
      </c>
      <c r="I32" s="104" t="n">
        <v>2022</v>
      </c>
      <c r="J32" s="107" t="inlineStr">
        <is>
          <t>US</t>
        </is>
      </c>
      <c r="K32" s="104" t="n">
        <v>96</v>
      </c>
      <c r="L32" s="98" t="n">
        <v>45554</v>
      </c>
      <c r="M32" s="109" t="n">
        <v>46283</v>
      </c>
      <c r="N32" s="601" t="n">
        <v>45554</v>
      </c>
      <c r="O32" s="104" t="inlineStr">
        <is>
          <t>K+ACTION</t>
        </is>
      </c>
      <c r="P32" s="104" t="inlineStr">
        <is>
          <t xml:space="preserve"> </t>
        </is>
      </c>
      <c r="Q32" s="104" t="inlineStr">
        <is>
          <t>No</t>
        </is>
      </c>
      <c r="R32" s="592" t="inlineStr">
        <is>
          <t>Yes</t>
        </is>
      </c>
      <c r="S32" s="104" t="inlineStr">
        <is>
          <t>Yes</t>
        </is>
      </c>
      <c r="T32" s="592" t="inlineStr">
        <is>
          <t>Yes</t>
        </is>
      </c>
      <c r="U32" s="104" t="inlineStr">
        <is>
          <t>No</t>
        </is>
      </c>
      <c r="V32" s="104" t="inlineStr">
        <is>
          <t>No</t>
        </is>
      </c>
      <c r="W32" s="104" t="inlineStr">
        <is>
          <t>No</t>
        </is>
      </c>
      <c r="X32" s="104" t="inlineStr">
        <is>
          <t>No</t>
        </is>
      </c>
      <c r="Y32" s="104" t="inlineStr">
        <is>
          <t>Yes</t>
        </is>
      </c>
      <c r="Z32" s="98" t="n">
        <v>45554</v>
      </c>
      <c r="AA32" s="109" t="n">
        <v>46283</v>
      </c>
      <c r="AB32" s="107" t="n">
        <v>6</v>
      </c>
      <c r="AC32" s="105" t="n">
        <v>3</v>
      </c>
      <c r="AD32" s="592" t="inlineStr">
        <is>
          <t>Yes</t>
        </is>
      </c>
      <c r="AE32" s="592" t="inlineStr">
        <is>
          <t>Yes</t>
        </is>
      </c>
      <c r="AF32" s="592" t="n"/>
      <c r="AG32" s="593" t="inlineStr">
        <is>
          <t>Phim còn hạn từ 2026</t>
        </is>
      </c>
      <c r="AH32" s="594" t="n"/>
      <c r="AI32" s="599" t="inlineStr">
        <is>
          <t>EMILY THE CRIMINAL</t>
        </is>
      </c>
      <c r="AJ32" s="128">
        <f>SUMIF('TK 15661.Bản quyền phim '!F:F,'KK1. Movies'!D32,'TK 15661.Bản quyền phim '!X:X)</f>
        <v/>
      </c>
      <c r="AK32" s="128">
        <f>SUMIF('TK 15661.Bản quyền phim '!F:F,'KK1. Movies'!AI32,'TK 15661.Bản quyền phim '!X:X)</f>
        <v/>
      </c>
      <c r="AL32" s="203">
        <f>COUNTIF('242.BQ Phim hợp tác'!$C:$C,'KK1. Movies'!AI32)</f>
        <v/>
      </c>
      <c r="AM32" s="203">
        <f>COUNTIF('TK 15661.Bản quyền phim '!F:F,'KK1. Movies'!AI32)</f>
        <v/>
      </c>
      <c r="AN32" s="546">
        <f>AL32+AM32</f>
        <v/>
      </c>
      <c r="AO32" s="203" t="n"/>
      <c r="AP32" s="203" t="n"/>
      <c r="AQ32" s="203" t="n"/>
      <c r="AR32" s="203" t="n"/>
      <c r="AS32" s="203" t="n"/>
      <c r="AT32" s="546">
        <f>IFERROR(VLOOKUP(C32, CodeRanMovies!$A:$K, 11, 0), "Not found")</f>
        <v/>
      </c>
    </row>
    <row r="33" ht="26.4" customHeight="1" s="578">
      <c r="A33" s="201">
        <f>_xlfn.AGGREGATE(3,3,$D$7:D33)</f>
        <v/>
      </c>
      <c r="B33" s="589" t="inlineStr">
        <is>
          <t>16+</t>
        </is>
      </c>
      <c r="C33" s="590" t="inlineStr">
        <is>
          <t>MOV_COM_24__2710443</t>
        </is>
      </c>
      <c r="D33" s="105" t="inlineStr">
        <is>
          <t>A LONG WAY DOWN</t>
        </is>
      </c>
      <c r="E33" s="590" t="inlineStr">
        <is>
          <t>Còn lâu mới chết</t>
        </is>
      </c>
      <c r="F33" s="590" t="inlineStr">
        <is>
          <t>Drama</t>
        </is>
      </c>
      <c r="G33" s="108" t="inlineStr">
        <is>
          <t>Skyline Media</t>
        </is>
      </c>
      <c r="H33" s="590" t="inlineStr">
        <is>
          <t>28/2024/HDBQ/VSTV-SM</t>
        </is>
      </c>
      <c r="I33" s="107" t="n">
        <v>2014</v>
      </c>
      <c r="J33" s="107" t="inlineStr">
        <is>
          <t>UK</t>
        </is>
      </c>
      <c r="K33" s="107" t="n">
        <v>96</v>
      </c>
      <c r="L33" s="98" t="n">
        <v>45385</v>
      </c>
      <c r="M33" s="109" t="n">
        <v>46479</v>
      </c>
      <c r="N33" s="601" t="n">
        <v>45506</v>
      </c>
      <c r="O33" s="592" t="inlineStr">
        <is>
          <t>K+CINE</t>
        </is>
      </c>
      <c r="P33" s="104" t="n">
        <v>12</v>
      </c>
      <c r="Q33" s="107" t="inlineStr">
        <is>
          <t>No</t>
        </is>
      </c>
      <c r="R33" s="592" t="inlineStr">
        <is>
          <t>Yes</t>
        </is>
      </c>
      <c r="S33" s="592" t="inlineStr">
        <is>
          <t>Yes</t>
        </is>
      </c>
      <c r="T33" s="592" t="inlineStr">
        <is>
          <t>Yes</t>
        </is>
      </c>
      <c r="U33" s="592" t="inlineStr">
        <is>
          <t>Yes</t>
        </is>
      </c>
      <c r="V33" s="592" t="inlineStr">
        <is>
          <t>Yes</t>
        </is>
      </c>
      <c r="W33" s="592" t="inlineStr">
        <is>
          <t>Yes</t>
        </is>
      </c>
      <c r="X33" s="592" t="inlineStr">
        <is>
          <t>Yes</t>
        </is>
      </c>
      <c r="Y33" s="104" t="inlineStr">
        <is>
          <t>No</t>
        </is>
      </c>
      <c r="Z33" s="98" t="n">
        <v>45385</v>
      </c>
      <c r="AA33" s="109" t="n">
        <v>46479</v>
      </c>
      <c r="AB33" s="107" t="n">
        <v>24</v>
      </c>
      <c r="AC33" s="202" t="n">
        <v>14</v>
      </c>
      <c r="AD33" s="592" t="inlineStr">
        <is>
          <t>Yes</t>
        </is>
      </c>
      <c r="AE33" s="592" t="inlineStr">
        <is>
          <t>Yes</t>
        </is>
      </c>
      <c r="AF33" s="592" t="n"/>
      <c r="AG33" s="593" t="inlineStr">
        <is>
          <t>Phim còn hạn từ 2026</t>
        </is>
      </c>
      <c r="AH33" s="594" t="n"/>
      <c r="AI33" s="206" t="inlineStr">
        <is>
          <t>A LONG WAY DOWN</t>
        </is>
      </c>
      <c r="AJ33" s="128">
        <f>SUMIF('TK 15661.Bản quyền phim '!F:F,'KK1. Movies'!D33,'TK 15661.Bản quyền phim '!X:X)</f>
        <v/>
      </c>
      <c r="AK33" s="128">
        <f>SUMIF('TK 15661.Bản quyền phim '!F:F,'KK1. Movies'!AI33,'TK 15661.Bản quyền phim '!X:X)</f>
        <v/>
      </c>
      <c r="AL33" s="203">
        <f>COUNTIF('242.BQ Phim hợp tác'!$C:$C,'KK1. Movies'!AI33)</f>
        <v/>
      </c>
      <c r="AM33" s="203">
        <f>COUNTIF('TK 15661.Bản quyền phim '!F:F,'KK1. Movies'!AI33)</f>
        <v/>
      </c>
      <c r="AN33" s="546">
        <f>AL33+AM33</f>
        <v/>
      </c>
      <c r="AO33" s="203" t="n"/>
      <c r="AP33" s="203" t="n"/>
      <c r="AQ33" s="203" t="n"/>
      <c r="AR33" s="203" t="n"/>
      <c r="AS33" s="203" t="n"/>
      <c r="AT33" s="546">
        <f>IFERROR(VLOOKUP(C33, CodeRanMovies!$A:$K, 11, 0), "Not found")</f>
        <v/>
      </c>
    </row>
    <row r="34">
      <c r="A34" s="201">
        <f>_xlfn.AGGREGATE(3,3,$D$7:D34)</f>
        <v/>
      </c>
      <c r="B34" s="589" t="inlineStr">
        <is>
          <t>16+</t>
        </is>
      </c>
      <c r="C34" s="234" t="inlineStr">
        <is>
          <t>MOV_HOR68</t>
        </is>
      </c>
      <c r="D34" s="105" t="inlineStr">
        <is>
          <t>WITCH, THE</t>
        </is>
      </c>
      <c r="E34" s="110" t="inlineStr">
        <is>
          <t>Phù thủy</t>
        </is>
      </c>
      <c r="F34" s="108" t="inlineStr">
        <is>
          <t>Horror</t>
        </is>
      </c>
      <c r="G34" s="108" t="inlineStr">
        <is>
          <t>NBC Universal</t>
        </is>
      </c>
      <c r="H34" s="108" t="inlineStr">
        <is>
          <t>5049540-2/161434-3</t>
        </is>
      </c>
      <c r="I34" s="104" t="n">
        <v>2016</v>
      </c>
      <c r="J34" s="107" t="inlineStr">
        <is>
          <t>US</t>
        </is>
      </c>
      <c r="K34" s="107" t="n">
        <v>90</v>
      </c>
      <c r="L34" s="98" t="n">
        <v>45596</v>
      </c>
      <c r="M34" s="109" t="n">
        <v>46325</v>
      </c>
      <c r="N34" s="601" t="n">
        <v>45596</v>
      </c>
      <c r="O34" s="104" t="inlineStr">
        <is>
          <t>K+ACTION</t>
        </is>
      </c>
      <c r="P34" s="104" t="n"/>
      <c r="Q34" s="104" t="inlineStr">
        <is>
          <t>No</t>
        </is>
      </c>
      <c r="R34" s="592" t="inlineStr">
        <is>
          <t>Yes</t>
        </is>
      </c>
      <c r="S34" s="104" t="inlineStr">
        <is>
          <t>Yes</t>
        </is>
      </c>
      <c r="T34" s="592" t="inlineStr">
        <is>
          <t>Yes</t>
        </is>
      </c>
      <c r="U34" s="104" t="inlineStr">
        <is>
          <t>No</t>
        </is>
      </c>
      <c r="V34" s="104" t="inlineStr">
        <is>
          <t>No</t>
        </is>
      </c>
      <c r="W34" s="104" t="inlineStr">
        <is>
          <t>No</t>
        </is>
      </c>
      <c r="X34" s="104" t="inlineStr">
        <is>
          <t>No</t>
        </is>
      </c>
      <c r="Y34" s="104" t="inlineStr">
        <is>
          <t>Yes</t>
        </is>
      </c>
      <c r="Z34" s="98" t="n">
        <v>45596</v>
      </c>
      <c r="AA34" s="109" t="n">
        <v>46325</v>
      </c>
      <c r="AB34" s="107" t="n">
        <v>6</v>
      </c>
      <c r="AC34" s="105" t="n">
        <v>2</v>
      </c>
      <c r="AD34" s="592" t="inlineStr">
        <is>
          <t>Yes</t>
        </is>
      </c>
      <c r="AE34" s="592" t="inlineStr">
        <is>
          <t>Yes</t>
        </is>
      </c>
      <c r="AF34" s="592" t="n"/>
      <c r="AG34" s="593" t="inlineStr">
        <is>
          <t>Phim còn hạn từ 2026</t>
        </is>
      </c>
      <c r="AH34" s="594" t="n"/>
      <c r="AI34" s="599" t="inlineStr">
        <is>
          <t>WITCH, THE</t>
        </is>
      </c>
      <c r="AJ34" s="128">
        <f>SUMIF('TK 15661.Bản quyền phim '!F:F,'KK1. Movies'!D34,'TK 15661.Bản quyền phim '!X:X)</f>
        <v/>
      </c>
      <c r="AK34" s="128">
        <f>SUMIF('TK 15661.Bản quyền phim '!F:F,'KK1. Movies'!AI34,'TK 15661.Bản quyền phim '!X:X)</f>
        <v/>
      </c>
      <c r="AL34" s="203">
        <f>COUNTIF('242.BQ Phim hợp tác'!$C:$C,'KK1. Movies'!AI34)</f>
        <v/>
      </c>
      <c r="AM34" s="203">
        <f>COUNTIF('TK 15661.Bản quyền phim '!F:F,'KK1. Movies'!AI34)</f>
        <v/>
      </c>
      <c r="AN34" s="546">
        <f>AL34+AM34</f>
        <v/>
      </c>
      <c r="AO34" s="203" t="n"/>
      <c r="AP34" s="203" t="n"/>
      <c r="AQ34" s="203" t="n"/>
      <c r="AR34" s="203" t="n"/>
      <c r="AS34" s="203" t="n"/>
      <c r="AT34" s="546">
        <f>IFERROR(VLOOKUP(C34, CodeRanMovies!$A:$K, 11, 0), "Not found")</f>
        <v/>
      </c>
    </row>
    <row r="35">
      <c r="A35" s="201">
        <f>_xlfn.AGGREGATE(3,3,$D$7:D35)</f>
        <v/>
      </c>
      <c r="B35" s="589" t="inlineStr">
        <is>
          <t>16+</t>
        </is>
      </c>
      <c r="C35" s="234" t="inlineStr">
        <is>
          <t>MOV_ACT584</t>
        </is>
      </c>
      <c r="D35" s="105" t="inlineStr">
        <is>
          <t>AMBULANCE (2022)</t>
        </is>
      </c>
      <c r="E35" s="110" t="inlineStr">
        <is>
          <t>Xe cấp cứu</t>
        </is>
      </c>
      <c r="F35" s="108" t="inlineStr">
        <is>
          <t>action</t>
        </is>
      </c>
      <c r="G35" s="108" t="inlineStr">
        <is>
          <t>NBC Universal</t>
        </is>
      </c>
      <c r="H35" s="108" t="inlineStr">
        <is>
          <t>5049540-2/161434-3</t>
        </is>
      </c>
      <c r="I35" s="104" t="n">
        <v>2022</v>
      </c>
      <c r="J35" s="107" t="inlineStr">
        <is>
          <t>US</t>
        </is>
      </c>
      <c r="K35" s="104" t="n">
        <v>136</v>
      </c>
      <c r="L35" s="98" t="n">
        <v>45513</v>
      </c>
      <c r="M35" s="120" t="n">
        <v>46242</v>
      </c>
      <c r="N35" s="601" t="n">
        <v>45513</v>
      </c>
      <c r="O35" s="592" t="inlineStr">
        <is>
          <t>K+CINE</t>
        </is>
      </c>
      <c r="P35" s="112" t="n">
        <v>12</v>
      </c>
      <c r="Q35" s="104" t="inlineStr">
        <is>
          <t>No</t>
        </is>
      </c>
      <c r="R35" s="592" t="inlineStr">
        <is>
          <t>Yes</t>
        </is>
      </c>
      <c r="S35" s="104" t="inlineStr">
        <is>
          <t>Yes</t>
        </is>
      </c>
      <c r="T35" s="592" t="inlineStr">
        <is>
          <t>Yes</t>
        </is>
      </c>
      <c r="U35" s="104" t="inlineStr">
        <is>
          <t>No</t>
        </is>
      </c>
      <c r="V35" s="104" t="inlineStr">
        <is>
          <t>No</t>
        </is>
      </c>
      <c r="W35" s="104" t="inlineStr">
        <is>
          <t>No</t>
        </is>
      </c>
      <c r="X35" s="104" t="inlineStr">
        <is>
          <t>No</t>
        </is>
      </c>
      <c r="Y35" s="104" t="inlineStr">
        <is>
          <t>Yes</t>
        </is>
      </c>
      <c r="Z35" s="98" t="n">
        <v>45513</v>
      </c>
      <c r="AA35" s="120" t="n">
        <v>46242</v>
      </c>
      <c r="AB35" s="107" t="n">
        <v>6</v>
      </c>
      <c r="AC35" s="105" t="n">
        <v>3</v>
      </c>
      <c r="AD35" s="592" t="inlineStr">
        <is>
          <t>Yes</t>
        </is>
      </c>
      <c r="AE35" s="592" t="inlineStr">
        <is>
          <t>Yes</t>
        </is>
      </c>
      <c r="AF35" s="592" t="n"/>
      <c r="AG35" s="593" t="inlineStr">
        <is>
          <t>Phim còn hạn từ 2026</t>
        </is>
      </c>
      <c r="AH35" s="594" t="n"/>
      <c r="AI35" s="599" t="inlineStr">
        <is>
          <t>AMBULANCE (2022)</t>
        </is>
      </c>
      <c r="AJ35" s="128">
        <f>SUMIF('TK 15661.Bản quyền phim '!F:F,'KK1. Movies'!D35,'TK 15661.Bản quyền phim '!X:X)</f>
        <v/>
      </c>
      <c r="AK35" s="128">
        <f>SUMIF('TK 15661.Bản quyền phim '!F:F,'KK1. Movies'!AI35,'TK 15661.Bản quyền phim '!X:X)</f>
        <v/>
      </c>
      <c r="AL35" s="203">
        <f>COUNTIF('242.BQ Phim hợp tác'!$C:$C,'KK1. Movies'!AI35)</f>
        <v/>
      </c>
      <c r="AM35" s="203">
        <f>COUNTIF('TK 15661.Bản quyền phim '!F:F,'KK1. Movies'!AI35)</f>
        <v/>
      </c>
      <c r="AN35" s="546">
        <f>AL35+AM35</f>
        <v/>
      </c>
      <c r="AO35" s="203" t="n"/>
      <c r="AP35" s="203" t="n"/>
      <c r="AQ35" s="203" t="n"/>
      <c r="AR35" s="203" t="n"/>
      <c r="AS35" s="203" t="n"/>
      <c r="AT35" s="546">
        <f>IFERROR(VLOOKUP(C35, CodeRanMovies!$A:$K, 11, 0), "Not found")</f>
        <v/>
      </c>
    </row>
    <row r="36" ht="26.4" customHeight="1" s="578">
      <c r="A36" s="201">
        <f>_xlfn.AGGREGATE(3,3,$D$7:D36)</f>
        <v/>
      </c>
      <c r="B36" s="589" t="inlineStr">
        <is>
          <t>16+</t>
        </is>
      </c>
      <c r="C36" s="590" t="inlineStr">
        <is>
          <t>MOV_COM_22__2686480</t>
        </is>
      </c>
      <c r="D36" s="596" t="inlineStr">
        <is>
          <t>Best Friend</t>
        </is>
      </c>
      <c r="E36" s="590" t="inlineStr">
        <is>
          <t>Láng giềng gần</t>
        </is>
      </c>
      <c r="F36" s="589" t="inlineStr">
        <is>
          <t>Drama</t>
        </is>
      </c>
      <c r="G36" s="604" t="inlineStr">
        <is>
          <t>Pro Partner</t>
        </is>
      </c>
      <c r="H36" s="590" t="inlineStr">
        <is>
          <t>56/2023/HDBQ/VSTV-Pro Partner</t>
        </is>
      </c>
      <c r="I36" s="204" t="n">
        <v>2020</v>
      </c>
      <c r="J36" s="600" t="inlineStr">
        <is>
          <t>Korea</t>
        </is>
      </c>
      <c r="K36" s="204" t="n">
        <v>130</v>
      </c>
      <c r="L36" s="98" t="n">
        <v>44938</v>
      </c>
      <c r="M36" s="591" t="n">
        <v>46033</v>
      </c>
      <c r="N36" s="601" t="n">
        <v>44938</v>
      </c>
      <c r="O36" s="598" t="inlineStr">
        <is>
          <t>K+CINE</t>
        </is>
      </c>
      <c r="P36" s="592" t="inlineStr">
        <is>
          <t>Exclusive All TV Rights the first 9 months of LP
 Non-exclusive with All Catch-up TV Rights; All VOD Rights during LP</t>
        </is>
      </c>
      <c r="Q36" s="600" t="inlineStr">
        <is>
          <t>No</t>
        </is>
      </c>
      <c r="R36" s="592" t="inlineStr">
        <is>
          <t>Yes</t>
        </is>
      </c>
      <c r="S36" s="592" t="inlineStr">
        <is>
          <t>Yes</t>
        </is>
      </c>
      <c r="T36" s="592" t="inlineStr">
        <is>
          <t>Yes</t>
        </is>
      </c>
      <c r="U36" s="592" t="inlineStr">
        <is>
          <t>Yes</t>
        </is>
      </c>
      <c r="V36" s="592" t="inlineStr">
        <is>
          <t>Yes</t>
        </is>
      </c>
      <c r="W36" s="592" t="inlineStr">
        <is>
          <t>Yes</t>
        </is>
      </c>
      <c r="X36" s="592" t="inlineStr">
        <is>
          <t>Yes</t>
        </is>
      </c>
      <c r="Y36" s="592" t="inlineStr">
        <is>
          <t>Yes</t>
        </is>
      </c>
      <c r="Z36" s="98" t="n">
        <v>44938</v>
      </c>
      <c r="AA36" s="591" t="n">
        <v>46033</v>
      </c>
      <c r="AB36" s="96" t="inlineStr">
        <is>
          <t>unlimited</t>
        </is>
      </c>
      <c r="AC36" s="202" t="n">
        <v>26</v>
      </c>
      <c r="AD36" s="592" t="inlineStr">
        <is>
          <t>Yes</t>
        </is>
      </c>
      <c r="AE36" s="592" t="inlineStr">
        <is>
          <t>Yes</t>
        </is>
      </c>
      <c r="AF36" s="596" t="n"/>
      <c r="AG36" s="593" t="inlineStr">
        <is>
          <t>Phim còn hạn từ 2026</t>
        </is>
      </c>
      <c r="AH36" s="594" t="n"/>
      <c r="AI36" s="599" t="inlineStr">
        <is>
          <t>Best Friend</t>
        </is>
      </c>
      <c r="AJ36" s="128">
        <f>SUMIF('TK 15661.Bản quyền phim '!F:F,'KK1. Movies'!D36,'TK 15661.Bản quyền phim '!X:X)</f>
        <v/>
      </c>
      <c r="AK36" s="128">
        <f>SUMIF('TK 15661.Bản quyền phim '!F:F,'KK1. Movies'!AI36,'TK 15661.Bản quyền phim '!X:X)</f>
        <v/>
      </c>
      <c r="AL36" s="203">
        <f>COUNTIF('242.BQ Phim hợp tác'!$C:$C,'KK1. Movies'!AI36)</f>
        <v/>
      </c>
      <c r="AM36" s="203">
        <f>COUNTIF('TK 15661.Bản quyền phim '!F:F,'KK1. Movies'!AI36)</f>
        <v/>
      </c>
      <c r="AN36" s="546">
        <f>AL36+AM36</f>
        <v/>
      </c>
      <c r="AO36" s="203" t="n"/>
      <c r="AP36" s="203" t="n"/>
      <c r="AQ36" s="203" t="n"/>
      <c r="AR36" s="203" t="n"/>
      <c r="AS36" s="203" t="n"/>
      <c r="AT36" s="546">
        <f>IFERROR(VLOOKUP(C36, CodeRanMovies!$A:$K, 11, 0), "Not found")</f>
        <v/>
      </c>
    </row>
    <row r="37" ht="26.4" customHeight="1" s="578">
      <c r="A37" s="201">
        <f>_xlfn.AGGREGATE(3,3,$D$7:D37)</f>
        <v/>
      </c>
      <c r="B37" s="589" t="inlineStr">
        <is>
          <t>P</t>
        </is>
      </c>
      <c r="C37" s="234" t="inlineStr">
        <is>
          <t>MOV_ANI_23__2709986</t>
        </is>
      </c>
      <c r="D37" s="119" t="inlineStr">
        <is>
          <t>AROUND THE WORLD IN 80 DAYS</t>
        </is>
      </c>
      <c r="E37" s="110" t="inlineStr">
        <is>
          <t>KHỈ CON LON TON THẾ GIỚI</t>
        </is>
      </c>
      <c r="F37" s="590" t="inlineStr">
        <is>
          <t>Comedy</t>
        </is>
      </c>
      <c r="G37" s="103" t="inlineStr">
        <is>
          <t>CJ HK</t>
        </is>
      </c>
      <c r="H37" s="590" t="inlineStr">
        <is>
          <t>180/2024/HDBQ/VSTV-CJHK</t>
        </is>
      </c>
      <c r="I37" s="104" t="n">
        <v>2021</v>
      </c>
      <c r="J37" s="600" t="inlineStr">
        <is>
          <t>France</t>
        </is>
      </c>
      <c r="K37" s="104" t="n">
        <v>82</v>
      </c>
      <c r="L37" s="98" t="n">
        <v>45304</v>
      </c>
      <c r="M37" s="106" t="n">
        <v>46399</v>
      </c>
      <c r="N37" s="601" t="n">
        <v>45304</v>
      </c>
      <c r="O37" s="592" t="inlineStr">
        <is>
          <t>K+KIDS</t>
        </is>
      </c>
      <c r="P37" s="100" t="n">
        <v>12</v>
      </c>
      <c r="Q37" s="104" t="inlineStr">
        <is>
          <t>No</t>
        </is>
      </c>
      <c r="R37" s="592" t="inlineStr">
        <is>
          <t>Yes</t>
        </is>
      </c>
      <c r="S37" s="592" t="inlineStr">
        <is>
          <t>Yes</t>
        </is>
      </c>
      <c r="T37" s="104" t="inlineStr">
        <is>
          <t>Yes</t>
        </is>
      </c>
      <c r="U37" s="592" t="inlineStr">
        <is>
          <t>Yes</t>
        </is>
      </c>
      <c r="V37" s="592" t="inlineStr">
        <is>
          <t>Yes</t>
        </is>
      </c>
      <c r="W37" s="592" t="inlineStr">
        <is>
          <t>Yes</t>
        </is>
      </c>
      <c r="X37" s="104" t="inlineStr">
        <is>
          <t>No</t>
        </is>
      </c>
      <c r="Y37" s="592" t="inlineStr">
        <is>
          <t>Yes</t>
        </is>
      </c>
      <c r="Z37" s="98" t="n">
        <v>45304</v>
      </c>
      <c r="AA37" s="106" t="n">
        <v>46399</v>
      </c>
      <c r="AB37" s="592" t="inlineStr">
        <is>
          <t>Unlimited</t>
        </is>
      </c>
      <c r="AC37" s="202" t="n">
        <v>31</v>
      </c>
      <c r="AD37" s="592" t="inlineStr">
        <is>
          <t>Yes</t>
        </is>
      </c>
      <c r="AE37" s="592" t="inlineStr">
        <is>
          <t>Yes</t>
        </is>
      </c>
      <c r="AF37" s="592" t="n"/>
      <c r="AG37" s="593" t="inlineStr">
        <is>
          <t>Phim còn hạn từ 2026</t>
        </is>
      </c>
      <c r="AH37" s="594" t="n"/>
      <c r="AI37" s="206" t="inlineStr">
        <is>
          <t>AROUND THE WORLD IN 80 DAYS (KHỈ CON LON TON THẾ GIỚI)</t>
        </is>
      </c>
      <c r="AJ37" s="128">
        <f>SUMIF('TK 15661.Bản quyền phim '!F:F,'KK1. Movies'!D37,'TK 15661.Bản quyền phim '!X:X)</f>
        <v/>
      </c>
      <c r="AK37" s="128">
        <f>SUMIF('TK 15661.Bản quyền phim '!F:F,'KK1. Movies'!AI37,'TK 15661.Bản quyền phim '!X:X)</f>
        <v/>
      </c>
      <c r="AL37" s="203">
        <f>COUNTIF('242.BQ Phim hợp tác'!$C:$C,'KK1. Movies'!AI37)</f>
        <v/>
      </c>
      <c r="AM37" s="203">
        <f>COUNTIF('TK 15661.Bản quyền phim '!F:F,'KK1. Movies'!AI37)</f>
        <v/>
      </c>
      <c r="AN37" s="546">
        <f>AL37+AM37</f>
        <v/>
      </c>
      <c r="AO37" s="203" t="n"/>
      <c r="AP37" s="203" t="n"/>
      <c r="AQ37" s="203" t="n"/>
      <c r="AR37" s="203" t="n"/>
      <c r="AS37" s="203" t="n"/>
      <c r="AT37" s="546">
        <f>IFERROR(VLOOKUP(C37, CodeRanMovies!$A:$K, 11, 0), "Not found")</f>
        <v/>
      </c>
    </row>
    <row r="38">
      <c r="A38" s="201">
        <f>_xlfn.AGGREGATE(3,3,$D$7:D38)</f>
        <v/>
      </c>
      <c r="B38" s="110" t="inlineStr">
        <is>
          <t>16+</t>
        </is>
      </c>
      <c r="C38" s="590" t="inlineStr">
        <is>
          <t>MOV_DRA_23__2696805</t>
        </is>
      </c>
      <c r="D38" s="596" t="inlineStr">
        <is>
          <t>The Last Princess</t>
        </is>
      </c>
      <c r="E38" s="593" t="inlineStr">
        <is>
          <t>Công chúa cuối cùng</t>
        </is>
      </c>
      <c r="F38" s="589" t="inlineStr">
        <is>
          <t>Drama</t>
        </is>
      </c>
      <c r="G38" s="589" t="inlineStr">
        <is>
          <t>King Content</t>
        </is>
      </c>
      <c r="H38" s="590" t="inlineStr">
        <is>
          <t>52/2023/HDBQ/VSTV-KC</t>
        </is>
      </c>
      <c r="I38" s="204" t="n">
        <v>2016</v>
      </c>
      <c r="J38" s="600" t="inlineStr">
        <is>
          <t>Korea</t>
        </is>
      </c>
      <c r="K38" s="204" t="n">
        <v>127</v>
      </c>
      <c r="L38" s="98" t="n">
        <v>45147</v>
      </c>
      <c r="M38" s="101" t="n">
        <v>46242</v>
      </c>
      <c r="N38" s="597" t="n">
        <v>45226</v>
      </c>
      <c r="O38" s="598" t="inlineStr">
        <is>
          <t>K+CINE</t>
        </is>
      </c>
      <c r="P38" s="102" t="inlineStr">
        <is>
          <t>Exclusive All PayTV rights and Non-Exclusive VOD rights</t>
        </is>
      </c>
      <c r="Q38" s="592" t="inlineStr">
        <is>
          <t>Yes</t>
        </is>
      </c>
      <c r="R38" s="592" t="inlineStr">
        <is>
          <t>Yes</t>
        </is>
      </c>
      <c r="S38" s="104" t="inlineStr">
        <is>
          <t>No</t>
        </is>
      </c>
      <c r="T38" s="592" t="inlineStr">
        <is>
          <t>Yes</t>
        </is>
      </c>
      <c r="U38" s="592" t="inlineStr">
        <is>
          <t>Yes</t>
        </is>
      </c>
      <c r="V38" s="592" t="inlineStr">
        <is>
          <t>Yes</t>
        </is>
      </c>
      <c r="W38" s="592" t="inlineStr">
        <is>
          <t>Yes</t>
        </is>
      </c>
      <c r="X38" s="592" t="inlineStr">
        <is>
          <t>Yes</t>
        </is>
      </c>
      <c r="Y38" s="592" t="inlineStr">
        <is>
          <t>No</t>
        </is>
      </c>
      <c r="Z38" s="98" t="n">
        <v>45147</v>
      </c>
      <c r="AA38" s="101" t="n">
        <v>46242</v>
      </c>
      <c r="AB38" s="96" t="inlineStr">
        <is>
          <t>unlimited</t>
        </is>
      </c>
      <c r="AC38" s="202" t="n">
        <v>15</v>
      </c>
      <c r="AD38" s="592" t="inlineStr">
        <is>
          <t>Yes</t>
        </is>
      </c>
      <c r="AE38" s="592" t="inlineStr">
        <is>
          <t>Yes</t>
        </is>
      </c>
      <c r="AF38" s="593" t="n"/>
      <c r="AG38" s="593" t="inlineStr">
        <is>
          <t>Phim còn hạn từ 2026</t>
        </is>
      </c>
      <c r="AH38" s="594" t="n"/>
      <c r="AI38" s="595" t="inlineStr">
        <is>
          <t>Last princess</t>
        </is>
      </c>
      <c r="AJ38" s="128">
        <f>SUMIF('TK 15661.Bản quyền phim '!F:F,'KK1. Movies'!D38,'TK 15661.Bản quyền phim '!X:X)</f>
        <v/>
      </c>
      <c r="AK38" s="128">
        <f>SUMIF('TK 15661.Bản quyền phim '!F:F,'KK1. Movies'!AI38,'TK 15661.Bản quyền phim '!X:X)</f>
        <v/>
      </c>
      <c r="AL38" s="203">
        <f>COUNTIF('242.BQ Phim hợp tác'!$C:$C,'KK1. Movies'!AI38)</f>
        <v/>
      </c>
      <c r="AM38" s="203">
        <f>COUNTIF('TK 15661.Bản quyền phim '!F:F,'KK1. Movies'!AI38)</f>
        <v/>
      </c>
      <c r="AN38" s="546">
        <f>AL38+AM38</f>
        <v/>
      </c>
      <c r="AO38" s="203" t="n"/>
      <c r="AP38" s="203" t="n"/>
      <c r="AQ38" s="203" t="n"/>
      <c r="AR38" s="203" t="n"/>
      <c r="AS38" s="203" t="n"/>
      <c r="AT38" s="546">
        <f>IFERROR(VLOOKUP(C38, CodeRanMovies!$A:$K, 11, 0), "Not found")</f>
        <v/>
      </c>
    </row>
    <row r="39" ht="39.6" customHeight="1" s="578">
      <c r="A39" s="201">
        <f>_xlfn.AGGREGATE(3,3,$D$7:D39)</f>
        <v/>
      </c>
      <c r="B39" s="589" t="inlineStr">
        <is>
          <t>P</t>
        </is>
      </c>
      <c r="C39" s="234" t="inlineStr">
        <is>
          <t>MOV_ANI_23__2698580</t>
        </is>
      </c>
      <c r="D39" s="596" t="inlineStr">
        <is>
          <t>Space dogs: Tropical adventure</t>
        </is>
      </c>
      <c r="E39" s="593" t="inlineStr">
        <is>
          <t>Biệt đội phi hành cún</t>
        </is>
      </c>
      <c r="F39" s="590" t="inlineStr">
        <is>
          <t>Comedy</t>
        </is>
      </c>
      <c r="G39" s="589" t="inlineStr">
        <is>
          <t>Roses Media</t>
        </is>
      </c>
      <c r="H39" s="590" t="inlineStr">
        <is>
          <t xml:space="preserve">82/2023/HDBQ/VSTV-Roses Media 
</t>
        </is>
      </c>
      <c r="I39" s="204" t="n">
        <v>2020</v>
      </c>
      <c r="J39" s="592" t="inlineStr">
        <is>
          <t>Russia</t>
        </is>
      </c>
      <c r="K39" s="204" t="n">
        <v>80</v>
      </c>
      <c r="L39" s="98" t="n">
        <v>45206</v>
      </c>
      <c r="M39" s="101" t="n">
        <v>46301</v>
      </c>
      <c r="N39" s="601" t="n">
        <v>45206</v>
      </c>
      <c r="O39" s="592" t="inlineStr">
        <is>
          <t>K+KIDS</t>
        </is>
      </c>
      <c r="P39" s="592" t="inlineStr">
        <is>
          <t xml:space="preserve">Exclusive All Pay TV Rights for first 12 months.
Non exclusive All VOD during LP 
</t>
        </is>
      </c>
      <c r="Q39" s="600" t="inlineStr">
        <is>
          <t>No</t>
        </is>
      </c>
      <c r="R39" s="592" t="inlineStr">
        <is>
          <t>Yes</t>
        </is>
      </c>
      <c r="S39" s="592" t="inlineStr">
        <is>
          <t>Yes</t>
        </is>
      </c>
      <c r="T39" s="592" t="inlineStr">
        <is>
          <t>Yes</t>
        </is>
      </c>
      <c r="U39" s="592" t="inlineStr">
        <is>
          <t>Yes</t>
        </is>
      </c>
      <c r="V39" s="592" t="inlineStr">
        <is>
          <t>Yes</t>
        </is>
      </c>
      <c r="W39" s="592" t="inlineStr">
        <is>
          <t>Yes</t>
        </is>
      </c>
      <c r="X39" s="592" t="inlineStr">
        <is>
          <t>Yes</t>
        </is>
      </c>
      <c r="Y39" s="592" t="inlineStr">
        <is>
          <t>No</t>
        </is>
      </c>
      <c r="Z39" s="98" t="n">
        <v>45206</v>
      </c>
      <c r="AA39" s="101" t="n">
        <v>46301</v>
      </c>
      <c r="AB39" s="96" t="n">
        <v>24</v>
      </c>
      <c r="AC39" s="202" t="n">
        <v>16</v>
      </c>
      <c r="AD39" s="592" t="inlineStr">
        <is>
          <t>Yes</t>
        </is>
      </c>
      <c r="AE39" s="592" t="inlineStr">
        <is>
          <t>Yes</t>
        </is>
      </c>
      <c r="AF39" s="592" t="n"/>
      <c r="AG39" s="593" t="inlineStr">
        <is>
          <t>Phim còn hạn từ 2026</t>
        </is>
      </c>
      <c r="AH39" s="594" t="n"/>
      <c r="AI39" s="206" t="inlineStr">
        <is>
          <t>Space Dogs: Return to Earth</t>
        </is>
      </c>
      <c r="AJ39" s="128">
        <f>SUMIF('TK 15661.Bản quyền phim '!F:F,'KK1. Movies'!D39,'TK 15661.Bản quyền phim '!X:X)</f>
        <v/>
      </c>
      <c r="AK39" s="128">
        <f>SUMIF('TK 15661.Bản quyền phim '!F:F,'KK1. Movies'!AI39,'TK 15661.Bản quyền phim '!X:X)</f>
        <v/>
      </c>
      <c r="AL39" s="203">
        <f>COUNTIF('242.BQ Phim hợp tác'!$C:$C,'KK1. Movies'!AI39)</f>
        <v/>
      </c>
      <c r="AM39" s="203">
        <f>COUNTIF('TK 15661.Bản quyền phim '!F:F,'KK1. Movies'!AI39)</f>
        <v/>
      </c>
      <c r="AN39" s="546">
        <f>AL39+AM39</f>
        <v/>
      </c>
      <c r="AO39" s="203" t="n"/>
      <c r="AP39" s="203" t="n"/>
      <c r="AQ39" s="203" t="n"/>
      <c r="AR39" s="203" t="n"/>
      <c r="AS39" s="203" t="n"/>
      <c r="AT39" s="546">
        <f>IFERROR(VLOOKUP(C39, CodeRanMovies!$A:$K, 11, 0), "Not found")</f>
        <v/>
      </c>
    </row>
    <row r="40" ht="26.4" customHeight="1" s="578">
      <c r="A40" s="201">
        <f>_xlfn.AGGREGATE(3,3,$D$7:D40)</f>
        <v/>
      </c>
      <c r="B40" s="589" t="inlineStr">
        <is>
          <t>16+</t>
        </is>
      </c>
      <c r="C40" s="590" t="inlineStr">
        <is>
          <t>MOV_ACT_23__2693252</t>
        </is>
      </c>
      <c r="D40" s="596" t="inlineStr">
        <is>
          <t>The Ice Road</t>
        </is>
      </c>
      <c r="E40" s="590" t="inlineStr">
        <is>
          <t>Con đường băng</t>
        </is>
      </c>
      <c r="F40" s="590" t="inlineStr">
        <is>
          <t>Action, Adventure</t>
        </is>
      </c>
      <c r="G40" s="589" t="inlineStr">
        <is>
          <t>Roses Media</t>
        </is>
      </c>
      <c r="H40" s="590" t="inlineStr">
        <is>
          <t>140/2022/HDBQ/VSTV-RM</t>
        </is>
      </c>
      <c r="I40" s="204" t="n">
        <v>2021</v>
      </c>
      <c r="J40" s="592" t="inlineStr">
        <is>
          <t>US</t>
        </is>
      </c>
      <c r="K40" s="204" t="n">
        <v>103</v>
      </c>
      <c r="L40" s="98" t="n">
        <v>45133</v>
      </c>
      <c r="M40" s="101" t="n">
        <v>46228</v>
      </c>
      <c r="N40" s="597" t="n">
        <v>45133</v>
      </c>
      <c r="O40" s="598" t="inlineStr">
        <is>
          <t>K+CINE</t>
        </is>
      </c>
      <c r="P40" s="592" t="inlineStr">
        <is>
          <t xml:space="preserve">Exclusive All Pay TV Rights for first 12 months.
Non exclusive All VOD during LP 
</t>
        </is>
      </c>
      <c r="Q40" s="592" t="inlineStr">
        <is>
          <t>No</t>
        </is>
      </c>
      <c r="R40" s="592" t="inlineStr">
        <is>
          <t>Yes</t>
        </is>
      </c>
      <c r="S40" s="592" t="inlineStr">
        <is>
          <t>No</t>
        </is>
      </c>
      <c r="T40" s="592" t="inlineStr">
        <is>
          <t>Yes</t>
        </is>
      </c>
      <c r="U40" s="592" t="inlineStr">
        <is>
          <t>Yes</t>
        </is>
      </c>
      <c r="V40" s="592" t="inlineStr">
        <is>
          <t>Yes</t>
        </is>
      </c>
      <c r="W40" s="592" t="inlineStr">
        <is>
          <t>Yes</t>
        </is>
      </c>
      <c r="X40" s="592" t="inlineStr">
        <is>
          <t>Yes</t>
        </is>
      </c>
      <c r="Y40" s="592" t="inlineStr">
        <is>
          <t>No</t>
        </is>
      </c>
      <c r="Z40" s="98" t="n">
        <v>45133</v>
      </c>
      <c r="AA40" s="101" t="n">
        <v>46228</v>
      </c>
      <c r="AB40" s="202" t="n">
        <v>24</v>
      </c>
      <c r="AC40" s="202" t="n">
        <v>15</v>
      </c>
      <c r="AD40" s="592" t="inlineStr">
        <is>
          <t>Yes</t>
        </is>
      </c>
      <c r="AE40" s="592" t="inlineStr">
        <is>
          <t>Yes</t>
        </is>
      </c>
      <c r="AF40" s="593" t="n"/>
      <c r="AG40" s="593" t="inlineStr">
        <is>
          <t>Phim còn hạn từ 2026</t>
        </is>
      </c>
      <c r="AH40" s="594" t="n"/>
      <c r="AI40" s="599" t="inlineStr">
        <is>
          <t>The Ice Road</t>
        </is>
      </c>
      <c r="AJ40" s="128">
        <f>SUMIF('TK 15661.Bản quyền phim '!F:F,'KK1. Movies'!D40,'TK 15661.Bản quyền phim '!X:X)</f>
        <v/>
      </c>
      <c r="AK40" s="128">
        <f>SUMIF('TK 15661.Bản quyền phim '!F:F,'KK1. Movies'!AI40,'TK 15661.Bản quyền phim '!X:X)</f>
        <v/>
      </c>
      <c r="AL40" s="203">
        <f>COUNTIF('242.BQ Phim hợp tác'!$C:$C,'KK1. Movies'!AI40)</f>
        <v/>
      </c>
      <c r="AM40" s="203">
        <f>COUNTIF('TK 15661.Bản quyền phim '!F:F,'KK1. Movies'!AI40)</f>
        <v/>
      </c>
      <c r="AN40" s="546">
        <f>AL40+AM40</f>
        <v/>
      </c>
      <c r="AO40" s="203" t="n"/>
      <c r="AP40" s="203" t="n"/>
      <c r="AQ40" s="203" t="n"/>
      <c r="AR40" s="203" t="n"/>
      <c r="AS40" s="203" t="n"/>
      <c r="AT40" s="546">
        <f>IFERROR(VLOOKUP(C40, CodeRanMovies!$A:$K, 11, 0), "Not found")</f>
        <v/>
      </c>
    </row>
    <row r="41">
      <c r="A41" s="201">
        <f>_xlfn.AGGREGATE(3,3,$D$7:D41)</f>
        <v/>
      </c>
      <c r="B41" s="589" t="inlineStr">
        <is>
          <t>16+</t>
        </is>
      </c>
      <c r="C41" s="590" t="inlineStr">
        <is>
          <t>MOV_HOR_24__2711609</t>
        </is>
      </c>
      <c r="D41" s="105" t="inlineStr">
        <is>
          <t>Talk To Me</t>
        </is>
      </c>
      <c r="E41" s="97" t="inlineStr">
        <is>
          <t>Gọi hồn quỷ dữ</t>
        </is>
      </c>
      <c r="F41" s="590" t="inlineStr">
        <is>
          <t>Horror</t>
        </is>
      </c>
      <c r="G41" s="108" t="inlineStr">
        <is>
          <t>Rose media</t>
        </is>
      </c>
      <c r="H41" s="590" t="inlineStr">
        <is>
          <t>5/2022/HDBQ/VSTV-RM</t>
        </is>
      </c>
      <c r="I41" s="104" t="n">
        <v>2023</v>
      </c>
      <c r="J41" s="104" t="inlineStr">
        <is>
          <t>US</t>
        </is>
      </c>
      <c r="K41" s="104" t="n">
        <v>93</v>
      </c>
      <c r="L41" s="98" t="n">
        <v>45575</v>
      </c>
      <c r="M41" s="106" t="n">
        <v>46669</v>
      </c>
      <c r="N41" s="601" t="n">
        <v>45575</v>
      </c>
      <c r="O41" s="592" t="inlineStr">
        <is>
          <t>K+ACTION</t>
        </is>
      </c>
      <c r="P41" s="592" t="n"/>
      <c r="Q41" s="104" t="inlineStr">
        <is>
          <t>No</t>
        </is>
      </c>
      <c r="R41" s="592" t="inlineStr">
        <is>
          <t>Yes</t>
        </is>
      </c>
      <c r="S41" s="592" t="inlineStr">
        <is>
          <t>Yes</t>
        </is>
      </c>
      <c r="T41" s="592" t="inlineStr">
        <is>
          <t>Yes</t>
        </is>
      </c>
      <c r="U41" s="592" t="inlineStr">
        <is>
          <t>Yes</t>
        </is>
      </c>
      <c r="V41" s="592" t="inlineStr">
        <is>
          <t>Yes</t>
        </is>
      </c>
      <c r="W41" s="592" t="inlineStr">
        <is>
          <t>Yes</t>
        </is>
      </c>
      <c r="X41" s="592" t="inlineStr">
        <is>
          <t>Yes</t>
        </is>
      </c>
      <c r="Y41" s="107" t="inlineStr">
        <is>
          <t>No</t>
        </is>
      </c>
      <c r="Z41" s="98" t="n">
        <v>45575</v>
      </c>
      <c r="AA41" s="106" t="n">
        <v>46669</v>
      </c>
      <c r="AB41" s="104" t="n">
        <v>24</v>
      </c>
      <c r="AC41" s="202" t="n">
        <v>6</v>
      </c>
      <c r="AD41" s="592" t="inlineStr">
        <is>
          <t>Yes</t>
        </is>
      </c>
      <c r="AE41" s="592" t="inlineStr">
        <is>
          <t>Yes</t>
        </is>
      </c>
      <c r="AF41" s="592" t="n"/>
      <c r="AG41" s="593" t="inlineStr">
        <is>
          <t>Phim còn hạn từ 2026</t>
        </is>
      </c>
      <c r="AH41" s="594" t="n"/>
      <c r="AI41" s="206" t="inlineStr">
        <is>
          <t>Talk To Me</t>
        </is>
      </c>
      <c r="AJ41" s="128">
        <f>SUMIF('TK 15661.Bản quyền phim '!F:F,'KK1. Movies'!D41,'TK 15661.Bản quyền phim '!X:X)</f>
        <v/>
      </c>
      <c r="AK41" s="128">
        <f>SUMIF('TK 15661.Bản quyền phim '!F:F,'KK1. Movies'!AI41,'TK 15661.Bản quyền phim '!X:X)</f>
        <v/>
      </c>
      <c r="AL41" s="203">
        <f>COUNTIF('242.BQ Phim hợp tác'!$C:$C,'KK1. Movies'!AI41)</f>
        <v/>
      </c>
      <c r="AM41" s="203">
        <f>COUNTIF('TK 15661.Bản quyền phim '!F:F,'KK1. Movies'!AI41)</f>
        <v/>
      </c>
      <c r="AN41" s="546">
        <f>AL41+AM41</f>
        <v/>
      </c>
      <c r="AO41" s="203" t="n"/>
      <c r="AP41" s="203" t="n"/>
      <c r="AQ41" s="203" t="n"/>
      <c r="AR41" s="203" t="n"/>
      <c r="AS41" s="203" t="n"/>
      <c r="AT41" s="546">
        <f>IFERROR(VLOOKUP(C41, CodeRanMovies!$A:$K, 11, 0), "Not found")</f>
        <v/>
      </c>
    </row>
    <row r="42" ht="26.4" customHeight="1" s="578">
      <c r="A42" s="201">
        <f>_xlfn.AGGREGATE(3,3,$D$7:D42)</f>
        <v/>
      </c>
      <c r="B42" s="589" t="inlineStr">
        <is>
          <t>16+</t>
        </is>
      </c>
      <c r="C42" s="590" t="inlineStr">
        <is>
          <t>MOV_ROM_22__2686516</t>
        </is>
      </c>
      <c r="D42" s="596" t="inlineStr">
        <is>
          <t>We Made A Beautiful Bouquet</t>
        </is>
      </c>
      <c r="E42" s="590" t="inlineStr">
        <is>
          <t>Tình ta đẹp tựa đóa hoa</t>
        </is>
      </c>
      <c r="F42" s="589" t="inlineStr">
        <is>
          <t>Romance</t>
        </is>
      </c>
      <c r="G42" s="604" t="inlineStr">
        <is>
          <t>Skyline Media</t>
        </is>
      </c>
      <c r="H42" s="590" t="inlineStr">
        <is>
          <t>66/2023/HDBQ/VSTV-SM</t>
        </is>
      </c>
      <c r="I42" s="204" t="n">
        <v>2021</v>
      </c>
      <c r="J42" s="600" t="inlineStr">
        <is>
          <t>Japan</t>
        </is>
      </c>
      <c r="K42" s="204" t="n">
        <v>124</v>
      </c>
      <c r="L42" s="98" t="n">
        <v>45065</v>
      </c>
      <c r="M42" s="98" t="n">
        <v>46160</v>
      </c>
      <c r="N42" s="601" t="n">
        <v>45162</v>
      </c>
      <c r="O42" s="598" t="inlineStr">
        <is>
          <t>K+CINE</t>
        </is>
      </c>
      <c r="P42" s="592" t="inlineStr">
        <is>
          <t>Exclusive All TV Rights the first 12 months of LP
 Non-exclusive with All Catch-up TV Rights; All VOD Rights during LP</t>
        </is>
      </c>
      <c r="Q42" s="600" t="inlineStr">
        <is>
          <t>No</t>
        </is>
      </c>
      <c r="R42" s="592" t="inlineStr">
        <is>
          <t>Yes</t>
        </is>
      </c>
      <c r="S42" s="592" t="inlineStr">
        <is>
          <t>Yes</t>
        </is>
      </c>
      <c r="T42" s="592" t="inlineStr">
        <is>
          <t>Yes</t>
        </is>
      </c>
      <c r="U42" s="592" t="inlineStr">
        <is>
          <t>Yes</t>
        </is>
      </c>
      <c r="V42" s="592" t="inlineStr">
        <is>
          <t>Yes</t>
        </is>
      </c>
      <c r="W42" s="592" t="inlineStr">
        <is>
          <t>Yes</t>
        </is>
      </c>
      <c r="X42" s="592" t="inlineStr">
        <is>
          <t>Yes</t>
        </is>
      </c>
      <c r="Y42" s="592" t="inlineStr">
        <is>
          <t>Yes</t>
        </is>
      </c>
      <c r="Z42" s="98" t="n">
        <v>45065</v>
      </c>
      <c r="AA42" s="98" t="n">
        <v>46160</v>
      </c>
      <c r="AB42" s="96" t="inlineStr">
        <is>
          <t>unlimited</t>
        </is>
      </c>
      <c r="AC42" s="202" t="n">
        <v>21</v>
      </c>
      <c r="AD42" s="592" t="inlineStr">
        <is>
          <t>Yes</t>
        </is>
      </c>
      <c r="AE42" s="592" t="inlineStr">
        <is>
          <t>Yes</t>
        </is>
      </c>
      <c r="AF42" s="592" t="n"/>
      <c r="AG42" s="593" t="inlineStr">
        <is>
          <t>Phim còn hạn từ 2026</t>
        </is>
      </c>
      <c r="AH42" s="594" t="n"/>
      <c r="AI42" s="599" t="inlineStr">
        <is>
          <t>We Made A Beautiful Bouquet</t>
        </is>
      </c>
      <c r="AJ42" s="128">
        <f>SUMIF('TK 15661.Bản quyền phim '!F:F,'KK1. Movies'!D42,'TK 15661.Bản quyền phim '!X:X)</f>
        <v/>
      </c>
      <c r="AK42" s="128">
        <f>SUMIF('TK 15661.Bản quyền phim '!F:F,'KK1. Movies'!AI42,'TK 15661.Bản quyền phim '!X:X)</f>
        <v/>
      </c>
      <c r="AL42" s="203">
        <f>COUNTIF('242.BQ Phim hợp tác'!$C:$C,'KK1. Movies'!AI42)</f>
        <v/>
      </c>
      <c r="AM42" s="203">
        <f>COUNTIF('TK 15661.Bản quyền phim '!F:F,'KK1. Movies'!AI42)</f>
        <v/>
      </c>
      <c r="AN42" s="546">
        <f>AL42+AM42</f>
        <v/>
      </c>
      <c r="AO42" s="203" t="n"/>
      <c r="AP42" s="203" t="n"/>
      <c r="AQ42" s="203" t="n"/>
      <c r="AR42" s="203" t="n"/>
      <c r="AS42" s="203" t="n"/>
      <c r="AT42" s="546">
        <f>IFERROR(VLOOKUP(C42, CodeRanMovies!$A:$K, 11, 0), "Not found")</f>
        <v/>
      </c>
    </row>
    <row r="43" ht="52.8" customHeight="1" s="578">
      <c r="A43" s="201">
        <f>_xlfn.AGGREGATE(3,3,$D$7:D43)</f>
        <v/>
      </c>
      <c r="B43" s="606" t="inlineStr">
        <is>
          <t>n/a</t>
        </is>
      </c>
      <c r="C43" s="234" t="inlineStr">
        <is>
          <t>MOV_DRA752</t>
        </is>
      </c>
      <c r="D43" s="105" t="inlineStr">
        <is>
          <t>LITTLE WOMEN (2019)</t>
        </is>
      </c>
      <c r="E43" s="110" t="inlineStr">
        <is>
          <t>Những người phụ nữ bé nhỏ</t>
        </is>
      </c>
      <c r="F43" s="590" t="inlineStr">
        <is>
          <t>Drama</t>
        </is>
      </c>
      <c r="G43" s="103" t="inlineStr">
        <is>
          <t>SONY</t>
        </is>
      </c>
      <c r="H43" s="590" t="inlineStr">
        <is>
          <t>Sony/K+Vietnam PayBasic SVOD Package Agmt D3A FE (Feb-5-24)</t>
        </is>
      </c>
      <c r="I43" s="104" t="n">
        <v>2019</v>
      </c>
      <c r="J43" s="104" t="inlineStr">
        <is>
          <t>U.S.A.[excluding Territories &amp; Possessions]</t>
        </is>
      </c>
      <c r="K43" s="104" t="n">
        <v>134</v>
      </c>
      <c r="L43" s="591" t="n">
        <v>45736</v>
      </c>
      <c r="M43" s="106" t="n">
        <v>46465</v>
      </c>
      <c r="N43" s="601" t="n"/>
      <c r="O43" s="592" t="n"/>
      <c r="P43" s="592" t="n"/>
      <c r="Q43" s="104" t="inlineStr">
        <is>
          <t>No</t>
        </is>
      </c>
      <c r="R43" s="104" t="inlineStr">
        <is>
          <t>Yes</t>
        </is>
      </c>
      <c r="S43" s="104" t="inlineStr">
        <is>
          <t>Yes</t>
        </is>
      </c>
      <c r="T43" s="592" t="inlineStr">
        <is>
          <t>Yes</t>
        </is>
      </c>
      <c r="U43" s="104" t="inlineStr">
        <is>
          <t>No</t>
        </is>
      </c>
      <c r="V43" s="104" t="inlineStr">
        <is>
          <t>No</t>
        </is>
      </c>
      <c r="W43" s="104" t="inlineStr">
        <is>
          <t>No</t>
        </is>
      </c>
      <c r="X43" s="104" t="inlineStr">
        <is>
          <t>Yes</t>
        </is>
      </c>
      <c r="Y43" s="104" t="inlineStr">
        <is>
          <t>No</t>
        </is>
      </c>
      <c r="Z43" s="106" t="n">
        <v>45736</v>
      </c>
      <c r="AA43" s="124" t="n">
        <v>46284</v>
      </c>
      <c r="AB43" s="104" t="n">
        <v>7</v>
      </c>
      <c r="AC43" s="202" t="n">
        <v>1</v>
      </c>
      <c r="AD43" s="592" t="inlineStr">
        <is>
          <t>Yes</t>
        </is>
      </c>
      <c r="AE43" s="592" t="inlineStr">
        <is>
          <t>Yes</t>
        </is>
      </c>
      <c r="AF43" s="592" t="n"/>
      <c r="AG43" s="593" t="inlineStr">
        <is>
          <t>Phim còn hạn từ 2026</t>
        </is>
      </c>
      <c r="AH43" s="594" t="n"/>
      <c r="AI43" s="206" t="inlineStr">
        <is>
          <t>LITTLE WOMEN (2019)</t>
        </is>
      </c>
      <c r="AJ43" s="128">
        <f>SUMIF('TK 15661.Bản quyền phim '!F:F,'KK1. Movies'!D43,'TK 15661.Bản quyền phim '!X:X)</f>
        <v/>
      </c>
      <c r="AK43" s="128">
        <f>SUMIF('TK 15661.Bản quyền phim '!F:F,'KK1. Movies'!AI43,'TK 15661.Bản quyền phim '!X:X)</f>
        <v/>
      </c>
      <c r="AL43" s="203">
        <f>COUNTIF('242.BQ Phim hợp tác'!$C:$C,'KK1. Movies'!AI43)</f>
        <v/>
      </c>
      <c r="AM43" s="203">
        <f>COUNTIF('TK 15661.Bản quyền phim '!F:F,'KK1. Movies'!AI43)</f>
        <v/>
      </c>
      <c r="AN43" s="546">
        <f>AL43+AM43</f>
        <v/>
      </c>
      <c r="AO43" s="203" t="n"/>
      <c r="AP43" s="203" t="n"/>
      <c r="AQ43" s="203" t="n"/>
      <c r="AR43" s="203" t="n"/>
      <c r="AS43" s="203" t="n"/>
      <c r="AT43" s="546">
        <f>IFERROR(VLOOKUP(C43, CodeRanMovies!$A:$K, 11, 0), "Not found")</f>
        <v/>
      </c>
    </row>
    <row r="44">
      <c r="A44" s="201">
        <f>_xlfn.AGGREGATE(3,3,$D$7:D44)</f>
        <v/>
      </c>
      <c r="B44" s="589" t="inlineStr">
        <is>
          <t>16+</t>
        </is>
      </c>
      <c r="C44" s="590" t="inlineStr">
        <is>
          <t>MOV_ACT587</t>
        </is>
      </c>
      <c r="D44" s="105" t="inlineStr">
        <is>
          <t>RIDE ALONG</t>
        </is>
      </c>
      <c r="E44" s="110" t="inlineStr">
        <is>
          <t>Bộ đôi cảnh sát</t>
        </is>
      </c>
      <c r="F44" s="108" t="inlineStr">
        <is>
          <t>action</t>
        </is>
      </c>
      <c r="G44" s="108" t="inlineStr">
        <is>
          <t>NBC Universal</t>
        </is>
      </c>
      <c r="H44" s="108" t="inlineStr">
        <is>
          <t>5049540-2/161434-3</t>
        </is>
      </c>
      <c r="I44" s="104" t="n">
        <v>2014</v>
      </c>
      <c r="J44" s="107" t="inlineStr">
        <is>
          <t>US</t>
        </is>
      </c>
      <c r="K44" s="104" t="n">
        <v>100</v>
      </c>
      <c r="L44" s="98" t="n">
        <v>45562</v>
      </c>
      <c r="M44" s="109" t="n">
        <v>46291</v>
      </c>
      <c r="N44" s="601" t="n">
        <v>45562</v>
      </c>
      <c r="O44" s="592" t="inlineStr">
        <is>
          <t>K+CINE</t>
        </is>
      </c>
      <c r="P44" s="104" t="inlineStr">
        <is>
          <t>Non exclusive</t>
        </is>
      </c>
      <c r="Q44" s="104" t="inlineStr">
        <is>
          <t>No</t>
        </is>
      </c>
      <c r="R44" s="592" t="inlineStr">
        <is>
          <t>Yes</t>
        </is>
      </c>
      <c r="S44" s="104" t="inlineStr">
        <is>
          <t>Yes</t>
        </is>
      </c>
      <c r="T44" s="592" t="inlineStr">
        <is>
          <t>Yes</t>
        </is>
      </c>
      <c r="U44" s="104" t="inlineStr">
        <is>
          <t>No</t>
        </is>
      </c>
      <c r="V44" s="104" t="inlineStr">
        <is>
          <t>No</t>
        </is>
      </c>
      <c r="W44" s="104" t="inlineStr">
        <is>
          <t>No</t>
        </is>
      </c>
      <c r="X44" s="104" t="inlineStr">
        <is>
          <t>No</t>
        </is>
      </c>
      <c r="Y44" s="104" t="inlineStr">
        <is>
          <t>Yes</t>
        </is>
      </c>
      <c r="Z44" s="98" t="n">
        <v>45562</v>
      </c>
      <c r="AA44" s="109" t="n">
        <v>46291</v>
      </c>
      <c r="AB44" s="107" t="n">
        <v>6</v>
      </c>
      <c r="AC44" s="107" t="n">
        <v>3</v>
      </c>
      <c r="AD44" s="592" t="inlineStr">
        <is>
          <t>Yes</t>
        </is>
      </c>
      <c r="AE44" s="592" t="inlineStr">
        <is>
          <t>Yes</t>
        </is>
      </c>
      <c r="AF44" s="592" t="n"/>
      <c r="AG44" s="593" t="inlineStr">
        <is>
          <t>Phim còn hạn từ 2026</t>
        </is>
      </c>
      <c r="AH44" s="594" t="inlineStr">
        <is>
          <t>MOV_ACT587</t>
        </is>
      </c>
      <c r="AI44" s="599" t="inlineStr">
        <is>
          <t>RIDE ALONG</t>
        </is>
      </c>
      <c r="AJ44" s="128">
        <f>SUMIF('TK 15661.Bản quyền phim '!F:F,'KK1. Movies'!D44,'TK 15661.Bản quyền phim '!X:X)</f>
        <v/>
      </c>
      <c r="AK44" s="128">
        <f>SUMIF('TK 15661.Bản quyền phim '!F:F,'KK1. Movies'!AI44,'TK 15661.Bản quyền phim '!X:X)</f>
        <v/>
      </c>
      <c r="AL44" s="203">
        <f>COUNTIF('242.BQ Phim hợp tác'!$C:$C,'KK1. Movies'!AI44)</f>
        <v/>
      </c>
      <c r="AM44" s="203">
        <f>COUNTIF('TK 15661.Bản quyền phim '!F:F,'KK1. Movies'!AI44)</f>
        <v/>
      </c>
      <c r="AN44" s="546">
        <f>AL44+AM44</f>
        <v/>
      </c>
      <c r="AO44" s="203" t="n"/>
      <c r="AP44" s="203" t="n"/>
      <c r="AQ44" s="203" t="n"/>
      <c r="AR44" s="203" t="n"/>
      <c r="AS44" s="203" t="n"/>
      <c r="AT44" s="546">
        <f>IFERROR(VLOOKUP(C44, CodeRanMovies!$A:$K, 11, 0), "Not found")</f>
        <v/>
      </c>
    </row>
    <row r="45" ht="26.4" customHeight="1" s="578">
      <c r="A45" s="201">
        <f>_xlfn.AGGREGATE(3,3,$D$7:D45)</f>
        <v/>
      </c>
      <c r="B45" s="589" t="inlineStr">
        <is>
          <t>13+</t>
        </is>
      </c>
      <c r="C45" s="590" t="inlineStr">
        <is>
          <t>MOV_ROM_23__2697130</t>
        </is>
      </c>
      <c r="D45" s="596" t="inlineStr">
        <is>
          <t>Time Freak</t>
        </is>
      </c>
      <c r="E45" s="590" t="inlineStr">
        <is>
          <t>Ngược dòng thời gian</t>
        </is>
      </c>
      <c r="F45" s="589" t="inlineStr">
        <is>
          <t>Romance</t>
        </is>
      </c>
      <c r="G45" s="589" t="inlineStr">
        <is>
          <t>Roses Media</t>
        </is>
      </c>
      <c r="H45" s="590" t="inlineStr">
        <is>
          <t>140/2022/HDBQ/VSTV-RM</t>
        </is>
      </c>
      <c r="I45" s="204" t="n">
        <v>2018</v>
      </c>
      <c r="J45" s="592" t="inlineStr">
        <is>
          <t>US</t>
        </is>
      </c>
      <c r="K45" s="204" t="n">
        <v>104</v>
      </c>
      <c r="L45" s="98" t="n">
        <v>45232</v>
      </c>
      <c r="M45" s="98" t="n">
        <v>46327</v>
      </c>
      <c r="N45" s="597" t="n">
        <v>45232</v>
      </c>
      <c r="O45" s="598" t="inlineStr">
        <is>
          <t>K+CINE</t>
        </is>
      </c>
      <c r="P45" s="592" t="inlineStr">
        <is>
          <t xml:space="preserve">Exclusive All Pay TV Rights for first 12 months.
Non exclusive All VOD during LP 
</t>
        </is>
      </c>
      <c r="Q45" s="592" t="inlineStr">
        <is>
          <t>No</t>
        </is>
      </c>
      <c r="R45" s="592" t="inlineStr">
        <is>
          <t>Yes</t>
        </is>
      </c>
      <c r="S45" s="592" t="inlineStr">
        <is>
          <t>No</t>
        </is>
      </c>
      <c r="T45" s="592" t="inlineStr">
        <is>
          <t>Yes</t>
        </is>
      </c>
      <c r="U45" s="592" t="inlineStr">
        <is>
          <t>Yes</t>
        </is>
      </c>
      <c r="V45" s="592" t="inlineStr">
        <is>
          <t>Yes</t>
        </is>
      </c>
      <c r="W45" s="592" t="inlineStr">
        <is>
          <t>Yes</t>
        </is>
      </c>
      <c r="X45" s="592" t="inlineStr">
        <is>
          <t>Yes</t>
        </is>
      </c>
      <c r="Y45" s="592" t="inlineStr">
        <is>
          <t>No</t>
        </is>
      </c>
      <c r="Z45" s="98" t="n">
        <v>45232</v>
      </c>
      <c r="AA45" s="98" t="n">
        <v>46327</v>
      </c>
      <c r="AB45" s="202" t="n">
        <v>24</v>
      </c>
      <c r="AC45" s="202" t="n">
        <v>7</v>
      </c>
      <c r="AD45" s="592" t="inlineStr">
        <is>
          <t>Yes</t>
        </is>
      </c>
      <c r="AE45" s="592" t="inlineStr">
        <is>
          <t>Yes</t>
        </is>
      </c>
      <c r="AF45" s="592" t="n"/>
      <c r="AG45" s="593" t="inlineStr">
        <is>
          <t>Phim còn hạn từ 2026</t>
        </is>
      </c>
      <c r="AH45" s="594" t="inlineStr">
        <is>
          <t>MOV_ROM_23__2697130</t>
        </is>
      </c>
      <c r="AI45" s="599" t="inlineStr">
        <is>
          <t>Time Freak</t>
        </is>
      </c>
      <c r="AJ45" s="128">
        <f>SUMIF('TK 15661.Bản quyền phim '!F:F,'KK1. Movies'!D45,'TK 15661.Bản quyền phim '!X:X)</f>
        <v/>
      </c>
      <c r="AK45" s="128">
        <f>SUMIF('TK 15661.Bản quyền phim '!F:F,'KK1. Movies'!AI45,'TK 15661.Bản quyền phim '!X:X)</f>
        <v/>
      </c>
      <c r="AL45" s="203">
        <f>COUNTIF('242.BQ Phim hợp tác'!$C:$C,'KK1. Movies'!AI45)</f>
        <v/>
      </c>
      <c r="AM45" s="203">
        <f>COUNTIF('TK 15661.Bản quyền phim '!F:F,'KK1. Movies'!AI45)</f>
        <v/>
      </c>
      <c r="AN45" s="546">
        <f>AL45+AM45</f>
        <v/>
      </c>
      <c r="AO45" s="203" t="n"/>
      <c r="AP45" s="203" t="n"/>
      <c r="AQ45" s="203" t="n"/>
      <c r="AR45" s="203" t="n"/>
      <c r="AS45" s="203" t="n"/>
      <c r="AT45" s="546">
        <f>IFERROR(VLOOKUP(C45, CodeRanMovies!$A:$K, 11, 0), "Not found")</f>
        <v/>
      </c>
    </row>
    <row r="46" ht="26.4" customHeight="1" s="578">
      <c r="A46" s="201">
        <f>_xlfn.AGGREGATE(3,3,$D$7:D46)</f>
        <v/>
      </c>
      <c r="B46" s="589" t="inlineStr">
        <is>
          <t>13+</t>
        </is>
      </c>
      <c r="C46" s="590" t="inlineStr">
        <is>
          <t>MOV_ACT_24__2715853</t>
        </is>
      </c>
      <c r="D46" s="105" t="inlineStr">
        <is>
          <t>Cloudy Mountain</t>
        </is>
      </c>
      <c r="E46" s="110" t="inlineStr">
        <is>
          <t>Chiều Sâu Vô Hạn</t>
        </is>
      </c>
      <c r="F46" s="108" t="inlineStr">
        <is>
          <t>action</t>
        </is>
      </c>
      <c r="G46" s="108" t="inlineStr">
        <is>
          <t>Hỏa Thổ</t>
        </is>
      </c>
      <c r="H46" s="108" t="inlineStr">
        <is>
          <t>25A/2024/HDBQ/VSTV-Hoa tho</t>
        </is>
      </c>
      <c r="I46" s="104" t="n">
        <v>2021</v>
      </c>
      <c r="J46" s="107" t="inlineStr">
        <is>
          <t>China</t>
        </is>
      </c>
      <c r="K46" s="104" t="n">
        <v>104</v>
      </c>
      <c r="L46" s="98" t="n">
        <v>45429</v>
      </c>
      <c r="M46" s="109" t="n">
        <v>46523</v>
      </c>
      <c r="N46" s="601" t="n">
        <v>45429</v>
      </c>
      <c r="O46" s="592" t="inlineStr">
        <is>
          <t>K+CINE</t>
        </is>
      </c>
      <c r="P46" s="104" t="inlineStr">
        <is>
          <t xml:space="preserve"> </t>
        </is>
      </c>
      <c r="Q46" s="104" t="inlineStr">
        <is>
          <t>No</t>
        </is>
      </c>
      <c r="R46" s="592" t="inlineStr">
        <is>
          <t>Yes</t>
        </is>
      </c>
      <c r="S46" s="104" t="inlineStr">
        <is>
          <t>Yes</t>
        </is>
      </c>
      <c r="T46" s="592" t="inlineStr">
        <is>
          <t>Yes</t>
        </is>
      </c>
      <c r="U46" s="104" t="inlineStr">
        <is>
          <t>No</t>
        </is>
      </c>
      <c r="V46" s="104" t="inlineStr">
        <is>
          <t>Yes</t>
        </is>
      </c>
      <c r="W46" s="104" t="inlineStr">
        <is>
          <t>Yes</t>
        </is>
      </c>
      <c r="X46" s="104" t="inlineStr">
        <is>
          <t>No</t>
        </is>
      </c>
      <c r="Y46" s="104" t="inlineStr">
        <is>
          <t>No</t>
        </is>
      </c>
      <c r="Z46" s="98" t="n">
        <v>45429</v>
      </c>
      <c r="AA46" s="109" t="n">
        <v>46523</v>
      </c>
      <c r="AB46" s="107" t="inlineStr">
        <is>
          <t>Unlimited run</t>
        </is>
      </c>
      <c r="AC46" s="105" t="n">
        <v>16</v>
      </c>
      <c r="AD46" s="592" t="inlineStr">
        <is>
          <t>Yes</t>
        </is>
      </c>
      <c r="AE46" s="592" t="inlineStr">
        <is>
          <t>Yes</t>
        </is>
      </c>
      <c r="AF46" s="592" t="n"/>
      <c r="AG46" s="593" t="inlineStr">
        <is>
          <t>Phim còn hạn từ 2026</t>
        </is>
      </c>
      <c r="AH46" s="594" t="inlineStr">
        <is>
          <t>MOV_ACT_24__2715853</t>
        </is>
      </c>
      <c r="AI46" s="206" t="inlineStr">
        <is>
          <t>Cloudy Mountain (Chiều Sâu Vô Hạn)</t>
        </is>
      </c>
      <c r="AJ46" s="128">
        <f>SUMIF('TK 15661.Bản quyền phim '!F:F,'KK1. Movies'!D46,'TK 15661.Bản quyền phim '!X:X)</f>
        <v/>
      </c>
      <c r="AK46" s="128">
        <f>SUMIF('TK 15661.Bản quyền phim '!F:F,'KK1. Movies'!AI46,'TK 15661.Bản quyền phim '!X:X)</f>
        <v/>
      </c>
      <c r="AL46" s="203">
        <f>COUNTIF('242.BQ Phim hợp tác'!$C:$C,'KK1. Movies'!AI46)</f>
        <v/>
      </c>
      <c r="AM46" s="203">
        <f>COUNTIF('TK 15661.Bản quyền phim '!F:F,'KK1. Movies'!AI46)</f>
        <v/>
      </c>
      <c r="AN46" s="546">
        <f>AL46+AM46</f>
        <v/>
      </c>
      <c r="AO46" s="203" t="n"/>
      <c r="AP46" s="203" t="n"/>
      <c r="AQ46" s="203" t="n"/>
      <c r="AR46" s="203" t="n"/>
      <c r="AS46" s="203" t="n"/>
      <c r="AT46" s="546">
        <f>IFERROR(VLOOKUP(C46, CodeRanMovies!$A:$K, 11, 0), "Not found")</f>
        <v/>
      </c>
    </row>
    <row r="47" ht="26.4" customHeight="1" s="578">
      <c r="A47" s="201">
        <f>_xlfn.AGGREGATE(3,3,$D$7:D47)</f>
        <v/>
      </c>
      <c r="B47" s="589" t="inlineStr">
        <is>
          <t>16+</t>
        </is>
      </c>
      <c r="C47" s="590" t="inlineStr">
        <is>
          <t>MOV_ADV_23__2691048</t>
        </is>
      </c>
      <c r="D47" s="596" t="inlineStr">
        <is>
          <t>THE LEDGE</t>
        </is>
      </c>
      <c r="E47" s="590" t="inlineStr">
        <is>
          <t>Vực thẳm</t>
        </is>
      </c>
      <c r="F47" s="590" t="inlineStr">
        <is>
          <t>Crime, Thriller</t>
        </is>
      </c>
      <c r="G47" s="589" t="inlineStr">
        <is>
          <t>Roses Media</t>
        </is>
      </c>
      <c r="H47" s="590" t="inlineStr">
        <is>
          <t>140/2022/HDBQ/VSTV-RM</t>
        </is>
      </c>
      <c r="I47" s="204" t="n">
        <v>2022</v>
      </c>
      <c r="J47" s="592" t="inlineStr">
        <is>
          <t>US</t>
        </is>
      </c>
      <c r="K47" s="204" t="n">
        <v>86</v>
      </c>
      <c r="L47" s="98" t="n">
        <v>45127</v>
      </c>
      <c r="M47" s="98" t="n">
        <v>46222</v>
      </c>
      <c r="N47" s="597" t="n">
        <v>45127</v>
      </c>
      <c r="O47" s="598" t="inlineStr">
        <is>
          <t>K+CINE</t>
        </is>
      </c>
      <c r="P47" s="592" t="inlineStr">
        <is>
          <t xml:space="preserve">Exclusive All Pay TV Rights for first 12 months.
Non exclusive All VOD during LP 
</t>
        </is>
      </c>
      <c r="Q47" s="592" t="inlineStr">
        <is>
          <t>No</t>
        </is>
      </c>
      <c r="R47" s="592" t="inlineStr">
        <is>
          <t>Yes</t>
        </is>
      </c>
      <c r="S47" s="592" t="inlineStr">
        <is>
          <t>No</t>
        </is>
      </c>
      <c r="T47" s="592" t="inlineStr">
        <is>
          <t>Yes</t>
        </is>
      </c>
      <c r="U47" s="592" t="inlineStr">
        <is>
          <t>Yes</t>
        </is>
      </c>
      <c r="V47" s="592" t="inlineStr">
        <is>
          <t>Yes</t>
        </is>
      </c>
      <c r="W47" s="592" t="inlineStr">
        <is>
          <t>Yes</t>
        </is>
      </c>
      <c r="X47" s="592" t="inlineStr">
        <is>
          <t>Yes</t>
        </is>
      </c>
      <c r="Y47" s="592" t="inlineStr">
        <is>
          <t>No</t>
        </is>
      </c>
      <c r="Z47" s="98" t="n">
        <v>45127</v>
      </c>
      <c r="AA47" s="98" t="n">
        <v>46222</v>
      </c>
      <c r="AB47" s="202" t="n">
        <v>24</v>
      </c>
      <c r="AC47" s="202" t="n">
        <v>15</v>
      </c>
      <c r="AD47" s="592" t="inlineStr">
        <is>
          <t>Yes</t>
        </is>
      </c>
      <c r="AE47" s="592" t="inlineStr">
        <is>
          <t>Yes</t>
        </is>
      </c>
      <c r="AF47" s="600" t="n"/>
      <c r="AG47" s="593" t="inlineStr">
        <is>
          <t>Phim còn hạn từ 2026</t>
        </is>
      </c>
      <c r="AH47" s="594" t="inlineStr">
        <is>
          <t>MOV_ADV_23__2691048</t>
        </is>
      </c>
      <c r="AI47" s="599" t="inlineStr">
        <is>
          <t>THE LEDGE</t>
        </is>
      </c>
      <c r="AJ47" s="128">
        <f>SUMIF('TK 15661.Bản quyền phim '!F:F,'KK1. Movies'!D47,'TK 15661.Bản quyền phim '!X:X)</f>
        <v/>
      </c>
      <c r="AK47" s="128">
        <f>SUMIF('TK 15661.Bản quyền phim '!F:F,'KK1. Movies'!AI47,'TK 15661.Bản quyền phim '!X:X)</f>
        <v/>
      </c>
      <c r="AL47" s="203">
        <f>COUNTIF('242.BQ Phim hợp tác'!$C:$C,'KK1. Movies'!AI47)</f>
        <v/>
      </c>
      <c r="AM47" s="203">
        <f>COUNTIF('TK 15661.Bản quyền phim '!F:F,'KK1. Movies'!AI47)</f>
        <v/>
      </c>
      <c r="AN47" s="546">
        <f>AL47+AM47</f>
        <v/>
      </c>
      <c r="AO47" s="203" t="n"/>
      <c r="AP47" s="203" t="n"/>
      <c r="AQ47" s="203" t="n"/>
      <c r="AR47" s="203" t="n"/>
      <c r="AS47" s="203" t="n"/>
      <c r="AT47" s="546">
        <f>IFERROR(VLOOKUP(C47, CodeRanMovies!$A:$K, 11, 0), "Not found")</f>
        <v/>
      </c>
    </row>
    <row r="48">
      <c r="A48" s="201">
        <f>_xlfn.AGGREGATE(3,3,$D$7:D48)</f>
        <v/>
      </c>
      <c r="B48" s="589" t="inlineStr">
        <is>
          <t>16+</t>
        </is>
      </c>
      <c r="C48" s="590" t="inlineStr">
        <is>
          <t>MOV_CRI_22__2686512</t>
        </is>
      </c>
      <c r="D48" s="596" t="inlineStr">
        <is>
          <t>The Voice Of Sin</t>
        </is>
      </c>
      <c r="E48" s="590" t="inlineStr">
        <is>
          <t>Thanh âm tội ác</t>
        </is>
      </c>
      <c r="F48" s="590" t="inlineStr">
        <is>
          <t>Crime, Thriller</t>
        </is>
      </c>
      <c r="G48" s="604" t="inlineStr">
        <is>
          <t>Skyline Media</t>
        </is>
      </c>
      <c r="H48" s="590" t="inlineStr">
        <is>
          <t>66/2023/HDBQ/VSTV-SM</t>
        </is>
      </c>
      <c r="I48" s="204" t="n">
        <v>2020</v>
      </c>
      <c r="J48" s="600" t="inlineStr">
        <is>
          <t>Japan</t>
        </is>
      </c>
      <c r="K48" s="204" t="n">
        <v>142</v>
      </c>
      <c r="L48" s="98" t="n">
        <v>45065</v>
      </c>
      <c r="M48" s="98" t="n">
        <v>46160</v>
      </c>
      <c r="N48" s="601" t="n">
        <v>45065</v>
      </c>
      <c r="O48" s="598" t="inlineStr">
        <is>
          <t>K+CINE</t>
        </is>
      </c>
      <c r="P48" s="592" t="inlineStr">
        <is>
          <t>Exclusive All TV Rights the first 12 months of LP
 Non-exclusive with All Catch-up TV Rights; All VOD Rights during LP</t>
        </is>
      </c>
      <c r="Q48" s="600" t="inlineStr">
        <is>
          <t>No</t>
        </is>
      </c>
      <c r="R48" s="592" t="inlineStr">
        <is>
          <t>Yes</t>
        </is>
      </c>
      <c r="S48" s="592" t="inlineStr">
        <is>
          <t>Yes</t>
        </is>
      </c>
      <c r="T48" s="592" t="inlineStr">
        <is>
          <t>Yes</t>
        </is>
      </c>
      <c r="U48" s="592" t="inlineStr">
        <is>
          <t>Yes</t>
        </is>
      </c>
      <c r="V48" s="592" t="inlineStr">
        <is>
          <t>Yes</t>
        </is>
      </c>
      <c r="W48" s="592" t="inlineStr">
        <is>
          <t>Yes</t>
        </is>
      </c>
      <c r="X48" s="592" t="inlineStr">
        <is>
          <t>Yes</t>
        </is>
      </c>
      <c r="Y48" s="592" t="inlineStr">
        <is>
          <t>Yes</t>
        </is>
      </c>
      <c r="Z48" s="98" t="n">
        <v>45065</v>
      </c>
      <c r="AA48" s="98" t="n">
        <v>46160</v>
      </c>
      <c r="AB48" s="96" t="inlineStr">
        <is>
          <t>unlimited</t>
        </is>
      </c>
      <c r="AC48" s="202" t="n">
        <v>30</v>
      </c>
      <c r="AD48" s="592" t="inlineStr">
        <is>
          <t>Yes</t>
        </is>
      </c>
      <c r="AE48" s="592" t="inlineStr">
        <is>
          <t>Yes</t>
        </is>
      </c>
      <c r="AF48" s="600" t="n"/>
      <c r="AG48" s="593" t="inlineStr">
        <is>
          <t>Phim còn hạn từ 2026</t>
        </is>
      </c>
      <c r="AH48" s="594" t="inlineStr">
        <is>
          <t>MOV_CRI_22__2686512</t>
        </is>
      </c>
      <c r="AI48" s="599" t="inlineStr">
        <is>
          <t>The Voice Of Sin</t>
        </is>
      </c>
      <c r="AJ48" s="128">
        <f>SUMIF('TK 15661.Bản quyền phim '!F:F,'KK1. Movies'!D48,'TK 15661.Bản quyền phim '!X:X)</f>
        <v/>
      </c>
      <c r="AK48" s="128">
        <f>SUMIF('TK 15661.Bản quyền phim '!F:F,'KK1. Movies'!AI48,'TK 15661.Bản quyền phim '!X:X)</f>
        <v/>
      </c>
      <c r="AL48" s="203">
        <f>COUNTIF('242.BQ Phim hợp tác'!$C:$C,'KK1. Movies'!AI48)</f>
        <v/>
      </c>
      <c r="AM48" s="203">
        <f>COUNTIF('TK 15661.Bản quyền phim '!F:F,'KK1. Movies'!AI48)</f>
        <v/>
      </c>
      <c r="AN48" s="546">
        <f>AL48+AM48</f>
        <v/>
      </c>
      <c r="AO48" s="203" t="n"/>
      <c r="AP48" s="203" t="n"/>
      <c r="AQ48" s="203" t="n"/>
      <c r="AR48" s="203" t="n"/>
      <c r="AS48" s="203" t="n"/>
      <c r="AT48" s="546">
        <f>IFERROR(VLOOKUP(C48, CodeRanMovies!$A:$K, 11, 0), "Not found")</f>
        <v/>
      </c>
    </row>
    <row r="49" ht="26.4" customHeight="1" s="578">
      <c r="A49" s="201">
        <f>_xlfn.AGGREGATE(3,3,$D$7:D49)</f>
        <v/>
      </c>
      <c r="B49" s="589" t="inlineStr">
        <is>
          <t>K</t>
        </is>
      </c>
      <c r="C49" s="590" t="inlineStr">
        <is>
          <t>MOV_DRA_24__2710444</t>
        </is>
      </c>
      <c r="D49" s="105" t="inlineStr">
        <is>
          <t>ALL ABOUT MY MOTHER</t>
        </is>
      </c>
      <c r="E49" s="590" t="inlineStr">
        <is>
          <t>Chân dung mẹ tôi</t>
        </is>
      </c>
      <c r="F49" s="590" t="inlineStr">
        <is>
          <t>Drama</t>
        </is>
      </c>
      <c r="G49" s="108" t="inlineStr">
        <is>
          <t>Skyline Media</t>
        </is>
      </c>
      <c r="H49" s="590" t="inlineStr">
        <is>
          <t>28/2024/HDBQ/VSTV-SM</t>
        </is>
      </c>
      <c r="I49" s="107" t="n">
        <v>2021</v>
      </c>
      <c r="J49" s="107" t="inlineStr">
        <is>
          <t>US</t>
        </is>
      </c>
      <c r="K49" s="107" t="n">
        <v>120</v>
      </c>
      <c r="L49" s="98" t="n">
        <v>45567</v>
      </c>
      <c r="M49" s="109" t="n">
        <v>46661</v>
      </c>
      <c r="N49" s="601" t="n">
        <v>45573</v>
      </c>
      <c r="O49" s="592" t="inlineStr">
        <is>
          <t>K+CINE</t>
        </is>
      </c>
      <c r="P49" s="104" t="n">
        <v>12</v>
      </c>
      <c r="Q49" s="107" t="inlineStr">
        <is>
          <t>No</t>
        </is>
      </c>
      <c r="R49" s="592" t="inlineStr">
        <is>
          <t>Yes</t>
        </is>
      </c>
      <c r="S49" s="592" t="inlineStr">
        <is>
          <t>Yes</t>
        </is>
      </c>
      <c r="T49" s="592" t="inlineStr">
        <is>
          <t>Yes</t>
        </is>
      </c>
      <c r="U49" s="592" t="inlineStr">
        <is>
          <t>Yes</t>
        </is>
      </c>
      <c r="V49" s="592" t="inlineStr">
        <is>
          <t>Yes</t>
        </is>
      </c>
      <c r="W49" s="592" t="inlineStr">
        <is>
          <t>Yes</t>
        </is>
      </c>
      <c r="X49" s="592" t="inlineStr">
        <is>
          <t>Yes</t>
        </is>
      </c>
      <c r="Y49" s="104" t="inlineStr">
        <is>
          <t>No</t>
        </is>
      </c>
      <c r="Z49" s="98" t="n">
        <v>45567</v>
      </c>
      <c r="AA49" s="109" t="n">
        <v>46661</v>
      </c>
      <c r="AB49" s="107" t="n">
        <v>24</v>
      </c>
      <c r="AC49" s="202" t="n">
        <v>7</v>
      </c>
      <c r="AD49" s="592" t="inlineStr">
        <is>
          <t>Yes</t>
        </is>
      </c>
      <c r="AE49" s="592" t="inlineStr">
        <is>
          <t>Yes</t>
        </is>
      </c>
      <c r="AF49" s="600" t="n"/>
      <c r="AG49" s="593" t="inlineStr">
        <is>
          <t>Phim còn hạn từ 2026</t>
        </is>
      </c>
      <c r="AH49" s="594" t="n"/>
      <c r="AI49" s="206" t="inlineStr">
        <is>
          <t>ALL ABOUT MY MOTHER</t>
        </is>
      </c>
      <c r="AJ49" s="128">
        <f>SUMIF('TK 15661.Bản quyền phim '!F:F,'KK1. Movies'!D49,'TK 15661.Bản quyền phim '!X:X)</f>
        <v/>
      </c>
      <c r="AK49" s="128">
        <f>SUMIF('TK 15661.Bản quyền phim '!F:F,'KK1. Movies'!AI49,'TK 15661.Bản quyền phim '!X:X)</f>
        <v/>
      </c>
      <c r="AL49" s="203">
        <f>COUNTIF('242.BQ Phim hợp tác'!$C:$C,'KK1. Movies'!AI49)</f>
        <v/>
      </c>
      <c r="AM49" s="203">
        <f>COUNTIF('TK 15661.Bản quyền phim '!F:F,'KK1. Movies'!AI49)</f>
        <v/>
      </c>
      <c r="AN49" s="546">
        <f>AL49+AM49</f>
        <v/>
      </c>
      <c r="AO49" s="203" t="n"/>
      <c r="AP49" s="203" t="n"/>
      <c r="AQ49" s="203" t="n"/>
      <c r="AR49" s="203" t="n"/>
      <c r="AS49" s="203" t="n"/>
      <c r="AT49" s="546">
        <f>IFERROR(VLOOKUP(C49, CodeRanMovies!$A:$K, 11, 0), "Not found")</f>
        <v/>
      </c>
    </row>
    <row r="50" ht="52.8" customHeight="1" s="578">
      <c r="A50" s="201">
        <f>_xlfn.AGGREGATE(3,3,$D$7:D50)</f>
        <v/>
      </c>
      <c r="B50" s="589" t="inlineStr">
        <is>
          <t>16+</t>
        </is>
      </c>
      <c r="C50" s="234" t="inlineStr">
        <is>
          <t>MOV_ACT_24__2713163</t>
        </is>
      </c>
      <c r="D50" s="105" t="inlineStr">
        <is>
          <t>BLACK AND BLUE (2019)</t>
        </is>
      </c>
      <c r="E50" s="110" t="inlineStr">
        <is>
          <t>Cảnh sát da màu</t>
        </is>
      </c>
      <c r="F50" s="590" t="inlineStr">
        <is>
          <t>Crime, Thriller</t>
        </is>
      </c>
      <c r="G50" s="103" t="inlineStr">
        <is>
          <t>SONY PICTURES</t>
        </is>
      </c>
      <c r="H50" s="590" t="inlineStr">
        <is>
          <t>Sony/K+Vietnam PayBasic SVOD Package Agmt D2D per JK (19-01-2024)</t>
        </is>
      </c>
      <c r="I50" s="104" t="n">
        <v>2019</v>
      </c>
      <c r="J50" s="600" t="inlineStr">
        <is>
          <t>US</t>
        </is>
      </c>
      <c r="K50" s="104" t="n">
        <v>107</v>
      </c>
      <c r="L50" s="98" t="n">
        <v>45382</v>
      </c>
      <c r="M50" s="98" t="n">
        <v>46111</v>
      </c>
      <c r="N50" s="601" t="n">
        <v>45393</v>
      </c>
      <c r="O50" s="592" t="inlineStr">
        <is>
          <t>K+ACTION</t>
        </is>
      </c>
      <c r="P50" s="592" t="n"/>
      <c r="Q50" s="104" t="inlineStr">
        <is>
          <t>No</t>
        </is>
      </c>
      <c r="R50" s="592" t="inlineStr">
        <is>
          <t>Yes</t>
        </is>
      </c>
      <c r="S50" s="592" t="inlineStr">
        <is>
          <t>Yes</t>
        </is>
      </c>
      <c r="T50" s="592" t="inlineStr">
        <is>
          <t>Yes</t>
        </is>
      </c>
      <c r="U50" s="104" t="inlineStr">
        <is>
          <t>No</t>
        </is>
      </c>
      <c r="V50" s="104" t="inlineStr">
        <is>
          <t>No</t>
        </is>
      </c>
      <c r="W50" s="104" t="inlineStr">
        <is>
          <t>No</t>
        </is>
      </c>
      <c r="X50" s="104" t="inlineStr">
        <is>
          <t>No</t>
        </is>
      </c>
      <c r="Y50" s="104" t="inlineStr">
        <is>
          <t>No</t>
        </is>
      </c>
      <c r="Z50" s="98" t="n">
        <v>45382</v>
      </c>
      <c r="AA50" s="98" t="n">
        <v>46111</v>
      </c>
      <c r="AB50" s="107" t="n">
        <v>7</v>
      </c>
      <c r="AC50" s="202" t="n">
        <v>6</v>
      </c>
      <c r="AD50" s="592" t="inlineStr">
        <is>
          <t>Yes</t>
        </is>
      </c>
      <c r="AE50" s="592" t="inlineStr">
        <is>
          <t>Yes</t>
        </is>
      </c>
      <c r="AF50" s="600" t="n"/>
      <c r="AG50" s="593" t="inlineStr">
        <is>
          <t>Phim còn hạn từ 2026</t>
        </is>
      </c>
      <c r="AH50" s="594" t="n"/>
      <c r="AI50" s="206" t="inlineStr">
        <is>
          <t>BLACK AND BLUE (2019)</t>
        </is>
      </c>
      <c r="AJ50" s="128">
        <f>SUMIF('TK 15661.Bản quyền phim '!F:F,'KK1. Movies'!D50,'TK 15661.Bản quyền phim '!X:X)</f>
        <v/>
      </c>
      <c r="AK50" s="128">
        <f>SUMIF('TK 15661.Bản quyền phim '!F:F,'KK1. Movies'!AI50,'TK 15661.Bản quyền phim '!X:X)</f>
        <v/>
      </c>
      <c r="AL50" s="203">
        <f>COUNTIF('242.BQ Phim hợp tác'!$C:$C,'KK1. Movies'!AI50)</f>
        <v/>
      </c>
      <c r="AM50" s="203">
        <f>COUNTIF('TK 15661.Bản quyền phim '!F:F,'KK1. Movies'!AI50)</f>
        <v/>
      </c>
      <c r="AN50" s="546">
        <f>AL50+AM50</f>
        <v/>
      </c>
      <c r="AO50" s="203" t="n"/>
      <c r="AP50" s="203" t="n"/>
      <c r="AQ50" s="203" t="n"/>
      <c r="AR50" s="203" t="n"/>
      <c r="AS50" s="203" t="n"/>
      <c r="AT50" s="546">
        <f>IFERROR(VLOOKUP(C50, CodeRanMovies!$A:$K, 11, 0), "Not found")</f>
        <v/>
      </c>
    </row>
    <row r="51" ht="26.4" customHeight="1" s="578">
      <c r="A51" s="201">
        <f>_xlfn.AGGREGATE(3,3,$D$7:D51)</f>
        <v/>
      </c>
      <c r="B51" s="589" t="inlineStr">
        <is>
          <t>16+</t>
        </is>
      </c>
      <c r="C51" s="590" t="inlineStr">
        <is>
          <t>MOV_CRI_24__2710437</t>
        </is>
      </c>
      <c r="D51" s="105" t="inlineStr">
        <is>
          <t>THE WHISTLERS</t>
        </is>
      </c>
      <c r="E51" s="590" t="inlineStr">
        <is>
          <t>Vụ cướp đảo La Gomera</t>
        </is>
      </c>
      <c r="F51" s="108" t="inlineStr">
        <is>
          <t>Crime, Thriller</t>
        </is>
      </c>
      <c r="G51" s="108" t="inlineStr">
        <is>
          <t>Skyline Media</t>
        </is>
      </c>
      <c r="H51" s="590" t="inlineStr">
        <is>
          <t>28/2024/HDBQ/VSTV-SM</t>
        </is>
      </c>
      <c r="I51" s="107" t="n">
        <v>2019</v>
      </c>
      <c r="J51" s="107" t="inlineStr">
        <is>
          <t>Romania,
France</t>
        </is>
      </c>
      <c r="K51" s="107" t="n">
        <v>97</v>
      </c>
      <c r="L51" s="98" t="n">
        <v>45365</v>
      </c>
      <c r="M51" s="98" t="n">
        <v>46459</v>
      </c>
      <c r="N51" s="601" t="n">
        <v>45498</v>
      </c>
      <c r="O51" s="592" t="inlineStr">
        <is>
          <t>K+ACTION</t>
        </is>
      </c>
      <c r="P51" s="104" t="n">
        <v>12</v>
      </c>
      <c r="Q51" s="107" t="inlineStr">
        <is>
          <t>No</t>
        </is>
      </c>
      <c r="R51" s="592" t="inlineStr">
        <is>
          <t>Yes</t>
        </is>
      </c>
      <c r="S51" s="592" t="inlineStr">
        <is>
          <t>Yes</t>
        </is>
      </c>
      <c r="T51" s="592" t="inlineStr">
        <is>
          <t>Yes</t>
        </is>
      </c>
      <c r="U51" s="592" t="inlineStr">
        <is>
          <t>Yes</t>
        </is>
      </c>
      <c r="V51" s="592" t="inlineStr">
        <is>
          <t>Yes</t>
        </is>
      </c>
      <c r="W51" s="592" t="inlineStr">
        <is>
          <t>Yes</t>
        </is>
      </c>
      <c r="X51" s="592" t="inlineStr">
        <is>
          <t>Yes</t>
        </is>
      </c>
      <c r="Y51" s="104" t="inlineStr">
        <is>
          <t>No</t>
        </is>
      </c>
      <c r="Z51" s="98" t="n">
        <v>45365</v>
      </c>
      <c r="AA51" s="98" t="n">
        <v>46459</v>
      </c>
      <c r="AB51" s="107" t="n">
        <v>24</v>
      </c>
      <c r="AC51" s="202" t="n">
        <v>12</v>
      </c>
      <c r="AD51" s="592" t="inlineStr">
        <is>
          <t>Yes</t>
        </is>
      </c>
      <c r="AE51" s="592" t="inlineStr">
        <is>
          <t>Yes</t>
        </is>
      </c>
      <c r="AF51" s="600" t="n"/>
      <c r="AG51" s="593" t="inlineStr">
        <is>
          <t>Phim còn hạn từ 2026</t>
        </is>
      </c>
      <c r="AH51" s="594" t="inlineStr">
        <is>
          <t>MOV_CRI_24__2710437</t>
        </is>
      </c>
      <c r="AI51" s="206" t="inlineStr">
        <is>
          <t>THE WHISTLERS</t>
        </is>
      </c>
      <c r="AJ51" s="128">
        <f>SUMIF('TK 15661.Bản quyền phim '!F:F,'KK1. Movies'!D51,'TK 15661.Bản quyền phim '!X:X)</f>
        <v/>
      </c>
      <c r="AK51" s="128">
        <f>SUMIF('TK 15661.Bản quyền phim '!F:F,'KK1. Movies'!AI51,'TK 15661.Bản quyền phim '!X:X)</f>
        <v/>
      </c>
      <c r="AL51" s="203">
        <f>COUNTIF('242.BQ Phim hợp tác'!$C:$C,'KK1. Movies'!AI51)</f>
        <v/>
      </c>
      <c r="AM51" s="203">
        <f>COUNTIF('TK 15661.Bản quyền phim '!F:F,'KK1. Movies'!AI51)</f>
        <v/>
      </c>
      <c r="AN51" s="546">
        <f>AL51+AM51</f>
        <v/>
      </c>
      <c r="AO51" s="203" t="n"/>
      <c r="AP51" s="203" t="n"/>
      <c r="AQ51" s="203" t="n"/>
      <c r="AR51" s="203" t="n"/>
      <c r="AS51" s="203" t="n"/>
      <c r="AT51" s="546">
        <f>IFERROR(VLOOKUP(C51, CodeRanMovies!$A:$K, 11, 0), "Not found")</f>
        <v/>
      </c>
    </row>
    <row r="52" ht="26.4" customHeight="1" s="578">
      <c r="A52" s="201">
        <f>_xlfn.AGGREGATE(3,3,$D$7:D52)</f>
        <v/>
      </c>
      <c r="B52" s="589" t="inlineStr">
        <is>
          <t>16+</t>
        </is>
      </c>
      <c r="C52" s="590" t="inlineStr">
        <is>
          <t>MOV_THR_21__2651058</t>
        </is>
      </c>
      <c r="D52" s="590" t="inlineStr">
        <is>
          <t>STOLEN IDENTITY 2</t>
        </is>
      </c>
      <c r="E52" s="590" t="inlineStr">
        <is>
          <t>Kẻ trộm danh tính - Phần 2</t>
        </is>
      </c>
      <c r="F52" s="590" t="inlineStr">
        <is>
          <t>Crime, Thriller</t>
        </is>
      </c>
      <c r="G52" s="590" t="inlineStr">
        <is>
          <t>TBS</t>
        </is>
      </c>
      <c r="H52" s="114" t="n">
        <v>202104013</v>
      </c>
      <c r="I52" s="96" t="n">
        <v>2020</v>
      </c>
      <c r="J52" s="592" t="inlineStr">
        <is>
          <t>Japan</t>
        </is>
      </c>
      <c r="K52" s="96" t="n">
        <v>118</v>
      </c>
      <c r="L52" s="98" t="n">
        <v>44284</v>
      </c>
      <c r="M52" s="602" t="n">
        <v>46109</v>
      </c>
      <c r="N52" s="603" t="n">
        <v>44377</v>
      </c>
      <c r="O52" s="592" t="inlineStr">
        <is>
          <t>K+CINE</t>
        </is>
      </c>
      <c r="P52" s="592" t="n"/>
      <c r="Q52" s="592" t="inlineStr">
        <is>
          <t>No</t>
        </is>
      </c>
      <c r="R52" s="592" t="inlineStr">
        <is>
          <t>Yes</t>
        </is>
      </c>
      <c r="S52" s="592" t="inlineStr">
        <is>
          <t>Yes</t>
        </is>
      </c>
      <c r="T52" s="592" t="inlineStr">
        <is>
          <t>Yes</t>
        </is>
      </c>
      <c r="U52" s="592" t="inlineStr">
        <is>
          <t>Yes</t>
        </is>
      </c>
      <c r="V52" s="592" t="inlineStr">
        <is>
          <t>Yes</t>
        </is>
      </c>
      <c r="W52" s="592" t="inlineStr">
        <is>
          <t>Yes</t>
        </is>
      </c>
      <c r="X52" s="592" t="inlineStr">
        <is>
          <t>Yes</t>
        </is>
      </c>
      <c r="Y52" s="592" t="inlineStr">
        <is>
          <t>Yes</t>
        </is>
      </c>
      <c r="Z52" s="98" t="n">
        <v>44284</v>
      </c>
      <c r="AA52" s="602" t="n">
        <v>46109</v>
      </c>
      <c r="AB52" s="202" t="n">
        <v>50</v>
      </c>
      <c r="AC52" s="100" t="n">
        <v>30</v>
      </c>
      <c r="AD52" s="592" t="inlineStr">
        <is>
          <t>Yes</t>
        </is>
      </c>
      <c r="AE52" s="592" t="inlineStr">
        <is>
          <t>Yes</t>
        </is>
      </c>
      <c r="AF52" s="600" t="n"/>
      <c r="AG52" s="593" t="inlineStr">
        <is>
          <t>Phim còn hạn từ 2026</t>
        </is>
      </c>
      <c r="AH52" s="594" t="n"/>
      <c r="AI52" s="599" t="inlineStr">
        <is>
          <t>STOLEN IDENTITY 2</t>
        </is>
      </c>
      <c r="AJ52" s="128">
        <f>SUMIF('TK 15661.Bản quyền phim '!F:F,'KK1. Movies'!D52,'TK 15661.Bản quyền phim '!X:X)</f>
        <v/>
      </c>
      <c r="AK52" s="128">
        <f>SUMIF('TK 15661.Bản quyền phim '!F:F,'KK1. Movies'!AI52,'TK 15661.Bản quyền phim '!X:X)</f>
        <v/>
      </c>
      <c r="AL52" s="203">
        <f>COUNTIF('242.BQ Phim hợp tác'!$C:$C,'KK1. Movies'!AI52)</f>
        <v/>
      </c>
      <c r="AM52" s="203">
        <f>COUNTIF('TK 15661.Bản quyền phim '!F:F,'KK1. Movies'!AI52)</f>
        <v/>
      </c>
      <c r="AN52" s="546">
        <f>AL52+AM52</f>
        <v/>
      </c>
      <c r="AO52" s="203" t="n"/>
      <c r="AP52" s="203" t="n"/>
      <c r="AQ52" s="203" t="n"/>
      <c r="AR52" s="203" t="n"/>
      <c r="AS52" s="203" t="n"/>
      <c r="AT52" s="546">
        <f>IFERROR(VLOOKUP(C52, CodeRanMovies!$A:$K, 11, 0), "Not found")</f>
        <v/>
      </c>
    </row>
    <row r="53" ht="26.4" customHeight="1" s="578">
      <c r="A53" s="201">
        <f>_xlfn.AGGREGATE(3,3,$D$7:D53)</f>
        <v/>
      </c>
      <c r="B53" s="589" t="inlineStr">
        <is>
          <t>13+</t>
        </is>
      </c>
      <c r="C53" s="590" t="inlineStr">
        <is>
          <t>MOV_BIO_23__2689673</t>
        </is>
      </c>
      <c r="D53" s="596" t="inlineStr">
        <is>
          <t>THE POST</t>
        </is>
      </c>
      <c r="E53" s="590" t="inlineStr">
        <is>
          <t>Bí mật Lầu Năm Góc</t>
        </is>
      </c>
      <c r="F53" s="590" t="inlineStr">
        <is>
          <t>Drama</t>
        </is>
      </c>
      <c r="G53" s="589" t="inlineStr">
        <is>
          <t>CJ HK</t>
        </is>
      </c>
      <c r="H53" s="590" t="inlineStr">
        <is>
          <t>135/2022/HDBQ/VSTV-CJHK</t>
        </is>
      </c>
      <c r="I53" s="204" t="n">
        <v>2017</v>
      </c>
      <c r="J53" s="600" t="inlineStr">
        <is>
          <t>US</t>
        </is>
      </c>
      <c r="K53" s="204" t="n">
        <v>117</v>
      </c>
      <c r="L53" s="98" t="n">
        <v>44987</v>
      </c>
      <c r="M53" s="101" t="n">
        <v>46082</v>
      </c>
      <c r="N53" s="597" t="n">
        <v>44987</v>
      </c>
      <c r="O53" s="598" t="inlineStr">
        <is>
          <t>K+CINE</t>
        </is>
      </c>
      <c r="P53" s="96" t="n">
        <v>12</v>
      </c>
      <c r="Q53" s="592" t="inlineStr">
        <is>
          <t>No</t>
        </is>
      </c>
      <c r="R53" s="592" t="inlineStr">
        <is>
          <t>Yes</t>
        </is>
      </c>
      <c r="S53" s="592" t="inlineStr">
        <is>
          <t>Yes</t>
        </is>
      </c>
      <c r="T53" s="592" t="inlineStr">
        <is>
          <t>Yes</t>
        </is>
      </c>
      <c r="U53" s="592" t="inlineStr">
        <is>
          <t>Yes</t>
        </is>
      </c>
      <c r="V53" s="592" t="inlineStr">
        <is>
          <t>Yes</t>
        </is>
      </c>
      <c r="W53" s="592" t="inlineStr">
        <is>
          <t>Yes</t>
        </is>
      </c>
      <c r="X53" s="104" t="inlineStr">
        <is>
          <t>No</t>
        </is>
      </c>
      <c r="Y53" s="592" t="inlineStr">
        <is>
          <t>Yes</t>
        </is>
      </c>
      <c r="Z53" s="98" t="n">
        <v>44987</v>
      </c>
      <c r="AA53" s="101" t="n">
        <v>46082</v>
      </c>
      <c r="AB53" s="96" t="inlineStr">
        <is>
          <t>unlimited</t>
        </is>
      </c>
      <c r="AC53" s="202" t="n">
        <v>22</v>
      </c>
      <c r="AD53" s="592" t="inlineStr">
        <is>
          <t>Yes</t>
        </is>
      </c>
      <c r="AE53" s="592" t="inlineStr">
        <is>
          <t>Yes</t>
        </is>
      </c>
      <c r="AF53" s="600" t="n"/>
      <c r="AG53" s="593" t="inlineStr">
        <is>
          <t>Phim còn hạn từ 2026</t>
        </is>
      </c>
      <c r="AH53" s="594" t="inlineStr">
        <is>
          <t>MOV_BIO_23__2689673</t>
        </is>
      </c>
      <c r="AI53" s="206" t="inlineStr">
        <is>
          <t>THE POST (Bí mật Lầu Năm Góc)</t>
        </is>
      </c>
      <c r="AJ53" s="128">
        <f>SUMIF('TK 15661.Bản quyền phim '!F:F,'KK1. Movies'!D53,'TK 15661.Bản quyền phim '!X:X)</f>
        <v/>
      </c>
      <c r="AK53" s="128">
        <f>SUMIF('TK 15661.Bản quyền phim '!F:F,'KK1. Movies'!AI53,'TK 15661.Bản quyền phim '!X:X)</f>
        <v/>
      </c>
      <c r="AL53" s="203">
        <f>COUNTIF('242.BQ Phim hợp tác'!$C:$C,'KK1. Movies'!AI53)</f>
        <v/>
      </c>
      <c r="AM53" s="203">
        <f>COUNTIF('TK 15661.Bản quyền phim '!F:F,'KK1. Movies'!AI53)</f>
        <v/>
      </c>
      <c r="AN53" s="546">
        <f>AL53+AM53</f>
        <v/>
      </c>
      <c r="AO53" s="203" t="n"/>
      <c r="AP53" s="203" t="n"/>
      <c r="AQ53" s="203" t="n"/>
      <c r="AR53" s="203" t="n"/>
      <c r="AS53" s="203" t="n"/>
      <c r="AT53" s="546">
        <f>IFERROR(VLOOKUP(C53, CodeRanMovies!$A:$K, 11, 0), "Not found")</f>
        <v/>
      </c>
    </row>
    <row r="54">
      <c r="A54" s="201">
        <f>_xlfn.AGGREGATE(3,3,$D$7:D54)</f>
        <v/>
      </c>
      <c r="B54" s="589" t="inlineStr">
        <is>
          <t>16+</t>
        </is>
      </c>
      <c r="C54" s="590" t="inlineStr">
        <is>
          <t>MOV_CRI_23__2697555</t>
        </is>
      </c>
      <c r="D54" s="596" t="inlineStr">
        <is>
          <t>The Faceless Boss</t>
        </is>
      </c>
      <c r="E54" s="593" t="inlineStr">
        <is>
          <t>Vô diện đại ca</t>
        </is>
      </c>
      <c r="F54" s="589" t="inlineStr">
        <is>
          <t>Drama</t>
        </is>
      </c>
      <c r="G54" s="589" t="inlineStr">
        <is>
          <t>King Content</t>
        </is>
      </c>
      <c r="H54" s="590" t="inlineStr">
        <is>
          <t>52/2023/HDBQ/VSTV-KC</t>
        </is>
      </c>
      <c r="I54" s="204" t="n">
        <v>2019</v>
      </c>
      <c r="J54" s="600" t="inlineStr">
        <is>
          <t>Korea</t>
        </is>
      </c>
      <c r="K54" s="204" t="n">
        <v>100</v>
      </c>
      <c r="L54" s="98" t="n">
        <v>45147</v>
      </c>
      <c r="M54" s="101" t="n">
        <v>46242</v>
      </c>
      <c r="N54" s="597" t="n">
        <v>45147</v>
      </c>
      <c r="O54" s="598" t="inlineStr">
        <is>
          <t>K+CINE</t>
        </is>
      </c>
      <c r="P54" s="102" t="inlineStr">
        <is>
          <t>Exclusive All PayTV rights and Non-Exclusive VOD rights</t>
        </is>
      </c>
      <c r="Q54" s="592" t="inlineStr">
        <is>
          <t>Yes</t>
        </is>
      </c>
      <c r="R54" s="592" t="inlineStr">
        <is>
          <t>Yes</t>
        </is>
      </c>
      <c r="S54" s="592" t="inlineStr">
        <is>
          <t>No</t>
        </is>
      </c>
      <c r="T54" s="592" t="inlineStr">
        <is>
          <t>Yes</t>
        </is>
      </c>
      <c r="U54" s="592" t="inlineStr">
        <is>
          <t>Yes</t>
        </is>
      </c>
      <c r="V54" s="592" t="inlineStr">
        <is>
          <t>Yes</t>
        </is>
      </c>
      <c r="W54" s="592" t="inlineStr">
        <is>
          <t>Yes</t>
        </is>
      </c>
      <c r="X54" s="592" t="inlineStr">
        <is>
          <t>Yes</t>
        </is>
      </c>
      <c r="Y54" s="592" t="inlineStr">
        <is>
          <t>No</t>
        </is>
      </c>
      <c r="Z54" s="98" t="n">
        <v>45147</v>
      </c>
      <c r="AA54" s="101" t="n">
        <v>46242</v>
      </c>
      <c r="AB54" s="96" t="inlineStr">
        <is>
          <t>unlimited</t>
        </is>
      </c>
      <c r="AC54" s="202" t="n">
        <v>23</v>
      </c>
      <c r="AD54" s="592" t="inlineStr">
        <is>
          <t>Yes</t>
        </is>
      </c>
      <c r="AE54" s="592" t="inlineStr">
        <is>
          <t>Yes</t>
        </is>
      </c>
      <c r="AF54" s="592" t="n"/>
      <c r="AG54" s="593" t="inlineStr">
        <is>
          <t>Phim còn hạn từ 2026</t>
        </is>
      </c>
      <c r="AH54" s="594" t="n"/>
      <c r="AI54" s="206" t="inlineStr">
        <is>
          <t>Faceless Boss</t>
        </is>
      </c>
      <c r="AJ54" s="128">
        <f>SUMIF('TK 15661.Bản quyền phim '!F:F,'KK1. Movies'!D54,'TK 15661.Bản quyền phim '!X:X)</f>
        <v/>
      </c>
      <c r="AK54" s="128">
        <f>SUMIF('TK 15661.Bản quyền phim '!F:F,'KK1. Movies'!AI54,'TK 15661.Bản quyền phim '!X:X)</f>
        <v/>
      </c>
      <c r="AL54" s="203">
        <f>COUNTIF('242.BQ Phim hợp tác'!$C:$C,'KK1. Movies'!AI54)</f>
        <v/>
      </c>
      <c r="AM54" s="203">
        <f>COUNTIF('TK 15661.Bản quyền phim '!F:F,'KK1. Movies'!AI54)</f>
        <v/>
      </c>
      <c r="AN54" s="546">
        <f>AL54+AM54</f>
        <v/>
      </c>
      <c r="AO54" s="203" t="n"/>
      <c r="AP54" s="203" t="n"/>
      <c r="AQ54" s="203" t="n"/>
      <c r="AR54" s="203" t="n"/>
      <c r="AS54" s="203" t="n"/>
      <c r="AT54" s="546">
        <f>IFERROR(VLOOKUP(C54, CodeRanMovies!$A:$K, 11, 0), "Not found")</f>
        <v/>
      </c>
    </row>
    <row r="55" ht="26.4" customHeight="1" s="578">
      <c r="A55" s="201">
        <f>_xlfn.AGGREGATE(3,3,$D$7:D55)</f>
        <v/>
      </c>
      <c r="B55" s="589" t="inlineStr">
        <is>
          <t>K</t>
        </is>
      </c>
      <c r="C55" s="234" t="inlineStr">
        <is>
          <t>MOV_ACT_22__2686483</t>
        </is>
      </c>
      <c r="D55" s="596" t="inlineStr">
        <is>
          <t>Superwho?</t>
        </is>
      </c>
      <c r="E55" s="590" t="inlineStr">
        <is>
          <t>Giả danh anh hùng</t>
        </is>
      </c>
      <c r="F55" s="590" t="inlineStr">
        <is>
          <t>Action, Adventure</t>
        </is>
      </c>
      <c r="G55" s="604" t="inlineStr">
        <is>
          <t>Pro Partner</t>
        </is>
      </c>
      <c r="H55" s="590" t="inlineStr">
        <is>
          <t>56/2023/HDBQ/VSTV-Pro Partner</t>
        </is>
      </c>
      <c r="I55" s="204" t="n">
        <v>2021</v>
      </c>
      <c r="J55" s="600" t="inlineStr">
        <is>
          <t>France</t>
        </is>
      </c>
      <c r="K55" s="204" t="n">
        <v>82</v>
      </c>
      <c r="L55" s="98" t="n">
        <v>44945</v>
      </c>
      <c r="M55" s="98" t="n">
        <v>46040</v>
      </c>
      <c r="N55" s="601" t="n">
        <v>44945</v>
      </c>
      <c r="O55" s="598" t="inlineStr">
        <is>
          <t>K+CINE</t>
        </is>
      </c>
      <c r="P55" s="592" t="inlineStr">
        <is>
          <t>Exclusive All TV Rights the first 9 months of LP
 Non-exclusive with All Catch-up TV Rights; All VOD Rights during LP</t>
        </is>
      </c>
      <c r="Q55" s="600" t="inlineStr">
        <is>
          <t>No</t>
        </is>
      </c>
      <c r="R55" s="592" t="inlineStr">
        <is>
          <t>Yes</t>
        </is>
      </c>
      <c r="S55" s="592" t="inlineStr">
        <is>
          <t>Yes</t>
        </is>
      </c>
      <c r="T55" s="592" t="inlineStr">
        <is>
          <t>Yes</t>
        </is>
      </c>
      <c r="U55" s="592" t="inlineStr">
        <is>
          <t>Yes</t>
        </is>
      </c>
      <c r="V55" s="592" t="inlineStr">
        <is>
          <t>Yes</t>
        </is>
      </c>
      <c r="W55" s="592" t="inlineStr">
        <is>
          <t>Yes</t>
        </is>
      </c>
      <c r="X55" s="592" t="inlineStr">
        <is>
          <t>Yes</t>
        </is>
      </c>
      <c r="Y55" s="592" t="inlineStr">
        <is>
          <t>Yes</t>
        </is>
      </c>
      <c r="Z55" s="98" t="n">
        <v>44945</v>
      </c>
      <c r="AA55" s="98" t="n">
        <v>46040</v>
      </c>
      <c r="AB55" s="96" t="inlineStr">
        <is>
          <t>unlimited</t>
        </is>
      </c>
      <c r="AC55" s="202" t="n">
        <v>29</v>
      </c>
      <c r="AD55" s="592" t="inlineStr">
        <is>
          <t>Yes</t>
        </is>
      </c>
      <c r="AE55" s="592" t="inlineStr">
        <is>
          <t>Yes</t>
        </is>
      </c>
      <c r="AF55" s="596" t="n"/>
      <c r="AG55" s="593" t="inlineStr">
        <is>
          <t>Phim còn hạn từ 2026</t>
        </is>
      </c>
      <c r="AH55" s="594" t="n"/>
      <c r="AI55" s="206" t="inlineStr">
        <is>
          <t>Superwho?</t>
        </is>
      </c>
      <c r="AJ55" s="128">
        <f>SUMIF('TK 15661.Bản quyền phim '!F:F,'KK1. Movies'!D55,'TK 15661.Bản quyền phim '!X:X)</f>
        <v/>
      </c>
      <c r="AK55" s="128">
        <f>SUMIF('TK 15661.Bản quyền phim '!F:F,'KK1. Movies'!AI55,'TK 15661.Bản quyền phim '!X:X)</f>
        <v/>
      </c>
      <c r="AL55" s="203">
        <f>COUNTIF('242.BQ Phim hợp tác'!$C:$C,'KK1. Movies'!AI55)</f>
        <v/>
      </c>
      <c r="AM55" s="203">
        <f>COUNTIF('TK 15661.Bản quyền phim '!F:F,'KK1. Movies'!AI55)</f>
        <v/>
      </c>
      <c r="AN55" s="546">
        <f>AL55+AM55</f>
        <v/>
      </c>
      <c r="AO55" s="203" t="n"/>
      <c r="AP55" s="203" t="n"/>
      <c r="AQ55" s="203" t="n"/>
      <c r="AR55" s="203" t="n"/>
      <c r="AS55" s="203" t="n"/>
      <c r="AT55" s="546">
        <f>IFERROR(VLOOKUP(C55, CodeRanMovies!$A:$K, 11, 0), "Not found")</f>
        <v/>
      </c>
    </row>
    <row r="56">
      <c r="A56" s="201">
        <f>_xlfn.AGGREGATE(3,3,$D$7:D56)</f>
        <v/>
      </c>
      <c r="B56" s="590" t="inlineStr">
        <is>
          <t>16+</t>
        </is>
      </c>
      <c r="C56" s="590" t="inlineStr">
        <is>
          <t>MOV_ACT_22__2668484</t>
        </is>
      </c>
      <c r="D56" s="590" t="inlineStr">
        <is>
          <t>Signal: The Movie</t>
        </is>
      </c>
      <c r="E56" s="590" t="inlineStr">
        <is>
          <t xml:space="preserve">	Tín hiệu chết chóc</t>
        </is>
      </c>
      <c r="F56" s="590" t="inlineStr">
        <is>
          <t>Crime, Thriller</t>
        </is>
      </c>
      <c r="G56" s="590" t="inlineStr">
        <is>
          <t>Skyline Media</t>
        </is>
      </c>
      <c r="H56" s="590" t="inlineStr">
        <is>
          <t>1/2022/HDBQ/VSTV-SM</t>
        </is>
      </c>
      <c r="I56" s="204" t="n">
        <v>2021</v>
      </c>
      <c r="J56" s="600" t="inlineStr">
        <is>
          <t>Japan</t>
        </is>
      </c>
      <c r="K56" s="204" t="n">
        <v>122</v>
      </c>
      <c r="L56" s="98" t="n">
        <v>44755</v>
      </c>
      <c r="M56" s="602" t="n">
        <v>46216</v>
      </c>
      <c r="N56" s="603" t="n">
        <v>44755</v>
      </c>
      <c r="O56" s="592" t="inlineStr">
        <is>
          <t>K+CINE</t>
        </is>
      </c>
      <c r="P56" s="102" t="inlineStr">
        <is>
          <t xml:space="preserve">Exclusive All Pay TV Rights for the first 12 months of LP.
Non exclusive SVOD Right during LP </t>
        </is>
      </c>
      <c r="Q56" s="600" t="inlineStr">
        <is>
          <t>No</t>
        </is>
      </c>
      <c r="R56" s="592" t="inlineStr">
        <is>
          <t>Yes</t>
        </is>
      </c>
      <c r="S56" s="592" t="inlineStr">
        <is>
          <t>Yes</t>
        </is>
      </c>
      <c r="T56" s="592" t="inlineStr">
        <is>
          <t>Yes</t>
        </is>
      </c>
      <c r="U56" s="592" t="inlineStr">
        <is>
          <t>no</t>
        </is>
      </c>
      <c r="V56" s="592" t="inlineStr">
        <is>
          <t>no</t>
        </is>
      </c>
      <c r="W56" s="592" t="inlineStr">
        <is>
          <t>no</t>
        </is>
      </c>
      <c r="X56" s="592" t="inlineStr">
        <is>
          <t>Yes</t>
        </is>
      </c>
      <c r="Y56" s="592" t="inlineStr">
        <is>
          <t>no</t>
        </is>
      </c>
      <c r="Z56" s="98" t="n">
        <v>44755</v>
      </c>
      <c r="AA56" s="602" t="n">
        <v>46216</v>
      </c>
      <c r="AB56" s="204" t="n">
        <v>50</v>
      </c>
      <c r="AC56" s="202" t="n">
        <v>25</v>
      </c>
      <c r="AD56" s="592" t="inlineStr">
        <is>
          <t>Yes</t>
        </is>
      </c>
      <c r="AE56" s="592" t="inlineStr">
        <is>
          <t>Yes</t>
        </is>
      </c>
      <c r="AF56" s="600" t="n"/>
      <c r="AG56" s="593" t="inlineStr">
        <is>
          <t>Phim còn hạn từ 2026</t>
        </is>
      </c>
      <c r="AH56" s="594" t="n"/>
      <c r="AI56" s="599" t="inlineStr">
        <is>
          <t>Signal: The Movie</t>
        </is>
      </c>
      <c r="AJ56" s="128">
        <f>SUMIF('TK 15661.Bản quyền phim '!F:F,'KK1. Movies'!D56,'TK 15661.Bản quyền phim '!X:X)</f>
        <v/>
      </c>
      <c r="AK56" s="128">
        <f>SUMIF('TK 15661.Bản quyền phim '!F:F,'KK1. Movies'!AI56,'TK 15661.Bản quyền phim '!X:X)</f>
        <v/>
      </c>
      <c r="AL56" s="203">
        <f>COUNTIF('242.BQ Phim hợp tác'!$C:$C,'KK1. Movies'!AI56)</f>
        <v/>
      </c>
      <c r="AM56" s="203">
        <f>COUNTIF('TK 15661.Bản quyền phim '!F:F,'KK1. Movies'!AI56)</f>
        <v/>
      </c>
      <c r="AN56" s="546">
        <f>AL56+AM56</f>
        <v/>
      </c>
      <c r="AO56" s="203" t="n"/>
      <c r="AP56" s="203" t="n"/>
      <c r="AQ56" s="203" t="n"/>
      <c r="AR56" s="203" t="n"/>
      <c r="AS56" s="203" t="n"/>
      <c r="AT56" s="546">
        <f>IFERROR(VLOOKUP(C56, CodeRanMovies!$A:$K, 11, 0), "Not found")</f>
        <v/>
      </c>
    </row>
    <row r="57" ht="39.6" customHeight="1" s="578">
      <c r="A57" s="201">
        <f>_xlfn.AGGREGATE(3,3,$D$7:D57)</f>
        <v/>
      </c>
      <c r="B57" s="589" t="inlineStr">
        <is>
          <t>P</t>
        </is>
      </c>
      <c r="C57" s="234" t="inlineStr">
        <is>
          <t>MOV_ANI_22__2674850</t>
        </is>
      </c>
      <c r="D57" s="590" t="inlineStr">
        <is>
          <t>Two Buddies And A Badger: The Great Big Beast</t>
        </is>
      </c>
      <c r="E57" s="590" t="inlineStr">
        <is>
          <t>Chuyến Phiêu Lưu Trời Ơi Đất Hỡi</t>
        </is>
      </c>
      <c r="F57" s="590" t="inlineStr">
        <is>
          <t>Comedy</t>
        </is>
      </c>
      <c r="G57" s="108" t="inlineStr">
        <is>
          <t>Pro Partner</t>
        </is>
      </c>
      <c r="H57" s="590" t="inlineStr">
        <is>
          <t>30/2025/HDBQ/VSTV-Pro Partner</t>
        </is>
      </c>
      <c r="I57" s="204" t="n">
        <v>2020</v>
      </c>
      <c r="J57" s="600" t="inlineStr">
        <is>
          <t>Norway</t>
        </is>
      </c>
      <c r="K57" s="204" t="n">
        <v>78</v>
      </c>
      <c r="L57" s="98" t="n">
        <v>44730</v>
      </c>
      <c r="M57" s="98" t="n">
        <v>46190</v>
      </c>
      <c r="N57" s="601" t="n">
        <v>44730</v>
      </c>
      <c r="O57" s="592" t="inlineStr">
        <is>
          <t>K+KIDS</t>
        </is>
      </c>
      <c r="P57" s="102" t="inlineStr">
        <is>
          <t xml:space="preserve">Non-Exclusive All TV Rights and All VOD Rights during LP </t>
        </is>
      </c>
      <c r="Q57" s="600" t="inlineStr">
        <is>
          <t>No</t>
        </is>
      </c>
      <c r="R57" s="592" t="inlineStr">
        <is>
          <t>Yes</t>
        </is>
      </c>
      <c r="S57" s="592" t="inlineStr">
        <is>
          <t>Yes</t>
        </is>
      </c>
      <c r="T57" s="592" t="inlineStr">
        <is>
          <t>Yes</t>
        </is>
      </c>
      <c r="U57" s="592" t="inlineStr">
        <is>
          <t>Yes</t>
        </is>
      </c>
      <c r="V57" s="592" t="inlineStr">
        <is>
          <t>Yes</t>
        </is>
      </c>
      <c r="W57" s="592" t="inlineStr">
        <is>
          <t>Yes</t>
        </is>
      </c>
      <c r="X57" s="592" t="inlineStr">
        <is>
          <t>Yes</t>
        </is>
      </c>
      <c r="Y57" s="592" t="inlineStr">
        <is>
          <t>Yes</t>
        </is>
      </c>
      <c r="Z57" s="98" t="n">
        <v>44730</v>
      </c>
      <c r="AA57" s="98" t="n">
        <v>46190</v>
      </c>
      <c r="AB57" s="96" t="inlineStr">
        <is>
          <t>unlimited</t>
        </is>
      </c>
      <c r="AC57" s="202" t="n">
        <v>38</v>
      </c>
      <c r="AD57" s="592" t="inlineStr">
        <is>
          <t>Yes</t>
        </is>
      </c>
      <c r="AE57" s="592" t="inlineStr">
        <is>
          <t>Yes</t>
        </is>
      </c>
      <c r="AF57" s="600" t="n"/>
      <c r="AG57" s="593" t="inlineStr">
        <is>
          <t>Phim còn hạn từ 2026</t>
        </is>
      </c>
      <c r="AH57" s="594" t="n"/>
      <c r="AI57" s="206" t="inlineStr">
        <is>
          <t>Two Buddies and a Badger: The Great Big Beast(Chuyến Phiêu Lưu Trời Ơi Đất Hỡi)</t>
        </is>
      </c>
      <c r="AJ57" s="128">
        <f>SUMIF('TK 15661.Bản quyền phim '!F:F,'KK1. Movies'!D57,'TK 15661.Bản quyền phim '!X:X)</f>
        <v/>
      </c>
      <c r="AK57" s="128">
        <f>SUMIF('TK 15661.Bản quyền phim '!F:F,'KK1. Movies'!AI57,'TK 15661.Bản quyền phim '!X:X)</f>
        <v/>
      </c>
      <c r="AL57" s="203">
        <f>COUNTIF('242.BQ Phim hợp tác'!$C:$C,'KK1. Movies'!AI57)</f>
        <v/>
      </c>
      <c r="AM57" s="203">
        <f>COUNTIF('TK 15661.Bản quyền phim '!F:F,'KK1. Movies'!AI57)</f>
        <v/>
      </c>
      <c r="AN57" s="546">
        <f>AL57+AM57</f>
        <v/>
      </c>
      <c r="AO57" s="203" t="n"/>
      <c r="AP57" s="203" t="n"/>
      <c r="AQ57" s="203" t="n"/>
      <c r="AR57" s="203" t="n"/>
      <c r="AS57" s="203" t="n"/>
      <c r="AT57" s="546">
        <f>IFERROR(VLOOKUP(C57, CodeRanMovies!$A:$K, 11, 0), "Not found")</f>
        <v/>
      </c>
    </row>
    <row r="58">
      <c r="A58" s="201">
        <f>_xlfn.AGGREGATE(3,3,$D$7:D58)</f>
        <v/>
      </c>
      <c r="B58" s="606" t="inlineStr">
        <is>
          <t>n/a</t>
        </is>
      </c>
      <c r="C58" s="590" t="inlineStr">
        <is>
          <t>MOV_ACT598</t>
        </is>
      </c>
      <c r="D58" s="105" t="inlineStr">
        <is>
          <t>Misanthrope</t>
        </is>
      </c>
      <c r="E58" s="97" t="inlineStr">
        <is>
          <t>Truy bắt sát nhân</t>
        </is>
      </c>
      <c r="F58" s="103" t="inlineStr">
        <is>
          <t xml:space="preserve">Thriller </t>
        </is>
      </c>
      <c r="G58" s="103" t="inlineStr">
        <is>
          <t>Rose</t>
        </is>
      </c>
      <c r="H58" s="590" t="inlineStr">
        <is>
          <t>4/2025/HDBQ/VSTV-RM</t>
        </is>
      </c>
      <c r="I58" s="104" t="n">
        <v>2023</v>
      </c>
      <c r="J58" s="104" t="inlineStr">
        <is>
          <t>US</t>
        </is>
      </c>
      <c r="K58" s="104" t="n">
        <v>119</v>
      </c>
      <c r="L58" s="591" t="n">
        <v>45750</v>
      </c>
      <c r="M58" s="106" t="n">
        <v>46998</v>
      </c>
      <c r="N58" s="601" t="inlineStr">
        <is>
          <t>n/a</t>
        </is>
      </c>
      <c r="O58" s="592" t="n"/>
      <c r="P58" s="104" t="n">
        <v>12</v>
      </c>
      <c r="Q58" s="104" t="inlineStr">
        <is>
          <t>No</t>
        </is>
      </c>
      <c r="R58" s="592" t="inlineStr">
        <is>
          <t>Yes</t>
        </is>
      </c>
      <c r="S58" s="107" t="inlineStr">
        <is>
          <t>Yes</t>
        </is>
      </c>
      <c r="T58" s="592" t="inlineStr">
        <is>
          <t>Yes</t>
        </is>
      </c>
      <c r="U58" s="107" t="inlineStr">
        <is>
          <t>Yes</t>
        </is>
      </c>
      <c r="V58" s="107" t="inlineStr">
        <is>
          <t>Yes</t>
        </is>
      </c>
      <c r="W58" s="107" t="inlineStr">
        <is>
          <t>Yes</t>
        </is>
      </c>
      <c r="X58" s="107" t="inlineStr">
        <is>
          <t>Yes</t>
        </is>
      </c>
      <c r="Y58" s="104" t="inlineStr">
        <is>
          <t>Yes</t>
        </is>
      </c>
      <c r="Z58" s="591" t="n">
        <v>45750</v>
      </c>
      <c r="AA58" s="106" t="n">
        <v>46998</v>
      </c>
      <c r="AB58" s="104" t="n">
        <v>24</v>
      </c>
      <c r="AC58" s="202" t="n">
        <v>3</v>
      </c>
      <c r="AD58" s="592" t="inlineStr">
        <is>
          <t>Yes</t>
        </is>
      </c>
      <c r="AE58" s="592" t="inlineStr">
        <is>
          <t>Yes</t>
        </is>
      </c>
      <c r="AF58" s="600" t="n"/>
      <c r="AG58" s="593" t="inlineStr">
        <is>
          <t>Phim còn hạn từ 2026</t>
        </is>
      </c>
      <c r="AH58" s="594" t="inlineStr">
        <is>
          <t>MOV_ACT598</t>
        </is>
      </c>
      <c r="AI58" s="206" t="inlineStr">
        <is>
          <t>Misanthrope</t>
        </is>
      </c>
      <c r="AJ58" s="128">
        <f>SUMIF('TK 15661.Bản quyền phim '!F:F,'KK1. Movies'!D58,'TK 15661.Bản quyền phim '!X:X)</f>
        <v/>
      </c>
      <c r="AK58" s="128">
        <f>SUMIF('TK 15661.Bản quyền phim '!F:F,'KK1. Movies'!AI58,'TK 15661.Bản quyền phim '!X:X)</f>
        <v/>
      </c>
      <c r="AL58" s="203">
        <f>COUNTIF('242.BQ Phim hợp tác'!$C:$C,'KK1. Movies'!AI58)</f>
        <v/>
      </c>
      <c r="AM58" s="203">
        <f>COUNTIF('TK 15661.Bản quyền phim '!F:F,'KK1. Movies'!AI58)</f>
        <v/>
      </c>
      <c r="AN58" s="546">
        <f>AL58+AM58</f>
        <v/>
      </c>
      <c r="AO58" s="203" t="n"/>
      <c r="AP58" s="203" t="n"/>
      <c r="AQ58" s="203" t="n"/>
      <c r="AR58" s="203" t="n"/>
      <c r="AS58" s="203" t="n"/>
      <c r="AT58" s="546">
        <f>IFERROR(VLOOKUP(C58, CodeRanMovies!$A:$K, 11, 0), "Not found")</f>
        <v/>
      </c>
    </row>
    <row r="59" ht="52.8" customHeight="1" s="578">
      <c r="A59" s="201">
        <f>_xlfn.AGGREGATE(3,3,$D$7:D59)</f>
        <v/>
      </c>
      <c r="B59" s="589" t="inlineStr">
        <is>
          <t>16+</t>
        </is>
      </c>
      <c r="C59" s="590" t="inlineStr">
        <is>
          <t>MOV_ACT__2651375</t>
        </is>
      </c>
      <c r="D59" s="590" t="inlineStr">
        <is>
          <t>S: THE LAST POLICEMAN-RECOVERY OF OUR FUTURE</t>
        </is>
      </c>
      <c r="E59" s="590" t="inlineStr">
        <is>
          <t>Đội cảnh sát S</t>
        </is>
      </c>
      <c r="F59" s="590" t="inlineStr">
        <is>
          <t>Crime, Thriller</t>
        </is>
      </c>
      <c r="G59" s="590" t="inlineStr">
        <is>
          <t>TBS</t>
        </is>
      </c>
      <c r="H59" s="114" t="n">
        <v>202104013</v>
      </c>
      <c r="I59" s="96" t="n">
        <v>2015</v>
      </c>
      <c r="J59" s="600" t="inlineStr">
        <is>
          <t>Japan</t>
        </is>
      </c>
      <c r="K59" s="96" t="n">
        <v>120</v>
      </c>
      <c r="L59" s="98" t="n">
        <v>44284</v>
      </c>
      <c r="M59" s="602" t="n">
        <v>46109</v>
      </c>
      <c r="N59" s="603" t="n">
        <v>44391</v>
      </c>
      <c r="O59" s="592" t="inlineStr">
        <is>
          <t>K+CINE</t>
        </is>
      </c>
      <c r="P59" s="592" t="n"/>
      <c r="Q59" s="592" t="inlineStr">
        <is>
          <t>No</t>
        </is>
      </c>
      <c r="R59" s="592" t="inlineStr">
        <is>
          <t>Yes</t>
        </is>
      </c>
      <c r="S59" s="592" t="inlineStr">
        <is>
          <t>Yes</t>
        </is>
      </c>
      <c r="T59" s="592" t="inlineStr">
        <is>
          <t>Yes</t>
        </is>
      </c>
      <c r="U59" s="592" t="inlineStr">
        <is>
          <t>Yes</t>
        </is>
      </c>
      <c r="V59" s="592" t="inlineStr">
        <is>
          <t>Yes</t>
        </is>
      </c>
      <c r="W59" s="592" t="inlineStr">
        <is>
          <t>Yes</t>
        </is>
      </c>
      <c r="X59" s="592" t="inlineStr">
        <is>
          <t>Yes</t>
        </is>
      </c>
      <c r="Y59" s="592" t="inlineStr">
        <is>
          <t>Yes</t>
        </is>
      </c>
      <c r="Z59" s="98" t="n">
        <v>44284</v>
      </c>
      <c r="AA59" s="602" t="n">
        <v>46109</v>
      </c>
      <c r="AB59" s="202" t="n">
        <v>50</v>
      </c>
      <c r="AC59" s="100" t="n">
        <v>38</v>
      </c>
      <c r="AD59" s="592" t="inlineStr">
        <is>
          <t>Yes</t>
        </is>
      </c>
      <c r="AE59" s="592" t="inlineStr">
        <is>
          <t>Yes</t>
        </is>
      </c>
      <c r="AF59" s="600" t="n"/>
      <c r="AG59" s="593" t="inlineStr">
        <is>
          <t>Phim còn hạn từ 2026</t>
        </is>
      </c>
      <c r="AH59" s="594" t="n"/>
      <c r="AI59" s="206" t="inlineStr">
        <is>
          <t>S: THE LAST POLICEMAN-Recovery of Our Future-</t>
        </is>
      </c>
      <c r="AJ59" s="128">
        <f>SUMIF('TK 15661.Bản quyền phim '!F:F,'KK1. Movies'!D59,'TK 15661.Bản quyền phim '!X:X)</f>
        <v/>
      </c>
      <c r="AK59" s="128">
        <f>SUMIF('TK 15661.Bản quyền phim '!F:F,'KK1. Movies'!AI59,'TK 15661.Bản quyền phim '!X:X)</f>
        <v/>
      </c>
      <c r="AL59" s="203">
        <f>COUNTIF('242.BQ Phim hợp tác'!$C:$C,'KK1. Movies'!AI59)</f>
        <v/>
      </c>
      <c r="AM59" s="203">
        <f>COUNTIF('TK 15661.Bản quyền phim '!F:F,'KK1. Movies'!AI59)</f>
        <v/>
      </c>
      <c r="AN59" s="546">
        <f>AL59+AM59</f>
        <v/>
      </c>
      <c r="AO59" s="203" t="n"/>
      <c r="AP59" s="203" t="n"/>
      <c r="AQ59" s="203" t="n"/>
      <c r="AR59" s="203" t="n"/>
      <c r="AS59" s="203" t="n"/>
      <c r="AT59" s="546">
        <f>IFERROR(VLOOKUP(C59, CodeRanMovies!$A:$K, 11, 0), "Not found")</f>
        <v/>
      </c>
    </row>
    <row r="60" ht="26.4" customHeight="1" s="578">
      <c r="A60" s="201">
        <f>_xlfn.AGGREGATE(3,3,$D$7:D60)</f>
        <v/>
      </c>
      <c r="B60" s="606" t="inlineStr">
        <is>
          <t>n/a</t>
        </is>
      </c>
      <c r="C60" s="590" t="inlineStr">
        <is>
          <t>MOV_CRI111</t>
        </is>
      </c>
      <c r="D60" s="105" t="inlineStr">
        <is>
          <t>Longlegs</t>
        </is>
      </c>
      <c r="E60" s="97" t="inlineStr">
        <is>
          <t>Thảm kịch dị giáo</t>
        </is>
      </c>
      <c r="F60" s="590" t="inlineStr">
        <is>
          <t>Horror</t>
        </is>
      </c>
      <c r="G60" s="103" t="inlineStr">
        <is>
          <t xml:space="preserve">Mocking Bird </t>
        </is>
      </c>
      <c r="H60" s="108" t="inlineStr">
        <is>
          <t>10/2025/HDBQ/VSTV-Mockingbird</t>
        </is>
      </c>
      <c r="I60" s="104" t="n">
        <v>2024</v>
      </c>
      <c r="J60" s="104" t="inlineStr">
        <is>
          <t>Korea</t>
        </is>
      </c>
      <c r="K60" s="104" t="n">
        <v>101</v>
      </c>
      <c r="L60" s="591" t="n">
        <v>45751</v>
      </c>
      <c r="M60" s="106" t="n">
        <v>46846</v>
      </c>
      <c r="N60" s="601" t="inlineStr">
        <is>
          <t>n/a</t>
        </is>
      </c>
      <c r="O60" s="592" t="n"/>
      <c r="P60" s="592" t="n"/>
      <c r="Q60" s="104" t="inlineStr">
        <is>
          <t>No</t>
        </is>
      </c>
      <c r="R60" s="592" t="inlineStr">
        <is>
          <t>Yes</t>
        </is>
      </c>
      <c r="S60" s="107" t="inlineStr">
        <is>
          <t>Yes</t>
        </is>
      </c>
      <c r="T60" s="592" t="inlineStr">
        <is>
          <t>Yes</t>
        </is>
      </c>
      <c r="U60" s="107" t="inlineStr">
        <is>
          <t>Yes</t>
        </is>
      </c>
      <c r="V60" s="107" t="inlineStr">
        <is>
          <t>Yes</t>
        </is>
      </c>
      <c r="W60" s="107" t="inlineStr">
        <is>
          <t>Yes</t>
        </is>
      </c>
      <c r="X60" s="107" t="inlineStr">
        <is>
          <t>Yes</t>
        </is>
      </c>
      <c r="Y60" s="107" t="inlineStr">
        <is>
          <t>Yes</t>
        </is>
      </c>
      <c r="Z60" s="106" t="n">
        <v>45948</v>
      </c>
      <c r="AA60" s="124" t="n">
        <v>47043</v>
      </c>
      <c r="AB60" s="104" t="n">
        <v>24</v>
      </c>
      <c r="AC60" s="202" t="n">
        <v>3</v>
      </c>
      <c r="AD60" s="592" t="inlineStr">
        <is>
          <t>Yes</t>
        </is>
      </c>
      <c r="AE60" s="592" t="inlineStr">
        <is>
          <t>Yes</t>
        </is>
      </c>
      <c r="AF60" s="600" t="n"/>
      <c r="AG60" s="593" t="inlineStr">
        <is>
          <t>Phim còn hạn từ 2026</t>
        </is>
      </c>
      <c r="AH60" s="594" t="inlineStr">
        <is>
          <t>MOV_CRI111</t>
        </is>
      </c>
      <c r="AI60" s="206" t="inlineStr">
        <is>
          <t>Longlegs</t>
        </is>
      </c>
      <c r="AJ60" s="128">
        <f>SUMIF('TK 15661.Bản quyền phim '!F:F,'KK1. Movies'!D60,'TK 15661.Bản quyền phim '!X:X)</f>
        <v/>
      </c>
      <c r="AK60" s="128">
        <f>SUMIF('TK 15661.Bản quyền phim '!F:F,'KK1. Movies'!AI60,'TK 15661.Bản quyền phim '!X:X)</f>
        <v/>
      </c>
      <c r="AL60" s="203">
        <f>COUNTIF('242.BQ Phim hợp tác'!$C:$C,'KK1. Movies'!AI60)</f>
        <v/>
      </c>
      <c r="AM60" s="203">
        <f>COUNTIF('TK 15661.Bản quyền phim '!F:F,'KK1. Movies'!AI60)</f>
        <v/>
      </c>
      <c r="AN60" s="546">
        <f>AL60+AM60</f>
        <v/>
      </c>
      <c r="AO60" s="203" t="n"/>
      <c r="AP60" s="203" t="n"/>
      <c r="AQ60" s="203" t="n"/>
      <c r="AR60" s="203" t="n"/>
      <c r="AS60" s="203" t="n"/>
      <c r="AT60" s="546">
        <f>IFERROR(VLOOKUP(C60, CodeRanMovies!$A:$K, 11, 0), "Not found")</f>
        <v/>
      </c>
    </row>
    <row r="61" ht="26.4" customHeight="1" s="578">
      <c r="A61" s="201">
        <f>_xlfn.AGGREGATE(3,3,$D$7:D61)</f>
        <v/>
      </c>
      <c r="B61" s="589" t="inlineStr">
        <is>
          <t>13+</t>
        </is>
      </c>
      <c r="C61" s="590" t="inlineStr">
        <is>
          <t>MOV_DRA727</t>
        </is>
      </c>
      <c r="D61" s="105" t="inlineStr">
        <is>
          <t>DEAR EVAN HANSEN</t>
        </is>
      </c>
      <c r="E61" s="110" t="inlineStr">
        <is>
          <t>Evan Hansen thân mến</t>
        </is>
      </c>
      <c r="F61" s="108" t="inlineStr">
        <is>
          <t>Drama</t>
        </is>
      </c>
      <c r="G61" s="108" t="inlineStr">
        <is>
          <t>NBC Universal</t>
        </is>
      </c>
      <c r="H61" s="108" t="inlineStr">
        <is>
          <t>5049540-2/161434-3</t>
        </is>
      </c>
      <c r="I61" s="104" t="n">
        <v>2021</v>
      </c>
      <c r="J61" s="107" t="inlineStr">
        <is>
          <t>US</t>
        </is>
      </c>
      <c r="K61" s="104" t="n">
        <v>137</v>
      </c>
      <c r="L61" s="98" t="n">
        <v>45623</v>
      </c>
      <c r="M61" s="98" t="n">
        <v>46352</v>
      </c>
      <c r="N61" s="601" t="n">
        <v>45623</v>
      </c>
      <c r="O61" s="592" t="inlineStr">
        <is>
          <t>K+CINE</t>
        </is>
      </c>
      <c r="P61" s="112" t="n">
        <v>12</v>
      </c>
      <c r="Q61" s="104" t="inlineStr">
        <is>
          <t>No</t>
        </is>
      </c>
      <c r="R61" s="592" t="inlineStr">
        <is>
          <t>Yes</t>
        </is>
      </c>
      <c r="S61" s="104" t="inlineStr">
        <is>
          <t>Yes</t>
        </is>
      </c>
      <c r="T61" s="592" t="inlineStr">
        <is>
          <t>Yes</t>
        </is>
      </c>
      <c r="U61" s="104" t="inlineStr">
        <is>
          <t>No</t>
        </is>
      </c>
      <c r="V61" s="104" t="inlineStr">
        <is>
          <t>No</t>
        </is>
      </c>
      <c r="W61" s="104" t="inlineStr">
        <is>
          <t>No</t>
        </is>
      </c>
      <c r="X61" s="104" t="inlineStr">
        <is>
          <t>No</t>
        </is>
      </c>
      <c r="Y61" s="104" t="inlineStr">
        <is>
          <t>Yes</t>
        </is>
      </c>
      <c r="Z61" s="98" t="n">
        <v>45623</v>
      </c>
      <c r="AA61" s="98" t="n">
        <v>46352</v>
      </c>
      <c r="AB61" s="107" t="n">
        <v>6</v>
      </c>
      <c r="AC61" s="107" t="n">
        <v>2</v>
      </c>
      <c r="AD61" s="592" t="inlineStr">
        <is>
          <t>Yes</t>
        </is>
      </c>
      <c r="AE61" s="592" t="inlineStr">
        <is>
          <t>Yes</t>
        </is>
      </c>
      <c r="AF61" s="596" t="n"/>
      <c r="AG61" s="593" t="inlineStr">
        <is>
          <t>Phim còn hạn từ 2026</t>
        </is>
      </c>
      <c r="AH61" s="594" t="n"/>
      <c r="AI61" s="599" t="inlineStr">
        <is>
          <t>DEAR EVAN HANSEN</t>
        </is>
      </c>
      <c r="AJ61" s="128">
        <f>SUMIF('TK 15661.Bản quyền phim '!F:F,'KK1. Movies'!D61,'TK 15661.Bản quyền phim '!X:X)</f>
        <v/>
      </c>
      <c r="AK61" s="128">
        <f>SUMIF('TK 15661.Bản quyền phim '!F:F,'KK1. Movies'!AI61,'TK 15661.Bản quyền phim '!X:X)</f>
        <v/>
      </c>
      <c r="AL61" s="203">
        <f>COUNTIF('242.BQ Phim hợp tác'!$C:$C,'KK1. Movies'!AI61)</f>
        <v/>
      </c>
      <c r="AM61" s="203">
        <f>COUNTIF('TK 15661.Bản quyền phim '!F:F,'KK1. Movies'!AI61)</f>
        <v/>
      </c>
      <c r="AN61" s="546">
        <f>AL61+AM61</f>
        <v/>
      </c>
      <c r="AO61" s="203" t="n"/>
      <c r="AP61" s="203" t="n"/>
      <c r="AQ61" s="203" t="n"/>
      <c r="AR61" s="203" t="n"/>
      <c r="AS61" s="203" t="n"/>
      <c r="AT61" s="546">
        <f>IFERROR(VLOOKUP(C61, CodeRanMovies!$A:$K, 11, 0), "Not found")</f>
        <v/>
      </c>
    </row>
    <row r="62" ht="26.4" customHeight="1" s="578">
      <c r="A62" s="201">
        <f>_xlfn.AGGREGATE(3,3,$D$7:D62)</f>
        <v/>
      </c>
      <c r="B62" s="110" t="inlineStr">
        <is>
          <t>16+</t>
        </is>
      </c>
      <c r="C62" s="234" t="inlineStr">
        <is>
          <t>MOV_ACT_22__2686484</t>
        </is>
      </c>
      <c r="D62" s="596" t="inlineStr">
        <is>
          <t xml:space="preserve">Sicario: Day of the Soldado  </t>
        </is>
      </c>
      <c r="E62" s="590" t="inlineStr">
        <is>
          <t>Chiến binh Mexico</t>
        </is>
      </c>
      <c r="F62" s="590" t="inlineStr">
        <is>
          <t>Action, Adventure</t>
        </is>
      </c>
      <c r="G62" s="604" t="inlineStr">
        <is>
          <t>Pro Partner</t>
        </is>
      </c>
      <c r="H62" s="590" t="inlineStr">
        <is>
          <t>56/2023/HDBQ/VSTV-Pro Partner</t>
        </is>
      </c>
      <c r="I62" s="204" t="n">
        <v>2018</v>
      </c>
      <c r="J62" s="600" t="inlineStr">
        <is>
          <t>US</t>
        </is>
      </c>
      <c r="K62" s="204" t="n">
        <v>122</v>
      </c>
      <c r="L62" s="98" t="n">
        <v>44960</v>
      </c>
      <c r="M62" s="591" t="n">
        <v>46055</v>
      </c>
      <c r="N62" s="601" t="n">
        <v>44960</v>
      </c>
      <c r="O62" s="598" t="inlineStr">
        <is>
          <t>K+CINE</t>
        </is>
      </c>
      <c r="P62" s="592" t="inlineStr">
        <is>
          <t>Exclusive All TV Rights the first 9 months of LP
 Non-exclusive with All Catch-up TV Rights; All VOD Rights during LP</t>
        </is>
      </c>
      <c r="Q62" s="600" t="inlineStr">
        <is>
          <t>No</t>
        </is>
      </c>
      <c r="R62" s="592" t="inlineStr">
        <is>
          <t>Yes</t>
        </is>
      </c>
      <c r="S62" s="592" t="inlineStr">
        <is>
          <t>Yes</t>
        </is>
      </c>
      <c r="T62" s="592" t="inlineStr">
        <is>
          <t>Yes</t>
        </is>
      </c>
      <c r="U62" s="592" t="inlineStr">
        <is>
          <t>Yes</t>
        </is>
      </c>
      <c r="V62" s="592" t="inlineStr">
        <is>
          <t>Yes</t>
        </is>
      </c>
      <c r="W62" s="592" t="inlineStr">
        <is>
          <t>Yes</t>
        </is>
      </c>
      <c r="X62" s="592" t="inlineStr">
        <is>
          <t>Yes</t>
        </is>
      </c>
      <c r="Y62" s="592" t="inlineStr">
        <is>
          <t>Yes</t>
        </is>
      </c>
      <c r="Z62" s="98" t="n">
        <v>44960</v>
      </c>
      <c r="AA62" s="591" t="n">
        <v>46055</v>
      </c>
      <c r="AB62" s="96" t="inlineStr">
        <is>
          <t>unlimited</t>
        </is>
      </c>
      <c r="AC62" s="202" t="n">
        <v>31</v>
      </c>
      <c r="AD62" s="592" t="inlineStr">
        <is>
          <t>Yes</t>
        </is>
      </c>
      <c r="AE62" s="592" t="inlineStr">
        <is>
          <t>Yes</t>
        </is>
      </c>
      <c r="AF62" s="593" t="n"/>
      <c r="AG62" s="593" t="inlineStr">
        <is>
          <t>Phim còn hạn từ 2026</t>
        </is>
      </c>
      <c r="AH62" s="594" t="n"/>
      <c r="AI62" s="206" t="inlineStr">
        <is>
          <t>Sicario: Day of the Soldado</t>
        </is>
      </c>
      <c r="AJ62" s="128">
        <f>SUMIF('TK 15661.Bản quyền phim '!F:F,'KK1. Movies'!D62,'TK 15661.Bản quyền phim '!X:X)</f>
        <v/>
      </c>
      <c r="AK62" s="128">
        <f>SUMIF('TK 15661.Bản quyền phim '!F:F,'KK1. Movies'!AI62,'TK 15661.Bản quyền phim '!X:X)</f>
        <v/>
      </c>
      <c r="AL62" s="203">
        <f>COUNTIF('242.BQ Phim hợp tác'!$C:$C,'KK1. Movies'!AI62)</f>
        <v/>
      </c>
      <c r="AM62" s="203">
        <f>COUNTIF('TK 15661.Bản quyền phim '!F:F,'KK1. Movies'!AI62)</f>
        <v/>
      </c>
      <c r="AN62" s="546">
        <f>AL62+AM62</f>
        <v/>
      </c>
      <c r="AO62" s="203" t="n"/>
      <c r="AP62" s="203" t="n"/>
      <c r="AQ62" s="203" t="n"/>
      <c r="AR62" s="203" t="n"/>
      <c r="AS62" s="203" t="n"/>
      <c r="AT62" s="546">
        <f>IFERROR(VLOOKUP(C62, CodeRanMovies!$A:$K, 11, 0), "Not found")</f>
        <v/>
      </c>
    </row>
    <row r="63" ht="26.4" customHeight="1" s="578">
      <c r="A63" s="201">
        <f>_xlfn.AGGREGATE(3,3,$D$7:D63)</f>
        <v/>
      </c>
      <c r="B63" s="589" t="inlineStr">
        <is>
          <t>16+</t>
        </is>
      </c>
      <c r="C63" s="590" t="inlineStr">
        <is>
          <t>MOV_CRI_24__2710436</t>
        </is>
      </c>
      <c r="D63" s="105" t="inlineStr">
        <is>
          <t>DEATH NOTICE</t>
        </is>
      </c>
      <c r="E63" s="590" t="inlineStr">
        <is>
          <t>Bản thông báo tử vong</t>
        </is>
      </c>
      <c r="F63" s="590" t="inlineStr">
        <is>
          <t>Crime, Thriller</t>
        </is>
      </c>
      <c r="G63" s="108" t="inlineStr">
        <is>
          <t>Skyline Media</t>
        </is>
      </c>
      <c r="H63" s="590" t="inlineStr">
        <is>
          <t>28/2024/HDBQ/VSTV-SM</t>
        </is>
      </c>
      <c r="I63" s="107" t="n">
        <v>2023</v>
      </c>
      <c r="J63" s="600" t="inlineStr">
        <is>
          <t>Hong Kong</t>
        </is>
      </c>
      <c r="K63" s="107" t="n">
        <v>100</v>
      </c>
      <c r="L63" s="98" t="n">
        <v>45352</v>
      </c>
      <c r="M63" s="109" t="n">
        <v>46446</v>
      </c>
      <c r="N63" s="601" t="n">
        <v>45554</v>
      </c>
      <c r="O63" s="592" t="inlineStr">
        <is>
          <t>K+CINE</t>
        </is>
      </c>
      <c r="P63" s="104" t="n">
        <v>12</v>
      </c>
      <c r="Q63" s="107" t="inlineStr">
        <is>
          <t>No</t>
        </is>
      </c>
      <c r="R63" s="592" t="inlineStr">
        <is>
          <t>Yes</t>
        </is>
      </c>
      <c r="S63" s="592" t="inlineStr">
        <is>
          <t>Yes</t>
        </is>
      </c>
      <c r="T63" s="592" t="inlineStr">
        <is>
          <t>Yes</t>
        </is>
      </c>
      <c r="U63" s="592" t="inlineStr">
        <is>
          <t>Yes</t>
        </is>
      </c>
      <c r="V63" s="592" t="inlineStr">
        <is>
          <t>Yes</t>
        </is>
      </c>
      <c r="W63" s="592" t="inlineStr">
        <is>
          <t>Yes</t>
        </is>
      </c>
      <c r="X63" s="592" t="inlineStr">
        <is>
          <t>Yes</t>
        </is>
      </c>
      <c r="Y63" s="104" t="inlineStr">
        <is>
          <t>No</t>
        </is>
      </c>
      <c r="Z63" s="98" t="n">
        <v>45352</v>
      </c>
      <c r="AA63" s="109" t="n">
        <v>46446</v>
      </c>
      <c r="AB63" s="107" t="n">
        <v>24</v>
      </c>
      <c r="AC63" s="202" t="n">
        <v>15</v>
      </c>
      <c r="AD63" s="592" t="inlineStr">
        <is>
          <t>Yes</t>
        </is>
      </c>
      <c r="AE63" s="592" t="inlineStr">
        <is>
          <t>Yes</t>
        </is>
      </c>
      <c r="AF63" s="600" t="n"/>
      <c r="AG63" s="593" t="inlineStr">
        <is>
          <t>Phim còn hạn từ 2026</t>
        </is>
      </c>
      <c r="AH63" s="594" t="n"/>
      <c r="AI63" s="206" t="inlineStr">
        <is>
          <t>DEATH NOTICE</t>
        </is>
      </c>
      <c r="AJ63" s="128">
        <f>SUMIF('TK 15661.Bản quyền phim '!F:F,'KK1. Movies'!D63,'TK 15661.Bản quyền phim '!X:X)</f>
        <v/>
      </c>
      <c r="AK63" s="128">
        <f>SUMIF('TK 15661.Bản quyền phim '!F:F,'KK1. Movies'!AI63,'TK 15661.Bản quyền phim '!X:X)</f>
        <v/>
      </c>
      <c r="AL63" s="203">
        <f>COUNTIF('242.BQ Phim hợp tác'!$C:$C,'KK1. Movies'!AI63)</f>
        <v/>
      </c>
      <c r="AM63" s="203">
        <f>COUNTIF('TK 15661.Bản quyền phim '!F:F,'KK1. Movies'!AI63)</f>
        <v/>
      </c>
      <c r="AN63" s="546">
        <f>AL63+AM63</f>
        <v/>
      </c>
      <c r="AO63" s="203" t="n"/>
      <c r="AP63" s="203" t="n"/>
      <c r="AQ63" s="203" t="n"/>
      <c r="AR63" s="203" t="n"/>
      <c r="AS63" s="203" t="n"/>
      <c r="AT63" s="546">
        <f>IFERROR(VLOOKUP(C63, CodeRanMovies!$A:$K, 11, 0), "Not found")</f>
        <v/>
      </c>
    </row>
    <row r="64" ht="26.4" customHeight="1" s="578">
      <c r="A64" s="201">
        <f>_xlfn.AGGREGATE(3,3,$D$7:D64)</f>
        <v/>
      </c>
      <c r="B64" s="589" t="inlineStr">
        <is>
          <t>16+</t>
        </is>
      </c>
      <c r="C64" s="590" t="inlineStr">
        <is>
          <t>MOV_DRA_23__2694714</t>
        </is>
      </c>
      <c r="D64" s="596" t="inlineStr">
        <is>
          <t>MY GIRL</t>
        </is>
      </c>
      <c r="E64" s="590" t="inlineStr">
        <is>
          <t>Điều ước cuối của tù nhân 2037</t>
        </is>
      </c>
      <c r="F64" s="589" t="inlineStr">
        <is>
          <t>Drama</t>
        </is>
      </c>
      <c r="G64" s="589" t="inlineStr">
        <is>
          <t>CJ HK</t>
        </is>
      </c>
      <c r="H64" s="590" t="inlineStr">
        <is>
          <t>135/2022/HDBQ/VSTV-CJHK</t>
        </is>
      </c>
      <c r="I64" s="204" t="n">
        <v>2022</v>
      </c>
      <c r="J64" s="600" t="inlineStr">
        <is>
          <t>Korea</t>
        </is>
      </c>
      <c r="K64" s="204" t="n">
        <v>111</v>
      </c>
      <c r="L64" s="98" t="n">
        <v>45190</v>
      </c>
      <c r="M64" s="101" t="n">
        <v>46285</v>
      </c>
      <c r="N64" s="597" t="n">
        <v>45190</v>
      </c>
      <c r="O64" s="598" t="inlineStr">
        <is>
          <t>K+CINE</t>
        </is>
      </c>
      <c r="P64" s="96" t="n">
        <v>12</v>
      </c>
      <c r="Q64" s="592" t="inlineStr">
        <is>
          <t>No</t>
        </is>
      </c>
      <c r="R64" s="592" t="inlineStr">
        <is>
          <t>Yes</t>
        </is>
      </c>
      <c r="S64" s="592" t="inlineStr">
        <is>
          <t>Yes</t>
        </is>
      </c>
      <c r="T64" s="592" t="inlineStr">
        <is>
          <t>Yes</t>
        </is>
      </c>
      <c r="U64" s="592" t="inlineStr">
        <is>
          <t>Yes</t>
        </is>
      </c>
      <c r="V64" s="592" t="inlineStr">
        <is>
          <t>Yes</t>
        </is>
      </c>
      <c r="W64" s="592" t="inlineStr">
        <is>
          <t>Yes</t>
        </is>
      </c>
      <c r="X64" s="104" t="inlineStr">
        <is>
          <t>No</t>
        </is>
      </c>
      <c r="Y64" s="592" t="inlineStr">
        <is>
          <t>Yes</t>
        </is>
      </c>
      <c r="Z64" s="98" t="n">
        <v>45190</v>
      </c>
      <c r="AA64" s="101" t="n">
        <v>46285</v>
      </c>
      <c r="AB64" s="96" t="inlineStr">
        <is>
          <t>unlimited</t>
        </is>
      </c>
      <c r="AC64" s="202" t="n">
        <v>26</v>
      </c>
      <c r="AD64" s="592" t="inlineStr">
        <is>
          <t>Yes</t>
        </is>
      </c>
      <c r="AE64" s="592" t="inlineStr">
        <is>
          <t>Yes</t>
        </is>
      </c>
      <c r="AF64" s="600" t="n"/>
      <c r="AG64" s="593" t="inlineStr">
        <is>
          <t>Phim còn hạn từ 2026</t>
        </is>
      </c>
      <c r="AH64" s="594" t="n"/>
      <c r="AI64" s="206" t="inlineStr">
        <is>
          <t>MY GIRL (Điều ước cuối của tù nhân 2037)</t>
        </is>
      </c>
      <c r="AJ64" s="128">
        <f>SUMIF('TK 15661.Bản quyền phim '!F:F,'KK1. Movies'!D64,'TK 15661.Bản quyền phim '!X:X)</f>
        <v/>
      </c>
      <c r="AK64" s="128">
        <f>SUMIF('TK 15661.Bản quyền phim '!F:F,'KK1. Movies'!AI64,'TK 15661.Bản quyền phim '!X:X)</f>
        <v/>
      </c>
      <c r="AL64" s="203">
        <f>COUNTIF('242.BQ Phim hợp tác'!$C:$C,'KK1. Movies'!AI64)</f>
        <v/>
      </c>
      <c r="AM64" s="203">
        <f>COUNTIF('TK 15661.Bản quyền phim '!F:F,'KK1. Movies'!AI64)</f>
        <v/>
      </c>
      <c r="AN64" s="546">
        <f>AL64+AM64</f>
        <v/>
      </c>
      <c r="AO64" s="203" t="n"/>
      <c r="AP64" s="203" t="n"/>
      <c r="AQ64" s="203" t="n"/>
      <c r="AR64" s="203" t="n"/>
      <c r="AS64" s="203" t="n"/>
      <c r="AT64" s="546">
        <f>IFERROR(VLOOKUP(C64, CodeRanMovies!$A:$K, 11, 0), "Not found")</f>
        <v/>
      </c>
    </row>
    <row r="65" ht="26.4" customHeight="1" s="578">
      <c r="A65" s="201">
        <f>_xlfn.AGGREGATE(3,3,$D$7:D65)</f>
        <v/>
      </c>
      <c r="B65" s="589" t="inlineStr">
        <is>
          <t>13+</t>
        </is>
      </c>
      <c r="C65" s="590" t="inlineStr">
        <is>
          <t>MOV_ROM99</t>
        </is>
      </c>
      <c r="D65" s="105" t="inlineStr">
        <is>
          <t>ONE WEEK FRIENDS</t>
        </is>
      </c>
      <c r="E65" s="590" t="inlineStr">
        <is>
          <t>Người bạn một tuần</t>
        </is>
      </c>
      <c r="F65" s="103" t="inlineStr">
        <is>
          <t>Drama/Youth</t>
        </is>
      </c>
      <c r="G65" s="103" t="inlineStr">
        <is>
          <t>STK</t>
        </is>
      </c>
      <c r="H65" s="590" t="inlineStr">
        <is>
          <t>134/2024/HDBQ/VSTV-STK</t>
        </is>
      </c>
      <c r="I65" s="104" t="n">
        <v>2022</v>
      </c>
      <c r="J65" s="104" t="inlineStr">
        <is>
          <t>China</t>
        </is>
      </c>
      <c r="K65" s="104" t="n">
        <v>106</v>
      </c>
      <c r="L65" s="591" t="n">
        <v>45693</v>
      </c>
      <c r="M65" s="98" t="n">
        <v>46787</v>
      </c>
      <c r="N65" s="591" t="n">
        <v>45693</v>
      </c>
      <c r="O65" s="592" t="n"/>
      <c r="P65" s="104" t="n">
        <v>12</v>
      </c>
      <c r="Q65" s="104" t="inlineStr">
        <is>
          <t>No</t>
        </is>
      </c>
      <c r="R65" s="592" t="inlineStr">
        <is>
          <t>Yes</t>
        </is>
      </c>
      <c r="S65" s="107" t="inlineStr">
        <is>
          <t>Yes</t>
        </is>
      </c>
      <c r="T65" s="592" t="inlineStr">
        <is>
          <t>Yes</t>
        </is>
      </c>
      <c r="U65" s="107" t="inlineStr">
        <is>
          <t>Yes</t>
        </is>
      </c>
      <c r="V65" s="107" t="inlineStr">
        <is>
          <t>Yes</t>
        </is>
      </c>
      <c r="W65" s="107" t="inlineStr">
        <is>
          <t>Yes</t>
        </is>
      </c>
      <c r="X65" s="107" t="inlineStr">
        <is>
          <t>Yes</t>
        </is>
      </c>
      <c r="Y65" s="104" t="inlineStr">
        <is>
          <t>Yes</t>
        </is>
      </c>
      <c r="Z65" s="106" t="n">
        <v>45778</v>
      </c>
      <c r="AA65" s="236" t="n">
        <v>46873</v>
      </c>
      <c r="AB65" s="104" t="n">
        <v>24</v>
      </c>
      <c r="AC65" s="202" t="n">
        <v>5</v>
      </c>
      <c r="AD65" s="592" t="inlineStr">
        <is>
          <t>Yes</t>
        </is>
      </c>
      <c r="AE65" s="592" t="inlineStr">
        <is>
          <t>Yes</t>
        </is>
      </c>
      <c r="AF65" s="600" t="n"/>
      <c r="AG65" s="593" t="inlineStr">
        <is>
          <t>Phim còn hạn từ 2026</t>
        </is>
      </c>
      <c r="AH65" s="594" t="n"/>
      <c r="AI65" s="206" t="inlineStr">
        <is>
          <t>ONE WEEK FRIENDS</t>
        </is>
      </c>
      <c r="AJ65" s="128">
        <f>SUMIF('TK 15661.Bản quyền phim '!F:F,'KK1. Movies'!D65,'TK 15661.Bản quyền phim '!X:X)</f>
        <v/>
      </c>
      <c r="AK65" s="128">
        <f>SUMIF('TK 15661.Bản quyền phim '!F:F,'KK1. Movies'!AI65,'TK 15661.Bản quyền phim '!X:X)</f>
        <v/>
      </c>
      <c r="AL65" s="203">
        <f>COUNTIF('242.BQ Phim hợp tác'!$C:$C,'KK1. Movies'!AI65)</f>
        <v/>
      </c>
      <c r="AM65" s="203">
        <f>COUNTIF('TK 15661.Bản quyền phim '!F:F,'KK1. Movies'!AI65)</f>
        <v/>
      </c>
      <c r="AN65" s="546">
        <f>AL65+AM65</f>
        <v/>
      </c>
      <c r="AO65" s="203" t="n"/>
      <c r="AP65" s="203" t="n"/>
      <c r="AQ65" s="203" t="n"/>
      <c r="AR65" s="203" t="n"/>
      <c r="AS65" s="203" t="n"/>
      <c r="AT65" s="546">
        <f>IFERROR(VLOOKUP(C65, CodeRanMovies!$A:$K, 11, 0), "Not found")</f>
        <v/>
      </c>
    </row>
    <row r="66" ht="52.8" customHeight="1" s="578">
      <c r="A66" s="201">
        <f>_xlfn.AGGREGATE(3,3,$D$7:D66)</f>
        <v/>
      </c>
      <c r="B66" s="606" t="inlineStr">
        <is>
          <t>n/a</t>
        </is>
      </c>
      <c r="C66" s="590" t="inlineStr">
        <is>
          <t>MOV_BIO25</t>
        </is>
      </c>
      <c r="D66" s="105" t="inlineStr">
        <is>
          <t>MARSHALL</t>
        </is>
      </c>
      <c r="E66" s="110" t="inlineStr">
        <is>
          <t>Thẩm phán Marshall</t>
        </is>
      </c>
      <c r="F66" s="590" t="inlineStr">
        <is>
          <t>Drama</t>
        </is>
      </c>
      <c r="G66" s="103" t="inlineStr">
        <is>
          <t>SONY</t>
        </is>
      </c>
      <c r="H66" s="590" t="inlineStr">
        <is>
          <t>Sony/K+Vietnam PayBasic SVOD Package Agmt D3A FE (Feb-5-24)</t>
        </is>
      </c>
      <c r="I66" s="104" t="n">
        <v>2017</v>
      </c>
      <c r="J66" s="104" t="inlineStr">
        <is>
          <t>U.S.A.[excluding Territories &amp; Possessions]</t>
        </is>
      </c>
      <c r="K66" s="104" t="n">
        <v>118</v>
      </c>
      <c r="L66" s="591" t="n">
        <v>45747</v>
      </c>
      <c r="M66" s="106" t="n">
        <v>46485</v>
      </c>
      <c r="N66" s="601" t="n"/>
      <c r="O66" s="592" t="n"/>
      <c r="P66" s="592" t="n"/>
      <c r="Q66" s="104" t="inlineStr">
        <is>
          <t>No</t>
        </is>
      </c>
      <c r="R66" s="104" t="inlineStr">
        <is>
          <t>Yes</t>
        </is>
      </c>
      <c r="S66" s="104" t="inlineStr">
        <is>
          <t>Yes</t>
        </is>
      </c>
      <c r="T66" s="592" t="inlineStr">
        <is>
          <t>Yes</t>
        </is>
      </c>
      <c r="U66" s="104" t="inlineStr">
        <is>
          <t>No</t>
        </is>
      </c>
      <c r="V66" s="104" t="inlineStr">
        <is>
          <t>No</t>
        </is>
      </c>
      <c r="W66" s="104" t="inlineStr">
        <is>
          <t>No</t>
        </is>
      </c>
      <c r="X66" s="104" t="inlineStr">
        <is>
          <t>Yes</t>
        </is>
      </c>
      <c r="Y66" s="104" t="inlineStr">
        <is>
          <t>No</t>
        </is>
      </c>
      <c r="Z66" s="106" t="n">
        <v>45747</v>
      </c>
      <c r="AA66" s="124" t="n">
        <v>46303</v>
      </c>
      <c r="AB66" s="104" t="n">
        <v>7</v>
      </c>
      <c r="AC66" s="202" t="n">
        <v>1</v>
      </c>
      <c r="AD66" s="592" t="inlineStr">
        <is>
          <t>Yes</t>
        </is>
      </c>
      <c r="AE66" s="592" t="inlineStr">
        <is>
          <t>Yes</t>
        </is>
      </c>
      <c r="AF66" s="600" t="n"/>
      <c r="AG66" s="593" t="inlineStr">
        <is>
          <t>Phim còn hạn từ 2026</t>
        </is>
      </c>
      <c r="AH66" s="594" t="n"/>
      <c r="AI66" s="206" t="inlineStr">
        <is>
          <t>MARSHALL</t>
        </is>
      </c>
      <c r="AJ66" s="128">
        <f>SUMIF('TK 15661.Bản quyền phim '!F:F,'KK1. Movies'!D66,'TK 15661.Bản quyền phim '!X:X)</f>
        <v/>
      </c>
      <c r="AK66" s="128">
        <f>SUMIF('TK 15661.Bản quyền phim '!F:F,'KK1. Movies'!AI66,'TK 15661.Bản quyền phim '!X:X)</f>
        <v/>
      </c>
      <c r="AL66" s="203">
        <f>COUNTIF('242.BQ Phim hợp tác'!$C:$C,'KK1. Movies'!AI66)</f>
        <v/>
      </c>
      <c r="AM66" s="203">
        <f>COUNTIF('TK 15661.Bản quyền phim '!F:F,'KK1. Movies'!AI66)</f>
        <v/>
      </c>
      <c r="AN66" s="546">
        <f>AL66+AM66</f>
        <v/>
      </c>
      <c r="AO66" s="203" t="n"/>
      <c r="AP66" s="203" t="n"/>
      <c r="AQ66" s="203" t="n"/>
      <c r="AR66" s="203" t="n"/>
      <c r="AS66" s="203" t="n"/>
      <c r="AT66" s="546">
        <f>IFERROR(VLOOKUP(C66, CodeRanMovies!$A:$K, 11, 0), "Not found")</f>
        <v/>
      </c>
    </row>
    <row r="67">
      <c r="A67" s="201">
        <f>_xlfn.AGGREGATE(3,3,$D$7:D67)</f>
        <v/>
      </c>
      <c r="B67" s="589" t="inlineStr">
        <is>
          <t>13+</t>
        </is>
      </c>
      <c r="C67" s="590" t="inlineStr">
        <is>
          <t>MOV_DRA_24__2710431</t>
        </is>
      </c>
      <c r="D67" s="105" t="inlineStr">
        <is>
          <t>LAST NIGHT</t>
        </is>
      </c>
      <c r="E67" s="590" t="inlineStr">
        <is>
          <t>Đêm tình cuối</t>
        </is>
      </c>
      <c r="F67" s="589" t="inlineStr">
        <is>
          <t>Romance</t>
        </is>
      </c>
      <c r="G67" s="108" t="inlineStr">
        <is>
          <t>Skyline Media</t>
        </is>
      </c>
      <c r="H67" s="590" t="inlineStr">
        <is>
          <t>28/2024/HDBQ/VSTV-SM</t>
        </is>
      </c>
      <c r="I67" s="107" t="n">
        <v>2010</v>
      </c>
      <c r="J67" s="600" t="inlineStr">
        <is>
          <t>US</t>
        </is>
      </c>
      <c r="K67" s="107" t="n">
        <v>93</v>
      </c>
      <c r="L67" s="98" t="n">
        <v>45323</v>
      </c>
      <c r="M67" s="109" t="n">
        <v>46418</v>
      </c>
      <c r="N67" s="601" t="n">
        <v>45542</v>
      </c>
      <c r="O67" s="592" t="inlineStr">
        <is>
          <t>K+CINE</t>
        </is>
      </c>
      <c r="P67" s="104" t="n">
        <v>12</v>
      </c>
      <c r="Q67" s="107" t="inlineStr">
        <is>
          <t>No</t>
        </is>
      </c>
      <c r="R67" s="592" t="inlineStr">
        <is>
          <t>Yes</t>
        </is>
      </c>
      <c r="S67" s="592" t="inlineStr">
        <is>
          <t>Yes</t>
        </is>
      </c>
      <c r="T67" s="592" t="inlineStr">
        <is>
          <t>Yes</t>
        </is>
      </c>
      <c r="U67" s="592" t="inlineStr">
        <is>
          <t>Yes</t>
        </is>
      </c>
      <c r="V67" s="592" t="inlineStr">
        <is>
          <t>Yes</t>
        </is>
      </c>
      <c r="W67" s="592" t="inlineStr">
        <is>
          <t>Yes</t>
        </is>
      </c>
      <c r="X67" s="592" t="inlineStr">
        <is>
          <t>Yes</t>
        </is>
      </c>
      <c r="Y67" s="104" t="inlineStr">
        <is>
          <t>No</t>
        </is>
      </c>
      <c r="Z67" s="98" t="n">
        <v>45323</v>
      </c>
      <c r="AA67" s="109" t="n">
        <v>46418</v>
      </c>
      <c r="AB67" s="107" t="n">
        <v>24</v>
      </c>
      <c r="AC67" s="202" t="n">
        <v>11</v>
      </c>
      <c r="AD67" s="592" t="inlineStr">
        <is>
          <t>Yes</t>
        </is>
      </c>
      <c r="AE67" s="592" t="inlineStr">
        <is>
          <t>Yes</t>
        </is>
      </c>
      <c r="AF67" s="596" t="n"/>
      <c r="AG67" s="593" t="inlineStr">
        <is>
          <t>Phim còn hạn từ 2026</t>
        </is>
      </c>
      <c r="AH67" s="594" t="n"/>
      <c r="AI67" s="206" t="inlineStr">
        <is>
          <t>LAST NIGHT</t>
        </is>
      </c>
      <c r="AJ67" s="128">
        <f>SUMIF('TK 15661.Bản quyền phim '!F:F,'KK1. Movies'!D67,'TK 15661.Bản quyền phim '!X:X)</f>
        <v/>
      </c>
      <c r="AK67" s="128">
        <f>SUMIF('TK 15661.Bản quyền phim '!F:F,'KK1. Movies'!AI67,'TK 15661.Bản quyền phim '!X:X)</f>
        <v/>
      </c>
      <c r="AL67" s="203">
        <f>COUNTIF('242.BQ Phim hợp tác'!$C:$C,'KK1. Movies'!AI67)</f>
        <v/>
      </c>
      <c r="AM67" s="203">
        <f>COUNTIF('TK 15661.Bản quyền phim '!F:F,'KK1. Movies'!AI67)</f>
        <v/>
      </c>
      <c r="AN67" s="546">
        <f>AL67+AM67</f>
        <v/>
      </c>
      <c r="AO67" s="203" t="n"/>
      <c r="AP67" s="203" t="n"/>
      <c r="AQ67" s="203" t="n"/>
      <c r="AR67" s="203" t="n"/>
      <c r="AS67" s="203" t="n"/>
      <c r="AT67" s="546">
        <f>IFERROR(VLOOKUP(C67, CodeRanMovies!$A:$K, 11, 0), "Not found")</f>
        <v/>
      </c>
    </row>
    <row r="68" ht="26.4" customHeight="1" s="578">
      <c r="A68" s="201">
        <f>_xlfn.AGGREGATE(3,3,$D$7:D68)</f>
        <v/>
      </c>
      <c r="B68" s="606" t="inlineStr">
        <is>
          <t>n/a</t>
        </is>
      </c>
      <c r="C68" s="590" t="inlineStr">
        <is>
          <t>MOV_CRI112</t>
        </is>
      </c>
      <c r="D68" s="105" t="inlineStr">
        <is>
          <t>Woman Of The Hour</t>
        </is>
      </c>
      <c r="E68" s="97" t="inlineStr">
        <is>
          <t>Hẹn hò với sát nhân</t>
        </is>
      </c>
      <c r="F68" s="590" t="inlineStr">
        <is>
          <t>Crime, Thriller</t>
        </is>
      </c>
      <c r="G68" s="103" t="inlineStr">
        <is>
          <t xml:space="preserve">Mocking Bird </t>
        </is>
      </c>
      <c r="H68" s="108" t="inlineStr">
        <is>
          <t>10/2025/HDBQ/VSTV-Mockingbird</t>
        </is>
      </c>
      <c r="I68" s="104" t="n">
        <v>2024</v>
      </c>
      <c r="J68" s="104" t="inlineStr">
        <is>
          <t xml:space="preserve">  US</t>
        </is>
      </c>
      <c r="K68" s="104" t="n">
        <v>95</v>
      </c>
      <c r="L68" s="591" t="n">
        <v>45757</v>
      </c>
      <c r="M68" s="106" t="n">
        <v>46852</v>
      </c>
      <c r="N68" s="601" t="inlineStr">
        <is>
          <t>n/a</t>
        </is>
      </c>
      <c r="O68" s="592" t="n"/>
      <c r="P68" s="592" t="n"/>
      <c r="Q68" s="104" t="inlineStr">
        <is>
          <t>No</t>
        </is>
      </c>
      <c r="R68" s="592" t="inlineStr">
        <is>
          <t>Yes</t>
        </is>
      </c>
      <c r="S68" s="107" t="inlineStr">
        <is>
          <t>Yes</t>
        </is>
      </c>
      <c r="T68" s="592" t="inlineStr">
        <is>
          <t>Yes</t>
        </is>
      </c>
      <c r="U68" s="107" t="inlineStr">
        <is>
          <t>Yes</t>
        </is>
      </c>
      <c r="V68" s="107" t="inlineStr">
        <is>
          <t>Yes</t>
        </is>
      </c>
      <c r="W68" s="107" t="inlineStr">
        <is>
          <t>Yes</t>
        </is>
      </c>
      <c r="X68" s="107" t="inlineStr">
        <is>
          <t>Yes</t>
        </is>
      </c>
      <c r="Y68" s="107" t="inlineStr">
        <is>
          <t>Yes</t>
        </is>
      </c>
      <c r="Z68" s="106" t="n">
        <v>45757</v>
      </c>
      <c r="AA68" s="124" t="n">
        <v>46852</v>
      </c>
      <c r="AB68" s="104" t="n">
        <v>24</v>
      </c>
      <c r="AC68" s="202" t="n">
        <v>3</v>
      </c>
      <c r="AD68" s="592" t="inlineStr">
        <is>
          <t>Yes</t>
        </is>
      </c>
      <c r="AE68" s="592" t="inlineStr">
        <is>
          <t>Yes</t>
        </is>
      </c>
      <c r="AF68" s="600" t="n"/>
      <c r="AG68" s="593" t="inlineStr">
        <is>
          <t>Phim còn hạn từ 2026</t>
        </is>
      </c>
      <c r="AH68" s="594" t="n"/>
      <c r="AI68" s="206" t="inlineStr">
        <is>
          <t>The Women Of The Hour</t>
        </is>
      </c>
      <c r="AJ68" s="128">
        <f>SUMIF('TK 15661.Bản quyền phim '!F:F,'KK1. Movies'!D68,'TK 15661.Bản quyền phim '!X:X)</f>
        <v/>
      </c>
      <c r="AK68" s="128">
        <f>SUMIF('TK 15661.Bản quyền phim '!F:F,'KK1. Movies'!AI68,'TK 15661.Bản quyền phim '!X:X)</f>
        <v/>
      </c>
      <c r="AL68" s="203">
        <f>COUNTIF('242.BQ Phim hợp tác'!$C:$C,'KK1. Movies'!AI68)</f>
        <v/>
      </c>
      <c r="AM68" s="203">
        <f>COUNTIF('TK 15661.Bản quyền phim '!F:F,'KK1. Movies'!AI68)</f>
        <v/>
      </c>
      <c r="AN68" s="546">
        <f>AL68+AM68</f>
        <v/>
      </c>
      <c r="AO68" s="203" t="n"/>
      <c r="AP68" s="203" t="n"/>
      <c r="AQ68" s="203" t="n"/>
      <c r="AR68" s="203" t="n"/>
      <c r="AS68" s="203" t="n"/>
      <c r="AT68" s="546">
        <f>IFERROR(VLOOKUP(C68, CodeRanMovies!$A:$K, 11, 0), "Not found")</f>
        <v/>
      </c>
    </row>
    <row r="69">
      <c r="A69" s="201">
        <f>_xlfn.AGGREGATE(3,3,$D$7:D69)</f>
        <v/>
      </c>
      <c r="B69" s="589" t="inlineStr">
        <is>
          <t>16+</t>
        </is>
      </c>
      <c r="C69" s="590" t="inlineStr">
        <is>
          <t>MOV_DRA_24__2712649</t>
        </is>
      </c>
      <c r="D69" s="105" t="inlineStr">
        <is>
          <t>PHANTOM THREAD</t>
        </is>
      </c>
      <c r="E69" s="110" t="inlineStr">
        <is>
          <t>Bóng ma sợi chỉ</t>
        </is>
      </c>
      <c r="F69" s="108" t="inlineStr">
        <is>
          <t>drama</t>
        </is>
      </c>
      <c r="G69" s="108" t="inlineStr">
        <is>
          <t>NBC Universal</t>
        </is>
      </c>
      <c r="H69" s="108" t="inlineStr">
        <is>
          <t>5049540-2/161434-3</t>
        </is>
      </c>
      <c r="I69" s="104" t="n">
        <v>2017</v>
      </c>
      <c r="J69" s="107" t="inlineStr">
        <is>
          <t>US</t>
        </is>
      </c>
      <c r="K69" s="104" t="n">
        <v>115</v>
      </c>
      <c r="L69" s="98" t="n">
        <v>45359</v>
      </c>
      <c r="M69" s="109" t="n">
        <v>46088</v>
      </c>
      <c r="N69" s="601" t="n">
        <v>45359</v>
      </c>
      <c r="O69" s="592" t="inlineStr">
        <is>
          <t>K+CINE</t>
        </is>
      </c>
      <c r="P69" s="104" t="inlineStr">
        <is>
          <t xml:space="preserve"> </t>
        </is>
      </c>
      <c r="Q69" s="104" t="inlineStr">
        <is>
          <t>No</t>
        </is>
      </c>
      <c r="R69" s="592" t="inlineStr">
        <is>
          <t>Yes</t>
        </is>
      </c>
      <c r="S69" s="104" t="inlineStr">
        <is>
          <t>Yes</t>
        </is>
      </c>
      <c r="T69" s="592" t="inlineStr">
        <is>
          <t>Yes</t>
        </is>
      </c>
      <c r="U69" s="104" t="inlineStr">
        <is>
          <t>No</t>
        </is>
      </c>
      <c r="V69" s="104" t="inlineStr">
        <is>
          <t>No</t>
        </is>
      </c>
      <c r="W69" s="104" t="inlineStr">
        <is>
          <t>No</t>
        </is>
      </c>
      <c r="X69" s="104" t="inlineStr">
        <is>
          <t>No</t>
        </is>
      </c>
      <c r="Y69" s="104" t="inlineStr">
        <is>
          <t>Yes</t>
        </is>
      </c>
      <c r="Z69" s="98" t="n">
        <v>45359</v>
      </c>
      <c r="AA69" s="125" t="n">
        <v>46088</v>
      </c>
      <c r="AB69" s="107" t="n">
        <v>6</v>
      </c>
      <c r="AC69" s="107" t="n">
        <v>4</v>
      </c>
      <c r="AD69" s="592" t="inlineStr">
        <is>
          <t>Yes</t>
        </is>
      </c>
      <c r="AE69" s="592" t="inlineStr">
        <is>
          <t>Yes</t>
        </is>
      </c>
      <c r="AF69" s="600" t="n"/>
      <c r="AG69" s="593" t="inlineStr">
        <is>
          <t>Phim còn hạn từ 2026</t>
        </is>
      </c>
      <c r="AH69" s="594" t="n"/>
      <c r="AI69" s="599" t="inlineStr">
        <is>
          <t>PHANTOM THREAD</t>
        </is>
      </c>
      <c r="AJ69" s="128">
        <f>SUMIF('TK 15661.Bản quyền phim '!F:F,'KK1. Movies'!D69,'TK 15661.Bản quyền phim '!X:X)</f>
        <v/>
      </c>
      <c r="AK69" s="128">
        <f>SUMIF('TK 15661.Bản quyền phim '!F:F,'KK1. Movies'!AI69,'TK 15661.Bản quyền phim '!X:X)</f>
        <v/>
      </c>
      <c r="AL69" s="203">
        <f>COUNTIF('242.BQ Phim hợp tác'!$C:$C,'KK1. Movies'!AI69)</f>
        <v/>
      </c>
      <c r="AM69" s="203">
        <f>COUNTIF('TK 15661.Bản quyền phim '!F:F,'KK1. Movies'!AI69)</f>
        <v/>
      </c>
      <c r="AN69" s="546">
        <f>AL69+AM69</f>
        <v/>
      </c>
      <c r="AO69" s="203" t="n"/>
      <c r="AP69" s="203" t="n"/>
      <c r="AQ69" s="203" t="n"/>
      <c r="AR69" s="203" t="n"/>
      <c r="AS69" s="203" t="n"/>
      <c r="AT69" s="546">
        <f>IFERROR(VLOOKUP(C69, CodeRanMovies!$A:$K, 11, 0), "Not found")</f>
        <v/>
      </c>
    </row>
    <row r="70" ht="52.8" customHeight="1" s="578">
      <c r="A70" s="201">
        <f>_xlfn.AGGREGATE(3,3,$D$7:D70)</f>
        <v/>
      </c>
      <c r="B70" s="606" t="inlineStr">
        <is>
          <t>n/a</t>
        </is>
      </c>
      <c r="C70" s="590" t="inlineStr">
        <is>
          <t>MOV_ACT608</t>
        </is>
      </c>
      <c r="D70" s="105" t="inlineStr">
        <is>
          <t>ELYSIUM</t>
        </is>
      </c>
      <c r="E70" s="110" t="inlineStr">
        <is>
          <t>Kỷ nguyên Elysium</t>
        </is>
      </c>
      <c r="F70" s="590" t="inlineStr">
        <is>
          <t>Action, Adventure</t>
        </is>
      </c>
      <c r="G70" s="103" t="inlineStr">
        <is>
          <t>SONY</t>
        </is>
      </c>
      <c r="H70" s="590" t="inlineStr">
        <is>
          <t>Sony/K+Vietnam PayBasic SVOD Package Agmt D3A FE (Feb-5-24)</t>
        </is>
      </c>
      <c r="I70" s="104" t="n">
        <v>2013</v>
      </c>
      <c r="J70" s="104" t="inlineStr">
        <is>
          <t>U.S.A.[excluding Territories &amp; Possessions]</t>
        </is>
      </c>
      <c r="K70" s="104" t="n">
        <v>109</v>
      </c>
      <c r="L70" s="591" t="n">
        <v>45747</v>
      </c>
      <c r="M70" s="106" t="n">
        <v>46492</v>
      </c>
      <c r="N70" s="601" t="n"/>
      <c r="O70" s="592" t="n"/>
      <c r="P70" s="592" t="n"/>
      <c r="Q70" s="104" t="inlineStr">
        <is>
          <t>No</t>
        </is>
      </c>
      <c r="R70" s="104" t="inlineStr">
        <is>
          <t>Yes</t>
        </is>
      </c>
      <c r="S70" s="104" t="inlineStr">
        <is>
          <t>Yes</t>
        </is>
      </c>
      <c r="T70" s="592" t="inlineStr">
        <is>
          <t>Yes</t>
        </is>
      </c>
      <c r="U70" s="104" t="inlineStr">
        <is>
          <t>No</t>
        </is>
      </c>
      <c r="V70" s="104" t="inlineStr">
        <is>
          <t>No</t>
        </is>
      </c>
      <c r="W70" s="104" t="inlineStr">
        <is>
          <t>No</t>
        </is>
      </c>
      <c r="X70" s="104" t="inlineStr">
        <is>
          <t>Yes</t>
        </is>
      </c>
      <c r="Y70" s="104" t="inlineStr">
        <is>
          <t>No</t>
        </is>
      </c>
      <c r="Z70" s="106" t="n">
        <v>45747</v>
      </c>
      <c r="AA70" s="124" t="n">
        <v>46310</v>
      </c>
      <c r="AB70" s="104" t="n">
        <v>7</v>
      </c>
      <c r="AC70" s="202" t="n">
        <v>1</v>
      </c>
      <c r="AD70" s="592" t="inlineStr">
        <is>
          <t>Yes</t>
        </is>
      </c>
      <c r="AE70" s="592" t="inlineStr">
        <is>
          <t>Yes</t>
        </is>
      </c>
      <c r="AF70" s="600" t="n"/>
      <c r="AG70" s="593" t="inlineStr">
        <is>
          <t>Phim còn hạn từ 2026</t>
        </is>
      </c>
      <c r="AH70" s="594" t="n"/>
      <c r="AI70" s="206" t="inlineStr">
        <is>
          <t>ELYSIUM</t>
        </is>
      </c>
      <c r="AJ70" s="128">
        <f>SUMIF('TK 15661.Bản quyền phim '!F:F,'KK1. Movies'!D70,'TK 15661.Bản quyền phim '!X:X)</f>
        <v/>
      </c>
      <c r="AK70" s="128">
        <f>SUMIF('TK 15661.Bản quyền phim '!F:F,'KK1. Movies'!AI70,'TK 15661.Bản quyền phim '!X:X)</f>
        <v/>
      </c>
      <c r="AL70" s="203">
        <f>COUNTIF('242.BQ Phim hợp tác'!$C:$C,'KK1. Movies'!AI70)</f>
        <v/>
      </c>
      <c r="AM70" s="203">
        <f>COUNTIF('TK 15661.Bản quyền phim '!F:F,'KK1. Movies'!AI70)</f>
        <v/>
      </c>
      <c r="AN70" s="546">
        <f>AL70+AM70</f>
        <v/>
      </c>
      <c r="AO70" s="203" t="n"/>
      <c r="AP70" s="203" t="n"/>
      <c r="AQ70" s="203" t="n"/>
      <c r="AR70" s="203" t="n"/>
      <c r="AS70" s="203" t="n"/>
      <c r="AT70" s="546">
        <f>IFERROR(VLOOKUP(C70, CodeRanMovies!$A:$K, 11, 0), "Not found")</f>
        <v/>
      </c>
    </row>
    <row r="71" ht="26.4" customHeight="1" s="578">
      <c r="A71" s="201">
        <f>_xlfn.AGGREGATE(3,3,$D$7:D71)</f>
        <v/>
      </c>
      <c r="B71" s="110" t="inlineStr">
        <is>
          <t>16+</t>
        </is>
      </c>
      <c r="C71" s="234" t="inlineStr">
        <is>
          <t>MOV_HOR_22__2686491</t>
        </is>
      </c>
      <c r="D71" s="596" t="inlineStr">
        <is>
          <t xml:space="preserve">Countdown  </t>
        </is>
      </c>
      <c r="E71" s="590" t="inlineStr">
        <is>
          <t>Ứng dụng tử thần</t>
        </is>
      </c>
      <c r="F71" s="590" t="inlineStr">
        <is>
          <t>Horror</t>
        </is>
      </c>
      <c r="G71" s="604" t="inlineStr">
        <is>
          <t>Pro Partner</t>
        </is>
      </c>
      <c r="H71" s="590" t="inlineStr">
        <is>
          <t>56/2023/HDBQ/VSTV-Pro Partner</t>
        </is>
      </c>
      <c r="I71" s="204" t="n">
        <v>2019</v>
      </c>
      <c r="J71" s="600" t="inlineStr">
        <is>
          <t>US</t>
        </is>
      </c>
      <c r="K71" s="204" t="n">
        <v>90</v>
      </c>
      <c r="L71" s="98" t="n">
        <v>45014</v>
      </c>
      <c r="M71" s="591" t="n">
        <v>46109</v>
      </c>
      <c r="N71" s="601" t="n">
        <v>45014</v>
      </c>
      <c r="O71" s="598" t="inlineStr">
        <is>
          <t>K+CINE</t>
        </is>
      </c>
      <c r="P71" s="592" t="inlineStr">
        <is>
          <t>Exclusive All TV Rights the first 9 months of LP
 Non-exclusive with All Catch-up TV Rights; All VOD Rights during LP</t>
        </is>
      </c>
      <c r="Q71" s="600" t="inlineStr">
        <is>
          <t>No</t>
        </is>
      </c>
      <c r="R71" s="592" t="inlineStr">
        <is>
          <t>Yes</t>
        </is>
      </c>
      <c r="S71" s="592" t="inlineStr">
        <is>
          <t>Yes</t>
        </is>
      </c>
      <c r="T71" s="592" t="inlineStr">
        <is>
          <t>Yes</t>
        </is>
      </c>
      <c r="U71" s="592" t="inlineStr">
        <is>
          <t>Yes</t>
        </is>
      </c>
      <c r="V71" s="592" t="inlineStr">
        <is>
          <t>Yes</t>
        </is>
      </c>
      <c r="W71" s="592" t="inlineStr">
        <is>
          <t>Yes</t>
        </is>
      </c>
      <c r="X71" s="592" t="inlineStr">
        <is>
          <t>Yes</t>
        </is>
      </c>
      <c r="Y71" s="592" t="inlineStr">
        <is>
          <t>Yes</t>
        </is>
      </c>
      <c r="Z71" s="98" t="n">
        <v>45014</v>
      </c>
      <c r="AA71" s="591" t="n">
        <v>46109</v>
      </c>
      <c r="AB71" s="96" t="inlineStr">
        <is>
          <t>unlimited</t>
        </is>
      </c>
      <c r="AC71" s="202" t="n">
        <v>32</v>
      </c>
      <c r="AD71" s="592" t="inlineStr">
        <is>
          <t>Yes</t>
        </is>
      </c>
      <c r="AE71" s="592" t="inlineStr">
        <is>
          <t>Yes</t>
        </is>
      </c>
      <c r="AF71" s="592" t="n"/>
      <c r="AG71" s="593" t="inlineStr">
        <is>
          <t>Phim còn hạn từ 2026</t>
        </is>
      </c>
      <c r="AH71" s="594" t="n"/>
      <c r="AI71" s="206" t="inlineStr">
        <is>
          <t>Countdown (US)</t>
        </is>
      </c>
      <c r="AJ71" s="128">
        <f>SUMIF('TK 15661.Bản quyền phim '!F:F,'KK1. Movies'!D71,'TK 15661.Bản quyền phim '!X:X)</f>
        <v/>
      </c>
      <c r="AK71" s="128">
        <f>SUMIF('TK 15661.Bản quyền phim '!F:F,'KK1. Movies'!AI71,'TK 15661.Bản quyền phim '!X:X)</f>
        <v/>
      </c>
      <c r="AL71" s="203">
        <f>COUNTIF('242.BQ Phim hợp tác'!$C:$C,'KK1. Movies'!AI71)</f>
        <v/>
      </c>
      <c r="AM71" s="203">
        <f>COUNTIF('TK 15661.Bản quyền phim '!F:F,'KK1. Movies'!AI71)</f>
        <v/>
      </c>
      <c r="AN71" s="546">
        <f>AL71+AM71</f>
        <v/>
      </c>
      <c r="AO71" s="203" t="n"/>
      <c r="AP71" s="203" t="n"/>
      <c r="AQ71" s="203" t="n"/>
      <c r="AR71" s="203" t="n"/>
      <c r="AS71" s="203" t="n"/>
      <c r="AT71" s="546">
        <f>IFERROR(VLOOKUP(C71, CodeRanMovies!$A:$K, 11, 0), "Not found")</f>
        <v/>
      </c>
    </row>
    <row r="72">
      <c r="A72" s="201">
        <f>_xlfn.AGGREGATE(3,3,$D$7:D72)</f>
        <v/>
      </c>
      <c r="B72" s="589" t="inlineStr">
        <is>
          <t>16+</t>
        </is>
      </c>
      <c r="C72" s="234" t="inlineStr">
        <is>
          <t>MOV_DRA_23__2698013</t>
        </is>
      </c>
      <c r="D72" s="596" t="inlineStr">
        <is>
          <t>The woman who ran</t>
        </is>
      </c>
      <c r="E72" s="593" t="inlineStr">
        <is>
          <t>Người phụ nữ bỏ trốn</t>
        </is>
      </c>
      <c r="F72" s="589" t="inlineStr">
        <is>
          <t>Drama</t>
        </is>
      </c>
      <c r="G72" s="589" t="inlineStr">
        <is>
          <t>King Content</t>
        </is>
      </c>
      <c r="H72" s="590" t="inlineStr">
        <is>
          <t>52/2023/HDBQ/VSTV-KC</t>
        </is>
      </c>
      <c r="I72" s="204" t="n">
        <v>2020</v>
      </c>
      <c r="J72" s="600" t="inlineStr">
        <is>
          <t>Korea</t>
        </is>
      </c>
      <c r="K72" s="204" t="n">
        <v>77</v>
      </c>
      <c r="L72" s="98" t="n">
        <v>45147</v>
      </c>
      <c r="M72" s="101" t="n">
        <v>46242</v>
      </c>
      <c r="N72" s="597" t="n">
        <v>45148</v>
      </c>
      <c r="O72" s="598" t="inlineStr">
        <is>
          <t>K+CINE</t>
        </is>
      </c>
      <c r="P72" s="102" t="inlineStr">
        <is>
          <t>Exclusive All PayTV rights and Non-Exclusive VOD rights</t>
        </is>
      </c>
      <c r="Q72" s="592" t="inlineStr">
        <is>
          <t>Yes</t>
        </is>
      </c>
      <c r="R72" s="592" t="inlineStr">
        <is>
          <t>Yes</t>
        </is>
      </c>
      <c r="S72" s="592" t="inlineStr">
        <is>
          <t>No</t>
        </is>
      </c>
      <c r="T72" s="592" t="inlineStr">
        <is>
          <t>Yes</t>
        </is>
      </c>
      <c r="U72" s="592" t="inlineStr">
        <is>
          <t>Yes</t>
        </is>
      </c>
      <c r="V72" s="592" t="inlineStr">
        <is>
          <t>Yes</t>
        </is>
      </c>
      <c r="W72" s="592" t="inlineStr">
        <is>
          <t>Yes</t>
        </is>
      </c>
      <c r="X72" s="592" t="inlineStr">
        <is>
          <t>Yes</t>
        </is>
      </c>
      <c r="Y72" s="592" t="inlineStr">
        <is>
          <t>No</t>
        </is>
      </c>
      <c r="Z72" s="98" t="n">
        <v>45147</v>
      </c>
      <c r="AA72" s="101" t="n">
        <v>46242</v>
      </c>
      <c r="AB72" s="96" t="inlineStr">
        <is>
          <t>unlimited</t>
        </is>
      </c>
      <c r="AC72" s="202" t="n">
        <v>23</v>
      </c>
      <c r="AD72" s="592" t="inlineStr">
        <is>
          <t>Yes</t>
        </is>
      </c>
      <c r="AE72" s="592" t="inlineStr">
        <is>
          <t>Yes</t>
        </is>
      </c>
      <c r="AF72" s="600" t="n"/>
      <c r="AG72" s="593" t="inlineStr">
        <is>
          <t>Phim còn hạn từ 2026</t>
        </is>
      </c>
      <c r="AH72" s="594" t="n"/>
      <c r="AI72" s="206" t="inlineStr">
        <is>
          <t>The woman who ran away</t>
        </is>
      </c>
      <c r="AJ72" s="128">
        <f>SUMIF('TK 15661.Bản quyền phim '!F:F,'KK1. Movies'!D72,'TK 15661.Bản quyền phim '!X:X)</f>
        <v/>
      </c>
      <c r="AK72" s="128">
        <f>SUMIF('TK 15661.Bản quyền phim '!F:F,'KK1. Movies'!AI72,'TK 15661.Bản quyền phim '!X:X)</f>
        <v/>
      </c>
      <c r="AL72" s="203">
        <f>COUNTIF('242.BQ Phim hợp tác'!$C:$C,'KK1. Movies'!AI72)</f>
        <v/>
      </c>
      <c r="AM72" s="203">
        <f>COUNTIF('TK 15661.Bản quyền phim '!F:F,'KK1. Movies'!AI72)</f>
        <v/>
      </c>
      <c r="AN72" s="546">
        <f>AL72+AM72</f>
        <v/>
      </c>
      <c r="AO72" s="203" t="n"/>
      <c r="AP72" s="203" t="n"/>
      <c r="AQ72" s="203" t="n"/>
      <c r="AR72" s="203" t="n"/>
      <c r="AS72" s="203" t="n"/>
      <c r="AT72" s="546">
        <f>IFERROR(VLOOKUP(C72, CodeRanMovies!$A:$K, 11, 0), "Not found")</f>
        <v/>
      </c>
    </row>
    <row r="73">
      <c r="A73" s="201">
        <f>_xlfn.AGGREGATE(3,3,$D$7:D73)</f>
        <v/>
      </c>
      <c r="B73" s="589" t="inlineStr">
        <is>
          <t>13+</t>
        </is>
      </c>
      <c r="C73" s="590" t="inlineStr">
        <is>
          <t>MOV_ADV_22__2686513</t>
        </is>
      </c>
      <c r="D73" s="596" t="inlineStr">
        <is>
          <t>Arctic</t>
        </is>
      </c>
      <c r="E73" s="590" t="inlineStr">
        <is>
          <t>Bắc cực</t>
        </is>
      </c>
      <c r="F73" s="589" t="inlineStr">
        <is>
          <t>Drama</t>
        </is>
      </c>
      <c r="G73" s="604" t="inlineStr">
        <is>
          <t>Skyline Media</t>
        </is>
      </c>
      <c r="H73" s="590" t="inlineStr">
        <is>
          <t>66/2023/HDBQ/VSTV-SM</t>
        </is>
      </c>
      <c r="I73" s="204" t="n">
        <v>2018</v>
      </c>
      <c r="J73" s="600" t="inlineStr">
        <is>
          <t>Iceland</t>
        </is>
      </c>
      <c r="K73" s="204" t="n">
        <v>98</v>
      </c>
      <c r="L73" s="98" t="n">
        <v>45065</v>
      </c>
      <c r="M73" s="98" t="n">
        <v>46160</v>
      </c>
      <c r="N73" s="601" t="n">
        <v>45120</v>
      </c>
      <c r="O73" s="598" t="inlineStr">
        <is>
          <t>K+CINE</t>
        </is>
      </c>
      <c r="P73" s="592" t="inlineStr">
        <is>
          <t>Exclusive All TV Rights the first 12 months of LP
 Non-exclusive with All Catch-up TV Rights; All VOD Rights during LP</t>
        </is>
      </c>
      <c r="Q73" s="600" t="inlineStr">
        <is>
          <t>No</t>
        </is>
      </c>
      <c r="R73" s="592" t="inlineStr">
        <is>
          <t>Yes</t>
        </is>
      </c>
      <c r="S73" s="592" t="inlineStr">
        <is>
          <t>Yes</t>
        </is>
      </c>
      <c r="T73" s="592" t="inlineStr">
        <is>
          <t>Yes</t>
        </is>
      </c>
      <c r="U73" s="592" t="inlineStr">
        <is>
          <t>Yes</t>
        </is>
      </c>
      <c r="V73" s="592" t="inlineStr">
        <is>
          <t>Yes</t>
        </is>
      </c>
      <c r="W73" s="592" t="inlineStr">
        <is>
          <t>Yes</t>
        </is>
      </c>
      <c r="X73" s="592" t="inlineStr">
        <is>
          <t>Yes</t>
        </is>
      </c>
      <c r="Y73" s="592" t="inlineStr">
        <is>
          <t>Yes</t>
        </is>
      </c>
      <c r="Z73" s="98" t="n">
        <v>45065</v>
      </c>
      <c r="AA73" s="98" t="n">
        <v>46160</v>
      </c>
      <c r="AB73" s="96" t="n">
        <v>24</v>
      </c>
      <c r="AC73" s="202" t="n">
        <v>12</v>
      </c>
      <c r="AD73" s="592" t="inlineStr">
        <is>
          <t>Yes</t>
        </is>
      </c>
      <c r="AE73" s="592" t="inlineStr">
        <is>
          <t>Yes</t>
        </is>
      </c>
      <c r="AF73" s="607" t="n"/>
      <c r="AG73" s="593" t="inlineStr">
        <is>
          <t>Phim còn hạn từ 2026</t>
        </is>
      </c>
      <c r="AH73" s="594" t="n"/>
      <c r="AI73" s="599" t="inlineStr">
        <is>
          <t>Arctic</t>
        </is>
      </c>
      <c r="AJ73" s="128">
        <f>SUMIF('TK 15661.Bản quyền phim '!F:F,'KK1. Movies'!D73,'TK 15661.Bản quyền phim '!X:X)</f>
        <v/>
      </c>
      <c r="AK73" s="128">
        <f>SUMIF('TK 15661.Bản quyền phim '!F:F,'KK1. Movies'!AI73,'TK 15661.Bản quyền phim '!X:X)</f>
        <v/>
      </c>
      <c r="AL73" s="203">
        <f>COUNTIF('242.BQ Phim hợp tác'!$C:$C,'KK1. Movies'!AI73)</f>
        <v/>
      </c>
      <c r="AM73" s="203">
        <f>COUNTIF('TK 15661.Bản quyền phim '!F:F,'KK1. Movies'!AI73)</f>
        <v/>
      </c>
      <c r="AN73" s="546">
        <f>AL73+AM73</f>
        <v/>
      </c>
      <c r="AO73" s="203" t="n"/>
      <c r="AP73" s="203" t="n"/>
      <c r="AQ73" s="203" t="n"/>
      <c r="AR73" s="203" t="n"/>
      <c r="AS73" s="203" t="n"/>
      <c r="AT73" s="546">
        <f>IFERROR(VLOOKUP(C73, CodeRanMovies!$A:$K, 11, 0), "Not found")</f>
        <v/>
      </c>
    </row>
    <row r="74" ht="52.8" customHeight="1" s="578">
      <c r="A74" s="201">
        <f>_xlfn.AGGREGATE(3,3,$D$7:D74)</f>
        <v/>
      </c>
      <c r="B74" s="589" t="inlineStr">
        <is>
          <t>13+</t>
        </is>
      </c>
      <c r="C74" s="234" t="inlineStr">
        <is>
          <t>MOV_ACT_24__2713785</t>
        </is>
      </c>
      <c r="D74" s="105" t="inlineStr">
        <is>
          <t>BRAVEST, THE (2019)</t>
        </is>
      </c>
      <c r="E74" s="110" t="inlineStr">
        <is>
          <t>Liệt hỏa anh hùng</t>
        </is>
      </c>
      <c r="F74" s="590" t="inlineStr">
        <is>
          <t>Action, Adventure</t>
        </is>
      </c>
      <c r="G74" s="103" t="inlineStr">
        <is>
          <t>SONY PICTURES</t>
        </is>
      </c>
      <c r="H74" s="590" t="inlineStr">
        <is>
          <t>Sony/K+Vietnam PayBasic SVOD Package Agmt D2D per JK (19-01-2024)</t>
        </is>
      </c>
      <c r="I74" s="104" t="n">
        <v>2019</v>
      </c>
      <c r="J74" s="107" t="inlineStr">
        <is>
          <t>China</t>
        </is>
      </c>
      <c r="K74" s="104" t="n">
        <v>118</v>
      </c>
      <c r="L74" s="98" t="n">
        <v>45382</v>
      </c>
      <c r="M74" s="98" t="n">
        <v>46476</v>
      </c>
      <c r="N74" s="601" t="n">
        <v>45434</v>
      </c>
      <c r="O74" s="592" t="inlineStr">
        <is>
          <t>K+ACTION</t>
        </is>
      </c>
      <c r="P74" s="592" t="n"/>
      <c r="Q74" s="104" t="inlineStr">
        <is>
          <t>No</t>
        </is>
      </c>
      <c r="R74" s="592" t="inlineStr">
        <is>
          <t>Yes</t>
        </is>
      </c>
      <c r="S74" s="592" t="inlineStr">
        <is>
          <t>Yes</t>
        </is>
      </c>
      <c r="T74" s="592" t="inlineStr">
        <is>
          <t>Yes</t>
        </is>
      </c>
      <c r="U74" s="104" t="inlineStr">
        <is>
          <t>No</t>
        </is>
      </c>
      <c r="V74" s="104" t="inlineStr">
        <is>
          <t>No</t>
        </is>
      </c>
      <c r="W74" s="104" t="inlineStr">
        <is>
          <t>No</t>
        </is>
      </c>
      <c r="X74" s="104" t="inlineStr">
        <is>
          <t>No</t>
        </is>
      </c>
      <c r="Y74" s="104" t="inlineStr">
        <is>
          <t>No</t>
        </is>
      </c>
      <c r="Z74" s="106" t="n">
        <v>45747</v>
      </c>
      <c r="AA74" s="124" t="n">
        <v>46294</v>
      </c>
      <c r="AB74" s="107" t="n">
        <v>7</v>
      </c>
      <c r="AC74" s="202" t="n">
        <v>3</v>
      </c>
      <c r="AD74" s="592" t="inlineStr">
        <is>
          <t>Yes</t>
        </is>
      </c>
      <c r="AE74" s="592" t="inlineStr">
        <is>
          <t>Yes</t>
        </is>
      </c>
      <c r="AF74" s="600" t="n"/>
      <c r="AG74" s="593" t="inlineStr">
        <is>
          <t>Phim còn hạn từ 2026</t>
        </is>
      </c>
      <c r="AH74" s="594" t="n"/>
      <c r="AI74" s="599" t="inlineStr">
        <is>
          <t>BRAVEST, THE (2019)</t>
        </is>
      </c>
      <c r="AJ74" s="128">
        <f>SUMIF('TK 15661.Bản quyền phim '!F:F,'KK1. Movies'!D74,'TK 15661.Bản quyền phim '!X:X)</f>
        <v/>
      </c>
      <c r="AK74" s="128">
        <f>SUMIF('TK 15661.Bản quyền phim '!F:F,'KK1. Movies'!AI74,'TK 15661.Bản quyền phim '!X:X)</f>
        <v/>
      </c>
      <c r="AL74" s="203">
        <f>COUNTIF('242.BQ Phim hợp tác'!$C:$C,'KK1. Movies'!AI74)</f>
        <v/>
      </c>
      <c r="AM74" s="203">
        <f>COUNTIF('TK 15661.Bản quyền phim '!F:F,'KK1. Movies'!AI74)</f>
        <v/>
      </c>
      <c r="AN74" s="546">
        <f>AL74+AM74</f>
        <v/>
      </c>
      <c r="AO74" s="203" t="n"/>
      <c r="AP74" s="203" t="n"/>
      <c r="AQ74" s="203" t="n"/>
      <c r="AR74" s="203" t="n"/>
      <c r="AS74" s="203" t="n"/>
      <c r="AT74" s="546">
        <f>IFERROR(VLOOKUP(C74, CodeRanMovies!$A:$K, 11, 0), "Not found")</f>
        <v/>
      </c>
    </row>
    <row r="75">
      <c r="A75" s="201">
        <f>_xlfn.AGGREGATE(3,3,$D$7:D75)</f>
        <v/>
      </c>
      <c r="B75" s="589" t="inlineStr">
        <is>
          <t>16+</t>
        </is>
      </c>
      <c r="C75" s="590" t="inlineStr">
        <is>
          <t>MOV_ACT588</t>
        </is>
      </c>
      <c r="D75" s="105" t="inlineStr">
        <is>
          <t>RIDE ALONG 2</t>
        </is>
      </c>
      <c r="E75" s="110" t="inlineStr">
        <is>
          <t>Bộ đôi cảnh sát 2</t>
        </is>
      </c>
      <c r="F75" s="108" t="inlineStr">
        <is>
          <t>Action, Adventure</t>
        </is>
      </c>
      <c r="G75" s="108" t="inlineStr">
        <is>
          <t>NBC Universal</t>
        </is>
      </c>
      <c r="H75" s="108" t="inlineStr">
        <is>
          <t>5049540-2/161434-3</t>
        </is>
      </c>
      <c r="I75" s="104" t="n">
        <v>2016</v>
      </c>
      <c r="J75" s="107" t="inlineStr">
        <is>
          <t>US</t>
        </is>
      </c>
      <c r="K75" s="104" t="n">
        <v>101</v>
      </c>
      <c r="L75" s="98" t="n">
        <v>45590</v>
      </c>
      <c r="M75" s="109" t="n">
        <v>46319</v>
      </c>
      <c r="N75" s="601" t="n">
        <v>45593</v>
      </c>
      <c r="O75" s="592" t="inlineStr">
        <is>
          <t>K+CINE</t>
        </is>
      </c>
      <c r="P75" s="104" t="inlineStr">
        <is>
          <t>Non exclusive</t>
        </is>
      </c>
      <c r="Q75" s="104" t="inlineStr">
        <is>
          <t>No</t>
        </is>
      </c>
      <c r="R75" s="592" t="inlineStr">
        <is>
          <t>Yes</t>
        </is>
      </c>
      <c r="S75" s="104" t="inlineStr">
        <is>
          <t>Yes</t>
        </is>
      </c>
      <c r="T75" s="592" t="inlineStr">
        <is>
          <t>Yes</t>
        </is>
      </c>
      <c r="U75" s="104" t="inlineStr">
        <is>
          <t>No</t>
        </is>
      </c>
      <c r="V75" s="104" t="inlineStr">
        <is>
          <t>No</t>
        </is>
      </c>
      <c r="W75" s="104" t="inlineStr">
        <is>
          <t>No</t>
        </is>
      </c>
      <c r="X75" s="104" t="inlineStr">
        <is>
          <t>No</t>
        </is>
      </c>
      <c r="Y75" s="104" t="inlineStr">
        <is>
          <t>Yes</t>
        </is>
      </c>
      <c r="Z75" s="98" t="n">
        <v>45590</v>
      </c>
      <c r="AA75" s="109" t="n">
        <v>46319</v>
      </c>
      <c r="AB75" s="107" t="n">
        <v>6</v>
      </c>
      <c r="AC75" s="107" t="n">
        <v>3</v>
      </c>
      <c r="AD75" s="592" t="inlineStr">
        <is>
          <t>Yes</t>
        </is>
      </c>
      <c r="AE75" s="592" t="inlineStr">
        <is>
          <t>Yes</t>
        </is>
      </c>
      <c r="AF75" s="596" t="n"/>
      <c r="AG75" s="593" t="inlineStr">
        <is>
          <t>Phim còn hạn từ 2026</t>
        </is>
      </c>
      <c r="AH75" s="594" t="n"/>
      <c r="AI75" s="599" t="inlineStr">
        <is>
          <t>RIDE ALONG 2</t>
        </is>
      </c>
      <c r="AJ75" s="128">
        <f>SUMIF('TK 15661.Bản quyền phim '!F:F,'KK1. Movies'!D75,'TK 15661.Bản quyền phim '!X:X)</f>
        <v/>
      </c>
      <c r="AK75" s="128">
        <f>SUMIF('TK 15661.Bản quyền phim '!F:F,'KK1. Movies'!AI75,'TK 15661.Bản quyền phim '!X:X)</f>
        <v/>
      </c>
      <c r="AL75" s="203">
        <f>COUNTIF('242.BQ Phim hợp tác'!$C:$C,'KK1. Movies'!AI75)</f>
        <v/>
      </c>
      <c r="AM75" s="203">
        <f>COUNTIF('TK 15661.Bản quyền phim '!F:F,'KK1. Movies'!AI75)</f>
        <v/>
      </c>
      <c r="AN75" s="546">
        <f>AL75+AM75</f>
        <v/>
      </c>
      <c r="AO75" s="203" t="n"/>
      <c r="AP75" s="203" t="n"/>
      <c r="AQ75" s="203" t="n"/>
      <c r="AR75" s="203" t="n"/>
      <c r="AS75" s="203" t="n"/>
      <c r="AT75" s="546">
        <f>IFERROR(VLOOKUP(C75, CodeRanMovies!$A:$K, 11, 0), "Not found")</f>
        <v/>
      </c>
    </row>
    <row r="76" ht="26.4" customHeight="1" s="578">
      <c r="A76" s="201">
        <f>_xlfn.AGGREGATE(3,3,$D$7:D76)</f>
        <v/>
      </c>
      <c r="B76" s="589" t="inlineStr">
        <is>
          <t>13+</t>
        </is>
      </c>
      <c r="C76" s="590" t="inlineStr">
        <is>
          <t>MOV_COM_22__2686870</t>
        </is>
      </c>
      <c r="D76" s="596" t="inlineStr">
        <is>
          <t>LOVE AGAIN</t>
        </is>
      </c>
      <c r="E76" s="590" t="inlineStr">
        <is>
          <t>Chồng cũ, tình mới</t>
        </is>
      </c>
      <c r="F76" s="590" t="inlineStr">
        <is>
          <t>Romance</t>
        </is>
      </c>
      <c r="G76" s="589" t="inlineStr">
        <is>
          <t>CJ HK</t>
        </is>
      </c>
      <c r="H76" s="590" t="inlineStr">
        <is>
          <t>135/2022/HDBQ/VSTV-CJHK</t>
        </is>
      </c>
      <c r="I76" s="204" t="n">
        <v>2019</v>
      </c>
      <c r="J76" s="600" t="inlineStr">
        <is>
          <t>Korea</t>
        </is>
      </c>
      <c r="K76" s="204" t="n">
        <v>112</v>
      </c>
      <c r="L76" s="98" t="n">
        <v>44966</v>
      </c>
      <c r="M76" s="101" t="n">
        <v>46061</v>
      </c>
      <c r="N76" s="597" t="n">
        <v>44966</v>
      </c>
      <c r="O76" s="598" t="inlineStr">
        <is>
          <t>K+CINE</t>
        </is>
      </c>
      <c r="P76" s="96" t="n">
        <v>12</v>
      </c>
      <c r="Q76" s="592" t="inlineStr">
        <is>
          <t>No</t>
        </is>
      </c>
      <c r="R76" s="592" t="inlineStr">
        <is>
          <t>Yes</t>
        </is>
      </c>
      <c r="S76" s="592" t="inlineStr">
        <is>
          <t>Yes</t>
        </is>
      </c>
      <c r="T76" s="592" t="inlineStr">
        <is>
          <t>Yes</t>
        </is>
      </c>
      <c r="U76" s="592" t="inlineStr">
        <is>
          <t>Yes</t>
        </is>
      </c>
      <c r="V76" s="592" t="inlineStr">
        <is>
          <t>Yes</t>
        </is>
      </c>
      <c r="W76" s="592" t="inlineStr">
        <is>
          <t>Yes</t>
        </is>
      </c>
      <c r="X76" s="104" t="inlineStr">
        <is>
          <t>No</t>
        </is>
      </c>
      <c r="Y76" s="592" t="inlineStr">
        <is>
          <t>Yes</t>
        </is>
      </c>
      <c r="Z76" s="98" t="n">
        <v>44966</v>
      </c>
      <c r="AA76" s="101" t="n">
        <v>46061</v>
      </c>
      <c r="AB76" s="96" t="inlineStr">
        <is>
          <t>unlimited</t>
        </is>
      </c>
      <c r="AC76" s="202" t="n">
        <v>28</v>
      </c>
      <c r="AD76" s="592" t="inlineStr">
        <is>
          <t>Yes</t>
        </is>
      </c>
      <c r="AE76" s="592" t="inlineStr">
        <is>
          <t>Yes</t>
        </is>
      </c>
      <c r="AF76" s="600" t="n"/>
      <c r="AG76" s="593" t="inlineStr">
        <is>
          <t>Phim còn hạn từ 2026</t>
        </is>
      </c>
      <c r="AH76" s="594" t="n"/>
      <c r="AI76" s="206" t="inlineStr">
        <is>
          <t>LOVE AGAIN (Chồng cũ tình mới)</t>
        </is>
      </c>
      <c r="AJ76" s="128">
        <f>SUMIF('TK 15661.Bản quyền phim '!F:F,'KK1. Movies'!D76,'TK 15661.Bản quyền phim '!X:X)</f>
        <v/>
      </c>
      <c r="AK76" s="128">
        <f>SUMIF('TK 15661.Bản quyền phim '!F:F,'KK1. Movies'!AI76,'TK 15661.Bản quyền phim '!X:X)</f>
        <v/>
      </c>
      <c r="AL76" s="203">
        <f>COUNTIF('242.BQ Phim hợp tác'!$C:$C,'KK1. Movies'!AI76)</f>
        <v/>
      </c>
      <c r="AM76" s="203">
        <f>COUNTIF('TK 15661.Bản quyền phim '!F:F,'KK1. Movies'!AI76)</f>
        <v/>
      </c>
      <c r="AN76" s="546">
        <f>AL76+AM76</f>
        <v/>
      </c>
      <c r="AO76" s="203" t="n"/>
      <c r="AP76" s="203" t="n"/>
      <c r="AQ76" s="203" t="n"/>
      <c r="AR76" s="203" t="n"/>
      <c r="AS76" s="203" t="n"/>
      <c r="AT76" s="546">
        <f>IFERROR(VLOOKUP(C76, CodeRanMovies!$A:$K, 11, 0), "Not found")</f>
        <v/>
      </c>
    </row>
    <row r="77" ht="26.4" customHeight="1" s="578">
      <c r="A77" s="201">
        <f>_xlfn.AGGREGATE(3,3,$D$7:D77)</f>
        <v/>
      </c>
      <c r="B77" s="589" t="inlineStr">
        <is>
          <t>16+</t>
        </is>
      </c>
      <c r="C77" s="590" t="inlineStr">
        <is>
          <t>MOV_COM290</t>
        </is>
      </c>
      <c r="D77" s="105" t="inlineStr">
        <is>
          <t>THE ROYAL BRIDE</t>
        </is>
      </c>
      <c r="E77" s="105" t="inlineStr">
        <is>
          <t>GÁI GIÀ LẮM CHIÊU 3</t>
        </is>
      </c>
      <c r="F77" s="108" t="inlineStr">
        <is>
          <t>Comedy, Romace</t>
        </is>
      </c>
      <c r="G77" s="108" t="inlineStr">
        <is>
          <t>Skyline Media</t>
        </is>
      </c>
      <c r="H77" s="590" t="inlineStr">
        <is>
          <t>36/2025/HDBQ/VSTV-SM</t>
        </is>
      </c>
      <c r="I77" s="107" t="n">
        <v>2020</v>
      </c>
      <c r="J77" s="592" t="inlineStr">
        <is>
          <t>Việt Nam</t>
        </is>
      </c>
      <c r="K77" s="107" t="n">
        <v>120</v>
      </c>
      <c r="L77" s="591" t="n">
        <v>45686</v>
      </c>
      <c r="M77" s="98" t="n">
        <v>46780</v>
      </c>
      <c r="N77" s="591" t="n">
        <v>45686</v>
      </c>
      <c r="O77" s="592" t="n"/>
      <c r="P77" s="104" t="n">
        <v>0</v>
      </c>
      <c r="Q77" s="107" t="inlineStr">
        <is>
          <t>No</t>
        </is>
      </c>
      <c r="R77" s="592" t="inlineStr">
        <is>
          <t>Yes</t>
        </is>
      </c>
      <c r="S77" s="104" t="inlineStr">
        <is>
          <t>Yes</t>
        </is>
      </c>
      <c r="T77" s="592" t="inlineStr">
        <is>
          <t>Yes</t>
        </is>
      </c>
      <c r="U77" s="104" t="inlineStr">
        <is>
          <t>Yes</t>
        </is>
      </c>
      <c r="V77" s="104" t="inlineStr">
        <is>
          <t>Yes</t>
        </is>
      </c>
      <c r="W77" s="104" t="inlineStr">
        <is>
          <t>Yes</t>
        </is>
      </c>
      <c r="X77" s="104" t="inlineStr">
        <is>
          <t>Yes</t>
        </is>
      </c>
      <c r="Y77" s="104" t="inlineStr">
        <is>
          <t>No</t>
        </is>
      </c>
      <c r="Z77" s="109" t="n">
        <v>45686</v>
      </c>
      <c r="AA77" s="125" t="n">
        <v>46780</v>
      </c>
      <c r="AB77" s="107" t="n">
        <v>24</v>
      </c>
      <c r="AC77" s="202" t="n">
        <v>6</v>
      </c>
      <c r="AD77" s="592" t="inlineStr">
        <is>
          <t>Yes</t>
        </is>
      </c>
      <c r="AE77" s="592" t="inlineStr">
        <is>
          <t>Yes</t>
        </is>
      </c>
      <c r="AF77" s="600" t="n"/>
      <c r="AG77" s="593" t="inlineStr">
        <is>
          <t>Phim còn hạn từ 2026</t>
        </is>
      </c>
      <c r="AH77" s="594" t="n"/>
      <c r="AI77" s="206" t="inlineStr">
        <is>
          <t>THE ROYAL BRIDE (GÁI GIÀ LẮM CHIÊU 3)</t>
        </is>
      </c>
      <c r="AJ77" s="128">
        <f>SUMIF('TK 15661.Bản quyền phim '!F:F,'KK1. Movies'!D77,'TK 15661.Bản quyền phim '!X:X)</f>
        <v/>
      </c>
      <c r="AK77" s="128">
        <f>SUMIF('TK 15661.Bản quyền phim '!F:F,'KK1. Movies'!AI77,'TK 15661.Bản quyền phim '!X:X)</f>
        <v/>
      </c>
      <c r="AL77" s="203">
        <f>COUNTIF('242.BQ Phim hợp tác'!$C:$C,'KK1. Movies'!AI77)</f>
        <v/>
      </c>
      <c r="AM77" s="203">
        <f>COUNTIF('TK 15661.Bản quyền phim '!F:F,'KK1. Movies'!AI77)</f>
        <v/>
      </c>
      <c r="AN77" s="546">
        <f>AL77+AM77</f>
        <v/>
      </c>
      <c r="AO77" s="203" t="n"/>
      <c r="AP77" s="203" t="n"/>
      <c r="AQ77" s="203" t="n"/>
      <c r="AR77" s="203" t="n"/>
      <c r="AS77" s="203" t="n"/>
      <c r="AT77" s="546">
        <f>IFERROR(VLOOKUP(C77, CodeRanMovies!$A:$K, 11, 0), "Not found")</f>
        <v/>
      </c>
    </row>
    <row r="78" ht="26.4" customHeight="1" s="578">
      <c r="A78" s="201">
        <f>_xlfn.AGGREGATE(3,3,$D$7:D78)</f>
        <v/>
      </c>
      <c r="B78" s="589" t="inlineStr">
        <is>
          <t>16+</t>
        </is>
      </c>
      <c r="C78" s="590" t="inlineStr">
        <is>
          <t>MOV_COM_23__2697133</t>
        </is>
      </c>
      <c r="D78" s="596" t="inlineStr">
        <is>
          <t>More Than Family</t>
        </is>
      </c>
      <c r="E78" s="590" t="inlineStr">
        <is>
          <t>Mẹ bầu siêu ngầu</t>
        </is>
      </c>
      <c r="F78" s="589" t="inlineStr">
        <is>
          <t>Drama</t>
        </is>
      </c>
      <c r="G78" s="589" t="inlineStr">
        <is>
          <t>Roses Media</t>
        </is>
      </c>
      <c r="H78" s="590" t="inlineStr">
        <is>
          <t>140/2022/HDBQ/VSTV-RM</t>
        </is>
      </c>
      <c r="I78" s="204" t="n">
        <v>2020</v>
      </c>
      <c r="J78" s="600" t="inlineStr">
        <is>
          <t>Korea</t>
        </is>
      </c>
      <c r="K78" s="204" t="n">
        <v>108</v>
      </c>
      <c r="L78" s="98" t="n">
        <v>45274</v>
      </c>
      <c r="M78" s="101" t="n">
        <v>46369</v>
      </c>
      <c r="N78" s="597" t="n">
        <v>45274</v>
      </c>
      <c r="O78" s="598" t="inlineStr">
        <is>
          <t>K+CINE</t>
        </is>
      </c>
      <c r="P78" s="592" t="inlineStr">
        <is>
          <t xml:space="preserve">Exclusive All Pay TV Rights for first 12 months.
Non exclusive All VOD during LP 
</t>
        </is>
      </c>
      <c r="Q78" s="592" t="inlineStr">
        <is>
          <t>No</t>
        </is>
      </c>
      <c r="R78" s="592" t="inlineStr">
        <is>
          <t>Yes</t>
        </is>
      </c>
      <c r="S78" s="592" t="inlineStr">
        <is>
          <t>No</t>
        </is>
      </c>
      <c r="T78" s="592" t="inlineStr">
        <is>
          <t>Yes</t>
        </is>
      </c>
      <c r="U78" s="592" t="inlineStr">
        <is>
          <t>Yes</t>
        </is>
      </c>
      <c r="V78" s="592" t="inlineStr">
        <is>
          <t>Yes</t>
        </is>
      </c>
      <c r="W78" s="592" t="inlineStr">
        <is>
          <t>Yes</t>
        </is>
      </c>
      <c r="X78" s="592" t="inlineStr">
        <is>
          <t>Yes</t>
        </is>
      </c>
      <c r="Y78" s="592" t="inlineStr">
        <is>
          <t>No</t>
        </is>
      </c>
      <c r="Z78" s="98" t="n">
        <v>45274</v>
      </c>
      <c r="AA78" s="101" t="n">
        <v>46369</v>
      </c>
      <c r="AB78" s="202" t="n">
        <v>24</v>
      </c>
      <c r="AC78" s="202" t="n">
        <v>9</v>
      </c>
      <c r="AD78" s="592" t="inlineStr">
        <is>
          <t>Yes</t>
        </is>
      </c>
      <c r="AE78" s="592" t="inlineStr">
        <is>
          <t>Yes</t>
        </is>
      </c>
      <c r="AF78" s="600" t="n"/>
      <c r="AG78" s="593" t="inlineStr">
        <is>
          <t>Phim còn hạn từ 2026</t>
        </is>
      </c>
      <c r="AH78" s="594" t="inlineStr">
        <is>
          <t>MOV_COM_23__2697133</t>
        </is>
      </c>
      <c r="AI78" s="599" t="inlineStr">
        <is>
          <t>More Than Family</t>
        </is>
      </c>
      <c r="AJ78" s="128">
        <f>SUMIF('TK 15661.Bản quyền phim '!F:F,'KK1. Movies'!D78,'TK 15661.Bản quyền phim '!X:X)</f>
        <v/>
      </c>
      <c r="AK78" s="128">
        <f>SUMIF('TK 15661.Bản quyền phim '!F:F,'KK1. Movies'!AI78,'TK 15661.Bản quyền phim '!X:X)</f>
        <v/>
      </c>
      <c r="AL78" s="203">
        <f>COUNTIF('242.BQ Phim hợp tác'!$C:$C,'KK1. Movies'!AI78)</f>
        <v/>
      </c>
      <c r="AM78" s="203">
        <f>COUNTIF('TK 15661.Bản quyền phim '!F:F,'KK1. Movies'!AI78)</f>
        <v/>
      </c>
      <c r="AN78" s="546">
        <f>AL78+AM78</f>
        <v/>
      </c>
      <c r="AO78" s="203" t="n"/>
      <c r="AP78" s="203" t="n"/>
      <c r="AQ78" s="203" t="n"/>
      <c r="AR78" s="203" t="n"/>
      <c r="AS78" s="203" t="n"/>
      <c r="AT78" s="546">
        <f>IFERROR(VLOOKUP(C78, CodeRanMovies!$A:$K, 11, 0), "Not found")</f>
        <v/>
      </c>
    </row>
    <row r="79" ht="26.4" customHeight="1" s="578">
      <c r="A79" s="201">
        <f>_xlfn.AGGREGATE(3,3,$D$7:D79)</f>
        <v/>
      </c>
      <c r="B79" s="606" t="inlineStr">
        <is>
          <t>n/a</t>
        </is>
      </c>
      <c r="C79" s="234" t="inlineStr">
        <is>
          <t>MOV_ACT610</t>
        </is>
      </c>
      <c r="D79" s="105" t="inlineStr">
        <is>
          <t>Good Job</t>
        </is>
      </c>
      <c r="E79" s="97" t="inlineStr">
        <is>
          <t>Đối tác hoàn hảo</t>
        </is>
      </c>
      <c r="F79" s="590" t="inlineStr">
        <is>
          <t>Drama</t>
        </is>
      </c>
      <c r="G79" s="103" t="inlineStr">
        <is>
          <t xml:space="preserve">Mocking Bird </t>
        </is>
      </c>
      <c r="H79" s="108" t="inlineStr">
        <is>
          <t>10/2025/HDBQ/VSTV-Mockingbird</t>
        </is>
      </c>
      <c r="I79" s="104" t="n">
        <v>2024</v>
      </c>
      <c r="J79" s="104" t="inlineStr">
        <is>
          <t>Korea</t>
        </is>
      </c>
      <c r="K79" s="104" t="n">
        <v>95</v>
      </c>
      <c r="L79" s="591" t="n">
        <v>45764</v>
      </c>
      <c r="M79" s="106" t="n">
        <v>46859</v>
      </c>
      <c r="N79" s="601" t="inlineStr">
        <is>
          <t>n/a</t>
        </is>
      </c>
      <c r="O79" s="592" t="n"/>
      <c r="P79" s="592" t="n"/>
      <c r="Q79" s="104" t="inlineStr">
        <is>
          <t>No</t>
        </is>
      </c>
      <c r="R79" s="592" t="inlineStr">
        <is>
          <t>Yes</t>
        </is>
      </c>
      <c r="S79" s="107" t="inlineStr">
        <is>
          <t>Yes</t>
        </is>
      </c>
      <c r="T79" s="592" t="inlineStr">
        <is>
          <t>Yes</t>
        </is>
      </c>
      <c r="U79" s="107" t="inlineStr">
        <is>
          <t>Yes</t>
        </is>
      </c>
      <c r="V79" s="107" t="inlineStr">
        <is>
          <t>Yes</t>
        </is>
      </c>
      <c r="W79" s="107" t="inlineStr">
        <is>
          <t>Yes</t>
        </is>
      </c>
      <c r="X79" s="107" t="inlineStr">
        <is>
          <t>Yes</t>
        </is>
      </c>
      <c r="Y79" s="107" t="inlineStr">
        <is>
          <t>Yes</t>
        </is>
      </c>
      <c r="Z79" s="106" t="n">
        <v>45765</v>
      </c>
      <c r="AA79" s="124" t="n">
        <v>46860</v>
      </c>
      <c r="AB79" s="104" t="n">
        <v>24</v>
      </c>
      <c r="AC79" s="202" t="n">
        <v>3</v>
      </c>
      <c r="AD79" s="592" t="inlineStr">
        <is>
          <t>Yes</t>
        </is>
      </c>
      <c r="AE79" s="592" t="inlineStr">
        <is>
          <t>Yes</t>
        </is>
      </c>
      <c r="AF79" s="600" t="n"/>
      <c r="AG79" s="593" t="inlineStr">
        <is>
          <t>Phim còn hạn từ 2026</t>
        </is>
      </c>
      <c r="AH79" s="594" t="n"/>
      <c r="AI79" s="599" t="inlineStr">
        <is>
          <t>Good Job (Movie-KOR)</t>
        </is>
      </c>
      <c r="AJ79" s="128">
        <f>SUMIF('TK 15661.Bản quyền phim '!F:F,'KK1. Movies'!D79,'TK 15661.Bản quyền phim '!X:X)</f>
        <v/>
      </c>
      <c r="AK79" s="128">
        <f>SUMIF('TK 15661.Bản quyền phim '!F:F,'KK1. Movies'!AI79,'TK 15661.Bản quyền phim '!X:X)</f>
        <v/>
      </c>
      <c r="AL79" s="203">
        <f>COUNTIF('242.BQ Phim hợp tác'!$C:$C,'KK1. Movies'!AI79)</f>
        <v/>
      </c>
      <c r="AM79" s="203">
        <f>COUNTIF('TK 15661.Bản quyền phim '!F:F,'KK1. Movies'!AI79)</f>
        <v/>
      </c>
      <c r="AN79" s="546">
        <f>AL79+AM79</f>
        <v/>
      </c>
      <c r="AO79" s="203" t="n"/>
      <c r="AP79" s="203" t="n"/>
      <c r="AQ79" s="203" t="n"/>
      <c r="AR79" s="203" t="n"/>
      <c r="AS79" s="203" t="n"/>
      <c r="AT79" s="546">
        <f>IFERROR(VLOOKUP(C79, CodeRanMovies!$A:$K, 11, 0), "Not found")</f>
        <v/>
      </c>
    </row>
    <row r="80" ht="26.4" customHeight="1" s="578">
      <c r="A80" s="201">
        <f>_xlfn.AGGREGATE(3,3,$D$7:D80)</f>
        <v/>
      </c>
      <c r="B80" s="589" t="inlineStr">
        <is>
          <t>16+</t>
        </is>
      </c>
      <c r="C80" s="590" t="inlineStr">
        <is>
          <t>MOV_ACT_24__2714420</t>
        </is>
      </c>
      <c r="D80" s="105" t="inlineStr">
        <is>
          <t>The Age of Blood</t>
        </is>
      </c>
      <c r="E80" s="110" t="inlineStr">
        <is>
          <t>Thời Kỳ Phiến Loạn</t>
        </is>
      </c>
      <c r="F80" s="108" t="inlineStr">
        <is>
          <t>action</t>
        </is>
      </c>
      <c r="G80" s="108" t="inlineStr">
        <is>
          <t>Hỏa Thổ</t>
        </is>
      </c>
      <c r="H80" s="108" t="inlineStr">
        <is>
          <t>25A/2024/HDBQ/VSTV-Hoa tho</t>
        </is>
      </c>
      <c r="I80" s="104" t="n">
        <v>2017</v>
      </c>
      <c r="J80" s="600" t="inlineStr">
        <is>
          <t>Korea</t>
        </is>
      </c>
      <c r="K80" s="104" t="n">
        <v>102</v>
      </c>
      <c r="L80" s="98" t="n">
        <v>45414</v>
      </c>
      <c r="M80" s="109" t="n">
        <v>46508</v>
      </c>
      <c r="N80" s="601" t="n">
        <v>45415</v>
      </c>
      <c r="O80" s="592" t="inlineStr">
        <is>
          <t>K+CINE</t>
        </is>
      </c>
      <c r="P80" s="104" t="inlineStr">
        <is>
          <t xml:space="preserve"> </t>
        </is>
      </c>
      <c r="Q80" s="104" t="inlineStr">
        <is>
          <t>No</t>
        </is>
      </c>
      <c r="R80" s="592" t="inlineStr">
        <is>
          <t>Yes</t>
        </is>
      </c>
      <c r="S80" s="104" t="inlineStr">
        <is>
          <t>Yes</t>
        </is>
      </c>
      <c r="T80" s="592" t="inlineStr">
        <is>
          <t>Yes</t>
        </is>
      </c>
      <c r="U80" s="104" t="inlineStr">
        <is>
          <t>Yes</t>
        </is>
      </c>
      <c r="V80" s="104" t="inlineStr">
        <is>
          <t>Yes</t>
        </is>
      </c>
      <c r="W80" s="104" t="inlineStr">
        <is>
          <t>Yes</t>
        </is>
      </c>
      <c r="X80" s="592" t="inlineStr">
        <is>
          <t>No</t>
        </is>
      </c>
      <c r="Y80" s="104" t="inlineStr">
        <is>
          <t>No</t>
        </is>
      </c>
      <c r="Z80" s="98" t="n">
        <v>45414</v>
      </c>
      <c r="AA80" s="109" t="n">
        <v>46508</v>
      </c>
      <c r="AB80" s="107" t="inlineStr">
        <is>
          <t>Unlimited run</t>
        </is>
      </c>
      <c r="AC80" s="105" t="n">
        <v>19</v>
      </c>
      <c r="AD80" s="592" t="inlineStr">
        <is>
          <t>Yes</t>
        </is>
      </c>
      <c r="AE80" s="592" t="inlineStr">
        <is>
          <t>Yes</t>
        </is>
      </c>
      <c r="AF80" s="596" t="n"/>
      <c r="AG80" s="593" t="inlineStr">
        <is>
          <t>Phim còn hạn từ 2026</t>
        </is>
      </c>
      <c r="AH80" s="594" t="n"/>
      <c r="AI80" s="206" t="inlineStr">
        <is>
          <t>The Age of Blood (Thời Kỳ Phiến Loạn)</t>
        </is>
      </c>
      <c r="AJ80" s="128">
        <f>SUMIF('TK 15661.Bản quyền phim '!F:F,'KK1. Movies'!D80,'TK 15661.Bản quyền phim '!X:X)</f>
        <v/>
      </c>
      <c r="AK80" s="128">
        <f>SUMIF('TK 15661.Bản quyền phim '!F:F,'KK1. Movies'!AI80,'TK 15661.Bản quyền phim '!X:X)</f>
        <v/>
      </c>
      <c r="AL80" s="203">
        <f>COUNTIF('242.BQ Phim hợp tác'!$C:$C,'KK1. Movies'!AI80)</f>
        <v/>
      </c>
      <c r="AM80" s="203">
        <f>COUNTIF('TK 15661.Bản quyền phim '!F:F,'KK1. Movies'!AI80)</f>
        <v/>
      </c>
      <c r="AN80" s="546">
        <f>AL80+AM80</f>
        <v/>
      </c>
      <c r="AO80" s="203" t="n"/>
      <c r="AP80" s="203" t="n"/>
      <c r="AQ80" s="203" t="n"/>
      <c r="AR80" s="203" t="n"/>
      <c r="AS80" s="203" t="n"/>
      <c r="AT80" s="546">
        <f>IFERROR(VLOOKUP(C80, CodeRanMovies!$A:$K, 11, 0), "Not found")</f>
        <v/>
      </c>
    </row>
    <row r="81" ht="52.8" customHeight="1" s="578">
      <c r="A81" s="201">
        <f>_xlfn.AGGREGATE(3,3,$D$7:D81)</f>
        <v/>
      </c>
      <c r="B81" s="589" t="inlineStr">
        <is>
          <t>13+</t>
        </is>
      </c>
      <c r="C81" s="590" t="inlineStr">
        <is>
          <t>MOV_BIO_24__2713783</t>
        </is>
      </c>
      <c r="D81" s="105" t="inlineStr">
        <is>
          <t>A BEAUTIFUL DAY IN THE NEIGHBORHOOD</t>
        </is>
      </c>
      <c r="E81" s="110" t="inlineStr">
        <is>
          <t>Một ngày đẹp đẽ trong khu phố</t>
        </is>
      </c>
      <c r="F81" s="590" t="inlineStr">
        <is>
          <t>Drama</t>
        </is>
      </c>
      <c r="G81" s="103" t="inlineStr">
        <is>
          <t>SONY PICTURES</t>
        </is>
      </c>
      <c r="H81" s="590" t="inlineStr">
        <is>
          <t>Sony/K+Vietnam PayBasic SVOD Package Agmt D2D per JK (19-01-2024)</t>
        </is>
      </c>
      <c r="I81" s="104" t="n">
        <v>2019</v>
      </c>
      <c r="J81" s="600" t="inlineStr">
        <is>
          <t>US</t>
        </is>
      </c>
      <c r="K81" s="104" t="n">
        <v>108</v>
      </c>
      <c r="L81" s="98" t="n">
        <v>45382</v>
      </c>
      <c r="M81" s="106" t="n">
        <v>46111</v>
      </c>
      <c r="N81" s="601" t="n">
        <v>45427</v>
      </c>
      <c r="O81" s="592" t="inlineStr">
        <is>
          <t>K+CINE</t>
        </is>
      </c>
      <c r="P81" s="592" t="n"/>
      <c r="Q81" s="104" t="inlineStr">
        <is>
          <t>No</t>
        </is>
      </c>
      <c r="R81" s="592" t="inlineStr">
        <is>
          <t>Yes</t>
        </is>
      </c>
      <c r="S81" s="592" t="inlineStr">
        <is>
          <t>Yes</t>
        </is>
      </c>
      <c r="T81" s="592" t="inlineStr">
        <is>
          <t>Yes</t>
        </is>
      </c>
      <c r="U81" s="104" t="inlineStr">
        <is>
          <t>No</t>
        </is>
      </c>
      <c r="V81" s="104" t="inlineStr">
        <is>
          <t>No</t>
        </is>
      </c>
      <c r="W81" s="104" t="inlineStr">
        <is>
          <t>No</t>
        </is>
      </c>
      <c r="X81" s="104" t="inlineStr">
        <is>
          <t>No</t>
        </is>
      </c>
      <c r="Y81" s="104" t="inlineStr">
        <is>
          <t>No</t>
        </is>
      </c>
      <c r="Z81" s="98" t="n">
        <v>45382</v>
      </c>
      <c r="AA81" s="124" t="n">
        <v>46111</v>
      </c>
      <c r="AB81" s="107" t="n">
        <v>7</v>
      </c>
      <c r="AC81" s="202" t="n">
        <v>4</v>
      </c>
      <c r="AD81" s="592" t="inlineStr">
        <is>
          <t>Yes</t>
        </is>
      </c>
      <c r="AE81" s="592" t="inlineStr">
        <is>
          <t>Yes</t>
        </is>
      </c>
      <c r="AF81" s="600" t="n"/>
      <c r="AG81" s="593" t="inlineStr">
        <is>
          <t>Phim còn hạn từ 2026</t>
        </is>
      </c>
      <c r="AH81" s="594" t="inlineStr">
        <is>
          <t>MOV_BIO_24__2713783</t>
        </is>
      </c>
      <c r="AI81" s="205" t="inlineStr">
        <is>
          <t>BEAUTIFUL DAY IN THE NEIGHBORHOOD, A</t>
        </is>
      </c>
      <c r="AJ81" s="128">
        <f>SUMIF('TK 15661.Bản quyền phim '!F:F,'KK1. Movies'!D81,'TK 15661.Bản quyền phim '!X:X)</f>
        <v/>
      </c>
      <c r="AK81" s="128">
        <f>SUMIF('TK 15661.Bản quyền phim '!F:F,'KK1. Movies'!AI81,'TK 15661.Bản quyền phim '!X:X)</f>
        <v/>
      </c>
      <c r="AL81" s="203">
        <f>COUNTIF('242.BQ Phim hợp tác'!$C:$C,'KK1. Movies'!AI81)</f>
        <v/>
      </c>
      <c r="AM81" s="203">
        <f>COUNTIF('TK 15661.Bản quyền phim '!F:F,'KK1. Movies'!AI81)</f>
        <v/>
      </c>
      <c r="AN81" s="546">
        <f>AL81+AM81</f>
        <v/>
      </c>
      <c r="AO81" s="203" t="n"/>
      <c r="AP81" s="203" t="n"/>
      <c r="AQ81" s="203" t="n"/>
      <c r="AR81" s="203" t="n"/>
      <c r="AS81" s="203" t="n"/>
      <c r="AT81" s="546">
        <f>IFERROR(VLOOKUP(C81, CodeRanMovies!$A:$K, 11, 0), "Not found")</f>
        <v/>
      </c>
    </row>
    <row r="82" ht="52.8" customHeight="1" s="578">
      <c r="A82" s="201">
        <f>_xlfn.AGGREGATE(3,3,$D$7:D82)</f>
        <v/>
      </c>
      <c r="B82" s="589" t="inlineStr">
        <is>
          <t>16+</t>
        </is>
      </c>
      <c r="C82" s="234" t="inlineStr">
        <is>
          <t>MOV_ACT576</t>
        </is>
      </c>
      <c r="D82" s="105" t="inlineStr">
        <is>
          <t>HANNA (2011)</t>
        </is>
      </c>
      <c r="E82" s="110" t="inlineStr">
        <is>
          <t>Hanna bí ẩn</t>
        </is>
      </c>
      <c r="F82" s="590" t="inlineStr">
        <is>
          <t>Action, Adventure</t>
        </is>
      </c>
      <c r="G82" s="103" t="inlineStr">
        <is>
          <t>SONY PICTURES</t>
        </is>
      </c>
      <c r="H82" s="590" t="inlineStr">
        <is>
          <t>Sony/K+Vietnam PayBasic SVOD Package Agmt D2D per JK (19-01-2024)</t>
        </is>
      </c>
      <c r="I82" s="104" t="n">
        <v>2011</v>
      </c>
      <c r="J82" s="107" t="inlineStr">
        <is>
          <t>Germany;United Kingdom</t>
        </is>
      </c>
      <c r="K82" s="104" t="n">
        <v>110</v>
      </c>
      <c r="L82" s="98" t="n">
        <v>45505</v>
      </c>
      <c r="M82" s="106" t="n">
        <v>46234</v>
      </c>
      <c r="N82" s="601" t="n">
        <v>45540</v>
      </c>
      <c r="O82" s="592" t="inlineStr">
        <is>
          <t>K+ACTION</t>
        </is>
      </c>
      <c r="P82" s="592" t="n"/>
      <c r="Q82" s="104" t="inlineStr">
        <is>
          <t>No</t>
        </is>
      </c>
      <c r="R82" s="592" t="inlineStr">
        <is>
          <t>Yes</t>
        </is>
      </c>
      <c r="S82" s="592" t="inlineStr">
        <is>
          <t>Yes</t>
        </is>
      </c>
      <c r="T82" s="592" t="inlineStr">
        <is>
          <t>Yes</t>
        </is>
      </c>
      <c r="U82" s="104" t="inlineStr">
        <is>
          <t>No</t>
        </is>
      </c>
      <c r="V82" s="104" t="inlineStr">
        <is>
          <t>No</t>
        </is>
      </c>
      <c r="W82" s="104" t="inlineStr">
        <is>
          <t>No</t>
        </is>
      </c>
      <c r="X82" s="104" t="inlineStr">
        <is>
          <t>No</t>
        </is>
      </c>
      <c r="Y82" s="104" t="inlineStr">
        <is>
          <t>No</t>
        </is>
      </c>
      <c r="Z82" s="106" t="n">
        <v>45505</v>
      </c>
      <c r="AA82" s="124" t="n">
        <v>46053</v>
      </c>
      <c r="AB82" s="107" t="n">
        <v>7</v>
      </c>
      <c r="AC82" s="202" t="n">
        <v>3</v>
      </c>
      <c r="AD82" s="592" t="inlineStr">
        <is>
          <t>Yes</t>
        </is>
      </c>
      <c r="AE82" s="592" t="inlineStr">
        <is>
          <t>Yes</t>
        </is>
      </c>
      <c r="AF82" s="600" t="n"/>
      <c r="AG82" s="593" t="inlineStr">
        <is>
          <t>Phim còn hạn từ 2026</t>
        </is>
      </c>
      <c r="AH82" s="594" t="n"/>
      <c r="AI82" s="599" t="inlineStr">
        <is>
          <t>HANNA (2011)</t>
        </is>
      </c>
      <c r="AJ82" s="128">
        <f>SUMIF('TK 15661.Bản quyền phim '!F:F,'KK1. Movies'!D82,'TK 15661.Bản quyền phim '!X:X)</f>
        <v/>
      </c>
      <c r="AK82" s="128">
        <f>SUMIF('TK 15661.Bản quyền phim '!F:F,'KK1. Movies'!AI82,'TK 15661.Bản quyền phim '!X:X)</f>
        <v/>
      </c>
      <c r="AL82" s="203">
        <f>COUNTIF('242.BQ Phim hợp tác'!$C:$C,'KK1. Movies'!AI82)</f>
        <v/>
      </c>
      <c r="AM82" s="203">
        <f>COUNTIF('TK 15661.Bản quyền phim '!F:F,'KK1. Movies'!AI82)</f>
        <v/>
      </c>
      <c r="AN82" s="546">
        <f>AL82+AM82</f>
        <v/>
      </c>
      <c r="AO82" s="203" t="n"/>
      <c r="AP82" s="203" t="n"/>
      <c r="AQ82" s="203" t="n"/>
      <c r="AR82" s="203" t="n"/>
      <c r="AS82" s="203" t="n"/>
      <c r="AT82" s="546">
        <f>IFERROR(VLOOKUP(C82, CodeRanMovies!$A:$K, 11, 0), "Not found")</f>
        <v/>
      </c>
    </row>
    <row r="83" ht="26.4" customHeight="1" s="578">
      <c r="A83" s="201">
        <f>_xlfn.AGGREGATE(3,3,$D$7:D83)</f>
        <v/>
      </c>
      <c r="B83" s="589" t="inlineStr">
        <is>
          <t>13+</t>
        </is>
      </c>
      <c r="C83" s="234" t="inlineStr">
        <is>
          <t>MOV_ROM_22__2686497</t>
        </is>
      </c>
      <c r="D83" s="596" t="inlineStr">
        <is>
          <t>My Love</t>
        </is>
      </c>
      <c r="E83" s="590" t="inlineStr">
        <is>
          <t>Hôn lễ của em</t>
        </is>
      </c>
      <c r="F83" s="589" t="inlineStr">
        <is>
          <t>Romance</t>
        </is>
      </c>
      <c r="G83" s="604" t="inlineStr">
        <is>
          <t>Pro Partner</t>
        </is>
      </c>
      <c r="H83" s="590" t="inlineStr">
        <is>
          <t>56/2023/HDBQ/VSTV-Pro Partner</t>
        </is>
      </c>
      <c r="I83" s="204" t="n">
        <v>2021</v>
      </c>
      <c r="J83" s="600" t="inlineStr">
        <is>
          <t>China</t>
        </is>
      </c>
      <c r="K83" s="204" t="n">
        <v>115</v>
      </c>
      <c r="L83" s="98" t="n">
        <v>45051</v>
      </c>
      <c r="M83" s="591" t="n">
        <v>46146</v>
      </c>
      <c r="N83" s="601" t="n">
        <v>45051</v>
      </c>
      <c r="O83" s="598" t="inlineStr">
        <is>
          <t>K+CINE</t>
        </is>
      </c>
      <c r="P83" s="592" t="inlineStr">
        <is>
          <t>Exclusive All TV Rights the first 9 months of LP
 Non-exclusive with All Catch-up TV Rights; All VOD Rights during LP</t>
        </is>
      </c>
      <c r="Q83" s="600" t="inlineStr">
        <is>
          <t>No</t>
        </is>
      </c>
      <c r="R83" s="592" t="inlineStr">
        <is>
          <t>Yes</t>
        </is>
      </c>
      <c r="S83" s="592" t="inlineStr">
        <is>
          <t>Yes</t>
        </is>
      </c>
      <c r="T83" s="592" t="inlineStr">
        <is>
          <t>Yes</t>
        </is>
      </c>
      <c r="U83" s="592" t="inlineStr">
        <is>
          <t>Yes</t>
        </is>
      </c>
      <c r="V83" s="592" t="inlineStr">
        <is>
          <t>Yes</t>
        </is>
      </c>
      <c r="W83" s="592" t="inlineStr">
        <is>
          <t>Yes</t>
        </is>
      </c>
      <c r="X83" s="592" t="inlineStr">
        <is>
          <t>Yes</t>
        </is>
      </c>
      <c r="Y83" s="592" t="inlineStr">
        <is>
          <t>Yes</t>
        </is>
      </c>
      <c r="Z83" s="98" t="n">
        <v>45051</v>
      </c>
      <c r="AA83" s="591" t="n">
        <v>46146</v>
      </c>
      <c r="AB83" s="96" t="inlineStr">
        <is>
          <t>unlimited</t>
        </is>
      </c>
      <c r="AC83" s="202" t="n">
        <v>26</v>
      </c>
      <c r="AD83" s="592" t="inlineStr">
        <is>
          <t>Yes</t>
        </is>
      </c>
      <c r="AE83" s="592" t="inlineStr">
        <is>
          <t>Yes</t>
        </is>
      </c>
      <c r="AF83" s="600" t="n"/>
      <c r="AG83" s="593" t="inlineStr">
        <is>
          <t>Phim còn hạn từ 2026</t>
        </is>
      </c>
      <c r="AH83" s="594" t="n"/>
      <c r="AI83" s="206" t="inlineStr">
        <is>
          <t>My Love</t>
        </is>
      </c>
      <c r="AJ83" s="128">
        <f>SUMIF('TK 15661.Bản quyền phim '!F:F,'KK1. Movies'!D83,'TK 15661.Bản quyền phim '!X:X)</f>
        <v/>
      </c>
      <c r="AK83" s="128">
        <f>SUMIF('TK 15661.Bản quyền phim '!F:F,'KK1. Movies'!AI83,'TK 15661.Bản quyền phim '!X:X)</f>
        <v/>
      </c>
      <c r="AL83" s="203">
        <f>COUNTIF('242.BQ Phim hợp tác'!$C:$C,'KK1. Movies'!AI83)</f>
        <v/>
      </c>
      <c r="AM83" s="203">
        <f>COUNTIF('TK 15661.Bản quyền phim '!F:F,'KK1. Movies'!AI83)</f>
        <v/>
      </c>
      <c r="AN83" s="546">
        <f>AL83+AM83</f>
        <v/>
      </c>
      <c r="AO83" s="203" t="n"/>
      <c r="AP83" s="203" t="n"/>
      <c r="AQ83" s="203" t="n"/>
      <c r="AR83" s="203" t="n"/>
      <c r="AS83" s="203" t="n"/>
      <c r="AT83" s="546">
        <f>IFERROR(VLOOKUP(C83, CodeRanMovies!$A:$K, 11, 0), "Not found")</f>
        <v/>
      </c>
    </row>
    <row r="84" ht="39.6" customHeight="1" s="578">
      <c r="A84" s="201">
        <f>_xlfn.AGGREGATE(3,3,$D$7:D84)</f>
        <v/>
      </c>
      <c r="B84" s="589" t="inlineStr">
        <is>
          <t>P</t>
        </is>
      </c>
      <c r="C84" s="234" t="inlineStr">
        <is>
          <t>MOV_ANI_23__2698581</t>
        </is>
      </c>
      <c r="D84" s="596" t="inlineStr">
        <is>
          <t>Paws of Fury: The Legend of Hank</t>
        </is>
      </c>
      <c r="E84" s="593" t="inlineStr">
        <is>
          <t>Môn phái Võ Mèo: Huyền thoại một chú chó</t>
        </is>
      </c>
      <c r="F84" s="590" t="inlineStr">
        <is>
          <t>Comedy</t>
        </is>
      </c>
      <c r="G84" s="589" t="inlineStr">
        <is>
          <t>Roses Media</t>
        </is>
      </c>
      <c r="H84" s="590" t="inlineStr">
        <is>
          <t xml:space="preserve">82/2023/HDBQ/VSTV-Roses Media 
</t>
        </is>
      </c>
      <c r="I84" s="204" t="n">
        <v>2022</v>
      </c>
      <c r="J84" s="592" t="inlineStr">
        <is>
          <t>US</t>
        </is>
      </c>
      <c r="K84" s="204" t="n">
        <v>98</v>
      </c>
      <c r="L84" s="98" t="n">
        <v>45157</v>
      </c>
      <c r="M84" s="101" t="n">
        <v>46252</v>
      </c>
      <c r="N84" s="601" t="n">
        <v>45157</v>
      </c>
      <c r="O84" s="592" t="inlineStr">
        <is>
          <t>K+KIDS</t>
        </is>
      </c>
      <c r="P84" s="592" t="inlineStr">
        <is>
          <t xml:space="preserve">Exclusive All Pay TV Rights for first 12 months.
Non exclusive All VOD during LP 
</t>
        </is>
      </c>
      <c r="Q84" s="600" t="inlineStr">
        <is>
          <t>No</t>
        </is>
      </c>
      <c r="R84" s="592" t="inlineStr">
        <is>
          <t>Yes</t>
        </is>
      </c>
      <c r="S84" s="592" t="inlineStr">
        <is>
          <t>Yes</t>
        </is>
      </c>
      <c r="T84" s="592" t="inlineStr">
        <is>
          <t>Yes</t>
        </is>
      </c>
      <c r="U84" s="592" t="inlineStr">
        <is>
          <t>Yes</t>
        </is>
      </c>
      <c r="V84" s="592" t="inlineStr">
        <is>
          <t>Yes</t>
        </is>
      </c>
      <c r="W84" s="592" t="inlineStr">
        <is>
          <t>Yes</t>
        </is>
      </c>
      <c r="X84" s="592" t="inlineStr">
        <is>
          <t>Yes</t>
        </is>
      </c>
      <c r="Y84" s="592" t="inlineStr">
        <is>
          <t>No</t>
        </is>
      </c>
      <c r="Z84" s="101" t="n">
        <v>45170</v>
      </c>
      <c r="AA84" s="210" t="n">
        <v>46252</v>
      </c>
      <c r="AB84" s="96" t="n">
        <v>24</v>
      </c>
      <c r="AC84" s="202" t="n">
        <v>21</v>
      </c>
      <c r="AD84" s="592" t="inlineStr">
        <is>
          <t>Yes</t>
        </is>
      </c>
      <c r="AE84" s="592" t="inlineStr">
        <is>
          <t>Yes</t>
        </is>
      </c>
      <c r="AF84" s="600" t="n"/>
      <c r="AG84" s="593" t="inlineStr">
        <is>
          <t>Phim còn hạn từ 2026</t>
        </is>
      </c>
      <c r="AH84" s="594" t="n"/>
      <c r="AI84" s="206" t="inlineStr">
        <is>
          <t>Blazing Samurai/ Paws of Fury: The Legend of Hank</t>
        </is>
      </c>
      <c r="AJ84" s="128">
        <f>SUMIF('TK 15661.Bản quyền phim '!F:F,'KK1. Movies'!D84,'TK 15661.Bản quyền phim '!X:X)</f>
        <v/>
      </c>
      <c r="AK84" s="128">
        <f>SUMIF('TK 15661.Bản quyền phim '!F:F,'KK1. Movies'!AI84,'TK 15661.Bản quyền phim '!X:X)</f>
        <v/>
      </c>
      <c r="AL84" s="203">
        <f>COUNTIF('242.BQ Phim hợp tác'!$C:$C,'KK1. Movies'!AI84)</f>
        <v/>
      </c>
      <c r="AM84" s="203">
        <f>COUNTIF('TK 15661.Bản quyền phim '!F:F,'KK1. Movies'!AI84)</f>
        <v/>
      </c>
      <c r="AN84" s="546">
        <f>AL84+AM84</f>
        <v/>
      </c>
      <c r="AO84" s="203" t="n"/>
      <c r="AP84" s="203" t="n"/>
      <c r="AQ84" s="203" t="n"/>
      <c r="AR84" s="203" t="n"/>
      <c r="AS84" s="203" t="n"/>
      <c r="AT84" s="546">
        <f>IFERROR(VLOOKUP(C84, CodeRanMovies!$A:$K, 11, 0), "Not found")</f>
        <v/>
      </c>
    </row>
    <row r="85" ht="26.4" customHeight="1" s="578">
      <c r="A85" s="201">
        <f>_xlfn.AGGREGATE(3,3,$D$7:D85)</f>
        <v/>
      </c>
      <c r="B85" s="589" t="inlineStr">
        <is>
          <t>16+</t>
        </is>
      </c>
      <c r="C85" s="234" t="inlineStr">
        <is>
          <t>MOV_ACT_22__2686498</t>
        </is>
      </c>
      <c r="D85" s="596" t="inlineStr">
        <is>
          <t>Pipeline</t>
        </is>
      </c>
      <c r="E85" s="590" t="inlineStr">
        <is>
          <t>Đường ống</t>
        </is>
      </c>
      <c r="F85" s="590" t="inlineStr">
        <is>
          <t>Action, Adventure</t>
        </is>
      </c>
      <c r="G85" s="604" t="inlineStr">
        <is>
          <t>Pro Partner</t>
        </is>
      </c>
      <c r="H85" s="590" t="inlineStr">
        <is>
          <t>56/2023/HDBQ/VSTV-Pro Partner</t>
        </is>
      </c>
      <c r="I85" s="204" t="n">
        <v>2021</v>
      </c>
      <c r="J85" s="600" t="inlineStr">
        <is>
          <t>Korea</t>
        </is>
      </c>
      <c r="K85" s="204" t="n">
        <v>108</v>
      </c>
      <c r="L85" s="98" t="n">
        <v>45058</v>
      </c>
      <c r="M85" s="591" t="n">
        <v>46153</v>
      </c>
      <c r="N85" s="601" t="n">
        <v>45058</v>
      </c>
      <c r="O85" s="598" t="inlineStr">
        <is>
          <t>K+CINE</t>
        </is>
      </c>
      <c r="P85" s="592" t="inlineStr">
        <is>
          <t>Exclusive All TV Rights the first 9 months of LP
 Non-exclusive with All Catch-up TV Rights; All VOD Rights during LP</t>
        </is>
      </c>
      <c r="Q85" s="600" t="inlineStr">
        <is>
          <t>No</t>
        </is>
      </c>
      <c r="R85" s="592" t="inlineStr">
        <is>
          <t>Yes</t>
        </is>
      </c>
      <c r="S85" s="592" t="inlineStr">
        <is>
          <t>Yes</t>
        </is>
      </c>
      <c r="T85" s="592" t="inlineStr">
        <is>
          <t>Yes</t>
        </is>
      </c>
      <c r="U85" s="592" t="inlineStr">
        <is>
          <t>Yes</t>
        </is>
      </c>
      <c r="V85" s="592" t="inlineStr">
        <is>
          <t>Yes</t>
        </is>
      </c>
      <c r="W85" s="592" t="inlineStr">
        <is>
          <t>Yes</t>
        </is>
      </c>
      <c r="X85" s="592" t="inlineStr">
        <is>
          <t>Yes</t>
        </is>
      </c>
      <c r="Y85" s="592" t="inlineStr">
        <is>
          <t>Yes</t>
        </is>
      </c>
      <c r="Z85" s="98" t="n">
        <v>45058</v>
      </c>
      <c r="AA85" s="591" t="n">
        <v>46153</v>
      </c>
      <c r="AB85" s="96" t="inlineStr">
        <is>
          <t>unlimited</t>
        </is>
      </c>
      <c r="AC85" s="202" t="n">
        <v>34</v>
      </c>
      <c r="AD85" s="592" t="inlineStr">
        <is>
          <t>Yes</t>
        </is>
      </c>
      <c r="AE85" s="592" t="inlineStr">
        <is>
          <t>Yes</t>
        </is>
      </c>
      <c r="AF85" s="600" t="n"/>
      <c r="AG85" s="593" t="inlineStr">
        <is>
          <t>Phim còn hạn từ 2026</t>
        </is>
      </c>
      <c r="AH85" s="594" t="n"/>
      <c r="AI85" s="590" t="inlineStr">
        <is>
          <t>Pipeline</t>
        </is>
      </c>
      <c r="AJ85" s="128">
        <f>SUMIF('TK 15661.Bản quyền phim '!F:F,'KK1. Movies'!D85,'TK 15661.Bản quyền phim '!X:X)</f>
        <v/>
      </c>
      <c r="AK85" s="128">
        <f>SUMIF('TK 15661.Bản quyền phim '!F:F,'KK1. Movies'!AI85,'TK 15661.Bản quyền phim '!X:X)</f>
        <v/>
      </c>
      <c r="AL85" s="203">
        <f>COUNTIF('242.BQ Phim hợp tác'!$C:$C,'KK1. Movies'!AI85)</f>
        <v/>
      </c>
      <c r="AM85" s="203">
        <f>COUNTIF('TK 15661.Bản quyền phim '!F:F,'KK1. Movies'!AI85)</f>
        <v/>
      </c>
      <c r="AN85" s="546">
        <f>AL85+AM85</f>
        <v/>
      </c>
      <c r="AO85" s="203" t="n"/>
      <c r="AP85" s="203" t="n"/>
      <c r="AQ85" s="203" t="n"/>
      <c r="AR85" s="203" t="n"/>
      <c r="AS85" s="203" t="n"/>
      <c r="AT85" s="546">
        <f>IFERROR(VLOOKUP(C85, CodeRanMovies!$A:$K, 11, 0), "Not found")</f>
        <v/>
      </c>
    </row>
    <row r="86" ht="39.6" customHeight="1" s="578">
      <c r="A86" s="201">
        <f>_xlfn.AGGREGATE(3,3,$D$7:D86)</f>
        <v/>
      </c>
      <c r="B86" s="589" t="n"/>
      <c r="C86" s="590" t="inlineStr">
        <is>
          <t>MOV_DRA753</t>
        </is>
      </c>
      <c r="D86" s="105" t="inlineStr">
        <is>
          <t>TÁR</t>
        </is>
      </c>
      <c r="E86" s="105" t="inlineStr">
        <is>
          <t>TÁR</t>
        </is>
      </c>
      <c r="F86" s="108" t="inlineStr">
        <is>
          <t>Drama, Biography, Drama, Women, Music</t>
        </is>
      </c>
      <c r="G86" s="103" t="inlineStr">
        <is>
          <t>NBC Universal</t>
        </is>
      </c>
      <c r="H86" s="108" t="inlineStr">
        <is>
          <t>5051370-3/166015-3</t>
        </is>
      </c>
      <c r="I86" s="107" t="n">
        <v>2022</v>
      </c>
      <c r="J86" s="104" t="inlineStr">
        <is>
          <t>US</t>
        </is>
      </c>
      <c r="K86" s="107" t="n">
        <v>158</v>
      </c>
      <c r="L86" s="109" t="n">
        <v>45770</v>
      </c>
      <c r="M86" s="109" t="n">
        <v>46499</v>
      </c>
      <c r="N86" s="601" t="n"/>
      <c r="O86" s="592" t="n"/>
      <c r="P86" s="104" t="n">
        <v>12</v>
      </c>
      <c r="Q86" s="104" t="inlineStr">
        <is>
          <t>No</t>
        </is>
      </c>
      <c r="R86" s="592" t="inlineStr">
        <is>
          <t>Yes</t>
        </is>
      </c>
      <c r="S86" s="104" t="inlineStr">
        <is>
          <t>Yes</t>
        </is>
      </c>
      <c r="T86" s="592" t="inlineStr">
        <is>
          <t>Yes</t>
        </is>
      </c>
      <c r="U86" s="104" t="inlineStr">
        <is>
          <t>No</t>
        </is>
      </c>
      <c r="V86" s="104" t="inlineStr">
        <is>
          <t>No</t>
        </is>
      </c>
      <c r="W86" s="104" t="inlineStr">
        <is>
          <t>No</t>
        </is>
      </c>
      <c r="X86" s="104" t="inlineStr">
        <is>
          <t>Yes</t>
        </is>
      </c>
      <c r="Y86" s="104" t="inlineStr">
        <is>
          <t>Yes</t>
        </is>
      </c>
      <c r="Z86" s="109" t="n">
        <v>45770</v>
      </c>
      <c r="AA86" s="125" t="n">
        <v>46499</v>
      </c>
      <c r="AB86" s="104" t="n">
        <v>6</v>
      </c>
      <c r="AC86" s="202" t="n">
        <v>1</v>
      </c>
      <c r="AD86" s="592" t="inlineStr">
        <is>
          <t>Yes</t>
        </is>
      </c>
      <c r="AE86" s="592" t="inlineStr">
        <is>
          <t>Yes</t>
        </is>
      </c>
      <c r="AF86" s="600" t="n"/>
      <c r="AG86" s="593" t="inlineStr">
        <is>
          <t>Phim còn hạn từ 2026</t>
        </is>
      </c>
      <c r="AH86" s="594" t="inlineStr">
        <is>
          <t>MOV_DRA753</t>
        </is>
      </c>
      <c r="AI86" s="595" t="inlineStr">
        <is>
          <t>TAR</t>
        </is>
      </c>
      <c r="AJ86" s="128">
        <f>SUMIF('TK 15661.Bản quyền phim '!F:F,'KK1. Movies'!D86,'TK 15661.Bản quyền phim '!X:X)</f>
        <v/>
      </c>
      <c r="AK86" s="128">
        <f>SUMIF('TK 15661.Bản quyền phim '!F:F,'KK1. Movies'!AI86,'TK 15661.Bản quyền phim '!X:X)</f>
        <v/>
      </c>
      <c r="AL86" s="203">
        <f>COUNTIF('242.BQ Phim hợp tác'!$C:$C,'KK1. Movies'!AI86)</f>
        <v/>
      </c>
      <c r="AM86" s="203">
        <f>COUNTIF('TK 15661.Bản quyền phim '!F:F,'KK1. Movies'!AI86)</f>
        <v/>
      </c>
      <c r="AN86" s="546">
        <f>AL86+AM86</f>
        <v/>
      </c>
      <c r="AO86" s="203" t="n"/>
      <c r="AP86" s="203" t="n"/>
      <c r="AQ86" s="203" t="n"/>
      <c r="AR86" s="203" t="n"/>
      <c r="AS86" s="203" t="n"/>
      <c r="AT86" s="546">
        <f>IFERROR(VLOOKUP(C86, CodeRanMovies!$A:$K, 11, 0), "Not found")</f>
        <v/>
      </c>
    </row>
    <row r="87">
      <c r="A87" s="201">
        <f>_xlfn.AGGREGATE(3,3,$D$7:D87)</f>
        <v/>
      </c>
      <c r="B87" s="589" t="inlineStr">
        <is>
          <t>16+</t>
        </is>
      </c>
      <c r="C87" s="590" t="inlineStr">
        <is>
          <t>MOV_THR_21__2648729</t>
        </is>
      </c>
      <c r="D87" s="590" t="inlineStr">
        <is>
          <t>PROPHECY</t>
        </is>
      </c>
      <c r="E87" s="590" t="inlineStr">
        <is>
          <t>Lời tiên tri</t>
        </is>
      </c>
      <c r="F87" s="590" t="inlineStr">
        <is>
          <t>Crime, Thriller</t>
        </is>
      </c>
      <c r="G87" s="590" t="inlineStr">
        <is>
          <t>TBS</t>
        </is>
      </c>
      <c r="H87" s="114" t="n">
        <v>202104013</v>
      </c>
      <c r="I87" s="96" t="n">
        <v>2015</v>
      </c>
      <c r="J87" s="592" t="inlineStr">
        <is>
          <t>Japan</t>
        </is>
      </c>
      <c r="K87" s="96" t="n">
        <v>119</v>
      </c>
      <c r="L87" s="98" t="n">
        <v>44284</v>
      </c>
      <c r="M87" s="98" t="n">
        <v>46109</v>
      </c>
      <c r="N87" s="603" t="n">
        <v>44342</v>
      </c>
      <c r="O87" s="592" t="inlineStr">
        <is>
          <t>K+CINE</t>
        </is>
      </c>
      <c r="P87" s="592" t="n"/>
      <c r="Q87" s="592" t="inlineStr">
        <is>
          <t>No</t>
        </is>
      </c>
      <c r="R87" s="592" t="inlineStr">
        <is>
          <t>Yes</t>
        </is>
      </c>
      <c r="S87" s="592" t="inlineStr">
        <is>
          <t>Yes</t>
        </is>
      </c>
      <c r="T87" s="592" t="inlineStr">
        <is>
          <t>Yes</t>
        </is>
      </c>
      <c r="U87" s="592" t="inlineStr">
        <is>
          <t>Yes</t>
        </is>
      </c>
      <c r="V87" s="592" t="inlineStr">
        <is>
          <t>Yes</t>
        </is>
      </c>
      <c r="W87" s="592" t="inlineStr">
        <is>
          <t>Yes</t>
        </is>
      </c>
      <c r="X87" s="592" t="inlineStr">
        <is>
          <t>Yes</t>
        </is>
      </c>
      <c r="Y87" s="592" t="inlineStr">
        <is>
          <t>Yes</t>
        </is>
      </c>
      <c r="Z87" s="98" t="n">
        <v>44284</v>
      </c>
      <c r="AA87" s="98" t="n">
        <v>46109</v>
      </c>
      <c r="AB87" s="202" t="n">
        <v>40</v>
      </c>
      <c r="AC87" s="100" t="n">
        <v>29</v>
      </c>
      <c r="AD87" s="592" t="inlineStr">
        <is>
          <t>Yes</t>
        </is>
      </c>
      <c r="AE87" s="592" t="inlineStr">
        <is>
          <t>Yes</t>
        </is>
      </c>
      <c r="AF87" s="600" t="n"/>
      <c r="AG87" s="593" t="inlineStr">
        <is>
          <t>Phim còn hạn từ 2026</t>
        </is>
      </c>
      <c r="AH87" s="594" t="n"/>
      <c r="AI87" s="599" t="inlineStr">
        <is>
          <t>PROPHECY</t>
        </is>
      </c>
      <c r="AJ87" s="128">
        <f>SUMIF('TK 15661.Bản quyền phim '!F:F,'KK1. Movies'!D87,'TK 15661.Bản quyền phim '!X:X)</f>
        <v/>
      </c>
      <c r="AK87" s="128">
        <f>SUMIF('TK 15661.Bản quyền phim '!F:F,'KK1. Movies'!AI87,'TK 15661.Bản quyền phim '!X:X)</f>
        <v/>
      </c>
      <c r="AL87" s="203">
        <f>COUNTIF('242.BQ Phim hợp tác'!$C:$C,'KK1. Movies'!AI87)</f>
        <v/>
      </c>
      <c r="AM87" s="203">
        <f>COUNTIF('TK 15661.Bản quyền phim '!F:F,'KK1. Movies'!AI87)</f>
        <v/>
      </c>
      <c r="AN87" s="546">
        <f>AL87+AM87</f>
        <v/>
      </c>
      <c r="AO87" s="203" t="n"/>
      <c r="AP87" s="203" t="n"/>
      <c r="AQ87" s="203" t="n"/>
      <c r="AR87" s="203" t="n"/>
      <c r="AS87" s="203" t="n"/>
      <c r="AT87" s="546">
        <f>IFERROR(VLOOKUP(C87, CodeRanMovies!$A:$K, 11, 0), "Not found")</f>
        <v/>
      </c>
    </row>
    <row r="88" ht="26.4" customHeight="1" s="578">
      <c r="A88" s="201">
        <f>_xlfn.AGGREGATE(3,3,$D$7:D88)</f>
        <v/>
      </c>
      <c r="B88" s="606" t="inlineStr">
        <is>
          <t>n/a</t>
        </is>
      </c>
      <c r="C88" s="590" t="inlineStr">
        <is>
          <t>MOV_ACT600</t>
        </is>
      </c>
      <c r="D88" s="105" t="inlineStr">
        <is>
          <t>HONEYSWEET</t>
        </is>
      </c>
      <c r="E88" s="110" t="inlineStr">
        <is>
          <t>Nhân duyên tiền đình</t>
        </is>
      </c>
      <c r="F88" s="590" t="inlineStr">
        <is>
          <t>Romance</t>
        </is>
      </c>
      <c r="G88" s="103" t="inlineStr">
        <is>
          <t>CJ HK</t>
        </is>
      </c>
      <c r="H88" s="590" t="inlineStr">
        <is>
          <t>15/2025/HDBQ/VSTV-CJHK</t>
        </is>
      </c>
      <c r="I88" s="104" t="n">
        <v>2024</v>
      </c>
      <c r="J88" s="104" t="inlineStr">
        <is>
          <t>Korea</t>
        </is>
      </c>
      <c r="K88" s="104" t="n">
        <v>106</v>
      </c>
      <c r="L88" s="591" t="n">
        <v>45690</v>
      </c>
      <c r="M88" s="106" t="n">
        <v>46784</v>
      </c>
      <c r="N88" s="591" t="n"/>
      <c r="O88" s="592" t="n"/>
      <c r="P88" s="104" t="n">
        <v>12</v>
      </c>
      <c r="Q88" s="104" t="inlineStr">
        <is>
          <t>No</t>
        </is>
      </c>
      <c r="R88" s="104" t="inlineStr">
        <is>
          <t>Yes</t>
        </is>
      </c>
      <c r="S88" s="104" t="inlineStr">
        <is>
          <t>Yes</t>
        </is>
      </c>
      <c r="T88" s="592" t="inlineStr">
        <is>
          <t>Yes</t>
        </is>
      </c>
      <c r="U88" s="104" t="inlineStr">
        <is>
          <t>Yes</t>
        </is>
      </c>
      <c r="V88" s="104" t="inlineStr">
        <is>
          <t>Yes</t>
        </is>
      </c>
      <c r="W88" s="104" t="inlineStr">
        <is>
          <t>Yes</t>
        </is>
      </c>
      <c r="X88" s="104" t="inlineStr">
        <is>
          <t>Yes</t>
        </is>
      </c>
      <c r="Y88" s="104" t="inlineStr">
        <is>
          <t>Yes</t>
        </is>
      </c>
      <c r="Z88" s="106" t="n">
        <v>45690</v>
      </c>
      <c r="AA88" s="124" t="n">
        <v>46784</v>
      </c>
      <c r="AB88" s="104" t="inlineStr">
        <is>
          <t xml:space="preserve">Unlimited </t>
        </is>
      </c>
      <c r="AC88" s="202" t="n">
        <v>6</v>
      </c>
      <c r="AD88" s="592" t="inlineStr">
        <is>
          <t>Yes</t>
        </is>
      </c>
      <c r="AE88" s="592" t="inlineStr">
        <is>
          <t>Yes</t>
        </is>
      </c>
      <c r="AF88" s="600" t="n"/>
      <c r="AG88" s="593" t="inlineStr">
        <is>
          <t>Phim còn hạn từ 2026</t>
        </is>
      </c>
      <c r="AH88" s="594" t="n"/>
      <c r="AI88" s="206" t="inlineStr">
        <is>
          <t>HONEYSWEET</t>
        </is>
      </c>
      <c r="AJ88" s="128">
        <f>SUMIF('TK 15661.Bản quyền phim '!F:F,'KK1. Movies'!D88,'TK 15661.Bản quyền phim '!X:X)</f>
        <v/>
      </c>
      <c r="AK88" s="128">
        <f>SUMIF('TK 15661.Bản quyền phim '!F:F,'KK1. Movies'!AI88,'TK 15661.Bản quyền phim '!X:X)</f>
        <v/>
      </c>
      <c r="AL88" s="203">
        <f>COUNTIF('242.BQ Phim hợp tác'!$C:$C,'KK1. Movies'!AI88)</f>
        <v/>
      </c>
      <c r="AM88" s="203">
        <f>COUNTIF('TK 15661.Bản quyền phim '!F:F,'KK1. Movies'!AI88)</f>
        <v/>
      </c>
      <c r="AN88" s="546">
        <f>AL88+AM88</f>
        <v/>
      </c>
      <c r="AO88" s="203" t="n"/>
      <c r="AP88" s="203" t="n"/>
      <c r="AQ88" s="203" t="n"/>
      <c r="AR88" s="203" t="n"/>
      <c r="AS88" s="203" t="n"/>
      <c r="AT88" s="546">
        <f>IFERROR(VLOOKUP(C88, CodeRanMovies!$A:$K, 11, 0), "Not found")</f>
        <v/>
      </c>
    </row>
    <row r="89" ht="26.4" customHeight="1" s="578">
      <c r="A89" s="201">
        <f>_xlfn.AGGREGATE(3,3,$D$7:D89)</f>
        <v/>
      </c>
      <c r="B89" s="589" t="inlineStr">
        <is>
          <t>13+</t>
        </is>
      </c>
      <c r="C89" s="590" t="inlineStr">
        <is>
          <t>MOV_COM291</t>
        </is>
      </c>
      <c r="D89" s="105" t="inlineStr">
        <is>
          <t>GODSPEED</t>
        </is>
      </c>
      <c r="E89" s="590" t="inlineStr">
        <is>
          <t>Chưa thạo đường đời</t>
        </is>
      </c>
      <c r="F89" s="103" t="inlineStr">
        <is>
          <t>Comedy/Drama</t>
        </is>
      </c>
      <c r="G89" s="103" t="inlineStr">
        <is>
          <t>STK</t>
        </is>
      </c>
      <c r="H89" s="590" t="inlineStr">
        <is>
          <t>134/2024/HDBQ/VSTV-STK</t>
        </is>
      </c>
      <c r="I89" s="104" t="n">
        <v>2023</v>
      </c>
      <c r="J89" s="104" t="inlineStr">
        <is>
          <t>China</t>
        </is>
      </c>
      <c r="K89" s="104" t="n">
        <v>100</v>
      </c>
      <c r="L89" s="591" t="n">
        <v>45689</v>
      </c>
      <c r="M89" s="98" t="n">
        <v>46783</v>
      </c>
      <c r="N89" s="591" t="n">
        <v>45689</v>
      </c>
      <c r="O89" s="592" t="n"/>
      <c r="P89" s="104" t="n">
        <v>12</v>
      </c>
      <c r="Q89" s="104" t="inlineStr">
        <is>
          <t>No</t>
        </is>
      </c>
      <c r="R89" s="592" t="inlineStr">
        <is>
          <t>Yes</t>
        </is>
      </c>
      <c r="S89" s="107" t="inlineStr">
        <is>
          <t>Yes</t>
        </is>
      </c>
      <c r="T89" s="592" t="inlineStr">
        <is>
          <t>Yes</t>
        </is>
      </c>
      <c r="U89" s="107" t="inlineStr">
        <is>
          <t>Yes</t>
        </is>
      </c>
      <c r="V89" s="107" t="inlineStr">
        <is>
          <t>Yes</t>
        </is>
      </c>
      <c r="W89" s="107" t="inlineStr">
        <is>
          <t>Yes</t>
        </is>
      </c>
      <c r="X89" s="107" t="inlineStr">
        <is>
          <t>Yes</t>
        </is>
      </c>
      <c r="Y89" s="104" t="inlineStr">
        <is>
          <t>Yes</t>
        </is>
      </c>
      <c r="Z89" s="106" t="n">
        <v>45778</v>
      </c>
      <c r="AA89" s="236" t="n">
        <v>46873</v>
      </c>
      <c r="AB89" s="104" t="n">
        <v>24</v>
      </c>
      <c r="AC89" s="202" t="n">
        <v>5</v>
      </c>
      <c r="AD89" s="592" t="inlineStr">
        <is>
          <t>Yes</t>
        </is>
      </c>
      <c r="AE89" s="592" t="inlineStr">
        <is>
          <t>Yes</t>
        </is>
      </c>
      <c r="AF89" s="600" t="n"/>
      <c r="AG89" s="593" t="inlineStr">
        <is>
          <t>Phim còn hạn từ 2026</t>
        </is>
      </c>
      <c r="AH89" s="594" t="inlineStr">
        <is>
          <t>MOV_COM291</t>
        </is>
      </c>
      <c r="AI89" s="206" t="inlineStr">
        <is>
          <t>GODSPEED</t>
        </is>
      </c>
      <c r="AJ89" s="128">
        <f>SUMIF('TK 15661.Bản quyền phim '!F:F,'KK1. Movies'!D89,'TK 15661.Bản quyền phim '!X:X)</f>
        <v/>
      </c>
      <c r="AK89" s="128">
        <f>SUMIF('TK 15661.Bản quyền phim '!F:F,'KK1. Movies'!AI89,'TK 15661.Bản quyền phim '!X:X)</f>
        <v/>
      </c>
      <c r="AL89" s="203">
        <f>COUNTIF('242.BQ Phim hợp tác'!$C:$C,'KK1. Movies'!AI89)</f>
        <v/>
      </c>
      <c r="AM89" s="203">
        <f>COUNTIF('TK 15661.Bản quyền phim '!F:F,'KK1. Movies'!AI89)</f>
        <v/>
      </c>
      <c r="AN89" s="546">
        <f>AL89+AM89</f>
        <v/>
      </c>
      <c r="AO89" s="203" t="n"/>
      <c r="AP89" s="203" t="n"/>
      <c r="AQ89" s="203" t="n"/>
      <c r="AR89" s="203" t="n"/>
      <c r="AS89" s="203" t="n"/>
      <c r="AT89" s="546">
        <f>IFERROR(VLOOKUP(C89, CodeRanMovies!$A:$K, 11, 0), "Not found")</f>
        <v/>
      </c>
    </row>
    <row r="90" ht="26.4" customHeight="1" s="578">
      <c r="A90" s="201">
        <f>_xlfn.AGGREGATE(3,3,$D$7:D90)</f>
        <v/>
      </c>
      <c r="B90" s="589" t="inlineStr">
        <is>
          <t>16+</t>
        </is>
      </c>
      <c r="C90" s="234" t="inlineStr">
        <is>
          <t>MOV_ACT_22__2686499</t>
        </is>
      </c>
      <c r="D90" s="596" t="inlineStr">
        <is>
          <t>Hard Hit</t>
        </is>
      </c>
      <c r="E90" s="590" t="inlineStr">
        <is>
          <t>Cuộc gọi bí ẩn</t>
        </is>
      </c>
      <c r="F90" s="590" t="inlineStr">
        <is>
          <t>Crime, Thriller</t>
        </is>
      </c>
      <c r="G90" s="604" t="inlineStr">
        <is>
          <t>Pro Partner</t>
        </is>
      </c>
      <c r="H90" s="590" t="inlineStr">
        <is>
          <t>56/2023/HDBQ/VSTV-Pro Partner</t>
        </is>
      </c>
      <c r="I90" s="204" t="n">
        <v>2021</v>
      </c>
      <c r="J90" s="600" t="inlineStr">
        <is>
          <t>Korea</t>
        </is>
      </c>
      <c r="K90" s="204" t="n">
        <v>94</v>
      </c>
      <c r="L90" s="98" t="n">
        <v>45072</v>
      </c>
      <c r="M90" s="591" t="n">
        <v>46167</v>
      </c>
      <c r="N90" s="601" t="n">
        <v>45072</v>
      </c>
      <c r="O90" s="598" t="inlineStr">
        <is>
          <t>K+CINE</t>
        </is>
      </c>
      <c r="P90" s="592" t="inlineStr">
        <is>
          <t>Exclusive All TV Rights the first 9 months of LP
 Non-exclusive with All Catch-up TV Rights; All VOD Rights during LP</t>
        </is>
      </c>
      <c r="Q90" s="600" t="inlineStr">
        <is>
          <t>No</t>
        </is>
      </c>
      <c r="R90" s="592" t="inlineStr">
        <is>
          <t>Yes</t>
        </is>
      </c>
      <c r="S90" s="592" t="inlineStr">
        <is>
          <t>Yes</t>
        </is>
      </c>
      <c r="T90" s="592" t="inlineStr">
        <is>
          <t>Yes</t>
        </is>
      </c>
      <c r="U90" s="592" t="inlineStr">
        <is>
          <t>Yes</t>
        </is>
      </c>
      <c r="V90" s="592" t="inlineStr">
        <is>
          <t>Yes</t>
        </is>
      </c>
      <c r="W90" s="592" t="inlineStr">
        <is>
          <t>Yes</t>
        </is>
      </c>
      <c r="X90" s="592" t="inlineStr">
        <is>
          <t>Yes</t>
        </is>
      </c>
      <c r="Y90" s="592" t="inlineStr">
        <is>
          <t>Yes</t>
        </is>
      </c>
      <c r="Z90" s="98" t="n">
        <v>45072</v>
      </c>
      <c r="AA90" s="591" t="n">
        <v>46167</v>
      </c>
      <c r="AB90" s="96" t="inlineStr">
        <is>
          <t>unlimited</t>
        </is>
      </c>
      <c r="AC90" s="202" t="n">
        <v>30</v>
      </c>
      <c r="AD90" s="592" t="inlineStr">
        <is>
          <t>Yes</t>
        </is>
      </c>
      <c r="AE90" s="592" t="inlineStr">
        <is>
          <t>Yes</t>
        </is>
      </c>
      <c r="AF90" s="600" t="n"/>
      <c r="AG90" s="593" t="inlineStr">
        <is>
          <t>Phim còn hạn từ 2026</t>
        </is>
      </c>
      <c r="AH90" s="594" t="n"/>
      <c r="AI90" s="206" t="inlineStr">
        <is>
          <t>Hard Hit</t>
        </is>
      </c>
      <c r="AJ90" s="128">
        <f>SUMIF('TK 15661.Bản quyền phim '!F:F,'KK1. Movies'!D90,'TK 15661.Bản quyền phim '!X:X)</f>
        <v/>
      </c>
      <c r="AK90" s="128">
        <f>SUMIF('TK 15661.Bản quyền phim '!F:F,'KK1. Movies'!AI90,'TK 15661.Bản quyền phim '!X:X)</f>
        <v/>
      </c>
      <c r="AL90" s="203">
        <f>COUNTIF('242.BQ Phim hợp tác'!$C:$C,'KK1. Movies'!AI90)</f>
        <v/>
      </c>
      <c r="AM90" s="203">
        <f>COUNTIF('TK 15661.Bản quyền phim '!F:F,'KK1. Movies'!AI90)</f>
        <v/>
      </c>
      <c r="AN90" s="546">
        <f>AL90+AM90</f>
        <v/>
      </c>
      <c r="AO90" s="203" t="n"/>
      <c r="AP90" s="203" t="n"/>
      <c r="AQ90" s="203" t="n"/>
      <c r="AR90" s="203" t="n"/>
      <c r="AS90" s="203" t="n"/>
      <c r="AT90" s="546">
        <f>IFERROR(VLOOKUP(C90, CodeRanMovies!$A:$K, 11, 0), "Not found")</f>
        <v/>
      </c>
    </row>
    <row r="91">
      <c r="A91" s="201">
        <f>_xlfn.AGGREGATE(3,3,$D$7:D91)</f>
        <v/>
      </c>
      <c r="B91" s="589" t="inlineStr">
        <is>
          <t>P</t>
        </is>
      </c>
      <c r="C91" s="234" t="inlineStr">
        <is>
          <t>MOV_ANI_22__2686853</t>
        </is>
      </c>
      <c r="D91" s="105" t="inlineStr">
        <is>
          <t>Minions (2015)</t>
        </is>
      </c>
      <c r="E91" s="97" t="inlineStr">
        <is>
          <t>Minions</t>
        </is>
      </c>
      <c r="F91" s="103" t="inlineStr">
        <is>
          <t>animation</t>
        </is>
      </c>
      <c r="G91" s="103" t="inlineStr">
        <is>
          <t>NBC Universal</t>
        </is>
      </c>
      <c r="H91" s="108" t="inlineStr">
        <is>
          <t>5051370-3/166015-3</t>
        </is>
      </c>
      <c r="I91" s="104" t="n">
        <v>2015</v>
      </c>
      <c r="J91" s="104" t="inlineStr">
        <is>
          <t>US</t>
        </is>
      </c>
      <c r="K91" s="104" t="n">
        <v>91</v>
      </c>
      <c r="L91" s="591" t="n">
        <v>45686</v>
      </c>
      <c r="M91" s="98" t="n">
        <v>46416</v>
      </c>
      <c r="N91" s="591" t="n">
        <v>44950</v>
      </c>
      <c r="O91" s="592" t="n"/>
      <c r="P91" s="104" t="n"/>
      <c r="Q91" s="107" t="inlineStr">
        <is>
          <t>No</t>
        </is>
      </c>
      <c r="R91" s="592" t="inlineStr">
        <is>
          <t>Yes</t>
        </is>
      </c>
      <c r="S91" s="107" t="inlineStr">
        <is>
          <t>Yes</t>
        </is>
      </c>
      <c r="T91" s="107" t="inlineStr">
        <is>
          <t>Yes</t>
        </is>
      </c>
      <c r="U91" s="104" t="inlineStr">
        <is>
          <t>No</t>
        </is>
      </c>
      <c r="V91" s="104" t="inlineStr">
        <is>
          <t>No</t>
        </is>
      </c>
      <c r="W91" s="104" t="inlineStr">
        <is>
          <t>No</t>
        </is>
      </c>
      <c r="X91" s="107" t="inlineStr">
        <is>
          <t>Yes</t>
        </is>
      </c>
      <c r="Y91" s="104" t="inlineStr">
        <is>
          <t>No</t>
        </is>
      </c>
      <c r="Z91" s="109" t="n">
        <v>45686</v>
      </c>
      <c r="AA91" s="124" t="n">
        <v>46416</v>
      </c>
      <c r="AB91" s="104" t="n">
        <v>3</v>
      </c>
      <c r="AC91" s="202" t="n"/>
      <c r="AD91" s="592" t="inlineStr">
        <is>
          <t>Yes</t>
        </is>
      </c>
      <c r="AE91" s="592" t="inlineStr">
        <is>
          <t>Yes</t>
        </is>
      </c>
      <c r="AF91" s="600" t="n"/>
      <c r="AG91" s="593" t="inlineStr">
        <is>
          <t>Phim còn hạn từ 2026</t>
        </is>
      </c>
      <c r="AH91" s="594" t="n"/>
      <c r="AI91" s="206" t="inlineStr">
        <is>
          <t>MINIONS (2)</t>
        </is>
      </c>
      <c r="AJ91" s="128">
        <f>SUMIF('TK 15661.Bản quyền phim '!F:F,'KK1. Movies'!D91,'TK 15661.Bản quyền phim '!X:X)</f>
        <v/>
      </c>
      <c r="AK91" s="128">
        <f>SUMIF('TK 15661.Bản quyền phim '!F:F,'KK1. Movies'!AI91,'TK 15661.Bản quyền phim '!X:X)</f>
        <v/>
      </c>
      <c r="AL91" s="203">
        <f>COUNTIF('242.BQ Phim hợp tác'!$C:$C,'KK1. Movies'!AI91)</f>
        <v/>
      </c>
      <c r="AM91" s="203">
        <f>COUNTIF('TK 15661.Bản quyền phim '!F:F,'KK1. Movies'!AI91)</f>
        <v/>
      </c>
      <c r="AN91" s="546">
        <f>AL91+AM91</f>
        <v/>
      </c>
      <c r="AO91" s="203" t="n"/>
      <c r="AP91" s="203" t="n"/>
      <c r="AQ91" s="203" t="n"/>
      <c r="AR91" s="203" t="n"/>
      <c r="AS91" s="203" t="n"/>
      <c r="AT91" s="546">
        <f>IFERROR(VLOOKUP(C91, CodeRanMovies!$A:$K, 11, 0), "Not found")</f>
        <v/>
      </c>
    </row>
    <row r="92">
      <c r="A92" s="201">
        <f>_xlfn.AGGREGATE(3,3,$D$7:D92)</f>
        <v/>
      </c>
      <c r="B92" s="589" t="inlineStr">
        <is>
          <t>13+</t>
        </is>
      </c>
      <c r="C92" s="590" t="inlineStr">
        <is>
          <t>MOV_COM_22__2686517</t>
        </is>
      </c>
      <c r="D92" s="596" t="inlineStr">
        <is>
          <t>Blithe Spirit</t>
        </is>
      </c>
      <c r="E92" s="590" t="inlineStr">
        <is>
          <t>Người vợ quá cố</t>
        </is>
      </c>
      <c r="F92" s="589" t="inlineStr">
        <is>
          <t>Comedy</t>
        </is>
      </c>
      <c r="G92" s="604" t="inlineStr">
        <is>
          <t>Skyline Media</t>
        </is>
      </c>
      <c r="H92" s="590" t="inlineStr">
        <is>
          <t>66/2023/HDBQ/VSTV-SM</t>
        </is>
      </c>
      <c r="I92" s="204" t="n">
        <v>2020</v>
      </c>
      <c r="J92" s="600" t="inlineStr">
        <is>
          <t>UK</t>
        </is>
      </c>
      <c r="K92" s="204" t="n">
        <v>99</v>
      </c>
      <c r="L92" s="98" t="n">
        <v>45065</v>
      </c>
      <c r="M92" s="591" t="n">
        <v>46160</v>
      </c>
      <c r="N92" s="601" t="n">
        <v>45260</v>
      </c>
      <c r="O92" s="598" t="inlineStr">
        <is>
          <t>K+CINE</t>
        </is>
      </c>
      <c r="P92" s="592" t="inlineStr">
        <is>
          <t>Exclusive All TV Rights the first 12 months of LP
 Non-exclusive with All Catch-up TV Rights; All VOD Rights during LP</t>
        </is>
      </c>
      <c r="Q92" s="600" t="inlineStr">
        <is>
          <t>No</t>
        </is>
      </c>
      <c r="R92" s="592" t="inlineStr">
        <is>
          <t>Yes</t>
        </is>
      </c>
      <c r="S92" s="592" t="inlineStr">
        <is>
          <t>Yes</t>
        </is>
      </c>
      <c r="T92" s="592" t="inlineStr">
        <is>
          <t>Yes</t>
        </is>
      </c>
      <c r="U92" s="592" t="inlineStr">
        <is>
          <t>Yes</t>
        </is>
      </c>
      <c r="V92" s="592" t="inlineStr">
        <is>
          <t>Yes</t>
        </is>
      </c>
      <c r="W92" s="592" t="inlineStr">
        <is>
          <t>Yes</t>
        </is>
      </c>
      <c r="X92" s="592" t="inlineStr">
        <is>
          <t>Yes</t>
        </is>
      </c>
      <c r="Y92" s="592" t="inlineStr">
        <is>
          <t>Yes</t>
        </is>
      </c>
      <c r="Z92" s="98" t="n">
        <v>45065</v>
      </c>
      <c r="AA92" s="591" t="n">
        <v>46160</v>
      </c>
      <c r="AB92" s="96" t="n">
        <v>24</v>
      </c>
      <c r="AC92" s="202" t="n">
        <v>11</v>
      </c>
      <c r="AD92" s="592" t="inlineStr">
        <is>
          <t>Yes</t>
        </is>
      </c>
      <c r="AE92" s="592" t="inlineStr">
        <is>
          <t>Yes</t>
        </is>
      </c>
      <c r="AF92" s="596" t="n"/>
      <c r="AG92" s="593" t="inlineStr">
        <is>
          <t>Phim còn hạn từ 2026</t>
        </is>
      </c>
      <c r="AH92" s="594" t="n"/>
      <c r="AI92" s="206" t="inlineStr">
        <is>
          <t>Blithe Spirit</t>
        </is>
      </c>
      <c r="AJ92" s="128">
        <f>SUMIF('TK 15661.Bản quyền phim '!F:F,'KK1. Movies'!D92,'TK 15661.Bản quyền phim '!X:X)</f>
        <v/>
      </c>
      <c r="AK92" s="128">
        <f>SUMIF('TK 15661.Bản quyền phim '!F:F,'KK1. Movies'!AI92,'TK 15661.Bản quyền phim '!X:X)</f>
        <v/>
      </c>
      <c r="AL92" s="203">
        <f>COUNTIF('242.BQ Phim hợp tác'!$C:$C,'KK1. Movies'!AI92)</f>
        <v/>
      </c>
      <c r="AM92" s="203">
        <f>COUNTIF('TK 15661.Bản quyền phim '!F:F,'KK1. Movies'!AI92)</f>
        <v/>
      </c>
      <c r="AN92" s="546">
        <f>AL92+AM92</f>
        <v/>
      </c>
      <c r="AO92" s="203" t="n"/>
      <c r="AP92" s="203" t="n"/>
      <c r="AQ92" s="203" t="n"/>
      <c r="AR92" s="203" t="n"/>
      <c r="AS92" s="203" t="n"/>
      <c r="AT92" s="546">
        <f>IFERROR(VLOOKUP(C92, CodeRanMovies!$A:$K, 11, 0), "Not found")</f>
        <v/>
      </c>
    </row>
    <row r="93">
      <c r="A93" s="201">
        <f>_xlfn.AGGREGATE(3,3,$D$7:D93)</f>
        <v/>
      </c>
      <c r="B93" s="589" t="inlineStr">
        <is>
          <t>16+</t>
        </is>
      </c>
      <c r="C93" s="590" t="inlineStr">
        <is>
          <t>MOV_HOR_24__2710433</t>
        </is>
      </c>
      <c r="D93" s="105" t="inlineStr">
        <is>
          <t>VIVARIUM</t>
        </is>
      </c>
      <c r="E93" s="590" t="inlineStr">
        <is>
          <t>Chỗ sống</t>
        </is>
      </c>
      <c r="F93" s="590" t="inlineStr">
        <is>
          <t>Horror</t>
        </is>
      </c>
      <c r="G93" s="108" t="inlineStr">
        <is>
          <t>Skyline Media</t>
        </is>
      </c>
      <c r="H93" s="590" t="inlineStr">
        <is>
          <t>28/2024/HDBQ/VSTV-SM</t>
        </is>
      </c>
      <c r="I93" s="107" t="n">
        <v>2019</v>
      </c>
      <c r="J93" s="600" t="inlineStr">
        <is>
          <t>US</t>
        </is>
      </c>
      <c r="K93" s="107" t="n">
        <v>97</v>
      </c>
      <c r="L93" s="98" t="n">
        <v>45337</v>
      </c>
      <c r="M93" s="109" t="n">
        <v>46432</v>
      </c>
      <c r="N93" s="601" t="n">
        <v>45583</v>
      </c>
      <c r="O93" s="592" t="inlineStr">
        <is>
          <t>K+ACTION</t>
        </is>
      </c>
      <c r="P93" s="104" t="n">
        <v>12</v>
      </c>
      <c r="Q93" s="107" t="inlineStr">
        <is>
          <t>No</t>
        </is>
      </c>
      <c r="R93" s="592" t="inlineStr">
        <is>
          <t>Yes</t>
        </is>
      </c>
      <c r="S93" s="592" t="inlineStr">
        <is>
          <t>Yes</t>
        </is>
      </c>
      <c r="T93" s="592" t="inlineStr">
        <is>
          <t>Yes</t>
        </is>
      </c>
      <c r="U93" s="592" t="inlineStr">
        <is>
          <t>Yes</t>
        </is>
      </c>
      <c r="V93" s="592" t="inlineStr">
        <is>
          <t>Yes</t>
        </is>
      </c>
      <c r="W93" s="592" t="inlineStr">
        <is>
          <t>Yes</t>
        </is>
      </c>
      <c r="X93" s="592" t="inlineStr">
        <is>
          <t>Yes</t>
        </is>
      </c>
      <c r="Y93" s="104" t="inlineStr">
        <is>
          <t>No</t>
        </is>
      </c>
      <c r="Z93" s="98" t="n">
        <v>45337</v>
      </c>
      <c r="AA93" s="109" t="n">
        <v>46432</v>
      </c>
      <c r="AB93" s="107" t="n">
        <v>24</v>
      </c>
      <c r="AC93" s="202" t="n">
        <v>16</v>
      </c>
      <c r="AD93" s="592" t="inlineStr">
        <is>
          <t>Yes</t>
        </is>
      </c>
      <c r="AE93" s="592" t="inlineStr">
        <is>
          <t>Yes</t>
        </is>
      </c>
      <c r="AF93" s="596" t="n"/>
      <c r="AG93" s="593" t="inlineStr">
        <is>
          <t>Phim còn hạn từ 2026</t>
        </is>
      </c>
      <c r="AH93" s="594" t="n"/>
      <c r="AI93" s="206" t="inlineStr">
        <is>
          <t>VIVARIUM</t>
        </is>
      </c>
      <c r="AJ93" s="128">
        <f>SUMIF('TK 15661.Bản quyền phim '!F:F,'KK1. Movies'!D93,'TK 15661.Bản quyền phim '!X:X)</f>
        <v/>
      </c>
      <c r="AK93" s="128">
        <f>SUMIF('TK 15661.Bản quyền phim '!F:F,'KK1. Movies'!AI93,'TK 15661.Bản quyền phim '!X:X)</f>
        <v/>
      </c>
      <c r="AL93" s="203">
        <f>COUNTIF('242.BQ Phim hợp tác'!$C:$C,'KK1. Movies'!AI93)</f>
        <v/>
      </c>
      <c r="AM93" s="203">
        <f>COUNTIF('TK 15661.Bản quyền phim '!F:F,'KK1. Movies'!AI93)</f>
        <v/>
      </c>
      <c r="AN93" s="546">
        <f>AL93+AM93</f>
        <v/>
      </c>
      <c r="AO93" s="203" t="n"/>
      <c r="AP93" s="203" t="n"/>
      <c r="AQ93" s="203" t="n"/>
      <c r="AR93" s="203" t="n"/>
      <c r="AS93" s="203" t="n"/>
      <c r="AT93" s="546">
        <f>IFERROR(VLOOKUP(C93, CodeRanMovies!$A:$K, 11, 0), "Not found")</f>
        <v/>
      </c>
    </row>
    <row r="94">
      <c r="A94" s="201">
        <f>_xlfn.AGGREGATE(3,3,$D$7:D94)</f>
        <v/>
      </c>
      <c r="B94" s="589" t="inlineStr">
        <is>
          <t>P</t>
        </is>
      </c>
      <c r="C94" s="234" t="inlineStr">
        <is>
          <t>MOV_ANI__2715680</t>
        </is>
      </c>
      <c r="D94" s="105" t="inlineStr">
        <is>
          <t>SING 2</t>
        </is>
      </c>
      <c r="E94" s="110" t="inlineStr">
        <is>
          <t xml:space="preserve"> Đấu trường âm nhạc 2</t>
        </is>
      </c>
      <c r="F94" s="108" t="inlineStr">
        <is>
          <t>animation</t>
        </is>
      </c>
      <c r="G94" s="108" t="inlineStr">
        <is>
          <t>NBC Universal</t>
        </is>
      </c>
      <c r="H94" s="108" t="inlineStr">
        <is>
          <t>5049540-2/161434-3</t>
        </is>
      </c>
      <c r="I94" s="104" t="n">
        <v>2021</v>
      </c>
      <c r="J94" s="107" t="inlineStr">
        <is>
          <t>US</t>
        </is>
      </c>
      <c r="K94" s="104" t="n">
        <v>110</v>
      </c>
      <c r="L94" s="98" t="n">
        <v>45449</v>
      </c>
      <c r="M94" s="98" t="n">
        <v>46178</v>
      </c>
      <c r="N94" s="601" t="n">
        <v>45458</v>
      </c>
      <c r="O94" s="592" t="inlineStr">
        <is>
          <t>K+KIDS</t>
        </is>
      </c>
      <c r="P94" s="104" t="inlineStr">
        <is>
          <t xml:space="preserve"> </t>
        </is>
      </c>
      <c r="Q94" s="104" t="inlineStr">
        <is>
          <t>No</t>
        </is>
      </c>
      <c r="R94" s="592" t="inlineStr">
        <is>
          <t>Yes</t>
        </is>
      </c>
      <c r="S94" s="104" t="inlineStr">
        <is>
          <t>Yes</t>
        </is>
      </c>
      <c r="T94" s="104" t="inlineStr">
        <is>
          <t>Yes</t>
        </is>
      </c>
      <c r="U94" s="104" t="inlineStr">
        <is>
          <t>No</t>
        </is>
      </c>
      <c r="V94" s="104" t="inlineStr">
        <is>
          <t>No</t>
        </is>
      </c>
      <c r="W94" s="104" t="inlineStr">
        <is>
          <t>No</t>
        </is>
      </c>
      <c r="X94" s="104" t="inlineStr">
        <is>
          <t>No</t>
        </is>
      </c>
      <c r="Y94" s="104" t="inlineStr">
        <is>
          <t>Yes</t>
        </is>
      </c>
      <c r="Z94" s="98" t="n">
        <v>45449</v>
      </c>
      <c r="AA94" s="98" t="n">
        <v>46178</v>
      </c>
      <c r="AB94" s="107" t="n">
        <v>6</v>
      </c>
      <c r="AC94" s="107" t="n">
        <v>6</v>
      </c>
      <c r="AD94" s="592" t="inlineStr">
        <is>
          <t>Yes</t>
        </is>
      </c>
      <c r="AE94" s="592" t="inlineStr">
        <is>
          <t>Yes</t>
        </is>
      </c>
      <c r="AF94" s="600" t="n"/>
      <c r="AG94" s="593" t="inlineStr">
        <is>
          <t>Phim còn hạn từ 2026</t>
        </is>
      </c>
      <c r="AH94" s="594" t="n"/>
      <c r="AI94" s="599" t="inlineStr">
        <is>
          <t>SING 2</t>
        </is>
      </c>
      <c r="AJ94" s="128">
        <f>SUMIF('TK 15661.Bản quyền phim '!F:F,'KK1. Movies'!D94,'TK 15661.Bản quyền phim '!X:X)</f>
        <v/>
      </c>
      <c r="AK94" s="128">
        <f>SUMIF('TK 15661.Bản quyền phim '!F:F,'KK1. Movies'!AI94,'TK 15661.Bản quyền phim '!X:X)</f>
        <v/>
      </c>
      <c r="AL94" s="203">
        <f>COUNTIF('242.BQ Phim hợp tác'!$C:$C,'KK1. Movies'!AI94)</f>
        <v/>
      </c>
      <c r="AM94" s="203">
        <f>COUNTIF('TK 15661.Bản quyền phim '!F:F,'KK1. Movies'!AI94)</f>
        <v/>
      </c>
      <c r="AN94" s="546">
        <f>AL94+AM94</f>
        <v/>
      </c>
      <c r="AO94" s="203" t="n"/>
      <c r="AP94" s="203" t="n"/>
      <c r="AQ94" s="203" t="n"/>
      <c r="AR94" s="203" t="n"/>
      <c r="AS94" s="203" t="n"/>
      <c r="AT94" s="546">
        <f>IFERROR(VLOOKUP(C94, CodeRanMovies!$A:$K, 11, 0), "Not found")</f>
        <v/>
      </c>
    </row>
    <row r="95">
      <c r="A95" s="201">
        <f>_xlfn.AGGREGATE(3,3,$D$7:D95)</f>
        <v/>
      </c>
      <c r="B95" s="589" t="n"/>
      <c r="C95" s="234" t="inlineStr">
        <is>
          <t>MOV_THR166</t>
        </is>
      </c>
      <c r="D95" s="105" t="inlineStr">
        <is>
          <t>INSIDE (2023)</t>
        </is>
      </c>
      <c r="E95" s="110" t="inlineStr">
        <is>
          <t>Mắc kẹt</t>
        </is>
      </c>
      <c r="F95" s="103" t="inlineStr">
        <is>
          <t>Drama, Thriller</t>
        </is>
      </c>
      <c r="G95" s="103" t="inlineStr">
        <is>
          <t>NBC Universal</t>
        </is>
      </c>
      <c r="H95" s="108" t="inlineStr">
        <is>
          <t>5051370-3/166015-3</t>
        </is>
      </c>
      <c r="I95" s="107" t="n">
        <v>2021</v>
      </c>
      <c r="J95" s="104" t="inlineStr">
        <is>
          <t>Greece</t>
        </is>
      </c>
      <c r="K95" s="107" t="n">
        <v>105</v>
      </c>
      <c r="L95" s="109" t="n">
        <v>45771</v>
      </c>
      <c r="M95" s="109" t="n">
        <v>46500</v>
      </c>
      <c r="N95" s="601" t="n"/>
      <c r="O95" s="592" t="n"/>
      <c r="P95" s="104" t="n">
        <v>12</v>
      </c>
      <c r="Q95" s="104" t="inlineStr">
        <is>
          <t>No</t>
        </is>
      </c>
      <c r="R95" s="592" t="inlineStr">
        <is>
          <t>Yes</t>
        </is>
      </c>
      <c r="S95" s="104" t="inlineStr">
        <is>
          <t>Yes</t>
        </is>
      </c>
      <c r="T95" s="592" t="inlineStr">
        <is>
          <t>Yes</t>
        </is>
      </c>
      <c r="U95" s="104" t="inlineStr">
        <is>
          <t>No</t>
        </is>
      </c>
      <c r="V95" s="104" t="inlineStr">
        <is>
          <t>No</t>
        </is>
      </c>
      <c r="W95" s="104" t="inlineStr">
        <is>
          <t>No</t>
        </is>
      </c>
      <c r="X95" s="104" t="inlineStr">
        <is>
          <t>Yes</t>
        </is>
      </c>
      <c r="Y95" s="104" t="inlineStr">
        <is>
          <t>Yes</t>
        </is>
      </c>
      <c r="Z95" s="109" t="n">
        <v>45771</v>
      </c>
      <c r="AA95" s="125" t="n">
        <v>46500</v>
      </c>
      <c r="AB95" s="104" t="n">
        <v>6</v>
      </c>
      <c r="AC95" s="202" t="n">
        <v>1</v>
      </c>
      <c r="AD95" s="592" t="inlineStr">
        <is>
          <t>Yes</t>
        </is>
      </c>
      <c r="AE95" s="592" t="inlineStr">
        <is>
          <t>Yes</t>
        </is>
      </c>
      <c r="AF95" s="600" t="n"/>
      <c r="AG95" s="593" t="inlineStr">
        <is>
          <t>Phim còn hạn từ 2026</t>
        </is>
      </c>
      <c r="AH95" s="594" t="n"/>
      <c r="AI95" s="206" t="inlineStr">
        <is>
          <t>INSIDE (2023)</t>
        </is>
      </c>
      <c r="AJ95" s="128">
        <f>SUMIF('TK 15661.Bản quyền phim '!F:F,'KK1. Movies'!D95,'TK 15661.Bản quyền phim '!X:X)</f>
        <v/>
      </c>
      <c r="AK95" s="128">
        <f>SUMIF('TK 15661.Bản quyền phim '!F:F,'KK1. Movies'!AI95,'TK 15661.Bản quyền phim '!X:X)</f>
        <v/>
      </c>
      <c r="AL95" s="203">
        <f>COUNTIF('242.BQ Phim hợp tác'!$C:$C,'KK1. Movies'!AI95)</f>
        <v/>
      </c>
      <c r="AM95" s="203">
        <f>COUNTIF('TK 15661.Bản quyền phim '!F:F,'KK1. Movies'!AI95)</f>
        <v/>
      </c>
      <c r="AN95" s="546">
        <f>AL95+AM95</f>
        <v/>
      </c>
      <c r="AO95" s="203" t="n"/>
      <c r="AP95" s="203" t="n"/>
      <c r="AQ95" s="203" t="n"/>
      <c r="AR95" s="203" t="n"/>
      <c r="AS95" s="203" t="n"/>
      <c r="AT95" s="546">
        <f>IFERROR(VLOOKUP(C95, CodeRanMovies!$A:$K, 11, 0), "Not found")</f>
        <v/>
      </c>
    </row>
    <row r="96" ht="26.4" customHeight="1" s="578">
      <c r="A96" s="201">
        <f>_xlfn.AGGREGATE(3,3,$D$7:D96)</f>
        <v/>
      </c>
      <c r="B96" s="589" t="inlineStr">
        <is>
          <t>16+</t>
        </is>
      </c>
      <c r="C96" s="234" t="inlineStr">
        <is>
          <t>MOV_ACT589</t>
        </is>
      </c>
      <c r="D96" s="105" t="inlineStr">
        <is>
          <t>Iceman (2014)</t>
        </is>
      </c>
      <c r="E96" s="110" t="inlineStr">
        <is>
          <t>Cuồng Phong Nộ Hỏa</t>
        </is>
      </c>
      <c r="F96" s="108" t="inlineStr">
        <is>
          <t>action</t>
        </is>
      </c>
      <c r="G96" s="108" t="inlineStr">
        <is>
          <t>Hỏa Thổ</t>
        </is>
      </c>
      <c r="H96" s="108" t="inlineStr">
        <is>
          <t>25A/2024/HDBQ/VSTV-Hoa tho</t>
        </is>
      </c>
      <c r="I96" s="104" t="n">
        <v>2021</v>
      </c>
      <c r="J96" s="107" t="inlineStr">
        <is>
          <t>China</t>
        </is>
      </c>
      <c r="K96" s="104" t="n">
        <v>125</v>
      </c>
      <c r="L96" s="98" t="n">
        <v>45520</v>
      </c>
      <c r="M96" s="109" t="n">
        <v>46614</v>
      </c>
      <c r="N96" s="601" t="n">
        <v>45520</v>
      </c>
      <c r="O96" s="104" t="inlineStr">
        <is>
          <t>K+CINE</t>
        </is>
      </c>
      <c r="P96" s="104" t="inlineStr">
        <is>
          <t>non exclusive</t>
        </is>
      </c>
      <c r="Q96" s="104" t="inlineStr">
        <is>
          <t>No</t>
        </is>
      </c>
      <c r="R96" s="592" t="inlineStr">
        <is>
          <t>Yes</t>
        </is>
      </c>
      <c r="S96" s="104" t="inlineStr">
        <is>
          <t>Yes</t>
        </is>
      </c>
      <c r="T96" s="592" t="inlineStr">
        <is>
          <t>Yes</t>
        </is>
      </c>
      <c r="U96" s="104" t="inlineStr">
        <is>
          <t>No</t>
        </is>
      </c>
      <c r="V96" s="104" t="inlineStr">
        <is>
          <t>Yes</t>
        </is>
      </c>
      <c r="W96" s="104" t="inlineStr">
        <is>
          <t>Yes</t>
        </is>
      </c>
      <c r="X96" s="592" t="inlineStr">
        <is>
          <t>No</t>
        </is>
      </c>
      <c r="Y96" s="104" t="inlineStr">
        <is>
          <t>No</t>
        </is>
      </c>
      <c r="Z96" s="98" t="n">
        <v>45520</v>
      </c>
      <c r="AA96" s="109" t="n">
        <v>46614</v>
      </c>
      <c r="AB96" s="107" t="inlineStr">
        <is>
          <t>Unlimited run</t>
        </is>
      </c>
      <c r="AC96" s="105" t="n">
        <v>20</v>
      </c>
      <c r="AD96" s="592" t="inlineStr">
        <is>
          <t>Yes</t>
        </is>
      </c>
      <c r="AE96" s="592" t="inlineStr">
        <is>
          <t>Yes</t>
        </is>
      </c>
      <c r="AF96" s="600" t="n"/>
      <c r="AG96" s="593" t="inlineStr">
        <is>
          <t>Phim còn hạn từ 2026</t>
        </is>
      </c>
      <c r="AH96" s="594" t="n"/>
      <c r="AI96" s="206" t="inlineStr">
        <is>
          <t>Iceman (Người Băng)</t>
        </is>
      </c>
      <c r="AJ96" s="128">
        <f>SUMIF('TK 15661.Bản quyền phim '!F:F,'KK1. Movies'!D96,'TK 15661.Bản quyền phim '!X:X)</f>
        <v/>
      </c>
      <c r="AK96" s="128">
        <f>SUMIF('TK 15661.Bản quyền phim '!F:F,'KK1. Movies'!AI96,'TK 15661.Bản quyền phim '!X:X)</f>
        <v/>
      </c>
      <c r="AL96" s="203">
        <f>COUNTIF('242.BQ Phim hợp tác'!$C:$C,'KK1. Movies'!AI96)</f>
        <v/>
      </c>
      <c r="AM96" s="203">
        <f>COUNTIF('TK 15661.Bản quyền phim '!F:F,'KK1. Movies'!AI96)</f>
        <v/>
      </c>
      <c r="AN96" s="546">
        <f>AL96+AM96</f>
        <v/>
      </c>
      <c r="AO96" s="203" t="n"/>
      <c r="AP96" s="203" t="n"/>
      <c r="AQ96" s="203" t="n"/>
      <c r="AR96" s="203" t="n"/>
      <c r="AS96" s="203" t="n"/>
      <c r="AT96" s="546">
        <f>IFERROR(VLOOKUP(C96, CodeRanMovies!$A:$K, 11, 0), "Not found")</f>
        <v/>
      </c>
    </row>
    <row r="97" ht="26.4" customHeight="1" s="578">
      <c r="A97" s="201">
        <f>_xlfn.AGGREGATE(3,3,$D$7:D97)</f>
        <v/>
      </c>
      <c r="B97" s="589" t="inlineStr">
        <is>
          <t>13+</t>
        </is>
      </c>
      <c r="C97" s="590" t="inlineStr">
        <is>
          <t>MOV_ACT590</t>
        </is>
      </c>
      <c r="D97" s="105" t="inlineStr">
        <is>
          <t>JURASSIC WORLD DOMINION</t>
        </is>
      </c>
      <c r="E97" s="110" t="inlineStr">
        <is>
          <t>Thế giới khủng long: Lãnh địa</t>
        </is>
      </c>
      <c r="F97" s="108" t="inlineStr">
        <is>
          <t>Action, Adventure</t>
        </is>
      </c>
      <c r="G97" s="108" t="inlineStr">
        <is>
          <t>NBC Universal</t>
        </is>
      </c>
      <c r="H97" s="108" t="inlineStr">
        <is>
          <t>5049540-2/161434-3</t>
        </is>
      </c>
      <c r="I97" s="104" t="n">
        <v>2021</v>
      </c>
      <c r="J97" s="107" t="inlineStr">
        <is>
          <t>US</t>
        </is>
      </c>
      <c r="K97" s="104" t="n">
        <v>147</v>
      </c>
      <c r="L97" s="98" t="n">
        <v>45639</v>
      </c>
      <c r="M97" s="98" t="n">
        <v>46368</v>
      </c>
      <c r="N97" s="601" t="n">
        <v>45639</v>
      </c>
      <c r="O97" s="592" t="inlineStr">
        <is>
          <t>K+CINE</t>
        </is>
      </c>
      <c r="P97" s="104" t="inlineStr">
        <is>
          <t xml:space="preserve"> </t>
        </is>
      </c>
      <c r="Q97" s="104" t="inlineStr">
        <is>
          <t>No</t>
        </is>
      </c>
      <c r="R97" s="592" t="inlineStr">
        <is>
          <t>Yes</t>
        </is>
      </c>
      <c r="S97" s="104" t="inlineStr">
        <is>
          <t>Yes</t>
        </is>
      </c>
      <c r="T97" s="592" t="inlineStr">
        <is>
          <t>Yes</t>
        </is>
      </c>
      <c r="U97" s="104" t="inlineStr">
        <is>
          <t>No</t>
        </is>
      </c>
      <c r="V97" s="104" t="inlineStr">
        <is>
          <t>No</t>
        </is>
      </c>
      <c r="W97" s="104" t="inlineStr">
        <is>
          <t>No</t>
        </is>
      </c>
      <c r="X97" s="104" t="inlineStr">
        <is>
          <t>No</t>
        </is>
      </c>
      <c r="Y97" s="104" t="inlineStr">
        <is>
          <t>Yes</t>
        </is>
      </c>
      <c r="Z97" s="98" t="n">
        <v>45639</v>
      </c>
      <c r="AA97" s="98" t="n">
        <v>46368</v>
      </c>
      <c r="AB97" s="107" t="n">
        <v>6</v>
      </c>
      <c r="AC97" s="107" t="n">
        <v>3</v>
      </c>
      <c r="AD97" s="592" t="inlineStr">
        <is>
          <t>Yes</t>
        </is>
      </c>
      <c r="AE97" s="592" t="inlineStr">
        <is>
          <t>Yes</t>
        </is>
      </c>
      <c r="AF97" s="600" t="n"/>
      <c r="AG97" s="593" t="inlineStr">
        <is>
          <t>Phim còn hạn từ 2026</t>
        </is>
      </c>
      <c r="AH97" s="594" t="n"/>
      <c r="AI97" s="599" t="inlineStr">
        <is>
          <t>JURASSIC WORLD DOMINION</t>
        </is>
      </c>
      <c r="AJ97" s="128">
        <f>SUMIF('TK 15661.Bản quyền phim '!F:F,'KK1. Movies'!D97,'TK 15661.Bản quyền phim '!X:X)</f>
        <v/>
      </c>
      <c r="AK97" s="128">
        <f>SUMIF('TK 15661.Bản quyền phim '!F:F,'KK1. Movies'!AI97,'TK 15661.Bản quyền phim '!X:X)</f>
        <v/>
      </c>
      <c r="AL97" s="203">
        <f>COUNTIF('242.BQ Phim hợp tác'!$C:$C,'KK1. Movies'!AI97)</f>
        <v/>
      </c>
      <c r="AM97" s="203">
        <f>COUNTIF('TK 15661.Bản quyền phim '!F:F,'KK1. Movies'!AI97)</f>
        <v/>
      </c>
      <c r="AN97" s="546">
        <f>AL97+AM97</f>
        <v/>
      </c>
      <c r="AO97" s="203" t="n"/>
      <c r="AP97" s="203" t="n"/>
      <c r="AQ97" s="203" t="n"/>
      <c r="AR97" s="203" t="n"/>
      <c r="AS97" s="203" t="n"/>
      <c r="AT97" s="546">
        <f>IFERROR(VLOOKUP(C97, CodeRanMovies!$A:$K, 11, 0), "Not found")</f>
        <v/>
      </c>
    </row>
    <row r="98" ht="39.6" customHeight="1" s="578">
      <c r="A98" s="201">
        <f>_xlfn.AGGREGATE(3,3,$D$7:D98)</f>
        <v/>
      </c>
      <c r="B98" s="606" t="inlineStr">
        <is>
          <t>n/a</t>
        </is>
      </c>
      <c r="C98" s="590" t="inlineStr">
        <is>
          <t>MOV_ACT593</t>
        </is>
      </c>
      <c r="D98" s="105" t="inlineStr">
        <is>
          <t>TWILIGHT OF THE WARRIORS: WALLED IN</t>
        </is>
      </c>
      <c r="E98" s="105" t="inlineStr">
        <is>
          <t>Cửu Long Thành Trại: Vây Thành</t>
        </is>
      </c>
      <c r="F98" s="108" t="inlineStr">
        <is>
          <t>Action, Historical, Crime, Drama</t>
        </is>
      </c>
      <c r="G98" s="108" t="inlineStr">
        <is>
          <t>Skyline Media</t>
        </is>
      </c>
      <c r="H98" s="590" t="inlineStr">
        <is>
          <t>36/2025/HDBQ/VSTV-SM</t>
        </is>
      </c>
      <c r="I98" s="107" t="n">
        <v>2024</v>
      </c>
      <c r="J98" s="600" t="inlineStr">
        <is>
          <t>Hong Kong</t>
        </is>
      </c>
      <c r="K98" s="107" t="n">
        <v>125</v>
      </c>
      <c r="L98" s="591" t="n">
        <v>45737</v>
      </c>
      <c r="M98" s="98" t="n">
        <v>47197</v>
      </c>
      <c r="N98" s="601" t="inlineStr">
        <is>
          <t>n/a</t>
        </is>
      </c>
      <c r="O98" s="592" t="n"/>
      <c r="P98" s="104" t="n">
        <v>12</v>
      </c>
      <c r="Q98" s="107" t="inlineStr">
        <is>
          <t>No</t>
        </is>
      </c>
      <c r="R98" s="592" t="inlineStr">
        <is>
          <t>Yes</t>
        </is>
      </c>
      <c r="S98" s="104" t="inlineStr">
        <is>
          <t>Yes</t>
        </is>
      </c>
      <c r="T98" s="592" t="inlineStr">
        <is>
          <t>Yes</t>
        </is>
      </c>
      <c r="U98" s="104" t="inlineStr">
        <is>
          <t>Yes</t>
        </is>
      </c>
      <c r="V98" s="104" t="inlineStr">
        <is>
          <t>Yes</t>
        </is>
      </c>
      <c r="W98" s="104" t="inlineStr">
        <is>
          <t>Yes</t>
        </is>
      </c>
      <c r="X98" s="104" t="inlineStr">
        <is>
          <t>Yes</t>
        </is>
      </c>
      <c r="Y98" s="104" t="inlineStr">
        <is>
          <t>No</t>
        </is>
      </c>
      <c r="Z98" s="109" t="n">
        <v>45737</v>
      </c>
      <c r="AA98" s="98" t="n">
        <v>47197</v>
      </c>
      <c r="AB98" s="107" t="n">
        <v>24</v>
      </c>
      <c r="AC98" s="202" t="n">
        <v>6</v>
      </c>
      <c r="AD98" s="592" t="inlineStr">
        <is>
          <t>Yes</t>
        </is>
      </c>
      <c r="AE98" s="592" t="inlineStr">
        <is>
          <t>Yes</t>
        </is>
      </c>
      <c r="AF98" s="600" t="n"/>
      <c r="AG98" s="593" t="inlineStr">
        <is>
          <t>Phim còn hạn từ 2026</t>
        </is>
      </c>
      <c r="AH98" s="594" t="inlineStr">
        <is>
          <t>MOV_ACT593</t>
        </is>
      </c>
      <c r="AI98" s="206" t="inlineStr">
        <is>
          <t>TWILIGHT OF THE WARRIORS: WALLED IN</t>
        </is>
      </c>
      <c r="AJ98" s="128">
        <f>SUMIF('TK 15661.Bản quyền phim '!F:F,'KK1. Movies'!D98,'TK 15661.Bản quyền phim '!X:X)</f>
        <v/>
      </c>
      <c r="AK98" s="128">
        <f>SUMIF('TK 15661.Bản quyền phim '!F:F,'KK1. Movies'!AI98,'TK 15661.Bản quyền phim '!X:X)</f>
        <v/>
      </c>
      <c r="AL98" s="203">
        <f>COUNTIF('242.BQ Phim hợp tác'!$C:$C,'KK1. Movies'!AI98)</f>
        <v/>
      </c>
      <c r="AM98" s="203">
        <f>COUNTIF('TK 15661.Bản quyền phim '!F:F,'KK1. Movies'!AI98)</f>
        <v/>
      </c>
      <c r="AN98" s="546">
        <f>AL98+AM98</f>
        <v/>
      </c>
      <c r="AO98" s="203" t="n"/>
      <c r="AP98" s="203" t="n"/>
      <c r="AQ98" s="203" t="n"/>
      <c r="AR98" s="203" t="n"/>
      <c r="AS98" s="203" t="n"/>
      <c r="AT98" s="546">
        <f>IFERROR(VLOOKUP(C98, CodeRanMovies!$A:$K, 11, 0), "Not found")</f>
        <v/>
      </c>
    </row>
    <row r="99" ht="26.4" customHeight="1" s="578">
      <c r="A99" s="201">
        <f>_xlfn.AGGREGATE(3,3,$D$7:D99)</f>
        <v/>
      </c>
      <c r="B99" s="589" t="inlineStr">
        <is>
          <t>13+</t>
        </is>
      </c>
      <c r="C99" s="234" t="inlineStr">
        <is>
          <t>MOV_FAN_LNVM__15__2467819</t>
        </is>
      </c>
      <c r="D99" s="596" t="inlineStr">
        <is>
          <t>The Lost Dragon</t>
        </is>
      </c>
      <c r="E99" s="589" t="inlineStr">
        <is>
          <t>NGÀY NẢY NGÀY NAY</t>
        </is>
      </c>
      <c r="F99" s="590" t="inlineStr">
        <is>
          <t>Comedy</t>
        </is>
      </c>
      <c r="G99" s="589" t="inlineStr">
        <is>
          <t>BHD</t>
        </is>
      </c>
      <c r="H99" s="589" t="inlineStr">
        <is>
          <t>90/2015/HDBQ/VSTV-BHD</t>
        </is>
      </c>
      <c r="I99" s="96" t="n">
        <v>2015</v>
      </c>
      <c r="J99" s="592" t="inlineStr">
        <is>
          <t>Việt Nam</t>
        </is>
      </c>
      <c r="K99" s="107" t="n">
        <v>109</v>
      </c>
      <c r="L99" s="98" t="n">
        <v>42160</v>
      </c>
      <c r="M99" s="601" t="inlineStr">
        <is>
          <t>Vĩnh viễn</t>
        </is>
      </c>
      <c r="N99" s="601" t="n">
        <v>42160</v>
      </c>
      <c r="O99" s="592" t="n"/>
      <c r="P99" s="96" t="n">
        <v>24</v>
      </c>
      <c r="Q99" s="592" t="inlineStr">
        <is>
          <t>No</t>
        </is>
      </c>
      <c r="R99" s="592" t="inlineStr">
        <is>
          <t>Yes</t>
        </is>
      </c>
      <c r="S99" s="592" t="inlineStr">
        <is>
          <t>Yes</t>
        </is>
      </c>
      <c r="T99" s="592" t="inlineStr">
        <is>
          <t>Yes</t>
        </is>
      </c>
      <c r="U99" s="592" t="inlineStr">
        <is>
          <t>Yes</t>
        </is>
      </c>
      <c r="V99" s="592" t="inlineStr">
        <is>
          <t>Yes</t>
        </is>
      </c>
      <c r="W99" s="592" t="inlineStr">
        <is>
          <t>Yes</t>
        </is>
      </c>
      <c r="X99" s="104" t="inlineStr">
        <is>
          <t>No</t>
        </is>
      </c>
      <c r="Y99" s="592" t="inlineStr">
        <is>
          <t>yes</t>
        </is>
      </c>
      <c r="Z99" s="98" t="n">
        <v>42160</v>
      </c>
      <c r="AA99" s="601" t="inlineStr">
        <is>
          <t>Vĩnh viễn</t>
        </is>
      </c>
      <c r="AB99" s="100" t="n">
        <v>6</v>
      </c>
      <c r="AC99" s="100" t="n">
        <v>2</v>
      </c>
      <c r="AD99" s="600" t="n"/>
      <c r="AE99" s="600" t="n"/>
      <c r="AF99" s="600" t="n"/>
      <c r="AG99" s="593" t="inlineStr">
        <is>
          <t>Phim còn hạn từ 2026</t>
        </is>
      </c>
      <c r="AH99" s="594" t="n"/>
      <c r="AI99" s="207" t="inlineStr">
        <is>
          <t>Film hợp tác - Ngày nảy ngày nay</t>
        </is>
      </c>
      <c r="AJ99" s="128">
        <f>SUMIF('TK 15661.Bản quyền phim '!F:F,'KK1. Movies'!D99,'TK 15661.Bản quyền phim '!X:X)</f>
        <v/>
      </c>
      <c r="AK99" s="128">
        <f>SUMIF('TK 15661.Bản quyền phim '!F:F,'KK1. Movies'!AI99,'TK 15661.Bản quyền phim '!X:X)</f>
        <v/>
      </c>
      <c r="AL99" s="203">
        <f>COUNTIF('242.BQ Phim hợp tác'!$C:$C,'KK1. Movies'!AI99)</f>
        <v/>
      </c>
      <c r="AM99" s="203">
        <f>COUNTIF('TK 15661.Bản quyền phim '!F:F,'KK1. Movies'!AI99)</f>
        <v/>
      </c>
      <c r="AN99" s="546">
        <f>AL99+AM99</f>
        <v/>
      </c>
      <c r="AO99" s="203" t="n"/>
      <c r="AP99" s="203" t="n"/>
      <c r="AQ99" s="203" t="n"/>
      <c r="AR99" s="203" t="n"/>
      <c r="AS99" s="203" t="n"/>
      <c r="AT99" s="546">
        <f>IFERROR(VLOOKUP(C99, CodeRanMovies!$A:$K, 11, 0), "Not found")</f>
        <v/>
      </c>
    </row>
    <row r="100" ht="26.4" customHeight="1" s="578">
      <c r="A100" s="201">
        <f>_xlfn.AGGREGATE(3,3,$D$7:D100)</f>
        <v/>
      </c>
      <c r="B100" s="110" t="inlineStr">
        <is>
          <t>16+</t>
        </is>
      </c>
      <c r="C100" s="234" t="inlineStr">
        <is>
          <t>MOV_ACT_23__2695915</t>
        </is>
      </c>
      <c r="D100" s="596" t="inlineStr">
        <is>
          <t>AVA</t>
        </is>
      </c>
      <c r="E100" s="590" t="inlineStr">
        <is>
          <t>Nữ sát thủ</t>
        </is>
      </c>
      <c r="F100" s="590" t="inlineStr">
        <is>
          <t>Crime, Thriller</t>
        </is>
      </c>
      <c r="G100" s="589" t="inlineStr">
        <is>
          <t>Roses Media</t>
        </is>
      </c>
      <c r="H100" s="590" t="inlineStr">
        <is>
          <t>140/2022/HDBQ/VSTV-RM</t>
        </is>
      </c>
      <c r="I100" s="204" t="n">
        <v>2020</v>
      </c>
      <c r="J100" s="592" t="inlineStr">
        <is>
          <t>US</t>
        </is>
      </c>
      <c r="K100" s="204" t="n">
        <v>96</v>
      </c>
      <c r="L100" s="98" t="n">
        <v>45203</v>
      </c>
      <c r="M100" s="101" t="n">
        <v>46298</v>
      </c>
      <c r="N100" s="597" t="n">
        <v>45203</v>
      </c>
      <c r="O100" s="598" t="inlineStr">
        <is>
          <t>K+CINE</t>
        </is>
      </c>
      <c r="P100" s="592" t="inlineStr">
        <is>
          <t xml:space="preserve">Exclusive All Pay TV Rights for first 12 months.
Non exclusive All VOD during LP 
</t>
        </is>
      </c>
      <c r="Q100" s="592" t="inlineStr">
        <is>
          <t>No</t>
        </is>
      </c>
      <c r="R100" s="592" t="inlineStr">
        <is>
          <t>Yes</t>
        </is>
      </c>
      <c r="S100" s="592" t="inlineStr">
        <is>
          <t>Yes</t>
        </is>
      </c>
      <c r="T100" s="592" t="inlineStr">
        <is>
          <t>Yes</t>
        </is>
      </c>
      <c r="U100" s="592" t="inlineStr">
        <is>
          <t>Yes</t>
        </is>
      </c>
      <c r="V100" s="592" t="inlineStr">
        <is>
          <t>Yes</t>
        </is>
      </c>
      <c r="W100" s="592" t="inlineStr">
        <is>
          <t>Yes</t>
        </is>
      </c>
      <c r="X100" s="592" t="inlineStr">
        <is>
          <t>Yes</t>
        </is>
      </c>
      <c r="Y100" s="592" t="inlineStr">
        <is>
          <t>No</t>
        </is>
      </c>
      <c r="Z100" s="98" t="n">
        <v>45203</v>
      </c>
      <c r="AA100" s="101" t="n">
        <v>46298</v>
      </c>
      <c r="AB100" s="202" t="n">
        <v>24</v>
      </c>
      <c r="AC100" s="202" t="n">
        <v>16</v>
      </c>
      <c r="AD100" s="592" t="inlineStr">
        <is>
          <t>Yes</t>
        </is>
      </c>
      <c r="AE100" s="592" t="inlineStr">
        <is>
          <t>Yes</t>
        </is>
      </c>
      <c r="AF100" s="608" t="n"/>
      <c r="AG100" s="593" t="inlineStr">
        <is>
          <t>Phim còn hạn từ 2026</t>
        </is>
      </c>
      <c r="AH100" s="594" t="n"/>
      <c r="AI100" s="599" t="inlineStr">
        <is>
          <t>AVA</t>
        </is>
      </c>
      <c r="AJ100" s="128">
        <f>SUMIF('TK 15661.Bản quyền phim '!F:F,'KK1. Movies'!D100,'TK 15661.Bản quyền phim '!X:X)</f>
        <v/>
      </c>
      <c r="AK100" s="128">
        <f>SUMIF('TK 15661.Bản quyền phim '!F:F,'KK1. Movies'!AI100,'TK 15661.Bản quyền phim '!X:X)</f>
        <v/>
      </c>
      <c r="AL100" s="203">
        <f>COUNTIF('242.BQ Phim hợp tác'!$C:$C,'KK1. Movies'!AI100)</f>
        <v/>
      </c>
      <c r="AM100" s="203">
        <f>COUNTIF('TK 15661.Bản quyền phim '!F:F,'KK1. Movies'!AI100)</f>
        <v/>
      </c>
      <c r="AN100" s="546">
        <f>AL100+AM100</f>
        <v/>
      </c>
      <c r="AO100" s="203" t="n"/>
      <c r="AP100" s="203" t="n"/>
      <c r="AQ100" s="203" t="n"/>
      <c r="AR100" s="203" t="n"/>
      <c r="AS100" s="203" t="n"/>
      <c r="AT100" s="546">
        <f>IFERROR(VLOOKUP(C100, CodeRanMovies!$A:$K, 11, 0), "Not found")</f>
        <v/>
      </c>
    </row>
    <row r="101" ht="26.4" customHeight="1" s="578">
      <c r="A101" s="201">
        <f>_xlfn.AGGREGATE(3,3,$D$7:D101)</f>
        <v/>
      </c>
      <c r="B101" s="589" t="inlineStr">
        <is>
          <t>13+</t>
        </is>
      </c>
      <c r="C101" s="590" t="inlineStr">
        <is>
          <t>MOV_COM_23__2697132</t>
        </is>
      </c>
      <c r="D101" s="596" t="inlineStr">
        <is>
          <t>Seven Sundays</t>
        </is>
      </c>
      <c r="E101" s="590" t="inlineStr">
        <is>
          <t>Bảy ngày Chủ nhật</t>
        </is>
      </c>
      <c r="F101" s="589" t="inlineStr">
        <is>
          <t>Drama</t>
        </is>
      </c>
      <c r="G101" s="589" t="inlineStr">
        <is>
          <t>Roses Media</t>
        </is>
      </c>
      <c r="H101" s="590" t="inlineStr">
        <is>
          <t>140/2022/HDBQ/VSTV-RM</t>
        </is>
      </c>
      <c r="I101" s="204" t="n">
        <v>2017</v>
      </c>
      <c r="J101" s="592" t="inlineStr">
        <is>
          <t>Philippines</t>
        </is>
      </c>
      <c r="K101" s="204" t="n">
        <v>128</v>
      </c>
      <c r="L101" s="98" t="n">
        <v>45267</v>
      </c>
      <c r="M101" s="101" t="n">
        <v>46362</v>
      </c>
      <c r="N101" s="597" t="n">
        <v>45267</v>
      </c>
      <c r="O101" s="598" t="inlineStr">
        <is>
          <t>K+CINE</t>
        </is>
      </c>
      <c r="P101" s="592" t="n"/>
      <c r="Q101" s="592" t="inlineStr">
        <is>
          <t>No</t>
        </is>
      </c>
      <c r="R101" s="592" t="inlineStr">
        <is>
          <t>Yes</t>
        </is>
      </c>
      <c r="S101" s="592" t="inlineStr">
        <is>
          <t>No</t>
        </is>
      </c>
      <c r="T101" s="592" t="inlineStr">
        <is>
          <t>Yes</t>
        </is>
      </c>
      <c r="U101" s="592" t="inlineStr">
        <is>
          <t>Yes</t>
        </is>
      </c>
      <c r="V101" s="592" t="inlineStr">
        <is>
          <t>Yes</t>
        </is>
      </c>
      <c r="W101" s="592" t="inlineStr">
        <is>
          <t>Yes</t>
        </is>
      </c>
      <c r="X101" s="592" t="inlineStr">
        <is>
          <t>Yes</t>
        </is>
      </c>
      <c r="Y101" s="592" t="inlineStr">
        <is>
          <t>No</t>
        </is>
      </c>
      <c r="Z101" s="98" t="n">
        <v>45267</v>
      </c>
      <c r="AA101" s="101" t="n">
        <v>46362</v>
      </c>
      <c r="AB101" s="202" t="n">
        <v>24</v>
      </c>
      <c r="AC101" s="202" t="n">
        <v>12</v>
      </c>
      <c r="AD101" s="592" t="inlineStr">
        <is>
          <t>Yes</t>
        </is>
      </c>
      <c r="AE101" s="592" t="inlineStr">
        <is>
          <t>Yes</t>
        </is>
      </c>
      <c r="AF101" s="600" t="n"/>
      <c r="AG101" s="593" t="inlineStr">
        <is>
          <t>Phim còn hạn từ 2026</t>
        </is>
      </c>
      <c r="AH101" s="594" t="n"/>
      <c r="AI101" s="599" t="inlineStr">
        <is>
          <t>Seven Sundays</t>
        </is>
      </c>
      <c r="AJ101" s="128">
        <f>SUMIF('TK 15661.Bản quyền phim '!F:F,'KK1. Movies'!D101,'TK 15661.Bản quyền phim '!X:X)</f>
        <v/>
      </c>
      <c r="AK101" s="128">
        <f>SUMIF('TK 15661.Bản quyền phim '!F:F,'KK1. Movies'!AI101,'TK 15661.Bản quyền phim '!X:X)</f>
        <v/>
      </c>
      <c r="AL101" s="203">
        <f>COUNTIF('242.BQ Phim hợp tác'!$C:$C,'KK1. Movies'!AI101)</f>
        <v/>
      </c>
      <c r="AM101" s="203">
        <f>COUNTIF('TK 15661.Bản quyền phim '!F:F,'KK1. Movies'!AI101)</f>
        <v/>
      </c>
      <c r="AN101" s="546">
        <f>AL101+AM101</f>
        <v/>
      </c>
      <c r="AO101" s="203" t="n"/>
      <c r="AP101" s="203" t="n"/>
      <c r="AQ101" s="203" t="n"/>
      <c r="AR101" s="203" t="n"/>
      <c r="AS101" s="203" t="n"/>
      <c r="AT101" s="546">
        <f>IFERROR(VLOOKUP(C101, CodeRanMovies!$A:$K, 11, 0), "Not found")</f>
        <v/>
      </c>
    </row>
    <row r="102">
      <c r="A102" s="201">
        <f>_xlfn.AGGREGATE(3,3,$D$7:D102)</f>
        <v/>
      </c>
      <c r="B102" s="589" t="inlineStr">
        <is>
          <t>16+</t>
        </is>
      </c>
      <c r="C102" s="590" t="inlineStr">
        <is>
          <t>MOV_ACT_24__2711608</t>
        </is>
      </c>
      <c r="D102" s="105" t="inlineStr">
        <is>
          <t>Hypnotic</t>
        </is>
      </c>
      <c r="E102" s="97" t="inlineStr">
        <is>
          <t>Những kẻ thao túng</t>
        </is>
      </c>
      <c r="F102" s="590" t="inlineStr">
        <is>
          <t>Crime, Thriller</t>
        </is>
      </c>
      <c r="G102" s="108" t="inlineStr">
        <is>
          <t>Rose media</t>
        </is>
      </c>
      <c r="H102" s="590" t="inlineStr">
        <is>
          <t>5/2022/HDBQ/VSTV-RM</t>
        </is>
      </c>
      <c r="I102" s="104" t="n">
        <v>2023</v>
      </c>
      <c r="J102" s="104" t="inlineStr">
        <is>
          <t>US</t>
        </is>
      </c>
      <c r="K102" s="104" t="n">
        <v>93</v>
      </c>
      <c r="L102" s="98" t="n">
        <v>45519</v>
      </c>
      <c r="M102" s="106" t="n">
        <v>46613</v>
      </c>
      <c r="N102" s="601" t="n">
        <v>45519</v>
      </c>
      <c r="O102" s="592" t="inlineStr">
        <is>
          <t>K+ACTION</t>
        </is>
      </c>
      <c r="P102" s="592" t="n"/>
      <c r="Q102" s="104" t="inlineStr">
        <is>
          <t>No</t>
        </is>
      </c>
      <c r="R102" s="592" t="inlineStr">
        <is>
          <t>Yes</t>
        </is>
      </c>
      <c r="S102" s="592" t="inlineStr">
        <is>
          <t>Yes</t>
        </is>
      </c>
      <c r="T102" s="592" t="inlineStr">
        <is>
          <t>Yes</t>
        </is>
      </c>
      <c r="U102" s="592" t="inlineStr">
        <is>
          <t>Yes</t>
        </is>
      </c>
      <c r="V102" s="592" t="inlineStr">
        <is>
          <t>Yes</t>
        </is>
      </c>
      <c r="W102" s="592" t="inlineStr">
        <is>
          <t>Yes</t>
        </is>
      </c>
      <c r="X102" s="592" t="inlineStr">
        <is>
          <t>Yes</t>
        </is>
      </c>
      <c r="Y102" s="107" t="inlineStr">
        <is>
          <t>No</t>
        </is>
      </c>
      <c r="Z102" s="98" t="n">
        <v>45519</v>
      </c>
      <c r="AA102" s="106" t="n">
        <v>46613</v>
      </c>
      <c r="AB102" s="104" t="n">
        <v>24</v>
      </c>
      <c r="AC102" s="202" t="n">
        <v>10</v>
      </c>
      <c r="AD102" s="592" t="inlineStr">
        <is>
          <t>Yes</t>
        </is>
      </c>
      <c r="AE102" s="592" t="inlineStr">
        <is>
          <t>Yes</t>
        </is>
      </c>
      <c r="AF102" s="600" t="n"/>
      <c r="AG102" s="593" t="inlineStr">
        <is>
          <t>Phim còn hạn từ 2026</t>
        </is>
      </c>
      <c r="AH102" s="594" t="inlineStr">
        <is>
          <t>MOV_ACT_24__2711608</t>
        </is>
      </c>
      <c r="AI102" s="206" t="inlineStr">
        <is>
          <t>Hypnotic</t>
        </is>
      </c>
      <c r="AJ102" s="128">
        <f>SUMIF('TK 15661.Bản quyền phim '!F:F,'KK1. Movies'!D102,'TK 15661.Bản quyền phim '!X:X)</f>
        <v/>
      </c>
      <c r="AK102" s="128">
        <f>SUMIF('TK 15661.Bản quyền phim '!F:F,'KK1. Movies'!AI102,'TK 15661.Bản quyền phim '!X:X)</f>
        <v/>
      </c>
      <c r="AL102" s="203">
        <f>COUNTIF('242.BQ Phim hợp tác'!$C:$C,'KK1. Movies'!AI102)</f>
        <v/>
      </c>
      <c r="AM102" s="203">
        <f>COUNTIF('TK 15661.Bản quyền phim '!F:F,'KK1. Movies'!AI102)</f>
        <v/>
      </c>
      <c r="AN102" s="546">
        <f>AL102+AM102</f>
        <v/>
      </c>
      <c r="AO102" s="203" t="n"/>
      <c r="AP102" s="203" t="n"/>
      <c r="AQ102" s="203" t="n"/>
      <c r="AR102" s="203" t="n"/>
      <c r="AS102" s="203" t="n"/>
      <c r="AT102" s="546">
        <f>IFERROR(VLOOKUP(C102, CodeRanMovies!$A:$K, 11, 0), "Not found")</f>
        <v/>
      </c>
    </row>
    <row r="103">
      <c r="A103" s="201">
        <f>_xlfn.AGGREGATE(3,3,$D$7:D103)</f>
        <v/>
      </c>
      <c r="B103" s="589" t="inlineStr">
        <is>
          <t>13+</t>
        </is>
      </c>
      <c r="C103" s="590" t="inlineStr">
        <is>
          <t>MOV_COM_22__2686514</t>
        </is>
      </c>
      <c r="D103" s="596" t="inlineStr">
        <is>
          <t>Bye Bye Morons</t>
        </is>
      </c>
      <c r="E103" s="590" t="inlineStr">
        <is>
          <t>Những kẻ quan liêu</t>
        </is>
      </c>
      <c r="F103" s="589" t="inlineStr">
        <is>
          <t>Drama</t>
        </is>
      </c>
      <c r="G103" s="604" t="inlineStr">
        <is>
          <t>Skyline Media</t>
        </is>
      </c>
      <c r="H103" s="590" t="inlineStr">
        <is>
          <t>66/2023/HDBQ/VSTV-SM</t>
        </is>
      </c>
      <c r="I103" s="204" t="n">
        <v>2020</v>
      </c>
      <c r="J103" s="600" t="inlineStr">
        <is>
          <t>France</t>
        </is>
      </c>
      <c r="K103" s="204" t="n">
        <v>87</v>
      </c>
      <c r="L103" s="98" t="n">
        <v>45065</v>
      </c>
      <c r="M103" s="591" t="n">
        <v>46160</v>
      </c>
      <c r="N103" s="601" t="n">
        <v>45141</v>
      </c>
      <c r="O103" s="598" t="inlineStr">
        <is>
          <t>K+CINE</t>
        </is>
      </c>
      <c r="P103" s="592" t="inlineStr">
        <is>
          <t>Exclusive All TV Rights the first 12 months of LP
 Non-exclusive with All Catch-up TV Rights; All VOD Rights during LP</t>
        </is>
      </c>
      <c r="Q103" s="600" t="inlineStr">
        <is>
          <t>No</t>
        </is>
      </c>
      <c r="R103" s="592" t="inlineStr">
        <is>
          <t>Yes</t>
        </is>
      </c>
      <c r="S103" s="592" t="inlineStr">
        <is>
          <t>Yes</t>
        </is>
      </c>
      <c r="T103" s="592" t="inlineStr">
        <is>
          <t>Yes</t>
        </is>
      </c>
      <c r="U103" s="592" t="inlineStr">
        <is>
          <t>Yes</t>
        </is>
      </c>
      <c r="V103" s="592" t="inlineStr">
        <is>
          <t>Yes</t>
        </is>
      </c>
      <c r="W103" s="592" t="inlineStr">
        <is>
          <t>Yes</t>
        </is>
      </c>
      <c r="X103" s="592" t="inlineStr">
        <is>
          <t>Yes</t>
        </is>
      </c>
      <c r="Y103" s="592" t="inlineStr">
        <is>
          <t>Yes</t>
        </is>
      </c>
      <c r="Z103" s="98" t="n">
        <v>45065</v>
      </c>
      <c r="AA103" s="591" t="n">
        <v>46160</v>
      </c>
      <c r="AB103" s="96" t="n">
        <v>24</v>
      </c>
      <c r="AC103" s="202" t="n">
        <v>15</v>
      </c>
      <c r="AD103" s="592" t="inlineStr">
        <is>
          <t>Yes</t>
        </is>
      </c>
      <c r="AE103" s="592" t="inlineStr">
        <is>
          <t>Yes</t>
        </is>
      </c>
      <c r="AF103" s="600" t="n"/>
      <c r="AG103" s="593" t="inlineStr">
        <is>
          <t>Phim còn hạn từ 2026</t>
        </is>
      </c>
      <c r="AH103" s="594" t="inlineStr">
        <is>
          <t>MOV_COM_22__2686514</t>
        </is>
      </c>
      <c r="AI103" s="599" t="inlineStr">
        <is>
          <t>Bye Bye Morons</t>
        </is>
      </c>
      <c r="AJ103" s="128">
        <f>SUMIF('TK 15661.Bản quyền phim '!F:F,'KK1. Movies'!D103,'TK 15661.Bản quyền phim '!X:X)</f>
        <v/>
      </c>
      <c r="AK103" s="128">
        <f>SUMIF('TK 15661.Bản quyền phim '!F:F,'KK1. Movies'!AI103,'TK 15661.Bản quyền phim '!X:X)</f>
        <v/>
      </c>
      <c r="AL103" s="203">
        <f>COUNTIF('242.BQ Phim hợp tác'!$C:$C,'KK1. Movies'!AI103)</f>
        <v/>
      </c>
      <c r="AM103" s="203">
        <f>COUNTIF('TK 15661.Bản quyền phim '!F:F,'KK1. Movies'!AI103)</f>
        <v/>
      </c>
      <c r="AN103" s="546">
        <f>AL103+AM103</f>
        <v/>
      </c>
      <c r="AO103" s="203" t="n"/>
      <c r="AP103" s="203" t="n"/>
      <c r="AQ103" s="203" t="n"/>
      <c r="AR103" s="203" t="n"/>
      <c r="AS103" s="203" t="n"/>
      <c r="AT103" s="546">
        <f>IFERROR(VLOOKUP(C103, CodeRanMovies!$A:$K, 11, 0), "Not found")</f>
        <v/>
      </c>
    </row>
    <row r="104" ht="26.4" customHeight="1" s="578">
      <c r="A104" s="201">
        <f>_xlfn.AGGREGATE(3,3,$D$7:D104)</f>
        <v/>
      </c>
      <c r="B104" s="589" t="inlineStr">
        <is>
          <t>16+</t>
        </is>
      </c>
      <c r="C104" s="590" t="inlineStr">
        <is>
          <t>MOV_DRA741</t>
        </is>
      </c>
      <c r="D104" s="105" t="inlineStr">
        <is>
          <t>Blood Moon Party</t>
        </is>
      </c>
      <c r="E104" s="590" t="inlineStr">
        <is>
          <t>Tiệc Trăng Máu</t>
        </is>
      </c>
      <c r="F104" s="108" t="inlineStr">
        <is>
          <t>Comedy, Drama</t>
        </is>
      </c>
      <c r="G104" s="103" t="inlineStr">
        <is>
          <t>Anh Tễu Studio</t>
        </is>
      </c>
      <c r="H104" s="590" t="inlineStr">
        <is>
          <t xml:space="preserve">12/2025/HDBQ/VSTV-Anh Teu </t>
        </is>
      </c>
      <c r="I104" s="107" t="n">
        <v>2020</v>
      </c>
      <c r="J104" s="592" t="inlineStr">
        <is>
          <t>Việt Nam</t>
        </is>
      </c>
      <c r="K104" s="107" t="n">
        <v>118</v>
      </c>
      <c r="L104" s="591" t="n">
        <v>45686</v>
      </c>
      <c r="M104" s="98" t="n">
        <v>46780</v>
      </c>
      <c r="N104" s="591" t="n">
        <v>45687</v>
      </c>
      <c r="O104" s="592" t="n"/>
      <c r="P104" s="104" t="n">
        <v>0</v>
      </c>
      <c r="Q104" s="107" t="inlineStr">
        <is>
          <t>No</t>
        </is>
      </c>
      <c r="R104" s="592" t="inlineStr">
        <is>
          <t>Yes</t>
        </is>
      </c>
      <c r="S104" s="107" t="inlineStr">
        <is>
          <t>Yes</t>
        </is>
      </c>
      <c r="T104" s="592" t="inlineStr">
        <is>
          <t>Yes</t>
        </is>
      </c>
      <c r="U104" s="107" t="inlineStr">
        <is>
          <t>Yes</t>
        </is>
      </c>
      <c r="V104" s="107" t="inlineStr">
        <is>
          <t>Yes</t>
        </is>
      </c>
      <c r="W104" s="107" t="inlineStr">
        <is>
          <t>Yes</t>
        </is>
      </c>
      <c r="X104" s="107" t="inlineStr">
        <is>
          <t>Yes</t>
        </is>
      </c>
      <c r="Y104" s="107" t="inlineStr">
        <is>
          <t>Yes</t>
        </is>
      </c>
      <c r="Z104" s="109" t="n">
        <v>45686</v>
      </c>
      <c r="AA104" s="125" t="n">
        <v>46780</v>
      </c>
      <c r="AB104" s="107" t="n">
        <v>24</v>
      </c>
      <c r="AC104" s="202" t="n">
        <v>6</v>
      </c>
      <c r="AD104" s="592" t="inlineStr">
        <is>
          <t>Yes</t>
        </is>
      </c>
      <c r="AE104" s="592" t="inlineStr">
        <is>
          <t>Yes</t>
        </is>
      </c>
      <c r="AF104" s="600" t="n"/>
      <c r="AG104" s="593" t="inlineStr">
        <is>
          <t>Phim còn hạn từ 2026</t>
        </is>
      </c>
      <c r="AH104" s="594" t="n"/>
      <c r="AI104" s="205" t="inlineStr">
        <is>
          <t>Blood Moon Party (Tiệc Trăng Máu)</t>
        </is>
      </c>
      <c r="AJ104" s="128">
        <f>SUMIF('TK 15661.Bản quyền phim '!F:F,'KK1. Movies'!D104,'TK 15661.Bản quyền phim '!X:X)</f>
        <v/>
      </c>
      <c r="AK104" s="128">
        <f>SUMIF('TK 15661.Bản quyền phim '!F:F,'KK1. Movies'!AI104,'TK 15661.Bản quyền phim '!X:X)</f>
        <v/>
      </c>
      <c r="AL104" s="203">
        <f>COUNTIF('242.BQ Phim hợp tác'!$C:$C,'KK1. Movies'!AI104)</f>
        <v/>
      </c>
      <c r="AM104" s="203">
        <f>COUNTIF('TK 15661.Bản quyền phim '!F:F,'KK1. Movies'!AI104)</f>
        <v/>
      </c>
      <c r="AN104" s="546">
        <f>AL104+AM104</f>
        <v/>
      </c>
      <c r="AO104" s="203" t="n"/>
      <c r="AP104" s="203" t="n"/>
      <c r="AQ104" s="203" t="n"/>
      <c r="AR104" s="203" t="n"/>
      <c r="AS104" s="203" t="n"/>
      <c r="AT104" s="546">
        <f>IFERROR(VLOOKUP(C104, CodeRanMovies!$A:$K, 11, 0), "Not found")</f>
        <v/>
      </c>
    </row>
    <row r="105">
      <c r="A105" s="201">
        <f>_xlfn.AGGREGATE(3,3,$D$7:D105)</f>
        <v/>
      </c>
      <c r="B105" s="589" t="n"/>
      <c r="C105" s="590" t="inlineStr">
        <is>
          <t>MOV_THR168</t>
        </is>
      </c>
      <c r="D105" s="105" t="inlineStr">
        <is>
          <t>WATCHER</t>
        </is>
      </c>
      <c r="E105" s="590" t="inlineStr">
        <is>
          <t>Kẻ rình mò</t>
        </is>
      </c>
      <c r="F105" s="103" t="inlineStr">
        <is>
          <t>Horror/Mystery</t>
        </is>
      </c>
      <c r="G105" s="103" t="inlineStr">
        <is>
          <t>NBC Universal</t>
        </is>
      </c>
      <c r="H105" s="108" t="inlineStr">
        <is>
          <t>5051370-3/166015-3</t>
        </is>
      </c>
      <c r="I105" s="107" t="n">
        <v>2022</v>
      </c>
      <c r="J105" s="104" t="inlineStr">
        <is>
          <t>US</t>
        </is>
      </c>
      <c r="K105" s="107" t="n">
        <v>91</v>
      </c>
      <c r="L105" s="109" t="n">
        <v>45778</v>
      </c>
      <c r="M105" s="109" t="n">
        <v>46507</v>
      </c>
      <c r="N105" s="601" t="n"/>
      <c r="O105" s="592" t="n"/>
      <c r="P105" s="104" t="n">
        <v>12</v>
      </c>
      <c r="Q105" s="104" t="inlineStr">
        <is>
          <t>No</t>
        </is>
      </c>
      <c r="R105" s="592" t="inlineStr">
        <is>
          <t>Yes</t>
        </is>
      </c>
      <c r="S105" s="104" t="inlineStr">
        <is>
          <t>Yes</t>
        </is>
      </c>
      <c r="T105" s="592" t="inlineStr">
        <is>
          <t>Yes</t>
        </is>
      </c>
      <c r="U105" s="104" t="inlineStr">
        <is>
          <t>No</t>
        </is>
      </c>
      <c r="V105" s="104" t="inlineStr">
        <is>
          <t>No</t>
        </is>
      </c>
      <c r="W105" s="104" t="inlineStr">
        <is>
          <t>No</t>
        </is>
      </c>
      <c r="X105" s="104" t="inlineStr">
        <is>
          <t>Yes</t>
        </is>
      </c>
      <c r="Y105" s="104" t="inlineStr">
        <is>
          <t>Yes</t>
        </is>
      </c>
      <c r="Z105" s="109" t="n">
        <v>45778</v>
      </c>
      <c r="AA105" s="125" t="n">
        <v>46507</v>
      </c>
      <c r="AB105" s="104" t="n">
        <v>6</v>
      </c>
      <c r="AC105" s="202" t="n">
        <v>1</v>
      </c>
      <c r="AD105" s="592" t="inlineStr">
        <is>
          <t>Yes</t>
        </is>
      </c>
      <c r="AE105" s="592" t="inlineStr">
        <is>
          <t>Yes</t>
        </is>
      </c>
      <c r="AF105" s="600" t="n"/>
      <c r="AG105" s="593" t="inlineStr">
        <is>
          <t>Phim còn hạn từ 2026</t>
        </is>
      </c>
      <c r="AH105" s="594" t="inlineStr">
        <is>
          <t>MOV_THR168</t>
        </is>
      </c>
      <c r="AI105" s="206" t="inlineStr">
        <is>
          <t>WATCHER</t>
        </is>
      </c>
      <c r="AJ105" s="128">
        <f>SUMIF('TK 15661.Bản quyền phim '!F:F,'KK1. Movies'!D105,'TK 15661.Bản quyền phim '!X:X)</f>
        <v/>
      </c>
      <c r="AK105" s="128">
        <f>SUMIF('TK 15661.Bản quyền phim '!F:F,'KK1. Movies'!AI105,'TK 15661.Bản quyền phim '!X:X)</f>
        <v/>
      </c>
      <c r="AL105" s="203">
        <f>COUNTIF('242.BQ Phim hợp tác'!$C:$C,'KK1. Movies'!AI105)</f>
        <v/>
      </c>
      <c r="AM105" s="203">
        <f>COUNTIF('TK 15661.Bản quyền phim '!F:F,'KK1. Movies'!AI105)</f>
        <v/>
      </c>
      <c r="AN105" s="546">
        <f>AL105+AM105</f>
        <v/>
      </c>
      <c r="AO105" s="203" t="n"/>
      <c r="AP105" s="203" t="n"/>
      <c r="AQ105" s="203" t="n"/>
      <c r="AR105" s="203" t="n"/>
      <c r="AS105" s="203" t="n"/>
      <c r="AT105" s="546">
        <f>IFERROR(VLOOKUP(C105, CodeRanMovies!$A:$K, 11, 0), "Not found")</f>
        <v/>
      </c>
    </row>
    <row r="106" ht="26.4" customHeight="1" s="578">
      <c r="A106" s="201">
        <f>_xlfn.AGGREGATE(3,3,$D$7:D106)</f>
        <v/>
      </c>
      <c r="B106" s="589" t="n"/>
      <c r="C106" s="234" t="inlineStr">
        <is>
          <t>MOV_ANI87</t>
        </is>
      </c>
      <c r="D106" s="105" t="inlineStr">
        <is>
          <t>SONIC THE HEDGEHOG 2</t>
        </is>
      </c>
      <c r="E106" s="110" t="inlineStr">
        <is>
          <t>Nhím Sonic 2</t>
        </is>
      </c>
      <c r="F106" s="105" t="inlineStr">
        <is>
          <t>Action/Adventure,Animation,Comedy</t>
        </is>
      </c>
      <c r="G106" s="103" t="inlineStr">
        <is>
          <t>Paramount</t>
        </is>
      </c>
      <c r="H106" s="103" t="inlineStr">
        <is>
          <t>1009675/DM-38696/DM-39285</t>
        </is>
      </c>
      <c r="I106" s="104" t="n">
        <v>2022</v>
      </c>
      <c r="J106" s="104" t="inlineStr">
        <is>
          <t>US</t>
        </is>
      </c>
      <c r="K106" s="104" t="n">
        <v>122</v>
      </c>
      <c r="L106" s="124" t="n">
        <v>45777</v>
      </c>
      <c r="M106" s="124" t="n">
        <v>46324</v>
      </c>
      <c r="N106" s="601" t="n"/>
      <c r="O106" s="592" t="n"/>
      <c r="P106" s="592" t="n"/>
      <c r="Q106" s="104" t="inlineStr">
        <is>
          <t>No</t>
        </is>
      </c>
      <c r="R106" s="592" t="inlineStr">
        <is>
          <t>Yes</t>
        </is>
      </c>
      <c r="S106" s="110" t="inlineStr">
        <is>
          <t>Yes</t>
        </is>
      </c>
      <c r="T106" s="110" t="inlineStr">
        <is>
          <t>Yes</t>
        </is>
      </c>
      <c r="U106" s="110" t="inlineStr">
        <is>
          <t>No</t>
        </is>
      </c>
      <c r="V106" s="110" t="inlineStr">
        <is>
          <t>No</t>
        </is>
      </c>
      <c r="W106" s="110" t="inlineStr">
        <is>
          <t>No</t>
        </is>
      </c>
      <c r="X106" s="110" t="inlineStr">
        <is>
          <t>Yes</t>
        </is>
      </c>
      <c r="Y106" s="110" t="inlineStr">
        <is>
          <t>No</t>
        </is>
      </c>
      <c r="Z106" s="124" t="n">
        <v>45777</v>
      </c>
      <c r="AA106" s="124" t="n">
        <v>46141</v>
      </c>
      <c r="AB106" s="110" t="n">
        <v>10</v>
      </c>
      <c r="AC106" s="202" t="n">
        <v>3</v>
      </c>
      <c r="AD106" s="592" t="inlineStr">
        <is>
          <t>Yes</t>
        </is>
      </c>
      <c r="AE106" s="592" t="inlineStr">
        <is>
          <t>Yes</t>
        </is>
      </c>
      <c r="AF106" s="600" t="n"/>
      <c r="AG106" s="593" t="inlineStr">
        <is>
          <t>Phim còn hạn từ 2026</t>
        </is>
      </c>
      <c r="AH106" s="594" t="n"/>
      <c r="AI106" s="206" t="inlineStr">
        <is>
          <t>SONIC THE HEDGEHOG 2</t>
        </is>
      </c>
      <c r="AJ106" s="128">
        <f>SUMIF('TK 15661.Bản quyền phim '!F:F,'KK1. Movies'!D106,'TK 15661.Bản quyền phim '!X:X)</f>
        <v/>
      </c>
      <c r="AK106" s="128">
        <f>SUMIF('TK 15661.Bản quyền phim '!F:F,'KK1. Movies'!AI106,'TK 15661.Bản quyền phim '!X:X)</f>
        <v/>
      </c>
      <c r="AL106" s="203">
        <f>COUNTIF('242.BQ Phim hợp tác'!$C:$C,'KK1. Movies'!AI106)</f>
        <v/>
      </c>
      <c r="AM106" s="203">
        <f>COUNTIF('TK 15661.Bản quyền phim '!F:F,'KK1. Movies'!AI106)</f>
        <v/>
      </c>
      <c r="AN106" s="546">
        <f>AL106+AM106</f>
        <v/>
      </c>
      <c r="AO106" s="203" t="n"/>
      <c r="AP106" s="203" t="n"/>
      <c r="AQ106" s="203" t="n"/>
      <c r="AR106" s="203" t="n"/>
      <c r="AS106" s="203" t="n"/>
      <c r="AT106" s="546">
        <f>IFERROR(VLOOKUP(C106, CodeRanMovies!$A:$K, 11, 0), "Not found")</f>
        <v/>
      </c>
    </row>
    <row r="107">
      <c r="A107" s="201">
        <f>_xlfn.AGGREGATE(3,3,$D$7:D107)</f>
        <v/>
      </c>
      <c r="B107" s="589" t="inlineStr">
        <is>
          <t>16+</t>
        </is>
      </c>
      <c r="C107" s="590" t="inlineStr">
        <is>
          <t>MOV_BIO_24__2715624</t>
        </is>
      </c>
      <c r="D107" s="105" t="inlineStr">
        <is>
          <t>GET ON UP</t>
        </is>
      </c>
      <c r="E107" s="110" t="inlineStr">
        <is>
          <t xml:space="preserve"> Hát lên nào</t>
        </is>
      </c>
      <c r="F107" s="108" t="inlineStr">
        <is>
          <t>drama</t>
        </is>
      </c>
      <c r="G107" s="108" t="inlineStr">
        <is>
          <t>NBC Universal</t>
        </is>
      </c>
      <c r="H107" s="108" t="inlineStr">
        <is>
          <t>5049540-2/161434-3</t>
        </is>
      </c>
      <c r="I107" s="104" t="n">
        <v>2014</v>
      </c>
      <c r="J107" s="107" t="inlineStr">
        <is>
          <t>US</t>
        </is>
      </c>
      <c r="K107" s="104" t="n">
        <v>139</v>
      </c>
      <c r="L107" s="98" t="n">
        <v>45441</v>
      </c>
      <c r="M107" s="109" t="n">
        <v>46170</v>
      </c>
      <c r="N107" s="601" t="n">
        <v>45434</v>
      </c>
      <c r="O107" s="592" t="inlineStr">
        <is>
          <t>K+CINE</t>
        </is>
      </c>
      <c r="P107" s="104" t="inlineStr">
        <is>
          <t xml:space="preserve"> </t>
        </is>
      </c>
      <c r="Q107" s="104" t="inlineStr">
        <is>
          <t>No</t>
        </is>
      </c>
      <c r="R107" s="592" t="inlineStr">
        <is>
          <t>Yes</t>
        </is>
      </c>
      <c r="S107" s="104" t="inlineStr">
        <is>
          <t>Yes</t>
        </is>
      </c>
      <c r="T107" s="592" t="inlineStr">
        <is>
          <t>Yes</t>
        </is>
      </c>
      <c r="U107" s="104" t="inlineStr">
        <is>
          <t>No</t>
        </is>
      </c>
      <c r="V107" s="104" t="inlineStr">
        <is>
          <t>No</t>
        </is>
      </c>
      <c r="W107" s="104" t="inlineStr">
        <is>
          <t>No</t>
        </is>
      </c>
      <c r="X107" s="104" t="inlineStr">
        <is>
          <t>No</t>
        </is>
      </c>
      <c r="Y107" s="104" t="inlineStr">
        <is>
          <t>Yes</t>
        </is>
      </c>
      <c r="Z107" s="98" t="n">
        <v>45441</v>
      </c>
      <c r="AA107" s="109" t="n">
        <v>46170</v>
      </c>
      <c r="AB107" s="107" t="n">
        <v>6</v>
      </c>
      <c r="AC107" s="107" t="n">
        <v>4</v>
      </c>
      <c r="AD107" s="592" t="inlineStr">
        <is>
          <t>Yes</t>
        </is>
      </c>
      <c r="AE107" s="592" t="inlineStr">
        <is>
          <t>Yes</t>
        </is>
      </c>
      <c r="AF107" s="600" t="n"/>
      <c r="AG107" s="593" t="inlineStr">
        <is>
          <t>Phim còn hạn từ 2026</t>
        </is>
      </c>
      <c r="AH107" s="594" t="inlineStr">
        <is>
          <t>MOV_BIO_24__2715624</t>
        </is>
      </c>
      <c r="AI107" s="599" t="inlineStr">
        <is>
          <t>GET ON UP</t>
        </is>
      </c>
      <c r="AJ107" s="128">
        <f>SUMIF('TK 15661.Bản quyền phim '!F:F,'KK1. Movies'!D107,'TK 15661.Bản quyền phim '!X:X)</f>
        <v/>
      </c>
      <c r="AK107" s="128">
        <f>SUMIF('TK 15661.Bản quyền phim '!F:F,'KK1. Movies'!AI107,'TK 15661.Bản quyền phim '!X:X)</f>
        <v/>
      </c>
      <c r="AL107" s="203">
        <f>COUNTIF('242.BQ Phim hợp tác'!$C:$C,'KK1. Movies'!AI107)</f>
        <v/>
      </c>
      <c r="AM107" s="203">
        <f>COUNTIF('TK 15661.Bản quyền phim '!F:F,'KK1. Movies'!AI107)</f>
        <v/>
      </c>
      <c r="AN107" s="546">
        <f>AL107+AM107</f>
        <v/>
      </c>
      <c r="AO107" s="203" t="n"/>
      <c r="AP107" s="203" t="n"/>
      <c r="AQ107" s="203" t="n"/>
      <c r="AR107" s="203" t="n"/>
      <c r="AS107" s="203" t="n"/>
      <c r="AT107" s="546">
        <f>IFERROR(VLOOKUP(C107, CodeRanMovies!$A:$K, 11, 0), "Not found")</f>
        <v/>
      </c>
    </row>
    <row r="108" ht="26.4" customHeight="1" s="578">
      <c r="A108" s="201">
        <f>_xlfn.AGGREGATE(3,3,$D$7:D108)</f>
        <v/>
      </c>
      <c r="B108" s="589" t="inlineStr">
        <is>
          <t>13+</t>
        </is>
      </c>
      <c r="C108" s="590" t="inlineStr">
        <is>
          <t>MOV_ACT_24__2710435</t>
        </is>
      </c>
      <c r="D108" s="105" t="inlineStr">
        <is>
          <t>THE KING'S DAUGHTER</t>
        </is>
      </c>
      <c r="E108" s="590" t="inlineStr">
        <is>
          <t>Con gái nhà vua</t>
        </is>
      </c>
      <c r="F108" s="590" t="inlineStr">
        <is>
          <t>Action, Adventure</t>
        </is>
      </c>
      <c r="G108" s="108" t="inlineStr">
        <is>
          <t>Skyline Media</t>
        </is>
      </c>
      <c r="H108" s="590" t="inlineStr">
        <is>
          <t>28/2024/HDBQ/VSTV-SM</t>
        </is>
      </c>
      <c r="I108" s="107" t="n">
        <v>2022</v>
      </c>
      <c r="J108" s="107" t="inlineStr">
        <is>
          <t>AUS - US</t>
        </is>
      </c>
      <c r="K108" s="107" t="n">
        <v>98</v>
      </c>
      <c r="L108" s="98" t="n">
        <v>45351</v>
      </c>
      <c r="M108" s="109" t="n">
        <v>46446</v>
      </c>
      <c r="N108" s="601" t="n">
        <v>45575</v>
      </c>
      <c r="O108" s="592" t="inlineStr">
        <is>
          <t>K+ACTION</t>
        </is>
      </c>
      <c r="P108" s="104" t="n">
        <v>12</v>
      </c>
      <c r="Q108" s="107" t="inlineStr">
        <is>
          <t>No</t>
        </is>
      </c>
      <c r="R108" s="592" t="inlineStr">
        <is>
          <t>Yes</t>
        </is>
      </c>
      <c r="S108" s="592" t="inlineStr">
        <is>
          <t>Yes</t>
        </is>
      </c>
      <c r="T108" s="592" t="inlineStr">
        <is>
          <t>Yes</t>
        </is>
      </c>
      <c r="U108" s="592" t="inlineStr">
        <is>
          <t>Yes</t>
        </is>
      </c>
      <c r="V108" s="592" t="inlineStr">
        <is>
          <t>Yes</t>
        </is>
      </c>
      <c r="W108" s="592" t="inlineStr">
        <is>
          <t>Yes</t>
        </is>
      </c>
      <c r="X108" s="592" t="inlineStr">
        <is>
          <t>Yes</t>
        </is>
      </c>
      <c r="Y108" s="104" t="inlineStr">
        <is>
          <t>No</t>
        </is>
      </c>
      <c r="Z108" s="98" t="n">
        <v>45351</v>
      </c>
      <c r="AA108" s="109" t="n">
        <v>46446</v>
      </c>
      <c r="AB108" s="107" t="n">
        <v>24</v>
      </c>
      <c r="AC108" s="202" t="n">
        <v>13</v>
      </c>
      <c r="AD108" s="592" t="inlineStr">
        <is>
          <t>Yes</t>
        </is>
      </c>
      <c r="AE108" s="592" t="inlineStr">
        <is>
          <t>Yes</t>
        </is>
      </c>
      <c r="AF108" s="600" t="n"/>
      <c r="AG108" s="593" t="inlineStr">
        <is>
          <t>Phim còn hạn từ 2026</t>
        </is>
      </c>
      <c r="AH108" s="594" t="inlineStr">
        <is>
          <t>MOV_ACT_24__2710435</t>
        </is>
      </c>
      <c r="AI108" s="206" t="inlineStr">
        <is>
          <t>THE KING'S DAUGHTER</t>
        </is>
      </c>
      <c r="AJ108" s="128">
        <f>SUMIF('TK 15661.Bản quyền phim '!F:F,'KK1. Movies'!D108,'TK 15661.Bản quyền phim '!X:X)</f>
        <v/>
      </c>
      <c r="AK108" s="128">
        <f>SUMIF('TK 15661.Bản quyền phim '!F:F,'KK1. Movies'!AI108,'TK 15661.Bản quyền phim '!X:X)</f>
        <v/>
      </c>
      <c r="AL108" s="203">
        <f>COUNTIF('242.BQ Phim hợp tác'!$C:$C,'KK1. Movies'!AI108)</f>
        <v/>
      </c>
      <c r="AM108" s="203">
        <f>COUNTIF('TK 15661.Bản quyền phim '!F:F,'KK1. Movies'!AI108)</f>
        <v/>
      </c>
      <c r="AN108" s="546">
        <f>AL108+AM108</f>
        <v/>
      </c>
      <c r="AO108" s="203" t="n"/>
      <c r="AP108" s="203" t="n"/>
      <c r="AQ108" s="203" t="n"/>
      <c r="AR108" s="203" t="n"/>
      <c r="AS108" s="203" t="n"/>
      <c r="AT108" s="546">
        <f>IFERROR(VLOOKUP(C108, CodeRanMovies!$A:$K, 11, 0), "Not found")</f>
        <v/>
      </c>
    </row>
    <row r="109" ht="26.4" customHeight="1" s="578">
      <c r="A109" s="201">
        <f>_xlfn.AGGREGATE(3,3,$D$7:D109)</f>
        <v/>
      </c>
      <c r="B109" s="606" t="inlineStr">
        <is>
          <t>n/a</t>
        </is>
      </c>
      <c r="C109" s="590" t="inlineStr">
        <is>
          <t>MOV_FAN27</t>
        </is>
      </c>
      <c r="D109" s="105" t="inlineStr">
        <is>
          <t>The Journey Of Flower</t>
        </is>
      </c>
      <c r="E109" s="590" t="inlineStr">
        <is>
          <t>Hoa thiên cốt</t>
        </is>
      </c>
      <c r="F109" s="103" t="inlineStr">
        <is>
          <t>Action, Romance, Fantasy</t>
        </is>
      </c>
      <c r="G109" s="103" t="inlineStr">
        <is>
          <t>STK</t>
        </is>
      </c>
      <c r="H109" s="590" t="inlineStr">
        <is>
          <t>134/2024/HDBQ/VSTV-STK</t>
        </is>
      </c>
      <c r="I109" s="104" t="n">
        <v>2024</v>
      </c>
      <c r="J109" s="104" t="inlineStr">
        <is>
          <t>China</t>
        </is>
      </c>
      <c r="K109" s="104" t="n">
        <v>84</v>
      </c>
      <c r="L109" s="591" t="n">
        <v>45779</v>
      </c>
      <c r="M109" s="98" t="n">
        <v>46874</v>
      </c>
      <c r="N109" s="601" t="inlineStr">
        <is>
          <t>n/a</t>
        </is>
      </c>
      <c r="O109" s="592" t="n"/>
      <c r="P109" s="104" t="n">
        <v>12</v>
      </c>
      <c r="Q109" s="104" t="inlineStr">
        <is>
          <t>No</t>
        </is>
      </c>
      <c r="R109" s="592" t="inlineStr">
        <is>
          <t>Yes</t>
        </is>
      </c>
      <c r="S109" s="107" t="inlineStr">
        <is>
          <t>Yes</t>
        </is>
      </c>
      <c r="T109" s="592" t="inlineStr">
        <is>
          <t>Yes</t>
        </is>
      </c>
      <c r="U109" s="107" t="inlineStr">
        <is>
          <t>Yes</t>
        </is>
      </c>
      <c r="V109" s="107" t="inlineStr">
        <is>
          <t>Yes</t>
        </is>
      </c>
      <c r="W109" s="107" t="inlineStr">
        <is>
          <t>Yes</t>
        </is>
      </c>
      <c r="X109" s="107" t="inlineStr">
        <is>
          <t>Yes</t>
        </is>
      </c>
      <c r="Y109" s="104" t="inlineStr">
        <is>
          <t>Yes</t>
        </is>
      </c>
      <c r="Z109" s="113" t="n">
        <v>45779</v>
      </c>
      <c r="AA109" s="236" t="n">
        <v>46874</v>
      </c>
      <c r="AB109" s="104" t="n">
        <v>24</v>
      </c>
      <c r="AC109" s="202" t="n">
        <v>3</v>
      </c>
      <c r="AD109" s="592" t="inlineStr">
        <is>
          <t>Yes</t>
        </is>
      </c>
      <c r="AE109" s="592" t="inlineStr">
        <is>
          <t>Yes</t>
        </is>
      </c>
      <c r="AF109" s="600" t="n"/>
      <c r="AG109" s="593" t="inlineStr">
        <is>
          <t>Phim còn hạn từ 2026</t>
        </is>
      </c>
      <c r="AH109" s="594" t="inlineStr">
        <is>
          <t>MOV_FAN27</t>
        </is>
      </c>
      <c r="AI109" s="206" t="inlineStr">
        <is>
          <t>The Journey Of Flower</t>
        </is>
      </c>
      <c r="AJ109" s="128">
        <f>SUMIF('TK 15661.Bản quyền phim '!F:F,'KK1. Movies'!D109,'TK 15661.Bản quyền phim '!X:X)</f>
        <v/>
      </c>
      <c r="AK109" s="128">
        <f>SUMIF('TK 15661.Bản quyền phim '!F:F,'KK1. Movies'!AI109,'TK 15661.Bản quyền phim '!X:X)</f>
        <v/>
      </c>
      <c r="AL109" s="203">
        <f>COUNTIF('242.BQ Phim hợp tác'!$C:$C,'KK1. Movies'!AI109)</f>
        <v/>
      </c>
      <c r="AM109" s="203">
        <f>COUNTIF('TK 15661.Bản quyền phim '!F:F,'KK1. Movies'!AI109)</f>
        <v/>
      </c>
      <c r="AN109" s="546">
        <f>AL109+AM109</f>
        <v/>
      </c>
      <c r="AO109" s="203" t="n"/>
      <c r="AP109" s="203" t="n"/>
      <c r="AQ109" s="203" t="n"/>
      <c r="AR109" s="203" t="n"/>
      <c r="AS109" s="203" t="n"/>
      <c r="AT109" s="546">
        <f>IFERROR(VLOOKUP(C109, CodeRanMovies!$A:$K, 11, 0), "Not found")</f>
        <v/>
      </c>
    </row>
    <row r="110">
      <c r="A110" s="201">
        <f>_xlfn.AGGREGATE(3,3,$D$7:D110)</f>
        <v/>
      </c>
      <c r="B110" s="590" t="inlineStr">
        <is>
          <t>16+</t>
        </is>
      </c>
      <c r="C110" s="590" t="inlineStr">
        <is>
          <t>MOV_COM_21__2662692</t>
        </is>
      </c>
      <c r="D110" s="590" t="inlineStr">
        <is>
          <t>Mother Gamer</t>
        </is>
      </c>
      <c r="E110" s="590" t="inlineStr">
        <is>
          <t xml:space="preserve">	Mẹ tôi gánh đội</t>
        </is>
      </c>
      <c r="F110" s="590" t="inlineStr">
        <is>
          <t>Action, Adventure</t>
        </is>
      </c>
      <c r="G110" s="590" t="inlineStr">
        <is>
          <t>Skyline Media</t>
        </is>
      </c>
      <c r="H110" s="590" t="inlineStr">
        <is>
          <t>1/2022/HDBQ/VSTV-SM</t>
        </is>
      </c>
      <c r="I110" s="204" t="n">
        <v>2020</v>
      </c>
      <c r="J110" s="600" t="inlineStr">
        <is>
          <t>Thailand</t>
        </is>
      </c>
      <c r="K110" s="204" t="n">
        <v>118</v>
      </c>
      <c r="L110" s="98" t="n">
        <v>44567</v>
      </c>
      <c r="M110" s="602" t="n">
        <v>46028</v>
      </c>
      <c r="N110" s="603" t="n">
        <v>44567</v>
      </c>
      <c r="O110" s="592" t="inlineStr">
        <is>
          <t>K+CINE</t>
        </is>
      </c>
      <c r="P110" s="102" t="inlineStr">
        <is>
          <t xml:space="preserve">Exclusive All Pay TV Rights for the first 12 months of LP.
Non exclusive SVOD Right during LP </t>
        </is>
      </c>
      <c r="Q110" s="600" t="inlineStr">
        <is>
          <t>No</t>
        </is>
      </c>
      <c r="R110" s="592" t="inlineStr">
        <is>
          <t>Yes</t>
        </is>
      </c>
      <c r="S110" s="592" t="inlineStr">
        <is>
          <t>Yes</t>
        </is>
      </c>
      <c r="T110" s="592" t="inlineStr">
        <is>
          <t>Yes</t>
        </is>
      </c>
      <c r="U110" s="592" t="inlineStr">
        <is>
          <t>Yes</t>
        </is>
      </c>
      <c r="V110" s="592" t="inlineStr">
        <is>
          <t>Yes</t>
        </is>
      </c>
      <c r="W110" s="592" t="inlineStr">
        <is>
          <t>Yes</t>
        </is>
      </c>
      <c r="X110" s="592" t="inlineStr">
        <is>
          <t>Yes</t>
        </is>
      </c>
      <c r="Y110" s="592" t="inlineStr">
        <is>
          <t>Yes</t>
        </is>
      </c>
      <c r="Z110" s="98" t="n">
        <v>44567</v>
      </c>
      <c r="AA110" s="602" t="n">
        <v>46028</v>
      </c>
      <c r="AB110" s="96" t="inlineStr">
        <is>
          <t>unlimited</t>
        </is>
      </c>
      <c r="AC110" s="202" t="n">
        <v>38</v>
      </c>
      <c r="AD110" s="592" t="inlineStr">
        <is>
          <t>Yes</t>
        </is>
      </c>
      <c r="AE110" s="592" t="inlineStr">
        <is>
          <t>Yes</t>
        </is>
      </c>
      <c r="AF110" s="600" t="n"/>
      <c r="AG110" s="593" t="inlineStr">
        <is>
          <t>Phim còn hạn từ 2026</t>
        </is>
      </c>
      <c r="AH110" s="594" t="inlineStr">
        <is>
          <t>MOV_COM_21__2662692</t>
        </is>
      </c>
      <c r="AI110" s="599" t="inlineStr">
        <is>
          <t>Mother Gamer</t>
        </is>
      </c>
      <c r="AJ110" s="128">
        <f>SUMIF('TK 15661.Bản quyền phim '!F:F,'KK1. Movies'!D110,'TK 15661.Bản quyền phim '!X:X)</f>
        <v/>
      </c>
      <c r="AK110" s="128">
        <f>SUMIF('TK 15661.Bản quyền phim '!F:F,'KK1. Movies'!AI110,'TK 15661.Bản quyền phim '!X:X)</f>
        <v/>
      </c>
      <c r="AL110" s="203">
        <f>COUNTIF('242.BQ Phim hợp tác'!$C:$C,'KK1. Movies'!AI110)</f>
        <v/>
      </c>
      <c r="AM110" s="203">
        <f>COUNTIF('TK 15661.Bản quyền phim '!F:F,'KK1. Movies'!AI110)</f>
        <v/>
      </c>
      <c r="AN110" s="546">
        <f>AL110+AM110</f>
        <v/>
      </c>
      <c r="AO110" s="203" t="n"/>
      <c r="AP110" s="203" t="n"/>
      <c r="AQ110" s="203" t="n"/>
      <c r="AR110" s="203" t="n"/>
      <c r="AS110" s="203" t="n"/>
      <c r="AT110" s="546">
        <f>IFERROR(VLOOKUP(C110, CodeRanMovies!$A:$K, 11, 0), "Not found")</f>
        <v/>
      </c>
    </row>
    <row r="111">
      <c r="A111" s="201">
        <f>_xlfn.AGGREGATE(3,3,$D$7:D111)</f>
        <v/>
      </c>
      <c r="B111" s="589" t="inlineStr">
        <is>
          <t>P</t>
        </is>
      </c>
      <c r="C111" s="590" t="inlineStr">
        <is>
          <t>MOV_SCI_23__2709731</t>
        </is>
      </c>
      <c r="D111" s="105" t="inlineStr">
        <is>
          <t>Moonfall</t>
        </is>
      </c>
      <c r="E111" s="97" t="inlineStr">
        <is>
          <t>Trăng rơi</t>
        </is>
      </c>
      <c r="F111" s="590" t="inlineStr">
        <is>
          <t>Action, Adventure</t>
        </is>
      </c>
      <c r="G111" s="108" t="inlineStr">
        <is>
          <t>Rose media</t>
        </is>
      </c>
      <c r="H111" s="590" t="inlineStr">
        <is>
          <t>5/2022/HDBQ/VSTV-RM</t>
        </is>
      </c>
      <c r="I111" s="104" t="n">
        <v>2022</v>
      </c>
      <c r="J111" s="104" t="inlineStr">
        <is>
          <t>US</t>
        </is>
      </c>
      <c r="K111" s="104" t="n">
        <v>130</v>
      </c>
      <c r="L111" s="98" t="n">
        <v>45310</v>
      </c>
      <c r="M111" s="98" t="n">
        <v>46405</v>
      </c>
      <c r="N111" s="601" t="n">
        <v>45540</v>
      </c>
      <c r="O111" s="592" t="inlineStr">
        <is>
          <t>K+CINE</t>
        </is>
      </c>
      <c r="P111" s="592" t="n"/>
      <c r="Q111" s="104" t="inlineStr">
        <is>
          <t>No</t>
        </is>
      </c>
      <c r="R111" s="592" t="inlineStr">
        <is>
          <t>Yes</t>
        </is>
      </c>
      <c r="S111" s="592" t="inlineStr">
        <is>
          <t>Yes</t>
        </is>
      </c>
      <c r="T111" s="592" t="inlineStr">
        <is>
          <t>Yes</t>
        </is>
      </c>
      <c r="U111" s="592" t="inlineStr">
        <is>
          <t>Yes</t>
        </is>
      </c>
      <c r="V111" s="592" t="inlineStr">
        <is>
          <t>Yes</t>
        </is>
      </c>
      <c r="W111" s="592" t="inlineStr">
        <is>
          <t>Yes</t>
        </is>
      </c>
      <c r="X111" s="592" t="inlineStr">
        <is>
          <t>Yes</t>
        </is>
      </c>
      <c r="Y111" s="107" t="inlineStr">
        <is>
          <t>No</t>
        </is>
      </c>
      <c r="Z111" s="98" t="n">
        <v>45310</v>
      </c>
      <c r="AA111" s="98" t="n">
        <v>46405</v>
      </c>
      <c r="AB111" s="104" t="n">
        <v>24</v>
      </c>
      <c r="AC111" s="202" t="n">
        <v>12</v>
      </c>
      <c r="AD111" s="592" t="inlineStr">
        <is>
          <t>Yes</t>
        </is>
      </c>
      <c r="AE111" s="592" t="inlineStr">
        <is>
          <t>Yes</t>
        </is>
      </c>
      <c r="AF111" s="600" t="n"/>
      <c r="AG111" s="593" t="inlineStr">
        <is>
          <t>Phim còn hạn từ 2026</t>
        </is>
      </c>
      <c r="AH111" s="594" t="inlineStr">
        <is>
          <t>MOV_SCI_23__2709731</t>
        </is>
      </c>
      <c r="AI111" s="206" t="inlineStr">
        <is>
          <t>Moonfall</t>
        </is>
      </c>
      <c r="AJ111" s="128">
        <f>SUMIF('TK 15661.Bản quyền phim '!F:F,'KK1. Movies'!D111,'TK 15661.Bản quyền phim '!X:X)</f>
        <v/>
      </c>
      <c r="AK111" s="128">
        <f>SUMIF('TK 15661.Bản quyền phim '!F:F,'KK1. Movies'!AI111,'TK 15661.Bản quyền phim '!X:X)</f>
        <v/>
      </c>
      <c r="AL111" s="203">
        <f>COUNTIF('242.BQ Phim hợp tác'!$C:$C,'KK1. Movies'!AI111)</f>
        <v/>
      </c>
      <c r="AM111" s="203">
        <f>COUNTIF('TK 15661.Bản quyền phim '!F:F,'KK1. Movies'!AI111)</f>
        <v/>
      </c>
      <c r="AN111" s="546">
        <f>AL111+AM111</f>
        <v/>
      </c>
      <c r="AO111" s="203" t="n"/>
      <c r="AP111" s="203" t="n"/>
      <c r="AQ111" s="203" t="n"/>
      <c r="AR111" s="203" t="n"/>
      <c r="AS111" s="203" t="n"/>
      <c r="AT111" s="546">
        <f>IFERROR(VLOOKUP(C111, CodeRanMovies!$A:$K, 11, 0), "Not found")</f>
        <v/>
      </c>
    </row>
    <row r="112" ht="26.4" customHeight="1" s="578">
      <c r="A112" s="201">
        <f>_xlfn.AGGREGATE(3,3,$D$7:D112)</f>
        <v/>
      </c>
      <c r="B112" s="589" t="inlineStr">
        <is>
          <t>13+</t>
        </is>
      </c>
      <c r="C112" s="590" t="inlineStr">
        <is>
          <t>MOV_DRA_23__2697131</t>
        </is>
      </c>
      <c r="D112" s="596" t="inlineStr">
        <is>
          <t>Wonder Wheel</t>
        </is>
      </c>
      <c r="E112" s="590" t="inlineStr">
        <is>
          <t>Vòng xoay cám dỗ</t>
        </is>
      </c>
      <c r="F112" s="589" t="inlineStr">
        <is>
          <t>Drama</t>
        </is>
      </c>
      <c r="G112" s="589" t="inlineStr">
        <is>
          <t>Roses Media</t>
        </is>
      </c>
      <c r="H112" s="590" t="inlineStr">
        <is>
          <t>140/2022/HDBQ/VSTV-RM</t>
        </is>
      </c>
      <c r="I112" s="204" t="n">
        <v>2017</v>
      </c>
      <c r="J112" s="592" t="inlineStr">
        <is>
          <t>US</t>
        </is>
      </c>
      <c r="K112" s="204" t="n">
        <v>101</v>
      </c>
      <c r="L112" s="98" t="n">
        <v>45239</v>
      </c>
      <c r="M112" s="98" t="n">
        <v>46334</v>
      </c>
      <c r="N112" s="597" t="n">
        <v>45239</v>
      </c>
      <c r="O112" s="598" t="inlineStr">
        <is>
          <t>K+CINE</t>
        </is>
      </c>
      <c r="P112" s="592" t="inlineStr">
        <is>
          <t xml:space="preserve">Exclusive All Pay TV Rights for first 12 months.
Non exclusive All VOD during LP 
</t>
        </is>
      </c>
      <c r="Q112" s="592" t="inlineStr">
        <is>
          <t>No</t>
        </is>
      </c>
      <c r="R112" s="592" t="inlineStr">
        <is>
          <t>Yes</t>
        </is>
      </c>
      <c r="S112" s="592" t="inlineStr">
        <is>
          <t>No</t>
        </is>
      </c>
      <c r="T112" s="592" t="inlineStr">
        <is>
          <t>Yes</t>
        </is>
      </c>
      <c r="U112" s="592" t="inlineStr">
        <is>
          <t>Yes</t>
        </is>
      </c>
      <c r="V112" s="592" t="inlineStr">
        <is>
          <t>Yes</t>
        </is>
      </c>
      <c r="W112" s="592" t="inlineStr">
        <is>
          <t>Yes</t>
        </is>
      </c>
      <c r="X112" s="592" t="inlineStr">
        <is>
          <t>Yes</t>
        </is>
      </c>
      <c r="Y112" s="592" t="inlineStr">
        <is>
          <t>No</t>
        </is>
      </c>
      <c r="Z112" s="98" t="n">
        <v>45239</v>
      </c>
      <c r="AA112" s="98" t="n">
        <v>46334</v>
      </c>
      <c r="AB112" s="202" t="n">
        <v>24</v>
      </c>
      <c r="AC112" s="202" t="n">
        <v>15</v>
      </c>
      <c r="AD112" s="592" t="inlineStr">
        <is>
          <t>Yes</t>
        </is>
      </c>
      <c r="AE112" s="592" t="inlineStr">
        <is>
          <t>Yes</t>
        </is>
      </c>
      <c r="AF112" s="600" t="n"/>
      <c r="AG112" s="593" t="inlineStr">
        <is>
          <t>Phim còn hạn từ 2026</t>
        </is>
      </c>
      <c r="AH112" s="594" t="inlineStr">
        <is>
          <t>MOV_DRA_23__2697131</t>
        </is>
      </c>
      <c r="AI112" s="599" t="inlineStr">
        <is>
          <t>Wonder Wheel</t>
        </is>
      </c>
      <c r="AJ112" s="128">
        <f>SUMIF('TK 15661.Bản quyền phim '!F:F,'KK1. Movies'!D112,'TK 15661.Bản quyền phim '!X:X)</f>
        <v/>
      </c>
      <c r="AK112" s="128">
        <f>SUMIF('TK 15661.Bản quyền phim '!F:F,'KK1. Movies'!AI112,'TK 15661.Bản quyền phim '!X:X)</f>
        <v/>
      </c>
      <c r="AL112" s="203">
        <f>COUNTIF('242.BQ Phim hợp tác'!$C:$C,'KK1. Movies'!AI112)</f>
        <v/>
      </c>
      <c r="AM112" s="203">
        <f>COUNTIF('TK 15661.Bản quyền phim '!F:F,'KK1. Movies'!AI112)</f>
        <v/>
      </c>
      <c r="AN112" s="546">
        <f>AL112+AM112</f>
        <v/>
      </c>
      <c r="AO112" s="203" t="n"/>
      <c r="AP112" s="203" t="n"/>
      <c r="AQ112" s="203" t="n"/>
      <c r="AR112" s="203" t="n"/>
      <c r="AS112" s="203" t="n"/>
      <c r="AT112" s="546">
        <f>IFERROR(VLOOKUP(C112, CodeRanMovies!$A:$K, 11, 0), "Not found")</f>
        <v/>
      </c>
    </row>
    <row r="113" ht="26.4" customHeight="1" s="578">
      <c r="A113" s="201">
        <f>_xlfn.AGGREGATE(3,3,$D$7:D113)</f>
        <v/>
      </c>
      <c r="B113" s="589" t="inlineStr">
        <is>
          <t>P</t>
        </is>
      </c>
      <c r="C113" s="234" t="inlineStr">
        <is>
          <t>MOV_ANI82</t>
        </is>
      </c>
      <c r="D113" s="105" t="inlineStr">
        <is>
          <t>CROODS: A NEW AGE, THE</t>
        </is>
      </c>
      <c r="E113" s="97" t="inlineStr">
        <is>
          <t>Gia đình Crood: Kỷ nguyên mới</t>
        </is>
      </c>
      <c r="F113" s="103" t="inlineStr">
        <is>
          <t>animation</t>
        </is>
      </c>
      <c r="G113" s="103" t="inlineStr">
        <is>
          <t>NBC Universal</t>
        </is>
      </c>
      <c r="H113" s="108" t="inlineStr">
        <is>
          <t>5051370-3/166015-3</t>
        </is>
      </c>
      <c r="I113" s="104" t="n">
        <v>2020</v>
      </c>
      <c r="J113" s="104" t="inlineStr">
        <is>
          <t>US</t>
        </is>
      </c>
      <c r="K113" s="104" t="n">
        <v>95</v>
      </c>
      <c r="L113" s="591" t="n">
        <v>45685</v>
      </c>
      <c r="M113" s="98" t="n">
        <v>46414</v>
      </c>
      <c r="N113" s="591" t="n">
        <v>45685</v>
      </c>
      <c r="O113" s="592" t="n"/>
      <c r="P113" s="104" t="n"/>
      <c r="Q113" s="107" t="inlineStr">
        <is>
          <t>No</t>
        </is>
      </c>
      <c r="R113" s="592" t="inlineStr">
        <is>
          <t>Yes</t>
        </is>
      </c>
      <c r="S113" s="107" t="inlineStr">
        <is>
          <t>Yes</t>
        </is>
      </c>
      <c r="T113" s="107" t="inlineStr">
        <is>
          <t>Yes</t>
        </is>
      </c>
      <c r="U113" s="104" t="inlineStr">
        <is>
          <t>No</t>
        </is>
      </c>
      <c r="V113" s="104" t="inlineStr">
        <is>
          <t>No</t>
        </is>
      </c>
      <c r="W113" s="104" t="inlineStr">
        <is>
          <t>No</t>
        </is>
      </c>
      <c r="X113" s="107" t="inlineStr">
        <is>
          <t>Yes</t>
        </is>
      </c>
      <c r="Y113" s="104" t="inlineStr">
        <is>
          <t>No</t>
        </is>
      </c>
      <c r="Z113" s="109" t="n">
        <v>45685</v>
      </c>
      <c r="AA113" s="124" t="n">
        <v>46414</v>
      </c>
      <c r="AB113" s="104" t="n">
        <v>6</v>
      </c>
      <c r="AC113" s="202" t="n">
        <v>4</v>
      </c>
      <c r="AD113" s="592" t="inlineStr">
        <is>
          <t>Yes</t>
        </is>
      </c>
      <c r="AE113" s="592" t="inlineStr">
        <is>
          <t>Yes</t>
        </is>
      </c>
      <c r="AF113" s="600" t="n"/>
      <c r="AG113" s="593" t="inlineStr">
        <is>
          <t>Phim còn hạn từ 2026</t>
        </is>
      </c>
      <c r="AH113" s="594" t="n"/>
      <c r="AI113" s="206" t="inlineStr">
        <is>
          <t>CROODS: A NEW AGE, THE</t>
        </is>
      </c>
      <c r="AJ113" s="128">
        <f>SUMIF('TK 15661.Bản quyền phim '!F:F,'KK1. Movies'!D113,'TK 15661.Bản quyền phim '!X:X)</f>
        <v/>
      </c>
      <c r="AK113" s="128">
        <f>SUMIF('TK 15661.Bản quyền phim '!F:F,'KK1. Movies'!AI113,'TK 15661.Bản quyền phim '!X:X)</f>
        <v/>
      </c>
      <c r="AL113" s="203">
        <f>COUNTIF('242.BQ Phim hợp tác'!$C:$C,'KK1. Movies'!AI113)</f>
        <v/>
      </c>
      <c r="AM113" s="203">
        <f>COUNTIF('TK 15661.Bản quyền phim '!F:F,'KK1. Movies'!AI113)</f>
        <v/>
      </c>
      <c r="AN113" s="546">
        <f>AL113+AM113</f>
        <v/>
      </c>
      <c r="AO113" s="203" t="n"/>
      <c r="AP113" s="203" t="n"/>
      <c r="AQ113" s="203" t="n"/>
      <c r="AR113" s="203" t="n"/>
      <c r="AS113" s="203" t="n"/>
      <c r="AT113" s="546">
        <f>IFERROR(VLOOKUP(C113, CodeRanMovies!$A:$K, 11, 0), "Not found")</f>
        <v/>
      </c>
    </row>
    <row r="114" ht="26.4" customHeight="1" s="578">
      <c r="A114" s="201">
        <f>_xlfn.AGGREGATE(3,3,$D$7:D114)</f>
        <v/>
      </c>
      <c r="B114" s="606" t="inlineStr">
        <is>
          <t>n/a</t>
        </is>
      </c>
      <c r="C114" s="590" t="inlineStr">
        <is>
          <t>MOV_THR165</t>
        </is>
      </c>
      <c r="D114" s="105" t="inlineStr">
        <is>
          <t>KNOCK KNOCK</t>
        </is>
      </c>
      <c r="E114" s="105" t="inlineStr">
        <is>
          <t>Vị Khách Không Mời</t>
        </is>
      </c>
      <c r="F114" s="108" t="inlineStr">
        <is>
          <t>Thriller, Mystery, Comedy, Drama</t>
        </is>
      </c>
      <c r="G114" s="108" t="inlineStr">
        <is>
          <t>Skyline Media</t>
        </is>
      </c>
      <c r="H114" s="590" t="inlineStr">
        <is>
          <t>36/2025/HDBQ/VSTV-SM</t>
        </is>
      </c>
      <c r="I114" s="107" t="n">
        <v>2021</v>
      </c>
      <c r="J114" s="107" t="inlineStr">
        <is>
          <t>China</t>
        </is>
      </c>
      <c r="K114" s="107" t="n">
        <v>107</v>
      </c>
      <c r="L114" s="591" t="n">
        <v>45715</v>
      </c>
      <c r="M114" s="98" t="n">
        <v>46809</v>
      </c>
      <c r="N114" s="601" t="inlineStr">
        <is>
          <t>n/a</t>
        </is>
      </c>
      <c r="O114" s="592" t="n"/>
      <c r="P114" s="104" t="n">
        <v>12</v>
      </c>
      <c r="Q114" s="107" t="inlineStr">
        <is>
          <t>No</t>
        </is>
      </c>
      <c r="R114" s="592" t="inlineStr">
        <is>
          <t>Yes</t>
        </is>
      </c>
      <c r="S114" s="104" t="inlineStr">
        <is>
          <t>Yes</t>
        </is>
      </c>
      <c r="T114" s="592" t="inlineStr">
        <is>
          <t>Yes</t>
        </is>
      </c>
      <c r="U114" s="104" t="inlineStr">
        <is>
          <t>Yes</t>
        </is>
      </c>
      <c r="V114" s="104" t="inlineStr">
        <is>
          <t>Yes</t>
        </is>
      </c>
      <c r="W114" s="104" t="inlineStr">
        <is>
          <t>Yes</t>
        </is>
      </c>
      <c r="X114" s="104" t="inlineStr">
        <is>
          <t>Yes</t>
        </is>
      </c>
      <c r="Y114" s="104" t="inlineStr">
        <is>
          <t>No</t>
        </is>
      </c>
      <c r="Z114" s="109" t="n">
        <v>45715</v>
      </c>
      <c r="AA114" s="125" t="n">
        <v>46809</v>
      </c>
      <c r="AB114" s="107" t="n">
        <v>24</v>
      </c>
      <c r="AC114" s="202" t="n">
        <v>7</v>
      </c>
      <c r="AD114" s="592" t="inlineStr">
        <is>
          <t>Yes</t>
        </is>
      </c>
      <c r="AE114" s="592" t="inlineStr">
        <is>
          <t>Yes</t>
        </is>
      </c>
      <c r="AF114" s="600" t="n"/>
      <c r="AG114" s="593" t="inlineStr">
        <is>
          <t>Phim còn hạn từ 2026</t>
        </is>
      </c>
      <c r="AH114" s="594" t="inlineStr">
        <is>
          <t>MOV_THR165</t>
        </is>
      </c>
      <c r="AI114" s="206" t="inlineStr">
        <is>
          <t>KNOCK KNOCK</t>
        </is>
      </c>
      <c r="AJ114" s="128">
        <f>SUMIF('TK 15661.Bản quyền phim '!F:F,'KK1. Movies'!D114,'TK 15661.Bản quyền phim '!X:X)</f>
        <v/>
      </c>
      <c r="AK114" s="128">
        <f>SUMIF('TK 15661.Bản quyền phim '!F:F,'KK1. Movies'!AI114,'TK 15661.Bản quyền phim '!X:X)</f>
        <v/>
      </c>
      <c r="AL114" s="203">
        <f>COUNTIF('242.BQ Phim hợp tác'!$C:$C,'KK1. Movies'!AI114)</f>
        <v/>
      </c>
      <c r="AM114" s="203">
        <f>COUNTIF('TK 15661.Bản quyền phim '!F:F,'KK1. Movies'!AI114)</f>
        <v/>
      </c>
      <c r="AN114" s="546">
        <f>AL114+AM114</f>
        <v/>
      </c>
      <c r="AO114" s="203" t="n"/>
      <c r="AP114" s="203" t="n"/>
      <c r="AQ114" s="203" t="n"/>
      <c r="AR114" s="203" t="n"/>
      <c r="AS114" s="203" t="n"/>
      <c r="AT114" s="546">
        <f>IFERROR(VLOOKUP(C114, CodeRanMovies!$A:$K, 11, 0), "Not found")</f>
        <v/>
      </c>
    </row>
    <row r="115" ht="39.6" customHeight="1" s="578">
      <c r="A115" s="201">
        <f>_xlfn.AGGREGATE(3,3,$D$7:D115)</f>
        <v/>
      </c>
      <c r="B115" s="589" t="inlineStr">
        <is>
          <t>16+</t>
        </is>
      </c>
      <c r="C115" s="590" t="inlineStr">
        <is>
          <t>MOV_COM_23__2694713</t>
        </is>
      </c>
      <c r="D115" s="596" t="inlineStr">
        <is>
          <t>BARB AND STAR GO TO VISTA DEL MAR</t>
        </is>
      </c>
      <c r="E115" s="590" t="inlineStr">
        <is>
          <t>Barb và Star hội hè hồi xuân</t>
        </is>
      </c>
      <c r="F115" s="590" t="inlineStr">
        <is>
          <t>Comedy</t>
        </is>
      </c>
      <c r="G115" s="589" t="inlineStr">
        <is>
          <t>CJ HK</t>
        </is>
      </c>
      <c r="H115" s="590" t="inlineStr">
        <is>
          <t>135/2022/HDBQ/VSTV-CJHK</t>
        </is>
      </c>
      <c r="I115" s="204" t="n">
        <v>2021</v>
      </c>
      <c r="J115" s="600" t="inlineStr">
        <is>
          <t>US</t>
        </is>
      </c>
      <c r="K115" s="204" t="n">
        <v>107</v>
      </c>
      <c r="L115" s="98" t="n">
        <v>45183</v>
      </c>
      <c r="M115" s="101" t="n">
        <v>46278</v>
      </c>
      <c r="N115" s="597" t="n">
        <v>45183</v>
      </c>
      <c r="O115" s="598" t="inlineStr">
        <is>
          <t>K+CINE</t>
        </is>
      </c>
      <c r="P115" s="96" t="n">
        <v>12</v>
      </c>
      <c r="Q115" s="592" t="inlineStr">
        <is>
          <t>No</t>
        </is>
      </c>
      <c r="R115" s="592" t="inlineStr">
        <is>
          <t>Yes</t>
        </is>
      </c>
      <c r="S115" s="592" t="inlineStr">
        <is>
          <t>Yes</t>
        </is>
      </c>
      <c r="T115" s="592" t="inlineStr">
        <is>
          <t>Yes</t>
        </is>
      </c>
      <c r="U115" s="592" t="inlineStr">
        <is>
          <t>Yes</t>
        </is>
      </c>
      <c r="V115" s="592" t="inlineStr">
        <is>
          <t>Yes</t>
        </is>
      </c>
      <c r="W115" s="592" t="inlineStr">
        <is>
          <t>Yes</t>
        </is>
      </c>
      <c r="X115" s="592" t="inlineStr">
        <is>
          <t>No</t>
        </is>
      </c>
      <c r="Y115" s="592" t="inlineStr">
        <is>
          <t>Yes</t>
        </is>
      </c>
      <c r="Z115" s="98" t="n">
        <v>45183</v>
      </c>
      <c r="AA115" s="101" t="n">
        <v>46278</v>
      </c>
      <c r="AB115" s="96" t="inlineStr">
        <is>
          <t>unlimited</t>
        </is>
      </c>
      <c r="AC115" s="202" t="n">
        <v>18</v>
      </c>
      <c r="AD115" s="592" t="inlineStr">
        <is>
          <t>Yes</t>
        </is>
      </c>
      <c r="AE115" s="592" t="inlineStr">
        <is>
          <t>Yes</t>
        </is>
      </c>
      <c r="AF115" s="600" t="n"/>
      <c r="AG115" s="593" t="inlineStr">
        <is>
          <t>Phim còn hạn từ 2026</t>
        </is>
      </c>
      <c r="AH115" s="594" t="inlineStr">
        <is>
          <t>MOV_COM_23__2694713</t>
        </is>
      </c>
      <c r="AI115" s="206" t="inlineStr">
        <is>
          <t>BARB AND STAR GO TO VISTA DEL MAR (Barb &amp; star: Hội hè hồi xuân)</t>
        </is>
      </c>
      <c r="AJ115" s="128">
        <f>SUMIF('TK 15661.Bản quyền phim '!F:F,'KK1. Movies'!D115,'TK 15661.Bản quyền phim '!X:X)</f>
        <v/>
      </c>
      <c r="AK115" s="128">
        <f>SUMIF('TK 15661.Bản quyền phim '!F:F,'KK1. Movies'!AI115,'TK 15661.Bản quyền phim '!X:X)</f>
        <v/>
      </c>
      <c r="AL115" s="203">
        <f>COUNTIF('242.BQ Phim hợp tác'!$C:$C,'KK1. Movies'!AI115)</f>
        <v/>
      </c>
      <c r="AM115" s="203">
        <f>COUNTIF('TK 15661.Bản quyền phim '!F:F,'KK1. Movies'!AI115)</f>
        <v/>
      </c>
      <c r="AN115" s="546">
        <f>AL115+AM115</f>
        <v/>
      </c>
      <c r="AO115" s="203" t="n"/>
      <c r="AP115" s="203" t="n"/>
      <c r="AQ115" s="203" t="n"/>
      <c r="AR115" s="203" t="n"/>
      <c r="AS115" s="203" t="n"/>
      <c r="AT115" s="546">
        <f>IFERROR(VLOOKUP(C115, CodeRanMovies!$A:$K, 11, 0), "Not found")</f>
        <v/>
      </c>
    </row>
    <row r="116">
      <c r="A116" s="201">
        <f>_xlfn.AGGREGATE(3,3,$D$7:D116)</f>
        <v/>
      </c>
      <c r="B116" s="589" t="inlineStr">
        <is>
          <t>16+</t>
        </is>
      </c>
      <c r="C116" s="590" t="inlineStr">
        <is>
          <t>MOV_ACT_24__2715403</t>
        </is>
      </c>
      <c r="D116" s="105" t="inlineStr">
        <is>
          <t>FAST &amp; FURIOUS 6</t>
        </is>
      </c>
      <c r="E116" s="110" t="inlineStr">
        <is>
          <t>Quá nhanh quá nguy hiểm 6</t>
        </is>
      </c>
      <c r="F116" s="108" t="inlineStr">
        <is>
          <t>action</t>
        </is>
      </c>
      <c r="G116" s="108" t="inlineStr">
        <is>
          <t>NBC Universal</t>
        </is>
      </c>
      <c r="H116" s="108" t="inlineStr">
        <is>
          <t>5049540-2/161434-3</t>
        </is>
      </c>
      <c r="I116" s="104" t="n">
        <v>2013</v>
      </c>
      <c r="J116" s="107" t="inlineStr">
        <is>
          <t>US</t>
        </is>
      </c>
      <c r="K116" s="104" t="n">
        <v>130</v>
      </c>
      <c r="L116" s="98" t="n">
        <v>45443</v>
      </c>
      <c r="M116" s="109" t="n">
        <v>46172</v>
      </c>
      <c r="N116" s="601" t="n">
        <v>45541</v>
      </c>
      <c r="O116" s="592" t="inlineStr">
        <is>
          <t>K+CINE</t>
        </is>
      </c>
      <c r="P116" s="104" t="inlineStr">
        <is>
          <t xml:space="preserve"> </t>
        </is>
      </c>
      <c r="Q116" s="104" t="inlineStr">
        <is>
          <t>No</t>
        </is>
      </c>
      <c r="R116" s="592" t="inlineStr">
        <is>
          <t>Yes</t>
        </is>
      </c>
      <c r="S116" s="104" t="inlineStr">
        <is>
          <t>Yes</t>
        </is>
      </c>
      <c r="T116" s="592" t="inlineStr">
        <is>
          <t>Yes</t>
        </is>
      </c>
      <c r="U116" s="104" t="inlineStr">
        <is>
          <t>No</t>
        </is>
      </c>
      <c r="V116" s="104" t="inlineStr">
        <is>
          <t>No</t>
        </is>
      </c>
      <c r="W116" s="104" t="inlineStr">
        <is>
          <t>No</t>
        </is>
      </c>
      <c r="X116" s="104" t="inlineStr">
        <is>
          <t>No</t>
        </is>
      </c>
      <c r="Y116" s="104" t="inlineStr">
        <is>
          <t>Yes</t>
        </is>
      </c>
      <c r="Z116" s="98" t="n">
        <v>45443</v>
      </c>
      <c r="AA116" s="109" t="n">
        <v>46172</v>
      </c>
      <c r="AB116" s="107" t="n">
        <v>6</v>
      </c>
      <c r="AC116" s="107" t="n">
        <v>4</v>
      </c>
      <c r="AD116" s="592" t="inlineStr">
        <is>
          <t>Yes</t>
        </is>
      </c>
      <c r="AE116" s="592" t="inlineStr">
        <is>
          <t>Yes</t>
        </is>
      </c>
      <c r="AF116" s="600" t="n"/>
      <c r="AG116" s="593" t="inlineStr">
        <is>
          <t>Phim còn hạn từ 2026</t>
        </is>
      </c>
      <c r="AH116" s="594" t="inlineStr">
        <is>
          <t>MOV_ACT_24__2715403</t>
        </is>
      </c>
      <c r="AI116" s="599" t="inlineStr">
        <is>
          <t>FAST &amp; FURIOUS 6</t>
        </is>
      </c>
      <c r="AJ116" s="128">
        <f>SUMIF('TK 15661.Bản quyền phim '!F:F,'KK1. Movies'!D116,'TK 15661.Bản quyền phim '!X:X)</f>
        <v/>
      </c>
      <c r="AK116" s="128">
        <f>SUMIF('TK 15661.Bản quyền phim '!F:F,'KK1. Movies'!AI116,'TK 15661.Bản quyền phim '!X:X)</f>
        <v/>
      </c>
      <c r="AL116" s="203">
        <f>COUNTIF('242.BQ Phim hợp tác'!$C:$C,'KK1. Movies'!AI116)</f>
        <v/>
      </c>
      <c r="AM116" s="203">
        <f>COUNTIF('TK 15661.Bản quyền phim '!F:F,'KK1. Movies'!AI116)</f>
        <v/>
      </c>
      <c r="AN116" s="546">
        <f>AL116+AM116</f>
        <v/>
      </c>
      <c r="AO116" s="203" t="n"/>
      <c r="AP116" s="203" t="n"/>
      <c r="AQ116" s="203" t="n"/>
      <c r="AR116" s="203" t="n"/>
      <c r="AS116" s="203" t="n"/>
      <c r="AT116" s="546">
        <f>IFERROR(VLOOKUP(C116, CodeRanMovies!$A:$K, 11, 0), "Not found")</f>
        <v/>
      </c>
    </row>
    <row r="117" ht="26.4" customHeight="1" s="578">
      <c r="A117" s="201">
        <f>_xlfn.AGGREGATE(3,3,$D$7:D117)</f>
        <v/>
      </c>
      <c r="B117" s="110" t="inlineStr">
        <is>
          <t>16+</t>
        </is>
      </c>
      <c r="C117" s="590" t="inlineStr">
        <is>
          <t>MOV_CRI_22__2686509</t>
        </is>
      </c>
      <c r="D117" s="596" t="inlineStr">
        <is>
          <t>Good Time</t>
        </is>
      </c>
      <c r="E117" s="590" t="inlineStr">
        <is>
          <t>Thời khắc quyết định</t>
        </is>
      </c>
      <c r="F117" s="590" t="inlineStr">
        <is>
          <t>Crime, Thriller</t>
        </is>
      </c>
      <c r="G117" s="604" t="inlineStr">
        <is>
          <t>Skyline Media</t>
        </is>
      </c>
      <c r="H117" s="590" t="inlineStr">
        <is>
          <t>66/2023/HDBQ/VSTV-SM</t>
        </is>
      </c>
      <c r="I117" s="204" t="n">
        <v>2017</v>
      </c>
      <c r="J117" s="600" t="inlineStr">
        <is>
          <t>US</t>
        </is>
      </c>
      <c r="K117" s="204" t="n">
        <v>102</v>
      </c>
      <c r="L117" s="98" t="n">
        <v>45007</v>
      </c>
      <c r="M117" s="591" t="n">
        <v>46102</v>
      </c>
      <c r="N117" s="601" t="n">
        <v>45007</v>
      </c>
      <c r="O117" s="598" t="inlineStr">
        <is>
          <t>K+CINE</t>
        </is>
      </c>
      <c r="P117" s="592" t="inlineStr">
        <is>
          <t>Exclusive All TV Rights the first 12 months of LP
 Non-exclusive with All Catch-up TV Rights; All VOD Rights during LP</t>
        </is>
      </c>
      <c r="Q117" s="600" t="inlineStr">
        <is>
          <t>No</t>
        </is>
      </c>
      <c r="R117" s="592" t="inlineStr">
        <is>
          <t>Yes</t>
        </is>
      </c>
      <c r="S117" s="592" t="inlineStr">
        <is>
          <t>Yes</t>
        </is>
      </c>
      <c r="T117" s="592" t="inlineStr">
        <is>
          <t>Yes</t>
        </is>
      </c>
      <c r="U117" s="592" t="inlineStr">
        <is>
          <t>Yes</t>
        </is>
      </c>
      <c r="V117" s="592" t="inlineStr">
        <is>
          <t>Yes</t>
        </is>
      </c>
      <c r="W117" s="592" t="inlineStr">
        <is>
          <t>Yes</t>
        </is>
      </c>
      <c r="X117" s="592" t="inlineStr">
        <is>
          <t>Yes</t>
        </is>
      </c>
      <c r="Y117" s="592" t="inlineStr">
        <is>
          <t>Yes</t>
        </is>
      </c>
      <c r="Z117" s="98" t="n">
        <v>45007</v>
      </c>
      <c r="AA117" s="591" t="n">
        <v>46102</v>
      </c>
      <c r="AB117" s="96" t="n">
        <v>24</v>
      </c>
      <c r="AC117" s="202" t="n">
        <v>21</v>
      </c>
      <c r="AD117" s="592" t="inlineStr">
        <is>
          <t>Yes</t>
        </is>
      </c>
      <c r="AE117" s="592" t="inlineStr">
        <is>
          <t>Yes</t>
        </is>
      </c>
      <c r="AF117" s="600" t="n"/>
      <c r="AG117" s="593" t="inlineStr">
        <is>
          <t>Phim còn hạn từ 2026</t>
        </is>
      </c>
      <c r="AH117" s="594" t="inlineStr">
        <is>
          <t>MOV_CRI_22__2686509</t>
        </is>
      </c>
      <c r="AI117" s="599" t="inlineStr">
        <is>
          <t>Good Time</t>
        </is>
      </c>
      <c r="AJ117" s="128">
        <f>SUMIF('TK 15661.Bản quyền phim '!F:F,'KK1. Movies'!D117,'TK 15661.Bản quyền phim '!X:X)</f>
        <v/>
      </c>
      <c r="AK117" s="128">
        <f>SUMIF('TK 15661.Bản quyền phim '!F:F,'KK1. Movies'!AI117,'TK 15661.Bản quyền phim '!X:X)</f>
        <v/>
      </c>
      <c r="AL117" s="203">
        <f>COUNTIF('242.BQ Phim hợp tác'!$C:$C,'KK1. Movies'!AI117)</f>
        <v/>
      </c>
      <c r="AM117" s="203">
        <f>COUNTIF('TK 15661.Bản quyền phim '!F:F,'KK1. Movies'!AI117)</f>
        <v/>
      </c>
      <c r="AN117" s="546">
        <f>AL117+AM117</f>
        <v/>
      </c>
      <c r="AO117" s="203" t="n"/>
      <c r="AP117" s="203" t="n"/>
      <c r="AQ117" s="203" t="n"/>
      <c r="AR117" s="203" t="n"/>
      <c r="AS117" s="203" t="n"/>
      <c r="AT117" s="546">
        <f>IFERROR(VLOOKUP(C117, CodeRanMovies!$A:$K, 11, 0), "Not found")</f>
        <v/>
      </c>
    </row>
    <row r="118" ht="52.8" customHeight="1" s="578">
      <c r="A118" s="201">
        <f>_xlfn.AGGREGATE(3,3,$D$7:D118)</f>
        <v/>
      </c>
      <c r="B118" s="589" t="inlineStr">
        <is>
          <t>16+</t>
        </is>
      </c>
      <c r="C118" s="590" t="inlineStr">
        <is>
          <t>MOV_BIO_24__2713780</t>
        </is>
      </c>
      <c r="D118" s="105" t="inlineStr">
        <is>
          <t>BRIAN BANKS</t>
        </is>
      </c>
      <c r="E118" s="110" t="inlineStr">
        <is>
          <t>Ngôi sao sân cỏ</t>
        </is>
      </c>
      <c r="F118" s="590" t="inlineStr">
        <is>
          <t>Drama</t>
        </is>
      </c>
      <c r="G118" s="103" t="inlineStr">
        <is>
          <t>SONY PICTURES</t>
        </is>
      </c>
      <c r="H118" s="590" t="inlineStr">
        <is>
          <t>Sony/K+Vietnam PayBasic SVOD Package Agmt D2D per JK (19-01-2024)</t>
        </is>
      </c>
      <c r="I118" s="104" t="n">
        <v>2019</v>
      </c>
      <c r="J118" s="600" t="inlineStr">
        <is>
          <t>US</t>
        </is>
      </c>
      <c r="K118" s="104" t="n">
        <v>99</v>
      </c>
      <c r="L118" s="98" t="n">
        <v>45382</v>
      </c>
      <c r="M118" s="106" t="n">
        <v>46111</v>
      </c>
      <c r="N118" s="601" t="n">
        <v>45413</v>
      </c>
      <c r="O118" s="592" t="inlineStr">
        <is>
          <t>K+CINE</t>
        </is>
      </c>
      <c r="P118" s="592" t="n"/>
      <c r="Q118" s="104" t="inlineStr">
        <is>
          <t>No</t>
        </is>
      </c>
      <c r="R118" s="592" t="inlineStr">
        <is>
          <t>Yes</t>
        </is>
      </c>
      <c r="S118" s="592" t="inlineStr">
        <is>
          <t>Yes</t>
        </is>
      </c>
      <c r="T118" s="592" t="inlineStr">
        <is>
          <t>Yes</t>
        </is>
      </c>
      <c r="U118" s="104" t="inlineStr">
        <is>
          <t>No</t>
        </is>
      </c>
      <c r="V118" s="104" t="inlineStr">
        <is>
          <t>No</t>
        </is>
      </c>
      <c r="W118" s="104" t="inlineStr">
        <is>
          <t>No</t>
        </is>
      </c>
      <c r="X118" s="104" t="inlineStr">
        <is>
          <t>No</t>
        </is>
      </c>
      <c r="Y118" s="104" t="inlineStr">
        <is>
          <t>No</t>
        </is>
      </c>
      <c r="Z118" s="98" t="n">
        <v>45382</v>
      </c>
      <c r="AA118" s="124" t="n">
        <v>46111</v>
      </c>
      <c r="AB118" s="107" t="n">
        <v>7</v>
      </c>
      <c r="AC118" s="202" t="n">
        <v>4</v>
      </c>
      <c r="AD118" s="592" t="inlineStr">
        <is>
          <t>Yes</t>
        </is>
      </c>
      <c r="AE118" s="592" t="inlineStr">
        <is>
          <t>Yes</t>
        </is>
      </c>
      <c r="AF118" s="600" t="n"/>
      <c r="AG118" s="593" t="inlineStr">
        <is>
          <t>Phim còn hạn từ 2026</t>
        </is>
      </c>
      <c r="AH118" s="594" t="inlineStr">
        <is>
          <t>MOV_BIO_24__2713780</t>
        </is>
      </c>
      <c r="AI118" s="103" t="inlineStr">
        <is>
          <t>BRIAN BANKS</t>
        </is>
      </c>
      <c r="AJ118" s="128">
        <f>SUMIF('TK 15661.Bản quyền phim '!F:F,'KK1. Movies'!D118,'TK 15661.Bản quyền phim '!X:X)</f>
        <v/>
      </c>
      <c r="AK118" s="128">
        <f>SUMIF('TK 15661.Bản quyền phim '!F:F,'KK1. Movies'!AI118,'TK 15661.Bản quyền phim '!X:X)</f>
        <v/>
      </c>
      <c r="AL118" s="203">
        <f>COUNTIF('242.BQ Phim hợp tác'!$C:$C,'KK1. Movies'!AI118)</f>
        <v/>
      </c>
      <c r="AM118" s="203">
        <f>COUNTIF('TK 15661.Bản quyền phim '!F:F,'KK1. Movies'!AI118)</f>
        <v/>
      </c>
      <c r="AN118" s="546">
        <f>AL118+AM118</f>
        <v/>
      </c>
      <c r="AO118" s="203" t="n"/>
      <c r="AP118" s="203" t="n"/>
      <c r="AQ118" s="203" t="n"/>
      <c r="AR118" s="203" t="n"/>
      <c r="AS118" s="203" t="n"/>
      <c r="AT118" s="546">
        <f>IFERROR(VLOOKUP(C118, CodeRanMovies!$A:$K, 11, 0), "Not found")</f>
        <v/>
      </c>
    </row>
    <row r="119">
      <c r="A119" s="201">
        <f>_xlfn.AGGREGATE(3,3,$D$7:D119)</f>
        <v/>
      </c>
      <c r="B119" s="589" t="inlineStr">
        <is>
          <t>16+</t>
        </is>
      </c>
      <c r="C119" s="590" t="inlineStr">
        <is>
          <t>MOV_ROM_21__2662690</t>
        </is>
      </c>
      <c r="D119" s="590" t="inlineStr">
        <is>
          <t>New Year Blues</t>
        </is>
      </c>
      <c r="E119" s="590" t="inlineStr">
        <is>
          <t xml:space="preserve">	Đêm giao thừa</t>
        </is>
      </c>
      <c r="F119" s="589" t="inlineStr">
        <is>
          <t>Romance</t>
        </is>
      </c>
      <c r="G119" s="590" t="inlineStr">
        <is>
          <t>Skyline Media</t>
        </is>
      </c>
      <c r="H119" s="590" t="inlineStr">
        <is>
          <t>1/2022/HDBQ/VSTV-SM</t>
        </is>
      </c>
      <c r="I119" s="204" t="n">
        <v>2021</v>
      </c>
      <c r="J119" s="600" t="inlineStr">
        <is>
          <t>Korea</t>
        </is>
      </c>
      <c r="K119" s="204" t="n">
        <v>114</v>
      </c>
      <c r="L119" s="98" t="n">
        <v>44563</v>
      </c>
      <c r="M119" s="602" t="n">
        <v>46055</v>
      </c>
      <c r="N119" s="603" t="n">
        <v>44563</v>
      </c>
      <c r="O119" s="592" t="inlineStr">
        <is>
          <t>K+CINE</t>
        </is>
      </c>
      <c r="P119" s="102" t="inlineStr">
        <is>
          <t xml:space="preserve">Exclusive All Pay TV Rights for the first 12 months of LP.
Non exclusive SVOD Right during LP </t>
        </is>
      </c>
      <c r="Q119" s="600" t="inlineStr">
        <is>
          <t>No</t>
        </is>
      </c>
      <c r="R119" s="592" t="inlineStr">
        <is>
          <t>Yes</t>
        </is>
      </c>
      <c r="S119" s="592" t="inlineStr">
        <is>
          <t>Yes</t>
        </is>
      </c>
      <c r="T119" s="592" t="inlineStr">
        <is>
          <t>Yes</t>
        </is>
      </c>
      <c r="U119" s="592" t="inlineStr">
        <is>
          <t>Yes</t>
        </is>
      </c>
      <c r="V119" s="592" t="inlineStr">
        <is>
          <t>Yes</t>
        </is>
      </c>
      <c r="W119" s="592" t="inlineStr">
        <is>
          <t>Yes</t>
        </is>
      </c>
      <c r="X119" s="592" t="inlineStr">
        <is>
          <t>Yes</t>
        </is>
      </c>
      <c r="Y119" s="592" t="inlineStr">
        <is>
          <t>Yes</t>
        </is>
      </c>
      <c r="Z119" s="98" t="n">
        <v>44563</v>
      </c>
      <c r="AA119" s="602" t="n">
        <v>46055</v>
      </c>
      <c r="AB119" s="96" t="inlineStr">
        <is>
          <t>unlimited</t>
        </is>
      </c>
      <c r="AC119" s="202" t="n">
        <v>26</v>
      </c>
      <c r="AD119" s="592" t="inlineStr">
        <is>
          <t>Yes</t>
        </is>
      </c>
      <c r="AE119" s="592" t="inlineStr">
        <is>
          <t>Yes</t>
        </is>
      </c>
      <c r="AF119" s="600" t="n"/>
      <c r="AG119" s="593" t="inlineStr">
        <is>
          <t>Phim còn hạn từ 2026</t>
        </is>
      </c>
      <c r="AH119" s="594" t="n"/>
      <c r="AI119" s="599" t="inlineStr">
        <is>
          <t>New Year Blues</t>
        </is>
      </c>
      <c r="AJ119" s="128">
        <f>SUMIF('TK 15661.Bản quyền phim '!F:F,'KK1. Movies'!D119,'TK 15661.Bản quyền phim '!X:X)</f>
        <v/>
      </c>
      <c r="AK119" s="128">
        <f>SUMIF('TK 15661.Bản quyền phim '!F:F,'KK1. Movies'!AI119,'TK 15661.Bản quyền phim '!X:X)</f>
        <v/>
      </c>
      <c r="AL119" s="203">
        <f>COUNTIF('242.BQ Phim hợp tác'!$C:$C,'KK1. Movies'!AI119)</f>
        <v/>
      </c>
      <c r="AM119" s="203">
        <f>COUNTIF('TK 15661.Bản quyền phim '!F:F,'KK1. Movies'!AI119)</f>
        <v/>
      </c>
      <c r="AN119" s="546">
        <f>AL119+AM119</f>
        <v/>
      </c>
      <c r="AO119" s="203" t="n"/>
      <c r="AP119" s="203" t="n"/>
      <c r="AQ119" s="203" t="n"/>
      <c r="AR119" s="203" t="n"/>
      <c r="AS119" s="203" t="n"/>
      <c r="AT119" s="546">
        <f>IFERROR(VLOOKUP(C119, CodeRanMovies!$A:$K, 11, 0), "Not found")</f>
        <v/>
      </c>
    </row>
    <row r="120" ht="26.4" customHeight="1" s="578">
      <c r="A120" s="201">
        <f>_xlfn.AGGREGATE(3,3,$D$7:D120)</f>
        <v/>
      </c>
      <c r="B120" s="606" t="inlineStr">
        <is>
          <t>n/a</t>
        </is>
      </c>
      <c r="C120" s="590" t="inlineStr">
        <is>
          <t>MOV_DRA749</t>
        </is>
      </c>
      <c r="D120" s="105" t="inlineStr">
        <is>
          <t>So Long For Love</t>
        </is>
      </c>
      <c r="E120" s="590" t="inlineStr">
        <is>
          <t>Tạm biệt, Lý Khả Lạc</t>
        </is>
      </c>
      <c r="F120" s="103" t="inlineStr">
        <is>
          <t>Drana</t>
        </is>
      </c>
      <c r="G120" s="103" t="inlineStr">
        <is>
          <t>STK</t>
        </is>
      </c>
      <c r="H120" s="590" t="inlineStr">
        <is>
          <t>134/2024/HDBQ/VSTV-STK</t>
        </is>
      </c>
      <c r="I120" s="104" t="n">
        <v>2023</v>
      </c>
      <c r="J120" s="104" t="inlineStr">
        <is>
          <t>China</t>
        </is>
      </c>
      <c r="K120" s="104" t="n">
        <v>105</v>
      </c>
      <c r="L120" s="591" t="n">
        <v>45784</v>
      </c>
      <c r="M120" s="98" t="n">
        <v>46879</v>
      </c>
      <c r="N120" s="601" t="inlineStr">
        <is>
          <t>n/a</t>
        </is>
      </c>
      <c r="O120" s="592" t="n"/>
      <c r="P120" s="104" t="n">
        <v>12</v>
      </c>
      <c r="Q120" s="104" t="inlineStr">
        <is>
          <t>No</t>
        </is>
      </c>
      <c r="R120" s="592" t="inlineStr">
        <is>
          <t>Yes</t>
        </is>
      </c>
      <c r="S120" s="107" t="inlineStr">
        <is>
          <t>Yes</t>
        </is>
      </c>
      <c r="T120" s="592" t="inlineStr">
        <is>
          <t>Yes</t>
        </is>
      </c>
      <c r="U120" s="107" t="inlineStr">
        <is>
          <t>Yes</t>
        </is>
      </c>
      <c r="V120" s="107" t="inlineStr">
        <is>
          <t>Yes</t>
        </is>
      </c>
      <c r="W120" s="107" t="inlineStr">
        <is>
          <t>Yes</t>
        </is>
      </c>
      <c r="X120" s="107" t="inlineStr">
        <is>
          <t>Yes</t>
        </is>
      </c>
      <c r="Y120" s="104" t="inlineStr">
        <is>
          <t>Yes</t>
        </is>
      </c>
      <c r="Z120" s="113" t="n">
        <v>45784</v>
      </c>
      <c r="AA120" s="236" t="n">
        <v>46879</v>
      </c>
      <c r="AB120" s="104" t="n">
        <v>24</v>
      </c>
      <c r="AC120" s="202" t="n">
        <v>3</v>
      </c>
      <c r="AD120" s="592" t="inlineStr">
        <is>
          <t>Yes</t>
        </is>
      </c>
      <c r="AE120" s="592" t="inlineStr">
        <is>
          <t>Yes</t>
        </is>
      </c>
      <c r="AF120" s="600" t="n"/>
      <c r="AG120" s="593" t="inlineStr">
        <is>
          <t>Phim còn hạn từ 2026</t>
        </is>
      </c>
      <c r="AH120" s="594" t="inlineStr">
        <is>
          <t>MOV_DRA749</t>
        </is>
      </c>
      <c r="AI120" s="206" t="inlineStr">
        <is>
          <t>So Long For Love</t>
        </is>
      </c>
      <c r="AJ120" s="128">
        <f>SUMIF('TK 15661.Bản quyền phim '!F:F,'KK1. Movies'!D120,'TK 15661.Bản quyền phim '!X:X)</f>
        <v/>
      </c>
      <c r="AK120" s="128">
        <f>SUMIF('TK 15661.Bản quyền phim '!F:F,'KK1. Movies'!AI120,'TK 15661.Bản quyền phim '!X:X)</f>
        <v/>
      </c>
      <c r="AL120" s="203">
        <f>COUNTIF('242.BQ Phim hợp tác'!$C:$C,'KK1. Movies'!AI120)</f>
        <v/>
      </c>
      <c r="AM120" s="203">
        <f>COUNTIF('TK 15661.Bản quyền phim '!F:F,'KK1. Movies'!AI120)</f>
        <v/>
      </c>
      <c r="AN120" s="546">
        <f>AL120+AM120</f>
        <v/>
      </c>
      <c r="AO120" s="203" t="n"/>
      <c r="AP120" s="203" t="n"/>
      <c r="AQ120" s="203" t="n"/>
      <c r="AR120" s="203" t="n"/>
      <c r="AS120" s="203" t="n"/>
      <c r="AT120" s="546">
        <f>IFERROR(VLOOKUP(C120, CodeRanMovies!$A:$K, 11, 0), "Not found")</f>
        <v/>
      </c>
    </row>
    <row r="121" ht="26.4" customHeight="1" s="578">
      <c r="A121" s="201">
        <f>_xlfn.AGGREGATE(3,3,$D$7:D121)</f>
        <v/>
      </c>
      <c r="B121" s="589" t="inlineStr">
        <is>
          <t>13+</t>
        </is>
      </c>
      <c r="C121" s="590" t="inlineStr">
        <is>
          <t>MOV_DRA738</t>
        </is>
      </c>
      <c r="D121" s="105" t="inlineStr">
        <is>
          <t>Submergence</t>
        </is>
      </c>
      <c r="E121" s="97" t="inlineStr">
        <is>
          <t>Giữa những đại dương</t>
        </is>
      </c>
      <c r="F121" s="103" t="inlineStr">
        <is>
          <t>Drama</t>
        </is>
      </c>
      <c r="G121" s="103" t="inlineStr">
        <is>
          <t>Rose</t>
        </is>
      </c>
      <c r="H121" s="590" t="inlineStr">
        <is>
          <t>4/2025/HDBQ/VSTV-RM</t>
        </is>
      </c>
      <c r="I121" s="104" t="n">
        <v>2018</v>
      </c>
      <c r="J121" s="104" t="inlineStr">
        <is>
          <t>US</t>
        </is>
      </c>
      <c r="K121" s="104" t="n">
        <v>112</v>
      </c>
      <c r="L121" s="591" t="n">
        <v>45699</v>
      </c>
      <c r="M121" s="109" t="n">
        <v>46468</v>
      </c>
      <c r="N121" s="601" t="inlineStr">
        <is>
          <t>n/a</t>
        </is>
      </c>
      <c r="O121" s="592" t="n"/>
      <c r="P121" s="104" t="n">
        <v>12</v>
      </c>
      <c r="Q121" s="104" t="inlineStr">
        <is>
          <t>No</t>
        </is>
      </c>
      <c r="R121" s="592" t="inlineStr">
        <is>
          <t>Yes</t>
        </is>
      </c>
      <c r="S121" s="107" t="inlineStr">
        <is>
          <t>Yes</t>
        </is>
      </c>
      <c r="T121" s="592" t="inlineStr">
        <is>
          <t>Yes</t>
        </is>
      </c>
      <c r="U121" s="107" t="inlineStr">
        <is>
          <t>Yes</t>
        </is>
      </c>
      <c r="V121" s="107" t="inlineStr">
        <is>
          <t>Yes</t>
        </is>
      </c>
      <c r="W121" s="107" t="inlineStr">
        <is>
          <t>Yes</t>
        </is>
      </c>
      <c r="X121" s="107" t="inlineStr">
        <is>
          <t>Yes</t>
        </is>
      </c>
      <c r="Y121" s="104" t="inlineStr">
        <is>
          <t>Yes</t>
        </is>
      </c>
      <c r="Z121" s="591" t="n">
        <v>45699</v>
      </c>
      <c r="AA121" s="109" t="n">
        <v>46468</v>
      </c>
      <c r="AB121" s="104" t="n">
        <v>24</v>
      </c>
      <c r="AC121" s="202" t="n">
        <v>4</v>
      </c>
      <c r="AD121" s="592" t="inlineStr">
        <is>
          <t>Yes</t>
        </is>
      </c>
      <c r="AE121" s="592" t="inlineStr">
        <is>
          <t>Yes</t>
        </is>
      </c>
      <c r="AF121" s="600" t="n"/>
      <c r="AG121" s="593" t="inlineStr">
        <is>
          <t>Phim còn hạn từ 2026</t>
        </is>
      </c>
      <c r="AH121" s="594" t="n"/>
      <c r="AI121" s="206" t="inlineStr">
        <is>
          <t>Submergence</t>
        </is>
      </c>
      <c r="AJ121" s="128">
        <f>SUMIF('TK 15661.Bản quyền phim '!F:F,'KK1. Movies'!D121,'TK 15661.Bản quyền phim '!X:X)</f>
        <v/>
      </c>
      <c r="AK121" s="128">
        <f>SUMIF('TK 15661.Bản quyền phim '!F:F,'KK1. Movies'!AI121,'TK 15661.Bản quyền phim '!X:X)</f>
        <v/>
      </c>
      <c r="AL121" s="203">
        <f>COUNTIF('242.BQ Phim hợp tác'!$C:$C,'KK1. Movies'!AI121)</f>
        <v/>
      </c>
      <c r="AM121" s="203">
        <f>COUNTIF('TK 15661.Bản quyền phim '!F:F,'KK1. Movies'!AI121)</f>
        <v/>
      </c>
      <c r="AN121" s="546">
        <f>AL121+AM121</f>
        <v/>
      </c>
      <c r="AO121" s="203" t="n"/>
      <c r="AP121" s="203" t="n"/>
      <c r="AQ121" s="203" t="n"/>
      <c r="AR121" s="203" t="n"/>
      <c r="AS121" s="203" t="n"/>
      <c r="AT121" s="546">
        <f>IFERROR(VLOOKUP(C121, CodeRanMovies!$A:$K, 11, 0), "Not found")</f>
        <v/>
      </c>
    </row>
    <row r="122" ht="26.4" customHeight="1" s="578">
      <c r="A122" s="201">
        <f>_xlfn.AGGREGATE(3,3,$D$7:D122)</f>
        <v/>
      </c>
      <c r="B122" s="589" t="inlineStr">
        <is>
          <t>16+</t>
        </is>
      </c>
      <c r="C122" s="234" t="inlineStr">
        <is>
          <t>MOV_DRA_18__2589345</t>
        </is>
      </c>
      <c r="D122" s="105" t="inlineStr">
        <is>
          <t>SEASON FOR LOVE SONGS</t>
        </is>
      </c>
      <c r="E122" s="97" t="inlineStr">
        <is>
          <t>Mùa viết tình ca</t>
        </is>
      </c>
      <c r="F122" s="103" t="inlineStr">
        <is>
          <t>Rom Com</t>
        </is>
      </c>
      <c r="G122" s="103" t="inlineStr">
        <is>
          <t>TFILM</t>
        </is>
      </c>
      <c r="H122" s="590" t="inlineStr">
        <is>
          <t>139/2024/HDBQ/VSTV-TFlim</t>
        </is>
      </c>
      <c r="I122" s="104" t="n">
        <v>2018</v>
      </c>
      <c r="J122" s="592" t="inlineStr">
        <is>
          <t>Việt Nam</t>
        </is>
      </c>
      <c r="K122" s="104" t="n">
        <v>104</v>
      </c>
      <c r="L122" s="591" t="n">
        <v>45658</v>
      </c>
      <c r="M122" s="98" t="n">
        <v>46388</v>
      </c>
      <c r="N122" s="591" t="n">
        <v>44702</v>
      </c>
      <c r="O122" s="592" t="n"/>
      <c r="P122" s="104" t="n">
        <v>0</v>
      </c>
      <c r="Q122" s="107" t="inlineStr">
        <is>
          <t>No</t>
        </is>
      </c>
      <c r="R122" s="592" t="inlineStr">
        <is>
          <t>Yes</t>
        </is>
      </c>
      <c r="S122" s="107" t="inlineStr">
        <is>
          <t>Yes</t>
        </is>
      </c>
      <c r="T122" s="592" t="inlineStr">
        <is>
          <t>Yes</t>
        </is>
      </c>
      <c r="U122" s="107" t="inlineStr">
        <is>
          <t>Yes</t>
        </is>
      </c>
      <c r="V122" s="107" t="inlineStr">
        <is>
          <t>Yes</t>
        </is>
      </c>
      <c r="W122" s="107" t="inlineStr">
        <is>
          <t>Yes</t>
        </is>
      </c>
      <c r="X122" s="107" t="inlineStr">
        <is>
          <t>Yes</t>
        </is>
      </c>
      <c r="Y122" s="107" t="inlineStr">
        <is>
          <t>Yes</t>
        </is>
      </c>
      <c r="Z122" s="106" t="n">
        <v>45658</v>
      </c>
      <c r="AA122" s="124" t="n">
        <v>46388</v>
      </c>
      <c r="AB122" s="104" t="inlineStr">
        <is>
          <t>Unlimited</t>
        </is>
      </c>
      <c r="AC122" s="202" t="n">
        <v>10</v>
      </c>
      <c r="AD122" s="592" t="inlineStr">
        <is>
          <t>Yes</t>
        </is>
      </c>
      <c r="AE122" s="592" t="inlineStr">
        <is>
          <t>Yes</t>
        </is>
      </c>
      <c r="AF122" s="600" t="n"/>
      <c r="AG122" s="593" t="inlineStr">
        <is>
          <t>Phim còn hạn từ 2026</t>
        </is>
      </c>
      <c r="AH122" s="594" t="n"/>
      <c r="AI122" s="206" t="inlineStr">
        <is>
          <t>The season of love song (Mùa viết tình ca) (Renew)</t>
        </is>
      </c>
      <c r="AJ122" s="128">
        <f>SUMIF('TK 15661.Bản quyền phim '!F:F,'KK1. Movies'!D122,'TK 15661.Bản quyền phim '!X:X)</f>
        <v/>
      </c>
      <c r="AK122" s="128">
        <f>SUMIF('TK 15661.Bản quyền phim '!F:F,'KK1. Movies'!AI122,'TK 15661.Bản quyền phim '!X:X)</f>
        <v/>
      </c>
      <c r="AL122" s="203">
        <f>COUNTIF('242.BQ Phim hợp tác'!$C:$C,'KK1. Movies'!AI122)</f>
        <v/>
      </c>
      <c r="AM122" s="203">
        <f>COUNTIF('TK 15661.Bản quyền phim '!F:F,'KK1. Movies'!AI122)</f>
        <v/>
      </c>
      <c r="AN122" s="546">
        <f>AL122+AM122</f>
        <v/>
      </c>
      <c r="AO122" s="203" t="n"/>
      <c r="AP122" s="203" t="n"/>
      <c r="AQ122" s="203" t="n"/>
      <c r="AR122" s="203" t="n"/>
      <c r="AS122" s="203" t="n"/>
      <c r="AT122" s="546">
        <f>IFERROR(VLOOKUP(C122, CodeRanMovies!$A:$K, 11, 0), "Not found")</f>
        <v/>
      </c>
    </row>
    <row r="123">
      <c r="A123" s="201">
        <f>_xlfn.AGGREGATE(3,3,$D$7:D123)</f>
        <v/>
      </c>
      <c r="B123" s="606" t="inlineStr">
        <is>
          <t>n/a</t>
        </is>
      </c>
      <c r="C123" s="590" t="inlineStr">
        <is>
          <t>MOV_HOR70</t>
        </is>
      </c>
      <c r="D123" s="105" t="inlineStr">
        <is>
          <t>The Night House</t>
        </is>
      </c>
      <c r="E123" s="97" t="inlineStr">
        <is>
          <t>Ngôi nhà về đêm</t>
        </is>
      </c>
      <c r="F123" s="103" t="inlineStr">
        <is>
          <t>Thriller</t>
        </is>
      </c>
      <c r="G123" s="103" t="inlineStr">
        <is>
          <t>Rose</t>
        </is>
      </c>
      <c r="H123" s="590" t="inlineStr">
        <is>
          <t>4/2025/HDBQ/VSTV-RM</t>
        </is>
      </c>
      <c r="I123" s="104" t="n">
        <v>2020</v>
      </c>
      <c r="J123" s="104" t="inlineStr">
        <is>
          <t>US</t>
        </is>
      </c>
      <c r="K123" s="104" t="n">
        <v>107</v>
      </c>
      <c r="L123" s="591" t="n">
        <v>45715</v>
      </c>
      <c r="M123" s="98" t="n">
        <v>46809</v>
      </c>
      <c r="N123" s="601" t="inlineStr">
        <is>
          <t>n/a</t>
        </is>
      </c>
      <c r="O123" s="592" t="n"/>
      <c r="P123" s="104" t="n">
        <v>12</v>
      </c>
      <c r="Q123" s="104" t="inlineStr">
        <is>
          <t>No</t>
        </is>
      </c>
      <c r="R123" s="592" t="inlineStr">
        <is>
          <t>Yes</t>
        </is>
      </c>
      <c r="S123" s="107" t="inlineStr">
        <is>
          <t>Yes</t>
        </is>
      </c>
      <c r="T123" s="592" t="inlineStr">
        <is>
          <t>Yes</t>
        </is>
      </c>
      <c r="U123" s="107" t="inlineStr">
        <is>
          <t>Yes</t>
        </is>
      </c>
      <c r="V123" s="107" t="inlineStr">
        <is>
          <t>Yes</t>
        </is>
      </c>
      <c r="W123" s="107" t="inlineStr">
        <is>
          <t>Yes</t>
        </is>
      </c>
      <c r="X123" s="107" t="inlineStr">
        <is>
          <t>Yes</t>
        </is>
      </c>
      <c r="Y123" s="104" t="inlineStr">
        <is>
          <t>Yes</t>
        </is>
      </c>
      <c r="Z123" s="591" t="n">
        <v>45715</v>
      </c>
      <c r="AA123" s="98" t="n">
        <v>46809</v>
      </c>
      <c r="AB123" s="104" t="n">
        <v>24</v>
      </c>
      <c r="AC123" s="202" t="n">
        <v>3</v>
      </c>
      <c r="AD123" s="592" t="inlineStr">
        <is>
          <t>Yes</t>
        </is>
      </c>
      <c r="AE123" s="592" t="inlineStr">
        <is>
          <t>Yes</t>
        </is>
      </c>
      <c r="AF123" s="600" t="n"/>
      <c r="AG123" s="593" t="inlineStr">
        <is>
          <t>Phim còn hạn từ 2026</t>
        </is>
      </c>
      <c r="AH123" s="594" t="inlineStr">
        <is>
          <t>MOV_HOR70</t>
        </is>
      </c>
      <c r="AI123" s="206" t="inlineStr">
        <is>
          <t>The Night House</t>
        </is>
      </c>
      <c r="AJ123" s="128">
        <f>SUMIF('TK 15661.Bản quyền phim '!F:F,'KK1. Movies'!D123,'TK 15661.Bản quyền phim '!X:X)</f>
        <v/>
      </c>
      <c r="AK123" s="128">
        <f>SUMIF('TK 15661.Bản quyền phim '!F:F,'KK1. Movies'!AI123,'TK 15661.Bản quyền phim '!X:X)</f>
        <v/>
      </c>
      <c r="AL123" s="203">
        <f>COUNTIF('242.BQ Phim hợp tác'!$C:$C,'KK1. Movies'!AI123)</f>
        <v/>
      </c>
      <c r="AM123" s="203">
        <f>COUNTIF('TK 15661.Bản quyền phim '!F:F,'KK1. Movies'!AI123)</f>
        <v/>
      </c>
      <c r="AN123" s="546">
        <f>AL123+AM123</f>
        <v/>
      </c>
      <c r="AO123" s="203" t="n"/>
      <c r="AP123" s="203" t="n"/>
      <c r="AQ123" s="203" t="n"/>
      <c r="AR123" s="203" t="n"/>
      <c r="AS123" s="203" t="n"/>
      <c r="AT123" s="546">
        <f>IFERROR(VLOOKUP(C123, CodeRanMovies!$A:$K, 11, 0), "Not found")</f>
        <v/>
      </c>
    </row>
    <row r="124" ht="52.8" customHeight="1" s="578">
      <c r="A124" s="201">
        <f>_xlfn.AGGREGATE(3,3,$D$7:D124)</f>
        <v/>
      </c>
      <c r="B124" s="606" t="inlineStr">
        <is>
          <t>n/a</t>
        </is>
      </c>
      <c r="C124" s="590" t="inlineStr">
        <is>
          <t>MOV_HOR72</t>
        </is>
      </c>
      <c r="D124" s="105" t="inlineStr">
        <is>
          <t>RESIDENT EVIL: WELCOME TO RACCOON CITY</t>
        </is>
      </c>
      <c r="E124" s="110" t="inlineStr">
        <is>
          <t>Resident Evil: Quỷ dữ trỗi dậy</t>
        </is>
      </c>
      <c r="F124" s="590" t="inlineStr">
        <is>
          <t>Action, Adventure</t>
        </is>
      </c>
      <c r="G124" s="103" t="inlineStr">
        <is>
          <t>SONY</t>
        </is>
      </c>
      <c r="H124" s="590" t="inlineStr">
        <is>
          <t>Sony/K+Vietnam PayBasic SVOD Package Agmt D3A FE (Feb-5-24)</t>
        </is>
      </c>
      <c r="I124" s="104" t="n">
        <v>2021</v>
      </c>
      <c r="J124" s="104" t="inlineStr">
        <is>
          <t>Canada</t>
        </is>
      </c>
      <c r="K124" s="104" t="n">
        <v>107</v>
      </c>
      <c r="L124" s="591" t="n">
        <v>45747</v>
      </c>
      <c r="M124" s="106" t="n">
        <v>46535</v>
      </c>
      <c r="N124" s="601" t="n"/>
      <c r="O124" s="592" t="n"/>
      <c r="P124" s="592" t="n"/>
      <c r="Q124" s="104" t="inlineStr">
        <is>
          <t>No</t>
        </is>
      </c>
      <c r="R124" s="104" t="inlineStr">
        <is>
          <t>Yes</t>
        </is>
      </c>
      <c r="S124" s="104" t="inlineStr">
        <is>
          <t>Yes</t>
        </is>
      </c>
      <c r="T124" s="592" t="inlineStr">
        <is>
          <t>Yes</t>
        </is>
      </c>
      <c r="U124" s="104" t="inlineStr">
        <is>
          <t>No</t>
        </is>
      </c>
      <c r="V124" s="104" t="inlineStr">
        <is>
          <t>No</t>
        </is>
      </c>
      <c r="W124" s="104" t="inlineStr">
        <is>
          <t>No</t>
        </is>
      </c>
      <c r="X124" s="104" t="inlineStr">
        <is>
          <t>Yes</t>
        </is>
      </c>
      <c r="Y124" s="104" t="inlineStr">
        <is>
          <t>No</t>
        </is>
      </c>
      <c r="Z124" s="106" t="n">
        <v>45747</v>
      </c>
      <c r="AA124" s="124" t="n">
        <v>46354</v>
      </c>
      <c r="AB124" s="104" t="n">
        <v>7</v>
      </c>
      <c r="AC124" s="202" t="n">
        <v>3</v>
      </c>
      <c r="AD124" s="592" t="inlineStr">
        <is>
          <t>Yes</t>
        </is>
      </c>
      <c r="AE124" s="592" t="inlineStr">
        <is>
          <t>Yes</t>
        </is>
      </c>
      <c r="AF124" s="600" t="n"/>
      <c r="AG124" s="593" t="inlineStr">
        <is>
          <t>Phim còn hạn từ 2026</t>
        </is>
      </c>
      <c r="AH124" s="594" t="n"/>
      <c r="AI124" s="206" t="inlineStr">
        <is>
          <t>RESIDENT EVIL: WELCOME TO RACCOON CITY</t>
        </is>
      </c>
      <c r="AJ124" s="128">
        <f>SUMIF('TK 15661.Bản quyền phim '!F:F,'KK1. Movies'!D124,'TK 15661.Bản quyền phim '!X:X)</f>
        <v/>
      </c>
      <c r="AK124" s="128">
        <f>SUMIF('TK 15661.Bản quyền phim '!F:F,'KK1. Movies'!AI124,'TK 15661.Bản quyền phim '!X:X)</f>
        <v/>
      </c>
      <c r="AL124" s="203">
        <f>COUNTIF('242.BQ Phim hợp tác'!$C:$C,'KK1. Movies'!AI124)</f>
        <v/>
      </c>
      <c r="AM124" s="203">
        <f>COUNTIF('TK 15661.Bản quyền phim '!F:F,'KK1. Movies'!AI124)</f>
        <v/>
      </c>
      <c r="AN124" s="546">
        <f>AL124+AM124</f>
        <v/>
      </c>
      <c r="AO124" s="203" t="n"/>
      <c r="AP124" s="203" t="n"/>
      <c r="AQ124" s="203" t="n"/>
      <c r="AR124" s="203" t="n"/>
      <c r="AS124" s="203" t="n"/>
      <c r="AT124" s="546">
        <f>IFERROR(VLOOKUP(C124, CodeRanMovies!$A:$K, 11, 0), "Not found")</f>
        <v/>
      </c>
    </row>
    <row r="125" ht="26.4" customHeight="1" s="578">
      <c r="A125" s="201">
        <f>_xlfn.AGGREGATE(3,3,$D$7:D125)</f>
        <v/>
      </c>
      <c r="B125" s="589" t="inlineStr">
        <is>
          <t>13+</t>
        </is>
      </c>
      <c r="C125" s="590" t="inlineStr">
        <is>
          <t>MOV_ACT_24__2715270</t>
        </is>
      </c>
      <c r="D125" s="105" t="inlineStr">
        <is>
          <t>The Rescue</t>
        </is>
      </c>
      <c r="E125" s="110" t="inlineStr">
        <is>
          <t>Đội Cứu Hộ Khẩn Cấp</t>
        </is>
      </c>
      <c r="F125" s="108" t="inlineStr">
        <is>
          <t>action</t>
        </is>
      </c>
      <c r="G125" s="108" t="inlineStr">
        <is>
          <t>Hỏa Thổ</t>
        </is>
      </c>
      <c r="H125" s="108" t="inlineStr">
        <is>
          <t>25A/2024/HDBQ/VSTV-Hoa tho</t>
        </is>
      </c>
      <c r="I125" s="104" t="n">
        <v>2020</v>
      </c>
      <c r="J125" s="107" t="inlineStr">
        <is>
          <t>China</t>
        </is>
      </c>
      <c r="K125" s="104" t="n">
        <v>139</v>
      </c>
      <c r="L125" s="98" t="n">
        <v>45415</v>
      </c>
      <c r="M125" s="109" t="n">
        <v>46509</v>
      </c>
      <c r="N125" s="601" t="n">
        <v>45422</v>
      </c>
      <c r="O125" s="592" t="inlineStr">
        <is>
          <t>K+CINE</t>
        </is>
      </c>
      <c r="P125" s="104" t="inlineStr">
        <is>
          <t xml:space="preserve"> </t>
        </is>
      </c>
      <c r="Q125" s="104" t="inlineStr">
        <is>
          <t>No</t>
        </is>
      </c>
      <c r="R125" s="592" t="inlineStr">
        <is>
          <t>Yes</t>
        </is>
      </c>
      <c r="S125" s="104" t="inlineStr">
        <is>
          <t>Yes</t>
        </is>
      </c>
      <c r="T125" s="592" t="inlineStr">
        <is>
          <t>Yes</t>
        </is>
      </c>
      <c r="U125" s="104" t="inlineStr">
        <is>
          <t>No</t>
        </is>
      </c>
      <c r="V125" s="104" t="inlineStr">
        <is>
          <t>Yes</t>
        </is>
      </c>
      <c r="W125" s="104" t="inlineStr">
        <is>
          <t>Yes</t>
        </is>
      </c>
      <c r="X125" s="592" t="inlineStr">
        <is>
          <t>No</t>
        </is>
      </c>
      <c r="Y125" s="104" t="inlineStr">
        <is>
          <t>No</t>
        </is>
      </c>
      <c r="Z125" s="98" t="n">
        <v>45415</v>
      </c>
      <c r="AA125" s="109" t="n">
        <v>46509</v>
      </c>
      <c r="AB125" s="107" t="inlineStr">
        <is>
          <t>Unlimited run</t>
        </is>
      </c>
      <c r="AC125" s="105" t="n">
        <v>21</v>
      </c>
      <c r="AD125" s="592" t="inlineStr">
        <is>
          <t>Yes</t>
        </is>
      </c>
      <c r="AE125" s="592" t="inlineStr">
        <is>
          <t>Yes</t>
        </is>
      </c>
      <c r="AF125" s="600" t="n"/>
      <c r="AG125" s="593" t="inlineStr">
        <is>
          <t>Phim còn hạn từ 2026</t>
        </is>
      </c>
      <c r="AH125" s="594" t="n"/>
      <c r="AI125" s="206" t="inlineStr">
        <is>
          <t>The Rescue (Đội Cứu Hộ Khẩn Cấp)</t>
        </is>
      </c>
      <c r="AJ125" s="128">
        <f>SUMIF('TK 15661.Bản quyền phim '!F:F,'KK1. Movies'!D125,'TK 15661.Bản quyền phim '!X:X)</f>
        <v/>
      </c>
      <c r="AK125" s="128">
        <f>SUMIF('TK 15661.Bản quyền phim '!F:F,'KK1. Movies'!AI125,'TK 15661.Bản quyền phim '!X:X)</f>
        <v/>
      </c>
      <c r="AL125" s="203">
        <f>COUNTIF('242.BQ Phim hợp tác'!$C:$C,'KK1. Movies'!AI125)</f>
        <v/>
      </c>
      <c r="AM125" s="203">
        <f>COUNTIF('TK 15661.Bản quyền phim '!F:F,'KK1. Movies'!AI125)</f>
        <v/>
      </c>
      <c r="AN125" s="546">
        <f>AL125+AM125</f>
        <v/>
      </c>
      <c r="AO125" s="203" t="n"/>
      <c r="AP125" s="203" t="n"/>
      <c r="AQ125" s="203" t="n"/>
      <c r="AR125" s="203" t="n"/>
      <c r="AS125" s="203" t="n"/>
      <c r="AT125" s="546">
        <f>IFERROR(VLOOKUP(C125, CodeRanMovies!$A:$K, 11, 0), "Not found")</f>
        <v/>
      </c>
    </row>
    <row r="126" ht="26.4" customHeight="1" s="578">
      <c r="A126" s="201">
        <f>_xlfn.AGGREGATE(3,3,$D$7:D126)</f>
        <v/>
      </c>
      <c r="B126" s="589" t="inlineStr">
        <is>
          <t>16+</t>
        </is>
      </c>
      <c r="C126" s="590" t="inlineStr">
        <is>
          <t>MOV_ACT_24__2710432</t>
        </is>
      </c>
      <c r="D126" s="105" t="inlineStr">
        <is>
          <t>MANHUNT</t>
        </is>
      </c>
      <c r="E126" s="590" t="inlineStr">
        <is>
          <t>thiên la địa võng</t>
        </is>
      </c>
      <c r="F126" s="590" t="inlineStr">
        <is>
          <t>Action, Adventure</t>
        </is>
      </c>
      <c r="G126" s="108" t="inlineStr">
        <is>
          <t>Skyline Media</t>
        </is>
      </c>
      <c r="H126" s="590" t="inlineStr">
        <is>
          <t>28/2024/HDBQ/VSTV-SM</t>
        </is>
      </c>
      <c r="I126" s="107" t="n">
        <v>2017</v>
      </c>
      <c r="J126" s="600" t="inlineStr">
        <is>
          <t>Hong Kong</t>
        </is>
      </c>
      <c r="K126" s="107" t="n">
        <v>106</v>
      </c>
      <c r="L126" s="98" t="n">
        <v>45324</v>
      </c>
      <c r="M126" s="109" t="n">
        <v>46419</v>
      </c>
      <c r="N126" s="601" t="n">
        <v>45555</v>
      </c>
      <c r="O126" s="592" t="inlineStr">
        <is>
          <t>K+ACTION</t>
        </is>
      </c>
      <c r="P126" s="104" t="n">
        <v>12</v>
      </c>
      <c r="Q126" s="107" t="inlineStr">
        <is>
          <t>No</t>
        </is>
      </c>
      <c r="R126" s="592" t="inlineStr">
        <is>
          <t>Yes</t>
        </is>
      </c>
      <c r="S126" s="592" t="inlineStr">
        <is>
          <t>Yes</t>
        </is>
      </c>
      <c r="T126" s="592" t="inlineStr">
        <is>
          <t>Yes</t>
        </is>
      </c>
      <c r="U126" s="592" t="inlineStr">
        <is>
          <t>Yes</t>
        </is>
      </c>
      <c r="V126" s="592" t="inlineStr">
        <is>
          <t>Yes</t>
        </is>
      </c>
      <c r="W126" s="592" t="inlineStr">
        <is>
          <t>Yes</t>
        </is>
      </c>
      <c r="X126" s="592" t="inlineStr">
        <is>
          <t>Yes</t>
        </is>
      </c>
      <c r="Y126" s="104" t="inlineStr">
        <is>
          <t>No</t>
        </is>
      </c>
      <c r="Z126" s="98" t="n">
        <v>45324</v>
      </c>
      <c r="AA126" s="109" t="n">
        <v>46419</v>
      </c>
      <c r="AB126" s="107" t="n">
        <v>24</v>
      </c>
      <c r="AC126" s="202" t="n">
        <v>13</v>
      </c>
      <c r="AD126" s="592" t="inlineStr">
        <is>
          <t>Yes</t>
        </is>
      </c>
      <c r="AE126" s="592" t="inlineStr">
        <is>
          <t>Yes</t>
        </is>
      </c>
      <c r="AF126" s="600" t="n"/>
      <c r="AG126" s="593" t="inlineStr">
        <is>
          <t>Phim còn hạn từ 2026</t>
        </is>
      </c>
      <c r="AH126" s="594" t="n"/>
      <c r="AI126" s="206" t="inlineStr">
        <is>
          <t>MANHUNT</t>
        </is>
      </c>
      <c r="AJ126" s="128">
        <f>SUMIF('TK 15661.Bản quyền phim '!F:F,'KK1. Movies'!D126,'TK 15661.Bản quyền phim '!X:X)</f>
        <v/>
      </c>
      <c r="AK126" s="128">
        <f>SUMIF('TK 15661.Bản quyền phim '!F:F,'KK1. Movies'!AI126,'TK 15661.Bản quyền phim '!X:X)</f>
        <v/>
      </c>
      <c r="AL126" s="203">
        <f>COUNTIF('242.BQ Phim hợp tác'!$C:$C,'KK1. Movies'!AI126)</f>
        <v/>
      </c>
      <c r="AM126" s="203">
        <f>COUNTIF('TK 15661.Bản quyền phim '!F:F,'KK1. Movies'!AI126)</f>
        <v/>
      </c>
      <c r="AN126" s="546">
        <f>AL126+AM126</f>
        <v/>
      </c>
      <c r="AO126" s="203" t="n"/>
      <c r="AP126" s="203" t="n"/>
      <c r="AQ126" s="203" t="n"/>
      <c r="AR126" s="203" t="n"/>
      <c r="AS126" s="203" t="n"/>
      <c r="AT126" s="546">
        <f>IFERROR(VLOOKUP(C126, CodeRanMovies!$A:$K, 11, 0), "Not found")</f>
        <v/>
      </c>
    </row>
    <row r="127" ht="26.4" customHeight="1" s="578">
      <c r="A127" s="201">
        <f>_xlfn.AGGREGATE(3,3,$D$7:D127)</f>
        <v/>
      </c>
      <c r="B127" s="589" t="inlineStr">
        <is>
          <t>16+</t>
        </is>
      </c>
      <c r="C127" s="234" t="inlineStr">
        <is>
          <t>MOV_THR_23__2691556</t>
        </is>
      </c>
      <c r="D127" s="596" t="inlineStr">
        <is>
          <t>ANCHOR</t>
        </is>
      </c>
      <c r="E127" s="590" t="inlineStr">
        <is>
          <t>Bản tin chết</t>
        </is>
      </c>
      <c r="F127" s="590" t="inlineStr">
        <is>
          <t>Crime, Thriller</t>
        </is>
      </c>
      <c r="G127" s="589" t="inlineStr">
        <is>
          <t>CJ HK</t>
        </is>
      </c>
      <c r="H127" s="590" t="inlineStr">
        <is>
          <t>135/2022/HDBQ/VSTV-CJHK</t>
        </is>
      </c>
      <c r="I127" s="204" t="n">
        <v>2022</v>
      </c>
      <c r="J127" s="600" t="inlineStr">
        <is>
          <t>Korea</t>
        </is>
      </c>
      <c r="K127" s="204" t="n">
        <v>111</v>
      </c>
      <c r="L127" s="98" t="n">
        <v>45098</v>
      </c>
      <c r="M127" s="98" t="n">
        <v>46193</v>
      </c>
      <c r="N127" s="597" t="n">
        <v>45098</v>
      </c>
      <c r="O127" s="598" t="inlineStr">
        <is>
          <t>K+CINE</t>
        </is>
      </c>
      <c r="P127" s="96" t="n">
        <v>12</v>
      </c>
      <c r="Q127" s="592" t="inlineStr">
        <is>
          <t>No</t>
        </is>
      </c>
      <c r="R127" s="592" t="inlineStr">
        <is>
          <t>Yes</t>
        </is>
      </c>
      <c r="S127" s="592" t="inlineStr">
        <is>
          <t>Yes</t>
        </is>
      </c>
      <c r="T127" s="592" t="inlineStr">
        <is>
          <t>Yes</t>
        </is>
      </c>
      <c r="U127" s="592" t="inlineStr">
        <is>
          <t>Yes</t>
        </is>
      </c>
      <c r="V127" s="592" t="inlineStr">
        <is>
          <t>Yes</t>
        </is>
      </c>
      <c r="W127" s="592" t="inlineStr">
        <is>
          <t>Yes</t>
        </is>
      </c>
      <c r="X127" s="592" t="inlineStr">
        <is>
          <t>No</t>
        </is>
      </c>
      <c r="Y127" s="592" t="inlineStr">
        <is>
          <t>Yes</t>
        </is>
      </c>
      <c r="Z127" s="98" t="n">
        <v>45098</v>
      </c>
      <c r="AA127" s="98" t="n">
        <v>46193</v>
      </c>
      <c r="AB127" s="96" t="inlineStr">
        <is>
          <t>unlimited</t>
        </is>
      </c>
      <c r="AC127" s="202" t="n">
        <v>28</v>
      </c>
      <c r="AD127" s="592" t="inlineStr">
        <is>
          <t>Yes</t>
        </is>
      </c>
      <c r="AE127" s="592" t="inlineStr">
        <is>
          <t>Yes</t>
        </is>
      </c>
      <c r="AF127" s="600" t="n"/>
      <c r="AG127" s="593" t="inlineStr">
        <is>
          <t>Phim còn hạn từ 2026</t>
        </is>
      </c>
      <c r="AH127" s="594" t="n"/>
      <c r="AI127" s="206" t="inlineStr">
        <is>
          <t>ANCHOR (Bản tin chết)</t>
        </is>
      </c>
      <c r="AJ127" s="128">
        <f>SUMIF('TK 15661.Bản quyền phim '!F:F,'KK1. Movies'!D127,'TK 15661.Bản quyền phim '!X:X)</f>
        <v/>
      </c>
      <c r="AK127" s="128">
        <f>SUMIF('TK 15661.Bản quyền phim '!F:F,'KK1. Movies'!AI127,'TK 15661.Bản quyền phim '!X:X)</f>
        <v/>
      </c>
      <c r="AL127" s="203">
        <f>COUNTIF('242.BQ Phim hợp tác'!$C:$C,'KK1. Movies'!AI127)</f>
        <v/>
      </c>
      <c r="AM127" s="203">
        <f>COUNTIF('TK 15661.Bản quyền phim '!F:F,'KK1. Movies'!AI127)</f>
        <v/>
      </c>
      <c r="AN127" s="546">
        <f>AL127+AM127</f>
        <v/>
      </c>
      <c r="AO127" s="203" t="n"/>
      <c r="AP127" s="203" t="n"/>
      <c r="AQ127" s="203" t="n"/>
      <c r="AR127" s="203" t="n"/>
      <c r="AS127" s="203" t="n"/>
      <c r="AT127" s="546">
        <f>IFERROR(VLOOKUP(C127, CodeRanMovies!$A:$K, 11, 0), "Not found")</f>
        <v/>
      </c>
    </row>
    <row r="128" ht="26.4" customHeight="1" s="578">
      <c r="A128" s="201">
        <f>_xlfn.AGGREGATE(3,3,$D$7:D128)</f>
        <v/>
      </c>
      <c r="B128" s="589" t="inlineStr">
        <is>
          <t>13+</t>
        </is>
      </c>
      <c r="C128" s="590" t="inlineStr">
        <is>
          <t>MOV_BIO_22__2686510</t>
        </is>
      </c>
      <c r="D128" s="596" t="inlineStr">
        <is>
          <t>Mary Shelley</t>
        </is>
      </c>
      <c r="E128" s="590" t="inlineStr">
        <is>
          <t>Chuyện tình nữ văn sĩ</t>
        </is>
      </c>
      <c r="F128" s="589" t="inlineStr">
        <is>
          <t>Drama</t>
        </is>
      </c>
      <c r="G128" s="604" t="inlineStr">
        <is>
          <t>Skyline Media</t>
        </is>
      </c>
      <c r="H128" s="590" t="inlineStr">
        <is>
          <t>66/2023/HDBQ/VSTV-SM</t>
        </is>
      </c>
      <c r="I128" s="204" t="n">
        <v>2017</v>
      </c>
      <c r="J128" s="600" t="inlineStr">
        <is>
          <t>UK</t>
        </is>
      </c>
      <c r="K128" s="204" t="n">
        <v>120</v>
      </c>
      <c r="L128" s="98" t="n">
        <v>45022</v>
      </c>
      <c r="M128" s="591" t="n">
        <v>46361</v>
      </c>
      <c r="N128" s="601" t="n">
        <v>45022</v>
      </c>
      <c r="O128" s="598" t="inlineStr">
        <is>
          <t>K+CINE</t>
        </is>
      </c>
      <c r="P128" s="592" t="inlineStr">
        <is>
          <t>Exclusive All TV Rights the first 12 months of LP
 Non-exclusive with All Catch-up TV Rights; All VOD Rights during LP</t>
        </is>
      </c>
      <c r="Q128" s="600" t="inlineStr">
        <is>
          <t>No</t>
        </is>
      </c>
      <c r="R128" s="592" t="inlineStr">
        <is>
          <t>Yes</t>
        </is>
      </c>
      <c r="S128" s="592" t="inlineStr">
        <is>
          <t>Yes</t>
        </is>
      </c>
      <c r="T128" s="592" t="inlineStr">
        <is>
          <t>Yes</t>
        </is>
      </c>
      <c r="U128" s="592" t="inlineStr">
        <is>
          <t>Yes</t>
        </is>
      </c>
      <c r="V128" s="592" t="inlineStr">
        <is>
          <t>Yes</t>
        </is>
      </c>
      <c r="W128" s="592" t="inlineStr">
        <is>
          <t>Yes</t>
        </is>
      </c>
      <c r="X128" s="592" t="inlineStr">
        <is>
          <t>Yes</t>
        </is>
      </c>
      <c r="Y128" s="592" t="inlineStr">
        <is>
          <t>Yes</t>
        </is>
      </c>
      <c r="Z128" s="98" t="n">
        <v>45022</v>
      </c>
      <c r="AA128" s="591" t="n">
        <v>46361</v>
      </c>
      <c r="AB128" s="96" t="inlineStr">
        <is>
          <t>unlimited</t>
        </is>
      </c>
      <c r="AC128" s="202" t="n">
        <v>25</v>
      </c>
      <c r="AD128" s="592" t="inlineStr">
        <is>
          <t>Yes</t>
        </is>
      </c>
      <c r="AE128" s="592" t="inlineStr">
        <is>
          <t>Yes</t>
        </is>
      </c>
      <c r="AF128" s="600" t="n"/>
      <c r="AG128" s="593" t="inlineStr">
        <is>
          <t>Phim còn hạn từ 2026</t>
        </is>
      </c>
      <c r="AH128" s="594" t="n"/>
      <c r="AI128" s="599" t="inlineStr">
        <is>
          <t>Mary Shelley</t>
        </is>
      </c>
      <c r="AJ128" s="128">
        <f>SUMIF('TK 15661.Bản quyền phim '!F:F,'KK1. Movies'!D128,'TK 15661.Bản quyền phim '!X:X)</f>
        <v/>
      </c>
      <c r="AK128" s="128">
        <f>SUMIF('TK 15661.Bản quyền phim '!F:F,'KK1. Movies'!AI128,'TK 15661.Bản quyền phim '!X:X)</f>
        <v/>
      </c>
      <c r="AL128" s="203">
        <f>COUNTIF('242.BQ Phim hợp tác'!$C:$C,'KK1. Movies'!AI128)</f>
        <v/>
      </c>
      <c r="AM128" s="203">
        <f>COUNTIF('TK 15661.Bản quyền phim '!F:F,'KK1. Movies'!AI128)</f>
        <v/>
      </c>
      <c r="AN128" s="546">
        <f>AL128+AM128</f>
        <v/>
      </c>
      <c r="AO128" s="203" t="n"/>
      <c r="AP128" s="203" t="n"/>
      <c r="AQ128" s="203" t="n"/>
      <c r="AR128" s="203" t="n"/>
      <c r="AS128" s="203" t="n"/>
      <c r="AT128" s="546">
        <f>IFERROR(VLOOKUP(C128, CodeRanMovies!$A:$K, 11, 0), "Not found")</f>
        <v/>
      </c>
    </row>
    <row r="129" ht="26.4" customHeight="1" s="578">
      <c r="A129" s="201">
        <f>_xlfn.AGGREGATE(3,3,$D$7:D129)</f>
        <v/>
      </c>
      <c r="B129" s="606" t="inlineStr">
        <is>
          <t>n/a</t>
        </is>
      </c>
      <c r="C129" s="234" t="inlineStr">
        <is>
          <t>MOV_ANI81</t>
        </is>
      </c>
      <c r="D129" s="105" t="inlineStr">
        <is>
          <t>MY FAIRY TROUBLEMAKER</t>
        </is>
      </c>
      <c r="E129" s="105" t="inlineStr">
        <is>
          <t>Bé Tiên Rắc Rối</t>
        </is>
      </c>
      <c r="F129" s="108" t="inlineStr">
        <is>
          <t>Adventure, Comedy, Family, Fantasy</t>
        </is>
      </c>
      <c r="G129" s="108" t="inlineStr">
        <is>
          <t>Skyline Media</t>
        </is>
      </c>
      <c r="H129" s="590" t="inlineStr">
        <is>
          <t>36/2025/HDBQ/VSTV-SM</t>
        </is>
      </c>
      <c r="I129" s="107" t="n">
        <v>2022</v>
      </c>
      <c r="J129" s="107" t="inlineStr">
        <is>
          <t xml:space="preserve">
Germany</t>
        </is>
      </c>
      <c r="K129" s="107" t="n">
        <v>80</v>
      </c>
      <c r="L129" s="591" t="n">
        <v>45745</v>
      </c>
      <c r="M129" s="98" t="n">
        <v>46840</v>
      </c>
      <c r="N129" s="601" t="inlineStr">
        <is>
          <t>n/a</t>
        </is>
      </c>
      <c r="O129" s="592" t="n"/>
      <c r="P129" s="104" t="n">
        <v>12</v>
      </c>
      <c r="Q129" s="107" t="inlineStr">
        <is>
          <t>No</t>
        </is>
      </c>
      <c r="R129" s="592" t="inlineStr">
        <is>
          <t>Yes</t>
        </is>
      </c>
      <c r="S129" s="104" t="inlineStr">
        <is>
          <t>Yes</t>
        </is>
      </c>
      <c r="T129" s="104" t="inlineStr">
        <is>
          <t>Yes</t>
        </is>
      </c>
      <c r="U129" s="104" t="inlineStr">
        <is>
          <t>Yes</t>
        </is>
      </c>
      <c r="V129" s="104" t="inlineStr">
        <is>
          <t>Yes</t>
        </is>
      </c>
      <c r="W129" s="104" t="inlineStr">
        <is>
          <t>Yes</t>
        </is>
      </c>
      <c r="X129" s="104" t="inlineStr">
        <is>
          <t>Yes</t>
        </is>
      </c>
      <c r="Y129" s="104" t="inlineStr">
        <is>
          <t>No</t>
        </is>
      </c>
      <c r="Z129" s="591" t="n">
        <v>45745</v>
      </c>
      <c r="AA129" s="98" t="n">
        <v>46840</v>
      </c>
      <c r="AB129" s="107" t="n">
        <v>24</v>
      </c>
      <c r="AC129" s="202" t="n">
        <v>6</v>
      </c>
      <c r="AD129" s="592" t="inlineStr">
        <is>
          <t>Yes</t>
        </is>
      </c>
      <c r="AE129" s="592" t="inlineStr">
        <is>
          <t>Yes</t>
        </is>
      </c>
      <c r="AF129" s="600" t="n"/>
      <c r="AG129" s="593" t="inlineStr">
        <is>
          <t>Phim còn hạn từ 2026</t>
        </is>
      </c>
      <c r="AH129" s="594" t="n"/>
      <c r="AI129" s="206" t="inlineStr">
        <is>
          <t>MY FAIRY TROUBLEMAKER</t>
        </is>
      </c>
      <c r="AJ129" s="128">
        <f>SUMIF('TK 15661.Bản quyền phim '!F:F,'KK1. Movies'!D129,'TK 15661.Bản quyền phim '!X:X)</f>
        <v/>
      </c>
      <c r="AK129" s="128">
        <f>SUMIF('TK 15661.Bản quyền phim '!F:F,'KK1. Movies'!AI129,'TK 15661.Bản quyền phim '!X:X)</f>
        <v/>
      </c>
      <c r="AL129" s="203">
        <f>COUNTIF('242.BQ Phim hợp tác'!$C:$C,'KK1. Movies'!AI129)</f>
        <v/>
      </c>
      <c r="AM129" s="203">
        <f>COUNTIF('TK 15661.Bản quyền phim '!F:F,'KK1. Movies'!AI129)</f>
        <v/>
      </c>
      <c r="AN129" s="546">
        <f>AL129+AM129</f>
        <v/>
      </c>
      <c r="AO129" s="203" t="n"/>
      <c r="AP129" s="203" t="n"/>
      <c r="AQ129" s="203" t="n"/>
      <c r="AR129" s="203" t="n"/>
      <c r="AS129" s="203" t="n"/>
      <c r="AT129" s="546">
        <f>IFERROR(VLOOKUP(C129, CodeRanMovies!$A:$K, 11, 0), "Not found")</f>
        <v/>
      </c>
    </row>
    <row r="130" ht="26.4" customHeight="1" s="578">
      <c r="A130" s="201">
        <f>_xlfn.AGGREGATE(3,3,$D$7:D130)</f>
        <v/>
      </c>
      <c r="B130" s="589" t="inlineStr">
        <is>
          <t>P</t>
        </is>
      </c>
      <c r="C130" s="234" t="inlineStr">
        <is>
          <t>MOV_ANI_23__2709987</t>
        </is>
      </c>
      <c r="D130" s="119" t="inlineStr">
        <is>
          <t>ARGONUTS</t>
        </is>
      </c>
      <c r="E130" s="110" t="inlineStr">
        <is>
          <t>CHUỘT NHÍ VÀ SỨ MỆNH THẦN BIỂN</t>
        </is>
      </c>
      <c r="F130" s="590" t="inlineStr">
        <is>
          <t>Comedy</t>
        </is>
      </c>
      <c r="G130" s="103" t="inlineStr">
        <is>
          <t>CJ HK</t>
        </is>
      </c>
      <c r="H130" s="590" t="inlineStr">
        <is>
          <t>180/2024/HDBQ/VSTV-CJHK</t>
        </is>
      </c>
      <c r="I130" s="104" t="n">
        <v>2023</v>
      </c>
      <c r="J130" s="600" t="inlineStr">
        <is>
          <t>France</t>
        </is>
      </c>
      <c r="K130" s="104" t="n">
        <v>95</v>
      </c>
      <c r="L130" s="98" t="n">
        <v>45318</v>
      </c>
      <c r="M130" s="98" t="n">
        <v>46413</v>
      </c>
      <c r="N130" s="601" t="n">
        <v>45318</v>
      </c>
      <c r="O130" s="592" t="inlineStr">
        <is>
          <t>K+KIDS</t>
        </is>
      </c>
      <c r="P130" s="100" t="n">
        <v>12</v>
      </c>
      <c r="Q130" s="104" t="inlineStr">
        <is>
          <t>No</t>
        </is>
      </c>
      <c r="R130" s="592" t="inlineStr">
        <is>
          <t>Yes</t>
        </is>
      </c>
      <c r="S130" s="592" t="inlineStr">
        <is>
          <t>Yes</t>
        </is>
      </c>
      <c r="T130" s="592" t="inlineStr">
        <is>
          <t>Yes</t>
        </is>
      </c>
      <c r="U130" s="592" t="inlineStr">
        <is>
          <t>Yes</t>
        </is>
      </c>
      <c r="V130" s="592" t="inlineStr">
        <is>
          <t>Yes</t>
        </is>
      </c>
      <c r="W130" s="592" t="inlineStr">
        <is>
          <t>Yes</t>
        </is>
      </c>
      <c r="X130" s="104" t="inlineStr">
        <is>
          <t>No</t>
        </is>
      </c>
      <c r="Y130" s="592" t="inlineStr">
        <is>
          <t>Yes</t>
        </is>
      </c>
      <c r="Z130" s="98" t="n">
        <v>45318</v>
      </c>
      <c r="AA130" s="98" t="n">
        <v>46413</v>
      </c>
      <c r="AB130" s="592" t="inlineStr">
        <is>
          <t>Unlimited</t>
        </is>
      </c>
      <c r="AC130" s="202" t="n">
        <v>31</v>
      </c>
      <c r="AD130" s="592" t="inlineStr">
        <is>
          <t>Yes</t>
        </is>
      </c>
      <c r="AE130" s="592" t="inlineStr">
        <is>
          <t>Yes</t>
        </is>
      </c>
      <c r="AF130" s="600" t="n"/>
      <c r="AG130" s="593" t="inlineStr">
        <is>
          <t>Phim còn hạn từ 2026</t>
        </is>
      </c>
      <c r="AH130" s="594" t="n"/>
      <c r="AI130" s="206" t="inlineStr">
        <is>
          <t>ARGONUTS (CHUỘT NHÍ VÀ SỨ MỆNH THẦN BIỂN)</t>
        </is>
      </c>
      <c r="AJ130" s="128">
        <f>SUMIF('TK 15661.Bản quyền phim '!F:F,'KK1. Movies'!D130,'TK 15661.Bản quyền phim '!X:X)</f>
        <v/>
      </c>
      <c r="AK130" s="128">
        <f>SUMIF('TK 15661.Bản quyền phim '!F:F,'KK1. Movies'!AI130,'TK 15661.Bản quyền phim '!X:X)</f>
        <v/>
      </c>
      <c r="AL130" s="203">
        <f>COUNTIF('242.BQ Phim hợp tác'!$C:$C,'KK1. Movies'!AI130)</f>
        <v/>
      </c>
      <c r="AM130" s="203">
        <f>COUNTIF('TK 15661.Bản quyền phim '!F:F,'KK1. Movies'!AI130)</f>
        <v/>
      </c>
      <c r="AN130" s="546">
        <f>AL130+AM130</f>
        <v/>
      </c>
      <c r="AO130" s="203" t="n"/>
      <c r="AP130" s="203" t="n"/>
      <c r="AQ130" s="203" t="n"/>
      <c r="AR130" s="203" t="n"/>
      <c r="AS130" s="203" t="n"/>
      <c r="AT130" s="546">
        <f>IFERROR(VLOOKUP(C130, CodeRanMovies!$A:$K, 11, 0), "Not found")</f>
        <v/>
      </c>
    </row>
    <row r="131" ht="26.4" customHeight="1" s="578">
      <c r="A131" s="201">
        <f>_xlfn.AGGREGATE(3,3,$D$7:D131)</f>
        <v/>
      </c>
      <c r="B131" s="589" t="inlineStr">
        <is>
          <t>13+</t>
        </is>
      </c>
      <c r="C131" s="590" t="inlineStr">
        <is>
          <t>MOV_ACT_24__2710441</t>
        </is>
      </c>
      <c r="D131" s="105" t="inlineStr">
        <is>
          <t>KUNG FU MONSTER</t>
        </is>
      </c>
      <c r="E131" s="590" t="inlineStr">
        <is>
          <t>Võ lâm quái thú</t>
        </is>
      </c>
      <c r="F131" s="590" t="inlineStr">
        <is>
          <t>Action, Adventure</t>
        </is>
      </c>
      <c r="G131" s="108" t="inlineStr">
        <is>
          <t>Skyline Media</t>
        </is>
      </c>
      <c r="H131" s="590" t="inlineStr">
        <is>
          <t>28/2024/HDBQ/VSTV-SM</t>
        </is>
      </c>
      <c r="I131" s="107" t="n">
        <v>2018</v>
      </c>
      <c r="J131" s="600" t="inlineStr">
        <is>
          <t>Hong Kong</t>
        </is>
      </c>
      <c r="K131" s="107" t="n">
        <v>100</v>
      </c>
      <c r="L131" s="98" t="n">
        <v>45380</v>
      </c>
      <c r="M131" s="109" t="n">
        <v>46474</v>
      </c>
      <c r="N131" s="601" t="n">
        <v>45585</v>
      </c>
      <c r="O131" s="592" t="inlineStr">
        <is>
          <t>K+CINE</t>
        </is>
      </c>
      <c r="P131" s="104" t="n">
        <v>12</v>
      </c>
      <c r="Q131" s="107" t="inlineStr">
        <is>
          <t>No</t>
        </is>
      </c>
      <c r="R131" s="592" t="inlineStr">
        <is>
          <t>Yes</t>
        </is>
      </c>
      <c r="S131" s="592" t="inlineStr">
        <is>
          <t>Yes</t>
        </is>
      </c>
      <c r="T131" s="592" t="inlineStr">
        <is>
          <t>Yes</t>
        </is>
      </c>
      <c r="U131" s="592" t="inlineStr">
        <is>
          <t>Yes</t>
        </is>
      </c>
      <c r="V131" s="592" t="inlineStr">
        <is>
          <t>Yes</t>
        </is>
      </c>
      <c r="W131" s="592" t="inlineStr">
        <is>
          <t>Yes</t>
        </is>
      </c>
      <c r="X131" s="592" t="inlineStr">
        <is>
          <t>Yes</t>
        </is>
      </c>
      <c r="Y131" s="104" t="inlineStr">
        <is>
          <t>No</t>
        </is>
      </c>
      <c r="Z131" s="98" t="n">
        <v>45380</v>
      </c>
      <c r="AA131" s="109" t="n">
        <v>46474</v>
      </c>
      <c r="AB131" s="107" t="n">
        <v>24</v>
      </c>
      <c r="AC131" s="202" t="n">
        <v>11</v>
      </c>
      <c r="AD131" s="592" t="inlineStr">
        <is>
          <t>Yes</t>
        </is>
      </c>
      <c r="AE131" s="592" t="inlineStr">
        <is>
          <t>Yes</t>
        </is>
      </c>
      <c r="AF131" s="600" t="n"/>
      <c r="AG131" s="593" t="inlineStr">
        <is>
          <t>Phim còn hạn từ 2026</t>
        </is>
      </c>
      <c r="AH131" s="594" t="n"/>
      <c r="AI131" s="206" t="inlineStr">
        <is>
          <t>KUNG FU MONSTER</t>
        </is>
      </c>
      <c r="AJ131" s="128">
        <f>SUMIF('TK 15661.Bản quyền phim '!F:F,'KK1. Movies'!D131,'TK 15661.Bản quyền phim '!X:X)</f>
        <v/>
      </c>
      <c r="AK131" s="128">
        <f>SUMIF('TK 15661.Bản quyền phim '!F:F,'KK1. Movies'!AI131,'TK 15661.Bản quyền phim '!X:X)</f>
        <v/>
      </c>
      <c r="AL131" s="203">
        <f>COUNTIF('242.BQ Phim hợp tác'!$C:$C,'KK1. Movies'!AI131)</f>
        <v/>
      </c>
      <c r="AM131" s="203">
        <f>COUNTIF('TK 15661.Bản quyền phim '!F:F,'KK1. Movies'!AI131)</f>
        <v/>
      </c>
      <c r="AN131" s="546">
        <f>AL131+AM131</f>
        <v/>
      </c>
      <c r="AO131" s="203" t="n"/>
      <c r="AP131" s="203" t="n"/>
      <c r="AQ131" s="203" t="n"/>
      <c r="AR131" s="203" t="n"/>
      <c r="AS131" s="203" t="n"/>
      <c r="AT131" s="546">
        <f>IFERROR(VLOOKUP(C131, CodeRanMovies!$A:$K, 11, 0), "Not found")</f>
        <v/>
      </c>
    </row>
    <row r="132">
      <c r="A132" s="201">
        <f>_xlfn.AGGREGATE(3,3,$D$7:D132)</f>
        <v/>
      </c>
      <c r="B132" s="589" t="inlineStr">
        <is>
          <t>16+</t>
        </is>
      </c>
      <c r="C132" s="590" t="inlineStr">
        <is>
          <t>MOV_THR_21__2647353</t>
        </is>
      </c>
      <c r="D132" s="590" t="inlineStr">
        <is>
          <t>STOLEN IDENTITY</t>
        </is>
      </c>
      <c r="E132" s="590" t="inlineStr">
        <is>
          <t>Kẻ trộm danh tính</t>
        </is>
      </c>
      <c r="F132" s="590" t="inlineStr">
        <is>
          <t>Crime, Thriller</t>
        </is>
      </c>
      <c r="G132" s="590" t="inlineStr">
        <is>
          <t>TBS</t>
        </is>
      </c>
      <c r="H132" s="114" t="n">
        <v>202104013</v>
      </c>
      <c r="I132" s="96" t="n">
        <v>2018</v>
      </c>
      <c r="J132" s="600" t="inlineStr">
        <is>
          <t>Japan</t>
        </is>
      </c>
      <c r="K132" s="96" t="n">
        <v>118</v>
      </c>
      <c r="L132" s="98" t="n">
        <v>44284</v>
      </c>
      <c r="M132" s="602" t="n">
        <v>46109</v>
      </c>
      <c r="N132" s="603" t="n">
        <v>44314</v>
      </c>
      <c r="O132" s="592" t="inlineStr">
        <is>
          <t>K+CINE</t>
        </is>
      </c>
      <c r="P132" s="592" t="n"/>
      <c r="Q132" s="592" t="inlineStr">
        <is>
          <t>No</t>
        </is>
      </c>
      <c r="R132" s="592" t="inlineStr">
        <is>
          <t>Yes</t>
        </is>
      </c>
      <c r="S132" s="592" t="inlineStr">
        <is>
          <t>Yes</t>
        </is>
      </c>
      <c r="T132" s="592" t="inlineStr">
        <is>
          <t>Yes</t>
        </is>
      </c>
      <c r="U132" s="592" t="inlineStr">
        <is>
          <t>Yes</t>
        </is>
      </c>
      <c r="V132" s="592" t="inlineStr">
        <is>
          <t>Yes</t>
        </is>
      </c>
      <c r="W132" s="592" t="inlineStr">
        <is>
          <t>Yes</t>
        </is>
      </c>
      <c r="X132" s="592" t="inlineStr">
        <is>
          <t>Yes</t>
        </is>
      </c>
      <c r="Y132" s="592" t="inlineStr">
        <is>
          <t>Yes</t>
        </is>
      </c>
      <c r="Z132" s="98" t="n">
        <v>44284</v>
      </c>
      <c r="AA132" s="602" t="n">
        <v>46109</v>
      </c>
      <c r="AB132" s="202" t="n">
        <v>50</v>
      </c>
      <c r="AC132" s="100" t="n">
        <v>33</v>
      </c>
      <c r="AD132" s="592" t="inlineStr">
        <is>
          <t>Yes</t>
        </is>
      </c>
      <c r="AE132" s="592" t="inlineStr">
        <is>
          <t>Yes</t>
        </is>
      </c>
      <c r="AF132" s="600" t="n"/>
      <c r="AG132" s="593" t="inlineStr">
        <is>
          <t>Phim còn hạn từ 2026</t>
        </is>
      </c>
      <c r="AH132" s="594" t="n"/>
      <c r="AI132" s="599" t="inlineStr">
        <is>
          <t>STOLEN IDENTITY</t>
        </is>
      </c>
      <c r="AJ132" s="128">
        <f>SUMIF('TK 15661.Bản quyền phim '!F:F,'KK1. Movies'!D132,'TK 15661.Bản quyền phim '!X:X)</f>
        <v/>
      </c>
      <c r="AK132" s="128">
        <f>SUMIF('TK 15661.Bản quyền phim '!F:F,'KK1. Movies'!AI132,'TK 15661.Bản quyền phim '!X:X)</f>
        <v/>
      </c>
      <c r="AL132" s="203">
        <f>COUNTIF('242.BQ Phim hợp tác'!$C:$C,'KK1. Movies'!AI132)</f>
        <v/>
      </c>
      <c r="AM132" s="203">
        <f>COUNTIF('TK 15661.Bản quyền phim '!F:F,'KK1. Movies'!AI132)</f>
        <v/>
      </c>
      <c r="AN132" s="546">
        <f>AL132+AM132</f>
        <v/>
      </c>
      <c r="AO132" s="203" t="n"/>
      <c r="AP132" s="203" t="n"/>
      <c r="AQ132" s="203" t="n"/>
      <c r="AR132" s="203" t="n"/>
      <c r="AS132" s="203" t="n"/>
      <c r="AT132" s="546">
        <f>IFERROR(VLOOKUP(C132, CodeRanMovies!$A:$K, 11, 0), "Not found")</f>
        <v/>
      </c>
    </row>
    <row r="133" ht="26.4" customHeight="1" s="578">
      <c r="A133" s="201">
        <f>_xlfn.AGGREGATE(3,3,$D$7:D133)</f>
        <v/>
      </c>
      <c r="B133" s="589" t="inlineStr">
        <is>
          <t>P</t>
        </is>
      </c>
      <c r="C133" s="234" t="inlineStr">
        <is>
          <t>MOV_ADV_22__2677732</t>
        </is>
      </c>
      <c r="D133" s="590" t="inlineStr">
        <is>
          <t>Maika – The Girl From Another Planet</t>
        </is>
      </c>
      <c r="E133" s="208" t="inlineStr">
        <is>
          <t>Maika: Cô bé đến từ hành tinh khác</t>
        </is>
      </c>
      <c r="F133" s="590" t="inlineStr">
        <is>
          <t>Comedy</t>
        </is>
      </c>
      <c r="G133" s="590" t="inlineStr">
        <is>
          <t>BHD</t>
        </is>
      </c>
      <c r="H133" s="589" t="inlineStr">
        <is>
          <t>88/2022/HDBQ/VSTV-BHD</t>
        </is>
      </c>
      <c r="I133" s="204" t="n">
        <v>2021</v>
      </c>
      <c r="J133" s="592" t="inlineStr">
        <is>
          <t>Việt Nam</t>
        </is>
      </c>
      <c r="K133" s="204" t="n">
        <v>105</v>
      </c>
      <c r="L133" s="98" t="n">
        <v>44799</v>
      </c>
      <c r="M133" s="98" t="n">
        <v>46742</v>
      </c>
      <c r="N133" s="603" t="n">
        <v>44799</v>
      </c>
      <c r="O133" s="592" t="inlineStr">
        <is>
          <t>K+CINE</t>
        </is>
      </c>
      <c r="P133" s="102" t="inlineStr">
        <is>
          <t xml:space="preserve">Exclusive All TV rights from 26-Aug-22 to 21-Dec-23
Non exclusive VOD rights from 22 March 2023 </t>
        </is>
      </c>
      <c r="Q133" s="600" t="inlineStr">
        <is>
          <t>No</t>
        </is>
      </c>
      <c r="R133" s="592" t="inlineStr">
        <is>
          <t>Yes</t>
        </is>
      </c>
      <c r="S133" s="592" t="inlineStr">
        <is>
          <t>Yes</t>
        </is>
      </c>
      <c r="T133" s="592" t="inlineStr">
        <is>
          <t>Yes</t>
        </is>
      </c>
      <c r="U133" s="592" t="inlineStr">
        <is>
          <t>Yes</t>
        </is>
      </c>
      <c r="V133" s="592" t="inlineStr">
        <is>
          <t>Yes</t>
        </is>
      </c>
      <c r="W133" s="592" t="inlineStr">
        <is>
          <t>Yes</t>
        </is>
      </c>
      <c r="X133" s="592" t="inlineStr">
        <is>
          <t>Yes</t>
        </is>
      </c>
      <c r="Y133" s="592" t="inlineStr">
        <is>
          <t>Yes</t>
        </is>
      </c>
      <c r="Z133" s="98" t="n">
        <v>44948</v>
      </c>
      <c r="AA133" s="99" t="n">
        <v>46773</v>
      </c>
      <c r="AB133" s="96" t="inlineStr">
        <is>
          <t>unlimited</t>
        </is>
      </c>
      <c r="AC133" s="202" t="n">
        <v>33</v>
      </c>
      <c r="AD133" s="592" t="inlineStr">
        <is>
          <t>Yes</t>
        </is>
      </c>
      <c r="AE133" s="592" t="inlineStr">
        <is>
          <t>Yes</t>
        </is>
      </c>
      <c r="AF133" s="600" t="n"/>
      <c r="AG133" s="593" t="inlineStr">
        <is>
          <t>Phim còn hạn từ 2026</t>
        </is>
      </c>
      <c r="AH133" s="594" t="n"/>
      <c r="AI133" s="206" t="inlineStr">
        <is>
          <t>Maika – The Girl From Another Planet</t>
        </is>
      </c>
      <c r="AJ133" s="128">
        <f>SUMIF('TK 15661.Bản quyền phim '!F:F,'KK1. Movies'!D133,'TK 15661.Bản quyền phim '!X:X)</f>
        <v/>
      </c>
      <c r="AK133" s="128">
        <f>SUMIF('TK 15661.Bản quyền phim '!F:F,'KK1. Movies'!AI133,'TK 15661.Bản quyền phim '!X:X)</f>
        <v/>
      </c>
      <c r="AL133" s="203">
        <f>COUNTIF('242.BQ Phim hợp tác'!$C:$C,'KK1. Movies'!AI133)</f>
        <v/>
      </c>
      <c r="AM133" s="203">
        <f>COUNTIF('TK 15661.Bản quyền phim '!F:F,'KK1. Movies'!AI133)</f>
        <v/>
      </c>
      <c r="AN133" s="546">
        <f>AL133+AM133</f>
        <v/>
      </c>
      <c r="AO133" s="203" t="n"/>
      <c r="AP133" s="203" t="n"/>
      <c r="AQ133" s="203" t="n"/>
      <c r="AR133" s="203" t="n"/>
      <c r="AS133" s="203" t="n"/>
      <c r="AT133" s="546">
        <f>IFERROR(VLOOKUP(C133, CodeRanMovies!$A:$K, 11, 0), "Not found")</f>
        <v/>
      </c>
    </row>
    <row r="134" ht="26.4" customHeight="1" s="578">
      <c r="A134" s="201">
        <f>_xlfn.AGGREGATE(3,3,$D$7:D134)</f>
        <v/>
      </c>
      <c r="B134" s="589" t="inlineStr">
        <is>
          <t>K</t>
        </is>
      </c>
      <c r="C134" s="590" t="inlineStr">
        <is>
          <t>MOV_FAM_24__2713876</t>
        </is>
      </c>
      <c r="D134" s="105" t="inlineStr">
        <is>
          <t>TAKE CARE OF MY MOM</t>
        </is>
      </c>
      <c r="E134" s="110" t="inlineStr">
        <is>
          <t>HÃY CHĂM SÓC MẸ</t>
        </is>
      </c>
      <c r="F134" s="590" t="inlineStr">
        <is>
          <t>Drama</t>
        </is>
      </c>
      <c r="G134" s="103" t="inlineStr">
        <is>
          <t>CJ HK</t>
        </is>
      </c>
      <c r="H134" s="590" t="inlineStr">
        <is>
          <t>180/2024/HDBQ/VSTV-CJHK</t>
        </is>
      </c>
      <c r="I134" s="104" t="n">
        <v>2022</v>
      </c>
      <c r="J134" s="600" t="inlineStr">
        <is>
          <t>Korea</t>
        </is>
      </c>
      <c r="K134" s="104" t="n">
        <v>110</v>
      </c>
      <c r="L134" s="98" t="n">
        <v>45574</v>
      </c>
      <c r="M134" s="106" t="n">
        <v>46668</v>
      </c>
      <c r="N134" s="601" t="n">
        <v>45574</v>
      </c>
      <c r="O134" s="592" t="inlineStr">
        <is>
          <t>K+CINE</t>
        </is>
      </c>
      <c r="P134" s="100" t="n">
        <v>12</v>
      </c>
      <c r="Q134" s="104" t="inlineStr">
        <is>
          <t>No</t>
        </is>
      </c>
      <c r="R134" s="592" t="inlineStr">
        <is>
          <t>Yes</t>
        </is>
      </c>
      <c r="S134" s="592" t="inlineStr">
        <is>
          <t>Yes</t>
        </is>
      </c>
      <c r="T134" s="592" t="inlineStr">
        <is>
          <t>Yes</t>
        </is>
      </c>
      <c r="U134" s="592" t="inlineStr">
        <is>
          <t>Yes</t>
        </is>
      </c>
      <c r="V134" s="592" t="inlineStr">
        <is>
          <t>Yes</t>
        </is>
      </c>
      <c r="W134" s="592" t="inlineStr">
        <is>
          <t>Yes</t>
        </is>
      </c>
      <c r="X134" s="104" t="inlineStr">
        <is>
          <t>No</t>
        </is>
      </c>
      <c r="Y134" s="592" t="inlineStr">
        <is>
          <t>Yes</t>
        </is>
      </c>
      <c r="Z134" s="98" t="n">
        <v>45574</v>
      </c>
      <c r="AA134" s="106" t="n">
        <v>46668</v>
      </c>
      <c r="AB134" s="592" t="inlineStr">
        <is>
          <t>Unlimited</t>
        </is>
      </c>
      <c r="AC134" s="202" t="n">
        <v>12</v>
      </c>
      <c r="AD134" s="592" t="inlineStr">
        <is>
          <t>Yes</t>
        </is>
      </c>
      <c r="AE134" s="592" t="inlineStr">
        <is>
          <t>Yes</t>
        </is>
      </c>
      <c r="AF134" s="600" t="n"/>
      <c r="AG134" s="593" t="inlineStr">
        <is>
          <t>Phim còn hạn từ 2026</t>
        </is>
      </c>
      <c r="AH134" s="594" t="n"/>
      <c r="AI134" s="206" t="inlineStr">
        <is>
          <t>TAKE CARE OF MY MOM (HÃY CHĂM SÓC MẸ)</t>
        </is>
      </c>
      <c r="AJ134" s="128">
        <f>SUMIF('TK 15661.Bản quyền phim '!F:F,'KK1. Movies'!D134,'TK 15661.Bản quyền phim '!X:X)</f>
        <v/>
      </c>
      <c r="AK134" s="128">
        <f>SUMIF('TK 15661.Bản quyền phim '!F:F,'KK1. Movies'!AI134,'TK 15661.Bản quyền phim '!X:X)</f>
        <v/>
      </c>
      <c r="AL134" s="203">
        <f>COUNTIF('242.BQ Phim hợp tác'!$C:$C,'KK1. Movies'!AI134)</f>
        <v/>
      </c>
      <c r="AM134" s="203">
        <f>COUNTIF('TK 15661.Bản quyền phim '!F:F,'KK1. Movies'!AI134)</f>
        <v/>
      </c>
      <c r="AN134" s="546">
        <f>AL134+AM134</f>
        <v/>
      </c>
      <c r="AO134" s="203" t="n"/>
      <c r="AP134" s="203" t="n"/>
      <c r="AQ134" s="203" t="n"/>
      <c r="AR134" s="203" t="n"/>
      <c r="AS134" s="203" t="n"/>
      <c r="AT134" s="546">
        <f>IFERROR(VLOOKUP(C134, CodeRanMovies!$A:$K, 11, 0), "Not found")</f>
        <v/>
      </c>
    </row>
    <row r="135">
      <c r="A135" s="201">
        <f>_xlfn.AGGREGATE(3,3,$D$7:D135)</f>
        <v/>
      </c>
      <c r="B135" s="589" t="inlineStr">
        <is>
          <t>16+</t>
        </is>
      </c>
      <c r="C135" s="234" t="inlineStr">
        <is>
          <t>MOV_THR_22__2672758</t>
        </is>
      </c>
      <c r="D135" s="590" t="inlineStr">
        <is>
          <t>The Guardian</t>
        </is>
      </c>
      <c r="E135" s="589" t="inlineStr">
        <is>
          <t>Thiên Thần Hộ Mệnh</t>
        </is>
      </c>
      <c r="F135" s="590" t="inlineStr">
        <is>
          <t>Horror</t>
        </is>
      </c>
      <c r="G135" s="589" t="inlineStr">
        <is>
          <t>TFILM</t>
        </is>
      </c>
      <c r="H135" s="589" t="inlineStr">
        <is>
          <t>22/2021/HDBQ/VSTV-TFLIM</t>
        </is>
      </c>
      <c r="I135" s="96" t="n">
        <v>2021</v>
      </c>
      <c r="J135" s="592" t="inlineStr">
        <is>
          <t>Việt Nam</t>
        </is>
      </c>
      <c r="K135" s="107" t="n">
        <v>127</v>
      </c>
      <c r="L135" s="98" t="n">
        <v>44729</v>
      </c>
      <c r="M135" s="98" t="n">
        <v>46372</v>
      </c>
      <c r="N135" s="603" t="n">
        <v>44554</v>
      </c>
      <c r="O135" s="592" t="inlineStr">
        <is>
          <t>K+CINE</t>
        </is>
      </c>
      <c r="P135" s="592" t="n"/>
      <c r="Q135" s="592" t="inlineStr">
        <is>
          <t>No</t>
        </is>
      </c>
      <c r="R135" s="592" t="inlineStr">
        <is>
          <t>Yes</t>
        </is>
      </c>
      <c r="S135" s="592" t="inlineStr">
        <is>
          <t>Yes</t>
        </is>
      </c>
      <c r="T135" s="592" t="inlineStr">
        <is>
          <t>Yes</t>
        </is>
      </c>
      <c r="U135" s="592" t="inlineStr">
        <is>
          <t>no</t>
        </is>
      </c>
      <c r="V135" s="592" t="inlineStr">
        <is>
          <t>no</t>
        </is>
      </c>
      <c r="W135" s="592" t="inlineStr">
        <is>
          <t>no</t>
        </is>
      </c>
      <c r="X135" s="592" t="inlineStr">
        <is>
          <t>Yes</t>
        </is>
      </c>
      <c r="Y135" s="592" t="inlineStr">
        <is>
          <t>Yes</t>
        </is>
      </c>
      <c r="Z135" s="98" t="n">
        <v>44729</v>
      </c>
      <c r="AA135" s="98" t="n">
        <v>46372</v>
      </c>
      <c r="AB135" s="96" t="inlineStr">
        <is>
          <t>unlimited</t>
        </is>
      </c>
      <c r="AC135" s="100" t="n">
        <v>34</v>
      </c>
      <c r="AD135" s="592" t="inlineStr">
        <is>
          <t>Yes</t>
        </is>
      </c>
      <c r="AE135" s="592" t="inlineStr">
        <is>
          <t>Yes</t>
        </is>
      </c>
      <c r="AF135" s="600" t="n"/>
      <c r="AG135" s="593" t="inlineStr">
        <is>
          <t>Phim còn hạn từ 2026</t>
        </is>
      </c>
      <c r="AH135" s="594" t="n"/>
      <c r="AI135" s="206" t="inlineStr">
        <is>
          <t>The Guardian</t>
        </is>
      </c>
      <c r="AJ135" s="128">
        <f>SUMIF('TK 15661.Bản quyền phim '!F:F,'KK1. Movies'!D135,'TK 15661.Bản quyền phim '!X:X)</f>
        <v/>
      </c>
      <c r="AK135" s="128">
        <f>SUMIF('TK 15661.Bản quyền phim '!F:F,'KK1. Movies'!AI135,'TK 15661.Bản quyền phim '!X:X)</f>
        <v/>
      </c>
      <c r="AL135" s="203">
        <f>COUNTIF('242.BQ Phim hợp tác'!$C:$C,'KK1. Movies'!AI135)</f>
        <v/>
      </c>
      <c r="AM135" s="203">
        <f>COUNTIF('TK 15661.Bản quyền phim '!F:F,'KK1. Movies'!AI135)</f>
        <v/>
      </c>
      <c r="AN135" s="546">
        <f>AL135+AM135</f>
        <v/>
      </c>
      <c r="AO135" s="203" t="n"/>
      <c r="AP135" s="203" t="n"/>
      <c r="AQ135" s="203" t="n"/>
      <c r="AR135" s="203" t="n"/>
      <c r="AS135" s="203" t="n"/>
      <c r="AT135" s="546">
        <f>IFERROR(VLOOKUP(C135, CodeRanMovies!$A:$K, 11, 0), "Not found")</f>
        <v/>
      </c>
    </row>
    <row r="136" ht="52.8" customHeight="1" s="578">
      <c r="A136" s="201">
        <f>_xlfn.AGGREGATE(3,3,$D$7:D136)</f>
        <v/>
      </c>
      <c r="B136" s="589" t="inlineStr">
        <is>
          <t>16+</t>
        </is>
      </c>
      <c r="C136" s="590" t="inlineStr">
        <is>
          <t>MOV_COM288</t>
        </is>
      </c>
      <c r="D136" s="105" t="inlineStr">
        <is>
          <t>EASY A</t>
        </is>
      </c>
      <c r="E136" s="110" t="inlineStr">
        <is>
          <t>Cô nàng lẳng lơ</t>
        </is>
      </c>
      <c r="F136" s="589" t="inlineStr">
        <is>
          <t>Romance</t>
        </is>
      </c>
      <c r="G136" s="103" t="inlineStr">
        <is>
          <t>SONY PICTURES</t>
        </is>
      </c>
      <c r="H136" s="590" t="inlineStr">
        <is>
          <t>Sony/K+Vietnam PayBasic SVOD Package Agmt D2D per JK (19-01-2024)</t>
        </is>
      </c>
      <c r="I136" s="104" t="n">
        <v>2010</v>
      </c>
      <c r="J136" s="600" t="inlineStr">
        <is>
          <t>US</t>
        </is>
      </c>
      <c r="K136" s="104" t="n">
        <v>92</v>
      </c>
      <c r="L136" s="98" t="n">
        <v>45505</v>
      </c>
      <c r="M136" s="106" t="n">
        <v>46234</v>
      </c>
      <c r="N136" s="601" t="n">
        <v>45581</v>
      </c>
      <c r="O136" s="592" t="inlineStr">
        <is>
          <t>K+CINE</t>
        </is>
      </c>
      <c r="P136" s="592" t="n"/>
      <c r="Q136" s="104" t="inlineStr">
        <is>
          <t>No</t>
        </is>
      </c>
      <c r="R136" s="592" t="inlineStr">
        <is>
          <t>Yes</t>
        </is>
      </c>
      <c r="S136" s="592" t="inlineStr">
        <is>
          <t>Yes</t>
        </is>
      </c>
      <c r="T136" s="592" t="inlineStr">
        <is>
          <t>Yes</t>
        </is>
      </c>
      <c r="U136" s="104" t="inlineStr">
        <is>
          <t>No</t>
        </is>
      </c>
      <c r="V136" s="104" t="inlineStr">
        <is>
          <t>No</t>
        </is>
      </c>
      <c r="W136" s="104" t="inlineStr">
        <is>
          <t>No</t>
        </is>
      </c>
      <c r="X136" s="104" t="inlineStr">
        <is>
          <t>No</t>
        </is>
      </c>
      <c r="Y136" s="104" t="inlineStr">
        <is>
          <t>No</t>
        </is>
      </c>
      <c r="Z136" s="106" t="n">
        <v>45505</v>
      </c>
      <c r="AA136" s="124" t="n">
        <v>46053</v>
      </c>
      <c r="AB136" s="107" t="n">
        <v>7</v>
      </c>
      <c r="AC136" s="202" t="n">
        <v>3</v>
      </c>
      <c r="AD136" s="592" t="inlineStr">
        <is>
          <t>Yes</t>
        </is>
      </c>
      <c r="AE136" s="592" t="inlineStr">
        <is>
          <t>Yes</t>
        </is>
      </c>
      <c r="AF136" s="600" t="n"/>
      <c r="AG136" s="593" t="inlineStr">
        <is>
          <t>Phim còn hạn từ 2026</t>
        </is>
      </c>
      <c r="AH136" s="594" t="n"/>
      <c r="AI136" s="599" t="inlineStr">
        <is>
          <t>EASY A</t>
        </is>
      </c>
      <c r="AJ136" s="128">
        <f>SUMIF('TK 15661.Bản quyền phim '!F:F,'KK1. Movies'!D136,'TK 15661.Bản quyền phim '!X:X)</f>
        <v/>
      </c>
      <c r="AK136" s="128">
        <f>SUMIF('TK 15661.Bản quyền phim '!F:F,'KK1. Movies'!AI136,'TK 15661.Bản quyền phim '!X:X)</f>
        <v/>
      </c>
      <c r="AL136" s="203">
        <f>COUNTIF('242.BQ Phim hợp tác'!$C:$C,'KK1. Movies'!AI136)</f>
        <v/>
      </c>
      <c r="AM136" s="203">
        <f>COUNTIF('TK 15661.Bản quyền phim '!F:F,'KK1. Movies'!AI136)</f>
        <v/>
      </c>
      <c r="AN136" s="546">
        <f>AL136+AM136</f>
        <v/>
      </c>
      <c r="AO136" s="203" t="n"/>
      <c r="AP136" s="203" t="n"/>
      <c r="AQ136" s="203" t="n"/>
      <c r="AR136" s="203" t="n"/>
      <c r="AS136" s="203" t="n"/>
      <c r="AT136" s="546">
        <f>IFERROR(VLOOKUP(C136, CodeRanMovies!$A:$K, 11, 0), "Not found")</f>
        <v/>
      </c>
    </row>
    <row r="137" ht="52.8" customHeight="1" s="578">
      <c r="A137" s="201">
        <f>_xlfn.AGGREGATE(3,3,$D$7:D137)</f>
        <v/>
      </c>
      <c r="B137" s="589" t="inlineStr">
        <is>
          <t>K</t>
        </is>
      </c>
      <c r="C137" s="590" t="inlineStr">
        <is>
          <t>MOV_FAM_24__2713876</t>
        </is>
      </c>
      <c r="D137" s="105" t="inlineStr">
        <is>
          <t>PASSENGERS (2016)</t>
        </is>
      </c>
      <c r="E137" s="110" t="inlineStr">
        <is>
          <t>Người du hành</t>
        </is>
      </c>
      <c r="F137" s="590" t="inlineStr">
        <is>
          <t>Romance</t>
        </is>
      </c>
      <c r="G137" s="103" t="inlineStr">
        <is>
          <t>SONY</t>
        </is>
      </c>
      <c r="H137" s="590" t="inlineStr">
        <is>
          <t>Sony/K+Vietnam PayBasic SVOD Package Agmt D3A FE (Feb-5-24)</t>
        </is>
      </c>
      <c r="I137" s="104" t="n">
        <v>2016</v>
      </c>
      <c r="J137" s="104" t="inlineStr">
        <is>
          <t>U.S.A.[excluding Territories &amp; Possessions]</t>
        </is>
      </c>
      <c r="K137" s="104" t="n">
        <v>116</v>
      </c>
      <c r="L137" s="591" t="n">
        <v>45701</v>
      </c>
      <c r="M137" s="106" t="n">
        <v>46430</v>
      </c>
      <c r="N137" s="601" t="n"/>
      <c r="O137" s="592" t="n"/>
      <c r="P137" s="592" t="n"/>
      <c r="Q137" s="104" t="inlineStr">
        <is>
          <t>No</t>
        </is>
      </c>
      <c r="R137" s="104" t="inlineStr">
        <is>
          <t>Yes</t>
        </is>
      </c>
      <c r="S137" s="104" t="inlineStr">
        <is>
          <t>Yes</t>
        </is>
      </c>
      <c r="T137" s="592" t="inlineStr">
        <is>
          <t>Yes</t>
        </is>
      </c>
      <c r="U137" s="104" t="inlineStr">
        <is>
          <t>No</t>
        </is>
      </c>
      <c r="V137" s="104" t="inlineStr">
        <is>
          <t>No</t>
        </is>
      </c>
      <c r="W137" s="104" t="inlineStr">
        <is>
          <t>No</t>
        </is>
      </c>
      <c r="X137" s="104" t="inlineStr">
        <is>
          <t>Yes</t>
        </is>
      </c>
      <c r="Y137" s="104" t="inlineStr">
        <is>
          <t>No</t>
        </is>
      </c>
      <c r="Z137" s="106" t="n">
        <v>45701</v>
      </c>
      <c r="AA137" s="124" t="n">
        <v>46246</v>
      </c>
      <c r="AB137" s="104" t="n">
        <v>7</v>
      </c>
      <c r="AC137" s="202" t="n">
        <v>2</v>
      </c>
      <c r="AD137" s="592" t="inlineStr">
        <is>
          <t>Yes</t>
        </is>
      </c>
      <c r="AE137" s="592" t="inlineStr">
        <is>
          <t>Yes</t>
        </is>
      </c>
      <c r="AF137" s="600" t="n"/>
      <c r="AG137" s="593" t="inlineStr">
        <is>
          <t>Phim còn hạn từ 2026</t>
        </is>
      </c>
      <c r="AH137" s="594" t="inlineStr">
        <is>
          <t>MOV_FAM_24__2713876</t>
        </is>
      </c>
      <c r="AI137" s="206" t="inlineStr">
        <is>
          <t>PASSENGERS (2016)</t>
        </is>
      </c>
      <c r="AJ137" s="128">
        <f>SUMIF('TK 15661.Bản quyền phim '!F:F,'KK1. Movies'!D137,'TK 15661.Bản quyền phim '!X:X)</f>
        <v/>
      </c>
      <c r="AK137" s="128">
        <f>SUMIF('TK 15661.Bản quyền phim '!F:F,'KK1. Movies'!AI137,'TK 15661.Bản quyền phim '!X:X)</f>
        <v/>
      </c>
      <c r="AL137" s="203">
        <f>COUNTIF('242.BQ Phim hợp tác'!$C:$C,'KK1. Movies'!AI137)</f>
        <v/>
      </c>
      <c r="AM137" s="203">
        <f>COUNTIF('TK 15661.Bản quyền phim '!F:F,'KK1. Movies'!AI137)</f>
        <v/>
      </c>
      <c r="AN137" s="546">
        <f>AL137+AM137</f>
        <v/>
      </c>
      <c r="AO137" s="203" t="n"/>
      <c r="AP137" s="203" t="n"/>
      <c r="AQ137" s="203" t="n"/>
      <c r="AR137" s="203" t="n"/>
      <c r="AS137" s="203" t="n"/>
      <c r="AT137" s="546">
        <f>IFERROR(VLOOKUP(C137, CodeRanMovies!$A:$K, 11, 0), "Not found")</f>
        <v/>
      </c>
    </row>
    <row r="138">
      <c r="A138" s="201">
        <f>_xlfn.AGGREGATE(3,3,$D$7:D138)</f>
        <v/>
      </c>
      <c r="B138" s="589" t="inlineStr">
        <is>
          <t>16+</t>
        </is>
      </c>
      <c r="C138" s="590" t="inlineStr">
        <is>
          <t>MOV_DRA_22__2686515</t>
        </is>
      </c>
      <c r="D138" s="596" t="inlineStr">
        <is>
          <t>Winter's Bone</t>
        </is>
      </c>
      <c r="E138" s="590" t="inlineStr">
        <is>
          <t>Xương trắng</t>
        </is>
      </c>
      <c r="F138" s="589" t="inlineStr">
        <is>
          <t>Drama</t>
        </is>
      </c>
      <c r="G138" s="604" t="inlineStr">
        <is>
          <t>Skyline Media</t>
        </is>
      </c>
      <c r="H138" s="590" t="inlineStr">
        <is>
          <t>66/2023/HDBQ/VSTV-SM</t>
        </is>
      </c>
      <c r="I138" s="204" t="n">
        <v>2010</v>
      </c>
      <c r="J138" s="600" t="inlineStr">
        <is>
          <t>US</t>
        </is>
      </c>
      <c r="K138" s="204" t="n">
        <v>100</v>
      </c>
      <c r="L138" s="98" t="n">
        <v>45065</v>
      </c>
      <c r="M138" s="591" t="n">
        <v>46160</v>
      </c>
      <c r="N138" s="601" t="n">
        <v>45155</v>
      </c>
      <c r="O138" s="598" t="inlineStr">
        <is>
          <t>K+CINE</t>
        </is>
      </c>
      <c r="P138" s="592" t="inlineStr">
        <is>
          <t>Exclusive All TV Rights the first 12 months of LP
 Non-exclusive with All Catch-up TV Rights; All VOD Rights during LP</t>
        </is>
      </c>
      <c r="Q138" s="600" t="inlineStr">
        <is>
          <t>No</t>
        </is>
      </c>
      <c r="R138" s="592" t="inlineStr">
        <is>
          <t>Yes</t>
        </is>
      </c>
      <c r="S138" s="592" t="inlineStr">
        <is>
          <t>Yes</t>
        </is>
      </c>
      <c r="T138" s="592" t="inlineStr">
        <is>
          <t>Yes</t>
        </is>
      </c>
      <c r="U138" s="592" t="inlineStr">
        <is>
          <t>Yes</t>
        </is>
      </c>
      <c r="V138" s="592" t="inlineStr">
        <is>
          <t>Yes</t>
        </is>
      </c>
      <c r="W138" s="592" t="inlineStr">
        <is>
          <t>Yes</t>
        </is>
      </c>
      <c r="X138" s="592" t="inlineStr">
        <is>
          <t>Yes</t>
        </is>
      </c>
      <c r="Y138" s="592" t="inlineStr">
        <is>
          <t>Yes</t>
        </is>
      </c>
      <c r="Z138" s="98" t="n">
        <v>45065</v>
      </c>
      <c r="AA138" s="591" t="n">
        <v>46160</v>
      </c>
      <c r="AB138" s="96" t="n">
        <v>24</v>
      </c>
      <c r="AC138" s="202" t="n">
        <v>16</v>
      </c>
      <c r="AD138" s="592" t="inlineStr">
        <is>
          <t>Yes</t>
        </is>
      </c>
      <c r="AE138" s="592" t="inlineStr">
        <is>
          <t>Yes</t>
        </is>
      </c>
      <c r="AF138" s="600" t="n"/>
      <c r="AG138" s="593" t="inlineStr">
        <is>
          <t>Phim còn hạn từ 2026</t>
        </is>
      </c>
      <c r="AH138" s="594" t="n"/>
      <c r="AI138" s="599" t="inlineStr">
        <is>
          <t>Winter's Bone</t>
        </is>
      </c>
      <c r="AJ138" s="128">
        <f>SUMIF('TK 15661.Bản quyền phim '!F:F,'KK1. Movies'!D138,'TK 15661.Bản quyền phim '!X:X)</f>
        <v/>
      </c>
      <c r="AK138" s="128">
        <f>SUMIF('TK 15661.Bản quyền phim '!F:F,'KK1. Movies'!AI138,'TK 15661.Bản quyền phim '!X:X)</f>
        <v/>
      </c>
      <c r="AL138" s="203">
        <f>COUNTIF('242.BQ Phim hợp tác'!$C:$C,'KK1. Movies'!AI138)</f>
        <v/>
      </c>
      <c r="AM138" s="203">
        <f>COUNTIF('TK 15661.Bản quyền phim '!F:F,'KK1. Movies'!AI138)</f>
        <v/>
      </c>
      <c r="AN138" s="546">
        <f>AL138+AM138</f>
        <v/>
      </c>
      <c r="AO138" s="203" t="n"/>
      <c r="AP138" s="203" t="n"/>
      <c r="AQ138" s="203" t="n"/>
      <c r="AR138" s="203" t="n"/>
      <c r="AS138" s="203" t="n"/>
      <c r="AT138" s="546">
        <f>IFERROR(VLOOKUP(C138, CodeRanMovies!$A:$K, 11, 0), "Not found")</f>
        <v/>
      </c>
    </row>
    <row r="139">
      <c r="A139" s="201">
        <f>_xlfn.AGGREGATE(3,3,$D$7:D139)</f>
        <v/>
      </c>
      <c r="B139" s="589" t="inlineStr">
        <is>
          <t>16+</t>
        </is>
      </c>
      <c r="C139" s="590" t="inlineStr">
        <is>
          <t>MOV_ADV53</t>
        </is>
      </c>
      <c r="D139" s="105" t="inlineStr">
        <is>
          <t>The Green Knight</t>
        </is>
      </c>
      <c r="E139" s="97" t="inlineStr">
        <is>
          <t>Hiệp sĩ xanh</t>
        </is>
      </c>
      <c r="F139" s="103" t="inlineStr">
        <is>
          <t xml:space="preserve">Thriller </t>
        </is>
      </c>
      <c r="G139" s="103" t="inlineStr">
        <is>
          <t>Rose</t>
        </is>
      </c>
      <c r="H139" s="590" t="inlineStr">
        <is>
          <t>4/2025/HDBQ/VSTV-RM</t>
        </is>
      </c>
      <c r="I139" s="104" t="n">
        <v>2021</v>
      </c>
      <c r="J139" s="104" t="inlineStr">
        <is>
          <t>US</t>
        </is>
      </c>
      <c r="K139" s="104" t="n">
        <v>100</v>
      </c>
      <c r="L139" s="591" t="n">
        <v>45673</v>
      </c>
      <c r="M139" s="98" t="n">
        <v>46767</v>
      </c>
      <c r="N139" s="591" t="n">
        <v>45673</v>
      </c>
      <c r="O139" s="592" t="n"/>
      <c r="P139" s="104" t="n">
        <v>12</v>
      </c>
      <c r="Q139" s="104" t="inlineStr">
        <is>
          <t>No</t>
        </is>
      </c>
      <c r="R139" s="592" t="inlineStr">
        <is>
          <t>Yes</t>
        </is>
      </c>
      <c r="S139" s="107" t="inlineStr">
        <is>
          <t>Yes</t>
        </is>
      </c>
      <c r="T139" s="592" t="inlineStr">
        <is>
          <t>Yes</t>
        </is>
      </c>
      <c r="U139" s="107" t="inlineStr">
        <is>
          <t>Yes</t>
        </is>
      </c>
      <c r="V139" s="107" t="inlineStr">
        <is>
          <t>Yes</t>
        </is>
      </c>
      <c r="W139" s="107" t="inlineStr">
        <is>
          <t>Yes</t>
        </is>
      </c>
      <c r="X139" s="107" t="inlineStr">
        <is>
          <t>Yes</t>
        </is>
      </c>
      <c r="Y139" s="104" t="inlineStr">
        <is>
          <t>Yes</t>
        </is>
      </c>
      <c r="Z139" s="591" t="n">
        <v>45673</v>
      </c>
      <c r="AA139" s="98" t="n">
        <v>46767</v>
      </c>
      <c r="AB139" s="104" t="n">
        <v>24</v>
      </c>
      <c r="AC139" s="202" t="n">
        <v>5</v>
      </c>
      <c r="AD139" s="592" t="inlineStr">
        <is>
          <t>Yes</t>
        </is>
      </c>
      <c r="AE139" s="592" t="inlineStr">
        <is>
          <t>Yes</t>
        </is>
      </c>
      <c r="AF139" s="600" t="n"/>
      <c r="AG139" s="593" t="inlineStr">
        <is>
          <t>Phim còn hạn từ 2026</t>
        </is>
      </c>
      <c r="AH139" s="594" t="n"/>
      <c r="AI139" s="206" t="inlineStr">
        <is>
          <t>The Green Knight</t>
        </is>
      </c>
      <c r="AJ139" s="128">
        <f>SUMIF('TK 15661.Bản quyền phim '!F:F,'KK1. Movies'!D139,'TK 15661.Bản quyền phim '!X:X)</f>
        <v/>
      </c>
      <c r="AK139" s="128">
        <f>SUMIF('TK 15661.Bản quyền phim '!F:F,'KK1. Movies'!AI139,'TK 15661.Bản quyền phim '!X:X)</f>
        <v/>
      </c>
      <c r="AL139" s="203">
        <f>COUNTIF('242.BQ Phim hợp tác'!$C:$C,'KK1. Movies'!AI139)</f>
        <v/>
      </c>
      <c r="AM139" s="203">
        <f>COUNTIF('TK 15661.Bản quyền phim '!F:F,'KK1. Movies'!AI139)</f>
        <v/>
      </c>
      <c r="AN139" s="546">
        <f>AL139+AM139</f>
        <v/>
      </c>
      <c r="AO139" s="203" t="n"/>
      <c r="AP139" s="203" t="n"/>
      <c r="AQ139" s="203" t="n"/>
      <c r="AR139" s="203" t="n"/>
      <c r="AS139" s="203" t="n"/>
      <c r="AT139" s="546">
        <f>IFERROR(VLOOKUP(C139, CodeRanMovies!$A:$K, 11, 0), "Not found")</f>
        <v/>
      </c>
    </row>
    <row r="140" ht="39.6" customHeight="1" s="578">
      <c r="A140" s="201">
        <f>_xlfn.AGGREGATE(3,3,$D$7:D140)</f>
        <v/>
      </c>
      <c r="B140" s="589" t="inlineStr">
        <is>
          <t>P</t>
        </is>
      </c>
      <c r="C140" s="234" t="inlineStr">
        <is>
          <t>MOV_ANI78</t>
        </is>
      </c>
      <c r="D140" s="105" t="inlineStr">
        <is>
          <t>PIL'S ADVENTURES</t>
        </is>
      </c>
      <c r="E140" s="105" t="inlineStr">
        <is>
          <t>Chuyến Phiêu lưu của Pil</t>
        </is>
      </c>
      <c r="F140" s="108" t="inlineStr">
        <is>
          <t>Animation, Adventure, Family, Fantasy</t>
        </is>
      </c>
      <c r="G140" s="108" t="inlineStr">
        <is>
          <t>Skyline Media</t>
        </is>
      </c>
      <c r="H140" s="590" t="inlineStr">
        <is>
          <t>36/2025/HDBQ/VSTV-SM</t>
        </is>
      </c>
      <c r="I140" s="107" t="n">
        <v>2021</v>
      </c>
      <c r="J140" s="107" t="inlineStr">
        <is>
          <t>France</t>
        </is>
      </c>
      <c r="K140" s="107" t="n">
        <v>89</v>
      </c>
      <c r="L140" s="591" t="n">
        <v>45710</v>
      </c>
      <c r="M140" s="98" t="n">
        <v>46804</v>
      </c>
      <c r="N140" s="601" t="inlineStr">
        <is>
          <t>n/a</t>
        </is>
      </c>
      <c r="O140" s="592" t="n"/>
      <c r="P140" s="104" t="n">
        <v>12</v>
      </c>
      <c r="Q140" s="107" t="inlineStr">
        <is>
          <t>No</t>
        </is>
      </c>
      <c r="R140" s="592" t="inlineStr">
        <is>
          <t>Yes</t>
        </is>
      </c>
      <c r="S140" s="104" t="inlineStr">
        <is>
          <t>Yes</t>
        </is>
      </c>
      <c r="T140" s="104" t="inlineStr">
        <is>
          <t>Yes</t>
        </is>
      </c>
      <c r="U140" s="104" t="inlineStr">
        <is>
          <t>Yes</t>
        </is>
      </c>
      <c r="V140" s="104" t="inlineStr">
        <is>
          <t>Yes</t>
        </is>
      </c>
      <c r="W140" s="104" t="inlineStr">
        <is>
          <t>Yes</t>
        </is>
      </c>
      <c r="X140" s="104" t="inlineStr">
        <is>
          <t>Yes</t>
        </is>
      </c>
      <c r="Y140" s="104" t="inlineStr">
        <is>
          <t>No</t>
        </is>
      </c>
      <c r="Z140" s="109" t="n">
        <v>45710</v>
      </c>
      <c r="AA140" s="125" t="n">
        <v>46804</v>
      </c>
      <c r="AB140" s="107" t="n">
        <v>24</v>
      </c>
      <c r="AC140" s="202" t="n">
        <v>8</v>
      </c>
      <c r="AD140" s="592" t="inlineStr">
        <is>
          <t>Yes</t>
        </is>
      </c>
      <c r="AE140" s="592" t="inlineStr">
        <is>
          <t>Yes</t>
        </is>
      </c>
      <c r="AF140" s="600" t="n"/>
      <c r="AG140" s="593" t="inlineStr">
        <is>
          <t>Phim còn hạn từ 2026</t>
        </is>
      </c>
      <c r="AH140" s="594" t="n"/>
      <c r="AI140" s="206" t="inlineStr">
        <is>
          <t>PIL'S ADVENTURES</t>
        </is>
      </c>
      <c r="AJ140" s="128">
        <f>SUMIF('TK 15661.Bản quyền phim '!F:F,'KK1. Movies'!D140,'TK 15661.Bản quyền phim '!X:X)</f>
        <v/>
      </c>
      <c r="AK140" s="128">
        <f>SUMIF('TK 15661.Bản quyền phim '!F:F,'KK1. Movies'!AI140,'TK 15661.Bản quyền phim '!X:X)</f>
        <v/>
      </c>
      <c r="AL140" s="203">
        <f>COUNTIF('242.BQ Phim hợp tác'!$C:$C,'KK1. Movies'!AI140)</f>
        <v/>
      </c>
      <c r="AM140" s="203">
        <f>COUNTIF('TK 15661.Bản quyền phim '!F:F,'KK1. Movies'!AI140)</f>
        <v/>
      </c>
      <c r="AN140" s="546">
        <f>AL140+AM140</f>
        <v/>
      </c>
      <c r="AO140" s="203" t="n"/>
      <c r="AP140" s="203" t="n"/>
      <c r="AQ140" s="203" t="n"/>
      <c r="AR140" s="203" t="n"/>
      <c r="AS140" s="203" t="n"/>
      <c r="AT140" s="546">
        <f>IFERROR(VLOOKUP(C140, CodeRanMovies!$A:$K, 11, 0), "Not found")</f>
        <v/>
      </c>
    </row>
    <row r="141" ht="26.4" customHeight="1" s="578">
      <c r="A141" s="201">
        <f>_xlfn.AGGREGATE(3,3,$D$7:D141)</f>
        <v/>
      </c>
      <c r="B141" s="606" t="inlineStr">
        <is>
          <t>n/a</t>
        </is>
      </c>
      <c r="C141" s="590" t="inlineStr">
        <is>
          <t>MOV_DRA746</t>
        </is>
      </c>
      <c r="D141" s="105" t="inlineStr">
        <is>
          <t>BE SOMEBODY</t>
        </is>
      </c>
      <c r="E141" s="590" t="inlineStr">
        <is>
          <t>Bộ phim đình đám</t>
        </is>
      </c>
      <c r="F141" s="103" t="inlineStr">
        <is>
          <t>Mystery/Drama/Thriller</t>
        </is>
      </c>
      <c r="G141" s="103" t="inlineStr">
        <is>
          <t>STK</t>
        </is>
      </c>
      <c r="H141" s="590" t="inlineStr">
        <is>
          <t>134/2024/HDBQ/VSTV-STK</t>
        </is>
      </c>
      <c r="I141" s="104" t="n">
        <v>2021</v>
      </c>
      <c r="J141" s="104" t="inlineStr">
        <is>
          <t>China</t>
        </is>
      </c>
      <c r="K141" s="104" t="n">
        <v>123</v>
      </c>
      <c r="L141" s="591" t="n">
        <v>45793</v>
      </c>
      <c r="M141" s="98" t="n">
        <v>46888</v>
      </c>
      <c r="N141" s="601" t="inlineStr">
        <is>
          <t>n/a</t>
        </is>
      </c>
      <c r="O141" s="592" t="n"/>
      <c r="P141" s="104" t="n">
        <v>12</v>
      </c>
      <c r="Q141" s="104" t="inlineStr">
        <is>
          <t>No</t>
        </is>
      </c>
      <c r="R141" s="592" t="inlineStr">
        <is>
          <t>Yes</t>
        </is>
      </c>
      <c r="S141" s="107" t="inlineStr">
        <is>
          <t>Yes</t>
        </is>
      </c>
      <c r="T141" s="592" t="inlineStr">
        <is>
          <t>Yes</t>
        </is>
      </c>
      <c r="U141" s="107" t="inlineStr">
        <is>
          <t>Yes</t>
        </is>
      </c>
      <c r="V141" s="107" t="inlineStr">
        <is>
          <t>Yes</t>
        </is>
      </c>
      <c r="W141" s="107" t="inlineStr">
        <is>
          <t>Yes</t>
        </is>
      </c>
      <c r="X141" s="107" t="inlineStr">
        <is>
          <t>Yes</t>
        </is>
      </c>
      <c r="Y141" s="104" t="inlineStr">
        <is>
          <t>Yes</t>
        </is>
      </c>
      <c r="Z141" s="113" t="n">
        <v>45793</v>
      </c>
      <c r="AA141" s="236" t="n">
        <v>46888</v>
      </c>
      <c r="AB141" s="104" t="n">
        <v>24</v>
      </c>
      <c r="AC141" s="202" t="n">
        <v>3</v>
      </c>
      <c r="AD141" s="592" t="inlineStr">
        <is>
          <t>Yes</t>
        </is>
      </c>
      <c r="AE141" s="592" t="inlineStr">
        <is>
          <t>Yes</t>
        </is>
      </c>
      <c r="AF141" s="600" t="n"/>
      <c r="AG141" s="593" t="inlineStr">
        <is>
          <t>Phim còn hạn từ 2026</t>
        </is>
      </c>
      <c r="AH141" s="594" t="n"/>
      <c r="AI141" s="206" t="inlineStr">
        <is>
          <t>BE SOMEBODY</t>
        </is>
      </c>
      <c r="AJ141" s="128">
        <f>SUMIF('TK 15661.Bản quyền phim '!F:F,'KK1. Movies'!D141,'TK 15661.Bản quyền phim '!X:X)</f>
        <v/>
      </c>
      <c r="AK141" s="128">
        <f>SUMIF('TK 15661.Bản quyền phim '!F:F,'KK1. Movies'!AI141,'TK 15661.Bản quyền phim '!X:X)</f>
        <v/>
      </c>
      <c r="AL141" s="203">
        <f>COUNTIF('242.BQ Phim hợp tác'!$C:$C,'KK1. Movies'!AI141)</f>
        <v/>
      </c>
      <c r="AM141" s="203">
        <f>COUNTIF('TK 15661.Bản quyền phim '!F:F,'KK1. Movies'!AI141)</f>
        <v/>
      </c>
      <c r="AN141" s="546">
        <f>AL141+AM141</f>
        <v/>
      </c>
      <c r="AO141" s="203" t="n"/>
      <c r="AP141" s="203" t="n"/>
      <c r="AQ141" s="203" t="n"/>
      <c r="AR141" s="203" t="n"/>
      <c r="AS141" s="203" t="n"/>
      <c r="AT141" s="546">
        <f>IFERROR(VLOOKUP(C141, CodeRanMovies!$A:$K, 11, 0), "Not found")</f>
        <v/>
      </c>
    </row>
    <row r="142" ht="26.4" customHeight="1" s="578">
      <c r="A142" s="201">
        <f>_xlfn.AGGREGATE(3,3,$D$7:D142)</f>
        <v/>
      </c>
      <c r="B142" s="589" t="inlineStr">
        <is>
          <t>16+</t>
        </is>
      </c>
      <c r="C142" s="590" t="inlineStr">
        <is>
          <t>MOV_COM_24__2712728</t>
        </is>
      </c>
      <c r="D142" s="105" t="inlineStr">
        <is>
          <t>BRAVE CITIZEN</t>
        </is>
      </c>
      <c r="E142" s="110" t="inlineStr">
        <is>
          <t>CÔ GIÁO EM LÀ SỐ 1</t>
        </is>
      </c>
      <c r="F142" s="590" t="inlineStr">
        <is>
          <t>Comedy</t>
        </is>
      </c>
      <c r="G142" s="103" t="inlineStr">
        <is>
          <t>CJ HK</t>
        </is>
      </c>
      <c r="H142" s="590" t="inlineStr">
        <is>
          <t>180/2024/HDBQ/VSTV-CJHK</t>
        </is>
      </c>
      <c r="I142" s="104" t="n">
        <v>2023</v>
      </c>
      <c r="J142" s="600" t="inlineStr">
        <is>
          <t>Korea</t>
        </is>
      </c>
      <c r="K142" s="104" t="n">
        <v>112</v>
      </c>
      <c r="L142" s="98" t="n">
        <v>45352</v>
      </c>
      <c r="M142" s="106" t="n">
        <v>46446</v>
      </c>
      <c r="N142" s="601" t="n">
        <v>45352</v>
      </c>
      <c r="O142" s="592" t="inlineStr">
        <is>
          <t>K+CINE</t>
        </is>
      </c>
      <c r="P142" s="100" t="n">
        <v>12</v>
      </c>
      <c r="Q142" s="104" t="inlineStr">
        <is>
          <t>No</t>
        </is>
      </c>
      <c r="R142" s="592" t="inlineStr">
        <is>
          <t>Yes</t>
        </is>
      </c>
      <c r="S142" s="592" t="inlineStr">
        <is>
          <t>Yes</t>
        </is>
      </c>
      <c r="T142" s="592" t="inlineStr">
        <is>
          <t>Yes</t>
        </is>
      </c>
      <c r="U142" s="592" t="inlineStr">
        <is>
          <t>Yes</t>
        </is>
      </c>
      <c r="V142" s="592" t="inlineStr">
        <is>
          <t>Yes</t>
        </is>
      </c>
      <c r="W142" s="592" t="inlineStr">
        <is>
          <t>Yes</t>
        </is>
      </c>
      <c r="X142" s="104" t="inlineStr">
        <is>
          <t>No</t>
        </is>
      </c>
      <c r="Y142" s="592" t="inlineStr">
        <is>
          <t>Yes</t>
        </is>
      </c>
      <c r="Z142" s="98" t="n">
        <v>45352</v>
      </c>
      <c r="AA142" s="106" t="n">
        <v>46446</v>
      </c>
      <c r="AB142" s="592" t="inlineStr">
        <is>
          <t>Unlimited</t>
        </is>
      </c>
      <c r="AC142" s="202" t="n">
        <v>19</v>
      </c>
      <c r="AD142" s="592" t="inlineStr">
        <is>
          <t>Yes</t>
        </is>
      </c>
      <c r="AE142" s="592" t="inlineStr">
        <is>
          <t>Yes</t>
        </is>
      </c>
      <c r="AF142" s="600" t="n"/>
      <c r="AG142" s="593" t="inlineStr">
        <is>
          <t>Phim còn hạn từ 2026</t>
        </is>
      </c>
      <c r="AH142" s="594" t="n"/>
      <c r="AI142" s="206" t="inlineStr">
        <is>
          <t>BRAVE CITIZEN (CÔ GIÁO EM LÀ SỐ 1)</t>
        </is>
      </c>
      <c r="AJ142" s="128">
        <f>SUMIF('TK 15661.Bản quyền phim '!F:F,'KK1. Movies'!D142,'TK 15661.Bản quyền phim '!X:X)</f>
        <v/>
      </c>
      <c r="AK142" s="128">
        <f>SUMIF('TK 15661.Bản quyền phim '!F:F,'KK1. Movies'!AI142,'TK 15661.Bản quyền phim '!X:X)</f>
        <v/>
      </c>
      <c r="AL142" s="203">
        <f>COUNTIF('242.BQ Phim hợp tác'!$C:$C,'KK1. Movies'!AI142)</f>
        <v/>
      </c>
      <c r="AM142" s="203">
        <f>COUNTIF('TK 15661.Bản quyền phim '!F:F,'KK1. Movies'!AI142)</f>
        <v/>
      </c>
      <c r="AN142" s="546">
        <f>AL142+AM142</f>
        <v/>
      </c>
      <c r="AO142" s="203" t="n"/>
      <c r="AP142" s="203" t="n"/>
      <c r="AQ142" s="203" t="n"/>
      <c r="AR142" s="203" t="n"/>
      <c r="AS142" s="203" t="n"/>
      <c r="AT142" s="546">
        <f>IFERROR(VLOOKUP(C142, CodeRanMovies!$A:$K, 11, 0), "Not found")</f>
        <v/>
      </c>
    </row>
    <row r="143" ht="26.4" customHeight="1" s="578">
      <c r="A143" s="201">
        <f>_xlfn.AGGREGATE(3,3,$D$7:D143)</f>
        <v/>
      </c>
      <c r="B143" s="589" t="inlineStr">
        <is>
          <t>16+</t>
        </is>
      </c>
      <c r="C143" s="590" t="inlineStr">
        <is>
          <t>MOV_HOR_23__2696594</t>
        </is>
      </c>
      <c r="D143" s="596" t="inlineStr">
        <is>
          <t>Door lock</t>
        </is>
      </c>
      <c r="E143" s="590" t="inlineStr">
        <is>
          <t>Ổ khóa tử thần</t>
        </is>
      </c>
      <c r="F143" s="590" t="inlineStr">
        <is>
          <t>Horror</t>
        </is>
      </c>
      <c r="G143" s="589" t="inlineStr">
        <is>
          <t>Roses Media</t>
        </is>
      </c>
      <c r="H143" s="590" t="inlineStr">
        <is>
          <t>140/2022/HDBQ/VSTV-RM</t>
        </is>
      </c>
      <c r="I143" s="204" t="n">
        <v>2018</v>
      </c>
      <c r="J143" s="600" t="inlineStr">
        <is>
          <t>Korea</t>
        </is>
      </c>
      <c r="K143" s="204" t="n">
        <v>102</v>
      </c>
      <c r="L143" s="98" t="n">
        <v>45218</v>
      </c>
      <c r="M143" s="98" t="n">
        <v>46313</v>
      </c>
      <c r="N143" s="597" t="n">
        <v>45218</v>
      </c>
      <c r="O143" s="598" t="inlineStr">
        <is>
          <t>K+CINE</t>
        </is>
      </c>
      <c r="P143" s="592" t="inlineStr">
        <is>
          <t xml:space="preserve">Exclusive All Pay TV Rights for first 12 months.
Non exclusive All VOD during LP 
</t>
        </is>
      </c>
      <c r="Q143" s="592" t="inlineStr">
        <is>
          <t>No</t>
        </is>
      </c>
      <c r="R143" s="592" t="inlineStr">
        <is>
          <t>Yes</t>
        </is>
      </c>
      <c r="S143" s="592" t="inlineStr">
        <is>
          <t>No</t>
        </is>
      </c>
      <c r="T143" s="592" t="inlineStr">
        <is>
          <t>Yes</t>
        </is>
      </c>
      <c r="U143" s="592" t="inlineStr">
        <is>
          <t>Yes</t>
        </is>
      </c>
      <c r="V143" s="592" t="inlineStr">
        <is>
          <t>Yes</t>
        </is>
      </c>
      <c r="W143" s="592" t="inlineStr">
        <is>
          <t>Yes</t>
        </is>
      </c>
      <c r="X143" s="592" t="inlineStr">
        <is>
          <t>Yes</t>
        </is>
      </c>
      <c r="Y143" s="592" t="inlineStr">
        <is>
          <t>No</t>
        </is>
      </c>
      <c r="Z143" s="98" t="n">
        <v>45218</v>
      </c>
      <c r="AA143" s="98" t="n">
        <v>46313</v>
      </c>
      <c r="AB143" s="202" t="n">
        <v>24</v>
      </c>
      <c r="AC143" s="202" t="n">
        <v>21</v>
      </c>
      <c r="AD143" s="592" t="inlineStr">
        <is>
          <t>Yes</t>
        </is>
      </c>
      <c r="AE143" s="592" t="inlineStr">
        <is>
          <t>Yes</t>
        </is>
      </c>
      <c r="AF143" s="600" t="n"/>
      <c r="AG143" s="593" t="inlineStr">
        <is>
          <t>Phim còn hạn từ 2026</t>
        </is>
      </c>
      <c r="AH143" s="594" t="n"/>
      <c r="AI143" s="599" t="inlineStr">
        <is>
          <t>Door lock</t>
        </is>
      </c>
      <c r="AJ143" s="128">
        <f>SUMIF('TK 15661.Bản quyền phim '!F:F,'KK1. Movies'!D143,'TK 15661.Bản quyền phim '!X:X)</f>
        <v/>
      </c>
      <c r="AK143" s="128">
        <f>SUMIF('TK 15661.Bản quyền phim '!F:F,'KK1. Movies'!AI143,'TK 15661.Bản quyền phim '!X:X)</f>
        <v/>
      </c>
      <c r="AL143" s="203">
        <f>COUNTIF('242.BQ Phim hợp tác'!$C:$C,'KK1. Movies'!AI143)</f>
        <v/>
      </c>
      <c r="AM143" s="203">
        <f>COUNTIF('TK 15661.Bản quyền phim '!F:F,'KK1. Movies'!AI143)</f>
        <v/>
      </c>
      <c r="AN143" s="546">
        <f>AL143+AM143</f>
        <v/>
      </c>
      <c r="AO143" s="203" t="n"/>
      <c r="AP143" s="203" t="n"/>
      <c r="AQ143" s="203" t="n"/>
      <c r="AR143" s="203" t="n"/>
      <c r="AS143" s="203" t="n"/>
      <c r="AT143" s="546">
        <f>IFERROR(VLOOKUP(C143, CodeRanMovies!$A:$K, 11, 0), "Not found")</f>
        <v/>
      </c>
    </row>
    <row r="144" ht="52.8" customHeight="1" s="578">
      <c r="A144" s="201">
        <f>_xlfn.AGGREGATE(3,3,$D$7:D144)</f>
        <v/>
      </c>
      <c r="B144" s="589" t="inlineStr">
        <is>
          <t>13+</t>
        </is>
      </c>
      <c r="C144" s="590" t="inlineStr">
        <is>
          <t>MOV_DRA726</t>
        </is>
      </c>
      <c r="D144" s="105" t="inlineStr">
        <is>
          <t>EAT PRAY LOVE</t>
        </is>
      </c>
      <c r="E144" s="110" t="inlineStr">
        <is>
          <t>Ăn, cầu nguyện và yêu</t>
        </is>
      </c>
      <c r="F144" s="589" t="inlineStr">
        <is>
          <t>Romance</t>
        </is>
      </c>
      <c r="G144" s="103" t="inlineStr">
        <is>
          <t>SONY PICTURES</t>
        </is>
      </c>
      <c r="H144" s="590" t="inlineStr">
        <is>
          <t>Sony/K+Vietnam PayBasic SVOD Package Agmt D2D per JK (19-01-2024)</t>
        </is>
      </c>
      <c r="I144" s="104" t="n">
        <v>2010</v>
      </c>
      <c r="J144" s="600" t="inlineStr">
        <is>
          <t>US</t>
        </is>
      </c>
      <c r="K144" s="104" t="n">
        <v>139</v>
      </c>
      <c r="L144" s="98" t="n">
        <v>45505</v>
      </c>
      <c r="M144" s="106" t="n">
        <v>46234</v>
      </c>
      <c r="N144" s="601" t="n">
        <v>45588</v>
      </c>
      <c r="O144" s="104" t="inlineStr">
        <is>
          <t>K+CINE</t>
        </is>
      </c>
      <c r="P144" s="592" t="n"/>
      <c r="Q144" s="104" t="inlineStr">
        <is>
          <t>No</t>
        </is>
      </c>
      <c r="R144" s="592" t="inlineStr">
        <is>
          <t>Yes</t>
        </is>
      </c>
      <c r="S144" s="592" t="inlineStr">
        <is>
          <t>Yes</t>
        </is>
      </c>
      <c r="T144" s="592" t="inlineStr">
        <is>
          <t>Yes</t>
        </is>
      </c>
      <c r="U144" s="104" t="inlineStr">
        <is>
          <t>No</t>
        </is>
      </c>
      <c r="V144" s="104" t="inlineStr">
        <is>
          <t>No</t>
        </is>
      </c>
      <c r="W144" s="104" t="inlineStr">
        <is>
          <t>No</t>
        </is>
      </c>
      <c r="X144" s="104" t="inlineStr">
        <is>
          <t>No</t>
        </is>
      </c>
      <c r="Y144" s="104" t="inlineStr">
        <is>
          <t>No</t>
        </is>
      </c>
      <c r="Z144" s="106" t="n">
        <v>45505</v>
      </c>
      <c r="AA144" s="124" t="n">
        <v>46053</v>
      </c>
      <c r="AB144" s="107" t="n">
        <v>7</v>
      </c>
      <c r="AC144" s="202" t="n">
        <v>3</v>
      </c>
      <c r="AD144" s="592" t="inlineStr">
        <is>
          <t>Yes</t>
        </is>
      </c>
      <c r="AE144" s="592" t="inlineStr">
        <is>
          <t>Yes</t>
        </is>
      </c>
      <c r="AF144" s="600" t="n"/>
      <c r="AG144" s="593" t="inlineStr">
        <is>
          <t>Phim còn hạn từ 2026</t>
        </is>
      </c>
      <c r="AH144" s="594" t="n"/>
      <c r="AI144" s="599" t="inlineStr">
        <is>
          <t>EAT PRAY LOVE</t>
        </is>
      </c>
      <c r="AJ144" s="128">
        <f>SUMIF('TK 15661.Bản quyền phim '!F:F,'KK1. Movies'!D144,'TK 15661.Bản quyền phim '!X:X)</f>
        <v/>
      </c>
      <c r="AK144" s="128">
        <f>SUMIF('TK 15661.Bản quyền phim '!F:F,'KK1. Movies'!AI144,'TK 15661.Bản quyền phim '!X:X)</f>
        <v/>
      </c>
      <c r="AL144" s="203">
        <f>COUNTIF('242.BQ Phim hợp tác'!$C:$C,'KK1. Movies'!AI144)</f>
        <v/>
      </c>
      <c r="AM144" s="203">
        <f>COUNTIF('TK 15661.Bản quyền phim '!F:F,'KK1. Movies'!AI144)</f>
        <v/>
      </c>
      <c r="AN144" s="546">
        <f>AL144+AM144</f>
        <v/>
      </c>
      <c r="AO144" s="203" t="n"/>
      <c r="AP144" s="203" t="n"/>
      <c r="AQ144" s="203" t="n"/>
      <c r="AR144" s="203" t="n"/>
      <c r="AS144" s="203" t="n"/>
      <c r="AT144" s="546">
        <f>IFERROR(VLOOKUP(C144, CodeRanMovies!$A:$K, 11, 0), "Not found")</f>
        <v/>
      </c>
    </row>
    <row r="145" ht="26.4" customHeight="1" s="578">
      <c r="A145" s="201">
        <f>_xlfn.AGGREGATE(3,3,$D$7:D145)</f>
        <v/>
      </c>
      <c r="B145" s="589" t="inlineStr">
        <is>
          <t>P</t>
        </is>
      </c>
      <c r="C145" s="234" t="inlineStr">
        <is>
          <t>MOV_ANI_22__2674851</t>
        </is>
      </c>
      <c r="D145" s="590" t="inlineStr">
        <is>
          <t>Dreambuilders</t>
        </is>
      </c>
      <c r="E145" s="590" t="inlineStr">
        <is>
          <t>Nào Mình Cùng Mơ!</t>
        </is>
      </c>
      <c r="F145" s="590" t="inlineStr">
        <is>
          <t>Comedy</t>
        </is>
      </c>
      <c r="G145" s="108" t="inlineStr">
        <is>
          <t>Pro Partner</t>
        </is>
      </c>
      <c r="H145" s="590" t="inlineStr">
        <is>
          <t>30/2025/HDBQ/VSTV-Pro Partner</t>
        </is>
      </c>
      <c r="I145" s="204" t="n">
        <v>2020</v>
      </c>
      <c r="J145" s="600" t="inlineStr">
        <is>
          <t>Denmark</t>
        </is>
      </c>
      <c r="K145" s="204" t="n">
        <v>81</v>
      </c>
      <c r="L145" s="98" t="n">
        <v>44737</v>
      </c>
      <c r="M145" s="98" t="n">
        <v>46197</v>
      </c>
      <c r="N145" s="601" t="n">
        <v>44814</v>
      </c>
      <c r="O145" s="592" t="inlineStr">
        <is>
          <t>K+KIDS</t>
        </is>
      </c>
      <c r="P145" s="102" t="inlineStr">
        <is>
          <t xml:space="preserve">Non-Exclusive All TV Rights and All VOD Rights during LP </t>
        </is>
      </c>
      <c r="Q145" s="600" t="inlineStr">
        <is>
          <t>No</t>
        </is>
      </c>
      <c r="R145" s="592" t="inlineStr">
        <is>
          <t>Yes</t>
        </is>
      </c>
      <c r="S145" s="592" t="inlineStr">
        <is>
          <t>Yes</t>
        </is>
      </c>
      <c r="T145" s="592" t="inlineStr">
        <is>
          <t>Yes</t>
        </is>
      </c>
      <c r="U145" s="592" t="inlineStr">
        <is>
          <t>Yes</t>
        </is>
      </c>
      <c r="V145" s="592" t="inlineStr">
        <is>
          <t>Yes</t>
        </is>
      </c>
      <c r="W145" s="592" t="inlineStr">
        <is>
          <t>Yes</t>
        </is>
      </c>
      <c r="X145" s="592" t="inlineStr">
        <is>
          <t>Yes</t>
        </is>
      </c>
      <c r="Y145" s="592" t="inlineStr">
        <is>
          <t>Yes</t>
        </is>
      </c>
      <c r="Z145" s="98" t="n">
        <v>44737</v>
      </c>
      <c r="AA145" s="98" t="n">
        <v>46197</v>
      </c>
      <c r="AB145" s="96" t="inlineStr">
        <is>
          <t>unlimited</t>
        </is>
      </c>
      <c r="AC145" s="202" t="n">
        <v>42</v>
      </c>
      <c r="AD145" s="592" t="inlineStr">
        <is>
          <t>Yes</t>
        </is>
      </c>
      <c r="AE145" s="592" t="inlineStr">
        <is>
          <t>Yes</t>
        </is>
      </c>
      <c r="AF145" s="600" t="n"/>
      <c r="AG145" s="593" t="inlineStr">
        <is>
          <t>Phim còn hạn từ 2026</t>
        </is>
      </c>
      <c r="AH145" s="594" t="n"/>
      <c r="AI145" s="206" t="inlineStr">
        <is>
          <t>Dreambuilders (Nào Mình Cùng Mơ!)</t>
        </is>
      </c>
      <c r="AJ145" s="128">
        <f>SUMIF('TK 15661.Bản quyền phim '!F:F,'KK1. Movies'!D145,'TK 15661.Bản quyền phim '!X:X)</f>
        <v/>
      </c>
      <c r="AK145" s="128">
        <f>SUMIF('TK 15661.Bản quyền phim '!F:F,'KK1. Movies'!AI145,'TK 15661.Bản quyền phim '!X:X)</f>
        <v/>
      </c>
      <c r="AL145" s="203">
        <f>COUNTIF('242.BQ Phim hợp tác'!$C:$C,'KK1. Movies'!AI145)</f>
        <v/>
      </c>
      <c r="AM145" s="203">
        <f>COUNTIF('TK 15661.Bản quyền phim '!F:F,'KK1. Movies'!AI145)</f>
        <v/>
      </c>
      <c r="AN145" s="546">
        <f>AL145+AM145</f>
        <v/>
      </c>
      <c r="AO145" s="203" t="n"/>
      <c r="AP145" s="203" t="n"/>
      <c r="AQ145" s="203" t="n"/>
      <c r="AR145" s="203" t="n"/>
      <c r="AS145" s="203" t="n"/>
      <c r="AT145" s="546">
        <f>IFERROR(VLOOKUP(C145, CodeRanMovies!$A:$K, 11, 0), "Not found")</f>
        <v/>
      </c>
    </row>
    <row r="146" ht="26.4" customHeight="1" s="578">
      <c r="A146" s="201">
        <f>_xlfn.AGGREGATE(3,3,$D$7:D146)</f>
        <v/>
      </c>
      <c r="B146" s="589" t="inlineStr">
        <is>
          <t>16+</t>
        </is>
      </c>
      <c r="C146" s="590" t="inlineStr">
        <is>
          <t>MOV_COM_21__2649547</t>
        </is>
      </c>
      <c r="D146" s="590" t="inlineStr">
        <is>
          <t>The EVE of never</t>
        </is>
      </c>
      <c r="E146" s="590" t="inlineStr">
        <is>
          <t>30 chưa phải Tết</t>
        </is>
      </c>
      <c r="F146" s="590" t="inlineStr">
        <is>
          <t>Comedy</t>
        </is>
      </c>
      <c r="G146" s="590" t="inlineStr">
        <is>
          <t>TFILM</t>
        </is>
      </c>
      <c r="H146" s="590" t="inlineStr">
        <is>
          <t>23A/2021/HDBQVSTV-TFLIM</t>
        </is>
      </c>
      <c r="I146" s="204" t="n">
        <v>2020</v>
      </c>
      <c r="J146" s="592" t="inlineStr">
        <is>
          <t>Việt Nam</t>
        </is>
      </c>
      <c r="K146" s="107" t="n">
        <v>95</v>
      </c>
      <c r="L146" s="98" t="n">
        <v>44344</v>
      </c>
      <c r="M146" s="98" t="n">
        <v>46169</v>
      </c>
      <c r="N146" s="603" t="n">
        <v>44344</v>
      </c>
      <c r="O146" s="592" t="inlineStr">
        <is>
          <t>K+CINE</t>
        </is>
      </c>
      <c r="P146" s="592" t="inlineStr">
        <is>
          <t>Pay TV: the first 6 months
VOD start date: 20 July 2023</t>
        </is>
      </c>
      <c r="Q146" s="592" t="inlineStr">
        <is>
          <t>Yes</t>
        </is>
      </c>
      <c r="R146" s="592" t="inlineStr">
        <is>
          <t>Yes</t>
        </is>
      </c>
      <c r="S146" s="592" t="inlineStr">
        <is>
          <t>Yes</t>
        </is>
      </c>
      <c r="T146" s="592" t="inlineStr">
        <is>
          <t>Yes</t>
        </is>
      </c>
      <c r="U146" s="592" t="inlineStr">
        <is>
          <t>no</t>
        </is>
      </c>
      <c r="V146" s="592" t="inlineStr">
        <is>
          <t>no</t>
        </is>
      </c>
      <c r="W146" s="592" t="inlineStr">
        <is>
          <t>no</t>
        </is>
      </c>
      <c r="X146" s="592" t="inlineStr">
        <is>
          <t>Yes</t>
        </is>
      </c>
      <c r="Y146" s="592" t="inlineStr">
        <is>
          <t>Yes</t>
        </is>
      </c>
      <c r="Z146" s="98" t="n">
        <v>44344</v>
      </c>
      <c r="AA146" s="98" t="n">
        <v>46169</v>
      </c>
      <c r="AB146" s="96" t="inlineStr">
        <is>
          <t>unlimited</t>
        </is>
      </c>
      <c r="AC146" s="202" t="n">
        <v>50</v>
      </c>
      <c r="AD146" s="592" t="inlineStr">
        <is>
          <t>Yes</t>
        </is>
      </c>
      <c r="AE146" s="592" t="inlineStr">
        <is>
          <t>Yes</t>
        </is>
      </c>
      <c r="AF146" s="600" t="n"/>
      <c r="AG146" s="593" t="inlineStr">
        <is>
          <t>Phim còn hạn từ 2026</t>
        </is>
      </c>
      <c r="AH146" s="594" t="inlineStr">
        <is>
          <t>MOV_COM_21__2649547</t>
        </is>
      </c>
      <c r="AI146" s="599" t="inlineStr">
        <is>
          <t>The EVE of never</t>
        </is>
      </c>
      <c r="AJ146" s="128">
        <f>SUMIF('TK 15661.Bản quyền phim '!F:F,'KK1. Movies'!D146,'TK 15661.Bản quyền phim '!X:X)</f>
        <v/>
      </c>
      <c r="AK146" s="128">
        <f>SUMIF('TK 15661.Bản quyền phim '!F:F,'KK1. Movies'!AI146,'TK 15661.Bản quyền phim '!X:X)</f>
        <v/>
      </c>
      <c r="AL146" s="203">
        <f>COUNTIF('242.BQ Phim hợp tác'!$C:$C,'KK1. Movies'!AI146)</f>
        <v/>
      </c>
      <c r="AM146" s="203">
        <f>COUNTIF('TK 15661.Bản quyền phim '!F:F,'KK1. Movies'!AI146)</f>
        <v/>
      </c>
      <c r="AN146" s="546">
        <f>AL146+AM146</f>
        <v/>
      </c>
      <c r="AO146" s="203" t="n"/>
      <c r="AP146" s="203" t="n"/>
      <c r="AQ146" s="203" t="n"/>
      <c r="AR146" s="203" t="n"/>
      <c r="AS146" s="203" t="n"/>
      <c r="AT146" s="546">
        <f>IFERROR(VLOOKUP(C146, CodeRanMovies!$A:$K, 11, 0), "Not found")</f>
        <v/>
      </c>
    </row>
    <row r="147">
      <c r="A147" s="201">
        <f>_xlfn.AGGREGATE(3,3,$D$7:D147)</f>
        <v/>
      </c>
      <c r="B147" s="589" t="n"/>
      <c r="C147" s="590" t="inlineStr">
        <is>
          <t>MOV_DRA754</t>
        </is>
      </c>
      <c r="D147" s="105" t="inlineStr">
        <is>
          <t>ARMAGEDDON TIME</t>
        </is>
      </c>
      <c r="E147" s="110" t="inlineStr">
        <is>
          <t>Thời đại Armageddpm</t>
        </is>
      </c>
      <c r="F147" s="103" t="inlineStr">
        <is>
          <t>Drama</t>
        </is>
      </c>
      <c r="G147" s="103" t="inlineStr">
        <is>
          <t>NBC Universal</t>
        </is>
      </c>
      <c r="H147" s="108" t="inlineStr">
        <is>
          <t>5051370-3/166015-3</t>
        </is>
      </c>
      <c r="I147" s="107" t="n">
        <v>2022</v>
      </c>
      <c r="J147" s="104" t="inlineStr">
        <is>
          <t>US</t>
        </is>
      </c>
      <c r="K147" s="107" t="n">
        <v>114</v>
      </c>
      <c r="L147" s="109" t="n">
        <v>45763</v>
      </c>
      <c r="M147" s="109" t="n">
        <v>46492</v>
      </c>
      <c r="N147" s="601" t="n"/>
      <c r="O147" s="592" t="n"/>
      <c r="P147" s="104" t="n">
        <v>0</v>
      </c>
      <c r="Q147" s="104" t="inlineStr">
        <is>
          <t>No</t>
        </is>
      </c>
      <c r="R147" s="592" t="inlineStr">
        <is>
          <t>Yes</t>
        </is>
      </c>
      <c r="S147" s="104" t="inlineStr">
        <is>
          <t>Yes</t>
        </is>
      </c>
      <c r="T147" s="592" t="inlineStr">
        <is>
          <t>Yes</t>
        </is>
      </c>
      <c r="U147" s="104" t="inlineStr">
        <is>
          <t>No</t>
        </is>
      </c>
      <c r="V147" s="104" t="inlineStr">
        <is>
          <t>No</t>
        </is>
      </c>
      <c r="W147" s="104" t="inlineStr">
        <is>
          <t>No</t>
        </is>
      </c>
      <c r="X147" s="104" t="inlineStr">
        <is>
          <t>Yes</t>
        </is>
      </c>
      <c r="Y147" s="104" t="inlineStr">
        <is>
          <t>Yes</t>
        </is>
      </c>
      <c r="Z147" s="109" t="n">
        <v>45763</v>
      </c>
      <c r="AA147" s="125" t="n">
        <v>46492</v>
      </c>
      <c r="AB147" s="104" t="n">
        <v>6</v>
      </c>
      <c r="AC147" s="202" t="n">
        <v>2</v>
      </c>
      <c r="AD147" s="592" t="inlineStr">
        <is>
          <t>Yes</t>
        </is>
      </c>
      <c r="AE147" s="592" t="inlineStr">
        <is>
          <t>Yes</t>
        </is>
      </c>
      <c r="AF147" s="600" t="n"/>
      <c r="AG147" s="593" t="inlineStr">
        <is>
          <t>Phim còn hạn từ 2026</t>
        </is>
      </c>
      <c r="AH147" s="594" t="n"/>
      <c r="AI147" s="206" t="inlineStr">
        <is>
          <t>ARMAGEDDON TIME</t>
        </is>
      </c>
      <c r="AJ147" s="128">
        <f>SUMIF('TK 15661.Bản quyền phim '!F:F,'KK1. Movies'!D147,'TK 15661.Bản quyền phim '!X:X)</f>
        <v/>
      </c>
      <c r="AK147" s="128">
        <f>SUMIF('TK 15661.Bản quyền phim '!F:F,'KK1. Movies'!AI147,'TK 15661.Bản quyền phim '!X:X)</f>
        <v/>
      </c>
      <c r="AL147" s="203">
        <f>COUNTIF('242.BQ Phim hợp tác'!$C:$C,'KK1. Movies'!AI147)</f>
        <v/>
      </c>
      <c r="AM147" s="203">
        <f>COUNTIF('TK 15661.Bản quyền phim '!F:F,'KK1. Movies'!AI147)</f>
        <v/>
      </c>
      <c r="AN147" s="546">
        <f>AL147+AM147</f>
        <v/>
      </c>
      <c r="AO147" s="203" t="n"/>
      <c r="AP147" s="203" t="n"/>
      <c r="AQ147" s="203" t="n"/>
      <c r="AR147" s="203" t="n"/>
      <c r="AS147" s="203" t="n"/>
      <c r="AT147" s="546">
        <f>IFERROR(VLOOKUP(C147, CodeRanMovies!$A:$K, 11, 0), "Not found")</f>
        <v/>
      </c>
    </row>
    <row r="148" ht="26.4" customHeight="1" s="578">
      <c r="A148" s="201">
        <f>_xlfn.AGGREGATE(3,3,$D$7:D148)</f>
        <v/>
      </c>
      <c r="B148" s="589" t="inlineStr">
        <is>
          <t>16+</t>
        </is>
      </c>
      <c r="C148" s="590" t="inlineStr">
        <is>
          <t>MOV_ACT_23__2696592</t>
        </is>
      </c>
      <c r="D148" s="596" t="inlineStr">
        <is>
          <t>The Doorman</t>
        </is>
      </c>
      <c r="E148" s="590" t="inlineStr">
        <is>
          <t>Người gác cửa</t>
        </is>
      </c>
      <c r="F148" s="590" t="inlineStr">
        <is>
          <t>Action, Adventure</t>
        </is>
      </c>
      <c r="G148" s="589" t="inlineStr">
        <is>
          <t>Roses Media</t>
        </is>
      </c>
      <c r="H148" s="590" t="inlineStr">
        <is>
          <t>140/2022/HDBQ/VSTV-RM</t>
        </is>
      </c>
      <c r="I148" s="204" t="n">
        <v>2020</v>
      </c>
      <c r="J148" s="592" t="inlineStr">
        <is>
          <t>US</t>
        </is>
      </c>
      <c r="K148" s="204" t="n">
        <v>97</v>
      </c>
      <c r="L148" s="98" t="n">
        <v>45210</v>
      </c>
      <c r="M148" s="101" t="n">
        <v>46305</v>
      </c>
      <c r="N148" s="597" t="n">
        <v>45210</v>
      </c>
      <c r="O148" s="598" t="inlineStr">
        <is>
          <t>K+CINE</t>
        </is>
      </c>
      <c r="P148" s="592" t="inlineStr">
        <is>
          <t xml:space="preserve">Exclusive All Pay TV Rights for first 12 months.
Non exclusive All VOD during LP 
</t>
        </is>
      </c>
      <c r="Q148" s="592" t="inlineStr">
        <is>
          <t>No</t>
        </is>
      </c>
      <c r="R148" s="592" t="inlineStr">
        <is>
          <t>Yes</t>
        </is>
      </c>
      <c r="S148" s="592" t="inlineStr">
        <is>
          <t>No</t>
        </is>
      </c>
      <c r="T148" s="592" t="inlineStr">
        <is>
          <t>Yes</t>
        </is>
      </c>
      <c r="U148" s="592" t="inlineStr">
        <is>
          <t>Yes</t>
        </is>
      </c>
      <c r="V148" s="592" t="inlineStr">
        <is>
          <t>Yes</t>
        </is>
      </c>
      <c r="W148" s="592" t="inlineStr">
        <is>
          <t>Yes</t>
        </is>
      </c>
      <c r="X148" s="592" t="inlineStr">
        <is>
          <t>Yes</t>
        </is>
      </c>
      <c r="Y148" s="592" t="inlineStr">
        <is>
          <t>No</t>
        </is>
      </c>
      <c r="Z148" s="98" t="n">
        <v>45210</v>
      </c>
      <c r="AA148" s="101" t="n">
        <v>46305</v>
      </c>
      <c r="AB148" s="202" t="n">
        <v>24</v>
      </c>
      <c r="AC148" s="202" t="n">
        <v>13</v>
      </c>
      <c r="AD148" s="592" t="inlineStr">
        <is>
          <t>Yes</t>
        </is>
      </c>
      <c r="AE148" s="592" t="inlineStr">
        <is>
          <t>Yes</t>
        </is>
      </c>
      <c r="AF148" s="600" t="n"/>
      <c r="AG148" s="593" t="inlineStr">
        <is>
          <t>Phim còn hạn từ 2026</t>
        </is>
      </c>
      <c r="AH148" s="594" t="n"/>
      <c r="AI148" s="206" t="inlineStr">
        <is>
          <t>The Doorman</t>
        </is>
      </c>
      <c r="AJ148" s="128">
        <f>SUMIF('TK 15661.Bản quyền phim '!F:F,'KK1. Movies'!D148,'TK 15661.Bản quyền phim '!X:X)</f>
        <v/>
      </c>
      <c r="AK148" s="128">
        <f>SUMIF('TK 15661.Bản quyền phim '!F:F,'KK1. Movies'!AI148,'TK 15661.Bản quyền phim '!X:X)</f>
        <v/>
      </c>
      <c r="AL148" s="203">
        <f>COUNTIF('242.BQ Phim hợp tác'!$C:$C,'KK1. Movies'!AI148)</f>
        <v/>
      </c>
      <c r="AM148" s="203">
        <f>COUNTIF('TK 15661.Bản quyền phim '!F:F,'KK1. Movies'!AI148)</f>
        <v/>
      </c>
      <c r="AN148" s="546">
        <f>AL148+AM148</f>
        <v/>
      </c>
      <c r="AO148" s="203" t="n"/>
      <c r="AP148" s="203" t="n"/>
      <c r="AQ148" s="203" t="n"/>
      <c r="AR148" s="203" t="n"/>
      <c r="AS148" s="203" t="n"/>
      <c r="AT148" s="546">
        <f>IFERROR(VLOOKUP(C148, CodeRanMovies!$A:$K, 11, 0), "Not found")</f>
        <v/>
      </c>
    </row>
    <row r="149" ht="26.4" customHeight="1" s="578">
      <c r="A149" s="201">
        <f>_xlfn.AGGREGATE(3,3,$D$7:D149)</f>
        <v/>
      </c>
      <c r="B149" s="110" t="inlineStr">
        <is>
          <t>16+</t>
        </is>
      </c>
      <c r="C149" s="234" t="inlineStr">
        <is>
          <t>MOV_ACT_22__2686500</t>
        </is>
      </c>
      <c r="D149" s="596" t="inlineStr">
        <is>
          <t>Kin</t>
        </is>
      </c>
      <c r="E149" s="590" t="inlineStr">
        <is>
          <t>Vũ khí bí ẩn</t>
        </is>
      </c>
      <c r="F149" s="590" t="inlineStr">
        <is>
          <t>Action, Adventure</t>
        </is>
      </c>
      <c r="G149" s="604" t="inlineStr">
        <is>
          <t>Pro Partner</t>
        </is>
      </c>
      <c r="H149" s="590" t="inlineStr">
        <is>
          <t>56/2023/HDBQ/VSTV-Pro Partner</t>
        </is>
      </c>
      <c r="I149" s="204" t="n">
        <v>2018</v>
      </c>
      <c r="J149" s="600" t="inlineStr">
        <is>
          <t>US</t>
        </is>
      </c>
      <c r="K149" s="204" t="n">
        <v>102</v>
      </c>
      <c r="L149" s="98" t="n">
        <v>45084</v>
      </c>
      <c r="M149" s="591" t="n">
        <v>46179</v>
      </c>
      <c r="N149" s="601" t="n">
        <v>45084</v>
      </c>
      <c r="O149" s="598" t="inlineStr">
        <is>
          <t>K+CINE</t>
        </is>
      </c>
      <c r="P149" s="592" t="inlineStr">
        <is>
          <t>Exclusive All TV Rights the first 9 months of LP
 Non-exclusive with All Catch-up TV Rights; All VOD Rights during LP</t>
        </is>
      </c>
      <c r="Q149" s="600" t="inlineStr">
        <is>
          <t>No</t>
        </is>
      </c>
      <c r="R149" s="592" t="inlineStr">
        <is>
          <t>Yes</t>
        </is>
      </c>
      <c r="S149" s="592" t="inlineStr">
        <is>
          <t>Yes</t>
        </is>
      </c>
      <c r="T149" s="592" t="inlineStr">
        <is>
          <t>Yes</t>
        </is>
      </c>
      <c r="U149" s="592" t="inlineStr">
        <is>
          <t>Yes</t>
        </is>
      </c>
      <c r="V149" s="592" t="inlineStr">
        <is>
          <t>Yes</t>
        </is>
      </c>
      <c r="W149" s="592" t="inlineStr">
        <is>
          <t>Yes</t>
        </is>
      </c>
      <c r="X149" s="592" t="inlineStr">
        <is>
          <t>Yes</t>
        </is>
      </c>
      <c r="Y149" s="592" t="inlineStr">
        <is>
          <t>Yes</t>
        </is>
      </c>
      <c r="Z149" s="98" t="n">
        <v>45084</v>
      </c>
      <c r="AA149" s="591" t="n">
        <v>46179</v>
      </c>
      <c r="AB149" s="96" t="inlineStr">
        <is>
          <t>unlimited</t>
        </is>
      </c>
      <c r="AC149" s="202" t="n">
        <v>29</v>
      </c>
      <c r="AD149" s="592" t="inlineStr">
        <is>
          <t>Yes</t>
        </is>
      </c>
      <c r="AE149" s="592" t="inlineStr">
        <is>
          <t>Yes</t>
        </is>
      </c>
      <c r="AF149" s="600" t="n"/>
      <c r="AG149" s="593" t="inlineStr">
        <is>
          <t>Phim còn hạn từ 2026</t>
        </is>
      </c>
      <c r="AH149" s="594" t="n"/>
      <c r="AI149" s="206" t="inlineStr">
        <is>
          <t>Kin</t>
        </is>
      </c>
      <c r="AJ149" s="128">
        <f>SUMIF('TK 15661.Bản quyền phim '!F:F,'KK1. Movies'!D149,'TK 15661.Bản quyền phim '!X:X)</f>
        <v/>
      </c>
      <c r="AK149" s="128">
        <f>SUMIF('TK 15661.Bản quyền phim '!F:F,'KK1. Movies'!AI149,'TK 15661.Bản quyền phim '!X:X)</f>
        <v/>
      </c>
      <c r="AL149" s="203">
        <f>COUNTIF('242.BQ Phim hợp tác'!$C:$C,'KK1. Movies'!AI149)</f>
        <v/>
      </c>
      <c r="AM149" s="203">
        <f>COUNTIF('TK 15661.Bản quyền phim '!F:F,'KK1. Movies'!AI149)</f>
        <v/>
      </c>
      <c r="AN149" s="546">
        <f>AL149+AM149</f>
        <v/>
      </c>
      <c r="AO149" s="203" t="n"/>
      <c r="AP149" s="203" t="n"/>
      <c r="AQ149" s="203" t="n"/>
      <c r="AR149" s="203" t="n"/>
      <c r="AS149" s="203" t="n"/>
      <c r="AT149" s="546">
        <f>IFERROR(VLOOKUP(C149, CodeRanMovies!$A:$K, 11, 0), "Not found")</f>
        <v/>
      </c>
    </row>
    <row r="150" ht="26.4" customHeight="1" s="578">
      <c r="A150" s="201">
        <f>_xlfn.AGGREGATE(3,3,$D$7:D150)</f>
        <v/>
      </c>
      <c r="B150" s="589" t="inlineStr">
        <is>
          <t>16+</t>
        </is>
      </c>
      <c r="C150" s="590" t="inlineStr">
        <is>
          <t>MOV_DRA_24__2710442</t>
        </is>
      </c>
      <c r="D150" s="105" t="inlineStr">
        <is>
          <t>ANATOMY OF A FALL</t>
        </is>
      </c>
      <c r="E150" s="590" t="inlineStr">
        <is>
          <t>Kỳ án trên đồi tuyết</t>
        </is>
      </c>
      <c r="F150" s="590" t="inlineStr">
        <is>
          <t>Crime, Thriller</t>
        </is>
      </c>
      <c r="G150" s="108" t="inlineStr">
        <is>
          <t>Skyline Media</t>
        </is>
      </c>
      <c r="H150" s="590" t="inlineStr">
        <is>
          <t>28/2024/HDBQ/VSTV-SM</t>
        </is>
      </c>
      <c r="I150" s="107" t="n">
        <v>2023</v>
      </c>
      <c r="J150" s="600" t="inlineStr">
        <is>
          <t>France</t>
        </is>
      </c>
      <c r="K150" s="107" t="n">
        <v>152</v>
      </c>
      <c r="L150" s="98" t="n">
        <v>45383</v>
      </c>
      <c r="M150" s="109" t="n">
        <v>46477</v>
      </c>
      <c r="N150" s="601" t="n">
        <v>45541</v>
      </c>
      <c r="O150" s="592" t="inlineStr">
        <is>
          <t>K+CINE</t>
        </is>
      </c>
      <c r="P150" s="104" t="n">
        <v>12</v>
      </c>
      <c r="Q150" s="107" t="inlineStr">
        <is>
          <t>No</t>
        </is>
      </c>
      <c r="R150" s="592" t="inlineStr">
        <is>
          <t>Yes</t>
        </is>
      </c>
      <c r="S150" s="592" t="inlineStr">
        <is>
          <t>Yes</t>
        </is>
      </c>
      <c r="T150" s="592" t="inlineStr">
        <is>
          <t>Yes</t>
        </is>
      </c>
      <c r="U150" s="592" t="inlineStr">
        <is>
          <t>Yes</t>
        </is>
      </c>
      <c r="V150" s="592" t="inlineStr">
        <is>
          <t>Yes</t>
        </is>
      </c>
      <c r="W150" s="592" t="inlineStr">
        <is>
          <t>Yes</t>
        </is>
      </c>
      <c r="X150" s="592" t="inlineStr">
        <is>
          <t>Yes</t>
        </is>
      </c>
      <c r="Y150" s="104" t="inlineStr">
        <is>
          <t>No</t>
        </is>
      </c>
      <c r="Z150" s="98" t="n">
        <v>45383</v>
      </c>
      <c r="AA150" s="109" t="n">
        <v>46477</v>
      </c>
      <c r="AB150" s="107" t="n">
        <v>24</v>
      </c>
      <c r="AC150" s="202" t="n">
        <v>13</v>
      </c>
      <c r="AD150" s="592" t="inlineStr">
        <is>
          <t>Yes</t>
        </is>
      </c>
      <c r="AE150" s="592" t="inlineStr">
        <is>
          <t>Yes</t>
        </is>
      </c>
      <c r="AF150" s="600" t="n"/>
      <c r="AG150" s="593" t="inlineStr">
        <is>
          <t>Phim còn hạn từ 2026</t>
        </is>
      </c>
      <c r="AH150" s="594" t="inlineStr">
        <is>
          <t>MOV_DRA_24__2710442</t>
        </is>
      </c>
      <c r="AI150" s="206" t="inlineStr">
        <is>
          <t>ANATOMY OF A FALL</t>
        </is>
      </c>
      <c r="AJ150" s="128">
        <f>SUMIF('TK 15661.Bản quyền phim '!F:F,'KK1. Movies'!D150,'TK 15661.Bản quyền phim '!X:X)</f>
        <v/>
      </c>
      <c r="AK150" s="128">
        <f>SUMIF('TK 15661.Bản quyền phim '!F:F,'KK1. Movies'!AI150,'TK 15661.Bản quyền phim '!X:X)</f>
        <v/>
      </c>
      <c r="AL150" s="203">
        <f>COUNTIF('242.BQ Phim hợp tác'!$C:$C,'KK1. Movies'!AI150)</f>
        <v/>
      </c>
      <c r="AM150" s="203">
        <f>COUNTIF('TK 15661.Bản quyền phim '!F:F,'KK1. Movies'!AI150)</f>
        <v/>
      </c>
      <c r="AN150" s="546">
        <f>AL150+AM150</f>
        <v/>
      </c>
      <c r="AO150" s="203" t="n"/>
      <c r="AP150" s="203" t="n"/>
      <c r="AQ150" s="203" t="n"/>
      <c r="AR150" s="203" t="n"/>
      <c r="AS150" s="203" t="n"/>
      <c r="AT150" s="546">
        <f>IFERROR(VLOOKUP(C150, CodeRanMovies!$A:$K, 11, 0), "Not found")</f>
        <v/>
      </c>
    </row>
    <row r="151">
      <c r="A151" s="201">
        <f>_xlfn.AGGREGATE(3,3,$D$7:D151)</f>
        <v/>
      </c>
      <c r="B151" s="589" t="n"/>
      <c r="C151" s="234" t="inlineStr">
        <is>
          <t>MOV_THR169</t>
        </is>
      </c>
      <c r="D151" s="105" t="inlineStr">
        <is>
          <t>BREAKING</t>
        </is>
      </c>
      <c r="E151" s="590" t="inlineStr">
        <is>
          <t>Vụ cướp bất đắc dĩ</t>
        </is>
      </c>
      <c r="F151" s="103" t="inlineStr">
        <is>
          <t>Thriller/Crime</t>
        </is>
      </c>
      <c r="G151" s="103" t="inlineStr">
        <is>
          <t>NBC Universal</t>
        </is>
      </c>
      <c r="H151" s="108" t="inlineStr">
        <is>
          <t>5051370-3/166015-3</t>
        </is>
      </c>
      <c r="I151" s="107" t="n">
        <v>2022</v>
      </c>
      <c r="J151" s="104" t="inlineStr">
        <is>
          <t>US</t>
        </is>
      </c>
      <c r="K151" s="107" t="n">
        <v>103</v>
      </c>
      <c r="L151" s="109" t="n">
        <v>45792</v>
      </c>
      <c r="M151" s="109" t="n">
        <v>46521</v>
      </c>
      <c r="N151" s="601" t="n"/>
      <c r="O151" s="592" t="n"/>
      <c r="P151" s="104" t="n">
        <v>0</v>
      </c>
      <c r="Q151" s="104" t="inlineStr">
        <is>
          <t>No</t>
        </is>
      </c>
      <c r="R151" s="592" t="inlineStr">
        <is>
          <t>Yes</t>
        </is>
      </c>
      <c r="S151" s="104" t="inlineStr">
        <is>
          <t>Yes</t>
        </is>
      </c>
      <c r="T151" s="592" t="inlineStr">
        <is>
          <t>Yes</t>
        </is>
      </c>
      <c r="U151" s="104" t="inlineStr">
        <is>
          <t>No</t>
        </is>
      </c>
      <c r="V151" s="104" t="inlineStr">
        <is>
          <t>No</t>
        </is>
      </c>
      <c r="W151" s="104" t="inlineStr">
        <is>
          <t>No</t>
        </is>
      </c>
      <c r="X151" s="104" t="inlineStr">
        <is>
          <t>Yes</t>
        </is>
      </c>
      <c r="Y151" s="104" t="inlineStr">
        <is>
          <t>Yes</t>
        </is>
      </c>
      <c r="Z151" s="109" t="n">
        <v>45792</v>
      </c>
      <c r="AA151" s="125" t="n">
        <v>46521</v>
      </c>
      <c r="AB151" s="104" t="n">
        <v>6</v>
      </c>
      <c r="AC151" s="202" t="n">
        <v>1</v>
      </c>
      <c r="AD151" s="592" t="inlineStr">
        <is>
          <t>Yes</t>
        </is>
      </c>
      <c r="AE151" s="592" t="inlineStr">
        <is>
          <t>Yes</t>
        </is>
      </c>
      <c r="AF151" s="600" t="n"/>
      <c r="AG151" s="593" t="inlineStr">
        <is>
          <t>Phim còn hạn từ 2026</t>
        </is>
      </c>
      <c r="AH151" s="594" t="n"/>
      <c r="AI151" s="206" t="inlineStr">
        <is>
          <t>BREAKING</t>
        </is>
      </c>
      <c r="AJ151" s="128">
        <f>SUMIF('TK 15661.Bản quyền phim '!F:F,'KK1. Movies'!D151,'TK 15661.Bản quyền phim '!X:X)</f>
        <v/>
      </c>
      <c r="AK151" s="128">
        <f>SUMIF('TK 15661.Bản quyền phim '!F:F,'KK1. Movies'!AI151,'TK 15661.Bản quyền phim '!X:X)</f>
        <v/>
      </c>
      <c r="AL151" s="203">
        <f>COUNTIF('242.BQ Phim hợp tác'!$C:$C,'KK1. Movies'!AI151)</f>
        <v/>
      </c>
      <c r="AM151" s="203">
        <f>COUNTIF('TK 15661.Bản quyền phim '!F:F,'KK1. Movies'!AI151)</f>
        <v/>
      </c>
      <c r="AN151" s="546">
        <f>AL151+AM151</f>
        <v/>
      </c>
      <c r="AO151" s="203" t="n"/>
      <c r="AP151" s="203" t="n"/>
      <c r="AQ151" s="203" t="n"/>
      <c r="AR151" s="203" t="n"/>
      <c r="AS151" s="203" t="n"/>
      <c r="AT151" s="546">
        <f>IFERROR(VLOOKUP(C151, CodeRanMovies!$A:$K, 11, 0), "Not found")</f>
        <v/>
      </c>
    </row>
    <row r="152" ht="39.6" customHeight="1" s="578">
      <c r="A152" s="201">
        <f>_xlfn.AGGREGATE(3,3,$D$7:D152)</f>
        <v/>
      </c>
      <c r="B152" s="589" t="inlineStr">
        <is>
          <t>16+</t>
        </is>
      </c>
      <c r="C152" s="590" t="inlineStr">
        <is>
          <t>MOV_ACT_21__2654665</t>
        </is>
      </c>
      <c r="D152" s="590" t="inlineStr">
        <is>
          <t>TAOIST MASTER: KYLIN</t>
        </is>
      </c>
      <c r="E152" s="590" t="inlineStr">
        <is>
          <t>Long Hổ sơn Trương thiên sư: Kỳ Lân</t>
        </is>
      </c>
      <c r="F152" s="590" t="inlineStr">
        <is>
          <t>Action, Adventure</t>
        </is>
      </c>
      <c r="G152" s="590" t="inlineStr">
        <is>
          <t>Pro Partner</t>
        </is>
      </c>
      <c r="H152" s="590" t="inlineStr">
        <is>
          <t>47F/2022/VSTV-Pro Partner</t>
        </is>
      </c>
      <c r="I152" s="204" t="n">
        <v>2020</v>
      </c>
      <c r="J152" s="204" t="inlineStr">
        <is>
          <t>China</t>
        </is>
      </c>
      <c r="K152" s="204" t="n">
        <v>75</v>
      </c>
      <c r="L152" s="98" t="n">
        <v>44562</v>
      </c>
      <c r="M152" s="602" t="n">
        <v>46387</v>
      </c>
      <c r="N152" s="603" t="n">
        <v>44510</v>
      </c>
      <c r="O152" s="592" t="inlineStr">
        <is>
          <t>K+CINE</t>
        </is>
      </c>
      <c r="P152" s="412" t="inlineStr">
        <is>
          <t xml:space="preserve">Exclusive All TV Rights for the first 9 months of LP. 
Non exclusive All VOD during LP </t>
        </is>
      </c>
      <c r="Q152" s="413" t="inlineStr">
        <is>
          <t>No</t>
        </is>
      </c>
      <c r="R152" s="592" t="inlineStr">
        <is>
          <t>Yes</t>
        </is>
      </c>
      <c r="S152" s="592" t="inlineStr">
        <is>
          <t>Yes</t>
        </is>
      </c>
      <c r="T152" s="592" t="inlineStr">
        <is>
          <t>Yes</t>
        </is>
      </c>
      <c r="U152" s="592" t="inlineStr">
        <is>
          <t>Yes</t>
        </is>
      </c>
      <c r="V152" s="592" t="inlineStr">
        <is>
          <t>Yes</t>
        </is>
      </c>
      <c r="W152" s="592" t="inlineStr">
        <is>
          <t>Yes</t>
        </is>
      </c>
      <c r="X152" s="592" t="inlineStr">
        <is>
          <t>Yes</t>
        </is>
      </c>
      <c r="Y152" s="592" t="inlineStr">
        <is>
          <t>Yes</t>
        </is>
      </c>
      <c r="Z152" s="98" t="n">
        <v>44562</v>
      </c>
      <c r="AA152" s="602" t="n">
        <v>46387</v>
      </c>
      <c r="AB152" s="96" t="inlineStr">
        <is>
          <t>unlimited</t>
        </is>
      </c>
      <c r="AC152" s="202" t="n">
        <v>45</v>
      </c>
      <c r="AD152" s="592" t="inlineStr">
        <is>
          <t>Yes</t>
        </is>
      </c>
      <c r="AE152" s="592" t="inlineStr">
        <is>
          <t>Yes</t>
        </is>
      </c>
      <c r="AF152" s="600" t="n"/>
      <c r="AG152" s="593" t="inlineStr">
        <is>
          <t>Phim còn hạn từ 2026</t>
        </is>
      </c>
      <c r="AH152" s="594" t="n"/>
      <c r="AI152" s="595" t="inlineStr">
        <is>
          <t>TAOIST MASTER：KYLIN</t>
        </is>
      </c>
      <c r="AJ152" s="128">
        <f>SUMIF('TK 15661.Bản quyền phim '!F:F,'KK1. Movies'!D152,'TK 15661.Bản quyền phim '!X:X)</f>
        <v/>
      </c>
      <c r="AK152" s="128">
        <f>SUMIF('TK 15661.Bản quyền phim '!F:F,'KK1. Movies'!AI152,'TK 15661.Bản quyền phim '!X:X)</f>
        <v/>
      </c>
      <c r="AL152" s="203">
        <f>COUNTIF('242.BQ Phim hợp tác'!$C:$C,'KK1. Movies'!AI152)</f>
        <v/>
      </c>
      <c r="AM152" s="203">
        <f>COUNTIF('TK 15661.Bản quyền phim '!F:F,'KK1. Movies'!AI152)</f>
        <v/>
      </c>
      <c r="AN152" s="546">
        <f>AL152+AM152</f>
        <v/>
      </c>
      <c r="AO152" s="203" t="n"/>
      <c r="AP152" s="203" t="n"/>
      <c r="AQ152" s="203" t="n"/>
      <c r="AR152" s="203" t="n"/>
      <c r="AS152" s="203" t="n"/>
      <c r="AT152" s="546">
        <f>IFERROR(VLOOKUP(C152, CodeRanMovies!$A:$K, 11, 0), "Not found")</f>
        <v/>
      </c>
    </row>
    <row r="153" ht="26.4" customHeight="1" s="578">
      <c r="A153" s="201">
        <f>_xlfn.AGGREGATE(3,3,$D$7:D153)</f>
        <v/>
      </c>
      <c r="B153" s="589" t="inlineStr">
        <is>
          <t>13+</t>
        </is>
      </c>
      <c r="C153" s="590" t="inlineStr">
        <is>
          <t>MOV_HOR_22__2682563</t>
        </is>
      </c>
      <c r="D153" s="590" t="inlineStr">
        <is>
          <t>The Nightmares</t>
        </is>
      </c>
      <c r="E153" s="590" t="inlineStr">
        <is>
          <t xml:space="preserve"> Vô Diện Sát Nhân</t>
        </is>
      </c>
      <c r="F153" s="590" t="inlineStr">
        <is>
          <t>Horror</t>
        </is>
      </c>
      <c r="G153" s="590" t="inlineStr">
        <is>
          <t>Skyline Media</t>
        </is>
      </c>
      <c r="H153" s="590" t="inlineStr">
        <is>
          <t>20C/2022/HDBQ/VSTV-SM</t>
        </is>
      </c>
      <c r="I153" s="204" t="n">
        <v>2021</v>
      </c>
      <c r="J153" s="592" t="inlineStr">
        <is>
          <t>Việt Nam</t>
        </is>
      </c>
      <c r="K153" s="204" t="n">
        <v>90</v>
      </c>
      <c r="L153" s="98" t="n">
        <v>44885</v>
      </c>
      <c r="M153" s="98" t="n">
        <v>46345</v>
      </c>
      <c r="N153" s="602" t="n">
        <v>44890</v>
      </c>
      <c r="O153" s="592" t="inlineStr">
        <is>
          <t>K+CINE</t>
        </is>
      </c>
      <c r="P153" s="102" t="inlineStr">
        <is>
          <t>Exclusive All  TV Rights for the first 24 months of LP.
Non exclusive All VOD Rights during LP (First 6 months of LP co-exclusive SVOD Right with Netflix)</t>
        </is>
      </c>
      <c r="Q153" s="600" t="inlineStr">
        <is>
          <t>No</t>
        </is>
      </c>
      <c r="R153" s="592" t="inlineStr">
        <is>
          <t>Yes</t>
        </is>
      </c>
      <c r="S153" s="592" t="inlineStr">
        <is>
          <t>Yes</t>
        </is>
      </c>
      <c r="T153" s="592" t="inlineStr">
        <is>
          <t>Yes</t>
        </is>
      </c>
      <c r="U153" s="592" t="inlineStr">
        <is>
          <t>Yes</t>
        </is>
      </c>
      <c r="V153" s="592" t="inlineStr">
        <is>
          <t>Yes</t>
        </is>
      </c>
      <c r="W153" s="592" t="inlineStr">
        <is>
          <t>Yes</t>
        </is>
      </c>
      <c r="X153" s="592" t="inlineStr">
        <is>
          <t>Yes</t>
        </is>
      </c>
      <c r="Y153" s="592" t="inlineStr">
        <is>
          <t>Yes</t>
        </is>
      </c>
      <c r="Z153" s="98" t="n">
        <v>44885</v>
      </c>
      <c r="AA153" s="98" t="n">
        <v>46345</v>
      </c>
      <c r="AB153" s="96" t="inlineStr">
        <is>
          <t>unlimited</t>
        </is>
      </c>
      <c r="AC153" s="202" t="n">
        <v>45</v>
      </c>
      <c r="AD153" s="592" t="inlineStr">
        <is>
          <t>Yes</t>
        </is>
      </c>
      <c r="AE153" s="592" t="inlineStr">
        <is>
          <t>Yes</t>
        </is>
      </c>
      <c r="AF153" s="600" t="n"/>
      <c r="AG153" s="593" t="inlineStr">
        <is>
          <t>Phim còn hạn từ 2026</t>
        </is>
      </c>
      <c r="AH153" s="594" t="n"/>
      <c r="AI153" s="206" t="inlineStr">
        <is>
          <t>The Nightmares (Vô diện sát nhân)</t>
        </is>
      </c>
      <c r="AJ153" s="128">
        <f>SUMIF('TK 15661.Bản quyền phim '!F:F,'KK1. Movies'!D153,'TK 15661.Bản quyền phim '!X:X)</f>
        <v/>
      </c>
      <c r="AK153" s="128">
        <f>SUMIF('TK 15661.Bản quyền phim '!F:F,'KK1. Movies'!AI153,'TK 15661.Bản quyền phim '!X:X)</f>
        <v/>
      </c>
      <c r="AL153" s="203">
        <f>COUNTIF('242.BQ Phim hợp tác'!$C:$C,'KK1. Movies'!AI153)</f>
        <v/>
      </c>
      <c r="AM153" s="203">
        <f>COUNTIF('TK 15661.Bản quyền phim '!F:F,'KK1. Movies'!AI153)</f>
        <v/>
      </c>
      <c r="AN153" s="546">
        <f>AL153+AM153</f>
        <v/>
      </c>
      <c r="AO153" s="203" t="n"/>
      <c r="AP153" s="203" t="n"/>
      <c r="AQ153" s="203" t="n"/>
      <c r="AR153" s="203" t="n"/>
      <c r="AS153" s="203" t="n"/>
      <c r="AT153" s="546">
        <f>IFERROR(VLOOKUP(C153, CodeRanMovies!$A:$K, 11, 0), "Not found")</f>
        <v/>
      </c>
    </row>
    <row r="154" ht="26.4" customHeight="1" s="578">
      <c r="A154" s="201">
        <f>_xlfn.AGGREGATE(3,3,$D$7:D154)</f>
        <v/>
      </c>
      <c r="B154" s="606" t="inlineStr">
        <is>
          <t>n/a</t>
        </is>
      </c>
      <c r="C154" s="590" t="inlineStr">
        <is>
          <t>MOV_BIO24</t>
        </is>
      </c>
      <c r="D154" s="105" t="inlineStr">
        <is>
          <t>THE THEORY OF EVERYTHING</t>
        </is>
      </c>
      <c r="E154" s="97" t="inlineStr">
        <is>
          <t>Thuyết yêu thương</t>
        </is>
      </c>
      <c r="F154" s="103" t="inlineStr">
        <is>
          <t xml:space="preserve">Others </t>
        </is>
      </c>
      <c r="G154" s="103" t="inlineStr">
        <is>
          <t>NBC Universal</t>
        </is>
      </c>
      <c r="H154" s="108" t="inlineStr">
        <is>
          <t>5051370-3/166015-3</t>
        </is>
      </c>
      <c r="I154" s="104" t="n">
        <v>2014</v>
      </c>
      <c r="J154" s="104" t="inlineStr">
        <is>
          <t>US</t>
        </is>
      </c>
      <c r="K154" s="104" t="n">
        <v>123</v>
      </c>
      <c r="L154" s="591" t="n">
        <v>45714</v>
      </c>
      <c r="M154" s="98" t="n">
        <v>46443</v>
      </c>
      <c r="N154" s="601" t="inlineStr">
        <is>
          <t>n/a</t>
        </is>
      </c>
      <c r="O154" s="592" t="n"/>
      <c r="P154" s="104" t="n"/>
      <c r="Q154" s="107" t="inlineStr">
        <is>
          <t>No</t>
        </is>
      </c>
      <c r="R154" s="592" t="inlineStr">
        <is>
          <t>Yes</t>
        </is>
      </c>
      <c r="S154" s="107" t="inlineStr">
        <is>
          <t>Yes</t>
        </is>
      </c>
      <c r="T154" s="592" t="inlineStr">
        <is>
          <t>Yes</t>
        </is>
      </c>
      <c r="U154" s="104" t="inlineStr">
        <is>
          <t>No</t>
        </is>
      </c>
      <c r="V154" s="104" t="inlineStr">
        <is>
          <t>No</t>
        </is>
      </c>
      <c r="W154" s="104" t="inlineStr">
        <is>
          <t>No</t>
        </is>
      </c>
      <c r="X154" s="107" t="inlineStr">
        <is>
          <t>Yes</t>
        </is>
      </c>
      <c r="Y154" s="104" t="inlineStr">
        <is>
          <t>No</t>
        </is>
      </c>
      <c r="Z154" s="109" t="n">
        <v>45714</v>
      </c>
      <c r="AA154" s="124" t="n">
        <v>46443</v>
      </c>
      <c r="AB154" s="104" t="n">
        <v>5</v>
      </c>
      <c r="AC154" s="202" t="n">
        <v>3</v>
      </c>
      <c r="AD154" s="592" t="inlineStr">
        <is>
          <t>Yes</t>
        </is>
      </c>
      <c r="AE154" s="592" t="inlineStr">
        <is>
          <t>Yes</t>
        </is>
      </c>
      <c r="AF154" s="600" t="n"/>
      <c r="AG154" s="593" t="inlineStr">
        <is>
          <t>Phim còn hạn từ 2026</t>
        </is>
      </c>
      <c r="AH154" s="594" t="inlineStr">
        <is>
          <t>MOV_BIO24</t>
        </is>
      </c>
      <c r="AI154" s="595" t="inlineStr">
        <is>
          <t>THEORY OF EVERYTHING</t>
        </is>
      </c>
      <c r="AJ154" s="128">
        <f>SUMIF('TK 15661.Bản quyền phim '!F:F,'KK1. Movies'!D154,'TK 15661.Bản quyền phim '!X:X)</f>
        <v/>
      </c>
      <c r="AK154" s="128">
        <f>SUMIF('TK 15661.Bản quyền phim '!F:F,'KK1. Movies'!AI154,'TK 15661.Bản quyền phim '!X:X)</f>
        <v/>
      </c>
      <c r="AL154" s="203">
        <f>COUNTIF('242.BQ Phim hợp tác'!$C:$C,'KK1. Movies'!AI154)</f>
        <v/>
      </c>
      <c r="AM154" s="203">
        <f>COUNTIF('TK 15661.Bản quyền phim '!F:F,'KK1. Movies'!AI154)</f>
        <v/>
      </c>
      <c r="AN154" s="546">
        <f>AL154+AM154</f>
        <v/>
      </c>
      <c r="AO154" s="203" t="n"/>
      <c r="AP154" s="203" t="n"/>
      <c r="AQ154" s="203" t="n"/>
      <c r="AR154" s="203" t="n"/>
      <c r="AS154" s="203" t="n"/>
      <c r="AT154" s="546">
        <f>IFERROR(VLOOKUP(C154, CodeRanMovies!$A:$K, 11, 0), "Not found")</f>
        <v/>
      </c>
    </row>
    <row r="155">
      <c r="A155" s="201">
        <f>_xlfn.AGGREGATE(3,3,$D$7:D155)</f>
        <v/>
      </c>
      <c r="B155" s="589" t="inlineStr">
        <is>
          <t>K</t>
        </is>
      </c>
      <c r="C155" s="590" t="inlineStr">
        <is>
          <t>MOV_COM_24__2710445</t>
        </is>
      </c>
      <c r="D155" s="105" t="inlineStr">
        <is>
          <t>ON YOUR MARK</t>
        </is>
      </c>
      <c r="E155" s="590" t="inlineStr">
        <is>
          <t>Giải cứu thiên thần</t>
        </is>
      </c>
      <c r="F155" s="590" t="inlineStr">
        <is>
          <t>Drama</t>
        </is>
      </c>
      <c r="G155" s="108" t="inlineStr">
        <is>
          <t>Skyline Media</t>
        </is>
      </c>
      <c r="H155" s="590" t="inlineStr">
        <is>
          <t>28/2024/HDBQ/VSTV-SM</t>
        </is>
      </c>
      <c r="I155" s="107" t="n">
        <v>2021</v>
      </c>
      <c r="J155" s="107" t="inlineStr">
        <is>
          <t>China</t>
        </is>
      </c>
      <c r="K155" s="107" t="n">
        <v>104</v>
      </c>
      <c r="L155" s="98" t="n">
        <v>45539</v>
      </c>
      <c r="M155" s="109" t="n">
        <v>46633</v>
      </c>
      <c r="N155" s="601" t="n">
        <v>45545</v>
      </c>
      <c r="O155" s="592" t="inlineStr">
        <is>
          <t>K+CINE</t>
        </is>
      </c>
      <c r="P155" s="104" t="n">
        <v>12</v>
      </c>
      <c r="Q155" s="107" t="inlineStr">
        <is>
          <t>No</t>
        </is>
      </c>
      <c r="R155" s="592" t="inlineStr">
        <is>
          <t>Yes</t>
        </is>
      </c>
      <c r="S155" s="592" t="inlineStr">
        <is>
          <t>Yes</t>
        </is>
      </c>
      <c r="T155" s="592" t="inlineStr">
        <is>
          <t>Yes</t>
        </is>
      </c>
      <c r="U155" s="592" t="inlineStr">
        <is>
          <t>Yes</t>
        </is>
      </c>
      <c r="V155" s="592" t="inlineStr">
        <is>
          <t>Yes</t>
        </is>
      </c>
      <c r="W155" s="592" t="inlineStr">
        <is>
          <t>Yes</t>
        </is>
      </c>
      <c r="X155" s="592" t="inlineStr">
        <is>
          <t>Yes</t>
        </is>
      </c>
      <c r="Y155" s="104" t="inlineStr">
        <is>
          <t>No</t>
        </is>
      </c>
      <c r="Z155" s="98" t="n">
        <v>45539</v>
      </c>
      <c r="AA155" s="109" t="n">
        <v>46633</v>
      </c>
      <c r="AB155" s="107" t="n">
        <v>24</v>
      </c>
      <c r="AC155" s="202" t="n">
        <v>9</v>
      </c>
      <c r="AD155" s="592" t="inlineStr">
        <is>
          <t>Yes</t>
        </is>
      </c>
      <c r="AE155" s="592" t="inlineStr">
        <is>
          <t>Yes</t>
        </is>
      </c>
      <c r="AF155" s="600" t="n"/>
      <c r="AG155" s="593" t="inlineStr">
        <is>
          <t>Phim còn hạn từ 2026</t>
        </is>
      </c>
      <c r="AH155" s="594" t="n"/>
      <c r="AI155" s="206" t="inlineStr">
        <is>
          <t>ON YOUR MARK</t>
        </is>
      </c>
      <c r="AJ155" s="128">
        <f>SUMIF('TK 15661.Bản quyền phim '!F:F,'KK1. Movies'!D155,'TK 15661.Bản quyền phim '!X:X)</f>
        <v/>
      </c>
      <c r="AK155" s="128">
        <f>SUMIF('TK 15661.Bản quyền phim '!F:F,'KK1. Movies'!AI155,'TK 15661.Bản quyền phim '!X:X)</f>
        <v/>
      </c>
      <c r="AL155" s="203">
        <f>COUNTIF('242.BQ Phim hợp tác'!$C:$C,'KK1. Movies'!AI155)</f>
        <v/>
      </c>
      <c r="AM155" s="203">
        <f>COUNTIF('TK 15661.Bản quyền phim '!F:F,'KK1. Movies'!AI155)</f>
        <v/>
      </c>
      <c r="AN155" s="546">
        <f>AL155+AM155</f>
        <v/>
      </c>
      <c r="AO155" s="203" t="n"/>
      <c r="AP155" s="203" t="n"/>
      <c r="AQ155" s="203" t="n"/>
      <c r="AR155" s="203" t="n"/>
      <c r="AS155" s="203" t="n"/>
      <c r="AT155" s="546">
        <f>IFERROR(VLOOKUP(C155, CodeRanMovies!$A:$K, 11, 0), "Not found")</f>
        <v/>
      </c>
    </row>
    <row r="156" ht="26.4" customHeight="1" s="578">
      <c r="A156" s="201">
        <f>_xlfn.AGGREGATE(3,3,$D$7:D156)</f>
        <v/>
      </c>
      <c r="B156" s="589" t="n"/>
      <c r="C156" s="234" t="inlineStr">
        <is>
          <t>MOV_ACT611</t>
        </is>
      </c>
      <c r="D156" s="105" t="inlineStr">
        <is>
          <t>DEAD FOR A DOLLAR</t>
        </is>
      </c>
      <c r="E156" s="110" t="inlineStr">
        <is>
          <t>Gục ngã trước đồng tiền</t>
        </is>
      </c>
      <c r="F156" s="103" t="inlineStr">
        <is>
          <t xml:space="preserve"> Western/Thriller</t>
        </is>
      </c>
      <c r="G156" s="103" t="inlineStr">
        <is>
          <t>NBC Universal</t>
        </is>
      </c>
      <c r="H156" s="108" t="inlineStr">
        <is>
          <t>5051370-3/166015-3</t>
        </is>
      </c>
      <c r="I156" s="107" t="n">
        <v>2022</v>
      </c>
      <c r="J156" s="104" t="inlineStr">
        <is>
          <t>US</t>
        </is>
      </c>
      <c r="K156" s="107" t="n">
        <v>107</v>
      </c>
      <c r="L156" s="109" t="n">
        <v>45799</v>
      </c>
      <c r="M156" s="109" t="n">
        <v>46528</v>
      </c>
      <c r="N156" s="601" t="n"/>
      <c r="O156" s="592" t="n"/>
      <c r="P156" s="104" t="n">
        <v>0</v>
      </c>
      <c r="Q156" s="104" t="inlineStr">
        <is>
          <t>No</t>
        </is>
      </c>
      <c r="R156" s="592" t="inlineStr">
        <is>
          <t>Yes</t>
        </is>
      </c>
      <c r="S156" s="104" t="inlineStr">
        <is>
          <t>Yes</t>
        </is>
      </c>
      <c r="T156" s="592" t="inlineStr">
        <is>
          <t>Yes</t>
        </is>
      </c>
      <c r="U156" s="104" t="inlineStr">
        <is>
          <t>No</t>
        </is>
      </c>
      <c r="V156" s="104" t="inlineStr">
        <is>
          <t>No</t>
        </is>
      </c>
      <c r="W156" s="104" t="inlineStr">
        <is>
          <t>No</t>
        </is>
      </c>
      <c r="X156" s="104" t="inlineStr">
        <is>
          <t>Yes</t>
        </is>
      </c>
      <c r="Y156" s="104" t="inlineStr">
        <is>
          <t>Yes</t>
        </is>
      </c>
      <c r="Z156" s="109" t="n">
        <v>45799</v>
      </c>
      <c r="AA156" s="125" t="n">
        <v>46528</v>
      </c>
      <c r="AB156" s="104" t="n">
        <v>6</v>
      </c>
      <c r="AC156" s="202" t="n">
        <v>1</v>
      </c>
      <c r="AD156" s="592" t="inlineStr">
        <is>
          <t>Yes</t>
        </is>
      </c>
      <c r="AE156" s="592" t="inlineStr">
        <is>
          <t>Yes</t>
        </is>
      </c>
      <c r="AF156" s="600" t="n"/>
      <c r="AG156" s="593" t="inlineStr">
        <is>
          <t>Phim còn hạn từ 2026</t>
        </is>
      </c>
      <c r="AH156" s="594" t="n"/>
      <c r="AI156" s="206" t="inlineStr">
        <is>
          <t>DEAD FOR A DOLLAR</t>
        </is>
      </c>
      <c r="AJ156" s="128">
        <f>SUMIF('TK 15661.Bản quyền phim '!F:F,'KK1. Movies'!D156,'TK 15661.Bản quyền phim '!X:X)</f>
        <v/>
      </c>
      <c r="AK156" s="128">
        <f>SUMIF('TK 15661.Bản quyền phim '!F:F,'KK1. Movies'!AI156,'TK 15661.Bản quyền phim '!X:X)</f>
        <v/>
      </c>
      <c r="AL156" s="203">
        <f>COUNTIF('242.BQ Phim hợp tác'!$C:$C,'KK1. Movies'!AI156)</f>
        <v/>
      </c>
      <c r="AM156" s="203">
        <f>COUNTIF('TK 15661.Bản quyền phim '!F:F,'KK1. Movies'!AI156)</f>
        <v/>
      </c>
      <c r="AN156" s="546">
        <f>AL156+AM156</f>
        <v/>
      </c>
      <c r="AO156" s="203" t="n"/>
      <c r="AP156" s="203" t="n"/>
      <c r="AQ156" s="203" t="n"/>
      <c r="AR156" s="203" t="n"/>
      <c r="AS156" s="203" t="n"/>
      <c r="AT156" s="546">
        <f>IFERROR(VLOOKUP(C156, CodeRanMovies!$A:$K, 11, 0), "Not found")</f>
        <v/>
      </c>
    </row>
    <row r="157" ht="26.4" customHeight="1" s="578">
      <c r="A157" s="201">
        <f>_xlfn.AGGREGATE(3,3,$D$7:D157)</f>
        <v/>
      </c>
      <c r="B157" s="589" t="inlineStr">
        <is>
          <t>P</t>
        </is>
      </c>
      <c r="C157" s="234" t="inlineStr">
        <is>
          <t>MOV_ANI76</t>
        </is>
      </c>
      <c r="D157" s="105" t="inlineStr">
        <is>
          <t>MINIONS: THE RISE OF GRU</t>
        </is>
      </c>
      <c r="E157" s="590" t="inlineStr">
        <is>
          <t>Minions: Sự trỗi dậy của Gru</t>
        </is>
      </c>
      <c r="F157" s="108" t="inlineStr">
        <is>
          <t>animation</t>
        </is>
      </c>
      <c r="G157" s="108" t="inlineStr">
        <is>
          <t>NBC Universal</t>
        </is>
      </c>
      <c r="H157" s="108" t="inlineStr">
        <is>
          <t>5049540-2/161434-3</t>
        </is>
      </c>
      <c r="I157" s="104" t="n">
        <v>2020</v>
      </c>
      <c r="J157" s="107" t="inlineStr">
        <is>
          <t>US</t>
        </is>
      </c>
      <c r="K157" s="104" t="n">
        <v>87</v>
      </c>
      <c r="L157" s="98" t="n">
        <v>45629</v>
      </c>
      <c r="M157" s="98" t="n">
        <v>46358</v>
      </c>
      <c r="N157" s="601" t="n">
        <v>45647</v>
      </c>
      <c r="O157" s="104" t="inlineStr">
        <is>
          <t>K+KIDS</t>
        </is>
      </c>
      <c r="P157" s="104" t="inlineStr">
        <is>
          <t xml:space="preserve"> </t>
        </is>
      </c>
      <c r="Q157" s="104" t="inlineStr">
        <is>
          <t>No</t>
        </is>
      </c>
      <c r="R157" s="592" t="inlineStr">
        <is>
          <t>Yes</t>
        </is>
      </c>
      <c r="S157" s="104" t="inlineStr">
        <is>
          <t>Yes</t>
        </is>
      </c>
      <c r="T157" s="104" t="inlineStr">
        <is>
          <t>Yes</t>
        </is>
      </c>
      <c r="U157" s="104" t="inlineStr">
        <is>
          <t>No</t>
        </is>
      </c>
      <c r="V157" s="104" t="inlineStr">
        <is>
          <t>No</t>
        </is>
      </c>
      <c r="W157" s="104" t="inlineStr">
        <is>
          <t>No</t>
        </is>
      </c>
      <c r="X157" s="104" t="inlineStr">
        <is>
          <t>No</t>
        </is>
      </c>
      <c r="Y157" s="104" t="inlineStr">
        <is>
          <t>Yes</t>
        </is>
      </c>
      <c r="Z157" s="98" t="n">
        <v>45629</v>
      </c>
      <c r="AA157" s="98" t="n">
        <v>46358</v>
      </c>
      <c r="AB157" s="107" t="n">
        <v>6</v>
      </c>
      <c r="AC157" s="107" t="n">
        <v>4</v>
      </c>
      <c r="AD157" s="592" t="inlineStr">
        <is>
          <t>Yes</t>
        </is>
      </c>
      <c r="AE157" s="592" t="inlineStr">
        <is>
          <t>Yes</t>
        </is>
      </c>
      <c r="AF157" s="600" t="n"/>
      <c r="AG157" s="593" t="inlineStr">
        <is>
          <t>Phim còn hạn từ 2026</t>
        </is>
      </c>
      <c r="AH157" s="594" t="n"/>
      <c r="AI157" s="599" t="inlineStr">
        <is>
          <t>MINIONS: THE RISE OF GRU</t>
        </is>
      </c>
      <c r="AJ157" s="128">
        <f>SUMIF('TK 15661.Bản quyền phim '!F:F,'KK1. Movies'!D157,'TK 15661.Bản quyền phim '!X:X)</f>
        <v/>
      </c>
      <c r="AK157" s="128">
        <f>SUMIF('TK 15661.Bản quyền phim '!F:F,'KK1. Movies'!AI157,'TK 15661.Bản quyền phim '!X:X)</f>
        <v/>
      </c>
      <c r="AL157" s="203">
        <f>COUNTIF('242.BQ Phim hợp tác'!$C:$C,'KK1. Movies'!AI157)</f>
        <v/>
      </c>
      <c r="AM157" s="203">
        <f>COUNTIF('TK 15661.Bản quyền phim '!F:F,'KK1. Movies'!AI157)</f>
        <v/>
      </c>
      <c r="AN157" s="546">
        <f>AL157+AM157</f>
        <v/>
      </c>
      <c r="AO157" s="203" t="n"/>
      <c r="AP157" s="203" t="n"/>
      <c r="AQ157" s="203" t="n"/>
      <c r="AR157" s="203" t="n"/>
      <c r="AS157" s="203" t="n"/>
      <c r="AT157" s="546">
        <f>IFERROR(VLOOKUP(C157, CodeRanMovies!$A:$K, 11, 0), "Not found")</f>
        <v/>
      </c>
    </row>
    <row r="158" ht="52.8" customHeight="1" s="578">
      <c r="A158" s="201">
        <f>_xlfn.AGGREGATE(3,3,$D$7:D158)</f>
        <v/>
      </c>
      <c r="B158" s="589" t="inlineStr">
        <is>
          <t>16+</t>
        </is>
      </c>
      <c r="C158" s="590" t="inlineStr">
        <is>
          <t>MOV_DRA743</t>
        </is>
      </c>
      <c r="D158" s="105" t="inlineStr">
        <is>
          <t>SOUND OF METAL</t>
        </is>
      </c>
      <c r="E158" s="110" t="inlineStr">
        <is>
          <t>Tiếng gọi của Metal</t>
        </is>
      </c>
      <c r="F158" s="590" t="inlineStr">
        <is>
          <t>Drama</t>
        </is>
      </c>
      <c r="G158" s="103" t="inlineStr">
        <is>
          <t>SONY</t>
        </is>
      </c>
      <c r="H158" s="590" t="inlineStr">
        <is>
          <t>Sony/K+Vietnam PayBasic SVOD Package Agmt D3A FE (Feb-5-24)</t>
        </is>
      </c>
      <c r="I158" s="104" t="n">
        <v>2020</v>
      </c>
      <c r="J158" s="104" t="inlineStr">
        <is>
          <t>U.S.A.[excluding Territories &amp; Possessions]</t>
        </is>
      </c>
      <c r="K158" s="104" t="n">
        <v>120</v>
      </c>
      <c r="L158" s="591" t="n">
        <v>45701</v>
      </c>
      <c r="M158" s="106" t="n">
        <v>46430</v>
      </c>
      <c r="N158" s="601" t="n"/>
      <c r="O158" s="592" t="n"/>
      <c r="P158" s="592" t="n"/>
      <c r="Q158" s="104" t="inlineStr">
        <is>
          <t>No</t>
        </is>
      </c>
      <c r="R158" s="104" t="inlineStr">
        <is>
          <t>Yes</t>
        </is>
      </c>
      <c r="S158" s="104" t="inlineStr">
        <is>
          <t>Yes</t>
        </is>
      </c>
      <c r="T158" s="592" t="inlineStr">
        <is>
          <t>Yes</t>
        </is>
      </c>
      <c r="U158" s="104" t="inlineStr">
        <is>
          <t>No</t>
        </is>
      </c>
      <c r="V158" s="104" t="inlineStr">
        <is>
          <t>No</t>
        </is>
      </c>
      <c r="W158" s="104" t="inlineStr">
        <is>
          <t>No</t>
        </is>
      </c>
      <c r="X158" s="104" t="inlineStr">
        <is>
          <t>Yes</t>
        </is>
      </c>
      <c r="Y158" s="104" t="inlineStr">
        <is>
          <t>No</t>
        </is>
      </c>
      <c r="Z158" s="106" t="n">
        <v>45701</v>
      </c>
      <c r="AA158" s="124" t="n">
        <v>46246</v>
      </c>
      <c r="AB158" s="104" t="n">
        <v>7</v>
      </c>
      <c r="AC158" s="202" t="n">
        <v>2</v>
      </c>
      <c r="AD158" s="592" t="inlineStr">
        <is>
          <t>Yes</t>
        </is>
      </c>
      <c r="AE158" s="592" t="inlineStr">
        <is>
          <t>Yes</t>
        </is>
      </c>
      <c r="AF158" s="600" t="n"/>
      <c r="AG158" s="593" t="inlineStr">
        <is>
          <t>Phim còn hạn từ 2026</t>
        </is>
      </c>
      <c r="AH158" s="594" t="n"/>
      <c r="AI158" s="206" t="inlineStr">
        <is>
          <t>SOUND OF METAL</t>
        </is>
      </c>
      <c r="AJ158" s="128">
        <f>SUMIF('TK 15661.Bản quyền phim '!F:F,'KK1. Movies'!D158,'TK 15661.Bản quyền phim '!X:X)</f>
        <v/>
      </c>
      <c r="AK158" s="128">
        <f>SUMIF('TK 15661.Bản quyền phim '!F:F,'KK1. Movies'!AI158,'TK 15661.Bản quyền phim '!X:X)</f>
        <v/>
      </c>
      <c r="AL158" s="203">
        <f>COUNTIF('242.BQ Phim hợp tác'!$C:$C,'KK1. Movies'!AI158)</f>
        <v/>
      </c>
      <c r="AM158" s="203">
        <f>COUNTIF('TK 15661.Bản quyền phim '!F:F,'KK1. Movies'!AI158)</f>
        <v/>
      </c>
      <c r="AN158" s="546">
        <f>AL158+AM158</f>
        <v/>
      </c>
      <c r="AO158" s="203" t="n"/>
      <c r="AP158" s="203" t="n"/>
      <c r="AQ158" s="203" t="n"/>
      <c r="AR158" s="203" t="n"/>
      <c r="AS158" s="203" t="n"/>
      <c r="AT158" s="546">
        <f>IFERROR(VLOOKUP(C158, CodeRanMovies!$A:$K, 11, 0), "Not found")</f>
        <v/>
      </c>
    </row>
    <row r="159" ht="26.4" customHeight="1" s="578">
      <c r="A159" s="201">
        <f>_xlfn.AGGREGATE(3,3,$D$7:D159)</f>
        <v/>
      </c>
      <c r="B159" s="606" t="inlineStr">
        <is>
          <t>n/a</t>
        </is>
      </c>
      <c r="C159" s="590" t="inlineStr">
        <is>
          <t>MOV_ACT591</t>
        </is>
      </c>
      <c r="D159" s="105" t="inlineStr">
        <is>
          <t>WU KONG</t>
        </is>
      </c>
      <c r="E159" s="105" t="inlineStr">
        <is>
          <t>Ngộ Không Kỳ Truyện</t>
        </is>
      </c>
      <c r="F159" s="108" t="inlineStr">
        <is>
          <t>Wuxia, Drama, Fantasy</t>
        </is>
      </c>
      <c r="G159" s="108" t="inlineStr">
        <is>
          <t>Skyline Media</t>
        </is>
      </c>
      <c r="H159" s="590" t="inlineStr">
        <is>
          <t>36/2025/HDBQ/VSTV-SM</t>
        </is>
      </c>
      <c r="I159" s="107" t="n">
        <v>2017</v>
      </c>
      <c r="J159" s="107" t="inlineStr">
        <is>
          <t>China</t>
        </is>
      </c>
      <c r="K159" s="107" t="n">
        <v>130</v>
      </c>
      <c r="L159" s="591" t="n">
        <v>45800</v>
      </c>
      <c r="M159" s="98" t="n">
        <v>46660</v>
      </c>
      <c r="N159" s="601" t="inlineStr">
        <is>
          <t>n/a</t>
        </is>
      </c>
      <c r="O159" s="592" t="n"/>
      <c r="P159" s="104" t="n">
        <v>12</v>
      </c>
      <c r="Q159" s="107" t="inlineStr">
        <is>
          <t>No</t>
        </is>
      </c>
      <c r="R159" s="592" t="inlineStr">
        <is>
          <t>Yes</t>
        </is>
      </c>
      <c r="S159" s="104" t="inlineStr">
        <is>
          <t>Yes</t>
        </is>
      </c>
      <c r="T159" s="592" t="inlineStr">
        <is>
          <t>Yes</t>
        </is>
      </c>
      <c r="U159" s="104" t="inlineStr">
        <is>
          <t>Yes</t>
        </is>
      </c>
      <c r="V159" s="104" t="inlineStr">
        <is>
          <t>Yes</t>
        </is>
      </c>
      <c r="W159" s="104" t="inlineStr">
        <is>
          <t>Yes</t>
        </is>
      </c>
      <c r="X159" s="104" t="inlineStr">
        <is>
          <t>Yes</t>
        </is>
      </c>
      <c r="Y159" s="104" t="inlineStr">
        <is>
          <t>No</t>
        </is>
      </c>
      <c r="Z159" s="109" t="n">
        <v>45800</v>
      </c>
      <c r="AA159" s="98" t="n">
        <v>46660</v>
      </c>
      <c r="AB159" s="107" t="n">
        <v>24</v>
      </c>
      <c r="AC159" s="202" t="n">
        <v>3</v>
      </c>
      <c r="AD159" s="592" t="inlineStr">
        <is>
          <t>Yes</t>
        </is>
      </c>
      <c r="AE159" s="592" t="inlineStr">
        <is>
          <t>Yes</t>
        </is>
      </c>
      <c r="AF159" s="600" t="n"/>
      <c r="AG159" s="593" t="inlineStr">
        <is>
          <t>Phim còn hạn từ 2026</t>
        </is>
      </c>
      <c r="AH159" s="594" t="n"/>
      <c r="AI159" s="206" t="inlineStr">
        <is>
          <t>WU KONG</t>
        </is>
      </c>
      <c r="AJ159" s="128">
        <f>SUMIF('TK 15661.Bản quyền phim '!F:F,'KK1. Movies'!D159,'TK 15661.Bản quyền phim '!X:X)</f>
        <v/>
      </c>
      <c r="AK159" s="128">
        <f>SUMIF('TK 15661.Bản quyền phim '!F:F,'KK1. Movies'!AI159,'TK 15661.Bản quyền phim '!X:X)</f>
        <v/>
      </c>
      <c r="AL159" s="203">
        <f>COUNTIF('242.BQ Phim hợp tác'!$C:$C,'KK1. Movies'!AI159)</f>
        <v/>
      </c>
      <c r="AM159" s="203">
        <f>COUNTIF('TK 15661.Bản quyền phim '!F:F,'KK1. Movies'!AI159)</f>
        <v/>
      </c>
      <c r="AN159" s="546">
        <f>AL159+AM159</f>
        <v/>
      </c>
      <c r="AO159" s="203" t="n"/>
      <c r="AP159" s="203" t="n"/>
      <c r="AQ159" s="203" t="n"/>
      <c r="AR159" s="203" t="n"/>
      <c r="AS159" s="203" t="n"/>
      <c r="AT159" s="546">
        <f>IFERROR(VLOOKUP(C159, CodeRanMovies!$A:$K, 11, 0), "Not found")</f>
        <v/>
      </c>
    </row>
    <row r="160">
      <c r="A160" s="201">
        <f>_xlfn.AGGREGATE(3,3,$D$7:D160)</f>
        <v/>
      </c>
      <c r="B160" s="110" t="inlineStr">
        <is>
          <t>16+</t>
        </is>
      </c>
      <c r="C160" s="590" t="inlineStr">
        <is>
          <t>MOV_COM_24__2710446</t>
        </is>
      </c>
      <c r="D160" s="105" t="inlineStr">
        <is>
          <t>MAYBE I DO</t>
        </is>
      </c>
      <c r="E160" s="590" t="inlineStr">
        <is>
          <t>Chắc anh đồng ý</t>
        </is>
      </c>
      <c r="F160" s="589" t="inlineStr">
        <is>
          <t>Romance</t>
        </is>
      </c>
      <c r="G160" s="108" t="inlineStr">
        <is>
          <t>Skyline Media</t>
        </is>
      </c>
      <c r="H160" s="590" t="inlineStr">
        <is>
          <t>28/2024/HDBQ/VSTV-SM</t>
        </is>
      </c>
      <c r="I160" s="107" t="n">
        <v>2023</v>
      </c>
      <c r="J160" s="107" t="inlineStr">
        <is>
          <t>China</t>
        </is>
      </c>
      <c r="K160" s="107" t="n">
        <v>95</v>
      </c>
      <c r="L160" s="98" t="n">
        <v>45525</v>
      </c>
      <c r="M160" s="109" t="n">
        <v>46619</v>
      </c>
      <c r="N160" s="601" t="n">
        <v>45531</v>
      </c>
      <c r="O160" s="592" t="inlineStr">
        <is>
          <t>K+CINE</t>
        </is>
      </c>
      <c r="P160" s="104" t="n">
        <v>12</v>
      </c>
      <c r="Q160" s="107" t="inlineStr">
        <is>
          <t>No</t>
        </is>
      </c>
      <c r="R160" s="592" t="inlineStr">
        <is>
          <t>Yes</t>
        </is>
      </c>
      <c r="S160" s="592" t="inlineStr">
        <is>
          <t>Yes</t>
        </is>
      </c>
      <c r="T160" s="592" t="inlineStr">
        <is>
          <t>Yes</t>
        </is>
      </c>
      <c r="U160" s="592" t="inlineStr">
        <is>
          <t>Yes</t>
        </is>
      </c>
      <c r="V160" s="592" t="inlineStr">
        <is>
          <t>Yes</t>
        </is>
      </c>
      <c r="W160" s="592" t="inlineStr">
        <is>
          <t>Yes</t>
        </is>
      </c>
      <c r="X160" s="592" t="inlineStr">
        <is>
          <t>Yes</t>
        </is>
      </c>
      <c r="Y160" s="104" t="inlineStr">
        <is>
          <t>No</t>
        </is>
      </c>
      <c r="Z160" s="98" t="n">
        <v>45525</v>
      </c>
      <c r="AA160" s="109" t="n">
        <v>46619</v>
      </c>
      <c r="AB160" s="107" t="n">
        <v>24</v>
      </c>
      <c r="AC160" s="202" t="n">
        <v>6</v>
      </c>
      <c r="AD160" s="592" t="inlineStr">
        <is>
          <t>Yes</t>
        </is>
      </c>
      <c r="AE160" s="592" t="inlineStr">
        <is>
          <t>Yes</t>
        </is>
      </c>
      <c r="AF160" s="600" t="n"/>
      <c r="AG160" s="593" t="inlineStr">
        <is>
          <t>Phim còn hạn từ 2026</t>
        </is>
      </c>
      <c r="AH160" s="594" t="n"/>
      <c r="AI160" s="206" t="inlineStr">
        <is>
          <t>MAYBE I DO</t>
        </is>
      </c>
      <c r="AJ160" s="128">
        <f>SUMIF('TK 15661.Bản quyền phim '!F:F,'KK1. Movies'!D160,'TK 15661.Bản quyền phim '!X:X)</f>
        <v/>
      </c>
      <c r="AK160" s="128">
        <f>SUMIF('TK 15661.Bản quyền phim '!F:F,'KK1. Movies'!AI160,'TK 15661.Bản quyền phim '!X:X)</f>
        <v/>
      </c>
      <c r="AL160" s="203">
        <f>COUNTIF('242.BQ Phim hợp tác'!$C:$C,'KK1. Movies'!AI160)</f>
        <v/>
      </c>
      <c r="AM160" s="203">
        <f>COUNTIF('TK 15661.Bản quyền phim '!F:F,'KK1. Movies'!AI160)</f>
        <v/>
      </c>
      <c r="AN160" s="546">
        <f>AL160+AM160</f>
        <v/>
      </c>
      <c r="AO160" s="203" t="n"/>
      <c r="AP160" s="203" t="n"/>
      <c r="AQ160" s="203" t="n"/>
      <c r="AR160" s="203" t="n"/>
      <c r="AS160" s="203" t="n"/>
      <c r="AT160" s="546">
        <f>IFERROR(VLOOKUP(C160, CodeRanMovies!$A:$K, 11, 0), "Not found")</f>
        <v/>
      </c>
    </row>
    <row r="161" ht="26.4" customHeight="1" s="578">
      <c r="A161" s="201">
        <f>_xlfn.AGGREGATE(3,3,$D$7:D161)</f>
        <v/>
      </c>
      <c r="B161" s="589" t="inlineStr">
        <is>
          <t>16+</t>
        </is>
      </c>
      <c r="C161" s="234" t="inlineStr">
        <is>
          <t>MOV_THR164</t>
        </is>
      </c>
      <c r="D161" s="105" t="inlineStr">
        <is>
          <t>FIRESTARTER (2022)</t>
        </is>
      </c>
      <c r="E161" s="110" t="inlineStr">
        <is>
          <t>Người khởi lửa</t>
        </is>
      </c>
      <c r="F161" s="108" t="inlineStr">
        <is>
          <t>Horror</t>
        </is>
      </c>
      <c r="G161" s="108" t="inlineStr">
        <is>
          <t>NBC Universal</t>
        </is>
      </c>
      <c r="H161" s="108" t="inlineStr">
        <is>
          <t>5049540-2/161434-3</t>
        </is>
      </c>
      <c r="I161" s="104" t="n">
        <v>2021</v>
      </c>
      <c r="J161" s="107" t="inlineStr">
        <is>
          <t>US</t>
        </is>
      </c>
      <c r="K161" s="104" t="n">
        <v>94</v>
      </c>
      <c r="L161" s="98" t="n">
        <v>45645</v>
      </c>
      <c r="M161" s="98" t="n">
        <v>46374</v>
      </c>
      <c r="N161" s="601" t="n">
        <v>45617</v>
      </c>
      <c r="O161" s="104" t="inlineStr">
        <is>
          <t>K+ACTION</t>
        </is>
      </c>
      <c r="P161" s="112" t="n">
        <v>12</v>
      </c>
      <c r="Q161" s="104" t="inlineStr">
        <is>
          <t>No</t>
        </is>
      </c>
      <c r="R161" s="592" t="inlineStr">
        <is>
          <t>Yes</t>
        </is>
      </c>
      <c r="S161" s="104" t="inlineStr">
        <is>
          <t>Yes</t>
        </is>
      </c>
      <c r="T161" s="592" t="inlineStr">
        <is>
          <t>Yes</t>
        </is>
      </c>
      <c r="U161" s="104" t="inlineStr">
        <is>
          <t>No</t>
        </is>
      </c>
      <c r="V161" s="104" t="inlineStr">
        <is>
          <t>No</t>
        </is>
      </c>
      <c r="W161" s="104" t="inlineStr">
        <is>
          <t>No</t>
        </is>
      </c>
      <c r="X161" s="104" t="inlineStr">
        <is>
          <t>No</t>
        </is>
      </c>
      <c r="Y161" s="104" t="inlineStr">
        <is>
          <t>Yes</t>
        </is>
      </c>
      <c r="Z161" s="98" t="n">
        <v>45645</v>
      </c>
      <c r="AA161" s="98" t="n">
        <v>46374</v>
      </c>
      <c r="AB161" s="107" t="n">
        <v>6</v>
      </c>
      <c r="AC161" s="105" t="n">
        <v>3</v>
      </c>
      <c r="AD161" s="592" t="inlineStr">
        <is>
          <t>Yes</t>
        </is>
      </c>
      <c r="AE161" s="592" t="inlineStr">
        <is>
          <t>Yes</t>
        </is>
      </c>
      <c r="AF161" s="600" t="n"/>
      <c r="AG161" s="593" t="inlineStr">
        <is>
          <t>Phim còn hạn từ 2026</t>
        </is>
      </c>
      <c r="AH161" s="594" t="n"/>
      <c r="AI161" s="599" t="inlineStr">
        <is>
          <t>FIRESTARTER (2022)</t>
        </is>
      </c>
      <c r="AJ161" s="128">
        <f>SUMIF('TK 15661.Bản quyền phim '!F:F,'KK1. Movies'!D161,'TK 15661.Bản quyền phim '!X:X)</f>
        <v/>
      </c>
      <c r="AK161" s="128">
        <f>SUMIF('TK 15661.Bản quyền phim '!F:F,'KK1. Movies'!AI161,'TK 15661.Bản quyền phim '!X:X)</f>
        <v/>
      </c>
      <c r="AL161" s="203">
        <f>COUNTIF('242.BQ Phim hợp tác'!$C:$C,'KK1. Movies'!AI161)</f>
        <v/>
      </c>
      <c r="AM161" s="203">
        <f>COUNTIF('TK 15661.Bản quyền phim '!F:F,'KK1. Movies'!AI161)</f>
        <v/>
      </c>
      <c r="AN161" s="546">
        <f>AL161+AM161</f>
        <v/>
      </c>
      <c r="AO161" s="203" t="n"/>
      <c r="AP161" s="203" t="n"/>
      <c r="AQ161" s="203" t="n"/>
      <c r="AR161" s="203" t="n"/>
      <c r="AS161" s="203" t="n"/>
      <c r="AT161" s="546">
        <f>IFERROR(VLOOKUP(C161, CodeRanMovies!$A:$K, 11, 0), "Not found")</f>
        <v/>
      </c>
    </row>
    <row r="162" ht="26.4" customHeight="1" s="578">
      <c r="A162" s="201">
        <f>_xlfn.AGGREGATE(3,3,$D$7:D162)</f>
        <v/>
      </c>
      <c r="B162" s="606" t="inlineStr">
        <is>
          <t>n/a</t>
        </is>
      </c>
      <c r="C162" s="590" t="inlineStr">
        <is>
          <t>MOV_ACT601</t>
        </is>
      </c>
      <c r="D162" s="105" t="inlineStr">
        <is>
          <t>TROLL FACTORY</t>
        </is>
      </c>
      <c r="E162" s="110" t="inlineStr">
        <is>
          <t>Anh hùng bàn phím</t>
        </is>
      </c>
      <c r="F162" s="590" t="inlineStr">
        <is>
          <t>Crime, Thriller</t>
        </is>
      </c>
      <c r="G162" s="103" t="inlineStr">
        <is>
          <t>CJ HK</t>
        </is>
      </c>
      <c r="H162" s="590" t="inlineStr">
        <is>
          <t>15/2025/HDBQ/VSTV-CJHK</t>
        </is>
      </c>
      <c r="I162" s="104" t="n">
        <v>2023</v>
      </c>
      <c r="J162" s="104" t="inlineStr">
        <is>
          <t>Korea</t>
        </is>
      </c>
      <c r="K162" s="104" t="n">
        <v>78</v>
      </c>
      <c r="L162" s="591" t="n">
        <v>45687</v>
      </c>
      <c r="M162" s="106" t="n">
        <v>46781</v>
      </c>
      <c r="N162" s="591" t="n"/>
      <c r="O162" s="592" t="n"/>
      <c r="P162" s="104" t="n">
        <v>12</v>
      </c>
      <c r="Q162" s="104" t="inlineStr">
        <is>
          <t>No</t>
        </is>
      </c>
      <c r="R162" s="104" t="inlineStr">
        <is>
          <t>Yes</t>
        </is>
      </c>
      <c r="S162" s="104" t="inlineStr">
        <is>
          <t>Yes</t>
        </is>
      </c>
      <c r="T162" s="592" t="inlineStr">
        <is>
          <t>Yes</t>
        </is>
      </c>
      <c r="U162" s="104" t="inlineStr">
        <is>
          <t>Yes</t>
        </is>
      </c>
      <c r="V162" s="104" t="inlineStr">
        <is>
          <t>Yes</t>
        </is>
      </c>
      <c r="W162" s="104" t="inlineStr">
        <is>
          <t>Yes</t>
        </is>
      </c>
      <c r="X162" s="104" t="inlineStr">
        <is>
          <t>Yes</t>
        </is>
      </c>
      <c r="Y162" s="104" t="inlineStr">
        <is>
          <t>Yes</t>
        </is>
      </c>
      <c r="Z162" s="106" t="n">
        <v>45687</v>
      </c>
      <c r="AA162" s="124" t="n">
        <v>46781</v>
      </c>
      <c r="AB162" s="104" t="inlineStr">
        <is>
          <t xml:space="preserve">Unlimited </t>
        </is>
      </c>
      <c r="AC162" s="202" t="n">
        <v>15</v>
      </c>
      <c r="AD162" s="592" t="inlineStr">
        <is>
          <t>Yes</t>
        </is>
      </c>
      <c r="AE162" s="592" t="inlineStr">
        <is>
          <t>Yes</t>
        </is>
      </c>
      <c r="AF162" s="600" t="n"/>
      <c r="AG162" s="593" t="inlineStr">
        <is>
          <t>Phim còn hạn từ 2026</t>
        </is>
      </c>
      <c r="AH162" s="594" t="n"/>
      <c r="AI162" s="206" t="inlineStr">
        <is>
          <t>TROLL FACTORY</t>
        </is>
      </c>
      <c r="AJ162" s="128">
        <f>SUMIF('TK 15661.Bản quyền phim '!F:F,'KK1. Movies'!D162,'TK 15661.Bản quyền phim '!X:X)</f>
        <v/>
      </c>
      <c r="AK162" s="128">
        <f>SUMIF('TK 15661.Bản quyền phim '!F:F,'KK1. Movies'!AI162,'TK 15661.Bản quyền phim '!X:X)</f>
        <v/>
      </c>
      <c r="AL162" s="203">
        <f>COUNTIF('242.BQ Phim hợp tác'!$C:$C,'KK1. Movies'!AI162)</f>
        <v/>
      </c>
      <c r="AM162" s="203">
        <f>COUNTIF('TK 15661.Bản quyền phim '!F:F,'KK1. Movies'!AI162)</f>
        <v/>
      </c>
      <c r="AN162" s="546">
        <f>AL162+AM162</f>
        <v/>
      </c>
      <c r="AO162" s="203" t="n"/>
      <c r="AP162" s="203" t="n"/>
      <c r="AQ162" s="203" t="n"/>
      <c r="AR162" s="203" t="n"/>
      <c r="AS162" s="203" t="n"/>
      <c r="AT162" s="546">
        <f>IFERROR(VLOOKUP(C162, CodeRanMovies!$A:$K, 11, 0), "Not found")</f>
        <v/>
      </c>
    </row>
    <row r="163" ht="26.4" customHeight="1" s="578">
      <c r="A163" s="201">
        <f>_xlfn.AGGREGATE(3,3,$D$7:D163)</f>
        <v/>
      </c>
      <c r="B163" s="589" t="inlineStr">
        <is>
          <t>16+</t>
        </is>
      </c>
      <c r="C163" s="590" t="inlineStr">
        <is>
          <t>MOV_ACT597</t>
        </is>
      </c>
      <c r="D163" s="105" t="inlineStr">
        <is>
          <t>Citizen Of A Kind</t>
        </is>
      </c>
      <c r="E163" s="97" t="inlineStr">
        <is>
          <t>Bà thím báo thù</t>
        </is>
      </c>
      <c r="F163" s="590" t="inlineStr">
        <is>
          <t>Action, Adventure</t>
        </is>
      </c>
      <c r="G163" s="103" t="inlineStr">
        <is>
          <t xml:space="preserve">Mocking Bird </t>
        </is>
      </c>
      <c r="H163" s="108" t="inlineStr">
        <is>
          <t>10/2025/HDBQ/VSTV-Mockingbird</t>
        </is>
      </c>
      <c r="I163" s="104" t="n">
        <v>2024</v>
      </c>
      <c r="J163" s="104" t="inlineStr">
        <is>
          <t>Korea</t>
        </is>
      </c>
      <c r="K163" s="104" t="n">
        <v>114</v>
      </c>
      <c r="L163" s="591" t="n">
        <v>45688</v>
      </c>
      <c r="M163" s="106" t="n">
        <v>46782</v>
      </c>
      <c r="N163" s="591" t="n">
        <v>45688</v>
      </c>
      <c r="O163" s="592" t="n"/>
      <c r="P163" s="592" t="n"/>
      <c r="Q163" s="104" t="inlineStr">
        <is>
          <t>No</t>
        </is>
      </c>
      <c r="R163" s="592" t="inlineStr">
        <is>
          <t>Yes</t>
        </is>
      </c>
      <c r="S163" s="107" t="inlineStr">
        <is>
          <t>Yes</t>
        </is>
      </c>
      <c r="T163" s="592" t="inlineStr">
        <is>
          <t>Yes</t>
        </is>
      </c>
      <c r="U163" s="107" t="inlineStr">
        <is>
          <t>Yes</t>
        </is>
      </c>
      <c r="V163" s="107" t="inlineStr">
        <is>
          <t>Yes</t>
        </is>
      </c>
      <c r="W163" s="107" t="inlineStr">
        <is>
          <t>Yes</t>
        </is>
      </c>
      <c r="X163" s="107" t="inlineStr">
        <is>
          <t>Yes</t>
        </is>
      </c>
      <c r="Y163" s="107" t="inlineStr">
        <is>
          <t>Yes</t>
        </is>
      </c>
      <c r="Z163" s="106" t="n">
        <v>45688</v>
      </c>
      <c r="AA163" s="124" t="n">
        <v>46782</v>
      </c>
      <c r="AB163" s="104" t="n">
        <v>24</v>
      </c>
      <c r="AC163" s="202" t="n">
        <v>5</v>
      </c>
      <c r="AD163" s="592" t="inlineStr">
        <is>
          <t>Yes</t>
        </is>
      </c>
      <c r="AE163" s="592" t="inlineStr">
        <is>
          <t>Yes</t>
        </is>
      </c>
      <c r="AF163" s="600" t="n"/>
      <c r="AG163" s="593" t="inlineStr">
        <is>
          <t>Phim còn hạn từ 2026</t>
        </is>
      </c>
      <c r="AH163" s="594" t="n"/>
      <c r="AI163" s="206" t="inlineStr">
        <is>
          <t>Citizen Of A Kind</t>
        </is>
      </c>
      <c r="AJ163" s="128">
        <f>SUMIF('TK 15661.Bản quyền phim '!F:F,'KK1. Movies'!D163,'TK 15661.Bản quyền phim '!X:X)</f>
        <v/>
      </c>
      <c r="AK163" s="128">
        <f>SUMIF('TK 15661.Bản quyền phim '!F:F,'KK1. Movies'!AI163,'TK 15661.Bản quyền phim '!X:X)</f>
        <v/>
      </c>
      <c r="AL163" s="203">
        <f>COUNTIF('242.BQ Phim hợp tác'!$C:$C,'KK1. Movies'!AI163)</f>
        <v/>
      </c>
      <c r="AM163" s="203">
        <f>COUNTIF('TK 15661.Bản quyền phim '!F:F,'KK1. Movies'!AI163)</f>
        <v/>
      </c>
      <c r="AN163" s="546">
        <f>AL163+AM163</f>
        <v/>
      </c>
      <c r="AO163" s="203" t="n"/>
      <c r="AP163" s="203" t="n"/>
      <c r="AQ163" s="203" t="n"/>
      <c r="AR163" s="203" t="n"/>
      <c r="AS163" s="203" t="n"/>
      <c r="AT163" s="546">
        <f>IFERROR(VLOOKUP(C163, CodeRanMovies!$A:$K, 11, 0), "Not found")</f>
        <v/>
      </c>
    </row>
    <row r="164">
      <c r="A164" s="201">
        <f>_xlfn.AGGREGATE(3,3,$D$7:D164)</f>
        <v/>
      </c>
      <c r="B164" s="589" t="inlineStr">
        <is>
          <t>16+</t>
        </is>
      </c>
      <c r="C164" s="590" t="inlineStr">
        <is>
          <t>MOV_ACT_23__2709733</t>
        </is>
      </c>
      <c r="D164" s="105" t="inlineStr">
        <is>
          <t>Wrath of Man</t>
        </is>
      </c>
      <c r="E164" s="97" t="inlineStr">
        <is>
          <t>Gã điên báo thù</t>
        </is>
      </c>
      <c r="F164" s="590" t="inlineStr">
        <is>
          <t>Action, Adventure</t>
        </is>
      </c>
      <c r="G164" s="108" t="inlineStr">
        <is>
          <t>Rose media</t>
        </is>
      </c>
      <c r="H164" s="590" t="inlineStr">
        <is>
          <t>5/2022/HDBQ/VSTV-RM</t>
        </is>
      </c>
      <c r="I164" s="104" t="n">
        <v>2021</v>
      </c>
      <c r="J164" s="104" t="inlineStr">
        <is>
          <t>US</t>
        </is>
      </c>
      <c r="K164" s="104" t="n">
        <v>118</v>
      </c>
      <c r="L164" s="98" t="n">
        <v>45317</v>
      </c>
      <c r="M164" s="98" t="n">
        <v>46412</v>
      </c>
      <c r="N164" s="601" t="n">
        <v>45317</v>
      </c>
      <c r="O164" s="592" t="inlineStr">
        <is>
          <t>K+CINE</t>
        </is>
      </c>
      <c r="P164" s="592" t="n"/>
      <c r="Q164" s="104" t="inlineStr">
        <is>
          <t>No</t>
        </is>
      </c>
      <c r="R164" s="592" t="inlineStr">
        <is>
          <t>Yes</t>
        </is>
      </c>
      <c r="S164" s="592" t="inlineStr">
        <is>
          <t>Yes</t>
        </is>
      </c>
      <c r="T164" s="592" t="inlineStr">
        <is>
          <t>Yes</t>
        </is>
      </c>
      <c r="U164" s="592" t="inlineStr">
        <is>
          <t>Yes</t>
        </is>
      </c>
      <c r="V164" s="592" t="inlineStr">
        <is>
          <t>Yes</t>
        </is>
      </c>
      <c r="W164" s="592" t="inlineStr">
        <is>
          <t>Yes</t>
        </is>
      </c>
      <c r="X164" s="592" t="inlineStr">
        <is>
          <t>Yes</t>
        </is>
      </c>
      <c r="Y164" s="107" t="inlineStr">
        <is>
          <t>No</t>
        </is>
      </c>
      <c r="Z164" s="98" t="n">
        <v>45317</v>
      </c>
      <c r="AA164" s="98" t="n">
        <v>46412</v>
      </c>
      <c r="AB164" s="104" t="n">
        <v>24</v>
      </c>
      <c r="AC164" s="202" t="n">
        <v>14</v>
      </c>
      <c r="AD164" s="592" t="inlineStr">
        <is>
          <t>Yes</t>
        </is>
      </c>
      <c r="AE164" s="592" t="inlineStr">
        <is>
          <t>Yes</t>
        </is>
      </c>
      <c r="AF164" s="600" t="n"/>
      <c r="AG164" s="593" t="inlineStr">
        <is>
          <t>Phim còn hạn từ 2026</t>
        </is>
      </c>
      <c r="AH164" s="594" t="n"/>
      <c r="AI164" s="206" t="inlineStr">
        <is>
          <t>Wrath of Man</t>
        </is>
      </c>
      <c r="AJ164" s="128">
        <f>SUMIF('TK 15661.Bản quyền phim '!F:F,'KK1. Movies'!D164,'TK 15661.Bản quyền phim '!X:X)</f>
        <v/>
      </c>
      <c r="AK164" s="128">
        <f>SUMIF('TK 15661.Bản quyền phim '!F:F,'KK1. Movies'!AI164,'TK 15661.Bản quyền phim '!X:X)</f>
        <v/>
      </c>
      <c r="AL164" s="203">
        <f>COUNTIF('242.BQ Phim hợp tác'!$C:$C,'KK1. Movies'!AI164)</f>
        <v/>
      </c>
      <c r="AM164" s="203">
        <f>COUNTIF('TK 15661.Bản quyền phim '!F:F,'KK1. Movies'!AI164)</f>
        <v/>
      </c>
      <c r="AN164" s="546">
        <f>AL164+AM164</f>
        <v/>
      </c>
      <c r="AO164" s="203" t="n"/>
      <c r="AP164" s="203" t="n"/>
      <c r="AQ164" s="203" t="n"/>
      <c r="AR164" s="203" t="n"/>
      <c r="AS164" s="203" t="n"/>
      <c r="AT164" s="546">
        <f>IFERROR(VLOOKUP(C164, CodeRanMovies!$A:$K, 11, 0), "Not found")</f>
        <v/>
      </c>
    </row>
    <row r="165" ht="26.4" customHeight="1" s="578">
      <c r="A165" s="201">
        <f>_xlfn.AGGREGATE(3,3,$D$7:D165)</f>
        <v/>
      </c>
      <c r="B165" s="589" t="inlineStr">
        <is>
          <t>13+</t>
        </is>
      </c>
      <c r="C165" s="234" t="inlineStr">
        <is>
          <t>MOV_DRA_22__2686501</t>
        </is>
      </c>
      <c r="D165" s="596" t="inlineStr">
        <is>
          <t>Adrift</t>
        </is>
      </c>
      <c r="E165" s="590" t="inlineStr">
        <is>
          <t>Giành anh từ biển</t>
        </is>
      </c>
      <c r="F165" s="590" t="inlineStr">
        <is>
          <t>Action, Adventure</t>
        </is>
      </c>
      <c r="G165" s="604" t="inlineStr">
        <is>
          <t>Pro Partner</t>
        </is>
      </c>
      <c r="H165" s="590" t="inlineStr">
        <is>
          <t>56/2023/HDBQ/VSTV-Pro Partner</t>
        </is>
      </c>
      <c r="I165" s="204" t="n">
        <v>2018</v>
      </c>
      <c r="J165" s="600" t="inlineStr">
        <is>
          <t>US</t>
        </is>
      </c>
      <c r="K165" s="204" t="n">
        <v>96</v>
      </c>
      <c r="L165" s="98" t="n">
        <v>45113</v>
      </c>
      <c r="M165" s="591" t="n">
        <v>46208</v>
      </c>
      <c r="N165" s="601" t="n">
        <v>45113</v>
      </c>
      <c r="O165" s="598" t="inlineStr">
        <is>
          <t>K+CINE</t>
        </is>
      </c>
      <c r="P165" s="592" t="inlineStr">
        <is>
          <t>Exclusive All TV Rights the first 9 months of LP
 Non-exclusive with All Catch-up TV Rights; All VOD Rights during LP</t>
        </is>
      </c>
      <c r="Q165" s="600" t="inlineStr">
        <is>
          <t>No</t>
        </is>
      </c>
      <c r="R165" s="592" t="inlineStr">
        <is>
          <t>Yes</t>
        </is>
      </c>
      <c r="S165" s="592" t="inlineStr">
        <is>
          <t>Yes</t>
        </is>
      </c>
      <c r="T165" s="592" t="inlineStr">
        <is>
          <t>Yes</t>
        </is>
      </c>
      <c r="U165" s="592" t="inlineStr">
        <is>
          <t>Yes</t>
        </is>
      </c>
      <c r="V165" s="592" t="inlineStr">
        <is>
          <t>Yes</t>
        </is>
      </c>
      <c r="W165" s="592" t="inlineStr">
        <is>
          <t>Yes</t>
        </is>
      </c>
      <c r="X165" s="592" t="inlineStr">
        <is>
          <t>Yes</t>
        </is>
      </c>
      <c r="Y165" s="592" t="inlineStr">
        <is>
          <t>Yes</t>
        </is>
      </c>
      <c r="Z165" s="98" t="n">
        <v>45113</v>
      </c>
      <c r="AA165" s="591" t="n">
        <v>46208</v>
      </c>
      <c r="AB165" s="96" t="inlineStr">
        <is>
          <t>unlimited</t>
        </is>
      </c>
      <c r="AC165" s="202" t="n">
        <v>27</v>
      </c>
      <c r="AD165" s="592" t="inlineStr">
        <is>
          <t>Yes</t>
        </is>
      </c>
      <c r="AE165" s="592" t="inlineStr">
        <is>
          <t>Yes</t>
        </is>
      </c>
      <c r="AF165" s="600" t="n"/>
      <c r="AG165" s="593" t="inlineStr">
        <is>
          <t>Phim còn hạn từ 2026</t>
        </is>
      </c>
      <c r="AH165" s="594" t="n"/>
      <c r="AI165" s="595" t="inlineStr">
        <is>
          <t>Adrift</t>
        </is>
      </c>
      <c r="AJ165" s="128">
        <f>SUMIF('TK 15661.Bản quyền phim '!F:F,'KK1. Movies'!D165,'TK 15661.Bản quyền phim '!X:X)</f>
        <v/>
      </c>
      <c r="AK165" s="128">
        <f>SUMIF('TK 15661.Bản quyền phim '!F:F,'KK1. Movies'!AI165,'TK 15661.Bản quyền phim '!X:X)</f>
        <v/>
      </c>
      <c r="AL165" s="203">
        <f>COUNTIF('242.BQ Phim hợp tác'!$C:$C,'KK1. Movies'!AI165)</f>
        <v/>
      </c>
      <c r="AM165" s="203">
        <f>COUNTIF('TK 15661.Bản quyền phim '!F:F,'KK1. Movies'!AI165)</f>
        <v/>
      </c>
      <c r="AN165" s="546">
        <f>AL165+AM165</f>
        <v/>
      </c>
      <c r="AO165" s="203" t="n"/>
      <c r="AP165" s="203" t="n"/>
      <c r="AQ165" s="203" t="n"/>
      <c r="AR165" s="203" t="n"/>
      <c r="AS165" s="203" t="n"/>
      <c r="AT165" s="546">
        <f>IFERROR(VLOOKUP(C165, CodeRanMovies!$A:$K, 11, 0), "Not found")</f>
        <v/>
      </c>
    </row>
    <row r="166" ht="26.4" customHeight="1" s="578">
      <c r="A166" s="201">
        <f>_xlfn.AGGREGATE(3,3,$D$7:D166)</f>
        <v/>
      </c>
      <c r="B166" s="589" t="inlineStr">
        <is>
          <t>P</t>
        </is>
      </c>
      <c r="C166" s="234" t="inlineStr">
        <is>
          <t>MOV_ANI_24__2714756</t>
        </is>
      </c>
      <c r="D166" s="105" t="inlineStr">
        <is>
          <t>CAPTAIN UNDERPANTS</t>
        </is>
      </c>
      <c r="E166" s="110" t="inlineStr">
        <is>
          <t>Bộ đôi siêu quậy</t>
        </is>
      </c>
      <c r="F166" s="108" t="inlineStr">
        <is>
          <t>animation</t>
        </is>
      </c>
      <c r="G166" s="108" t="inlineStr">
        <is>
          <t>NBC Universal</t>
        </is>
      </c>
      <c r="H166" s="108" t="inlineStr">
        <is>
          <t>5049540-2/161434-3</t>
        </is>
      </c>
      <c r="I166" s="104" t="n">
        <v>2017</v>
      </c>
      <c r="J166" s="107" t="inlineStr">
        <is>
          <t>US</t>
        </is>
      </c>
      <c r="K166" s="104" t="n">
        <v>89</v>
      </c>
      <c r="L166" s="98" t="n">
        <v>45388</v>
      </c>
      <c r="M166" s="109" t="n">
        <v>46117</v>
      </c>
      <c r="N166" s="601" t="n">
        <v>45388</v>
      </c>
      <c r="O166" s="592" t="inlineStr">
        <is>
          <t>K+KIDS</t>
        </is>
      </c>
      <c r="P166" s="104" t="inlineStr">
        <is>
          <t xml:space="preserve"> </t>
        </is>
      </c>
      <c r="Q166" s="104" t="inlineStr">
        <is>
          <t>No</t>
        </is>
      </c>
      <c r="R166" s="592" t="inlineStr">
        <is>
          <t>Yes</t>
        </is>
      </c>
      <c r="S166" s="104" t="inlineStr">
        <is>
          <t>Yes</t>
        </is>
      </c>
      <c r="T166" s="104" t="inlineStr">
        <is>
          <t>Yes</t>
        </is>
      </c>
      <c r="U166" s="104" t="inlineStr">
        <is>
          <t>No</t>
        </is>
      </c>
      <c r="V166" s="104" t="inlineStr">
        <is>
          <t>No</t>
        </is>
      </c>
      <c r="W166" s="104" t="inlineStr">
        <is>
          <t>No</t>
        </is>
      </c>
      <c r="X166" s="104" t="inlineStr">
        <is>
          <t>No</t>
        </is>
      </c>
      <c r="Y166" s="104" t="inlineStr">
        <is>
          <t>Yes</t>
        </is>
      </c>
      <c r="Z166" s="98" t="n">
        <v>45388</v>
      </c>
      <c r="AA166" s="109" t="n">
        <v>46117</v>
      </c>
      <c r="AB166" s="107" t="n">
        <v>6</v>
      </c>
      <c r="AC166" s="105" t="n">
        <v>6</v>
      </c>
      <c r="AD166" s="592" t="inlineStr">
        <is>
          <t>Yes</t>
        </is>
      </c>
      <c r="AE166" s="592" t="inlineStr">
        <is>
          <t>Yes</t>
        </is>
      </c>
      <c r="AF166" s="600" t="n"/>
      <c r="AG166" s="593" t="inlineStr">
        <is>
          <t>Phim còn hạn từ 2026</t>
        </is>
      </c>
      <c r="AH166" s="594" t="n"/>
      <c r="AI166" s="599" t="inlineStr">
        <is>
          <t>CAPTAIN UNDERPANTS</t>
        </is>
      </c>
      <c r="AJ166" s="128">
        <f>SUMIF('TK 15661.Bản quyền phim '!F:F,'KK1. Movies'!D166,'TK 15661.Bản quyền phim '!X:X)</f>
        <v/>
      </c>
      <c r="AK166" s="128">
        <f>SUMIF('TK 15661.Bản quyền phim '!F:F,'KK1. Movies'!AI166,'TK 15661.Bản quyền phim '!X:X)</f>
        <v/>
      </c>
      <c r="AL166" s="203">
        <f>COUNTIF('242.BQ Phim hợp tác'!$C:$C,'KK1. Movies'!AI166)</f>
        <v/>
      </c>
      <c r="AM166" s="203">
        <f>COUNTIF('TK 15661.Bản quyền phim '!F:F,'KK1. Movies'!AI166)</f>
        <v/>
      </c>
      <c r="AN166" s="546">
        <f>AL166+AM166</f>
        <v/>
      </c>
      <c r="AO166" s="203" t="n"/>
      <c r="AP166" s="203" t="n"/>
      <c r="AQ166" s="203" t="n"/>
      <c r="AR166" s="203" t="n"/>
      <c r="AS166" s="203" t="n"/>
      <c r="AT166" s="546">
        <f>IFERROR(VLOOKUP(C166, CodeRanMovies!$A:$K, 11, 0), "Not found")</f>
        <v/>
      </c>
    </row>
    <row r="167" ht="52.8" customHeight="1" s="578">
      <c r="A167" s="201">
        <f>_xlfn.AGGREGATE(3,3,$D$7:D167)</f>
        <v/>
      </c>
      <c r="B167" s="589" t="inlineStr">
        <is>
          <t>P</t>
        </is>
      </c>
      <c r="C167" s="590" t="inlineStr">
        <is>
          <t>MOV_ROM101</t>
        </is>
      </c>
      <c r="D167" s="105" t="inlineStr">
        <is>
          <t>WAITING FOR RAIN</t>
        </is>
      </c>
      <c r="E167" s="110" t="inlineStr">
        <is>
          <t>Chờ em đến ngày mưa</t>
        </is>
      </c>
      <c r="F167" s="590" t="inlineStr">
        <is>
          <t>Romance</t>
        </is>
      </c>
      <c r="G167" s="103" t="inlineStr">
        <is>
          <t>SONY</t>
        </is>
      </c>
      <c r="H167" s="590" t="inlineStr">
        <is>
          <t>Sony/K+Vietnam PayBasic SVOD Package Agmt D3A FE (Feb-5-24)</t>
        </is>
      </c>
      <c r="I167" s="104" t="n">
        <v>2021</v>
      </c>
      <c r="J167" s="104" t="inlineStr">
        <is>
          <t>Korea</t>
        </is>
      </c>
      <c r="K167" s="104" t="n">
        <v>117</v>
      </c>
      <c r="L167" s="591" t="n">
        <v>45701</v>
      </c>
      <c r="M167" s="106" t="n">
        <v>46430</v>
      </c>
      <c r="N167" s="601" t="n"/>
      <c r="O167" s="592" t="n"/>
      <c r="P167" s="592" t="n"/>
      <c r="Q167" s="104" t="inlineStr">
        <is>
          <t>No</t>
        </is>
      </c>
      <c r="R167" s="104" t="inlineStr">
        <is>
          <t>Yes</t>
        </is>
      </c>
      <c r="S167" s="104" t="inlineStr">
        <is>
          <t>Yes</t>
        </is>
      </c>
      <c r="T167" s="592" t="inlineStr">
        <is>
          <t>Yes</t>
        </is>
      </c>
      <c r="U167" s="104" t="inlineStr">
        <is>
          <t>No</t>
        </is>
      </c>
      <c r="V167" s="104" t="inlineStr">
        <is>
          <t>No</t>
        </is>
      </c>
      <c r="W167" s="104" t="inlineStr">
        <is>
          <t>No</t>
        </is>
      </c>
      <c r="X167" s="104" t="inlineStr">
        <is>
          <t>Yes</t>
        </is>
      </c>
      <c r="Y167" s="104" t="inlineStr">
        <is>
          <t>No</t>
        </is>
      </c>
      <c r="Z167" s="106" t="n">
        <v>45701</v>
      </c>
      <c r="AA167" s="124" t="n">
        <v>46246</v>
      </c>
      <c r="AB167" s="104" t="n">
        <v>7</v>
      </c>
      <c r="AC167" s="202" t="n">
        <v>2</v>
      </c>
      <c r="AD167" s="592" t="inlineStr">
        <is>
          <t>Yes</t>
        </is>
      </c>
      <c r="AE167" s="592" t="inlineStr">
        <is>
          <t>Yes</t>
        </is>
      </c>
      <c r="AF167" s="600" t="n"/>
      <c r="AG167" s="593" t="inlineStr">
        <is>
          <t>Phim còn hạn từ 2026</t>
        </is>
      </c>
      <c r="AH167" s="594" t="n"/>
      <c r="AI167" s="206" t="inlineStr">
        <is>
          <t>WAITING FOR RAIN</t>
        </is>
      </c>
      <c r="AJ167" s="128">
        <f>SUMIF('TK 15661.Bản quyền phim '!F:F,'KK1. Movies'!D167,'TK 15661.Bản quyền phim '!X:X)</f>
        <v/>
      </c>
      <c r="AK167" s="128">
        <f>SUMIF('TK 15661.Bản quyền phim '!F:F,'KK1. Movies'!AI167,'TK 15661.Bản quyền phim '!X:X)</f>
        <v/>
      </c>
      <c r="AL167" s="203">
        <f>COUNTIF('242.BQ Phim hợp tác'!$C:$C,'KK1. Movies'!AI167)</f>
        <v/>
      </c>
      <c r="AM167" s="203">
        <f>COUNTIF('TK 15661.Bản quyền phim '!F:F,'KK1. Movies'!AI167)</f>
        <v/>
      </c>
      <c r="AN167" s="546">
        <f>AL167+AM167</f>
        <v/>
      </c>
      <c r="AO167" s="203" t="n"/>
      <c r="AP167" s="203" t="n"/>
      <c r="AQ167" s="203" t="n"/>
      <c r="AR167" s="203" t="n"/>
      <c r="AS167" s="203" t="n"/>
      <c r="AT167" s="546">
        <f>IFERROR(VLOOKUP(C167, CodeRanMovies!$A:$K, 11, 0), "Not found")</f>
        <v/>
      </c>
    </row>
    <row r="168" ht="26.4" customHeight="1" s="578">
      <c r="A168" s="201">
        <f>_xlfn.AGGREGATE(3,3,$D$7:D168)</f>
        <v/>
      </c>
      <c r="B168" s="589" t="inlineStr">
        <is>
          <t>13+</t>
        </is>
      </c>
      <c r="C168" s="590" t="inlineStr">
        <is>
          <t>MOV_COM_22__2686868</t>
        </is>
      </c>
      <c r="D168" s="209" t="inlineStr">
        <is>
          <t>6/45</t>
        </is>
      </c>
      <c r="E168" s="590" t="inlineStr">
        <is>
          <t>Bỗng dưng trúng số</t>
        </is>
      </c>
      <c r="F168" s="590" t="inlineStr">
        <is>
          <t>Comedy</t>
        </is>
      </c>
      <c r="G168" s="589" t="inlineStr">
        <is>
          <t>CJ HK</t>
        </is>
      </c>
      <c r="H168" s="590" t="inlineStr">
        <is>
          <t>135/2022/HDBQ/VSTV-CJHK</t>
        </is>
      </c>
      <c r="I168" s="204" t="n">
        <v>2022</v>
      </c>
      <c r="J168" s="600" t="inlineStr">
        <is>
          <t>Korea</t>
        </is>
      </c>
      <c r="K168" s="204" t="n">
        <v>113</v>
      </c>
      <c r="L168" s="98" t="n">
        <v>44948</v>
      </c>
      <c r="M168" s="101" t="n">
        <v>46043</v>
      </c>
      <c r="N168" s="597" t="n">
        <v>44948</v>
      </c>
      <c r="O168" s="598" t="inlineStr">
        <is>
          <t>K+CINE</t>
        </is>
      </c>
      <c r="P168" s="96" t="n">
        <v>12</v>
      </c>
      <c r="Q168" s="592" t="inlineStr">
        <is>
          <t>No</t>
        </is>
      </c>
      <c r="R168" s="592" t="inlineStr">
        <is>
          <t>Yes</t>
        </is>
      </c>
      <c r="S168" s="592" t="inlineStr">
        <is>
          <t>Yes</t>
        </is>
      </c>
      <c r="T168" s="592" t="inlineStr">
        <is>
          <t>Yes</t>
        </is>
      </c>
      <c r="U168" s="592" t="inlineStr">
        <is>
          <t>Yes</t>
        </is>
      </c>
      <c r="V168" s="592" t="inlineStr">
        <is>
          <t>Yes</t>
        </is>
      </c>
      <c r="W168" s="592" t="inlineStr">
        <is>
          <t>Yes</t>
        </is>
      </c>
      <c r="X168" s="104" t="inlineStr">
        <is>
          <t>No</t>
        </is>
      </c>
      <c r="Y168" s="592" t="inlineStr">
        <is>
          <t>Yes</t>
        </is>
      </c>
      <c r="Z168" s="101" t="n">
        <v>45099</v>
      </c>
      <c r="AA168" s="210" t="n">
        <v>46194</v>
      </c>
      <c r="AB168" s="96" t="inlineStr">
        <is>
          <t>unlimited</t>
        </is>
      </c>
      <c r="AC168" s="202" t="n">
        <v>39</v>
      </c>
      <c r="AD168" s="592" t="inlineStr">
        <is>
          <t>Yes</t>
        </is>
      </c>
      <c r="AE168" s="592" t="inlineStr">
        <is>
          <t>Yes</t>
        </is>
      </c>
      <c r="AF168" s="600" t="n"/>
      <c r="AG168" s="593" t="inlineStr">
        <is>
          <t>Phim còn hạn từ 2026</t>
        </is>
      </c>
      <c r="AH168" s="594" t="n"/>
      <c r="AI168" s="206" t="inlineStr">
        <is>
          <t>6/45 (Bỗng dưng trúng số)</t>
        </is>
      </c>
      <c r="AJ168" s="128">
        <f>SUMIF('TK 15661.Bản quyền phim '!F:F,'KK1. Movies'!D168,'TK 15661.Bản quyền phim '!X:X)</f>
        <v/>
      </c>
      <c r="AK168" s="128">
        <f>SUMIF('TK 15661.Bản quyền phim '!F:F,'KK1. Movies'!AI168,'TK 15661.Bản quyền phim '!X:X)</f>
        <v/>
      </c>
      <c r="AL168" s="203">
        <f>COUNTIF('242.BQ Phim hợp tác'!$C:$C,'KK1. Movies'!AI168)</f>
        <v/>
      </c>
      <c r="AM168" s="203">
        <f>COUNTIF('TK 15661.Bản quyền phim '!F:F,'KK1. Movies'!AI168)</f>
        <v/>
      </c>
      <c r="AN168" s="546">
        <f>AL168+AM168</f>
        <v/>
      </c>
      <c r="AO168" s="203" t="n"/>
      <c r="AP168" s="203" t="n"/>
      <c r="AQ168" s="203" t="n"/>
      <c r="AR168" s="203" t="n"/>
      <c r="AS168" s="203" t="n"/>
      <c r="AT168" s="546">
        <f>IFERROR(VLOOKUP(C168, CodeRanMovies!$A:$K, 11, 0), "Not found")</f>
        <v/>
      </c>
    </row>
    <row r="169" ht="26.4" customHeight="1" s="578">
      <c r="A169" s="201">
        <f>_xlfn.AGGREGATE(3,3,$D$7:D169)</f>
        <v/>
      </c>
      <c r="B169" s="589" t="inlineStr">
        <is>
          <t>16+</t>
        </is>
      </c>
      <c r="C169" s="590" t="inlineStr">
        <is>
          <t>MOV_THR_24__2711445</t>
        </is>
      </c>
      <c r="D169" s="105" t="inlineStr">
        <is>
          <t>LIVESTREAM</t>
        </is>
      </c>
      <c r="E169" s="110" t="inlineStr">
        <is>
          <t>LIVESTREAM</t>
        </is>
      </c>
      <c r="F169" s="590" t="inlineStr">
        <is>
          <t>Crime, Thriller</t>
        </is>
      </c>
      <c r="G169" s="103" t="inlineStr">
        <is>
          <t>CJ HK</t>
        </is>
      </c>
      <c r="H169" s="590" t="inlineStr">
        <is>
          <t>180/2024/HDBQ/VSTV-CJHK</t>
        </is>
      </c>
      <c r="I169" s="104" t="n">
        <v>2023</v>
      </c>
      <c r="J169" s="600" t="inlineStr">
        <is>
          <t>Korea</t>
        </is>
      </c>
      <c r="K169" s="104" t="n">
        <v>90</v>
      </c>
      <c r="L169" s="98" t="n">
        <v>45379</v>
      </c>
      <c r="M169" s="106" t="n">
        <v>46473</v>
      </c>
      <c r="N169" s="601" t="n">
        <v>45379</v>
      </c>
      <c r="O169" s="592" t="inlineStr">
        <is>
          <t>K+ACTION</t>
        </is>
      </c>
      <c r="P169" s="100" t="n">
        <v>12</v>
      </c>
      <c r="Q169" s="104" t="inlineStr">
        <is>
          <t>No</t>
        </is>
      </c>
      <c r="R169" s="592" t="inlineStr">
        <is>
          <t>Yes</t>
        </is>
      </c>
      <c r="S169" s="592" t="inlineStr">
        <is>
          <t>Yes</t>
        </is>
      </c>
      <c r="T169" s="592" t="inlineStr">
        <is>
          <t>Yes</t>
        </is>
      </c>
      <c r="U169" s="592" t="inlineStr">
        <is>
          <t>Yes</t>
        </is>
      </c>
      <c r="V169" s="592" t="inlineStr">
        <is>
          <t>Yes</t>
        </is>
      </c>
      <c r="W169" s="592" t="inlineStr">
        <is>
          <t>Yes</t>
        </is>
      </c>
      <c r="X169" s="104" t="inlineStr">
        <is>
          <t>No</t>
        </is>
      </c>
      <c r="Y169" s="592" t="inlineStr">
        <is>
          <t>Yes</t>
        </is>
      </c>
      <c r="Z169" s="98" t="n">
        <v>45379</v>
      </c>
      <c r="AA169" s="106" t="n">
        <v>46473</v>
      </c>
      <c r="AB169" s="592" t="inlineStr">
        <is>
          <t>Unlimited</t>
        </is>
      </c>
      <c r="AC169" s="202" t="n">
        <v>24</v>
      </c>
      <c r="AD169" s="592" t="inlineStr">
        <is>
          <t>Yes</t>
        </is>
      </c>
      <c r="AE169" s="592" t="inlineStr">
        <is>
          <t>Yes</t>
        </is>
      </c>
      <c r="AF169" s="600" t="n"/>
      <c r="AG169" s="593" t="inlineStr">
        <is>
          <t>Phim còn hạn từ 2026</t>
        </is>
      </c>
      <c r="AH169" s="594" t="n"/>
      <c r="AI169" s="206" t="inlineStr">
        <is>
          <t>LIVESTREAM (LIVESTREAM)</t>
        </is>
      </c>
      <c r="AJ169" s="128">
        <f>SUMIF('TK 15661.Bản quyền phim '!F:F,'KK1. Movies'!D169,'TK 15661.Bản quyền phim '!X:X)</f>
        <v/>
      </c>
      <c r="AK169" s="128">
        <f>SUMIF('TK 15661.Bản quyền phim '!F:F,'KK1. Movies'!AI169,'TK 15661.Bản quyền phim '!X:X)</f>
        <v/>
      </c>
      <c r="AL169" s="203">
        <f>COUNTIF('242.BQ Phim hợp tác'!$C:$C,'KK1. Movies'!AI169)</f>
        <v/>
      </c>
      <c r="AM169" s="203">
        <f>COUNTIF('TK 15661.Bản quyền phim '!F:F,'KK1. Movies'!AI169)</f>
        <v/>
      </c>
      <c r="AN169" s="546">
        <f>AL169+AM169</f>
        <v/>
      </c>
      <c r="AO169" s="203" t="n"/>
      <c r="AP169" s="203" t="n"/>
      <c r="AQ169" s="203" t="n"/>
      <c r="AR169" s="203" t="n"/>
      <c r="AS169" s="203" t="n"/>
      <c r="AT169" s="546">
        <f>IFERROR(VLOOKUP(C169, CodeRanMovies!$A:$K, 11, 0), "Not found")</f>
        <v/>
      </c>
    </row>
    <row r="170" ht="26.4" customHeight="1" s="578">
      <c r="A170" s="201">
        <f>_xlfn.AGGREGATE(3,3,$D$7:D170)</f>
        <v/>
      </c>
      <c r="B170" s="606" t="inlineStr">
        <is>
          <t>n/a</t>
        </is>
      </c>
      <c r="C170" s="590" t="inlineStr">
        <is>
          <t>MOV_ACT603</t>
        </is>
      </c>
      <c r="D170" s="105" t="inlineStr">
        <is>
          <t>BROTHERHOOD</t>
        </is>
      </c>
      <c r="E170" s="590" t="inlineStr">
        <is>
          <t>Huynh đệ</t>
        </is>
      </c>
      <c r="F170" s="103" t="inlineStr">
        <is>
          <t>Action/Drama</t>
        </is>
      </c>
      <c r="G170" s="103" t="inlineStr">
        <is>
          <t>STK</t>
        </is>
      </c>
      <c r="H170" s="590" t="inlineStr">
        <is>
          <t>134/2024/HDBQ/VSTV-STK</t>
        </is>
      </c>
      <c r="I170" s="104" t="n">
        <v>2022</v>
      </c>
      <c r="J170" s="104" t="inlineStr">
        <is>
          <t>China</t>
        </is>
      </c>
      <c r="K170" s="104" t="n">
        <v>96</v>
      </c>
      <c r="L170" s="591" t="n">
        <v>45765</v>
      </c>
      <c r="M170" s="98" t="n">
        <v>46860</v>
      </c>
      <c r="N170" s="601" t="inlineStr">
        <is>
          <t>n/a</t>
        </is>
      </c>
      <c r="O170" s="592" t="n"/>
      <c r="P170" s="104" t="n">
        <v>12</v>
      </c>
      <c r="Q170" s="104" t="inlineStr">
        <is>
          <t>No</t>
        </is>
      </c>
      <c r="R170" s="592" t="inlineStr">
        <is>
          <t>Yes</t>
        </is>
      </c>
      <c r="S170" s="107" t="inlineStr">
        <is>
          <t>Yes</t>
        </is>
      </c>
      <c r="T170" s="592" t="inlineStr">
        <is>
          <t>Yes</t>
        </is>
      </c>
      <c r="U170" s="107" t="inlineStr">
        <is>
          <t>Yes</t>
        </is>
      </c>
      <c r="V170" s="107" t="inlineStr">
        <is>
          <t>Yes</t>
        </is>
      </c>
      <c r="W170" s="107" t="inlineStr">
        <is>
          <t>Yes</t>
        </is>
      </c>
      <c r="X170" s="107" t="inlineStr">
        <is>
          <t>Yes</t>
        </is>
      </c>
      <c r="Y170" s="104" t="inlineStr">
        <is>
          <t>Yes</t>
        </is>
      </c>
      <c r="Z170" s="113" t="n">
        <v>45778</v>
      </c>
      <c r="AA170" s="236" t="n">
        <v>46873</v>
      </c>
      <c r="AB170" s="104" t="n">
        <v>24</v>
      </c>
      <c r="AC170" s="202" t="n">
        <v>4</v>
      </c>
      <c r="AD170" s="592" t="inlineStr">
        <is>
          <t>Yes</t>
        </is>
      </c>
      <c r="AE170" s="592" t="inlineStr">
        <is>
          <t>Yes</t>
        </is>
      </c>
      <c r="AF170" s="600" t="n"/>
      <c r="AG170" s="593" t="inlineStr">
        <is>
          <t>Phim còn hạn từ 2026</t>
        </is>
      </c>
      <c r="AH170" s="594" t="inlineStr">
        <is>
          <t>MOV_ACT603</t>
        </is>
      </c>
      <c r="AI170" s="206" t="inlineStr">
        <is>
          <t>BROTHERHOOD</t>
        </is>
      </c>
      <c r="AJ170" s="128">
        <f>SUMIF('TK 15661.Bản quyền phim '!F:F,'KK1. Movies'!D170,'TK 15661.Bản quyền phim '!X:X)</f>
        <v/>
      </c>
      <c r="AK170" s="128">
        <f>SUMIF('TK 15661.Bản quyền phim '!F:F,'KK1. Movies'!AI170,'TK 15661.Bản quyền phim '!X:X)</f>
        <v/>
      </c>
      <c r="AL170" s="203">
        <f>COUNTIF('242.BQ Phim hợp tác'!$C:$C,'KK1. Movies'!AI170)</f>
        <v/>
      </c>
      <c r="AM170" s="203">
        <f>COUNTIF('TK 15661.Bản quyền phim '!F:F,'KK1. Movies'!AI170)</f>
        <v/>
      </c>
      <c r="AN170" s="546">
        <f>AL170+AM170</f>
        <v/>
      </c>
      <c r="AO170" s="203" t="n"/>
      <c r="AP170" s="203" t="n"/>
      <c r="AQ170" s="203" t="n"/>
      <c r="AR170" s="203" t="n"/>
      <c r="AS170" s="203" t="n"/>
      <c r="AT170" s="546">
        <f>IFERROR(VLOOKUP(C170, CodeRanMovies!$A:$K, 11, 0), "Not found")</f>
        <v/>
      </c>
    </row>
    <row r="171" ht="26.4" customHeight="1" s="578">
      <c r="A171" s="201">
        <f>_xlfn.AGGREGATE(3,3,$D$7:D171)</f>
        <v/>
      </c>
      <c r="B171" s="590" t="inlineStr">
        <is>
          <t>16+</t>
        </is>
      </c>
      <c r="C171" s="590" t="inlineStr">
        <is>
          <t>MOV_CRI_22__2668483</t>
        </is>
      </c>
      <c r="D171" s="590" t="inlineStr">
        <is>
          <t>Hand Rolled Cigarette</t>
        </is>
      </c>
      <c r="E171" s="590" t="inlineStr">
        <is>
          <t xml:space="preserve">	Thuốc lá tự cuốn</t>
        </is>
      </c>
      <c r="F171" s="590" t="inlineStr">
        <is>
          <t>Crime, Thriller</t>
        </is>
      </c>
      <c r="G171" s="590" t="inlineStr">
        <is>
          <t>Skyline Media</t>
        </is>
      </c>
      <c r="H171" s="590" t="inlineStr">
        <is>
          <t>1/2022/HDBQ/VSTV-SM</t>
        </is>
      </c>
      <c r="I171" s="204" t="n">
        <v>2021</v>
      </c>
      <c r="J171" s="600" t="inlineStr">
        <is>
          <t>Hong Kong</t>
        </is>
      </c>
      <c r="K171" s="204" t="n">
        <v>101</v>
      </c>
      <c r="L171" s="98" t="n">
        <v>44748</v>
      </c>
      <c r="M171" s="602" t="n">
        <v>46209</v>
      </c>
      <c r="N171" s="603" t="n">
        <v>44748</v>
      </c>
      <c r="O171" s="592" t="inlineStr">
        <is>
          <t>K+CINE</t>
        </is>
      </c>
      <c r="P171" s="102" t="inlineStr">
        <is>
          <t xml:space="preserve">Exclusive All Pay TV Rights for the first 12 months of LP.
Non exclusive SVOD Right during LP </t>
        </is>
      </c>
      <c r="Q171" s="600" t="inlineStr">
        <is>
          <t>No</t>
        </is>
      </c>
      <c r="R171" s="592" t="inlineStr">
        <is>
          <t>Yes</t>
        </is>
      </c>
      <c r="S171" s="592" t="inlineStr">
        <is>
          <t>Yes</t>
        </is>
      </c>
      <c r="T171" s="592" t="inlineStr">
        <is>
          <t>Yes</t>
        </is>
      </c>
      <c r="U171" s="592" t="inlineStr">
        <is>
          <t>Yes</t>
        </is>
      </c>
      <c r="V171" s="592" t="inlineStr">
        <is>
          <t>Yes</t>
        </is>
      </c>
      <c r="W171" s="592" t="inlineStr">
        <is>
          <t>Yes</t>
        </is>
      </c>
      <c r="X171" s="592" t="inlineStr">
        <is>
          <t>Yes</t>
        </is>
      </c>
      <c r="Y171" s="592" t="inlineStr">
        <is>
          <t>Yes</t>
        </is>
      </c>
      <c r="Z171" s="98" t="n">
        <v>44748</v>
      </c>
      <c r="AA171" s="602" t="n">
        <v>46209</v>
      </c>
      <c r="AB171" s="96" t="inlineStr">
        <is>
          <t>unlimited</t>
        </is>
      </c>
      <c r="AC171" s="202" t="n">
        <v>34</v>
      </c>
      <c r="AD171" s="592" t="inlineStr">
        <is>
          <t>Yes</t>
        </is>
      </c>
      <c r="AE171" s="592" t="inlineStr">
        <is>
          <t>Yes</t>
        </is>
      </c>
      <c r="AF171" s="600" t="n"/>
      <c r="AG171" s="593" t="inlineStr">
        <is>
          <t>Phim còn hạn từ 2026</t>
        </is>
      </c>
      <c r="AH171" s="594" t="n"/>
      <c r="AI171" s="599" t="inlineStr">
        <is>
          <t>Hand Rolled Cigarette</t>
        </is>
      </c>
      <c r="AJ171" s="128">
        <f>SUMIF('TK 15661.Bản quyền phim '!F:F,'KK1. Movies'!D171,'TK 15661.Bản quyền phim '!X:X)</f>
        <v/>
      </c>
      <c r="AK171" s="128">
        <f>SUMIF('TK 15661.Bản quyền phim '!F:F,'KK1. Movies'!AI171,'TK 15661.Bản quyền phim '!X:X)</f>
        <v/>
      </c>
      <c r="AL171" s="203">
        <f>COUNTIF('242.BQ Phim hợp tác'!$C:$C,'KK1. Movies'!AI171)</f>
        <v/>
      </c>
      <c r="AM171" s="203">
        <f>COUNTIF('TK 15661.Bản quyền phim '!F:F,'KK1. Movies'!AI171)</f>
        <v/>
      </c>
      <c r="AN171" s="546">
        <f>AL171+AM171</f>
        <v/>
      </c>
      <c r="AO171" s="203" t="n"/>
      <c r="AP171" s="203" t="n"/>
      <c r="AQ171" s="203" t="n"/>
      <c r="AR171" s="203" t="n"/>
      <c r="AS171" s="203" t="n"/>
      <c r="AT171" s="546">
        <f>IFERROR(VLOOKUP(C171, CodeRanMovies!$A:$K, 11, 0), "Not found")</f>
        <v/>
      </c>
    </row>
    <row r="172" ht="26.4" customHeight="1" s="578">
      <c r="A172" s="201">
        <f>_xlfn.AGGREGATE(3,3,$D$7:D172)</f>
        <v/>
      </c>
      <c r="B172" s="589" t="inlineStr">
        <is>
          <t>16+</t>
        </is>
      </c>
      <c r="C172" s="234" t="inlineStr">
        <is>
          <t>MOV_ACT586</t>
        </is>
      </c>
      <c r="D172" s="105" t="inlineStr">
        <is>
          <t>IN A VALLEY OF VIOLENCE</t>
        </is>
      </c>
      <c r="E172" s="110" t="inlineStr">
        <is>
          <t xml:space="preserve">Thị trấn </t>
        </is>
      </c>
      <c r="F172" s="108" t="inlineStr">
        <is>
          <t>action</t>
        </is>
      </c>
      <c r="G172" s="108" t="inlineStr">
        <is>
          <t>NBC Universal</t>
        </is>
      </c>
      <c r="H172" s="108" t="inlineStr">
        <is>
          <t>5049540-2/161434-3</t>
        </is>
      </c>
      <c r="I172" s="104" t="n">
        <v>2016</v>
      </c>
      <c r="J172" s="107" t="inlineStr">
        <is>
          <t>US</t>
        </is>
      </c>
      <c r="K172" s="104" t="n">
        <v>104</v>
      </c>
      <c r="L172" s="98" t="n">
        <v>45533</v>
      </c>
      <c r="M172" s="109" t="n">
        <v>46262</v>
      </c>
      <c r="N172" s="601" t="n">
        <v>45533</v>
      </c>
      <c r="O172" s="104" t="inlineStr">
        <is>
          <t>K+ACTION</t>
        </is>
      </c>
      <c r="P172" s="104" t="inlineStr">
        <is>
          <t xml:space="preserve"> </t>
        </is>
      </c>
      <c r="Q172" s="104" t="inlineStr">
        <is>
          <t>No</t>
        </is>
      </c>
      <c r="R172" s="592" t="inlineStr">
        <is>
          <t>Yes</t>
        </is>
      </c>
      <c r="S172" s="104" t="inlineStr">
        <is>
          <t>Yes</t>
        </is>
      </c>
      <c r="T172" s="592" t="inlineStr">
        <is>
          <t>Yes</t>
        </is>
      </c>
      <c r="U172" s="104" t="inlineStr">
        <is>
          <t>No</t>
        </is>
      </c>
      <c r="V172" s="104" t="inlineStr">
        <is>
          <t>No</t>
        </is>
      </c>
      <c r="W172" s="104" t="inlineStr">
        <is>
          <t>No</t>
        </is>
      </c>
      <c r="X172" s="104" t="inlineStr">
        <is>
          <t>No</t>
        </is>
      </c>
      <c r="Y172" s="104" t="inlineStr">
        <is>
          <t>Yes</t>
        </is>
      </c>
      <c r="Z172" s="98" t="n">
        <v>45533</v>
      </c>
      <c r="AA172" s="109" t="n">
        <v>46262</v>
      </c>
      <c r="AB172" s="107" t="n">
        <v>6</v>
      </c>
      <c r="AC172" s="107" t="n">
        <v>3</v>
      </c>
      <c r="AD172" s="592" t="inlineStr">
        <is>
          <t>Yes</t>
        </is>
      </c>
      <c r="AE172" s="592" t="inlineStr">
        <is>
          <t>Yes</t>
        </is>
      </c>
      <c r="AF172" s="600" t="n"/>
      <c r="AG172" s="593" t="inlineStr">
        <is>
          <t>Phim còn hạn từ 2026</t>
        </is>
      </c>
      <c r="AH172" s="594" t="n"/>
      <c r="AI172" s="599" t="inlineStr">
        <is>
          <t>IN A VALLEY OF VIOLENCE</t>
        </is>
      </c>
      <c r="AJ172" s="128">
        <f>SUMIF('TK 15661.Bản quyền phim '!F:F,'KK1. Movies'!D172,'TK 15661.Bản quyền phim '!X:X)</f>
        <v/>
      </c>
      <c r="AK172" s="128">
        <f>SUMIF('TK 15661.Bản quyền phim '!F:F,'KK1. Movies'!AI172,'TK 15661.Bản quyền phim '!X:X)</f>
        <v/>
      </c>
      <c r="AL172" s="203">
        <f>COUNTIF('242.BQ Phim hợp tác'!$C:$C,'KK1. Movies'!AI172)</f>
        <v/>
      </c>
      <c r="AM172" s="203">
        <f>COUNTIF('TK 15661.Bản quyền phim '!F:F,'KK1. Movies'!AI172)</f>
        <v/>
      </c>
      <c r="AN172" s="546">
        <f>AL172+AM172</f>
        <v/>
      </c>
      <c r="AO172" s="203" t="n"/>
      <c r="AP172" s="203" t="n"/>
      <c r="AQ172" s="203" t="n"/>
      <c r="AR172" s="203" t="n"/>
      <c r="AS172" s="203" t="n"/>
      <c r="AT172" s="546">
        <f>IFERROR(VLOOKUP(C172, CodeRanMovies!$A:$K, 11, 0), "Not found")</f>
        <v/>
      </c>
    </row>
    <row r="173" ht="26.4" customHeight="1" s="578">
      <c r="A173" s="201">
        <f>_xlfn.AGGREGATE(3,3,$D$7:D173)</f>
        <v/>
      </c>
      <c r="B173" s="589" t="inlineStr">
        <is>
          <t>16+</t>
        </is>
      </c>
      <c r="C173" s="590" t="inlineStr">
        <is>
          <t>MOV_CRI_24__2710430</t>
        </is>
      </c>
      <c r="D173" s="105" t="inlineStr">
        <is>
          <t>CALM WITH HORSES</t>
        </is>
      </c>
      <c r="E173" s="590" t="inlineStr">
        <is>
          <t>Trách nhiệm đen tối</t>
        </is>
      </c>
      <c r="F173" s="590" t="inlineStr">
        <is>
          <t>Crime, Thriller</t>
        </is>
      </c>
      <c r="G173" s="108" t="inlineStr">
        <is>
          <t>Skyline Media</t>
        </is>
      </c>
      <c r="H173" s="590" t="inlineStr">
        <is>
          <t>28/2024/HDBQ/VSTV-SM</t>
        </is>
      </c>
      <c r="I173" s="107" t="n">
        <v>2019</v>
      </c>
      <c r="J173" s="107" t="inlineStr">
        <is>
          <t>UK, Ireland</t>
        </is>
      </c>
      <c r="K173" s="107" t="n">
        <v>100</v>
      </c>
      <c r="L173" s="98" t="n">
        <v>45323</v>
      </c>
      <c r="M173" s="98" t="n">
        <v>46418</v>
      </c>
      <c r="N173" s="601" t="n">
        <v>45513</v>
      </c>
      <c r="O173" s="592" t="inlineStr">
        <is>
          <t>K+ACTION</t>
        </is>
      </c>
      <c r="P173" s="104" t="n">
        <v>12</v>
      </c>
      <c r="Q173" s="107" t="inlineStr">
        <is>
          <t>No</t>
        </is>
      </c>
      <c r="R173" s="592" t="inlineStr">
        <is>
          <t>Yes</t>
        </is>
      </c>
      <c r="S173" s="592" t="inlineStr">
        <is>
          <t>Yes</t>
        </is>
      </c>
      <c r="T173" s="592" t="inlineStr">
        <is>
          <t>Yes</t>
        </is>
      </c>
      <c r="U173" s="592" t="inlineStr">
        <is>
          <t>Yes</t>
        </is>
      </c>
      <c r="V173" s="592" t="inlineStr">
        <is>
          <t>Yes</t>
        </is>
      </c>
      <c r="W173" s="592" t="inlineStr">
        <is>
          <t>Yes</t>
        </is>
      </c>
      <c r="X173" s="592" t="inlineStr">
        <is>
          <t>Yes</t>
        </is>
      </c>
      <c r="Y173" s="104" t="inlineStr">
        <is>
          <t>No</t>
        </is>
      </c>
      <c r="Z173" s="98" t="n">
        <v>45323</v>
      </c>
      <c r="AA173" s="98" t="n">
        <v>46418</v>
      </c>
      <c r="AB173" s="107" t="n">
        <v>24</v>
      </c>
      <c r="AC173" s="202" t="n">
        <v>16</v>
      </c>
      <c r="AD173" s="592" t="inlineStr">
        <is>
          <t>Yes</t>
        </is>
      </c>
      <c r="AE173" s="592" t="inlineStr">
        <is>
          <t>Yes</t>
        </is>
      </c>
      <c r="AF173" s="600" t="n"/>
      <c r="AG173" s="593" t="inlineStr">
        <is>
          <t>Phim còn hạn từ 2026</t>
        </is>
      </c>
      <c r="AH173" s="594" t="n"/>
      <c r="AI173" s="206" t="inlineStr">
        <is>
          <t>CALM WITH HORSES</t>
        </is>
      </c>
      <c r="AJ173" s="128">
        <f>SUMIF('TK 15661.Bản quyền phim '!F:F,'KK1. Movies'!D173,'TK 15661.Bản quyền phim '!X:X)</f>
        <v/>
      </c>
      <c r="AK173" s="128">
        <f>SUMIF('TK 15661.Bản quyền phim '!F:F,'KK1. Movies'!AI173,'TK 15661.Bản quyền phim '!X:X)</f>
        <v/>
      </c>
      <c r="AL173" s="203">
        <f>COUNTIF('242.BQ Phim hợp tác'!$C:$C,'KK1. Movies'!AI173)</f>
        <v/>
      </c>
      <c r="AM173" s="203">
        <f>COUNTIF('TK 15661.Bản quyền phim '!F:F,'KK1. Movies'!AI173)</f>
        <v/>
      </c>
      <c r="AN173" s="546">
        <f>AL173+AM173</f>
        <v/>
      </c>
      <c r="AO173" s="203" t="n"/>
      <c r="AP173" s="203" t="n"/>
      <c r="AQ173" s="203" t="n"/>
      <c r="AR173" s="203" t="n"/>
      <c r="AS173" s="203" t="n"/>
      <c r="AT173" s="546">
        <f>IFERROR(VLOOKUP(C173, CodeRanMovies!$A:$K, 11, 0), "Not found")</f>
        <v/>
      </c>
    </row>
    <row r="174" ht="26.4" customHeight="1" s="578">
      <c r="A174" s="201">
        <f>_xlfn.AGGREGATE(3,3,$D$7:D174)</f>
        <v/>
      </c>
      <c r="B174" s="589" t="inlineStr">
        <is>
          <t>16+</t>
        </is>
      </c>
      <c r="C174" s="590" t="inlineStr">
        <is>
          <t>MOV_ROM_21__2652260</t>
        </is>
      </c>
      <c r="D174" s="596" t="inlineStr">
        <is>
          <t>What We Forgot To Remember</t>
        </is>
      </c>
      <c r="E174" s="590" t="inlineStr">
        <is>
          <t>Người Cần Quên Phải Nhớ</t>
        </is>
      </c>
      <c r="F174" s="589" t="inlineStr">
        <is>
          <t>Romance</t>
        </is>
      </c>
      <c r="G174" s="590" t="inlineStr">
        <is>
          <t>CPF</t>
        </is>
      </c>
      <c r="H174" s="590" t="inlineStr">
        <is>
          <t>37A/2021/HDBQ/VSTV-CPF</t>
        </is>
      </c>
      <c r="I174" s="204" t="n">
        <v>2020</v>
      </c>
      <c r="J174" s="592" t="inlineStr">
        <is>
          <t>Việt Nam</t>
        </is>
      </c>
      <c r="K174" s="204" t="n">
        <v>110</v>
      </c>
      <c r="L174" s="98" t="n">
        <v>44407</v>
      </c>
      <c r="M174" s="609" t="n">
        <v>46232</v>
      </c>
      <c r="N174" s="603" t="n">
        <v>44407</v>
      </c>
      <c r="O174" s="592" t="inlineStr">
        <is>
          <t>K+CINE</t>
        </is>
      </c>
      <c r="P174" s="592" t="inlineStr">
        <is>
          <t>Exclusive all TV rights for the first 2 years
Non exclusive all VOD rights (co-exclsuive with GLX Play for the first 6 months)</t>
        </is>
      </c>
      <c r="Q174" s="600" t="inlineStr">
        <is>
          <t>No</t>
        </is>
      </c>
      <c r="R174" s="592" t="inlineStr">
        <is>
          <t>Yes</t>
        </is>
      </c>
      <c r="S174" s="592" t="inlineStr">
        <is>
          <t>Yes</t>
        </is>
      </c>
      <c r="T174" s="592" t="inlineStr">
        <is>
          <t>Yes</t>
        </is>
      </c>
      <c r="U174" s="592" t="inlineStr">
        <is>
          <t>Yes</t>
        </is>
      </c>
      <c r="V174" s="592" t="inlineStr">
        <is>
          <t>Yes</t>
        </is>
      </c>
      <c r="W174" s="592" t="inlineStr">
        <is>
          <t>Yes</t>
        </is>
      </c>
      <c r="X174" s="592" t="inlineStr">
        <is>
          <t>Yes</t>
        </is>
      </c>
      <c r="Y174" s="592" t="inlineStr">
        <is>
          <t>Yes</t>
        </is>
      </c>
      <c r="Z174" s="98" t="n">
        <v>44407</v>
      </c>
      <c r="AA174" s="609" t="n">
        <v>46232</v>
      </c>
      <c r="AB174" s="96" t="inlineStr">
        <is>
          <t>unlimited</t>
        </is>
      </c>
      <c r="AC174" s="202" t="n">
        <v>37</v>
      </c>
      <c r="AD174" s="592" t="inlineStr">
        <is>
          <t>Yes</t>
        </is>
      </c>
      <c r="AE174" s="592" t="inlineStr">
        <is>
          <t>Yes</t>
        </is>
      </c>
      <c r="AF174" s="600" t="n"/>
      <c r="AG174" s="593" t="inlineStr">
        <is>
          <t>Phim còn hạn từ 2026</t>
        </is>
      </c>
      <c r="AH174" s="594" t="n"/>
      <c r="AI174" s="206" t="inlineStr">
        <is>
          <t>What We Forgot To Remember (Người Cần Quên Phải Nhớ)</t>
        </is>
      </c>
      <c r="AJ174" s="128">
        <f>SUMIF('TK 15661.Bản quyền phim '!F:F,'KK1. Movies'!D174,'TK 15661.Bản quyền phim '!X:X)</f>
        <v/>
      </c>
      <c r="AK174" s="128">
        <f>SUMIF('TK 15661.Bản quyền phim '!F:F,'KK1. Movies'!AI174,'TK 15661.Bản quyền phim '!X:X)</f>
        <v/>
      </c>
      <c r="AL174" s="203">
        <f>COUNTIF('242.BQ Phim hợp tác'!$C:$C,'KK1. Movies'!AI174)</f>
        <v/>
      </c>
      <c r="AM174" s="203">
        <f>COUNTIF('TK 15661.Bản quyền phim '!F:F,'KK1. Movies'!AI174)</f>
        <v/>
      </c>
      <c r="AN174" s="546">
        <f>AL174+AM174</f>
        <v/>
      </c>
      <c r="AO174" s="203" t="n"/>
      <c r="AP174" s="203" t="n"/>
      <c r="AQ174" s="203" t="n"/>
      <c r="AR174" s="203" t="n"/>
      <c r="AS174" s="203" t="n"/>
      <c r="AT174" s="546">
        <f>IFERROR(VLOOKUP(C174, CodeRanMovies!$A:$K, 11, 0), "Not found")</f>
        <v/>
      </c>
    </row>
    <row r="175" ht="26.4" customHeight="1" s="578">
      <c r="A175" s="201">
        <f>_xlfn.AGGREGATE(3,3,$D$7:D175)</f>
        <v/>
      </c>
      <c r="B175" s="606" t="inlineStr">
        <is>
          <t>n/a</t>
        </is>
      </c>
      <c r="C175" s="590" t="inlineStr">
        <is>
          <t>MOV_COM292</t>
        </is>
      </c>
      <c r="D175" s="105" t="inlineStr">
        <is>
          <t>Bad Moms</t>
        </is>
      </c>
      <c r="E175" s="97" t="inlineStr">
        <is>
          <t>Những bà mẹ "ngoan"</t>
        </is>
      </c>
      <c r="F175" s="103" t="inlineStr">
        <is>
          <t>Drama</t>
        </is>
      </c>
      <c r="G175" s="103" t="inlineStr">
        <is>
          <t>Rose</t>
        </is>
      </c>
      <c r="H175" s="590" t="inlineStr">
        <is>
          <t>4/2025/HDBQ/VSTV-RM</t>
        </is>
      </c>
      <c r="I175" s="104" t="n">
        <v>2016</v>
      </c>
      <c r="J175" s="104" t="inlineStr">
        <is>
          <t>US</t>
        </is>
      </c>
      <c r="K175" s="104" t="n">
        <v>100</v>
      </c>
      <c r="L175" s="591" t="n">
        <v>45728</v>
      </c>
      <c r="M175" s="98" t="n">
        <v>46823</v>
      </c>
      <c r="N175" s="601" t="inlineStr">
        <is>
          <t>n/a</t>
        </is>
      </c>
      <c r="O175" s="592" t="n"/>
      <c r="P175" s="104" t="n">
        <v>12</v>
      </c>
      <c r="Q175" s="104" t="inlineStr">
        <is>
          <t>No</t>
        </is>
      </c>
      <c r="R175" s="592" t="inlineStr">
        <is>
          <t>Yes</t>
        </is>
      </c>
      <c r="S175" s="107" t="inlineStr">
        <is>
          <t>Yes</t>
        </is>
      </c>
      <c r="T175" s="592" t="inlineStr">
        <is>
          <t>Yes</t>
        </is>
      </c>
      <c r="U175" s="107" t="inlineStr">
        <is>
          <t>Yes</t>
        </is>
      </c>
      <c r="V175" s="107" t="inlineStr">
        <is>
          <t>Yes</t>
        </is>
      </c>
      <c r="W175" s="107" t="inlineStr">
        <is>
          <t>Yes</t>
        </is>
      </c>
      <c r="X175" s="107" t="inlineStr">
        <is>
          <t>Yes</t>
        </is>
      </c>
      <c r="Y175" s="104" t="inlineStr">
        <is>
          <t>Yes</t>
        </is>
      </c>
      <c r="Z175" s="591" t="n">
        <v>45728</v>
      </c>
      <c r="AA175" s="98" t="n">
        <v>46823</v>
      </c>
      <c r="AB175" s="104" t="n">
        <v>24</v>
      </c>
      <c r="AC175" s="202" t="n">
        <v>5</v>
      </c>
      <c r="AD175" s="592" t="inlineStr">
        <is>
          <t>Yes</t>
        </is>
      </c>
      <c r="AE175" s="592" t="inlineStr">
        <is>
          <t>Yes</t>
        </is>
      </c>
      <c r="AF175" s="600" t="n"/>
      <c r="AG175" s="593" t="inlineStr">
        <is>
          <t>Phim còn hạn từ 2026</t>
        </is>
      </c>
      <c r="AH175" s="594" t="n"/>
      <c r="AI175" s="206" t="inlineStr">
        <is>
          <t>Bad Moms</t>
        </is>
      </c>
      <c r="AJ175" s="128">
        <f>SUMIF('TK 15661.Bản quyền phim '!F:F,'KK1. Movies'!D175,'TK 15661.Bản quyền phim '!X:X)</f>
        <v/>
      </c>
      <c r="AK175" s="128">
        <f>SUMIF('TK 15661.Bản quyền phim '!F:F,'KK1. Movies'!AI175,'TK 15661.Bản quyền phim '!X:X)</f>
        <v/>
      </c>
      <c r="AL175" s="203">
        <f>COUNTIF('242.BQ Phim hợp tác'!$C:$C,'KK1. Movies'!AI175)</f>
        <v/>
      </c>
      <c r="AM175" s="203">
        <f>COUNTIF('TK 15661.Bản quyền phim '!F:F,'KK1. Movies'!AI175)</f>
        <v/>
      </c>
      <c r="AN175" s="546">
        <f>AL175+AM175</f>
        <v/>
      </c>
      <c r="AO175" s="203" t="n"/>
      <c r="AP175" s="203" t="n"/>
      <c r="AQ175" s="203" t="n"/>
      <c r="AR175" s="203" t="n"/>
      <c r="AS175" s="203" t="n"/>
      <c r="AT175" s="546">
        <f>IFERROR(VLOOKUP(C175, CodeRanMovies!$A:$K, 11, 0), "Not found")</f>
        <v/>
      </c>
    </row>
    <row r="176">
      <c r="A176" s="201">
        <f>_xlfn.AGGREGATE(3,3,$D$7:D176)</f>
        <v/>
      </c>
      <c r="B176" s="589" t="n"/>
      <c r="C176" s="590" t="inlineStr">
        <is>
          <t>MOV_DRA757</t>
        </is>
      </c>
      <c r="D176" s="105" t="inlineStr">
        <is>
          <t>In Our Prime</t>
        </is>
      </c>
      <c r="E176" s="110" t="inlineStr">
        <is>
          <t>Thanh xuân tươi đẹp của chúng ta</t>
        </is>
      </c>
      <c r="F176" s="103" t="inlineStr">
        <is>
          <t>Drama</t>
        </is>
      </c>
      <c r="G176" s="103" t="inlineStr">
        <is>
          <t>iQiYi</t>
        </is>
      </c>
      <c r="H176" s="590" t="inlineStr">
        <is>
          <t>9/2025/HDBQVSTV-Iqiyi</t>
        </is>
      </c>
      <c r="I176" s="104" t="n">
        <v>2023</v>
      </c>
      <c r="J176" s="104" t="inlineStr">
        <is>
          <t>China</t>
        </is>
      </c>
      <c r="K176" s="104" t="n">
        <v>116</v>
      </c>
      <c r="L176" s="106" t="n">
        <v>45805</v>
      </c>
      <c r="M176" s="106" t="n">
        <v>46901</v>
      </c>
      <c r="N176" s="601" t="n"/>
      <c r="O176" s="592" t="n"/>
      <c r="P176" s="104" t="n">
        <v>36</v>
      </c>
      <c r="Q176" s="104" t="inlineStr">
        <is>
          <t>No</t>
        </is>
      </c>
      <c r="R176" s="592" t="inlineStr">
        <is>
          <t>Yes</t>
        </is>
      </c>
      <c r="S176" s="104" t="inlineStr">
        <is>
          <t>Yes</t>
        </is>
      </c>
      <c r="T176" s="592" t="inlineStr">
        <is>
          <t>Yes</t>
        </is>
      </c>
      <c r="U176" s="104" t="inlineStr">
        <is>
          <t>Yes</t>
        </is>
      </c>
      <c r="V176" s="104" t="inlineStr">
        <is>
          <t>No</t>
        </is>
      </c>
      <c r="W176" s="104" t="inlineStr">
        <is>
          <t>Yes</t>
        </is>
      </c>
      <c r="X176" s="104" t="inlineStr">
        <is>
          <t>Yes</t>
        </is>
      </c>
      <c r="Y176" s="104" t="inlineStr">
        <is>
          <t>Yes</t>
        </is>
      </c>
      <c r="Z176" s="106" t="n">
        <v>45805</v>
      </c>
      <c r="AA176" s="124" t="n">
        <v>46901</v>
      </c>
      <c r="AB176" s="104" t="inlineStr">
        <is>
          <t>Unlimited</t>
        </is>
      </c>
      <c r="AC176" s="202" t="n">
        <v>6</v>
      </c>
      <c r="AD176" s="592" t="inlineStr">
        <is>
          <t>Yes</t>
        </is>
      </c>
      <c r="AE176" s="592" t="inlineStr">
        <is>
          <t>Yes</t>
        </is>
      </c>
      <c r="AF176" s="600" t="n"/>
      <c r="AG176" s="593" t="inlineStr">
        <is>
          <t>Phim còn hạn từ 2026</t>
        </is>
      </c>
      <c r="AH176" s="594" t="n"/>
      <c r="AI176" s="206" t="inlineStr">
        <is>
          <t>In Our Prime</t>
        </is>
      </c>
      <c r="AJ176" s="128">
        <f>SUMIF('TK 15661.Bản quyền phim '!F:F,'KK1. Movies'!D176,'TK 15661.Bản quyền phim '!X:X)</f>
        <v/>
      </c>
      <c r="AK176" s="128">
        <f>SUMIF('TK 15661.Bản quyền phim '!F:F,'KK1. Movies'!AI176,'TK 15661.Bản quyền phim '!X:X)</f>
        <v/>
      </c>
      <c r="AL176" s="203">
        <f>COUNTIF('242.BQ Phim hợp tác'!$C:$C,'KK1. Movies'!AI176)</f>
        <v/>
      </c>
      <c r="AM176" s="203">
        <f>COUNTIF('TK 15661.Bản quyền phim '!F:F,'KK1. Movies'!AI176)</f>
        <v/>
      </c>
      <c r="AN176" s="546">
        <f>AL176+AM176</f>
        <v/>
      </c>
      <c r="AO176" s="203" t="n"/>
      <c r="AP176" s="203" t="n"/>
      <c r="AQ176" s="203" t="n"/>
      <c r="AR176" s="203" t="n"/>
      <c r="AS176" s="203" t="n"/>
      <c r="AT176" s="546">
        <f>IFERROR(VLOOKUP(C176, CodeRanMovies!$A:$K, 11, 0), "Not found")</f>
        <v/>
      </c>
    </row>
    <row r="177" ht="26.4" customHeight="1" s="578">
      <c r="A177" s="201">
        <f>_xlfn.AGGREGATE(3,3,$D$7:D177)</f>
        <v/>
      </c>
      <c r="B177" s="589" t="inlineStr">
        <is>
          <t>16+</t>
        </is>
      </c>
      <c r="C177" s="234" t="inlineStr">
        <is>
          <t>MOV_ACT596</t>
        </is>
      </c>
      <c r="D177" s="105" t="inlineStr">
        <is>
          <t>THE DESPERATE CHASE</t>
        </is>
      </c>
      <c r="E177" s="110" t="inlineStr">
        <is>
          <t>Anh trai vượt mọi tam tai</t>
        </is>
      </c>
      <c r="F177" s="590" t="inlineStr">
        <is>
          <t>Action, Adventure</t>
        </is>
      </c>
      <c r="G177" s="103" t="inlineStr">
        <is>
          <t>CJ HK</t>
        </is>
      </c>
      <c r="H177" s="590" t="inlineStr">
        <is>
          <t>15/2025/HDBQ/VSTV-CJHK</t>
        </is>
      </c>
      <c r="I177" s="104" t="n">
        <v>2023</v>
      </c>
      <c r="J177" s="104" t="inlineStr">
        <is>
          <t>Korea</t>
        </is>
      </c>
      <c r="K177" s="104" t="n">
        <v>113</v>
      </c>
      <c r="L177" s="591" t="n">
        <v>45684</v>
      </c>
      <c r="M177" s="106" t="n">
        <v>46778</v>
      </c>
      <c r="N177" s="591" t="n"/>
      <c r="O177" s="592" t="n"/>
      <c r="P177" s="104" t="n">
        <v>12</v>
      </c>
      <c r="Q177" s="104" t="inlineStr">
        <is>
          <t>No</t>
        </is>
      </c>
      <c r="R177" s="104" t="inlineStr">
        <is>
          <t>Yes</t>
        </is>
      </c>
      <c r="S177" s="104" t="inlineStr">
        <is>
          <t>Yes</t>
        </is>
      </c>
      <c r="T177" s="592" t="inlineStr">
        <is>
          <t>Yes</t>
        </is>
      </c>
      <c r="U177" s="104" t="inlineStr">
        <is>
          <t>Yes</t>
        </is>
      </c>
      <c r="V177" s="104" t="inlineStr">
        <is>
          <t>Yes</t>
        </is>
      </c>
      <c r="W177" s="104" t="inlineStr">
        <is>
          <t>Yes</t>
        </is>
      </c>
      <c r="X177" s="104" t="inlineStr">
        <is>
          <t>Yes</t>
        </is>
      </c>
      <c r="Y177" s="104" t="inlineStr">
        <is>
          <t>Yes</t>
        </is>
      </c>
      <c r="Z177" s="106" t="n">
        <v>45765</v>
      </c>
      <c r="AA177" s="124" t="n">
        <v>46860</v>
      </c>
      <c r="AB177" s="104" t="inlineStr">
        <is>
          <t xml:space="preserve">Unlimited </t>
        </is>
      </c>
      <c r="AC177" s="202" t="n">
        <v>10</v>
      </c>
      <c r="AD177" s="592" t="inlineStr">
        <is>
          <t>Yes</t>
        </is>
      </c>
      <c r="AE177" s="592" t="inlineStr">
        <is>
          <t>Yes</t>
        </is>
      </c>
      <c r="AF177" s="600" t="n"/>
      <c r="AG177" s="593" t="inlineStr">
        <is>
          <t>Phim còn hạn từ 2026</t>
        </is>
      </c>
      <c r="AH177" s="594" t="n"/>
      <c r="AI177" s="103" t="inlineStr">
        <is>
          <t>THE DESPERATE CHASE</t>
        </is>
      </c>
      <c r="AJ177" s="128">
        <f>SUMIF('TK 15661.Bản quyền phim '!F:F,'KK1. Movies'!D177,'TK 15661.Bản quyền phim '!X:X)</f>
        <v/>
      </c>
      <c r="AK177" s="128">
        <f>SUMIF('TK 15661.Bản quyền phim '!F:F,'KK1. Movies'!AI177,'TK 15661.Bản quyền phim '!X:X)</f>
        <v/>
      </c>
      <c r="AL177" s="203">
        <f>COUNTIF('242.BQ Phim hợp tác'!$C:$C,'KK1. Movies'!AI177)</f>
        <v/>
      </c>
      <c r="AM177" s="203">
        <f>COUNTIF('TK 15661.Bản quyền phim '!F:F,'KK1. Movies'!AI177)</f>
        <v/>
      </c>
      <c r="AN177" s="546">
        <f>AL177+AM177</f>
        <v/>
      </c>
      <c r="AO177" s="203" t="n"/>
      <c r="AP177" s="203" t="n"/>
      <c r="AQ177" s="203" t="n"/>
      <c r="AR177" s="203" t="n"/>
      <c r="AS177" s="203" t="n"/>
      <c r="AT177" s="546">
        <f>IFERROR(VLOOKUP(C177, CodeRanMovies!$A:$K, 11, 0), "Not found")</f>
        <v/>
      </c>
    </row>
    <row r="178" ht="26.4" customHeight="1" s="578">
      <c r="A178" s="201">
        <f>_xlfn.AGGREGATE(3,3,$D$7:D178)</f>
        <v/>
      </c>
      <c r="B178" s="606" t="inlineStr">
        <is>
          <t>n/a</t>
        </is>
      </c>
      <c r="C178" s="590" t="inlineStr">
        <is>
          <t>MOV_CRI109</t>
        </is>
      </c>
      <c r="D178" s="105" t="inlineStr">
        <is>
          <t>REVIVAL</t>
        </is>
      </c>
      <c r="E178" s="590" t="inlineStr">
        <is>
          <t>Hồi Lang đình</t>
        </is>
      </c>
      <c r="F178" s="103" t="inlineStr">
        <is>
          <t>Crime/Mystery/Love</t>
        </is>
      </c>
      <c r="G178" s="103" t="inlineStr">
        <is>
          <t>STK</t>
        </is>
      </c>
      <c r="H178" s="590" t="inlineStr">
        <is>
          <t>134/2024/HDBQ/VSTV-STK</t>
        </is>
      </c>
      <c r="I178" s="104" t="n">
        <v>2023</v>
      </c>
      <c r="J178" s="104" t="inlineStr">
        <is>
          <t>China</t>
        </is>
      </c>
      <c r="K178" s="104" t="n">
        <v>100</v>
      </c>
      <c r="L178" s="591" t="n">
        <v>45813</v>
      </c>
      <c r="M178" s="98" t="n">
        <v>46908</v>
      </c>
      <c r="N178" s="601" t="inlineStr">
        <is>
          <t>n/a</t>
        </is>
      </c>
      <c r="O178" s="592" t="n"/>
      <c r="P178" s="104" t="n">
        <v>12</v>
      </c>
      <c r="Q178" s="104" t="inlineStr">
        <is>
          <t>No</t>
        </is>
      </c>
      <c r="R178" s="592" t="inlineStr">
        <is>
          <t>Yes</t>
        </is>
      </c>
      <c r="S178" s="107" t="inlineStr">
        <is>
          <t>Yes</t>
        </is>
      </c>
      <c r="T178" s="592" t="inlineStr">
        <is>
          <t>Yes</t>
        </is>
      </c>
      <c r="U178" s="107" t="inlineStr">
        <is>
          <t>Yes</t>
        </is>
      </c>
      <c r="V178" s="107" t="inlineStr">
        <is>
          <t>Yes</t>
        </is>
      </c>
      <c r="W178" s="107" t="inlineStr">
        <is>
          <t>Yes</t>
        </is>
      </c>
      <c r="X178" s="107" t="inlineStr">
        <is>
          <t>Yes</t>
        </is>
      </c>
      <c r="Y178" s="104" t="inlineStr">
        <is>
          <t>Yes</t>
        </is>
      </c>
      <c r="Z178" s="113" t="n">
        <v>45813</v>
      </c>
      <c r="AA178" s="236" t="n">
        <v>46908</v>
      </c>
      <c r="AB178" s="104" t="n">
        <v>24</v>
      </c>
      <c r="AC178" s="202" t="n">
        <v>3</v>
      </c>
      <c r="AD178" s="592" t="inlineStr">
        <is>
          <t>Yes</t>
        </is>
      </c>
      <c r="AE178" s="592" t="inlineStr">
        <is>
          <t>Yes</t>
        </is>
      </c>
      <c r="AF178" s="600" t="n"/>
      <c r="AG178" s="593" t="inlineStr">
        <is>
          <t>Phim còn hạn từ 2026</t>
        </is>
      </c>
      <c r="AH178" s="594" t="n"/>
      <c r="AI178" s="206" t="inlineStr">
        <is>
          <t>REVIVAL</t>
        </is>
      </c>
      <c r="AJ178" s="128">
        <f>SUMIF('TK 15661.Bản quyền phim '!F:F,'KK1. Movies'!D178,'TK 15661.Bản quyền phim '!X:X)</f>
        <v/>
      </c>
      <c r="AK178" s="128">
        <f>SUMIF('TK 15661.Bản quyền phim '!F:F,'KK1. Movies'!AI178,'TK 15661.Bản quyền phim '!X:X)</f>
        <v/>
      </c>
      <c r="AL178" s="203">
        <f>COUNTIF('242.BQ Phim hợp tác'!$C:$C,'KK1. Movies'!AI178)</f>
        <v/>
      </c>
      <c r="AM178" s="203">
        <f>COUNTIF('TK 15661.Bản quyền phim '!F:F,'KK1. Movies'!AI178)</f>
        <v/>
      </c>
      <c r="AN178" s="546">
        <f>AL178+AM178</f>
        <v/>
      </c>
      <c r="AO178" s="203" t="n"/>
      <c r="AP178" s="203" t="n"/>
      <c r="AQ178" s="203" t="n"/>
      <c r="AR178" s="203" t="n"/>
      <c r="AS178" s="203" t="n"/>
      <c r="AT178" s="546">
        <f>IFERROR(VLOOKUP(C178, CodeRanMovies!$A:$K, 11, 0), "Not found")</f>
        <v/>
      </c>
    </row>
    <row r="179" ht="52.8" customHeight="1" s="578">
      <c r="A179" s="201">
        <f>_xlfn.AGGREGATE(3,3,$D$7:D179)</f>
        <v/>
      </c>
      <c r="B179" s="606" t="inlineStr">
        <is>
          <t>n/a</t>
        </is>
      </c>
      <c r="C179" s="590" t="inlineStr">
        <is>
          <t>MOV_ACT606</t>
        </is>
      </c>
      <c r="D179" s="105" t="inlineStr">
        <is>
          <t>HIJACK 1971</t>
        </is>
      </c>
      <c r="E179" s="110" t="inlineStr">
        <is>
          <t>Vây hãm trên không</t>
        </is>
      </c>
      <c r="F179" s="590" t="inlineStr">
        <is>
          <t>Action, Adventure</t>
        </is>
      </c>
      <c r="G179" s="103" t="inlineStr">
        <is>
          <t>SONY</t>
        </is>
      </c>
      <c r="H179" s="590" t="inlineStr">
        <is>
          <t>Sony/K+Vietnam PayBasic SVOD Package Agmt D3A FE (Feb-5-24)</t>
        </is>
      </c>
      <c r="I179" s="104" t="n">
        <v>2024</v>
      </c>
      <c r="J179" s="104" t="inlineStr">
        <is>
          <t>Korea</t>
        </is>
      </c>
      <c r="K179" s="104" t="n">
        <v>100</v>
      </c>
      <c r="L179" s="591" t="n">
        <v>45736</v>
      </c>
      <c r="M179" s="106" t="n">
        <v>46041</v>
      </c>
      <c r="N179" s="601" t="n"/>
      <c r="O179" s="592" t="n"/>
      <c r="P179" s="592" t="n"/>
      <c r="Q179" s="104" t="inlineStr">
        <is>
          <t>No</t>
        </is>
      </c>
      <c r="R179" s="104" t="inlineStr">
        <is>
          <t>Yes</t>
        </is>
      </c>
      <c r="S179" s="104" t="inlineStr">
        <is>
          <t>Yes</t>
        </is>
      </c>
      <c r="T179" s="592" t="inlineStr">
        <is>
          <t>Yes</t>
        </is>
      </c>
      <c r="U179" s="104" t="inlineStr">
        <is>
          <t>No</t>
        </is>
      </c>
      <c r="V179" s="104" t="inlineStr">
        <is>
          <t>No</t>
        </is>
      </c>
      <c r="W179" s="104" t="inlineStr">
        <is>
          <t>No</t>
        </is>
      </c>
      <c r="X179" s="104" t="inlineStr">
        <is>
          <t>Yes</t>
        </is>
      </c>
      <c r="Y179" s="104" t="inlineStr">
        <is>
          <t>No</t>
        </is>
      </c>
      <c r="Z179" s="106" t="n">
        <v>45736</v>
      </c>
      <c r="AA179" s="124" t="n">
        <v>46041</v>
      </c>
      <c r="AB179" s="104" t="n">
        <v>6</v>
      </c>
      <c r="AC179" s="202" t="n">
        <v>2</v>
      </c>
      <c r="AD179" s="592" t="inlineStr">
        <is>
          <t>Yes</t>
        </is>
      </c>
      <c r="AE179" s="592" t="inlineStr">
        <is>
          <t>Yes</t>
        </is>
      </c>
      <c r="AF179" s="600" t="n"/>
      <c r="AG179" s="593" t="inlineStr">
        <is>
          <t>Phim còn hạn từ 2026</t>
        </is>
      </c>
      <c r="AH179" s="594" t="n"/>
      <c r="AI179" s="599" t="inlineStr">
        <is>
          <t>HIJACK 1971</t>
        </is>
      </c>
      <c r="AJ179" s="128">
        <f>SUMIF('TK 15661.Bản quyền phim '!F:F,'KK1. Movies'!D179,'TK 15661.Bản quyền phim '!X:X)</f>
        <v/>
      </c>
      <c r="AK179" s="128">
        <f>SUMIF('TK 15661.Bản quyền phim '!F:F,'KK1. Movies'!AI179,'TK 15661.Bản quyền phim '!X:X)</f>
        <v/>
      </c>
      <c r="AL179" s="203">
        <f>COUNTIF('242.BQ Phim hợp tác'!$C:$C,'KK1. Movies'!AI179)</f>
        <v/>
      </c>
      <c r="AM179" s="203">
        <f>COUNTIF('TK 15661.Bản quyền phim '!F:F,'KK1. Movies'!AI179)</f>
        <v/>
      </c>
      <c r="AN179" s="546">
        <f>AL179+AM179</f>
        <v/>
      </c>
      <c r="AO179" s="203" t="n"/>
      <c r="AP179" s="203" t="n"/>
      <c r="AQ179" s="203" t="n"/>
      <c r="AR179" s="203" t="n"/>
      <c r="AS179" s="203" t="n"/>
      <c r="AT179" s="546">
        <f>IFERROR(VLOOKUP(C179, CodeRanMovies!$A:$K, 11, 0), "Not found")</f>
        <v/>
      </c>
    </row>
    <row r="180" ht="26.4" customHeight="1" s="578">
      <c r="A180" s="201">
        <f>_xlfn.AGGREGATE(3,3,$D$7:D180)</f>
        <v/>
      </c>
      <c r="B180" s="606" t="inlineStr">
        <is>
          <t>n/a</t>
        </is>
      </c>
      <c r="C180" s="234" t="inlineStr">
        <is>
          <t>MOV_ROM97</t>
        </is>
      </c>
      <c r="D180" s="105" t="inlineStr">
        <is>
          <t>THE EX-FILES 4: MARRIAGE PLAN</t>
        </is>
      </c>
      <c r="E180" s="105" t="inlineStr">
        <is>
          <t>Tiền nhiệm 4: Kết hôn sớm</t>
        </is>
      </c>
      <c r="F180" s="108" t="inlineStr">
        <is>
          <t>Comedy, Romance, Drama</t>
        </is>
      </c>
      <c r="G180" s="108" t="inlineStr">
        <is>
          <t>Skyline Media</t>
        </is>
      </c>
      <c r="H180" s="590" t="inlineStr">
        <is>
          <t>36/2025/HDBQ/VSTV-SM</t>
        </is>
      </c>
      <c r="I180" s="107" t="n">
        <v>2023</v>
      </c>
      <c r="J180" s="107" t="inlineStr">
        <is>
          <t>China</t>
        </is>
      </c>
      <c r="K180" s="107" t="n">
        <v>90</v>
      </c>
      <c r="L180" s="591" t="n">
        <v>45870</v>
      </c>
      <c r="M180" s="98" t="n">
        <v>46965</v>
      </c>
      <c r="N180" s="601" t="inlineStr">
        <is>
          <t>n/a</t>
        </is>
      </c>
      <c r="O180" s="592" t="n"/>
      <c r="P180" s="104" t="n">
        <v>12</v>
      </c>
      <c r="Q180" s="107" t="inlineStr">
        <is>
          <t>No</t>
        </is>
      </c>
      <c r="R180" s="592" t="inlineStr">
        <is>
          <t>Yes</t>
        </is>
      </c>
      <c r="S180" s="104" t="inlineStr">
        <is>
          <t>Yes</t>
        </is>
      </c>
      <c r="T180" s="592" t="inlineStr">
        <is>
          <t>Yes</t>
        </is>
      </c>
      <c r="U180" s="104" t="inlineStr">
        <is>
          <t>Yes</t>
        </is>
      </c>
      <c r="V180" s="104" t="inlineStr">
        <is>
          <t>Yes</t>
        </is>
      </c>
      <c r="W180" s="104" t="inlineStr">
        <is>
          <t>Yes</t>
        </is>
      </c>
      <c r="X180" s="104" t="inlineStr">
        <is>
          <t>Yes</t>
        </is>
      </c>
      <c r="Y180" s="104" t="inlineStr">
        <is>
          <t>No</t>
        </is>
      </c>
      <c r="Z180" s="109" t="n">
        <v>45870</v>
      </c>
      <c r="AA180" s="125" t="n">
        <v>46965</v>
      </c>
      <c r="AB180" s="107" t="n">
        <v>24</v>
      </c>
      <c r="AC180" s="202" t="n">
        <v>3</v>
      </c>
      <c r="AD180" s="592" t="inlineStr">
        <is>
          <t>Yes</t>
        </is>
      </c>
      <c r="AE180" s="592" t="inlineStr">
        <is>
          <t>Yes</t>
        </is>
      </c>
      <c r="AF180" s="600" t="n"/>
      <c r="AG180" s="593" t="inlineStr">
        <is>
          <t>Phim còn hạn từ 2026</t>
        </is>
      </c>
      <c r="AH180" s="594" t="n"/>
      <c r="AI180" s="206" t="inlineStr">
        <is>
          <t>THE EX-FILES 4: MARRIAGE PLAN</t>
        </is>
      </c>
      <c r="AJ180" s="128">
        <f>SUMIF('TK 15661.Bản quyền phim '!F:F,'KK1. Movies'!D180,'TK 15661.Bản quyền phim '!X:X)</f>
        <v/>
      </c>
      <c r="AK180" s="128">
        <f>SUMIF('TK 15661.Bản quyền phim '!F:F,'KK1. Movies'!AI180,'TK 15661.Bản quyền phim '!X:X)</f>
        <v/>
      </c>
      <c r="AL180" s="203">
        <f>COUNTIF('242.BQ Phim hợp tác'!$C:$C,'KK1. Movies'!AI180)</f>
        <v/>
      </c>
      <c r="AM180" s="203">
        <f>COUNTIF('TK 15661.Bản quyền phim '!F:F,'KK1. Movies'!AI180)</f>
        <v/>
      </c>
      <c r="AN180" s="546">
        <f>AL180+AM180</f>
        <v/>
      </c>
      <c r="AO180" s="203" t="n"/>
      <c r="AP180" s="203" t="n"/>
      <c r="AQ180" s="203" t="n"/>
      <c r="AR180" s="203" t="n"/>
      <c r="AS180" s="203" t="n"/>
      <c r="AT180" s="546">
        <f>IFERROR(VLOOKUP(C180, CodeRanMovies!$A:$K, 11, 0), "Not found")</f>
        <v/>
      </c>
    </row>
    <row r="181" ht="26.4" customHeight="1" s="578">
      <c r="A181" s="201">
        <f>_xlfn.AGGREGATE(3,3,$D$7:D181)</f>
        <v/>
      </c>
      <c r="B181" s="589" t="inlineStr">
        <is>
          <t>16+</t>
        </is>
      </c>
      <c r="C181" s="590" t="inlineStr">
        <is>
          <t>MOV_ACT_23__2710032</t>
        </is>
      </c>
      <c r="D181" s="105" t="inlineStr">
        <is>
          <t>RANSOMED</t>
        </is>
      </c>
      <c r="E181" s="110" t="inlineStr">
        <is>
          <t>BỘ ĐÔI BÁO THỦ</t>
        </is>
      </c>
      <c r="F181" s="590" t="inlineStr">
        <is>
          <t>Crime, Thriller</t>
        </is>
      </c>
      <c r="G181" s="103" t="inlineStr">
        <is>
          <t>CJ HK</t>
        </is>
      </c>
      <c r="H181" s="590" t="inlineStr">
        <is>
          <t>180/2024/HDBQ/VSTV-CJHK</t>
        </is>
      </c>
      <c r="I181" s="104" t="n">
        <v>2023</v>
      </c>
      <c r="J181" s="600" t="inlineStr">
        <is>
          <t>Korea</t>
        </is>
      </c>
      <c r="K181" s="104" t="n">
        <v>132</v>
      </c>
      <c r="L181" s="98" t="n">
        <v>45333</v>
      </c>
      <c r="M181" s="106" t="n">
        <v>46428</v>
      </c>
      <c r="N181" s="601" t="n">
        <v>45333</v>
      </c>
      <c r="O181" s="592" t="inlineStr">
        <is>
          <t>K+CINE</t>
        </is>
      </c>
      <c r="P181" s="100" t="n">
        <v>12</v>
      </c>
      <c r="Q181" s="104" t="inlineStr">
        <is>
          <t>No</t>
        </is>
      </c>
      <c r="R181" s="592" t="inlineStr">
        <is>
          <t>Yes</t>
        </is>
      </c>
      <c r="S181" s="592" t="inlineStr">
        <is>
          <t>Yes</t>
        </is>
      </c>
      <c r="T181" s="592" t="inlineStr">
        <is>
          <t>Yes</t>
        </is>
      </c>
      <c r="U181" s="592" t="inlineStr">
        <is>
          <t>Yes</t>
        </is>
      </c>
      <c r="V181" s="592" t="inlineStr">
        <is>
          <t>Yes</t>
        </is>
      </c>
      <c r="W181" s="592" t="inlineStr">
        <is>
          <t>Yes</t>
        </is>
      </c>
      <c r="X181" s="104" t="inlineStr">
        <is>
          <t>No</t>
        </is>
      </c>
      <c r="Y181" s="592" t="inlineStr">
        <is>
          <t>Yes</t>
        </is>
      </c>
      <c r="Z181" s="106" t="n">
        <v>45359</v>
      </c>
      <c r="AA181" s="124" t="n">
        <v>46449</v>
      </c>
      <c r="AB181" s="592" t="inlineStr">
        <is>
          <t>Unlimited</t>
        </is>
      </c>
      <c r="AC181" s="202" t="n">
        <v>28</v>
      </c>
      <c r="AD181" s="592" t="inlineStr">
        <is>
          <t>Yes</t>
        </is>
      </c>
      <c r="AE181" s="592" t="inlineStr">
        <is>
          <t>Yes</t>
        </is>
      </c>
      <c r="AF181" s="600" t="n"/>
      <c r="AG181" s="593" t="inlineStr">
        <is>
          <t>Phim còn hạn từ 2026</t>
        </is>
      </c>
      <c r="AH181" s="594" t="n"/>
      <c r="AI181" s="206" t="inlineStr">
        <is>
          <t>RANSOMED (BỘ ĐÔI BÁO THỦ)</t>
        </is>
      </c>
      <c r="AJ181" s="128">
        <f>SUMIF('TK 15661.Bản quyền phim '!F:F,'KK1. Movies'!D181,'TK 15661.Bản quyền phim '!X:X)</f>
        <v/>
      </c>
      <c r="AK181" s="128">
        <f>SUMIF('TK 15661.Bản quyền phim '!F:F,'KK1. Movies'!AI181,'TK 15661.Bản quyền phim '!X:X)</f>
        <v/>
      </c>
      <c r="AL181" s="203">
        <f>COUNTIF('242.BQ Phim hợp tác'!$C:$C,'KK1. Movies'!AI181)</f>
        <v/>
      </c>
      <c r="AM181" s="203">
        <f>COUNTIF('TK 15661.Bản quyền phim '!F:F,'KK1. Movies'!AI181)</f>
        <v/>
      </c>
      <c r="AN181" s="546">
        <f>AL181+AM181</f>
        <v/>
      </c>
      <c r="AO181" s="203" t="n"/>
      <c r="AP181" s="203" t="n"/>
      <c r="AQ181" s="203" t="n"/>
      <c r="AR181" s="203" t="n"/>
      <c r="AS181" s="203" t="n"/>
      <c r="AT181" s="546">
        <f>IFERROR(VLOOKUP(C181, CodeRanMovies!$A:$K, 11, 0), "Not found")</f>
        <v/>
      </c>
    </row>
    <row r="182" ht="52.8" customHeight="1" s="578">
      <c r="A182" s="201">
        <f>_xlfn.AGGREGATE(3,3,$D$7:D182)</f>
        <v/>
      </c>
      <c r="B182" s="589" t="inlineStr">
        <is>
          <t>16+</t>
        </is>
      </c>
      <c r="C182" s="234" t="inlineStr">
        <is>
          <t>MOV_BIO_24__2713781</t>
        </is>
      </c>
      <c r="D182" s="105" t="inlineStr">
        <is>
          <t>BEST OF ENEMIES, THE (2019)</t>
        </is>
      </c>
      <c r="E182" s="110" t="inlineStr">
        <is>
          <t>Kẻ thù đáng quý</t>
        </is>
      </c>
      <c r="F182" s="590" t="inlineStr">
        <is>
          <t>Drama</t>
        </is>
      </c>
      <c r="G182" s="103" t="inlineStr">
        <is>
          <t>SONY PICTURES</t>
        </is>
      </c>
      <c r="H182" s="590" t="inlineStr">
        <is>
          <t>Sony/K+Vietnam PayBasic SVOD Package Agmt D2D per JK (19-01-2024)</t>
        </is>
      </c>
      <c r="I182" s="104" t="n">
        <v>2019</v>
      </c>
      <c r="J182" s="600" t="inlineStr">
        <is>
          <t>US</t>
        </is>
      </c>
      <c r="K182" s="104" t="n">
        <v>132</v>
      </c>
      <c r="L182" s="98" t="n">
        <v>45382</v>
      </c>
      <c r="M182" s="106" t="n">
        <v>46111</v>
      </c>
      <c r="N182" s="601" t="n">
        <v>45420</v>
      </c>
      <c r="O182" s="592" t="inlineStr">
        <is>
          <t>K+CINE</t>
        </is>
      </c>
      <c r="P182" s="592" t="n"/>
      <c r="Q182" s="104" t="inlineStr">
        <is>
          <t>No</t>
        </is>
      </c>
      <c r="R182" s="592" t="inlineStr">
        <is>
          <t>Yes</t>
        </is>
      </c>
      <c r="S182" s="592" t="inlineStr">
        <is>
          <t>Yes</t>
        </is>
      </c>
      <c r="T182" s="592" t="inlineStr">
        <is>
          <t>Yes</t>
        </is>
      </c>
      <c r="U182" s="104" t="inlineStr">
        <is>
          <t>No</t>
        </is>
      </c>
      <c r="V182" s="104" t="inlineStr">
        <is>
          <t>No</t>
        </is>
      </c>
      <c r="W182" s="104" t="inlineStr">
        <is>
          <t>No</t>
        </is>
      </c>
      <c r="X182" s="104" t="inlineStr">
        <is>
          <t>No</t>
        </is>
      </c>
      <c r="Y182" s="104" t="inlineStr">
        <is>
          <t>No</t>
        </is>
      </c>
      <c r="Z182" s="98" t="n">
        <v>45382</v>
      </c>
      <c r="AA182" s="124" t="n">
        <v>46111</v>
      </c>
      <c r="AB182" s="107" t="n">
        <v>7</v>
      </c>
      <c r="AC182" s="202" t="n">
        <v>7</v>
      </c>
      <c r="AD182" s="592" t="inlineStr">
        <is>
          <t>Yes</t>
        </is>
      </c>
      <c r="AE182" s="592" t="inlineStr">
        <is>
          <t>Yes</t>
        </is>
      </c>
      <c r="AF182" s="600" t="n"/>
      <c r="AG182" s="593" t="inlineStr">
        <is>
          <t>Phim còn hạn từ 2026</t>
        </is>
      </c>
      <c r="AH182" s="594" t="n"/>
      <c r="AI182" s="205" t="inlineStr">
        <is>
          <t>BEST OF ENEMIES, THE (2019)</t>
        </is>
      </c>
      <c r="AJ182" s="128">
        <f>SUMIF('TK 15661.Bản quyền phim '!F:F,'KK1. Movies'!D182,'TK 15661.Bản quyền phim '!X:X)</f>
        <v/>
      </c>
      <c r="AK182" s="128">
        <f>SUMIF('TK 15661.Bản quyền phim '!F:F,'KK1. Movies'!AI182,'TK 15661.Bản quyền phim '!X:X)</f>
        <v/>
      </c>
      <c r="AL182" s="203">
        <f>COUNTIF('242.BQ Phim hợp tác'!$C:$C,'KK1. Movies'!AI182)</f>
        <v/>
      </c>
      <c r="AM182" s="203">
        <f>COUNTIF('TK 15661.Bản quyền phim '!F:F,'KK1. Movies'!AI182)</f>
        <v/>
      </c>
      <c r="AN182" s="546">
        <f>AL182+AM182</f>
        <v/>
      </c>
      <c r="AO182" s="203" t="n"/>
      <c r="AP182" s="203" t="n"/>
      <c r="AQ182" s="203" t="n"/>
      <c r="AR182" s="203" t="n"/>
      <c r="AS182" s="203" t="n"/>
      <c r="AT182" s="546">
        <f>IFERROR(VLOOKUP(C182, CodeRanMovies!$A:$K, 11, 0), "Not found")</f>
        <v/>
      </c>
    </row>
    <row r="183" ht="26.4" customHeight="1" s="578">
      <c r="A183" s="201">
        <f>_xlfn.AGGREGATE(3,3,$D$7:D183)</f>
        <v/>
      </c>
      <c r="B183" s="589" t="inlineStr">
        <is>
          <t>P</t>
        </is>
      </c>
      <c r="C183" s="234" t="inlineStr">
        <is>
          <t>MOV_DRA728</t>
        </is>
      </c>
      <c r="D183" s="105" t="inlineStr">
        <is>
          <t>The Billionaire (2011)</t>
        </is>
      </c>
      <c r="E183" s="590" t="inlineStr">
        <is>
          <t>Thiếu niên bạc tỉ</t>
        </is>
      </c>
      <c r="F183" s="108" t="inlineStr">
        <is>
          <t>drama</t>
        </is>
      </c>
      <c r="G183" s="108" t="inlineStr">
        <is>
          <t>Hỏa Thổ</t>
        </is>
      </c>
      <c r="H183" s="108" t="inlineStr">
        <is>
          <t>25A/2024/HDBQ/VSTV-Hoa tho</t>
        </is>
      </c>
      <c r="I183" s="107" t="n">
        <v>2011</v>
      </c>
      <c r="J183" s="600" t="inlineStr">
        <is>
          <t>Thailand</t>
        </is>
      </c>
      <c r="K183" s="107" t="n">
        <v>100</v>
      </c>
      <c r="L183" s="98" t="n">
        <v>45560</v>
      </c>
      <c r="M183" s="109" t="n">
        <v>46654</v>
      </c>
      <c r="N183" s="601" t="n">
        <v>45560</v>
      </c>
      <c r="O183" s="592" t="inlineStr">
        <is>
          <t>K+CINE</t>
        </is>
      </c>
      <c r="P183" s="104" t="inlineStr">
        <is>
          <t xml:space="preserve"> </t>
        </is>
      </c>
      <c r="Q183" s="104" t="inlineStr">
        <is>
          <t>No</t>
        </is>
      </c>
      <c r="R183" s="592" t="inlineStr">
        <is>
          <t>Yes</t>
        </is>
      </c>
      <c r="S183" s="104" t="inlineStr">
        <is>
          <t>Yes</t>
        </is>
      </c>
      <c r="T183" s="592" t="inlineStr">
        <is>
          <t>Yes</t>
        </is>
      </c>
      <c r="U183" s="104" t="inlineStr">
        <is>
          <t>Yes</t>
        </is>
      </c>
      <c r="V183" s="104" t="inlineStr">
        <is>
          <t>Yes</t>
        </is>
      </c>
      <c r="W183" s="104" t="inlineStr">
        <is>
          <t>Yes</t>
        </is>
      </c>
      <c r="X183" s="104" t="inlineStr">
        <is>
          <t>No</t>
        </is>
      </c>
      <c r="Y183" s="104" t="inlineStr">
        <is>
          <t>No</t>
        </is>
      </c>
      <c r="Z183" s="98" t="n">
        <v>45560</v>
      </c>
      <c r="AA183" s="109" t="n">
        <v>46654</v>
      </c>
      <c r="AB183" s="107" t="inlineStr">
        <is>
          <t>Unlimited run</t>
        </is>
      </c>
      <c r="AC183" s="105" t="n">
        <v>11</v>
      </c>
      <c r="AD183" s="592" t="inlineStr">
        <is>
          <t>Yes</t>
        </is>
      </c>
      <c r="AE183" s="592" t="inlineStr">
        <is>
          <t>Yes</t>
        </is>
      </c>
      <c r="AF183" s="600" t="n"/>
      <c r="AG183" s="593" t="inlineStr">
        <is>
          <t>Phim còn hạn từ 2026</t>
        </is>
      </c>
      <c r="AH183" s="594" t="n"/>
      <c r="AI183" s="206" t="inlineStr">
        <is>
          <t>The Billionaire (Thiếu niên bạc tỷ)</t>
        </is>
      </c>
      <c r="AJ183" s="128">
        <f>SUMIF('TK 15661.Bản quyền phim '!F:F,'KK1. Movies'!D183,'TK 15661.Bản quyền phim '!X:X)</f>
        <v/>
      </c>
      <c r="AK183" s="128">
        <f>SUMIF('TK 15661.Bản quyền phim '!F:F,'KK1. Movies'!AI183,'TK 15661.Bản quyền phim '!X:X)</f>
        <v/>
      </c>
      <c r="AL183" s="203">
        <f>COUNTIF('242.BQ Phim hợp tác'!$C:$C,'KK1. Movies'!AI183)</f>
        <v/>
      </c>
      <c r="AM183" s="203">
        <f>COUNTIF('TK 15661.Bản quyền phim '!F:F,'KK1. Movies'!AI183)</f>
        <v/>
      </c>
      <c r="AN183" s="546">
        <f>AL183+AM183</f>
        <v/>
      </c>
      <c r="AO183" s="203" t="n"/>
      <c r="AP183" s="203" t="n"/>
      <c r="AQ183" s="203" t="n"/>
      <c r="AR183" s="203" t="n"/>
      <c r="AS183" s="203" t="n"/>
      <c r="AT183" s="546">
        <f>IFERROR(VLOOKUP(C183, CodeRanMovies!$A:$K, 11, 0), "Not found")</f>
        <v/>
      </c>
    </row>
    <row r="184">
      <c r="A184" s="201">
        <f>_xlfn.AGGREGATE(3,3,$D$7:D184)</f>
        <v/>
      </c>
      <c r="B184" s="589" t="inlineStr">
        <is>
          <t>P</t>
        </is>
      </c>
      <c r="C184" s="234" t="inlineStr">
        <is>
          <t>MOV_ADV52</t>
        </is>
      </c>
      <c r="D184" s="105" t="inlineStr">
        <is>
          <t>EVEREST ('15)</t>
        </is>
      </c>
      <c r="E184" s="110" t="inlineStr">
        <is>
          <t>Đỉnh Everest</t>
        </is>
      </c>
      <c r="F184" s="108" t="inlineStr">
        <is>
          <t>Action, Adventure</t>
        </is>
      </c>
      <c r="G184" s="108" t="inlineStr">
        <is>
          <t>NBC Universal</t>
        </is>
      </c>
      <c r="H184" s="108" t="inlineStr">
        <is>
          <t>5049540-2/161434-3</t>
        </is>
      </c>
      <c r="I184" s="104" t="n">
        <v>2015</v>
      </c>
      <c r="J184" s="107" t="inlineStr">
        <is>
          <t>US</t>
        </is>
      </c>
      <c r="K184" s="104" t="n">
        <v>121</v>
      </c>
      <c r="L184" s="98" t="n">
        <v>45651</v>
      </c>
      <c r="M184" s="98" t="n">
        <v>46380</v>
      </c>
      <c r="N184" s="601" t="n">
        <v>45651</v>
      </c>
      <c r="O184" s="592" t="inlineStr">
        <is>
          <t>K+CINE</t>
        </is>
      </c>
      <c r="P184" s="104" t="inlineStr">
        <is>
          <t xml:space="preserve"> </t>
        </is>
      </c>
      <c r="Q184" s="104" t="inlineStr">
        <is>
          <t>No</t>
        </is>
      </c>
      <c r="R184" s="592" t="inlineStr">
        <is>
          <t>Yes</t>
        </is>
      </c>
      <c r="S184" s="104" t="inlineStr">
        <is>
          <t>Yes</t>
        </is>
      </c>
      <c r="T184" s="592" t="inlineStr">
        <is>
          <t>Yes</t>
        </is>
      </c>
      <c r="U184" s="104" t="inlineStr">
        <is>
          <t>No</t>
        </is>
      </c>
      <c r="V184" s="104" t="inlineStr">
        <is>
          <t>No</t>
        </is>
      </c>
      <c r="W184" s="104" t="inlineStr">
        <is>
          <t>No</t>
        </is>
      </c>
      <c r="X184" s="104" t="inlineStr">
        <is>
          <t>No</t>
        </is>
      </c>
      <c r="Y184" s="104" t="inlineStr">
        <is>
          <t>Yes</t>
        </is>
      </c>
      <c r="Z184" s="98" t="n">
        <v>45651</v>
      </c>
      <c r="AA184" s="98" t="n">
        <v>46380</v>
      </c>
      <c r="AB184" s="107" t="n">
        <v>6</v>
      </c>
      <c r="AC184" s="107" t="n">
        <v>2</v>
      </c>
      <c r="AD184" s="592" t="inlineStr">
        <is>
          <t>Yes</t>
        </is>
      </c>
      <c r="AE184" s="592" t="inlineStr">
        <is>
          <t>Yes</t>
        </is>
      </c>
      <c r="AF184" s="600" t="n"/>
      <c r="AG184" s="593" t="inlineStr">
        <is>
          <t>Phim còn hạn từ 2026</t>
        </is>
      </c>
      <c r="AH184" s="594" t="n"/>
      <c r="AI184" s="599" t="inlineStr">
        <is>
          <t>EVEREST ('15)</t>
        </is>
      </c>
      <c r="AJ184" s="128">
        <f>SUMIF('TK 15661.Bản quyền phim '!F:F,'KK1. Movies'!D184,'TK 15661.Bản quyền phim '!X:X)</f>
        <v/>
      </c>
      <c r="AK184" s="128">
        <f>SUMIF('TK 15661.Bản quyền phim '!F:F,'KK1. Movies'!AI184,'TK 15661.Bản quyền phim '!X:X)</f>
        <v/>
      </c>
      <c r="AL184" s="203">
        <f>COUNTIF('242.BQ Phim hợp tác'!$C:$C,'KK1. Movies'!AI184)</f>
        <v/>
      </c>
      <c r="AM184" s="203">
        <f>COUNTIF('TK 15661.Bản quyền phim '!F:F,'KK1. Movies'!AI184)</f>
        <v/>
      </c>
      <c r="AN184" s="546">
        <f>AL184+AM184</f>
        <v/>
      </c>
      <c r="AO184" s="203" t="n"/>
      <c r="AP184" s="203" t="n"/>
      <c r="AQ184" s="203" t="n"/>
      <c r="AR184" s="203" t="n"/>
      <c r="AS184" s="203" t="n"/>
      <c r="AT184" s="546">
        <f>IFERROR(VLOOKUP(C184, CodeRanMovies!$A:$K, 11, 0), "Not found")</f>
        <v/>
      </c>
    </row>
    <row r="185" ht="26.4" customHeight="1" s="578">
      <c r="A185" s="201">
        <f>_xlfn.AGGREGATE(3,3,$D$7:D185)</f>
        <v/>
      </c>
      <c r="B185" s="606" t="inlineStr">
        <is>
          <t>n/a</t>
        </is>
      </c>
      <c r="C185" s="590" t="inlineStr">
        <is>
          <t>MOV_DRA744</t>
        </is>
      </c>
      <c r="D185" s="105" t="inlineStr">
        <is>
          <t>MRS. HARRIS GOES TO PARIS</t>
        </is>
      </c>
      <c r="E185" s="97" t="inlineStr">
        <is>
          <t>Quý bà Harris tới Paris</t>
        </is>
      </c>
      <c r="F185" s="103" t="inlineStr">
        <is>
          <t>Comedy</t>
        </is>
      </c>
      <c r="G185" s="103" t="inlineStr">
        <is>
          <t>NBC Universal</t>
        </is>
      </c>
      <c r="H185" s="108" t="inlineStr">
        <is>
          <t>5051370-3/166015-3</t>
        </is>
      </c>
      <c r="I185" s="104" t="n">
        <v>2022</v>
      </c>
      <c r="J185" s="104" t="inlineStr">
        <is>
          <t>US</t>
        </is>
      </c>
      <c r="K185" s="104" t="n">
        <v>115</v>
      </c>
      <c r="L185" s="591" t="n">
        <v>45710</v>
      </c>
      <c r="M185" s="98" t="n">
        <v>46439</v>
      </c>
      <c r="N185" s="601" t="inlineStr">
        <is>
          <t>n/a</t>
        </is>
      </c>
      <c r="O185" s="592" t="n"/>
      <c r="P185" s="104" t="n"/>
      <c r="Q185" s="107" t="inlineStr">
        <is>
          <t>No</t>
        </is>
      </c>
      <c r="R185" s="592" t="inlineStr">
        <is>
          <t>Yes</t>
        </is>
      </c>
      <c r="S185" s="107" t="inlineStr">
        <is>
          <t>Yes</t>
        </is>
      </c>
      <c r="T185" s="592" t="inlineStr">
        <is>
          <t>Yes</t>
        </is>
      </c>
      <c r="U185" s="104" t="inlineStr">
        <is>
          <t>No</t>
        </is>
      </c>
      <c r="V185" s="104" t="inlineStr">
        <is>
          <t>No</t>
        </is>
      </c>
      <c r="W185" s="104" t="inlineStr">
        <is>
          <t>No</t>
        </is>
      </c>
      <c r="X185" s="107" t="inlineStr">
        <is>
          <t>Yes</t>
        </is>
      </c>
      <c r="Y185" s="104" t="inlineStr">
        <is>
          <t>No</t>
        </is>
      </c>
      <c r="Z185" s="109" t="n">
        <v>45710</v>
      </c>
      <c r="AA185" s="124" t="n">
        <v>46439</v>
      </c>
      <c r="AB185" s="104" t="n">
        <v>6</v>
      </c>
      <c r="AC185" s="202" t="n">
        <v>3</v>
      </c>
      <c r="AD185" s="592" t="inlineStr">
        <is>
          <t>Yes</t>
        </is>
      </c>
      <c r="AE185" s="592" t="inlineStr">
        <is>
          <t>Yes</t>
        </is>
      </c>
      <c r="AF185" s="600" t="n"/>
      <c r="AG185" s="593" t="inlineStr">
        <is>
          <t>Phim còn hạn từ 2026</t>
        </is>
      </c>
      <c r="AH185" s="594" t="n"/>
      <c r="AI185" s="206" t="inlineStr">
        <is>
          <t>MRS. HARRIS GOES TO PARIS</t>
        </is>
      </c>
      <c r="AJ185" s="128">
        <f>SUMIF('TK 15661.Bản quyền phim '!F:F,'KK1. Movies'!D185,'TK 15661.Bản quyền phim '!X:X)</f>
        <v/>
      </c>
      <c r="AK185" s="128">
        <f>SUMIF('TK 15661.Bản quyền phim '!F:F,'KK1. Movies'!AI185,'TK 15661.Bản quyền phim '!X:X)</f>
        <v/>
      </c>
      <c r="AL185" s="203">
        <f>COUNTIF('242.BQ Phim hợp tác'!$C:$C,'KK1. Movies'!AI185)</f>
        <v/>
      </c>
      <c r="AM185" s="203">
        <f>COUNTIF('TK 15661.Bản quyền phim '!F:F,'KK1. Movies'!AI185)</f>
        <v/>
      </c>
      <c r="AN185" s="546">
        <f>AL185+AM185</f>
        <v/>
      </c>
      <c r="AO185" s="203" t="n"/>
      <c r="AP185" s="203" t="n"/>
      <c r="AQ185" s="203" t="n"/>
      <c r="AR185" s="203" t="n"/>
      <c r="AS185" s="203" t="n"/>
      <c r="AT185" s="546">
        <f>IFERROR(VLOOKUP(C185, CodeRanMovies!$A:$K, 11, 0), "Not found")</f>
        <v/>
      </c>
    </row>
    <row r="186" ht="39.6" customHeight="1" s="578">
      <c r="A186" s="201">
        <f>_xlfn.AGGREGATE(3,3,$D$7:D186)</f>
        <v/>
      </c>
      <c r="B186" s="589" t="inlineStr">
        <is>
          <t>16+</t>
        </is>
      </c>
      <c r="C186" s="590" t="inlineStr">
        <is>
          <t>MOV_ACT_21__2648728</t>
        </is>
      </c>
      <c r="D186" s="590" t="inlineStr">
        <is>
          <t>LIBRARY WARS: THE LAST MISSION</t>
        </is>
      </c>
      <c r="E186" s="590" t="inlineStr">
        <is>
          <t>Cuộc chiến ở thư viện: nhiệm vụ cuối cùng</t>
        </is>
      </c>
      <c r="F186" s="590" t="inlineStr">
        <is>
          <t>Action, Adventure</t>
        </is>
      </c>
      <c r="G186" s="590" t="inlineStr">
        <is>
          <t>TBS</t>
        </is>
      </c>
      <c r="H186" s="114" t="n">
        <v>202104013</v>
      </c>
      <c r="I186" s="96" t="n">
        <v>2015</v>
      </c>
      <c r="J186" s="600" t="inlineStr">
        <is>
          <t>Japan</t>
        </is>
      </c>
      <c r="K186" s="96" t="n">
        <v>120</v>
      </c>
      <c r="L186" s="98" t="n">
        <v>44284</v>
      </c>
      <c r="M186" s="602" t="n">
        <v>46109</v>
      </c>
      <c r="N186" s="603" t="n">
        <v>44328</v>
      </c>
      <c r="O186" s="592" t="inlineStr">
        <is>
          <t>K+CINE</t>
        </is>
      </c>
      <c r="P186" s="592" t="n"/>
      <c r="Q186" s="592" t="inlineStr">
        <is>
          <t>No</t>
        </is>
      </c>
      <c r="R186" s="592" t="inlineStr">
        <is>
          <t>Yes</t>
        </is>
      </c>
      <c r="S186" s="592" t="inlineStr">
        <is>
          <t>Yes</t>
        </is>
      </c>
      <c r="T186" s="592" t="inlineStr">
        <is>
          <t>Yes</t>
        </is>
      </c>
      <c r="U186" s="592" t="inlineStr">
        <is>
          <t>Yes</t>
        </is>
      </c>
      <c r="V186" s="592" t="inlineStr">
        <is>
          <t>Yes</t>
        </is>
      </c>
      <c r="W186" s="592" t="inlineStr">
        <is>
          <t>Yes</t>
        </is>
      </c>
      <c r="X186" s="592" t="inlineStr">
        <is>
          <t>Yes</t>
        </is>
      </c>
      <c r="Y186" s="592" t="inlineStr">
        <is>
          <t>Yes</t>
        </is>
      </c>
      <c r="Z186" s="98" t="n">
        <v>44284</v>
      </c>
      <c r="AA186" s="602" t="n">
        <v>46109</v>
      </c>
      <c r="AB186" s="202" t="n">
        <v>50</v>
      </c>
      <c r="AC186" s="100" t="n">
        <v>28</v>
      </c>
      <c r="AD186" s="592" t="inlineStr">
        <is>
          <t>Yes</t>
        </is>
      </c>
      <c r="AE186" s="592" t="inlineStr">
        <is>
          <t>Yes</t>
        </is>
      </c>
      <c r="AF186" s="600" t="n"/>
      <c r="AG186" s="593" t="inlineStr">
        <is>
          <t>Phim còn hạn từ 2026</t>
        </is>
      </c>
      <c r="AH186" s="594" t="n"/>
      <c r="AI186" s="206" t="inlineStr">
        <is>
          <t>LIBRARY WARS -LM-</t>
        </is>
      </c>
      <c r="AJ186" s="128">
        <f>SUMIF('TK 15661.Bản quyền phim '!F:F,'KK1. Movies'!D186,'TK 15661.Bản quyền phim '!X:X)</f>
        <v/>
      </c>
      <c r="AK186" s="128">
        <f>SUMIF('TK 15661.Bản quyền phim '!F:F,'KK1. Movies'!AI186,'TK 15661.Bản quyền phim '!X:X)</f>
        <v/>
      </c>
      <c r="AL186" s="203">
        <f>COUNTIF('242.BQ Phim hợp tác'!$C:$C,'KK1. Movies'!AI186)</f>
        <v/>
      </c>
      <c r="AM186" s="203">
        <f>COUNTIF('TK 15661.Bản quyền phim '!F:F,'KK1. Movies'!AI186)</f>
        <v/>
      </c>
      <c r="AN186" s="546">
        <f>AL186+AM186</f>
        <v/>
      </c>
      <c r="AO186" s="203" t="n"/>
      <c r="AP186" s="203" t="n"/>
      <c r="AQ186" s="203" t="n"/>
      <c r="AR186" s="203" t="n"/>
      <c r="AS186" s="203" t="n"/>
      <c r="AT186" s="546">
        <f>IFERROR(VLOOKUP(C186, CodeRanMovies!$A:$K, 11, 0), "Not found")</f>
        <v/>
      </c>
    </row>
    <row r="187" ht="26.4" customHeight="1" s="578">
      <c r="A187" s="201">
        <f>_xlfn.AGGREGATE(3,3,$D$7:D187)</f>
        <v/>
      </c>
      <c r="B187" s="589" t="inlineStr">
        <is>
          <t>16+</t>
        </is>
      </c>
      <c r="C187" s="590" t="inlineStr">
        <is>
          <t>MOV_CRI_24__2711294</t>
        </is>
      </c>
      <c r="D187" s="105" t="inlineStr">
        <is>
          <t>DEVILS</t>
        </is>
      </c>
      <c r="E187" s="110" t="inlineStr">
        <is>
          <t>THANH TRA SÁT NHÂN</t>
        </is>
      </c>
      <c r="F187" s="590" t="inlineStr">
        <is>
          <t>Crime, Thriller</t>
        </is>
      </c>
      <c r="G187" s="103" t="inlineStr">
        <is>
          <t>CJ HK</t>
        </is>
      </c>
      <c r="H187" s="590" t="inlineStr">
        <is>
          <t>180/2024/HDBQ/VSTV-CJHK</t>
        </is>
      </c>
      <c r="I187" s="104" t="n">
        <v>2023</v>
      </c>
      <c r="J187" s="600" t="inlineStr">
        <is>
          <t>Korea</t>
        </is>
      </c>
      <c r="K187" s="104" t="n">
        <v>102</v>
      </c>
      <c r="L187" s="98" t="n">
        <v>45344</v>
      </c>
      <c r="M187" s="106" t="n">
        <v>46439</v>
      </c>
      <c r="N187" s="601" t="n">
        <v>45344</v>
      </c>
      <c r="O187" s="592" t="inlineStr">
        <is>
          <t>K+ACTION</t>
        </is>
      </c>
      <c r="P187" s="100" t="n">
        <v>12</v>
      </c>
      <c r="Q187" s="104" t="inlineStr">
        <is>
          <t>No</t>
        </is>
      </c>
      <c r="R187" s="592" t="inlineStr">
        <is>
          <t>Yes</t>
        </is>
      </c>
      <c r="S187" s="592" t="inlineStr">
        <is>
          <t>Yes</t>
        </is>
      </c>
      <c r="T187" s="592" t="inlineStr">
        <is>
          <t>Yes</t>
        </is>
      </c>
      <c r="U187" s="592" t="inlineStr">
        <is>
          <t>Yes</t>
        </is>
      </c>
      <c r="V187" s="592" t="inlineStr">
        <is>
          <t>Yes</t>
        </is>
      </c>
      <c r="W187" s="592" t="inlineStr">
        <is>
          <t>Yes</t>
        </is>
      </c>
      <c r="X187" s="104" t="inlineStr">
        <is>
          <t>No</t>
        </is>
      </c>
      <c r="Y187" s="592" t="inlineStr">
        <is>
          <t>Yes</t>
        </is>
      </c>
      <c r="Z187" s="98" t="n">
        <v>45344</v>
      </c>
      <c r="AA187" s="106" t="n">
        <v>46439</v>
      </c>
      <c r="AB187" s="592" t="inlineStr">
        <is>
          <t>Unlimited</t>
        </is>
      </c>
      <c r="AC187" s="202" t="n">
        <v>21</v>
      </c>
      <c r="AD187" s="592" t="inlineStr">
        <is>
          <t>Yes</t>
        </is>
      </c>
      <c r="AE187" s="592" t="inlineStr">
        <is>
          <t>Yes</t>
        </is>
      </c>
      <c r="AF187" s="600" t="n"/>
      <c r="AG187" s="593" t="inlineStr">
        <is>
          <t>Phim còn hạn từ 2026</t>
        </is>
      </c>
      <c r="AH187" s="594" t="n"/>
      <c r="AI187" s="206" t="inlineStr">
        <is>
          <t>DEVILS (THANH TRA SÁT NHÂN)</t>
        </is>
      </c>
      <c r="AJ187" s="128">
        <f>SUMIF('TK 15661.Bản quyền phim '!F:F,'KK1. Movies'!D187,'TK 15661.Bản quyền phim '!X:X)</f>
        <v/>
      </c>
      <c r="AK187" s="128">
        <f>SUMIF('TK 15661.Bản quyền phim '!F:F,'KK1. Movies'!AI187,'TK 15661.Bản quyền phim '!X:X)</f>
        <v/>
      </c>
      <c r="AL187" s="203">
        <f>COUNTIF('242.BQ Phim hợp tác'!$C:$C,'KK1. Movies'!AI187)</f>
        <v/>
      </c>
      <c r="AM187" s="203">
        <f>COUNTIF('TK 15661.Bản quyền phim '!F:F,'KK1. Movies'!AI187)</f>
        <v/>
      </c>
      <c r="AN187" s="546">
        <f>AL187+AM187</f>
        <v/>
      </c>
      <c r="AO187" s="203" t="n"/>
      <c r="AP187" s="203" t="n"/>
      <c r="AQ187" s="203" t="n"/>
      <c r="AR187" s="203" t="n"/>
      <c r="AS187" s="203" t="n"/>
      <c r="AT187" s="546">
        <f>IFERROR(VLOOKUP(C187, CodeRanMovies!$A:$K, 11, 0), "Not found")</f>
        <v/>
      </c>
    </row>
    <row r="188" ht="39.6" customHeight="1" s="578">
      <c r="A188" s="201">
        <f>_xlfn.AGGREGATE(3,3,$D$7:D188)</f>
        <v/>
      </c>
      <c r="B188" s="589" t="inlineStr">
        <is>
          <t>16+</t>
        </is>
      </c>
      <c r="C188" s="590" t="inlineStr">
        <is>
          <t>MOV_CRI108</t>
        </is>
      </c>
      <c r="D188" s="105" t="inlineStr">
        <is>
          <t>EVERYBODY KNOWS</t>
        </is>
      </c>
      <c r="E188" s="105" t="inlineStr">
        <is>
          <t>Chuyện Ai Cũng Biết</t>
        </is>
      </c>
      <c r="F188" s="108" t="inlineStr">
        <is>
          <t>Crime, Drama, Mystery, Thriller</t>
        </is>
      </c>
      <c r="G188" s="108" t="inlineStr">
        <is>
          <t>Skyline Media</t>
        </is>
      </c>
      <c r="H188" s="590" t="inlineStr">
        <is>
          <t>36/2025/HDBQ/VSTV-SM</t>
        </is>
      </c>
      <c r="I188" s="107" t="n">
        <v>2018</v>
      </c>
      <c r="J188" s="107" t="inlineStr">
        <is>
          <t xml:space="preserve">
Spain, France</t>
        </is>
      </c>
      <c r="K188" s="107" t="n">
        <v>133</v>
      </c>
      <c r="L188" s="591" t="n">
        <v>45701</v>
      </c>
      <c r="M188" s="98" t="n">
        <v>46473</v>
      </c>
      <c r="N188" s="601" t="inlineStr">
        <is>
          <t>n/a</t>
        </is>
      </c>
      <c r="O188" s="592" t="n"/>
      <c r="P188" s="104" t="n">
        <v>12</v>
      </c>
      <c r="Q188" s="107" t="inlineStr">
        <is>
          <t>No</t>
        </is>
      </c>
      <c r="R188" s="592" t="inlineStr">
        <is>
          <t>Yes</t>
        </is>
      </c>
      <c r="S188" s="104" t="inlineStr">
        <is>
          <t>Yes</t>
        </is>
      </c>
      <c r="T188" s="592" t="inlineStr">
        <is>
          <t>Yes</t>
        </is>
      </c>
      <c r="U188" s="104" t="inlineStr">
        <is>
          <t>Yes</t>
        </is>
      </c>
      <c r="V188" s="104" t="inlineStr">
        <is>
          <t>Yes</t>
        </is>
      </c>
      <c r="W188" s="104" t="inlineStr">
        <is>
          <t>Yes</t>
        </is>
      </c>
      <c r="X188" s="104" t="inlineStr">
        <is>
          <t>Yes</t>
        </is>
      </c>
      <c r="Y188" s="104" t="inlineStr">
        <is>
          <t>No</t>
        </is>
      </c>
      <c r="Z188" s="109" t="n">
        <v>45701</v>
      </c>
      <c r="AA188" s="98" t="n">
        <v>46473</v>
      </c>
      <c r="AB188" s="107" t="n">
        <v>24</v>
      </c>
      <c r="AC188" s="202" t="n">
        <v>7</v>
      </c>
      <c r="AD188" s="592" t="inlineStr">
        <is>
          <t>Yes</t>
        </is>
      </c>
      <c r="AE188" s="592" t="inlineStr">
        <is>
          <t>Yes</t>
        </is>
      </c>
      <c r="AF188" s="600" t="n"/>
      <c r="AG188" s="593" t="inlineStr">
        <is>
          <t>Phim còn hạn từ 2026</t>
        </is>
      </c>
      <c r="AH188" s="594" t="n"/>
      <c r="AI188" s="206" t="inlineStr">
        <is>
          <t>EVERYBODY KNOWS</t>
        </is>
      </c>
      <c r="AJ188" s="128">
        <f>SUMIF('TK 15661.Bản quyền phim '!F:F,'KK1. Movies'!D188,'TK 15661.Bản quyền phim '!X:X)</f>
        <v/>
      </c>
      <c r="AK188" s="128">
        <f>SUMIF('TK 15661.Bản quyền phim '!F:F,'KK1. Movies'!AI188,'TK 15661.Bản quyền phim '!X:X)</f>
        <v/>
      </c>
      <c r="AL188" s="203">
        <f>COUNTIF('242.BQ Phim hợp tác'!$C:$C,'KK1. Movies'!AI188)</f>
        <v/>
      </c>
      <c r="AM188" s="203">
        <f>COUNTIF('TK 15661.Bản quyền phim '!F:F,'KK1. Movies'!AI188)</f>
        <v/>
      </c>
      <c r="AN188" s="546">
        <f>AL188+AM188</f>
        <v/>
      </c>
      <c r="AO188" s="203" t="n"/>
      <c r="AP188" s="203" t="n"/>
      <c r="AQ188" s="203" t="n"/>
      <c r="AR188" s="203" t="n"/>
      <c r="AS188" s="203" t="n"/>
      <c r="AT188" s="546">
        <f>IFERROR(VLOOKUP(C188, CodeRanMovies!$A:$K, 11, 0), "Not found")</f>
        <v/>
      </c>
    </row>
    <row r="189" ht="26.4" customHeight="1" s="578">
      <c r="A189" s="201">
        <f>_xlfn.AGGREGATE(3,3,$D$7:D189)</f>
        <v/>
      </c>
      <c r="B189" s="589" t="inlineStr">
        <is>
          <t>P</t>
        </is>
      </c>
      <c r="C189" s="590" t="inlineStr">
        <is>
          <t>MOV_ROM98</t>
        </is>
      </c>
      <c r="D189" s="105" t="inlineStr">
        <is>
          <t>SINGLE IN SEOUL</t>
        </is>
      </c>
      <c r="E189" s="105" t="inlineStr">
        <is>
          <t>Một mình vẫn ổn't</t>
        </is>
      </c>
      <c r="F189" s="108" t="inlineStr">
        <is>
          <t>Comedy, Romance, Melodrama</t>
        </is>
      </c>
      <c r="G189" s="108" t="inlineStr">
        <is>
          <t>Skyline Media</t>
        </is>
      </c>
      <c r="H189" s="590" t="inlineStr">
        <is>
          <t>36/2025/HDBQ/VSTV-SM</t>
        </is>
      </c>
      <c r="I189" s="107" t="n">
        <v>2023</v>
      </c>
      <c r="J189" s="107" t="inlineStr">
        <is>
          <t>Korea</t>
        </is>
      </c>
      <c r="K189" s="107" t="n">
        <v>103</v>
      </c>
      <c r="L189" s="591" t="n">
        <v>45700</v>
      </c>
      <c r="M189" s="98" t="n">
        <v>47164</v>
      </c>
      <c r="N189" s="601" t="inlineStr">
        <is>
          <t>n/a</t>
        </is>
      </c>
      <c r="O189" s="592" t="n"/>
      <c r="P189" s="104" t="n">
        <v>12</v>
      </c>
      <c r="Q189" s="107" t="inlineStr">
        <is>
          <t>No</t>
        </is>
      </c>
      <c r="R189" s="592" t="inlineStr">
        <is>
          <t>Yes</t>
        </is>
      </c>
      <c r="S189" s="104" t="inlineStr">
        <is>
          <t>Yes</t>
        </is>
      </c>
      <c r="T189" s="592" t="inlineStr">
        <is>
          <t>Yes</t>
        </is>
      </c>
      <c r="U189" s="104" t="inlineStr">
        <is>
          <t>Yes</t>
        </is>
      </c>
      <c r="V189" s="104" t="inlineStr">
        <is>
          <t>Yes</t>
        </is>
      </c>
      <c r="W189" s="104" t="inlineStr">
        <is>
          <t>Yes</t>
        </is>
      </c>
      <c r="X189" s="104" t="inlineStr">
        <is>
          <t>Yes</t>
        </is>
      </c>
      <c r="Y189" s="104" t="inlineStr">
        <is>
          <t>No</t>
        </is>
      </c>
      <c r="Z189" s="109" t="n">
        <v>45700</v>
      </c>
      <c r="AA189" s="98" t="n">
        <v>47164</v>
      </c>
      <c r="AB189" s="107" t="n">
        <v>24</v>
      </c>
      <c r="AC189" s="202" t="n">
        <v>5</v>
      </c>
      <c r="AD189" s="592" t="inlineStr">
        <is>
          <t>Yes</t>
        </is>
      </c>
      <c r="AE189" s="592" t="inlineStr">
        <is>
          <t>Yes</t>
        </is>
      </c>
      <c r="AF189" s="600" t="n"/>
      <c r="AG189" s="593" t="inlineStr">
        <is>
          <t>Phim còn hạn từ 2026</t>
        </is>
      </c>
      <c r="AH189" s="594" t="n"/>
      <c r="AI189" s="206" t="inlineStr">
        <is>
          <t>SINGLE IN SEOUL</t>
        </is>
      </c>
      <c r="AJ189" s="128">
        <f>SUMIF('TK 15661.Bản quyền phim '!F:F,'KK1. Movies'!D189,'TK 15661.Bản quyền phim '!X:X)</f>
        <v/>
      </c>
      <c r="AK189" s="128">
        <f>SUMIF('TK 15661.Bản quyền phim '!F:F,'KK1. Movies'!AI189,'TK 15661.Bản quyền phim '!X:X)</f>
        <v/>
      </c>
      <c r="AL189" s="203">
        <f>COUNTIF('242.BQ Phim hợp tác'!$C:$C,'KK1. Movies'!AI189)</f>
        <v/>
      </c>
      <c r="AM189" s="203">
        <f>COUNTIF('TK 15661.Bản quyền phim '!F:F,'KK1. Movies'!AI189)</f>
        <v/>
      </c>
      <c r="AN189" s="546">
        <f>AL189+AM189</f>
        <v/>
      </c>
      <c r="AO189" s="203" t="n"/>
      <c r="AP189" s="203" t="n"/>
      <c r="AQ189" s="203" t="n"/>
      <c r="AR189" s="203" t="n"/>
      <c r="AS189" s="203" t="n"/>
      <c r="AT189" s="546">
        <f>IFERROR(VLOOKUP(C189, CodeRanMovies!$A:$K, 11, 0), "Not found")</f>
        <v/>
      </c>
    </row>
    <row r="190" ht="26.4" customHeight="1" s="578">
      <c r="A190" s="201">
        <f>_xlfn.AGGREGATE(3,3,$D$7:D190)</f>
        <v/>
      </c>
      <c r="B190" s="589" t="inlineStr">
        <is>
          <t>K</t>
        </is>
      </c>
      <c r="C190" s="590" t="inlineStr">
        <is>
          <t>MOV_DRA737</t>
        </is>
      </c>
      <c r="D190" s="105" t="inlineStr">
        <is>
          <t>BETTER MAN</t>
        </is>
      </c>
      <c r="E190" s="590" t="inlineStr">
        <is>
          <t>Quý ông hoàn hảo</t>
        </is>
      </c>
      <c r="F190" s="103" t="inlineStr">
        <is>
          <t>Comedy</t>
        </is>
      </c>
      <c r="G190" s="103" t="inlineStr">
        <is>
          <t>STK</t>
        </is>
      </c>
      <c r="H190" s="590" t="inlineStr">
        <is>
          <t>134/2024/HDBQ/VSTV-STK</t>
        </is>
      </c>
      <c r="I190" s="104" t="n">
        <v>2022</v>
      </c>
      <c r="J190" s="104" t="inlineStr">
        <is>
          <t>China</t>
        </is>
      </c>
      <c r="K190" s="104" t="n">
        <v>91</v>
      </c>
      <c r="L190" s="591" t="n">
        <v>45679</v>
      </c>
      <c r="M190" s="98" t="n">
        <v>46773</v>
      </c>
      <c r="N190" s="591" t="n">
        <v>45679</v>
      </c>
      <c r="O190" s="592" t="n"/>
      <c r="P190" s="104" t="n">
        <v>12</v>
      </c>
      <c r="Q190" s="104" t="inlineStr">
        <is>
          <t>No</t>
        </is>
      </c>
      <c r="R190" s="592" t="inlineStr">
        <is>
          <t>Yes</t>
        </is>
      </c>
      <c r="S190" s="107" t="inlineStr">
        <is>
          <t>Yes</t>
        </is>
      </c>
      <c r="T190" s="592" t="inlineStr">
        <is>
          <t>Yes</t>
        </is>
      </c>
      <c r="U190" s="107" t="inlineStr">
        <is>
          <t>Yes</t>
        </is>
      </c>
      <c r="V190" s="107" t="inlineStr">
        <is>
          <t>Yes</t>
        </is>
      </c>
      <c r="W190" s="107" t="inlineStr">
        <is>
          <t>Yes</t>
        </is>
      </c>
      <c r="X190" s="107" t="inlineStr">
        <is>
          <t>Yes</t>
        </is>
      </c>
      <c r="Y190" s="104" t="inlineStr">
        <is>
          <t>Yes</t>
        </is>
      </c>
      <c r="Z190" s="106" t="n">
        <v>45778</v>
      </c>
      <c r="AA190" s="236" t="n">
        <v>46873</v>
      </c>
      <c r="AB190" s="104" t="n">
        <v>24</v>
      </c>
      <c r="AC190" s="202" t="n">
        <v>5</v>
      </c>
      <c r="AD190" s="592" t="inlineStr">
        <is>
          <t>Yes</t>
        </is>
      </c>
      <c r="AE190" s="592" t="inlineStr">
        <is>
          <t>Yes</t>
        </is>
      </c>
      <c r="AF190" s="600" t="n"/>
      <c r="AG190" s="593" t="inlineStr">
        <is>
          <t>Phim còn hạn từ 2026</t>
        </is>
      </c>
      <c r="AH190" s="594" t="n"/>
      <c r="AI190" s="206" t="inlineStr">
        <is>
          <t>BETTER MAN</t>
        </is>
      </c>
      <c r="AJ190" s="128">
        <f>SUMIF('TK 15661.Bản quyền phim '!F:F,'KK1. Movies'!D190,'TK 15661.Bản quyền phim '!X:X)</f>
        <v/>
      </c>
      <c r="AK190" s="128">
        <f>SUMIF('TK 15661.Bản quyền phim '!F:F,'KK1. Movies'!AI190,'TK 15661.Bản quyền phim '!X:X)</f>
        <v/>
      </c>
      <c r="AL190" s="203">
        <f>COUNTIF('242.BQ Phim hợp tác'!$C:$C,'KK1. Movies'!AI190)</f>
        <v/>
      </c>
      <c r="AM190" s="203">
        <f>COUNTIF('TK 15661.Bản quyền phim '!F:F,'KK1. Movies'!AI190)</f>
        <v/>
      </c>
      <c r="AN190" s="546">
        <f>AL190+AM190</f>
        <v/>
      </c>
      <c r="AO190" s="203" t="n"/>
      <c r="AP190" s="203" t="n"/>
      <c r="AQ190" s="203" t="n"/>
      <c r="AR190" s="203" t="n"/>
      <c r="AS190" s="203" t="n"/>
      <c r="AT190" s="546">
        <f>IFERROR(VLOOKUP(C190, CodeRanMovies!$A:$K, 11, 0), "Not found")</f>
        <v/>
      </c>
    </row>
    <row r="191" ht="26.4" customHeight="1" s="578">
      <c r="A191" s="201">
        <f>_xlfn.AGGREGATE(3,3,$D$7:D191)</f>
        <v/>
      </c>
      <c r="B191" s="589" t="inlineStr">
        <is>
          <t>16+</t>
        </is>
      </c>
      <c r="C191" s="590" t="inlineStr">
        <is>
          <t>MOV_ACT_23__2691046</t>
        </is>
      </c>
      <c r="D191" s="596" t="inlineStr">
        <is>
          <t>SKYLIN3S</t>
        </is>
      </c>
      <c r="E191" s="590" t="inlineStr">
        <is>
          <t>Cuộc chiến hủy diệt 3</t>
        </is>
      </c>
      <c r="F191" s="590" t="inlineStr">
        <is>
          <t>Action, Adventure</t>
        </is>
      </c>
      <c r="G191" s="589" t="inlineStr">
        <is>
          <t>Roses Media</t>
        </is>
      </c>
      <c r="H191" s="590" t="inlineStr">
        <is>
          <t>140/2022/HDBQ/VSTV-RM</t>
        </is>
      </c>
      <c r="I191" s="204" t="n">
        <v>2020</v>
      </c>
      <c r="J191" s="592" t="inlineStr">
        <is>
          <t>US</t>
        </is>
      </c>
      <c r="K191" s="204" t="n">
        <v>110</v>
      </c>
      <c r="L191" s="98" t="n">
        <v>45042</v>
      </c>
      <c r="M191" s="101" t="n">
        <v>46137</v>
      </c>
      <c r="N191" s="597" t="n">
        <v>45042</v>
      </c>
      <c r="O191" s="598" t="inlineStr">
        <is>
          <t>K+CINE</t>
        </is>
      </c>
      <c r="P191" s="592" t="inlineStr">
        <is>
          <t xml:space="preserve">Exclusive All Pay TV Rights for first 12 months.
Non exclusive All VOD during LP 
</t>
        </is>
      </c>
      <c r="Q191" s="592" t="inlineStr">
        <is>
          <t>No</t>
        </is>
      </c>
      <c r="R191" s="592" t="inlineStr">
        <is>
          <t>Yes</t>
        </is>
      </c>
      <c r="S191" s="592" t="inlineStr">
        <is>
          <t>No</t>
        </is>
      </c>
      <c r="T191" s="592" t="inlineStr">
        <is>
          <t>Yes</t>
        </is>
      </c>
      <c r="U191" s="592" t="inlineStr">
        <is>
          <t>Yes</t>
        </is>
      </c>
      <c r="V191" s="592" t="inlineStr">
        <is>
          <t>Yes</t>
        </is>
      </c>
      <c r="W191" s="592" t="inlineStr">
        <is>
          <t>Yes</t>
        </is>
      </c>
      <c r="X191" s="592" t="inlineStr">
        <is>
          <t>Yes</t>
        </is>
      </c>
      <c r="Y191" s="592" t="inlineStr">
        <is>
          <t>No</t>
        </is>
      </c>
      <c r="Z191" s="98" t="n">
        <v>45042</v>
      </c>
      <c r="AA191" s="101" t="n">
        <v>46137</v>
      </c>
      <c r="AB191" s="202" t="n">
        <v>24</v>
      </c>
      <c r="AC191" s="202" t="n">
        <v>17</v>
      </c>
      <c r="AD191" s="592" t="inlineStr">
        <is>
          <t>Yes</t>
        </is>
      </c>
      <c r="AE191" s="592" t="inlineStr">
        <is>
          <t>Yes</t>
        </is>
      </c>
      <c r="AF191" s="596" t="n"/>
      <c r="AG191" s="593" t="inlineStr">
        <is>
          <t>Phim còn hạn từ 2026</t>
        </is>
      </c>
      <c r="AH191" s="594" t="n"/>
      <c r="AI191" s="599" t="inlineStr">
        <is>
          <t>SKYLIN3S</t>
        </is>
      </c>
      <c r="AJ191" s="128">
        <f>SUMIF('TK 15661.Bản quyền phim '!F:F,'KK1. Movies'!D191,'TK 15661.Bản quyền phim '!X:X)</f>
        <v/>
      </c>
      <c r="AK191" s="128">
        <f>SUMIF('TK 15661.Bản quyền phim '!F:F,'KK1. Movies'!AI191,'TK 15661.Bản quyền phim '!X:X)</f>
        <v/>
      </c>
      <c r="AL191" s="203">
        <f>COUNTIF('242.BQ Phim hợp tác'!$C:$C,'KK1. Movies'!AI191)</f>
        <v/>
      </c>
      <c r="AM191" s="203">
        <f>COUNTIF('TK 15661.Bản quyền phim '!F:F,'KK1. Movies'!AI191)</f>
        <v/>
      </c>
      <c r="AN191" s="546">
        <f>AL191+AM191</f>
        <v/>
      </c>
      <c r="AO191" s="203" t="n"/>
      <c r="AP191" s="203" t="n"/>
      <c r="AQ191" s="203" t="n"/>
      <c r="AR191" s="203" t="n"/>
      <c r="AS191" s="203" t="n"/>
      <c r="AT191" s="546">
        <f>IFERROR(VLOOKUP(C191, CodeRanMovies!$A:$K, 11, 0), "Not found")</f>
        <v/>
      </c>
    </row>
    <row r="192">
      <c r="A192" s="201">
        <f>_xlfn.AGGREGATE(3,3,$D$7:D192)</f>
        <v/>
      </c>
      <c r="B192" s="589" t="inlineStr">
        <is>
          <t>13+</t>
        </is>
      </c>
      <c r="C192" s="234" t="inlineStr">
        <is>
          <t>MOV_DRA_18__2558894</t>
        </is>
      </c>
      <c r="D192" s="590" t="inlineStr">
        <is>
          <t>THE TAILOR</t>
        </is>
      </c>
      <c r="E192" s="589" t="inlineStr">
        <is>
          <t>CÔ BA SÀI GÒN</t>
        </is>
      </c>
      <c r="F192" s="589" t="inlineStr">
        <is>
          <t>Comedy</t>
        </is>
      </c>
      <c r="G192" s="589" t="inlineStr">
        <is>
          <t>BHD</t>
        </is>
      </c>
      <c r="H192" s="589" t="inlineStr">
        <is>
          <t>10/2017/HDBQ/VSTV-BHD</t>
        </is>
      </c>
      <c r="I192" s="96" t="n">
        <v>2017</v>
      </c>
      <c r="J192" s="592" t="inlineStr">
        <is>
          <t>Việt Nam</t>
        </is>
      </c>
      <c r="K192" s="96" t="n">
        <v>100</v>
      </c>
      <c r="L192" s="98" t="n">
        <v>43189</v>
      </c>
      <c r="M192" s="98" t="inlineStr">
        <is>
          <t>Vĩnh viễn</t>
        </is>
      </c>
      <c r="N192" s="591" t="n">
        <v>43189</v>
      </c>
      <c r="O192" s="598" t="n"/>
      <c r="P192" s="96" t="n">
        <v>60</v>
      </c>
      <c r="Q192" s="592" t="inlineStr">
        <is>
          <t>No</t>
        </is>
      </c>
      <c r="R192" s="592" t="inlineStr">
        <is>
          <t>yes</t>
        </is>
      </c>
      <c r="S192" s="592" t="inlineStr">
        <is>
          <t>yes</t>
        </is>
      </c>
      <c r="T192" s="592" t="inlineStr">
        <is>
          <t>Yes</t>
        </is>
      </c>
      <c r="U192" s="592" t="inlineStr">
        <is>
          <t>Yes</t>
        </is>
      </c>
      <c r="V192" s="592" t="inlineStr">
        <is>
          <t>Yes</t>
        </is>
      </c>
      <c r="W192" s="592" t="inlineStr">
        <is>
          <t>Yes</t>
        </is>
      </c>
      <c r="X192" s="592" t="inlineStr">
        <is>
          <t>Yes</t>
        </is>
      </c>
      <c r="Y192" s="592" t="inlineStr">
        <is>
          <t>yes</t>
        </is>
      </c>
      <c r="Z192" s="98" t="n">
        <v>43189</v>
      </c>
      <c r="AA192" s="601" t="inlineStr">
        <is>
          <t>Vĩnh viễn</t>
        </is>
      </c>
      <c r="AB192" s="96" t="n">
        <v>30</v>
      </c>
      <c r="AC192" s="100" t="n">
        <v>11</v>
      </c>
      <c r="AD192" s="592" t="inlineStr">
        <is>
          <t>Yes</t>
        </is>
      </c>
      <c r="AE192" s="592" t="inlineStr">
        <is>
          <t>Yes</t>
        </is>
      </c>
      <c r="AF192" s="600" t="n"/>
      <c r="AG192" s="593" t="inlineStr">
        <is>
          <t>Phim còn hạn từ 2026</t>
        </is>
      </c>
      <c r="AH192" s="594" t="n"/>
      <c r="AI192" s="207" t="inlineStr">
        <is>
          <t>Film hợp tác Cô Ba Sài Gòn</t>
        </is>
      </c>
      <c r="AJ192" s="128">
        <f>SUMIF('TK 15661.Bản quyền phim '!F:F,'KK1. Movies'!D192,'TK 15661.Bản quyền phim '!X:X)</f>
        <v/>
      </c>
      <c r="AK192" s="128">
        <f>SUMIF('TK 15661.Bản quyền phim '!F:F,'KK1. Movies'!AI192,'TK 15661.Bản quyền phim '!X:X)</f>
        <v/>
      </c>
      <c r="AL192" s="203">
        <f>COUNTIF('242.BQ Phim hợp tác'!$C:$C,'KK1. Movies'!AI192)</f>
        <v/>
      </c>
      <c r="AM192" s="203">
        <f>COUNTIF('TK 15661.Bản quyền phim '!F:F,'KK1. Movies'!AI192)</f>
        <v/>
      </c>
      <c r="AN192" s="546">
        <f>AL192+AM192</f>
        <v/>
      </c>
      <c r="AO192" s="203" t="n"/>
      <c r="AP192" s="203" t="n"/>
      <c r="AQ192" s="203" t="n"/>
      <c r="AR192" s="203" t="n"/>
      <c r="AS192" s="203" t="n"/>
      <c r="AT192" s="546">
        <f>IFERROR(VLOOKUP(C192, CodeRanMovies!$A:$K, 11, 0), "Not found")</f>
        <v/>
      </c>
    </row>
    <row r="193" ht="26.4" customHeight="1" s="578">
      <c r="A193" s="201">
        <f>_xlfn.AGGREGATE(3,3,$D$7:D193)</f>
        <v/>
      </c>
      <c r="B193" s="606" t="inlineStr">
        <is>
          <t>n/a</t>
        </is>
      </c>
      <c r="C193" s="590" t="inlineStr">
        <is>
          <t>MOV_ACT604</t>
        </is>
      </c>
      <c r="D193" s="105" t="inlineStr">
        <is>
          <t>12 HOURS</t>
        </is>
      </c>
      <c r="E193" s="590" t="inlineStr">
        <is>
          <t>Cực địa truy kích</t>
        </is>
      </c>
      <c r="F193" s="103" t="inlineStr">
        <is>
          <t xml:space="preserve"> Action/Drama</t>
        </is>
      </c>
      <c r="G193" s="103" t="inlineStr">
        <is>
          <t>STK</t>
        </is>
      </c>
      <c r="H193" s="590" t="inlineStr">
        <is>
          <t>134/2024/HDBQ/VSTV-STK</t>
        </is>
      </c>
      <c r="I193" s="104" t="n">
        <v>2022</v>
      </c>
      <c r="J193" s="104" t="inlineStr">
        <is>
          <t>China</t>
        </is>
      </c>
      <c r="K193" s="104" t="n">
        <v>82</v>
      </c>
      <c r="L193" s="591" t="n">
        <v>45729</v>
      </c>
      <c r="M193" s="98" t="n">
        <v>46824</v>
      </c>
      <c r="N193" s="601" t="inlineStr">
        <is>
          <t>n/a</t>
        </is>
      </c>
      <c r="O193" s="592" t="n"/>
      <c r="P193" s="104" t="n">
        <v>12</v>
      </c>
      <c r="Q193" s="104" t="inlineStr">
        <is>
          <t>No</t>
        </is>
      </c>
      <c r="R193" s="592" t="inlineStr">
        <is>
          <t>Yes</t>
        </is>
      </c>
      <c r="S193" s="107" t="inlineStr">
        <is>
          <t>Yes</t>
        </is>
      </c>
      <c r="T193" s="592" t="inlineStr">
        <is>
          <t>Yes</t>
        </is>
      </c>
      <c r="U193" s="107" t="inlineStr">
        <is>
          <t>Yes</t>
        </is>
      </c>
      <c r="V193" s="107" t="inlineStr">
        <is>
          <t>Yes</t>
        </is>
      </c>
      <c r="W193" s="107" t="inlineStr">
        <is>
          <t>Yes</t>
        </is>
      </c>
      <c r="X193" s="107" t="inlineStr">
        <is>
          <t>Yes</t>
        </is>
      </c>
      <c r="Y193" s="104" t="inlineStr">
        <is>
          <t>Yes</t>
        </is>
      </c>
      <c r="Z193" s="106" t="n">
        <v>45778</v>
      </c>
      <c r="AA193" s="236" t="n">
        <v>46873</v>
      </c>
      <c r="AB193" s="104" t="n">
        <v>24</v>
      </c>
      <c r="AC193" s="202" t="n">
        <v>6</v>
      </c>
      <c r="AD193" s="592" t="inlineStr">
        <is>
          <t>Yes</t>
        </is>
      </c>
      <c r="AE193" s="592" t="inlineStr">
        <is>
          <t>Yes</t>
        </is>
      </c>
      <c r="AF193" s="600" t="n"/>
      <c r="AG193" s="593" t="inlineStr">
        <is>
          <t>Phim còn hạn từ 2026</t>
        </is>
      </c>
      <c r="AH193" s="594" t="n"/>
      <c r="AI193" s="206" t="inlineStr">
        <is>
          <t>12 HOURS</t>
        </is>
      </c>
      <c r="AJ193" s="128">
        <f>SUMIF('TK 15661.Bản quyền phim '!F:F,'KK1. Movies'!D193,'TK 15661.Bản quyền phim '!X:X)</f>
        <v/>
      </c>
      <c r="AK193" s="128">
        <f>SUMIF('TK 15661.Bản quyền phim '!F:F,'KK1. Movies'!AI193,'TK 15661.Bản quyền phim '!X:X)</f>
        <v/>
      </c>
      <c r="AL193" s="203">
        <f>COUNTIF('242.BQ Phim hợp tác'!$C:$C,'KK1. Movies'!AI193)</f>
        <v/>
      </c>
      <c r="AM193" s="203">
        <f>COUNTIF('TK 15661.Bản quyền phim '!F:F,'KK1. Movies'!AI193)</f>
        <v/>
      </c>
      <c r="AN193" s="546">
        <f>AL193+AM193</f>
        <v/>
      </c>
      <c r="AO193" s="203" t="n"/>
      <c r="AP193" s="203" t="n"/>
      <c r="AQ193" s="203" t="n"/>
      <c r="AR193" s="203" t="n"/>
      <c r="AS193" s="203" t="n"/>
      <c r="AT193" s="546">
        <f>IFERROR(VLOOKUP(C193, CodeRanMovies!$A:$K, 11, 0), "Not found")</f>
        <v/>
      </c>
    </row>
    <row r="194">
      <c r="A194" s="201">
        <f>_xlfn.AGGREGATE(3,3,$D$7:D194)</f>
        <v/>
      </c>
      <c r="B194" s="589" t="n"/>
      <c r="C194" s="590" t="inlineStr">
        <is>
          <t>MOV_CRI113</t>
        </is>
      </c>
      <c r="D194" s="105" t="inlineStr">
        <is>
          <t>Suspect</t>
        </is>
      </c>
      <c r="E194" s="110" t="inlineStr">
        <is>
          <t>Thần thám siêu ý</t>
        </is>
      </c>
      <c r="F194" s="103" t="inlineStr">
        <is>
          <t>Crime, Suspense</t>
        </is>
      </c>
      <c r="G194" s="103" t="inlineStr">
        <is>
          <t>iQiYi</t>
        </is>
      </c>
      <c r="H194" s="590" t="inlineStr">
        <is>
          <t>9/2025/HDBQVSTV-Iqiyi</t>
        </is>
      </c>
      <c r="I194" s="104" t="n">
        <v>2024</v>
      </c>
      <c r="J194" s="104" t="inlineStr">
        <is>
          <t>China</t>
        </is>
      </c>
      <c r="K194" s="104" t="n">
        <v>93</v>
      </c>
      <c r="L194" s="106" t="n">
        <v>45841</v>
      </c>
      <c r="M194" s="106" t="n">
        <v>46937</v>
      </c>
      <c r="N194" s="601" t="n"/>
      <c r="O194" s="592" t="n"/>
      <c r="P194" s="104" t="n">
        <v>36</v>
      </c>
      <c r="Q194" s="104" t="inlineStr">
        <is>
          <t>No</t>
        </is>
      </c>
      <c r="R194" s="592" t="inlineStr">
        <is>
          <t>Yes</t>
        </is>
      </c>
      <c r="S194" s="104" t="inlineStr">
        <is>
          <t>Yes</t>
        </is>
      </c>
      <c r="T194" s="592" t="inlineStr">
        <is>
          <t>Yes</t>
        </is>
      </c>
      <c r="U194" s="104" t="inlineStr">
        <is>
          <t>Yes</t>
        </is>
      </c>
      <c r="V194" s="104" t="inlineStr">
        <is>
          <t>No</t>
        </is>
      </c>
      <c r="W194" s="104" t="inlineStr">
        <is>
          <t>Yes</t>
        </is>
      </c>
      <c r="X194" s="104" t="inlineStr">
        <is>
          <t>Yes</t>
        </is>
      </c>
      <c r="Y194" s="104" t="inlineStr">
        <is>
          <t>Yes</t>
        </is>
      </c>
      <c r="Z194" s="106" t="n">
        <v>45841</v>
      </c>
      <c r="AA194" s="124" t="n">
        <v>46937</v>
      </c>
      <c r="AB194" s="104" t="inlineStr">
        <is>
          <t>Unlimited</t>
        </is>
      </c>
      <c r="AC194" s="202" t="n">
        <v>4</v>
      </c>
      <c r="AD194" s="592" t="inlineStr">
        <is>
          <t>Yes</t>
        </is>
      </c>
      <c r="AE194" s="592" t="inlineStr">
        <is>
          <t>Yes</t>
        </is>
      </c>
      <c r="AF194" s="600" t="n"/>
      <c r="AG194" s="593" t="inlineStr">
        <is>
          <t>Phim còn hạn từ 2026</t>
        </is>
      </c>
      <c r="AH194" s="594" t="n"/>
      <c r="AI194" s="206" t="inlineStr">
        <is>
          <t>Suspect</t>
        </is>
      </c>
      <c r="AJ194" s="128">
        <f>SUMIF('TK 15661.Bản quyền phim '!F:F,'KK1. Movies'!D194,'TK 15661.Bản quyền phim '!X:X)</f>
        <v/>
      </c>
      <c r="AK194" s="128">
        <f>SUMIF('TK 15661.Bản quyền phim '!F:F,'KK1. Movies'!AI194,'TK 15661.Bản quyền phim '!X:X)</f>
        <v/>
      </c>
      <c r="AL194" s="203">
        <f>COUNTIF('242.BQ Phim hợp tác'!$C:$C,'KK1. Movies'!AI194)</f>
        <v/>
      </c>
      <c r="AM194" s="203">
        <f>COUNTIF('TK 15661.Bản quyền phim '!F:F,'KK1. Movies'!AI194)</f>
        <v/>
      </c>
      <c r="AN194" s="546">
        <f>AL194+AM194</f>
        <v/>
      </c>
      <c r="AO194" s="203" t="n"/>
      <c r="AP194" s="203" t="n"/>
      <c r="AQ194" s="203" t="n"/>
      <c r="AR194" s="203" t="n"/>
      <c r="AS194" s="203" t="n"/>
      <c r="AT194" s="546">
        <f>IFERROR(VLOOKUP(C194, CodeRanMovies!$A:$K, 11, 0), "Not found")</f>
        <v/>
      </c>
    </row>
    <row r="195" ht="52.8" customHeight="1" s="578">
      <c r="A195" s="201">
        <f>_xlfn.AGGREGATE(3,3,$D$7:D195)</f>
        <v/>
      </c>
      <c r="B195" s="589" t="inlineStr">
        <is>
          <t>13+</t>
        </is>
      </c>
      <c r="C195" s="234" t="inlineStr">
        <is>
          <t>MOV_SCI_23__2689053</t>
        </is>
      </c>
      <c r="D195" s="105" t="inlineStr">
        <is>
          <t>ARRIVAL (2016)</t>
        </is>
      </c>
      <c r="E195" s="110" t="inlineStr">
        <is>
          <t>Cuộc đổ bộ bí ẩn</t>
        </is>
      </c>
      <c r="F195" s="590" t="inlineStr">
        <is>
          <t>Drama</t>
        </is>
      </c>
      <c r="G195" s="103" t="inlineStr">
        <is>
          <t>SONY</t>
        </is>
      </c>
      <c r="H195" s="590" t="inlineStr">
        <is>
          <t>Sony/K+Vietnam PayBasic SVOD Package Agmt D3A FE (Feb-5-24)</t>
        </is>
      </c>
      <c r="I195" s="104" t="n">
        <v>2016</v>
      </c>
      <c r="J195" s="104" t="inlineStr">
        <is>
          <t>U.S.A.[excluding Territories &amp; Possessions]</t>
        </is>
      </c>
      <c r="K195" s="104" t="n">
        <v>116</v>
      </c>
      <c r="L195" s="591" t="n">
        <v>45701</v>
      </c>
      <c r="M195" s="106" t="n">
        <v>46430</v>
      </c>
      <c r="N195" s="601" t="n"/>
      <c r="O195" s="592" t="n"/>
      <c r="P195" s="592" t="n"/>
      <c r="Q195" s="104" t="inlineStr">
        <is>
          <t>No</t>
        </is>
      </c>
      <c r="R195" s="104" t="inlineStr">
        <is>
          <t>Yes</t>
        </is>
      </c>
      <c r="S195" s="104" t="inlineStr">
        <is>
          <t>Yes</t>
        </is>
      </c>
      <c r="T195" s="592" t="inlineStr">
        <is>
          <t>Yes</t>
        </is>
      </c>
      <c r="U195" s="104" t="inlineStr">
        <is>
          <t>No</t>
        </is>
      </c>
      <c r="V195" s="104" t="inlineStr">
        <is>
          <t>No</t>
        </is>
      </c>
      <c r="W195" s="104" t="inlineStr">
        <is>
          <t>No</t>
        </is>
      </c>
      <c r="X195" s="104" t="inlineStr">
        <is>
          <t>Yes</t>
        </is>
      </c>
      <c r="Y195" s="104" t="inlineStr">
        <is>
          <t>No</t>
        </is>
      </c>
      <c r="Z195" s="106" t="n">
        <v>45701</v>
      </c>
      <c r="AA195" s="124" t="n">
        <v>46246</v>
      </c>
      <c r="AB195" s="104" t="n">
        <v>7</v>
      </c>
      <c r="AC195" s="202" t="n">
        <v>3</v>
      </c>
      <c r="AD195" s="592" t="inlineStr">
        <is>
          <t>Yes</t>
        </is>
      </c>
      <c r="AE195" s="592" t="inlineStr">
        <is>
          <t>Yes</t>
        </is>
      </c>
      <c r="AF195" s="608" t="n"/>
      <c r="AG195" s="593" t="inlineStr">
        <is>
          <t>Phim còn hạn từ 2026</t>
        </is>
      </c>
      <c r="AH195" s="594" t="n"/>
      <c r="AI195" s="206" t="inlineStr">
        <is>
          <t>ARRIVAL (2016)</t>
        </is>
      </c>
      <c r="AJ195" s="128">
        <f>SUMIF('TK 15661.Bản quyền phim '!F:F,'KK1. Movies'!D195,'TK 15661.Bản quyền phim '!X:X)</f>
        <v/>
      </c>
      <c r="AK195" s="128">
        <f>SUMIF('TK 15661.Bản quyền phim '!F:F,'KK1. Movies'!AI195,'TK 15661.Bản quyền phim '!X:X)</f>
        <v/>
      </c>
      <c r="AL195" s="203">
        <f>COUNTIF('242.BQ Phim hợp tác'!$C:$C,'KK1. Movies'!AI195)</f>
        <v/>
      </c>
      <c r="AM195" s="203">
        <f>COUNTIF('TK 15661.Bản quyền phim '!F:F,'KK1. Movies'!AI195)</f>
        <v/>
      </c>
      <c r="AN195" s="546">
        <f>AL195+AM195</f>
        <v/>
      </c>
      <c r="AO195" s="203" t="n"/>
      <c r="AP195" s="203" t="n"/>
      <c r="AQ195" s="203" t="n"/>
      <c r="AR195" s="203" t="n"/>
      <c r="AS195" s="203" t="n"/>
      <c r="AT195" s="546">
        <f>IFERROR(VLOOKUP(C195, CodeRanMovies!$A:$K, 11, 0), "Not found")</f>
        <v/>
      </c>
    </row>
    <row r="196" ht="52.8" customHeight="1" s="578">
      <c r="A196" s="201">
        <f>_xlfn.AGGREGATE(3,3,$D$7:D196)</f>
        <v/>
      </c>
      <c r="B196" s="606" t="inlineStr">
        <is>
          <t>n/a</t>
        </is>
      </c>
      <c r="C196" s="590" t="inlineStr">
        <is>
          <t>MOV_BIO26</t>
        </is>
      </c>
      <c r="D196" s="105" t="inlineStr">
        <is>
          <t>WHITNEY HOUSTON: I WANNA DANCE WITH SOMEBODY</t>
        </is>
      </c>
      <c r="E196" s="110" t="inlineStr">
        <is>
          <t>Whitney Houston: Tôi muốn khiêu vũ</t>
        </is>
      </c>
      <c r="F196" s="590" t="inlineStr">
        <is>
          <t xml:space="preserve">Others </t>
        </is>
      </c>
      <c r="G196" s="103" t="inlineStr">
        <is>
          <t>SONY</t>
        </is>
      </c>
      <c r="H196" s="590" t="inlineStr">
        <is>
          <t>Sony/K+Vietnam PayBasic SVOD Package Agmt D3A FE (Feb-5-24)</t>
        </is>
      </c>
      <c r="I196" s="104" t="n">
        <v>2022</v>
      </c>
      <c r="J196" s="104" t="inlineStr">
        <is>
          <t>U.S.A.[excluding Territories &amp; Possessions]</t>
        </is>
      </c>
      <c r="K196" s="104" t="n">
        <v>144</v>
      </c>
      <c r="L196" s="591" t="n">
        <v>45747</v>
      </c>
      <c r="M196" s="106" t="n">
        <v>46127</v>
      </c>
      <c r="N196" s="601" t="n"/>
      <c r="O196" s="592" t="n"/>
      <c r="P196" s="592" t="n"/>
      <c r="Q196" s="104" t="inlineStr">
        <is>
          <t>No</t>
        </is>
      </c>
      <c r="R196" s="104" t="inlineStr">
        <is>
          <t>Yes</t>
        </is>
      </c>
      <c r="S196" s="104" t="inlineStr">
        <is>
          <t>Yes</t>
        </is>
      </c>
      <c r="T196" s="592" t="inlineStr">
        <is>
          <t>Yes</t>
        </is>
      </c>
      <c r="U196" s="104" t="inlineStr">
        <is>
          <t>No</t>
        </is>
      </c>
      <c r="V196" s="104" t="inlineStr">
        <is>
          <t>No</t>
        </is>
      </c>
      <c r="W196" s="104" t="inlineStr">
        <is>
          <t>No</t>
        </is>
      </c>
      <c r="X196" s="104" t="inlineStr">
        <is>
          <t>Yes</t>
        </is>
      </c>
      <c r="Y196" s="104" t="inlineStr">
        <is>
          <t>No</t>
        </is>
      </c>
      <c r="Z196" s="106" t="n">
        <v>45747</v>
      </c>
      <c r="AA196" s="124" t="n">
        <v>46127</v>
      </c>
      <c r="AB196" s="104" t="n">
        <v>7</v>
      </c>
      <c r="AC196" s="202" t="n">
        <v>2</v>
      </c>
      <c r="AD196" s="592" t="inlineStr">
        <is>
          <t>Yes</t>
        </is>
      </c>
      <c r="AE196" s="592" t="inlineStr">
        <is>
          <t>Yes</t>
        </is>
      </c>
      <c r="AF196" s="600" t="n"/>
      <c r="AG196" s="593" t="inlineStr">
        <is>
          <t>Phim còn hạn từ 2026</t>
        </is>
      </c>
      <c r="AH196" s="594" t="inlineStr">
        <is>
          <t>MOV_BIO26</t>
        </is>
      </c>
      <c r="AI196" s="599" t="inlineStr">
        <is>
          <t>WHITNEY HOUSTON: I WANNA DANCE WITH SOMEBODY</t>
        </is>
      </c>
      <c r="AJ196" s="128">
        <f>SUMIF('TK 15661.Bản quyền phim '!F:F,'KK1. Movies'!D196,'TK 15661.Bản quyền phim '!X:X)</f>
        <v/>
      </c>
      <c r="AK196" s="128">
        <f>SUMIF('TK 15661.Bản quyền phim '!F:F,'KK1. Movies'!AI196,'TK 15661.Bản quyền phim '!X:X)</f>
        <v/>
      </c>
      <c r="AL196" s="203">
        <f>COUNTIF('242.BQ Phim hợp tác'!$C:$C,'KK1. Movies'!AI196)</f>
        <v/>
      </c>
      <c r="AM196" s="203">
        <f>COUNTIF('TK 15661.Bản quyền phim '!F:F,'KK1. Movies'!AI196)</f>
        <v/>
      </c>
      <c r="AN196" s="546">
        <f>AL196+AM196</f>
        <v/>
      </c>
      <c r="AO196" s="203" t="n"/>
      <c r="AP196" s="203" t="n"/>
      <c r="AQ196" s="203" t="n"/>
      <c r="AR196" s="203" t="n"/>
      <c r="AS196" s="203" t="n"/>
      <c r="AT196" s="546">
        <f>IFERROR(VLOOKUP(C196, CodeRanMovies!$A:$K, 11, 0), "Not found")</f>
        <v/>
      </c>
    </row>
    <row r="197" ht="26.4" customHeight="1" s="578">
      <c r="A197" s="201">
        <f>_xlfn.AGGREGATE(3,3,$D$7:D197)</f>
        <v/>
      </c>
      <c r="B197" s="589" t="inlineStr">
        <is>
          <t>16+</t>
        </is>
      </c>
      <c r="C197" s="590" t="inlineStr">
        <is>
          <t>MOV_CRI_21__2650084</t>
        </is>
      </c>
      <c r="D197" s="590" t="inlineStr">
        <is>
          <t>THE CRIMES THAT BIND</t>
        </is>
      </c>
      <c r="E197" s="590" t="inlineStr">
        <is>
          <t>Tội ác sau bức màn</t>
        </is>
      </c>
      <c r="F197" s="590" t="inlineStr">
        <is>
          <t>Crime, Thriller</t>
        </is>
      </c>
      <c r="G197" s="590" t="inlineStr">
        <is>
          <t>TBS</t>
        </is>
      </c>
      <c r="H197" s="114" t="n">
        <v>202104013</v>
      </c>
      <c r="I197" s="96" t="n">
        <v>2018</v>
      </c>
      <c r="J197" s="600" t="inlineStr">
        <is>
          <t>Japan</t>
        </is>
      </c>
      <c r="K197" s="96" t="n">
        <v>119</v>
      </c>
      <c r="L197" s="98" t="n">
        <v>44284</v>
      </c>
      <c r="M197" s="602" t="n">
        <v>46109</v>
      </c>
      <c r="N197" s="603" t="n">
        <v>44370</v>
      </c>
      <c r="O197" s="592" t="inlineStr">
        <is>
          <t>K+CINE</t>
        </is>
      </c>
      <c r="P197" s="592" t="n"/>
      <c r="Q197" s="592" t="inlineStr">
        <is>
          <t>No</t>
        </is>
      </c>
      <c r="R197" s="592" t="inlineStr">
        <is>
          <t>Yes</t>
        </is>
      </c>
      <c r="S197" s="592" t="inlineStr">
        <is>
          <t>Yes</t>
        </is>
      </c>
      <c r="T197" s="592" t="inlineStr">
        <is>
          <t>Yes</t>
        </is>
      </c>
      <c r="U197" s="592" t="inlineStr">
        <is>
          <t>Yes</t>
        </is>
      </c>
      <c r="V197" s="592" t="inlineStr">
        <is>
          <t>Yes</t>
        </is>
      </c>
      <c r="W197" s="592" t="inlineStr">
        <is>
          <t>Yes</t>
        </is>
      </c>
      <c r="X197" s="592" t="inlineStr">
        <is>
          <t>Yes</t>
        </is>
      </c>
      <c r="Y197" s="592" t="inlineStr">
        <is>
          <t>Yes</t>
        </is>
      </c>
      <c r="Z197" s="98" t="n">
        <v>44284</v>
      </c>
      <c r="AA197" s="602" t="n">
        <v>46109</v>
      </c>
      <c r="AB197" s="202" t="n">
        <v>50</v>
      </c>
      <c r="AC197" s="100" t="n">
        <v>32</v>
      </c>
      <c r="AD197" s="592" t="inlineStr">
        <is>
          <t>Yes</t>
        </is>
      </c>
      <c r="AE197" s="592" t="inlineStr">
        <is>
          <t>Yes</t>
        </is>
      </c>
      <c r="AF197" s="600" t="n"/>
      <c r="AG197" s="593" t="inlineStr">
        <is>
          <t>Phim còn hạn từ 2026</t>
        </is>
      </c>
      <c r="AH197" s="594" t="n"/>
      <c r="AI197" s="599" t="inlineStr">
        <is>
          <t>THE CRIMES THAT BIND</t>
        </is>
      </c>
      <c r="AJ197" s="128">
        <f>SUMIF('TK 15661.Bản quyền phim '!F:F,'KK1. Movies'!D197,'TK 15661.Bản quyền phim '!X:X)</f>
        <v/>
      </c>
      <c r="AK197" s="128">
        <f>SUMIF('TK 15661.Bản quyền phim '!F:F,'KK1. Movies'!AI197,'TK 15661.Bản quyền phim '!X:X)</f>
        <v/>
      </c>
      <c r="AL197" s="203">
        <f>COUNTIF('242.BQ Phim hợp tác'!$C:$C,'KK1. Movies'!AI197)</f>
        <v/>
      </c>
      <c r="AM197" s="203">
        <f>COUNTIF('TK 15661.Bản quyền phim '!F:F,'KK1. Movies'!AI197)</f>
        <v/>
      </c>
      <c r="AN197" s="546">
        <f>AL197+AM197</f>
        <v/>
      </c>
      <c r="AO197" s="203" t="n"/>
      <c r="AP197" s="203" t="n"/>
      <c r="AQ197" s="203" t="n"/>
      <c r="AR197" s="203" t="n"/>
      <c r="AS197" s="203" t="n"/>
      <c r="AT197" s="546">
        <f>IFERROR(VLOOKUP(C197, CodeRanMovies!$A:$K, 11, 0), "Not found")</f>
        <v/>
      </c>
    </row>
    <row r="198">
      <c r="A198" s="201">
        <f>_xlfn.AGGREGATE(3,3,$D$7:D198)</f>
        <v/>
      </c>
      <c r="B198" s="589" t="inlineStr">
        <is>
          <t>16+</t>
        </is>
      </c>
      <c r="C198" s="234" t="inlineStr">
        <is>
          <t>MOV_ACT583</t>
        </is>
      </c>
      <c r="D198" s="105" t="inlineStr">
        <is>
          <t>UPGRADE</t>
        </is>
      </c>
      <c r="E198" s="110" t="inlineStr">
        <is>
          <t>Nâng cấp</t>
        </is>
      </c>
      <c r="F198" s="108" t="inlineStr">
        <is>
          <t>action</t>
        </is>
      </c>
      <c r="G198" s="108" t="inlineStr">
        <is>
          <t>NBC Universal</t>
        </is>
      </c>
      <c r="H198" s="108" t="inlineStr">
        <is>
          <t>5049540-2/161434-3</t>
        </is>
      </c>
      <c r="I198" s="104" t="n">
        <v>2018</v>
      </c>
      <c r="J198" s="107" t="inlineStr">
        <is>
          <t>US</t>
        </is>
      </c>
      <c r="K198" s="104" t="n">
        <v>100</v>
      </c>
      <c r="L198" s="98" t="n">
        <v>45505</v>
      </c>
      <c r="M198" s="109" t="n">
        <v>46234</v>
      </c>
      <c r="N198" s="601" t="n">
        <v>45505</v>
      </c>
      <c r="O198" s="104" t="inlineStr">
        <is>
          <t>K+ACTION</t>
        </is>
      </c>
      <c r="P198" s="104" t="inlineStr">
        <is>
          <t xml:space="preserve"> </t>
        </is>
      </c>
      <c r="Q198" s="104" t="inlineStr">
        <is>
          <t>No</t>
        </is>
      </c>
      <c r="R198" s="592" t="inlineStr">
        <is>
          <t>Yes</t>
        </is>
      </c>
      <c r="S198" s="104" t="inlineStr">
        <is>
          <t>Yes</t>
        </is>
      </c>
      <c r="T198" s="592" t="inlineStr">
        <is>
          <t>Yes</t>
        </is>
      </c>
      <c r="U198" s="104" t="inlineStr">
        <is>
          <t>No</t>
        </is>
      </c>
      <c r="V198" s="104" t="inlineStr">
        <is>
          <t>No</t>
        </is>
      </c>
      <c r="W198" s="104" t="inlineStr">
        <is>
          <t>No</t>
        </is>
      </c>
      <c r="X198" s="104" t="inlineStr">
        <is>
          <t>No</t>
        </is>
      </c>
      <c r="Y198" s="104" t="inlineStr">
        <is>
          <t>Yes</t>
        </is>
      </c>
      <c r="Z198" s="98" t="n">
        <v>45505</v>
      </c>
      <c r="AA198" s="109" t="n">
        <v>46234</v>
      </c>
      <c r="AB198" s="107" t="n">
        <v>6</v>
      </c>
      <c r="AC198" s="107" t="n">
        <v>3</v>
      </c>
      <c r="AD198" s="592" t="inlineStr">
        <is>
          <t>Yes</t>
        </is>
      </c>
      <c r="AE198" s="592" t="inlineStr">
        <is>
          <t>Yes</t>
        </is>
      </c>
      <c r="AF198" s="600" t="n"/>
      <c r="AG198" s="593" t="inlineStr">
        <is>
          <t>Phim còn hạn từ 2026</t>
        </is>
      </c>
      <c r="AH198" s="594" t="n"/>
      <c r="AI198" s="599" t="inlineStr">
        <is>
          <t>UPGRADE</t>
        </is>
      </c>
      <c r="AJ198" s="128">
        <f>SUMIF('TK 15661.Bản quyền phim '!F:F,'KK1. Movies'!D198,'TK 15661.Bản quyền phim '!X:X)</f>
        <v/>
      </c>
      <c r="AK198" s="128">
        <f>SUMIF('TK 15661.Bản quyền phim '!F:F,'KK1. Movies'!AI198,'TK 15661.Bản quyền phim '!X:X)</f>
        <v/>
      </c>
      <c r="AL198" s="203">
        <f>COUNTIF('242.BQ Phim hợp tác'!$C:$C,'KK1. Movies'!AI198)</f>
        <v/>
      </c>
      <c r="AM198" s="203">
        <f>COUNTIF('TK 15661.Bản quyền phim '!F:F,'KK1. Movies'!AI198)</f>
        <v/>
      </c>
      <c r="AN198" s="546">
        <f>AL198+AM198</f>
        <v/>
      </c>
      <c r="AO198" s="203" t="n"/>
      <c r="AP198" s="203" t="n"/>
      <c r="AQ198" s="203" t="n"/>
      <c r="AR198" s="203" t="n"/>
      <c r="AS198" s="203" t="n"/>
      <c r="AT198" s="546">
        <f>IFERROR(VLOOKUP(C198, CodeRanMovies!$A:$K, 11, 0), "Not found")</f>
        <v/>
      </c>
    </row>
    <row r="199" ht="26.4" customHeight="1" s="578">
      <c r="A199" s="201">
        <f>_xlfn.AGGREGATE(3,3,$D$7:D199)</f>
        <v/>
      </c>
      <c r="B199" s="589" t="inlineStr">
        <is>
          <t>16+</t>
        </is>
      </c>
      <c r="C199" s="590" t="inlineStr">
        <is>
          <t>MOV_DRA_21__2646322</t>
        </is>
      </c>
      <c r="D199" s="590" t="inlineStr">
        <is>
          <t>Secrets of the wind</t>
        </is>
      </c>
      <c r="E199" s="590" t="inlineStr">
        <is>
          <t>Bí mật của gió</t>
        </is>
      </c>
      <c r="F199" s="589" t="inlineStr">
        <is>
          <t>Romance</t>
        </is>
      </c>
      <c r="G199" s="590" t="inlineStr">
        <is>
          <t>BHD</t>
        </is>
      </c>
      <c r="H199" s="590" t="inlineStr">
        <is>
          <t>07D/2021/HDBQ/VSTV-BHD</t>
        </is>
      </c>
      <c r="I199" s="204" t="n">
        <v>2019</v>
      </c>
      <c r="J199" s="592" t="inlineStr">
        <is>
          <t>Việt Nam</t>
        </is>
      </c>
      <c r="K199" s="204" t="n">
        <v>113</v>
      </c>
      <c r="L199" s="98" t="n">
        <v>44287</v>
      </c>
      <c r="M199" s="602" t="n">
        <v>46112</v>
      </c>
      <c r="N199" s="603" t="n">
        <v>44316</v>
      </c>
      <c r="O199" s="592" t="inlineStr">
        <is>
          <t>K+CINE</t>
        </is>
      </c>
      <c r="P199" s="592" t="n"/>
      <c r="Q199" s="592" t="inlineStr">
        <is>
          <t>Yes</t>
        </is>
      </c>
      <c r="R199" s="592" t="inlineStr">
        <is>
          <t>Yes</t>
        </is>
      </c>
      <c r="S199" s="592" t="inlineStr">
        <is>
          <t>Yes</t>
        </is>
      </c>
      <c r="T199" s="592" t="inlineStr">
        <is>
          <t>Yes</t>
        </is>
      </c>
      <c r="U199" s="592" t="inlineStr">
        <is>
          <t>Yes</t>
        </is>
      </c>
      <c r="V199" s="592" t="inlineStr">
        <is>
          <t>Yes</t>
        </is>
      </c>
      <c r="W199" s="592" t="inlineStr">
        <is>
          <t>Yes</t>
        </is>
      </c>
      <c r="X199" s="592" t="inlineStr">
        <is>
          <t>Yes</t>
        </is>
      </c>
      <c r="Y199" s="592" t="inlineStr">
        <is>
          <t>Yes</t>
        </is>
      </c>
      <c r="Z199" s="98" t="n">
        <v>44287</v>
      </c>
      <c r="AA199" s="602" t="n">
        <v>46112</v>
      </c>
      <c r="AB199" s="204" t="n">
        <v>30</v>
      </c>
      <c r="AC199" s="202" t="n">
        <v>13</v>
      </c>
      <c r="AD199" s="592" t="inlineStr">
        <is>
          <t>Yes</t>
        </is>
      </c>
      <c r="AE199" s="592" t="inlineStr">
        <is>
          <t>Yes</t>
        </is>
      </c>
      <c r="AF199" s="600" t="n"/>
      <c r="AG199" s="593" t="inlineStr">
        <is>
          <t>Phim còn hạn từ 2026</t>
        </is>
      </c>
      <c r="AH199" s="594" t="n"/>
      <c r="AI199" s="599" t="inlineStr">
        <is>
          <t>Secrets of the wind</t>
        </is>
      </c>
      <c r="AJ199" s="128">
        <f>SUMIF('TK 15661.Bản quyền phim '!F:F,'KK1. Movies'!D199,'TK 15661.Bản quyền phim '!X:X)</f>
        <v/>
      </c>
      <c r="AK199" s="128">
        <f>SUMIF('TK 15661.Bản quyền phim '!F:F,'KK1. Movies'!AI199,'TK 15661.Bản quyền phim '!X:X)</f>
        <v/>
      </c>
      <c r="AL199" s="203">
        <f>COUNTIF('242.BQ Phim hợp tác'!$C:$C,'KK1. Movies'!AI199)</f>
        <v/>
      </c>
      <c r="AM199" s="203">
        <f>COUNTIF('TK 15661.Bản quyền phim '!F:F,'KK1. Movies'!AI199)</f>
        <v/>
      </c>
      <c r="AN199" s="546">
        <f>AL199+AM199</f>
        <v/>
      </c>
      <c r="AO199" s="203" t="n"/>
      <c r="AP199" s="203" t="n"/>
      <c r="AQ199" s="203" t="n"/>
      <c r="AR199" s="203" t="n"/>
      <c r="AS199" s="203" t="n"/>
      <c r="AT199" s="546">
        <f>IFERROR(VLOOKUP(C199, CodeRanMovies!$A:$K, 11, 0), "Not found")</f>
        <v/>
      </c>
    </row>
    <row r="200" ht="52.8" customHeight="1" s="578">
      <c r="A200" s="201">
        <f>_xlfn.AGGREGATE(3,3,$D$7:D200)</f>
        <v/>
      </c>
      <c r="B200" s="589" t="inlineStr">
        <is>
          <t>16+</t>
        </is>
      </c>
      <c r="C200" s="234" t="inlineStr">
        <is>
          <t>MOV_DRA750</t>
        </is>
      </c>
      <c r="D200" s="105" t="inlineStr">
        <is>
          <t>YOLO (CHINA)</t>
        </is>
      </c>
      <c r="E200" s="110" t="inlineStr">
        <is>
          <t>Cay nóng hôi hổi</t>
        </is>
      </c>
      <c r="F200" s="590" t="inlineStr">
        <is>
          <t>Comedy</t>
        </is>
      </c>
      <c r="G200" s="103" t="inlineStr">
        <is>
          <t>SONY</t>
        </is>
      </c>
      <c r="H200" s="590" t="inlineStr">
        <is>
          <t>Sony/K+Vietnam PayBasic SVOD Package Agmt D3A FE (Feb-5-24)</t>
        </is>
      </c>
      <c r="I200" s="104" t="n">
        <v>2024</v>
      </c>
      <c r="J200" s="104" t="inlineStr">
        <is>
          <t>China</t>
        </is>
      </c>
      <c r="K200" s="104" t="n">
        <v>129</v>
      </c>
      <c r="L200" s="591" t="n">
        <v>45721</v>
      </c>
      <c r="M200" s="106" t="n">
        <v>46026</v>
      </c>
      <c r="N200" s="601" t="n"/>
      <c r="O200" s="592" t="n"/>
      <c r="P200" s="592" t="n"/>
      <c r="Q200" s="104" t="inlineStr">
        <is>
          <t>No</t>
        </is>
      </c>
      <c r="R200" s="104" t="inlineStr">
        <is>
          <t>Yes</t>
        </is>
      </c>
      <c r="S200" s="104" t="inlineStr">
        <is>
          <t>Yes</t>
        </is>
      </c>
      <c r="T200" s="592" t="inlineStr">
        <is>
          <t>Yes</t>
        </is>
      </c>
      <c r="U200" s="104" t="inlineStr">
        <is>
          <t>No</t>
        </is>
      </c>
      <c r="V200" s="104" t="inlineStr">
        <is>
          <t>No</t>
        </is>
      </c>
      <c r="W200" s="104" t="inlineStr">
        <is>
          <t>No</t>
        </is>
      </c>
      <c r="X200" s="104" t="inlineStr">
        <is>
          <t>Yes</t>
        </is>
      </c>
      <c r="Y200" s="104" t="inlineStr">
        <is>
          <t>No</t>
        </is>
      </c>
      <c r="Z200" s="106" t="n">
        <v>45721</v>
      </c>
      <c r="AA200" s="124" t="n">
        <v>46026</v>
      </c>
      <c r="AB200" s="104" t="n">
        <v>6</v>
      </c>
      <c r="AC200" s="202" t="n">
        <v>2</v>
      </c>
      <c r="AD200" s="592" t="inlineStr">
        <is>
          <t>Yes</t>
        </is>
      </c>
      <c r="AE200" s="592" t="inlineStr">
        <is>
          <t>Yes</t>
        </is>
      </c>
      <c r="AF200" s="600" t="n"/>
      <c r="AG200" s="593" t="inlineStr">
        <is>
          <t>Phim còn hạn từ 2026</t>
        </is>
      </c>
      <c r="AH200" s="594" t="n"/>
      <c r="AI200" s="599" t="inlineStr">
        <is>
          <t>YOLO (CHINA)</t>
        </is>
      </c>
      <c r="AJ200" s="128">
        <f>SUMIF('TK 15661.Bản quyền phim '!F:F,'KK1. Movies'!D200,'TK 15661.Bản quyền phim '!X:X)</f>
        <v/>
      </c>
      <c r="AK200" s="128">
        <f>SUMIF('TK 15661.Bản quyền phim '!F:F,'KK1. Movies'!AI200,'TK 15661.Bản quyền phim '!X:X)</f>
        <v/>
      </c>
      <c r="AL200" s="203">
        <f>COUNTIF('242.BQ Phim hợp tác'!$C:$C,'KK1. Movies'!AI200)</f>
        <v/>
      </c>
      <c r="AM200" s="203">
        <f>COUNTIF('TK 15661.Bản quyền phim '!F:F,'KK1. Movies'!AI200)</f>
        <v/>
      </c>
      <c r="AN200" s="546">
        <f>AL200+AM200</f>
        <v/>
      </c>
      <c r="AO200" s="203" t="n"/>
      <c r="AP200" s="203" t="n"/>
      <c r="AQ200" s="203" t="n"/>
      <c r="AR200" s="203" t="n"/>
      <c r="AS200" s="203" t="n"/>
      <c r="AT200" s="546">
        <f>IFERROR(VLOOKUP(C200, CodeRanMovies!$A:$K, 11, 0), "Not found")</f>
        <v/>
      </c>
    </row>
    <row r="201" ht="26.4" customHeight="1" s="578">
      <c r="A201" s="201">
        <f>_xlfn.AGGREGATE(3,3,$D$7:D201)</f>
        <v/>
      </c>
      <c r="B201" s="589" t="inlineStr">
        <is>
          <t>16+</t>
        </is>
      </c>
      <c r="C201" s="590" t="inlineStr">
        <is>
          <t>MOV_ACT_24__2710438</t>
        </is>
      </c>
      <c r="D201" s="105" t="inlineStr">
        <is>
          <t>THE WHITE STORM 2: DRUG LORDS</t>
        </is>
      </c>
      <c r="E201" s="590" t="inlineStr">
        <is>
          <t>Bão trắng 2: Trùm á phiện</t>
        </is>
      </c>
      <c r="F201" s="590" t="inlineStr">
        <is>
          <t>Crime, Thriller</t>
        </is>
      </c>
      <c r="G201" s="108" t="inlineStr">
        <is>
          <t>Skyline Media</t>
        </is>
      </c>
      <c r="H201" s="590" t="inlineStr">
        <is>
          <t>28/2024/HDBQ/VSTV-SM</t>
        </is>
      </c>
      <c r="I201" s="107" t="n">
        <v>2019</v>
      </c>
      <c r="J201" s="600" t="inlineStr">
        <is>
          <t>Hong Kong</t>
        </is>
      </c>
      <c r="K201" s="107" t="n">
        <v>100</v>
      </c>
      <c r="L201" s="98" t="n">
        <v>45366</v>
      </c>
      <c r="M201" s="109" t="n">
        <v>46460</v>
      </c>
      <c r="N201" s="601" t="n">
        <v>45583</v>
      </c>
      <c r="O201" s="592" t="inlineStr">
        <is>
          <t>K+ACTION</t>
        </is>
      </c>
      <c r="P201" s="104" t="n">
        <v>12</v>
      </c>
      <c r="Q201" s="107" t="inlineStr">
        <is>
          <t>No</t>
        </is>
      </c>
      <c r="R201" s="592" t="inlineStr">
        <is>
          <t>Yes</t>
        </is>
      </c>
      <c r="S201" s="592" t="inlineStr">
        <is>
          <t>Yes</t>
        </is>
      </c>
      <c r="T201" s="592" t="inlineStr">
        <is>
          <t>Yes</t>
        </is>
      </c>
      <c r="U201" s="592" t="inlineStr">
        <is>
          <t>Yes</t>
        </is>
      </c>
      <c r="V201" s="592" t="inlineStr">
        <is>
          <t>Yes</t>
        </is>
      </c>
      <c r="W201" s="592" t="inlineStr">
        <is>
          <t>Yes</t>
        </is>
      </c>
      <c r="X201" s="592" t="inlineStr">
        <is>
          <t>Yes</t>
        </is>
      </c>
      <c r="Y201" s="104" t="inlineStr">
        <is>
          <t>No</t>
        </is>
      </c>
      <c r="Z201" s="98" t="n">
        <v>45366</v>
      </c>
      <c r="AA201" s="109" t="n">
        <v>46460</v>
      </c>
      <c r="AB201" s="107" t="n">
        <v>24</v>
      </c>
      <c r="AC201" s="202" t="n">
        <v>14</v>
      </c>
      <c r="AD201" s="592" t="inlineStr">
        <is>
          <t>Yes</t>
        </is>
      </c>
      <c r="AE201" s="592" t="inlineStr">
        <is>
          <t>Yes</t>
        </is>
      </c>
      <c r="AF201" s="600" t="n"/>
      <c r="AG201" s="593" t="inlineStr">
        <is>
          <t>Phim còn hạn từ 2026</t>
        </is>
      </c>
      <c r="AH201" s="594" t="inlineStr">
        <is>
          <t>MOV_ACT_24__2710438</t>
        </is>
      </c>
      <c r="AI201" s="206" t="inlineStr">
        <is>
          <t>THE WHITE STORM 2: DRUG LORDS</t>
        </is>
      </c>
      <c r="AJ201" s="128">
        <f>SUMIF('TK 15661.Bản quyền phim '!F:F,'KK1. Movies'!D201,'TK 15661.Bản quyền phim '!X:X)</f>
        <v/>
      </c>
      <c r="AK201" s="128">
        <f>SUMIF('TK 15661.Bản quyền phim '!F:F,'KK1. Movies'!AI201,'TK 15661.Bản quyền phim '!X:X)</f>
        <v/>
      </c>
      <c r="AL201" s="203">
        <f>COUNTIF('242.BQ Phim hợp tác'!$C:$C,'KK1. Movies'!AI201)</f>
        <v/>
      </c>
      <c r="AM201" s="203">
        <f>COUNTIF('TK 15661.Bản quyền phim '!F:F,'KK1. Movies'!AI201)</f>
        <v/>
      </c>
      <c r="AN201" s="546">
        <f>AL201+AM201</f>
        <v/>
      </c>
      <c r="AO201" s="203" t="n"/>
      <c r="AP201" s="203" t="n"/>
      <c r="AQ201" s="203" t="n"/>
      <c r="AR201" s="203" t="n"/>
      <c r="AS201" s="203" t="n"/>
      <c r="AT201" s="546">
        <f>IFERROR(VLOOKUP(C201, CodeRanMovies!$A:$K, 11, 0), "Not found")</f>
        <v/>
      </c>
    </row>
    <row r="202" ht="52.8" customHeight="1" s="578">
      <c r="A202" s="201">
        <f>_xlfn.AGGREGATE(3,3,$D$7:D202)</f>
        <v/>
      </c>
      <c r="B202" s="589" t="inlineStr">
        <is>
          <t>P</t>
        </is>
      </c>
      <c r="C202" s="590" t="inlineStr">
        <is>
          <t>MOV_COM_24__2714426</t>
        </is>
      </c>
      <c r="D202" s="105" t="inlineStr">
        <is>
          <t>HERE COMES THE BOOM</t>
        </is>
      </c>
      <c r="E202" s="110" t="inlineStr">
        <is>
          <t>Chàng béo cứu tinh</t>
        </is>
      </c>
      <c r="F202" s="590" t="inlineStr">
        <is>
          <t>Comedy</t>
        </is>
      </c>
      <c r="G202" s="103" t="inlineStr">
        <is>
          <t>SONY PICTURES</t>
        </is>
      </c>
      <c r="H202" s="590" t="inlineStr">
        <is>
          <t>Sony/K+Vietnam PayBasic SVOD Package Agmt D2D per JK (19-01-2024)</t>
        </is>
      </c>
      <c r="I202" s="104" t="n">
        <v>2012</v>
      </c>
      <c r="J202" s="600" t="inlineStr">
        <is>
          <t>US</t>
        </is>
      </c>
      <c r="K202" s="104" t="n">
        <v>104</v>
      </c>
      <c r="L202" s="98" t="n">
        <v>45505</v>
      </c>
      <c r="M202" s="106" t="n">
        <v>46234</v>
      </c>
      <c r="N202" s="601" t="n">
        <v>45532</v>
      </c>
      <c r="O202" s="592" t="inlineStr">
        <is>
          <t>K+CINE</t>
        </is>
      </c>
      <c r="P202" s="592" t="n"/>
      <c r="Q202" s="104" t="inlineStr">
        <is>
          <t>No</t>
        </is>
      </c>
      <c r="R202" s="592" t="inlineStr">
        <is>
          <t>Yes</t>
        </is>
      </c>
      <c r="S202" s="592" t="inlineStr">
        <is>
          <t>Yes</t>
        </is>
      </c>
      <c r="T202" s="592" t="inlineStr">
        <is>
          <t>Yes</t>
        </is>
      </c>
      <c r="U202" s="104" t="inlineStr">
        <is>
          <t>No</t>
        </is>
      </c>
      <c r="V202" s="104" t="inlineStr">
        <is>
          <t>No</t>
        </is>
      </c>
      <c r="W202" s="104" t="inlineStr">
        <is>
          <t>No</t>
        </is>
      </c>
      <c r="X202" s="104" t="inlineStr">
        <is>
          <t>No</t>
        </is>
      </c>
      <c r="Y202" s="104" t="inlineStr">
        <is>
          <t>No</t>
        </is>
      </c>
      <c r="Z202" s="106" t="n">
        <v>45505</v>
      </c>
      <c r="AA202" s="124" t="n">
        <v>46053</v>
      </c>
      <c r="AB202" s="107" t="n">
        <v>7</v>
      </c>
      <c r="AC202" s="202" t="n">
        <v>6</v>
      </c>
      <c r="AD202" s="592" t="inlineStr">
        <is>
          <t>Yes</t>
        </is>
      </c>
      <c r="AE202" s="592" t="inlineStr">
        <is>
          <t>Yes</t>
        </is>
      </c>
      <c r="AF202" s="600" t="n"/>
      <c r="AG202" s="593" t="inlineStr">
        <is>
          <t>Phim còn hạn từ 2026</t>
        </is>
      </c>
      <c r="AH202" s="594" t="n"/>
      <c r="AI202" s="599" t="inlineStr">
        <is>
          <t>HERE COMES THE BOOM</t>
        </is>
      </c>
      <c r="AJ202" s="128">
        <f>SUMIF('TK 15661.Bản quyền phim '!F:F,'KK1. Movies'!D202,'TK 15661.Bản quyền phim '!X:X)</f>
        <v/>
      </c>
      <c r="AK202" s="128">
        <f>SUMIF('TK 15661.Bản quyền phim '!F:F,'KK1. Movies'!AI202,'TK 15661.Bản quyền phim '!X:X)</f>
        <v/>
      </c>
      <c r="AL202" s="203">
        <f>COUNTIF('242.BQ Phim hợp tác'!$C:$C,'KK1. Movies'!AI202)</f>
        <v/>
      </c>
      <c r="AM202" s="203">
        <f>COUNTIF('TK 15661.Bản quyền phim '!F:F,'KK1. Movies'!AI202)</f>
        <v/>
      </c>
      <c r="AN202" s="546">
        <f>AL202+AM202</f>
        <v/>
      </c>
      <c r="AO202" s="203" t="n"/>
      <c r="AP202" s="203" t="n"/>
      <c r="AQ202" s="203" t="n"/>
      <c r="AR202" s="203" t="n"/>
      <c r="AS202" s="203" t="n"/>
      <c r="AT202" s="546">
        <f>IFERROR(VLOOKUP(C202, CodeRanMovies!$A:$K, 11, 0), "Not found")</f>
        <v/>
      </c>
    </row>
    <row r="203">
      <c r="A203" s="201">
        <f>_xlfn.AGGREGATE(3,3,$D$7:D203)</f>
        <v/>
      </c>
      <c r="B203" s="589" t="inlineStr">
        <is>
          <t>16+</t>
        </is>
      </c>
      <c r="C203" s="590" t="inlineStr">
        <is>
          <t>MOV_ACT_23__2709721</t>
        </is>
      </c>
      <c r="D203" s="105" t="inlineStr">
        <is>
          <t>The 355</t>
        </is>
      </c>
      <c r="E203" s="97" t="inlineStr">
        <is>
          <t>Đặc vụ 355</t>
        </is>
      </c>
      <c r="F203" s="590" t="inlineStr">
        <is>
          <t>Action, Adventure</t>
        </is>
      </c>
      <c r="G203" s="108" t="inlineStr">
        <is>
          <t>Rose media</t>
        </is>
      </c>
      <c r="H203" s="590" t="inlineStr">
        <is>
          <t>5/2022/HDBQ/VSTV-RM</t>
        </is>
      </c>
      <c r="I203" s="104" t="n">
        <v>2021</v>
      </c>
      <c r="J203" s="104" t="inlineStr">
        <is>
          <t>UK</t>
        </is>
      </c>
      <c r="K203" s="104" t="n">
        <v>122</v>
      </c>
      <c r="L203" s="98" t="n">
        <v>45309</v>
      </c>
      <c r="M203" s="106" t="n">
        <v>46404</v>
      </c>
      <c r="N203" s="601" t="n">
        <v>45586</v>
      </c>
      <c r="O203" s="592" t="inlineStr">
        <is>
          <t>K+ACTION</t>
        </is>
      </c>
      <c r="P203" s="592" t="n"/>
      <c r="Q203" s="104" t="inlineStr">
        <is>
          <t>No</t>
        </is>
      </c>
      <c r="R203" s="592" t="inlineStr">
        <is>
          <t>Yes</t>
        </is>
      </c>
      <c r="S203" s="592" t="inlineStr">
        <is>
          <t>Yes</t>
        </is>
      </c>
      <c r="T203" s="592" t="inlineStr">
        <is>
          <t>Yes</t>
        </is>
      </c>
      <c r="U203" s="592" t="inlineStr">
        <is>
          <t>Yes</t>
        </is>
      </c>
      <c r="V203" s="592" t="inlineStr">
        <is>
          <t>Yes</t>
        </is>
      </c>
      <c r="W203" s="592" t="inlineStr">
        <is>
          <t>Yes</t>
        </is>
      </c>
      <c r="X203" s="592" t="inlineStr">
        <is>
          <t>Yes</t>
        </is>
      </c>
      <c r="Y203" s="107" t="inlineStr">
        <is>
          <t>No</t>
        </is>
      </c>
      <c r="Z203" s="98" t="n">
        <v>45309</v>
      </c>
      <c r="AA203" s="106" t="n">
        <v>46404</v>
      </c>
      <c r="AB203" s="104" t="n">
        <v>24</v>
      </c>
      <c r="AC203" s="202" t="n">
        <v>9</v>
      </c>
      <c r="AD203" s="592" t="inlineStr">
        <is>
          <t>Yes</t>
        </is>
      </c>
      <c r="AE203" s="592" t="inlineStr">
        <is>
          <t>Yes</t>
        </is>
      </c>
      <c r="AF203" s="600" t="n"/>
      <c r="AG203" s="593" t="inlineStr">
        <is>
          <t>Phim còn hạn từ 2026</t>
        </is>
      </c>
      <c r="AH203" s="594" t="n"/>
      <c r="AI203" s="206" t="inlineStr">
        <is>
          <t>The 355</t>
        </is>
      </c>
      <c r="AJ203" s="128">
        <f>SUMIF('TK 15661.Bản quyền phim '!F:F,'KK1. Movies'!D203,'TK 15661.Bản quyền phim '!X:X)</f>
        <v/>
      </c>
      <c r="AK203" s="128">
        <f>SUMIF('TK 15661.Bản quyền phim '!F:F,'KK1. Movies'!AI203,'TK 15661.Bản quyền phim '!X:X)</f>
        <v/>
      </c>
      <c r="AL203" s="203">
        <f>COUNTIF('242.BQ Phim hợp tác'!$C:$C,'KK1. Movies'!AI203)</f>
        <v/>
      </c>
      <c r="AM203" s="203">
        <f>COUNTIF('TK 15661.Bản quyền phim '!F:F,'KK1. Movies'!AI203)</f>
        <v/>
      </c>
      <c r="AN203" s="546">
        <f>AL203+AM203</f>
        <v/>
      </c>
      <c r="AO203" s="203" t="n"/>
      <c r="AP203" s="203" t="n"/>
      <c r="AQ203" s="203" t="n"/>
      <c r="AR203" s="203" t="n"/>
      <c r="AS203" s="203" t="n"/>
      <c r="AT203" s="546">
        <f>IFERROR(VLOOKUP(C203, CodeRanMovies!$A:$K, 11, 0), "Not found")</f>
        <v/>
      </c>
    </row>
    <row r="204" ht="26.4" customHeight="1" s="578">
      <c r="A204" s="201">
        <f>_xlfn.AGGREGATE(3,3,$D$7:D204)</f>
        <v/>
      </c>
      <c r="B204" s="589" t="inlineStr">
        <is>
          <t>16+</t>
        </is>
      </c>
      <c r="C204" s="590" t="inlineStr">
        <is>
          <t>MOV_ACT_21__2660584</t>
        </is>
      </c>
      <c r="D204" s="590" t="inlineStr">
        <is>
          <t>Tai Chi Hero</t>
        </is>
      </c>
      <c r="E204" s="590" t="inlineStr">
        <is>
          <t xml:space="preserve">	Trương Tam Phong - Thái cực thiên sư</t>
        </is>
      </c>
      <c r="F204" s="590" t="inlineStr">
        <is>
          <t>Action, Adventure</t>
        </is>
      </c>
      <c r="G204" s="590" t="inlineStr">
        <is>
          <t>Pro Partner</t>
        </is>
      </c>
      <c r="H204" s="590" t="inlineStr">
        <is>
          <t>47A/2021/HDBQ/VSTV-Pro Partner</t>
        </is>
      </c>
      <c r="I204" s="204" t="n">
        <v>2020</v>
      </c>
      <c r="J204" s="600" t="inlineStr">
        <is>
          <t>China</t>
        </is>
      </c>
      <c r="K204" s="204" t="n">
        <v>88</v>
      </c>
      <c r="L204" s="98" t="n">
        <v>44559</v>
      </c>
      <c r="M204" s="602" t="n">
        <v>46201</v>
      </c>
      <c r="N204" s="603" t="n">
        <v>44559</v>
      </c>
      <c r="O204" s="592" t="inlineStr">
        <is>
          <t>K+CINE</t>
        </is>
      </c>
      <c r="P204" s="412" t="inlineStr">
        <is>
          <t xml:space="preserve">Exclusive All TV Rights for the first 9 months of LP. 
Non exclusive All VOD during LP </t>
        </is>
      </c>
      <c r="Q204" s="413" t="inlineStr">
        <is>
          <t>No</t>
        </is>
      </c>
      <c r="R204" s="592" t="inlineStr">
        <is>
          <t>Yes</t>
        </is>
      </c>
      <c r="S204" s="592" t="inlineStr">
        <is>
          <t>Yes</t>
        </is>
      </c>
      <c r="T204" s="592" t="inlineStr">
        <is>
          <t>Yes</t>
        </is>
      </c>
      <c r="U204" s="592" t="inlineStr">
        <is>
          <t>Yes</t>
        </is>
      </c>
      <c r="V204" s="592" t="inlineStr">
        <is>
          <t>Yes</t>
        </is>
      </c>
      <c r="W204" s="592" t="inlineStr">
        <is>
          <t>Yes</t>
        </is>
      </c>
      <c r="X204" s="592" t="inlineStr">
        <is>
          <t>Yes</t>
        </is>
      </c>
      <c r="Y204" s="592" t="inlineStr">
        <is>
          <t>Yes</t>
        </is>
      </c>
      <c r="Z204" s="98" t="n">
        <v>44559</v>
      </c>
      <c r="AA204" s="602" t="n">
        <v>46201</v>
      </c>
      <c r="AB204" s="96" t="inlineStr">
        <is>
          <t>unlimited</t>
        </is>
      </c>
      <c r="AC204" s="202" t="n">
        <v>53</v>
      </c>
      <c r="AD204" s="592" t="inlineStr">
        <is>
          <t>Yes</t>
        </is>
      </c>
      <c r="AE204" s="592" t="inlineStr">
        <is>
          <t>Yes</t>
        </is>
      </c>
      <c r="AF204" s="600" t="n"/>
      <c r="AG204" s="593" t="inlineStr">
        <is>
          <t>Phim còn hạn từ 2026</t>
        </is>
      </c>
      <c r="AH204" s="594" t="n"/>
      <c r="AI204" s="595" t="inlineStr">
        <is>
          <t>TAICHI HERRO</t>
        </is>
      </c>
      <c r="AJ204" s="128">
        <f>SUMIF('TK 15661.Bản quyền phim '!F:F,'KK1. Movies'!D204,'TK 15661.Bản quyền phim '!X:X)</f>
        <v/>
      </c>
      <c r="AK204" s="128">
        <f>SUMIF('TK 15661.Bản quyền phim '!F:F,'KK1. Movies'!AI204,'TK 15661.Bản quyền phim '!X:X)</f>
        <v/>
      </c>
      <c r="AL204" s="203">
        <f>COUNTIF('242.BQ Phim hợp tác'!$C:$C,'KK1. Movies'!AI204)</f>
        <v/>
      </c>
      <c r="AM204" s="203">
        <f>COUNTIF('TK 15661.Bản quyền phim '!F:F,'KK1. Movies'!AI204)</f>
        <v/>
      </c>
      <c r="AN204" s="546">
        <f>AL204+AM204</f>
        <v/>
      </c>
      <c r="AO204" s="203" t="n"/>
      <c r="AP204" s="203" t="n"/>
      <c r="AQ204" s="203" t="n"/>
      <c r="AR204" s="203" t="n"/>
      <c r="AS204" s="203" t="n"/>
      <c r="AT204" s="546">
        <f>IFERROR(VLOOKUP(C204, CodeRanMovies!$A:$K, 11, 0), "Not found")</f>
        <v/>
      </c>
    </row>
    <row r="205" ht="39.6" customHeight="1" s="578">
      <c r="A205" s="201">
        <f>_xlfn.AGGREGATE(3,3,$D$7:D205)</f>
        <v/>
      </c>
      <c r="B205" s="589" t="inlineStr">
        <is>
          <t>13+</t>
        </is>
      </c>
      <c r="C205" s="590" t="inlineStr">
        <is>
          <t>MOV_DRA735</t>
        </is>
      </c>
      <c r="D205" s="105" t="inlineStr">
        <is>
          <t>Johnny Keep Walking!</t>
        </is>
      </c>
      <c r="E205" s="590" t="inlineStr">
        <is>
          <t>Bữa tiệc thường niên không thể dừng</t>
        </is>
      </c>
      <c r="F205" s="103" t="inlineStr">
        <is>
          <t xml:space="preserve">Comedy/Drama </t>
        </is>
      </c>
      <c r="G205" s="103" t="inlineStr">
        <is>
          <t>STK</t>
        </is>
      </c>
      <c r="H205" s="590" t="inlineStr">
        <is>
          <t>134/2024/HDBQ/VSTV-STK</t>
        </is>
      </c>
      <c r="I205" s="104" t="n">
        <v>2023</v>
      </c>
      <c r="J205" s="104" t="inlineStr">
        <is>
          <t>China</t>
        </is>
      </c>
      <c r="K205" s="104" t="n">
        <v>117</v>
      </c>
      <c r="L205" s="591" t="n">
        <v>45665</v>
      </c>
      <c r="M205" s="98" t="n">
        <v>46759</v>
      </c>
      <c r="N205" s="591" t="n">
        <v>45665</v>
      </c>
      <c r="O205" s="592" t="n"/>
      <c r="P205" s="104" t="n">
        <v>12</v>
      </c>
      <c r="Q205" s="104" t="inlineStr">
        <is>
          <t>No</t>
        </is>
      </c>
      <c r="R205" s="592" t="inlineStr">
        <is>
          <t>Yes</t>
        </is>
      </c>
      <c r="S205" s="107" t="inlineStr">
        <is>
          <t>Yes</t>
        </is>
      </c>
      <c r="T205" s="592" t="inlineStr">
        <is>
          <t>Yes</t>
        </is>
      </c>
      <c r="U205" s="107" t="inlineStr">
        <is>
          <t>Yes</t>
        </is>
      </c>
      <c r="V205" s="107" t="inlineStr">
        <is>
          <t>Yes</t>
        </is>
      </c>
      <c r="W205" s="107" t="inlineStr">
        <is>
          <t>Yes</t>
        </is>
      </c>
      <c r="X205" s="107" t="inlineStr">
        <is>
          <t>Yes</t>
        </is>
      </c>
      <c r="Y205" s="104" t="inlineStr">
        <is>
          <t>Yes</t>
        </is>
      </c>
      <c r="Z205" s="106" t="n">
        <v>45778</v>
      </c>
      <c r="AA205" s="124" t="n">
        <v>46873</v>
      </c>
      <c r="AB205" s="104" t="n">
        <v>24</v>
      </c>
      <c r="AC205" s="202" t="n">
        <v>5</v>
      </c>
      <c r="AD205" s="592" t="inlineStr">
        <is>
          <t>Yes</t>
        </is>
      </c>
      <c r="AE205" s="592" t="inlineStr">
        <is>
          <t>Yes</t>
        </is>
      </c>
      <c r="AF205" s="600" t="n"/>
      <c r="AG205" s="593" t="inlineStr">
        <is>
          <t>Phim còn hạn từ 2026</t>
        </is>
      </c>
      <c r="AH205" s="594" t="n"/>
      <c r="AI205" s="206" t="inlineStr">
        <is>
          <t>Johnny Keep Walking!</t>
        </is>
      </c>
      <c r="AJ205" s="128">
        <f>SUMIF('TK 15661.Bản quyền phim '!F:F,'KK1. Movies'!D205,'TK 15661.Bản quyền phim '!X:X)</f>
        <v/>
      </c>
      <c r="AK205" s="128">
        <f>SUMIF('TK 15661.Bản quyền phim '!F:F,'KK1. Movies'!AI205,'TK 15661.Bản quyền phim '!X:X)</f>
        <v/>
      </c>
      <c r="AL205" s="203">
        <f>COUNTIF('242.BQ Phim hợp tác'!$C:$C,'KK1. Movies'!AI205)</f>
        <v/>
      </c>
      <c r="AM205" s="203">
        <f>COUNTIF('TK 15661.Bản quyền phim '!F:F,'KK1. Movies'!AI205)</f>
        <v/>
      </c>
      <c r="AN205" s="546">
        <f>AL205+AM205</f>
        <v/>
      </c>
      <c r="AO205" s="203" t="n"/>
      <c r="AP205" s="203" t="n"/>
      <c r="AQ205" s="203" t="n"/>
      <c r="AR205" s="203" t="n"/>
      <c r="AS205" s="203" t="n"/>
      <c r="AT205" s="546">
        <f>IFERROR(VLOOKUP(C205, CodeRanMovies!$A:$K, 11, 0), "Not found")</f>
        <v/>
      </c>
    </row>
    <row r="206" ht="39.6" customHeight="1" s="578">
      <c r="A206" s="201">
        <f>_xlfn.AGGREGATE(3,3,$D$7:D206)</f>
        <v/>
      </c>
      <c r="B206" s="589" t="inlineStr">
        <is>
          <t>P</t>
        </is>
      </c>
      <c r="C206" s="234" t="inlineStr">
        <is>
          <t>MOV_ANI79</t>
        </is>
      </c>
      <c r="D206" s="105" t="inlineStr">
        <is>
          <t>OOOPS: THE ADVENTURE CONTINUES</t>
        </is>
      </c>
      <c r="E206" s="105" t="inlineStr">
        <is>
          <t>TWO BY TWO: OVERBOARD!</t>
        </is>
      </c>
      <c r="F206" s="108" t="inlineStr">
        <is>
          <t>Animation, Adventure, Comedy, Family</t>
        </is>
      </c>
      <c r="G206" s="108" t="inlineStr">
        <is>
          <t>Skyline Media</t>
        </is>
      </c>
      <c r="H206" s="590" t="inlineStr">
        <is>
          <t>36/2025/HDBQ/VSTV-SM</t>
        </is>
      </c>
      <c r="I206" s="107" t="n">
        <v>2020</v>
      </c>
      <c r="J206" s="107" t="inlineStr">
        <is>
          <t>Ireland, Luxembourg</t>
        </is>
      </c>
      <c r="K206" s="107" t="n">
        <v>85</v>
      </c>
      <c r="L206" s="591" t="n">
        <v>45696</v>
      </c>
      <c r="M206" s="98" t="n">
        <v>46790</v>
      </c>
      <c r="N206" s="591" t="n">
        <v>45696</v>
      </c>
      <c r="O206" s="592" t="n"/>
      <c r="P206" s="104" t="n">
        <v>12</v>
      </c>
      <c r="Q206" s="107" t="inlineStr">
        <is>
          <t>No</t>
        </is>
      </c>
      <c r="R206" s="592" t="inlineStr">
        <is>
          <t>Yes</t>
        </is>
      </c>
      <c r="S206" s="104" t="inlineStr">
        <is>
          <t>Yes</t>
        </is>
      </c>
      <c r="T206" s="104" t="inlineStr">
        <is>
          <t>Yes</t>
        </is>
      </c>
      <c r="U206" s="104" t="inlineStr">
        <is>
          <t>Yes</t>
        </is>
      </c>
      <c r="V206" s="104" t="inlineStr">
        <is>
          <t>Yes</t>
        </is>
      </c>
      <c r="W206" s="104" t="inlineStr">
        <is>
          <t>Yes</t>
        </is>
      </c>
      <c r="X206" s="104" t="inlineStr">
        <is>
          <t>Yes</t>
        </is>
      </c>
      <c r="Y206" s="104" t="inlineStr">
        <is>
          <t>No</t>
        </is>
      </c>
      <c r="Z206" s="109" t="n">
        <v>45696</v>
      </c>
      <c r="AA206" s="125" t="n">
        <v>46790</v>
      </c>
      <c r="AB206" s="107" t="n">
        <v>24</v>
      </c>
      <c r="AC206" s="202" t="n">
        <v>10</v>
      </c>
      <c r="AD206" s="592" t="inlineStr">
        <is>
          <t>Yes</t>
        </is>
      </c>
      <c r="AE206" s="592" t="inlineStr">
        <is>
          <t>Yes</t>
        </is>
      </c>
      <c r="AF206" s="600" t="n"/>
      <c r="AG206" s="593" t="inlineStr">
        <is>
          <t>Phim còn hạn từ 2026</t>
        </is>
      </c>
      <c r="AH206" s="594" t="n"/>
      <c r="AI206" s="206" t="inlineStr">
        <is>
          <t>OOOPS: THE ADVENTURE CONTINUES (TWO BY TWO: OVERBOARD!)</t>
        </is>
      </c>
      <c r="AJ206" s="128">
        <f>SUMIF('TK 15661.Bản quyền phim '!F:F,'KK1. Movies'!D206,'TK 15661.Bản quyền phim '!X:X)</f>
        <v/>
      </c>
      <c r="AK206" s="128">
        <f>SUMIF('TK 15661.Bản quyền phim '!F:F,'KK1. Movies'!AI206,'TK 15661.Bản quyền phim '!X:X)</f>
        <v/>
      </c>
      <c r="AL206" s="203">
        <f>COUNTIF('242.BQ Phim hợp tác'!$C:$C,'KK1. Movies'!AI206)</f>
        <v/>
      </c>
      <c r="AM206" s="203">
        <f>COUNTIF('TK 15661.Bản quyền phim '!F:F,'KK1. Movies'!AI206)</f>
        <v/>
      </c>
      <c r="AN206" s="546">
        <f>AL206+AM206</f>
        <v/>
      </c>
      <c r="AO206" s="203" t="n"/>
      <c r="AP206" s="203" t="n"/>
      <c r="AQ206" s="203" t="n"/>
      <c r="AR206" s="203" t="n"/>
      <c r="AS206" s="203" t="n"/>
      <c r="AT206" s="546">
        <f>IFERROR(VLOOKUP(C206, CodeRanMovies!$A:$K, 11, 0), "Not found")</f>
        <v/>
      </c>
    </row>
    <row r="207" ht="26.4" customHeight="1" s="578">
      <c r="A207" s="201">
        <f>_xlfn.AGGREGATE(3,3,$D$7:D207)</f>
        <v/>
      </c>
      <c r="B207" s="589" t="inlineStr">
        <is>
          <t>13+</t>
        </is>
      </c>
      <c r="C207" s="590" t="inlineStr">
        <is>
          <t>MOV_ROM_23__2710031</t>
        </is>
      </c>
      <c r="D207" s="105" t="inlineStr">
        <is>
          <t>LOVE RESET</t>
        </is>
      </c>
      <c r="E207" s="110" t="inlineStr">
        <is>
          <t>YÊU LẠI VỢ NGẦU</t>
        </is>
      </c>
      <c r="F207" s="590" t="inlineStr">
        <is>
          <t>Comedy</t>
        </is>
      </c>
      <c r="G207" s="103" t="inlineStr">
        <is>
          <t>CJ HK</t>
        </is>
      </c>
      <c r="H207" s="590" t="inlineStr">
        <is>
          <t>180/2024/HDBQ/VSTV-CJHK</t>
        </is>
      </c>
      <c r="I207" s="104" t="n">
        <v>2023</v>
      </c>
      <c r="J207" s="600" t="inlineStr">
        <is>
          <t>Korea</t>
        </is>
      </c>
      <c r="K207" s="104" t="n">
        <v>119</v>
      </c>
      <c r="L207" s="98" t="n">
        <v>45332</v>
      </c>
      <c r="M207" s="106" t="n">
        <v>46427</v>
      </c>
      <c r="N207" s="601" t="n">
        <v>45332</v>
      </c>
      <c r="O207" s="592" t="inlineStr">
        <is>
          <t>K+CINE</t>
        </is>
      </c>
      <c r="P207" s="100" t="n">
        <v>12</v>
      </c>
      <c r="Q207" s="104" t="inlineStr">
        <is>
          <t>No</t>
        </is>
      </c>
      <c r="R207" s="592" t="inlineStr">
        <is>
          <t>Yes</t>
        </is>
      </c>
      <c r="S207" s="592" t="inlineStr">
        <is>
          <t>Yes</t>
        </is>
      </c>
      <c r="T207" s="592" t="inlineStr">
        <is>
          <t>Yes</t>
        </is>
      </c>
      <c r="U207" s="592" t="inlineStr">
        <is>
          <t>Yes</t>
        </is>
      </c>
      <c r="V207" s="592" t="inlineStr">
        <is>
          <t>Yes</t>
        </is>
      </c>
      <c r="W207" s="592" t="inlineStr">
        <is>
          <t>Yes</t>
        </is>
      </c>
      <c r="X207" s="104" t="inlineStr">
        <is>
          <t>No</t>
        </is>
      </c>
      <c r="Y207" s="592" t="inlineStr">
        <is>
          <t>Yes</t>
        </is>
      </c>
      <c r="Z207" s="106" t="n">
        <v>45413</v>
      </c>
      <c r="AA207" s="124" t="n">
        <v>46507</v>
      </c>
      <c r="AB207" s="592" t="inlineStr">
        <is>
          <t>Unlimited</t>
        </is>
      </c>
      <c r="AC207" s="202" t="n">
        <v>40</v>
      </c>
      <c r="AD207" s="592" t="inlineStr">
        <is>
          <t>Yes</t>
        </is>
      </c>
      <c r="AE207" s="592" t="inlineStr">
        <is>
          <t>Yes</t>
        </is>
      </c>
      <c r="AF207" s="600" t="n"/>
      <c r="AG207" s="593" t="inlineStr">
        <is>
          <t>Phim còn hạn từ 2026</t>
        </is>
      </c>
      <c r="AH207" s="594" t="inlineStr">
        <is>
          <t>MOV_ROM_23__2710031</t>
        </is>
      </c>
      <c r="AI207" s="206" t="inlineStr">
        <is>
          <t>LOVE RESET (YÊU LẠI VỢ NGẦU)</t>
        </is>
      </c>
      <c r="AJ207" s="128">
        <f>SUMIF('TK 15661.Bản quyền phim '!F:F,'KK1. Movies'!D207,'TK 15661.Bản quyền phim '!X:X)</f>
        <v/>
      </c>
      <c r="AK207" s="128">
        <f>SUMIF('TK 15661.Bản quyền phim '!F:F,'KK1. Movies'!AI207,'TK 15661.Bản quyền phim '!X:X)</f>
        <v/>
      </c>
      <c r="AL207" s="203">
        <f>COUNTIF('242.BQ Phim hợp tác'!$C:$C,'KK1. Movies'!AI207)</f>
        <v/>
      </c>
      <c r="AM207" s="203">
        <f>COUNTIF('TK 15661.Bản quyền phim '!F:F,'KK1. Movies'!AI207)</f>
        <v/>
      </c>
      <c r="AN207" s="546">
        <f>AL207+AM207</f>
        <v/>
      </c>
      <c r="AO207" s="203" t="n"/>
      <c r="AP207" s="203" t="n"/>
      <c r="AQ207" s="203" t="n"/>
      <c r="AR207" s="203" t="n"/>
      <c r="AS207" s="203" t="n"/>
      <c r="AT207" s="546">
        <f>IFERROR(VLOOKUP(C207, CodeRanMovies!$A:$K, 11, 0), "Not found")</f>
        <v/>
      </c>
    </row>
    <row r="208" ht="26.4" customHeight="1" s="578">
      <c r="A208" s="201">
        <f>_xlfn.AGGREGATE(3,3,$D$7:D208)</f>
        <v/>
      </c>
      <c r="B208" s="589" t="inlineStr">
        <is>
          <t>13+</t>
        </is>
      </c>
      <c r="C208" s="234" t="inlineStr">
        <is>
          <t>MOV_DRA_19__2608886</t>
        </is>
      </c>
      <c r="D208" s="105" t="inlineStr">
        <is>
          <t>YOLO - YOU ONLY LIVE ONCE</t>
        </is>
      </c>
      <c r="E208" s="110" t="inlineStr">
        <is>
          <t>YOLO - YOU ONLY LIVE ONCE</t>
        </is>
      </c>
      <c r="F208" s="103" t="inlineStr">
        <is>
          <t>Musical, Rom Com</t>
        </is>
      </c>
      <c r="G208" s="103" t="inlineStr">
        <is>
          <t>TFILM</t>
        </is>
      </c>
      <c r="H208" s="590" t="inlineStr">
        <is>
          <t>139/2024/HDBQ/VSTV-TFlim</t>
        </is>
      </c>
      <c r="I208" s="104" t="n">
        <v>2019</v>
      </c>
      <c r="J208" s="592" t="inlineStr">
        <is>
          <t>Việt Nam</t>
        </is>
      </c>
      <c r="K208" s="104" t="n">
        <v>100</v>
      </c>
      <c r="L208" s="591" t="n">
        <v>45633</v>
      </c>
      <c r="M208" s="98" t="n">
        <v>46363</v>
      </c>
      <c r="N208" s="591" t="n">
        <v>44699</v>
      </c>
      <c r="O208" s="592" t="n"/>
      <c r="P208" s="104" t="n">
        <v>0</v>
      </c>
      <c r="Q208" s="107" t="inlineStr">
        <is>
          <t>No</t>
        </is>
      </c>
      <c r="R208" s="592" t="inlineStr">
        <is>
          <t>Yes</t>
        </is>
      </c>
      <c r="S208" s="107" t="inlineStr">
        <is>
          <t>Yes</t>
        </is>
      </c>
      <c r="T208" s="592" t="inlineStr">
        <is>
          <t>Yes</t>
        </is>
      </c>
      <c r="U208" s="107" t="inlineStr">
        <is>
          <t>Yes</t>
        </is>
      </c>
      <c r="V208" s="107" t="inlineStr">
        <is>
          <t>Yes</t>
        </is>
      </c>
      <c r="W208" s="107" t="inlineStr">
        <is>
          <t>Yes</t>
        </is>
      </c>
      <c r="X208" s="107" t="inlineStr">
        <is>
          <t>Yes</t>
        </is>
      </c>
      <c r="Y208" s="107" t="inlineStr">
        <is>
          <t>Yes</t>
        </is>
      </c>
      <c r="Z208" s="106" t="n">
        <v>45633</v>
      </c>
      <c r="AA208" s="124" t="n">
        <v>46363</v>
      </c>
      <c r="AB208" s="104" t="inlineStr">
        <is>
          <t>Unlimited</t>
        </is>
      </c>
      <c r="AC208" s="202" t="n">
        <v>11</v>
      </c>
      <c r="AD208" s="592" t="inlineStr">
        <is>
          <t>Yes</t>
        </is>
      </c>
      <c r="AE208" s="592" t="inlineStr">
        <is>
          <t>Yes</t>
        </is>
      </c>
      <c r="AF208" s="600" t="n"/>
      <c r="AG208" s="593" t="inlineStr">
        <is>
          <t>Phim còn hạn từ 2026</t>
        </is>
      </c>
      <c r="AH208" s="594" t="n"/>
      <c r="AI208" s="206" t="inlineStr">
        <is>
          <t>Yolo - Bạn chỉ sống một lần (Renew)</t>
        </is>
      </c>
      <c r="AJ208" s="128">
        <f>SUMIF('TK 15661.Bản quyền phim '!F:F,'KK1. Movies'!D208,'TK 15661.Bản quyền phim '!X:X)</f>
        <v/>
      </c>
      <c r="AK208" s="128">
        <f>SUMIF('TK 15661.Bản quyền phim '!F:F,'KK1. Movies'!AI208,'TK 15661.Bản quyền phim '!X:X)</f>
        <v/>
      </c>
      <c r="AL208" s="203">
        <f>COUNTIF('242.BQ Phim hợp tác'!$C:$C,'KK1. Movies'!AI208)</f>
        <v/>
      </c>
      <c r="AM208" s="203">
        <f>COUNTIF('TK 15661.Bản quyền phim '!F:F,'KK1. Movies'!AI208)</f>
        <v/>
      </c>
      <c r="AN208" s="546">
        <f>AL208+AM208</f>
        <v/>
      </c>
      <c r="AO208" s="203" t="n"/>
      <c r="AP208" s="203" t="n"/>
      <c r="AQ208" s="203" t="n"/>
      <c r="AR208" s="203" t="n"/>
      <c r="AS208" s="203" t="n"/>
      <c r="AT208" s="546">
        <f>IFERROR(VLOOKUP(C208, CodeRanMovies!$A:$K, 11, 0), "Not found")</f>
        <v/>
      </c>
    </row>
    <row r="209" ht="26.4" customHeight="1" s="578">
      <c r="A209" s="201">
        <f>_xlfn.AGGREGATE(3,3,$D$7:D209)</f>
        <v/>
      </c>
      <c r="B209" s="589" t="inlineStr">
        <is>
          <t>P</t>
        </is>
      </c>
      <c r="C209" s="590" t="inlineStr">
        <is>
          <t>MOV_DRA_24__2710434</t>
        </is>
      </c>
      <c r="D209" s="105" t="inlineStr">
        <is>
          <t>THE HUMMINGBIRD PROJECT</t>
        </is>
      </c>
      <c r="E209" s="590" t="inlineStr">
        <is>
          <t>Dự án chim ruồi</t>
        </is>
      </c>
      <c r="F209" s="590" t="inlineStr">
        <is>
          <t>Crime, Thriller</t>
        </is>
      </c>
      <c r="G209" s="108" t="inlineStr">
        <is>
          <t>Skyline Media</t>
        </is>
      </c>
      <c r="H209" s="590" t="inlineStr">
        <is>
          <t>28/2024/HDBQ/VSTV-SM</t>
        </is>
      </c>
      <c r="I209" s="107" t="n">
        <v>2018</v>
      </c>
      <c r="J209" s="107" t="inlineStr">
        <is>
          <t>Canada</t>
        </is>
      </c>
      <c r="K209" s="107" t="n">
        <v>111</v>
      </c>
      <c r="L209" s="98" t="n">
        <v>45345</v>
      </c>
      <c r="M209" s="109" t="n">
        <v>46440</v>
      </c>
      <c r="N209" s="601" t="n">
        <v>45562</v>
      </c>
      <c r="O209" s="592" t="inlineStr">
        <is>
          <t>K+CINE</t>
        </is>
      </c>
      <c r="P209" s="104" t="n">
        <v>12</v>
      </c>
      <c r="Q209" s="107" t="inlineStr">
        <is>
          <t>No</t>
        </is>
      </c>
      <c r="R209" s="592" t="inlineStr">
        <is>
          <t>Yes</t>
        </is>
      </c>
      <c r="S209" s="592" t="inlineStr">
        <is>
          <t>Yes</t>
        </is>
      </c>
      <c r="T209" s="592" t="inlineStr">
        <is>
          <t>Yes</t>
        </is>
      </c>
      <c r="U209" s="592" t="inlineStr">
        <is>
          <t>Yes</t>
        </is>
      </c>
      <c r="V209" s="592" t="inlineStr">
        <is>
          <t>Yes</t>
        </is>
      </c>
      <c r="W209" s="592" t="inlineStr">
        <is>
          <t>Yes</t>
        </is>
      </c>
      <c r="X209" s="592" t="inlineStr">
        <is>
          <t>Yes</t>
        </is>
      </c>
      <c r="Y209" s="104" t="inlineStr">
        <is>
          <t>No</t>
        </is>
      </c>
      <c r="Z209" s="98" t="n">
        <v>45345</v>
      </c>
      <c r="AA209" s="109" t="n">
        <v>46440</v>
      </c>
      <c r="AB209" s="107" t="n">
        <v>24</v>
      </c>
      <c r="AC209" s="202" t="n">
        <v>14</v>
      </c>
      <c r="AD209" s="592" t="inlineStr">
        <is>
          <t>Yes</t>
        </is>
      </c>
      <c r="AE209" s="592" t="inlineStr">
        <is>
          <t>Yes</t>
        </is>
      </c>
      <c r="AF209" s="600" t="n"/>
      <c r="AG209" s="593" t="inlineStr">
        <is>
          <t>Phim còn hạn từ 2026</t>
        </is>
      </c>
      <c r="AH209" s="594" t="n"/>
      <c r="AI209" s="206" t="inlineStr">
        <is>
          <t>THE HUMMINGBIRD PROJECT</t>
        </is>
      </c>
      <c r="AJ209" s="128">
        <f>SUMIF('TK 15661.Bản quyền phim '!F:F,'KK1. Movies'!D209,'TK 15661.Bản quyền phim '!X:X)</f>
        <v/>
      </c>
      <c r="AK209" s="128">
        <f>SUMIF('TK 15661.Bản quyền phim '!F:F,'KK1. Movies'!AI209,'TK 15661.Bản quyền phim '!X:X)</f>
        <v/>
      </c>
      <c r="AL209" s="203">
        <f>COUNTIF('242.BQ Phim hợp tác'!$C:$C,'KK1. Movies'!AI209)</f>
        <v/>
      </c>
      <c r="AM209" s="203">
        <f>COUNTIF('TK 15661.Bản quyền phim '!F:F,'KK1. Movies'!AI209)</f>
        <v/>
      </c>
      <c r="AN209" s="546">
        <f>AL209+AM209</f>
        <v/>
      </c>
      <c r="AO209" s="203" t="n"/>
      <c r="AP209" s="203" t="n"/>
      <c r="AQ209" s="203" t="n"/>
      <c r="AR209" s="203" t="n"/>
      <c r="AS209" s="203" t="n"/>
      <c r="AT209" s="546">
        <f>IFERROR(VLOOKUP(C209, CodeRanMovies!$A:$K, 11, 0), "Not found")</f>
        <v/>
      </c>
    </row>
    <row r="210">
      <c r="A210" s="201">
        <f>_xlfn.AGGREGATE(3,3,$D$7:D210)</f>
        <v/>
      </c>
      <c r="B210" s="589" t="inlineStr">
        <is>
          <t>16+</t>
        </is>
      </c>
      <c r="C210" s="590" t="inlineStr">
        <is>
          <t>MOV_ACT_23__2709732</t>
        </is>
      </c>
      <c r="D210" s="105" t="inlineStr">
        <is>
          <t>Blacklight</t>
        </is>
      </c>
      <c r="E210" s="97" t="inlineStr">
        <is>
          <t>Phi vụ đen</t>
        </is>
      </c>
      <c r="F210" s="590" t="inlineStr">
        <is>
          <t>Action, Adventure</t>
        </is>
      </c>
      <c r="G210" s="108" t="inlineStr">
        <is>
          <t>Rose media</t>
        </is>
      </c>
      <c r="H210" s="590" t="inlineStr">
        <is>
          <t>5/2022/HDBQ/VSTV-RM</t>
        </is>
      </c>
      <c r="I210" s="104" t="n">
        <v>2022</v>
      </c>
      <c r="J210" s="104" t="inlineStr">
        <is>
          <t>US</t>
        </is>
      </c>
      <c r="K210" s="104" t="n">
        <v>105</v>
      </c>
      <c r="L210" s="98" t="n">
        <v>45316</v>
      </c>
      <c r="M210" s="106" t="n">
        <v>46411</v>
      </c>
      <c r="N210" s="601" t="n">
        <v>45316</v>
      </c>
      <c r="O210" s="592" t="inlineStr">
        <is>
          <t>K+ACTION</t>
        </is>
      </c>
      <c r="P210" s="592" t="n"/>
      <c r="Q210" s="104" t="inlineStr">
        <is>
          <t>No</t>
        </is>
      </c>
      <c r="R210" s="592" t="inlineStr">
        <is>
          <t>Yes</t>
        </is>
      </c>
      <c r="S210" s="592" t="inlineStr">
        <is>
          <t>Yes</t>
        </is>
      </c>
      <c r="T210" s="592" t="inlineStr">
        <is>
          <t>Yes</t>
        </is>
      </c>
      <c r="U210" s="592" t="inlineStr">
        <is>
          <t>Yes</t>
        </is>
      </c>
      <c r="V210" s="592" t="inlineStr">
        <is>
          <t>Yes</t>
        </is>
      </c>
      <c r="W210" s="592" t="inlineStr">
        <is>
          <t>Yes</t>
        </is>
      </c>
      <c r="X210" s="592" t="inlineStr">
        <is>
          <t>Yes</t>
        </is>
      </c>
      <c r="Y210" s="107" t="inlineStr">
        <is>
          <t>No</t>
        </is>
      </c>
      <c r="Z210" s="98" t="n">
        <v>45316</v>
      </c>
      <c r="AA210" s="106" t="n">
        <v>46411</v>
      </c>
      <c r="AB210" s="104" t="n">
        <v>24</v>
      </c>
      <c r="AC210" s="202" t="n">
        <v>15</v>
      </c>
      <c r="AD210" s="592" t="inlineStr">
        <is>
          <t>Yes</t>
        </is>
      </c>
      <c r="AE210" s="592" t="inlineStr">
        <is>
          <t>Yes</t>
        </is>
      </c>
      <c r="AF210" s="600" t="n"/>
      <c r="AG210" s="593" t="inlineStr">
        <is>
          <t>Phim còn hạn từ 2026</t>
        </is>
      </c>
      <c r="AH210" s="594" t="n"/>
      <c r="AI210" s="206" t="inlineStr">
        <is>
          <t>Blacklight</t>
        </is>
      </c>
      <c r="AJ210" s="128">
        <f>SUMIF('TK 15661.Bản quyền phim '!F:F,'KK1. Movies'!D210,'TK 15661.Bản quyền phim '!X:X)</f>
        <v/>
      </c>
      <c r="AK210" s="128">
        <f>SUMIF('TK 15661.Bản quyền phim '!F:F,'KK1. Movies'!AI210,'TK 15661.Bản quyền phim '!X:X)</f>
        <v/>
      </c>
      <c r="AL210" s="203">
        <f>COUNTIF('242.BQ Phim hợp tác'!$C:$C,'KK1. Movies'!AI210)</f>
        <v/>
      </c>
      <c r="AM210" s="203">
        <f>COUNTIF('TK 15661.Bản quyền phim '!F:F,'KK1. Movies'!AI210)</f>
        <v/>
      </c>
      <c r="AN210" s="546">
        <f>AL210+AM210</f>
        <v/>
      </c>
      <c r="AO210" s="203" t="n"/>
      <c r="AP210" s="203" t="n"/>
      <c r="AQ210" s="203" t="n"/>
      <c r="AR210" s="203" t="n"/>
      <c r="AS210" s="203" t="n"/>
      <c r="AT210" s="546">
        <f>IFERROR(VLOOKUP(C210, CodeRanMovies!$A:$K, 11, 0), "Not found")</f>
        <v/>
      </c>
    </row>
    <row r="211" ht="26.4" customHeight="1" s="578">
      <c r="A211" s="201">
        <f>_xlfn.AGGREGATE(3,3,$D$7:D211)</f>
        <v/>
      </c>
      <c r="B211" s="589" t="inlineStr">
        <is>
          <t>16+</t>
        </is>
      </c>
      <c r="C211" s="590" t="inlineStr">
        <is>
          <t>MOV_HOR_24__2713786</t>
        </is>
      </c>
      <c r="D211" s="105" t="inlineStr">
        <is>
          <t>THE MEDIUM</t>
        </is>
      </c>
      <c r="E211" s="110" t="inlineStr">
        <is>
          <t>ÂM HỒN NHẬP XÁC</t>
        </is>
      </c>
      <c r="F211" s="590" t="inlineStr">
        <is>
          <t>Horror</t>
        </is>
      </c>
      <c r="G211" s="103" t="inlineStr">
        <is>
          <t>CJ HK</t>
        </is>
      </c>
      <c r="H211" s="590" t="inlineStr">
        <is>
          <t>180/2024/HDBQ/VSTV-CJHK</t>
        </is>
      </c>
      <c r="I211" s="104" t="n">
        <v>2021</v>
      </c>
      <c r="J211" s="600" t="inlineStr">
        <is>
          <t>Thailand</t>
        </is>
      </c>
      <c r="K211" s="104" t="n">
        <v>120</v>
      </c>
      <c r="L211" s="98" t="n">
        <v>45566</v>
      </c>
      <c r="M211" s="106" t="n">
        <v>46660</v>
      </c>
      <c r="N211" s="601" t="n">
        <v>45582</v>
      </c>
      <c r="O211" s="592" t="inlineStr">
        <is>
          <t>K+ACTION</t>
        </is>
      </c>
      <c r="P211" s="100" t="n">
        <v>12</v>
      </c>
      <c r="Q211" s="104" t="inlineStr">
        <is>
          <t>No</t>
        </is>
      </c>
      <c r="R211" s="592" t="inlineStr">
        <is>
          <t>Yes</t>
        </is>
      </c>
      <c r="S211" s="592" t="inlineStr">
        <is>
          <t>Yes</t>
        </is>
      </c>
      <c r="T211" s="592" t="inlineStr">
        <is>
          <t>Yes</t>
        </is>
      </c>
      <c r="U211" s="592" t="inlineStr">
        <is>
          <t>Yes</t>
        </is>
      </c>
      <c r="V211" s="592" t="inlineStr">
        <is>
          <t>Yes</t>
        </is>
      </c>
      <c r="W211" s="592" t="inlineStr">
        <is>
          <t>Yes</t>
        </is>
      </c>
      <c r="X211" s="104" t="inlineStr">
        <is>
          <t>No</t>
        </is>
      </c>
      <c r="Y211" s="592" t="inlineStr">
        <is>
          <t>Yes</t>
        </is>
      </c>
      <c r="Z211" s="98" t="n">
        <v>45566</v>
      </c>
      <c r="AA211" s="106" t="n">
        <v>46660</v>
      </c>
      <c r="AB211" s="592" t="inlineStr">
        <is>
          <t>Unlimited</t>
        </is>
      </c>
      <c r="AC211" s="202" t="n">
        <v>14</v>
      </c>
      <c r="AD211" s="592" t="inlineStr">
        <is>
          <t>Yes</t>
        </is>
      </c>
      <c r="AE211" s="592" t="inlineStr">
        <is>
          <t>Yes</t>
        </is>
      </c>
      <c r="AF211" s="600" t="n"/>
      <c r="AG211" s="593" t="inlineStr">
        <is>
          <t>Phim còn hạn từ 2026</t>
        </is>
      </c>
      <c r="AH211" s="594" t="n"/>
      <c r="AI211" s="206" t="inlineStr">
        <is>
          <t>THE MEDIUM (ÂM HỒN NHẬP XÁC)</t>
        </is>
      </c>
      <c r="AJ211" s="128">
        <f>SUMIF('TK 15661.Bản quyền phim '!F:F,'KK1. Movies'!D211,'TK 15661.Bản quyền phim '!X:X)</f>
        <v/>
      </c>
      <c r="AK211" s="128">
        <f>SUMIF('TK 15661.Bản quyền phim '!F:F,'KK1. Movies'!AI211,'TK 15661.Bản quyền phim '!X:X)</f>
        <v/>
      </c>
      <c r="AL211" s="203">
        <f>COUNTIF('242.BQ Phim hợp tác'!$C:$C,'KK1. Movies'!AI211)</f>
        <v/>
      </c>
      <c r="AM211" s="203">
        <f>COUNTIF('TK 15661.Bản quyền phim '!F:F,'KK1. Movies'!AI211)</f>
        <v/>
      </c>
      <c r="AN211" s="546">
        <f>AL211+AM211</f>
        <v/>
      </c>
      <c r="AO211" s="203" t="n"/>
      <c r="AP211" s="203" t="n"/>
      <c r="AQ211" s="203" t="n"/>
      <c r="AR211" s="203" t="n"/>
      <c r="AS211" s="203" t="n"/>
      <c r="AT211" s="546">
        <f>IFERROR(VLOOKUP(C211, CodeRanMovies!$A:$K, 11, 0), "Not found")</f>
        <v/>
      </c>
    </row>
    <row r="212">
      <c r="A212" s="201">
        <f>_xlfn.AGGREGATE(3,3,$D$7:D212)</f>
        <v/>
      </c>
      <c r="B212" s="590" t="inlineStr">
        <is>
          <t>16+</t>
        </is>
      </c>
      <c r="C212" s="590" t="inlineStr">
        <is>
          <t>MOV_CRI_22__2668487</t>
        </is>
      </c>
      <c r="D212" s="590" t="inlineStr">
        <is>
          <t>Home Sweet Home</t>
        </is>
      </c>
      <c r="E212" s="590" t="inlineStr">
        <is>
          <t xml:space="preserve">	Vị khách bí mật</t>
        </is>
      </c>
      <c r="F212" s="590" t="inlineStr">
        <is>
          <t>Crime, Thriller</t>
        </is>
      </c>
      <c r="G212" s="590" t="inlineStr">
        <is>
          <t>Skyline Media</t>
        </is>
      </c>
      <c r="H212" s="590" t="inlineStr">
        <is>
          <t>1/2022/HDBQ/VSTV-SM</t>
        </is>
      </c>
      <c r="I212" s="204" t="n">
        <v>2021</v>
      </c>
      <c r="J212" s="600" t="inlineStr">
        <is>
          <t>China</t>
        </is>
      </c>
      <c r="K212" s="204" t="n">
        <v>110</v>
      </c>
      <c r="L212" s="98" t="n">
        <v>44792</v>
      </c>
      <c r="M212" s="602" t="n">
        <v>46253</v>
      </c>
      <c r="N212" s="603" t="n">
        <v>44792</v>
      </c>
      <c r="O212" s="592" t="inlineStr">
        <is>
          <t>K+CINE</t>
        </is>
      </c>
      <c r="P212" s="102" t="inlineStr">
        <is>
          <t xml:space="preserve">Exclusive All Pay TV Rights for the first 12 months of LP.
Non exclusive SVOD Right during LP </t>
        </is>
      </c>
      <c r="Q212" s="600" t="inlineStr">
        <is>
          <t>No</t>
        </is>
      </c>
      <c r="R212" s="592" t="inlineStr">
        <is>
          <t>Yes</t>
        </is>
      </c>
      <c r="S212" s="592" t="inlineStr">
        <is>
          <t>Yes</t>
        </is>
      </c>
      <c r="T212" s="592" t="inlineStr">
        <is>
          <t>Yes</t>
        </is>
      </c>
      <c r="U212" s="592" t="inlineStr">
        <is>
          <t>Yes</t>
        </is>
      </c>
      <c r="V212" s="592" t="inlineStr">
        <is>
          <t>Yes</t>
        </is>
      </c>
      <c r="W212" s="592" t="inlineStr">
        <is>
          <t>Yes</t>
        </is>
      </c>
      <c r="X212" s="592" t="inlineStr">
        <is>
          <t>Yes</t>
        </is>
      </c>
      <c r="Y212" s="592" t="inlineStr">
        <is>
          <t>Yes</t>
        </is>
      </c>
      <c r="Z212" s="98" t="n">
        <v>44792</v>
      </c>
      <c r="AA212" s="602" t="n">
        <v>46253</v>
      </c>
      <c r="AB212" s="96" t="inlineStr">
        <is>
          <t>unlimited</t>
        </is>
      </c>
      <c r="AC212" s="202" t="n">
        <v>33</v>
      </c>
      <c r="AD212" s="592" t="inlineStr">
        <is>
          <t>Yes</t>
        </is>
      </c>
      <c r="AE212" s="592" t="inlineStr">
        <is>
          <t>Yes</t>
        </is>
      </c>
      <c r="AF212" s="600" t="n"/>
      <c r="AG212" s="593" t="inlineStr">
        <is>
          <t>Phim còn hạn từ 2026</t>
        </is>
      </c>
      <c r="AH212" s="594" t="n"/>
      <c r="AI212" s="599" t="inlineStr">
        <is>
          <t>Home Sweet Home</t>
        </is>
      </c>
      <c r="AJ212" s="128">
        <f>SUMIF('TK 15661.Bản quyền phim '!F:F,'KK1. Movies'!D212,'TK 15661.Bản quyền phim '!X:X)</f>
        <v/>
      </c>
      <c r="AK212" s="128">
        <f>SUMIF('TK 15661.Bản quyền phim '!F:F,'KK1. Movies'!AI212,'TK 15661.Bản quyền phim '!X:X)</f>
        <v/>
      </c>
      <c r="AL212" s="203">
        <f>COUNTIF('242.BQ Phim hợp tác'!$C:$C,'KK1. Movies'!AI212)</f>
        <v/>
      </c>
      <c r="AM212" s="203">
        <f>COUNTIF('TK 15661.Bản quyền phim '!F:F,'KK1. Movies'!AI212)</f>
        <v/>
      </c>
      <c r="AN212" s="546">
        <f>AL212+AM212</f>
        <v/>
      </c>
      <c r="AO212" s="203" t="n"/>
      <c r="AP212" s="203" t="n"/>
      <c r="AQ212" s="203" t="n"/>
      <c r="AR212" s="203" t="n"/>
      <c r="AS212" s="203" t="n"/>
      <c r="AT212" s="546">
        <f>IFERROR(VLOOKUP(C212, CodeRanMovies!$A:$K, 11, 0), "Not found")</f>
        <v/>
      </c>
    </row>
    <row r="213" ht="39.6" customHeight="1" s="578">
      <c r="A213" s="201">
        <f>_xlfn.AGGREGATE(3,3,$D$7:D213)</f>
        <v/>
      </c>
      <c r="B213" s="589" t="inlineStr">
        <is>
          <t>P</t>
        </is>
      </c>
      <c r="C213" s="234" t="inlineStr">
        <is>
          <t>MOV_ANI_23__2695914</t>
        </is>
      </c>
      <c r="D213" s="596" t="inlineStr">
        <is>
          <t>The Amazing Maurice</t>
        </is>
      </c>
      <c r="E213" s="593" t="inlineStr">
        <is>
          <t>Mèo Béo Siêu Đẳng (dubbing sẵn)</t>
        </is>
      </c>
      <c r="F213" s="590" t="inlineStr">
        <is>
          <t>Comedy</t>
        </is>
      </c>
      <c r="G213" s="589" t="inlineStr">
        <is>
          <t>Roses Media</t>
        </is>
      </c>
      <c r="H213" s="590" t="inlineStr">
        <is>
          <t xml:space="preserve">82/2023/HDBQ/VSTV-Roses Media 
</t>
        </is>
      </c>
      <c r="I213" s="204" t="n">
        <v>2022</v>
      </c>
      <c r="J213" s="592" t="inlineStr">
        <is>
          <t>UK</t>
        </is>
      </c>
      <c r="K213" s="204" t="n">
        <v>93</v>
      </c>
      <c r="L213" s="98" t="n">
        <v>45052</v>
      </c>
      <c r="M213" s="98" t="n">
        <v>46147</v>
      </c>
      <c r="N213" s="601" t="n">
        <v>45052</v>
      </c>
      <c r="O213" s="592" t="inlineStr">
        <is>
          <t>K+KIDS</t>
        </is>
      </c>
      <c r="P213" s="592" t="inlineStr">
        <is>
          <t xml:space="preserve">Exclusive All Pay TV Rights for first 12 months.
Non exclusive All VOD during LP 
</t>
        </is>
      </c>
      <c r="Q213" s="600" t="inlineStr">
        <is>
          <t>No</t>
        </is>
      </c>
      <c r="R213" s="592" t="inlineStr">
        <is>
          <t>Yes</t>
        </is>
      </c>
      <c r="S213" s="592" t="inlineStr">
        <is>
          <t>Yes</t>
        </is>
      </c>
      <c r="T213" s="592" t="inlineStr">
        <is>
          <t>Yes</t>
        </is>
      </c>
      <c r="U213" s="592" t="inlineStr">
        <is>
          <t>Yes</t>
        </is>
      </c>
      <c r="V213" s="592" t="inlineStr">
        <is>
          <t>Yes</t>
        </is>
      </c>
      <c r="W213" s="592" t="inlineStr">
        <is>
          <t>Yes</t>
        </is>
      </c>
      <c r="X213" s="592" t="inlineStr">
        <is>
          <t>Yes</t>
        </is>
      </c>
      <c r="Y213" s="592" t="inlineStr">
        <is>
          <t>No</t>
        </is>
      </c>
      <c r="Z213" s="98" t="n">
        <v>45052</v>
      </c>
      <c r="AA213" s="98" t="n">
        <v>46147</v>
      </c>
      <c r="AB213" s="96" t="n">
        <v>24</v>
      </c>
      <c r="AC213" s="202" t="n">
        <v>21</v>
      </c>
      <c r="AD213" s="592" t="inlineStr">
        <is>
          <t>Yes</t>
        </is>
      </c>
      <c r="AE213" s="592" t="inlineStr">
        <is>
          <t>Yes</t>
        </is>
      </c>
      <c r="AF213" s="600" t="n"/>
      <c r="AG213" s="593" t="inlineStr">
        <is>
          <t>Phim còn hạn từ 2026</t>
        </is>
      </c>
      <c r="AH213" s="594" t="n"/>
      <c r="AI213" s="599" t="inlineStr">
        <is>
          <t>The Amazing Maurice</t>
        </is>
      </c>
      <c r="AJ213" s="128">
        <f>SUMIF('TK 15661.Bản quyền phim '!F:F,'KK1. Movies'!D213,'TK 15661.Bản quyền phim '!X:X)</f>
        <v/>
      </c>
      <c r="AK213" s="128">
        <f>SUMIF('TK 15661.Bản quyền phim '!F:F,'KK1. Movies'!AI213,'TK 15661.Bản quyền phim '!X:X)</f>
        <v/>
      </c>
      <c r="AL213" s="203">
        <f>COUNTIF('242.BQ Phim hợp tác'!$C:$C,'KK1. Movies'!AI213)</f>
        <v/>
      </c>
      <c r="AM213" s="203">
        <f>COUNTIF('TK 15661.Bản quyền phim '!F:F,'KK1. Movies'!AI213)</f>
        <v/>
      </c>
      <c r="AN213" s="546">
        <f>AL213+AM213</f>
        <v/>
      </c>
      <c r="AO213" s="203" t="n"/>
      <c r="AP213" s="203" t="n"/>
      <c r="AQ213" s="203" t="n"/>
      <c r="AR213" s="203" t="n"/>
      <c r="AS213" s="203" t="n"/>
      <c r="AT213" s="546">
        <f>IFERROR(VLOOKUP(C213, CodeRanMovies!$A:$K, 11, 0), "Not found")</f>
        <v/>
      </c>
    </row>
    <row r="214" ht="26.4" customHeight="1" s="578">
      <c r="A214" s="201">
        <f>_xlfn.AGGREGATE(3,3,$D$7:D214)</f>
        <v/>
      </c>
      <c r="B214" s="589" t="inlineStr">
        <is>
          <t>P</t>
        </is>
      </c>
      <c r="C214" s="234" t="inlineStr">
        <is>
          <t>MOV_ANI_24__2711444</t>
        </is>
      </c>
      <c r="D214" s="119" t="inlineStr">
        <is>
          <t>MOONBOUND</t>
        </is>
      </c>
      <c r="E214" s="110" t="inlineStr">
        <is>
          <t>ĐẠI NÁO CUNG TRĂNG</t>
        </is>
      </c>
      <c r="F214" s="590" t="inlineStr">
        <is>
          <t>Comedy</t>
        </is>
      </c>
      <c r="G214" s="103" t="inlineStr">
        <is>
          <t>CJ HK</t>
        </is>
      </c>
      <c r="H214" s="590" t="inlineStr">
        <is>
          <t>180/2024/HDBQ/VSTV-CJHK</t>
        </is>
      </c>
      <c r="I214" s="104" t="n">
        <v>2021</v>
      </c>
      <c r="J214" s="600" t="inlineStr">
        <is>
          <t>AUS-GER</t>
        </is>
      </c>
      <c r="K214" s="104" t="n">
        <v>84</v>
      </c>
      <c r="L214" s="98" t="n">
        <v>45374</v>
      </c>
      <c r="M214" s="106" t="n">
        <v>46468</v>
      </c>
      <c r="N214" s="601" t="n">
        <v>45374</v>
      </c>
      <c r="O214" s="592" t="inlineStr">
        <is>
          <t>K+KIDS</t>
        </is>
      </c>
      <c r="P214" s="100" t="n">
        <v>12</v>
      </c>
      <c r="Q214" s="104" t="inlineStr">
        <is>
          <t>No</t>
        </is>
      </c>
      <c r="R214" s="592" t="inlineStr">
        <is>
          <t>Yes</t>
        </is>
      </c>
      <c r="S214" s="592" t="inlineStr">
        <is>
          <t>Yes</t>
        </is>
      </c>
      <c r="T214" s="592" t="inlineStr">
        <is>
          <t>Yes</t>
        </is>
      </c>
      <c r="U214" s="592" t="inlineStr">
        <is>
          <t>Yes</t>
        </is>
      </c>
      <c r="V214" s="592" t="inlineStr">
        <is>
          <t>Yes</t>
        </is>
      </c>
      <c r="W214" s="592" t="inlineStr">
        <is>
          <t>Yes</t>
        </is>
      </c>
      <c r="X214" s="104" t="inlineStr">
        <is>
          <t>No</t>
        </is>
      </c>
      <c r="Y214" s="592" t="inlineStr">
        <is>
          <t>Yes</t>
        </is>
      </c>
      <c r="Z214" s="98" t="n">
        <v>45374</v>
      </c>
      <c r="AA214" s="106" t="n">
        <v>46468</v>
      </c>
      <c r="AB214" s="592" t="inlineStr">
        <is>
          <t>Unlimited</t>
        </is>
      </c>
      <c r="AC214" s="202" t="n">
        <v>38</v>
      </c>
      <c r="AD214" s="592" t="inlineStr">
        <is>
          <t>Yes</t>
        </is>
      </c>
      <c r="AE214" s="592" t="inlineStr">
        <is>
          <t>Yes</t>
        </is>
      </c>
      <c r="AF214" s="600" t="n"/>
      <c r="AG214" s="593" t="inlineStr">
        <is>
          <t>Phim còn hạn từ 2026</t>
        </is>
      </c>
      <c r="AH214" s="594" t="n"/>
      <c r="AI214" s="206" t="inlineStr">
        <is>
          <t>MOONBOUND (ĐẠI NÁO CUNG TRĂNG)</t>
        </is>
      </c>
      <c r="AJ214" s="128">
        <f>SUMIF('TK 15661.Bản quyền phim '!F:F,'KK1. Movies'!D214,'TK 15661.Bản quyền phim '!X:X)</f>
        <v/>
      </c>
      <c r="AK214" s="128">
        <f>SUMIF('TK 15661.Bản quyền phim '!F:F,'KK1. Movies'!AI214,'TK 15661.Bản quyền phim '!X:X)</f>
        <v/>
      </c>
      <c r="AL214" s="203">
        <f>COUNTIF('242.BQ Phim hợp tác'!$C:$C,'KK1. Movies'!AI214)</f>
        <v/>
      </c>
      <c r="AM214" s="203">
        <f>COUNTIF('TK 15661.Bản quyền phim '!F:F,'KK1. Movies'!AI214)</f>
        <v/>
      </c>
      <c r="AN214" s="546">
        <f>AL214+AM214</f>
        <v/>
      </c>
      <c r="AO214" s="203" t="n"/>
      <c r="AP214" s="203" t="n"/>
      <c r="AQ214" s="203" t="n"/>
      <c r="AR214" s="203" t="n"/>
      <c r="AS214" s="203" t="n"/>
      <c r="AT214" s="546">
        <f>IFERROR(VLOOKUP(C214, CodeRanMovies!$A:$K, 11, 0), "Not found")</f>
        <v/>
      </c>
    </row>
    <row r="215" ht="26.4" customHeight="1" s="578">
      <c r="A215" s="201">
        <f>_xlfn.AGGREGATE(3,3,$D$7:D215)</f>
        <v/>
      </c>
      <c r="B215" s="589" t="inlineStr">
        <is>
          <t>16+</t>
        </is>
      </c>
      <c r="C215" s="234" t="inlineStr">
        <is>
          <t>MOV_DRA_LNVM__15__2471197</t>
        </is>
      </c>
      <c r="D215" s="596" t="inlineStr">
        <is>
          <t>FAREWELL, BERLIN WALL</t>
        </is>
      </c>
      <c r="E215" s="589" t="inlineStr">
        <is>
          <t>QUYÊN</t>
        </is>
      </c>
      <c r="F215" s="589" t="inlineStr">
        <is>
          <t>Drama</t>
        </is>
      </c>
      <c r="G215" s="589" t="inlineStr">
        <is>
          <t>BHD</t>
        </is>
      </c>
      <c r="H215" s="589" t="inlineStr">
        <is>
          <t>90/2015/HDBQ/VSTV-BHD</t>
        </is>
      </c>
      <c r="I215" s="96" t="n">
        <v>2015</v>
      </c>
      <c r="J215" s="592" t="inlineStr">
        <is>
          <t>Việt Nam</t>
        </is>
      </c>
      <c r="K215" s="107" t="n">
        <v>98</v>
      </c>
      <c r="L215" s="98" t="n">
        <v>42295</v>
      </c>
      <c r="M215" s="601" t="inlineStr">
        <is>
          <t>Vĩnh viễn</t>
        </is>
      </c>
      <c r="N215" s="601" t="n">
        <v>42295</v>
      </c>
      <c r="O215" s="592" t="n"/>
      <c r="P215" s="96" t="n">
        <v>24</v>
      </c>
      <c r="Q215" s="592" t="inlineStr">
        <is>
          <t>No</t>
        </is>
      </c>
      <c r="R215" s="592" t="inlineStr">
        <is>
          <t>Yes</t>
        </is>
      </c>
      <c r="S215" s="592" t="inlineStr">
        <is>
          <t>Yes</t>
        </is>
      </c>
      <c r="T215" s="592" t="inlineStr">
        <is>
          <t>Yes</t>
        </is>
      </c>
      <c r="U215" s="592" t="inlineStr">
        <is>
          <t>Yes</t>
        </is>
      </c>
      <c r="V215" s="592" t="inlineStr">
        <is>
          <t>Yes</t>
        </is>
      </c>
      <c r="W215" s="592" t="inlineStr">
        <is>
          <t>Yes</t>
        </is>
      </c>
      <c r="X215" s="592" t="inlineStr">
        <is>
          <t>No</t>
        </is>
      </c>
      <c r="Y215" s="592" t="inlineStr">
        <is>
          <t>yes</t>
        </is>
      </c>
      <c r="Z215" s="98" t="n">
        <v>42295</v>
      </c>
      <c r="AA215" s="601" t="inlineStr">
        <is>
          <t>Vĩnh viễn</t>
        </is>
      </c>
      <c r="AB215" s="100" t="n">
        <v>6</v>
      </c>
      <c r="AC215" s="100" t="n">
        <v>4</v>
      </c>
      <c r="AD215" s="592" t="inlineStr">
        <is>
          <t>Yes</t>
        </is>
      </c>
      <c r="AE215" s="592" t="inlineStr">
        <is>
          <t>Yes</t>
        </is>
      </c>
      <c r="AF215" s="600" t="n"/>
      <c r="AG215" s="593" t="inlineStr">
        <is>
          <t>Phim còn hạn từ 2026</t>
        </is>
      </c>
      <c r="AH215" s="594" t="n"/>
      <c r="AI215" s="207" t="inlineStr">
        <is>
          <t>Film hợp tác - Quyên</t>
        </is>
      </c>
      <c r="AJ215" s="128">
        <f>SUMIF('TK 15661.Bản quyền phim '!F:F,'KK1. Movies'!D215,'TK 15661.Bản quyền phim '!X:X)</f>
        <v/>
      </c>
      <c r="AK215" s="128">
        <f>SUMIF('TK 15661.Bản quyền phim '!F:F,'KK1. Movies'!AI215,'TK 15661.Bản quyền phim '!X:X)</f>
        <v/>
      </c>
      <c r="AL215" s="203">
        <f>COUNTIF('242.BQ Phim hợp tác'!$C:$C,'KK1. Movies'!AI215)</f>
        <v/>
      </c>
      <c r="AM215" s="203">
        <f>COUNTIF('TK 15661.Bản quyền phim '!F:F,'KK1. Movies'!AI215)</f>
        <v/>
      </c>
      <c r="AN215" s="546">
        <f>AL215+AM215</f>
        <v/>
      </c>
      <c r="AO215" s="203" t="n"/>
      <c r="AP215" s="203" t="n"/>
      <c r="AQ215" s="203" t="n"/>
      <c r="AR215" s="203" t="n"/>
      <c r="AS215" s="203" t="n"/>
      <c r="AT215" s="546">
        <f>IFERROR(VLOOKUP(C215, CodeRanMovies!$A:$K, 11, 0), "Not found")</f>
        <v/>
      </c>
    </row>
    <row r="216" ht="26.4" customHeight="1" s="578">
      <c r="A216" s="201">
        <f>_xlfn.AGGREGATE(3,3,$D$7:D216)</f>
        <v/>
      </c>
      <c r="B216" s="589" t="inlineStr">
        <is>
          <t>16+</t>
        </is>
      </c>
      <c r="C216" s="234" t="inlineStr">
        <is>
          <t>MOV_COM_19__2614753</t>
        </is>
      </c>
      <c r="D216" s="105" t="inlineStr">
        <is>
          <t>BUTTERFLY HOUSE</t>
        </is>
      </c>
      <c r="E216" s="97" t="inlineStr">
        <is>
          <t>Ngôi Nhà Bươm Bướm</t>
        </is>
      </c>
      <c r="F216" s="103" t="inlineStr">
        <is>
          <t>Drama</t>
        </is>
      </c>
      <c r="G216" s="103" t="inlineStr">
        <is>
          <t>TFILM</t>
        </is>
      </c>
      <c r="H216" s="590" t="inlineStr">
        <is>
          <t>139/2024/HDBQ/VSTV-TFlim</t>
        </is>
      </c>
      <c r="I216" s="104" t="n">
        <v>2018</v>
      </c>
      <c r="J216" s="592" t="inlineStr">
        <is>
          <t>Việt Nam</t>
        </is>
      </c>
      <c r="K216" s="104" t="n">
        <v>105</v>
      </c>
      <c r="L216" s="591" t="n">
        <v>45654</v>
      </c>
      <c r="M216" s="98" t="n">
        <v>46354</v>
      </c>
      <c r="N216" s="591" t="n">
        <v>44828</v>
      </c>
      <c r="O216" s="592" t="n"/>
      <c r="P216" s="104" t="n">
        <v>0</v>
      </c>
      <c r="Q216" s="107" t="inlineStr">
        <is>
          <t>No</t>
        </is>
      </c>
      <c r="R216" s="592" t="inlineStr">
        <is>
          <t>Yes</t>
        </is>
      </c>
      <c r="S216" s="107" t="inlineStr">
        <is>
          <t>Yes</t>
        </is>
      </c>
      <c r="T216" s="592" t="inlineStr">
        <is>
          <t>Yes</t>
        </is>
      </c>
      <c r="U216" s="107" t="inlineStr">
        <is>
          <t>Yes</t>
        </is>
      </c>
      <c r="V216" s="107" t="inlineStr">
        <is>
          <t>Yes</t>
        </is>
      </c>
      <c r="W216" s="107" t="inlineStr">
        <is>
          <t>Yes</t>
        </is>
      </c>
      <c r="X216" s="107" t="inlineStr">
        <is>
          <t>Yes</t>
        </is>
      </c>
      <c r="Y216" s="107" t="inlineStr">
        <is>
          <t>Yes</t>
        </is>
      </c>
      <c r="Z216" s="106" t="n">
        <v>45654</v>
      </c>
      <c r="AA216" s="124" t="n">
        <v>46354</v>
      </c>
      <c r="AB216" s="104" t="inlineStr">
        <is>
          <t>Unlimited</t>
        </is>
      </c>
      <c r="AC216" s="202" t="n">
        <v>13</v>
      </c>
      <c r="AD216" s="592" t="inlineStr">
        <is>
          <t>Yes</t>
        </is>
      </c>
      <c r="AE216" s="592" t="inlineStr">
        <is>
          <t>Yes</t>
        </is>
      </c>
      <c r="AF216" s="600" t="n"/>
      <c r="AG216" s="593" t="inlineStr">
        <is>
          <t>Phim còn hạn từ 2026</t>
        </is>
      </c>
      <c r="AH216" s="594" t="n"/>
      <c r="AI216" s="206" t="inlineStr">
        <is>
          <t>Butterfly House (Ngôi nhà bươm bướm) (renew)</t>
        </is>
      </c>
      <c r="AJ216" s="128">
        <f>SUMIF('TK 15661.Bản quyền phim '!F:F,'KK1. Movies'!D216,'TK 15661.Bản quyền phim '!X:X)</f>
        <v/>
      </c>
      <c r="AK216" s="128">
        <f>SUMIF('TK 15661.Bản quyền phim '!F:F,'KK1. Movies'!AI216,'TK 15661.Bản quyền phim '!X:X)</f>
        <v/>
      </c>
      <c r="AL216" s="203">
        <f>COUNTIF('242.BQ Phim hợp tác'!$C:$C,'KK1. Movies'!AI216)</f>
        <v/>
      </c>
      <c r="AM216" s="203">
        <f>COUNTIF('TK 15661.Bản quyền phim '!F:F,'KK1. Movies'!AI216)</f>
        <v/>
      </c>
      <c r="AN216" s="546">
        <f>AL216+AM216</f>
        <v/>
      </c>
      <c r="AO216" s="203" t="n"/>
      <c r="AP216" s="203" t="n"/>
      <c r="AQ216" s="203" t="n"/>
      <c r="AR216" s="203" t="n"/>
      <c r="AS216" s="203" t="n"/>
      <c r="AT216" s="546">
        <f>IFERROR(VLOOKUP(C216, CodeRanMovies!$A:$K, 11, 0), "Not found")</f>
        <v/>
      </c>
    </row>
    <row r="217" ht="52.8" customHeight="1" s="578">
      <c r="A217" s="201">
        <f>_xlfn.AGGREGATE(3,3,$D$7:D217)</f>
        <v/>
      </c>
      <c r="B217" s="589" t="inlineStr">
        <is>
          <t>P</t>
        </is>
      </c>
      <c r="C217" s="234" t="inlineStr">
        <is>
          <t>MOV_BIO22</t>
        </is>
      </c>
      <c r="D217" s="105" t="inlineStr">
        <is>
          <t>MONEYBALL (2011)</t>
        </is>
      </c>
      <c r="E217" s="110" t="inlineStr">
        <is>
          <t>Cuộc chiến bóng chày</t>
        </is>
      </c>
      <c r="F217" s="590" t="inlineStr">
        <is>
          <t>Drama</t>
        </is>
      </c>
      <c r="G217" s="103" t="inlineStr">
        <is>
          <t>SONY PICTURES</t>
        </is>
      </c>
      <c r="H217" s="590" t="inlineStr">
        <is>
          <t>Sony/K+Vietnam PayBasic SVOD Package Agmt D2D per JK (19-01-2024)</t>
        </is>
      </c>
      <c r="I217" s="104" t="n">
        <v>2011</v>
      </c>
      <c r="J217" s="600" t="inlineStr">
        <is>
          <t>US</t>
        </is>
      </c>
      <c r="K217" s="104" t="n">
        <v>133</v>
      </c>
      <c r="L217" s="98" t="n">
        <v>45505</v>
      </c>
      <c r="M217" s="106" t="n">
        <v>46234</v>
      </c>
      <c r="N217" s="601" t="n">
        <v>45553</v>
      </c>
      <c r="O217" s="592" t="inlineStr">
        <is>
          <t>K+CINE</t>
        </is>
      </c>
      <c r="P217" s="592" t="n"/>
      <c r="Q217" s="104" t="inlineStr">
        <is>
          <t>No</t>
        </is>
      </c>
      <c r="R217" s="592" t="inlineStr">
        <is>
          <t>Yes</t>
        </is>
      </c>
      <c r="S217" s="592" t="inlineStr">
        <is>
          <t>Yes</t>
        </is>
      </c>
      <c r="T217" s="592" t="inlineStr">
        <is>
          <t>Yes</t>
        </is>
      </c>
      <c r="U217" s="104" t="inlineStr">
        <is>
          <t>No</t>
        </is>
      </c>
      <c r="V217" s="104" t="inlineStr">
        <is>
          <t>No</t>
        </is>
      </c>
      <c r="W217" s="104" t="inlineStr">
        <is>
          <t>No</t>
        </is>
      </c>
      <c r="X217" s="104" t="inlineStr">
        <is>
          <t>No</t>
        </is>
      </c>
      <c r="Y217" s="104" t="inlineStr">
        <is>
          <t>No</t>
        </is>
      </c>
      <c r="Z217" s="106" t="n">
        <v>45505</v>
      </c>
      <c r="AA217" s="124" t="n">
        <v>46053</v>
      </c>
      <c r="AB217" s="107" t="n">
        <v>7</v>
      </c>
      <c r="AC217" s="202" t="n">
        <v>4</v>
      </c>
      <c r="AD217" s="592" t="inlineStr">
        <is>
          <t>Yes</t>
        </is>
      </c>
      <c r="AE217" s="592" t="inlineStr">
        <is>
          <t>Yes</t>
        </is>
      </c>
      <c r="AF217" s="600" t="n"/>
      <c r="AG217" s="593" t="inlineStr">
        <is>
          <t>Phim còn hạn từ 2026</t>
        </is>
      </c>
      <c r="AH217" s="594" t="n"/>
      <c r="AI217" s="599" t="inlineStr">
        <is>
          <t>MONEYBALL (2011)</t>
        </is>
      </c>
      <c r="AJ217" s="128">
        <f>SUMIF('TK 15661.Bản quyền phim '!F:F,'KK1. Movies'!D217,'TK 15661.Bản quyền phim '!X:X)</f>
        <v/>
      </c>
      <c r="AK217" s="128">
        <f>SUMIF('TK 15661.Bản quyền phim '!F:F,'KK1. Movies'!AI217,'TK 15661.Bản quyền phim '!X:X)</f>
        <v/>
      </c>
      <c r="AL217" s="203">
        <f>COUNTIF('242.BQ Phim hợp tác'!$C:$C,'KK1. Movies'!AI217)</f>
        <v/>
      </c>
      <c r="AM217" s="203">
        <f>COUNTIF('TK 15661.Bản quyền phim '!F:F,'KK1. Movies'!AI217)</f>
        <v/>
      </c>
      <c r="AN217" s="546">
        <f>AL217+AM217</f>
        <v/>
      </c>
      <c r="AO217" s="203" t="n"/>
      <c r="AP217" s="203" t="n"/>
      <c r="AQ217" s="203" t="n"/>
      <c r="AR217" s="203" t="n"/>
      <c r="AS217" s="203" t="n"/>
      <c r="AT217" s="546">
        <f>IFERROR(VLOOKUP(C217, CodeRanMovies!$A:$K, 11, 0), "Not found")</f>
        <v/>
      </c>
    </row>
    <row r="218" ht="52.8" customHeight="1" s="578">
      <c r="A218" s="201">
        <f>_xlfn.AGGREGATE(3,3,$D$7:D218)</f>
        <v/>
      </c>
      <c r="B218" s="589" t="inlineStr">
        <is>
          <t>16+</t>
        </is>
      </c>
      <c r="C218" s="590" t="inlineStr">
        <is>
          <t>MOV_DRA742</t>
        </is>
      </c>
      <c r="D218" s="105" t="inlineStr">
        <is>
          <t>GYUL-BAEK</t>
        </is>
      </c>
      <c r="E218" s="110" t="inlineStr">
        <is>
          <t>Trắng án</t>
        </is>
      </c>
      <c r="F218" s="590" t="inlineStr">
        <is>
          <t>Crime, Thriller</t>
        </is>
      </c>
      <c r="G218" s="103" t="inlineStr">
        <is>
          <t>SONY</t>
        </is>
      </c>
      <c r="H218" s="590" t="inlineStr">
        <is>
          <t>Sony/K+Vietnam PayBasic SVOD Package Agmt D3A FE (Feb-5-24)</t>
        </is>
      </c>
      <c r="I218" s="104" t="n">
        <v>2020</v>
      </c>
      <c r="J218" s="104" t="inlineStr">
        <is>
          <t>Korea</t>
        </is>
      </c>
      <c r="K218" s="104" t="n">
        <v>106</v>
      </c>
      <c r="L218" s="591" t="n">
        <v>45701</v>
      </c>
      <c r="M218" s="106" t="n">
        <v>46430</v>
      </c>
      <c r="N218" s="601" t="n"/>
      <c r="O218" s="592" t="n"/>
      <c r="P218" s="592" t="n"/>
      <c r="Q218" s="104" t="inlineStr">
        <is>
          <t>No</t>
        </is>
      </c>
      <c r="R218" s="104" t="inlineStr">
        <is>
          <t>Yes</t>
        </is>
      </c>
      <c r="S218" s="104" t="inlineStr">
        <is>
          <t>Yes</t>
        </is>
      </c>
      <c r="T218" s="592" t="inlineStr">
        <is>
          <t>Yes</t>
        </is>
      </c>
      <c r="U218" s="104" t="inlineStr">
        <is>
          <t>No</t>
        </is>
      </c>
      <c r="V218" s="104" t="inlineStr">
        <is>
          <t>No</t>
        </is>
      </c>
      <c r="W218" s="104" t="inlineStr">
        <is>
          <t>No</t>
        </is>
      </c>
      <c r="X218" s="104" t="inlineStr">
        <is>
          <t>Yes</t>
        </is>
      </c>
      <c r="Y218" s="104" t="inlineStr">
        <is>
          <t>No</t>
        </is>
      </c>
      <c r="Z218" s="106" t="n">
        <v>45701</v>
      </c>
      <c r="AA218" s="124" t="n">
        <v>46246</v>
      </c>
      <c r="AB218" s="104" t="n">
        <v>7</v>
      </c>
      <c r="AC218" s="202" t="n">
        <v>2</v>
      </c>
      <c r="AD218" s="592" t="inlineStr">
        <is>
          <t>Yes</t>
        </is>
      </c>
      <c r="AE218" s="592" t="inlineStr">
        <is>
          <t>Yes</t>
        </is>
      </c>
      <c r="AF218" s="600" t="n"/>
      <c r="AG218" s="593" t="inlineStr">
        <is>
          <t>Phim còn hạn từ 2026</t>
        </is>
      </c>
      <c r="AH218" s="594" t="n"/>
      <c r="AI218" s="206" t="inlineStr">
        <is>
          <t>GYUL-BAEK</t>
        </is>
      </c>
      <c r="AJ218" s="128">
        <f>SUMIF('TK 15661.Bản quyền phim '!F:F,'KK1. Movies'!D218,'TK 15661.Bản quyền phim '!X:X)</f>
        <v/>
      </c>
      <c r="AK218" s="128">
        <f>SUMIF('TK 15661.Bản quyền phim '!F:F,'KK1. Movies'!AI218,'TK 15661.Bản quyền phim '!X:X)</f>
        <v/>
      </c>
      <c r="AL218" s="203">
        <f>COUNTIF('242.BQ Phim hợp tác'!$C:$C,'KK1. Movies'!AI218)</f>
        <v/>
      </c>
      <c r="AM218" s="203">
        <f>COUNTIF('TK 15661.Bản quyền phim '!F:F,'KK1. Movies'!AI218)</f>
        <v/>
      </c>
      <c r="AN218" s="546">
        <f>AL218+AM218</f>
        <v/>
      </c>
      <c r="AO218" s="203" t="n"/>
      <c r="AP218" s="203" t="n"/>
      <c r="AQ218" s="203" t="n"/>
      <c r="AR218" s="203" t="n"/>
      <c r="AS218" s="203" t="n"/>
      <c r="AT218" s="546">
        <f>IFERROR(VLOOKUP(C218, CodeRanMovies!$A:$K, 11, 0), "Not found")</f>
        <v/>
      </c>
    </row>
    <row r="219" ht="26.4" customHeight="1" s="578">
      <c r="A219" s="201">
        <f>_xlfn.AGGREGATE(3,3,$D$7:D219)</f>
        <v/>
      </c>
      <c r="B219" s="589" t="inlineStr">
        <is>
          <t>16+</t>
        </is>
      </c>
      <c r="C219" s="590" t="inlineStr">
        <is>
          <t>MOV_THR_21__2644512</t>
        </is>
      </c>
      <c r="D219" s="590" t="inlineStr">
        <is>
          <t>The instrument of murder</t>
        </is>
      </c>
      <c r="E219" s="589" t="inlineStr">
        <is>
          <t>Trái Tim Quái Vật</t>
        </is>
      </c>
      <c r="F219" s="590" t="inlineStr">
        <is>
          <t>Horror</t>
        </is>
      </c>
      <c r="G219" s="589" t="inlineStr">
        <is>
          <t>TFILM</t>
        </is>
      </c>
      <c r="H219" s="589" t="inlineStr">
        <is>
          <t>04A/2021/HDBQ/VSTV-TFILM</t>
        </is>
      </c>
      <c r="I219" s="96" t="n">
        <v>2020</v>
      </c>
      <c r="J219" s="592" t="inlineStr">
        <is>
          <t>Việt Nam</t>
        </is>
      </c>
      <c r="K219" s="96" t="n">
        <v>87</v>
      </c>
      <c r="L219" s="98" t="n">
        <v>44281</v>
      </c>
      <c r="M219" s="602" t="n">
        <v>46107</v>
      </c>
      <c r="N219" s="603" t="n">
        <v>44281</v>
      </c>
      <c r="O219" s="592" t="inlineStr">
        <is>
          <t>K+CINE</t>
        </is>
      </c>
      <c r="P219" s="592" t="n"/>
      <c r="Q219" s="592" t="inlineStr">
        <is>
          <t>No</t>
        </is>
      </c>
      <c r="R219" s="592" t="inlineStr">
        <is>
          <t>Yes</t>
        </is>
      </c>
      <c r="S219" s="592" t="inlineStr">
        <is>
          <t>Yes</t>
        </is>
      </c>
      <c r="T219" s="592" t="inlineStr">
        <is>
          <t>Yes</t>
        </is>
      </c>
      <c r="U219" s="592" t="inlineStr">
        <is>
          <t>no</t>
        </is>
      </c>
      <c r="V219" s="592" t="inlineStr">
        <is>
          <t>no</t>
        </is>
      </c>
      <c r="W219" s="592" t="inlineStr">
        <is>
          <t>no</t>
        </is>
      </c>
      <c r="X219" s="592" t="inlineStr">
        <is>
          <t>Yes</t>
        </is>
      </c>
      <c r="Y219" s="592" t="inlineStr">
        <is>
          <t>Yes</t>
        </is>
      </c>
      <c r="Z219" s="98" t="n">
        <v>44281</v>
      </c>
      <c r="AA219" s="602" t="n">
        <v>46107</v>
      </c>
      <c r="AB219" s="96" t="inlineStr">
        <is>
          <t>unlimited</t>
        </is>
      </c>
      <c r="AC219" s="100" t="n">
        <v>46</v>
      </c>
      <c r="AD219" s="592" t="inlineStr">
        <is>
          <t>Yes</t>
        </is>
      </c>
      <c r="AE219" s="592" t="inlineStr">
        <is>
          <t>Yes</t>
        </is>
      </c>
      <c r="AF219" s="600" t="n"/>
      <c r="AG219" s="593" t="inlineStr">
        <is>
          <t>Phim còn hạn từ 2026</t>
        </is>
      </c>
      <c r="AH219" s="594" t="n"/>
      <c r="AI219" s="599" t="inlineStr">
        <is>
          <t>The instrument of murder</t>
        </is>
      </c>
      <c r="AJ219" s="128">
        <f>SUMIF('TK 15661.Bản quyền phim '!F:F,'KK1. Movies'!D219,'TK 15661.Bản quyền phim '!X:X)</f>
        <v/>
      </c>
      <c r="AK219" s="128">
        <f>SUMIF('TK 15661.Bản quyền phim '!F:F,'KK1. Movies'!AI219,'TK 15661.Bản quyền phim '!X:X)</f>
        <v/>
      </c>
      <c r="AL219" s="203">
        <f>COUNTIF('242.BQ Phim hợp tác'!$C:$C,'KK1. Movies'!AI219)</f>
        <v/>
      </c>
      <c r="AM219" s="203">
        <f>COUNTIF('TK 15661.Bản quyền phim '!F:F,'KK1. Movies'!AI219)</f>
        <v/>
      </c>
      <c r="AN219" s="546">
        <f>AL219+AM219</f>
        <v/>
      </c>
      <c r="AO219" s="203" t="n"/>
      <c r="AP219" s="203" t="n"/>
      <c r="AQ219" s="203" t="n"/>
      <c r="AR219" s="203" t="n"/>
      <c r="AS219" s="203" t="n"/>
      <c r="AT219" s="546">
        <f>IFERROR(VLOOKUP(C219, CodeRanMovies!$A:$K, 11, 0), "Not found")</f>
        <v/>
      </c>
    </row>
    <row r="220" ht="39.6" customHeight="1" s="578">
      <c r="A220" s="201">
        <f>_xlfn.AGGREGATE(3,3,$D$7:D220)</f>
        <v/>
      </c>
      <c r="B220" s="589" t="inlineStr">
        <is>
          <t>13+</t>
        </is>
      </c>
      <c r="C220" s="590" t="inlineStr">
        <is>
          <t>MOV_DRA729</t>
        </is>
      </c>
      <c r="D220" s="610" t="inlineStr">
        <is>
          <t>DOWNTON ABBEY: A NEW ERA</t>
        </is>
      </c>
      <c r="E220" s="110" t="inlineStr">
        <is>
          <t>Dinh thự Downton: Kỷ nguyên mới</t>
        </is>
      </c>
      <c r="F220" s="590" t="inlineStr">
        <is>
          <t>Drama</t>
        </is>
      </c>
      <c r="G220" s="108" t="inlineStr">
        <is>
          <t>NBC Universal</t>
        </is>
      </c>
      <c r="H220" s="108" t="inlineStr">
        <is>
          <t>5049540-2/161434-3</t>
        </is>
      </c>
      <c r="I220" s="104" t="n">
        <v>2021</v>
      </c>
      <c r="J220" s="107" t="inlineStr">
        <is>
          <t>US</t>
        </is>
      </c>
      <c r="K220" s="104" t="n">
        <v>124</v>
      </c>
      <c r="L220" s="591" t="n">
        <v>45653</v>
      </c>
      <c r="M220" s="98" t="n">
        <v>46382</v>
      </c>
      <c r="N220" s="113" t="n">
        <v>45653</v>
      </c>
      <c r="O220" s="104" t="inlineStr">
        <is>
          <t>K+CINE</t>
        </is>
      </c>
      <c r="P220" s="112" t="n">
        <v>12</v>
      </c>
      <c r="Q220" s="104" t="inlineStr">
        <is>
          <t>No</t>
        </is>
      </c>
      <c r="R220" s="592" t="inlineStr">
        <is>
          <t>Yes</t>
        </is>
      </c>
      <c r="S220" s="104" t="inlineStr">
        <is>
          <t>Yes</t>
        </is>
      </c>
      <c r="T220" s="592" t="inlineStr">
        <is>
          <t>Yes</t>
        </is>
      </c>
      <c r="U220" s="104" t="inlineStr">
        <is>
          <t>No</t>
        </is>
      </c>
      <c r="V220" s="104" t="inlineStr">
        <is>
          <t>No</t>
        </is>
      </c>
      <c r="W220" s="104" t="inlineStr">
        <is>
          <t>No</t>
        </is>
      </c>
      <c r="X220" s="104" t="inlineStr">
        <is>
          <t>No</t>
        </is>
      </c>
      <c r="Y220" s="104" t="inlineStr">
        <is>
          <t>Yes</t>
        </is>
      </c>
      <c r="Z220" s="106" t="n">
        <v>45653</v>
      </c>
      <c r="AA220" s="124" t="n">
        <v>46382</v>
      </c>
      <c r="AB220" s="107" t="n">
        <v>6</v>
      </c>
      <c r="AC220" s="105" t="n">
        <v>3</v>
      </c>
      <c r="AD220" s="592" t="inlineStr">
        <is>
          <t>Yes</t>
        </is>
      </c>
      <c r="AE220" s="592" t="inlineStr">
        <is>
          <t>Yes</t>
        </is>
      </c>
      <c r="AF220" s="600" t="n"/>
      <c r="AG220" s="593" t="inlineStr">
        <is>
          <t>Phim còn hạn từ 2026</t>
        </is>
      </c>
      <c r="AH220" s="594" t="n"/>
      <c r="AI220" s="599" t="inlineStr">
        <is>
          <t>DOWNTON ABBEY: A NEW ERA</t>
        </is>
      </c>
      <c r="AJ220" s="128">
        <f>SUMIF('TK 15661.Bản quyền phim '!F:F,'KK1. Movies'!D220,'TK 15661.Bản quyền phim '!X:X)</f>
        <v/>
      </c>
      <c r="AK220" s="128">
        <f>SUMIF('TK 15661.Bản quyền phim '!F:F,'KK1. Movies'!AI220,'TK 15661.Bản quyền phim '!X:X)</f>
        <v/>
      </c>
      <c r="AL220" s="203">
        <f>COUNTIF('242.BQ Phim hợp tác'!$C:$C,'KK1. Movies'!AI220)</f>
        <v/>
      </c>
      <c r="AM220" s="203">
        <f>COUNTIF('TK 15661.Bản quyền phim '!F:F,'KK1. Movies'!AI220)</f>
        <v/>
      </c>
      <c r="AN220" s="546">
        <f>AL220+AM220</f>
        <v/>
      </c>
      <c r="AO220" s="203" t="n"/>
      <c r="AP220" s="203" t="n"/>
      <c r="AQ220" s="203" t="n"/>
      <c r="AR220" s="203" t="n"/>
      <c r="AS220" s="203" t="n"/>
      <c r="AT220" s="546">
        <f>IFERROR(VLOOKUP(C220, CodeRanMovies!$A:$K, 11, 0), "Not found")</f>
        <v/>
      </c>
    </row>
    <row r="221" ht="26.4" customHeight="1" s="578">
      <c r="A221" s="201">
        <f>_xlfn.AGGREGATE(3,3,$D$7:D221)</f>
        <v/>
      </c>
      <c r="B221" s="589" t="inlineStr">
        <is>
          <t>16+</t>
        </is>
      </c>
      <c r="C221" s="590" t="inlineStr">
        <is>
          <t>MOV_ACT_24__2710440</t>
        </is>
      </c>
      <c r="D221" s="105" t="inlineStr">
        <is>
          <t>THE WHITE STORM 3: HEAVEN OR HELL</t>
        </is>
      </c>
      <c r="E221" s="590" t="inlineStr">
        <is>
          <t>Bão trắng 3: Thiên đàng hay địa ngục</t>
        </is>
      </c>
      <c r="F221" s="590" t="inlineStr">
        <is>
          <t>Crime, Thriller</t>
        </is>
      </c>
      <c r="G221" s="108" t="inlineStr">
        <is>
          <t>Skyline Media</t>
        </is>
      </c>
      <c r="H221" s="590" t="inlineStr">
        <is>
          <t>28/2024/HDBQ/VSTV-SM</t>
        </is>
      </c>
      <c r="I221" s="107" t="n">
        <v>2023</v>
      </c>
      <c r="J221" s="600" t="inlineStr">
        <is>
          <t>Hong Kong</t>
        </is>
      </c>
      <c r="K221" s="107" t="n">
        <v>123</v>
      </c>
      <c r="L221" s="98" t="n">
        <v>45373</v>
      </c>
      <c r="M221" s="109" t="n">
        <v>46467</v>
      </c>
      <c r="N221" s="601" t="n">
        <v>45548</v>
      </c>
      <c r="O221" s="592" t="inlineStr">
        <is>
          <t>K+CINE</t>
        </is>
      </c>
      <c r="P221" s="104" t="n">
        <v>12</v>
      </c>
      <c r="Q221" s="107" t="inlineStr">
        <is>
          <t>No</t>
        </is>
      </c>
      <c r="R221" s="592" t="inlineStr">
        <is>
          <t>Yes</t>
        </is>
      </c>
      <c r="S221" s="592" t="inlineStr">
        <is>
          <t>Yes</t>
        </is>
      </c>
      <c r="T221" s="592" t="inlineStr">
        <is>
          <t>Yes</t>
        </is>
      </c>
      <c r="U221" s="592" t="inlineStr">
        <is>
          <t>Yes</t>
        </is>
      </c>
      <c r="V221" s="592" t="inlineStr">
        <is>
          <t>Yes</t>
        </is>
      </c>
      <c r="W221" s="592" t="inlineStr">
        <is>
          <t>Yes</t>
        </is>
      </c>
      <c r="X221" s="592" t="inlineStr">
        <is>
          <t>Yes</t>
        </is>
      </c>
      <c r="Y221" s="104" t="inlineStr">
        <is>
          <t>No</t>
        </is>
      </c>
      <c r="Z221" s="98" t="n">
        <v>45373</v>
      </c>
      <c r="AA221" s="109" t="n">
        <v>46467</v>
      </c>
      <c r="AB221" s="107" t="n">
        <v>24</v>
      </c>
      <c r="AC221" s="202" t="n">
        <v>15</v>
      </c>
      <c r="AD221" s="592" t="inlineStr">
        <is>
          <t>Yes</t>
        </is>
      </c>
      <c r="AE221" s="592" t="inlineStr">
        <is>
          <t>Yes</t>
        </is>
      </c>
      <c r="AF221" s="600" t="n"/>
      <c r="AG221" s="593" t="inlineStr">
        <is>
          <t>Phim còn hạn từ 2026</t>
        </is>
      </c>
      <c r="AH221" s="594" t="n"/>
      <c r="AI221" s="206" t="inlineStr">
        <is>
          <t>THE WHITE STORM 3: HEAVEN OR HELL</t>
        </is>
      </c>
      <c r="AJ221" s="128">
        <f>SUMIF('TK 15661.Bản quyền phim '!F:F,'KK1. Movies'!D221,'TK 15661.Bản quyền phim '!X:X)</f>
        <v/>
      </c>
      <c r="AK221" s="128">
        <f>SUMIF('TK 15661.Bản quyền phim '!F:F,'KK1. Movies'!AI221,'TK 15661.Bản quyền phim '!X:X)</f>
        <v/>
      </c>
      <c r="AL221" s="203">
        <f>COUNTIF('242.BQ Phim hợp tác'!$C:$C,'KK1. Movies'!AI221)</f>
        <v/>
      </c>
      <c r="AM221" s="203">
        <f>COUNTIF('TK 15661.Bản quyền phim '!F:F,'KK1. Movies'!AI221)</f>
        <v/>
      </c>
      <c r="AN221" s="546">
        <f>AL221+AM221</f>
        <v/>
      </c>
      <c r="AO221" s="203" t="n"/>
      <c r="AP221" s="203" t="n"/>
      <c r="AQ221" s="203" t="n"/>
      <c r="AR221" s="203" t="n"/>
      <c r="AS221" s="203" t="n"/>
      <c r="AT221" s="546">
        <f>IFERROR(VLOOKUP(C221, CodeRanMovies!$A:$K, 11, 0), "Not found")</f>
        <v/>
      </c>
    </row>
    <row r="222" ht="26.4" customHeight="1" s="578">
      <c r="A222" s="201">
        <f>_xlfn.AGGREGATE(3,3,$D$7:D222)</f>
        <v/>
      </c>
      <c r="B222" s="606" t="inlineStr">
        <is>
          <t>n/a</t>
        </is>
      </c>
      <c r="C222" s="590" t="inlineStr">
        <is>
          <t>MOV_ACT602</t>
        </is>
      </c>
      <c r="D222" s="105" t="inlineStr">
        <is>
          <t>The Plot</t>
        </is>
      </c>
      <c r="E222" s="97" t="inlineStr">
        <is>
          <t>Bẫy nuốt mạng</t>
        </is>
      </c>
      <c r="F222" s="590" t="inlineStr">
        <is>
          <t>Crime, Thriller</t>
        </is>
      </c>
      <c r="G222" s="103" t="inlineStr">
        <is>
          <t xml:space="preserve">Mocking Bird </t>
        </is>
      </c>
      <c r="H222" s="108" t="inlineStr">
        <is>
          <t>10/2025/HDBQ/VSTV-Mockingbird</t>
        </is>
      </c>
      <c r="I222" s="104" t="n">
        <v>2024</v>
      </c>
      <c r="J222" s="104" t="inlineStr">
        <is>
          <t>Korea</t>
        </is>
      </c>
      <c r="K222" s="104" t="n">
        <v>99</v>
      </c>
      <c r="L222" s="591" t="n">
        <v>45723</v>
      </c>
      <c r="M222" s="106" t="n">
        <v>46818</v>
      </c>
      <c r="N222" s="601" t="inlineStr">
        <is>
          <t>n/a</t>
        </is>
      </c>
      <c r="O222" s="592" t="n"/>
      <c r="P222" s="592" t="n"/>
      <c r="Q222" s="104" t="inlineStr">
        <is>
          <t>No</t>
        </is>
      </c>
      <c r="R222" s="592" t="inlineStr">
        <is>
          <t>Yes</t>
        </is>
      </c>
      <c r="S222" s="107" t="inlineStr">
        <is>
          <t>Yes</t>
        </is>
      </c>
      <c r="T222" s="592" t="inlineStr">
        <is>
          <t>Yes</t>
        </is>
      </c>
      <c r="U222" s="107" t="inlineStr">
        <is>
          <t>Yes</t>
        </is>
      </c>
      <c r="V222" s="107" t="inlineStr">
        <is>
          <t>Yes</t>
        </is>
      </c>
      <c r="W222" s="107" t="inlineStr">
        <is>
          <t>Yes</t>
        </is>
      </c>
      <c r="X222" s="107" t="inlineStr">
        <is>
          <t>Yes</t>
        </is>
      </c>
      <c r="Y222" s="107" t="inlineStr">
        <is>
          <t>Yes</t>
        </is>
      </c>
      <c r="Z222" s="106" t="n">
        <v>45723</v>
      </c>
      <c r="AA222" s="124" t="n">
        <v>46818</v>
      </c>
      <c r="AB222" s="104" t="n">
        <v>24</v>
      </c>
      <c r="AC222" s="202" t="n">
        <v>5</v>
      </c>
      <c r="AD222" s="592" t="inlineStr">
        <is>
          <t>Yes</t>
        </is>
      </c>
      <c r="AE222" s="592" t="inlineStr">
        <is>
          <t>Yes</t>
        </is>
      </c>
      <c r="AF222" s="600" t="n"/>
      <c r="AG222" s="593" t="inlineStr">
        <is>
          <t>Phim còn hạn từ 2026</t>
        </is>
      </c>
      <c r="AH222" s="594" t="inlineStr">
        <is>
          <t>MOV_ACT602</t>
        </is>
      </c>
      <c r="AI222" s="206" t="inlineStr">
        <is>
          <t>The Plot</t>
        </is>
      </c>
      <c r="AJ222" s="128">
        <f>SUMIF('TK 15661.Bản quyền phim '!F:F,'KK1. Movies'!D222,'TK 15661.Bản quyền phim '!X:X)</f>
        <v/>
      </c>
      <c r="AK222" s="128">
        <f>SUMIF('TK 15661.Bản quyền phim '!F:F,'KK1. Movies'!AI222,'TK 15661.Bản quyền phim '!X:X)</f>
        <v/>
      </c>
      <c r="AL222" s="203">
        <f>COUNTIF('242.BQ Phim hợp tác'!$C:$C,'KK1. Movies'!AI222)</f>
        <v/>
      </c>
      <c r="AM222" s="203">
        <f>COUNTIF('TK 15661.Bản quyền phim '!F:F,'KK1. Movies'!AI222)</f>
        <v/>
      </c>
      <c r="AN222" s="546">
        <f>AL222+AM222</f>
        <v/>
      </c>
      <c r="AO222" s="203" t="n"/>
      <c r="AP222" s="203" t="n"/>
      <c r="AQ222" s="203" t="n"/>
      <c r="AR222" s="203" t="n"/>
      <c r="AS222" s="203" t="n"/>
      <c r="AT222" s="546">
        <f>IFERROR(VLOOKUP(C222, CodeRanMovies!$A:$K, 11, 0), "Not found")</f>
        <v/>
      </c>
    </row>
    <row r="223" ht="52.8" customHeight="1" s="578">
      <c r="A223" s="201">
        <f>_xlfn.AGGREGATE(3,3,$D$7:D223)</f>
        <v/>
      </c>
      <c r="B223" s="589" t="inlineStr">
        <is>
          <t>16+</t>
        </is>
      </c>
      <c r="C223" s="234" t="inlineStr">
        <is>
          <t>MOV_ACT577</t>
        </is>
      </c>
      <c r="D223" s="105" t="inlineStr">
        <is>
          <t>MISS BALA (2019)</t>
        </is>
      </c>
      <c r="E223" s="110" t="inlineStr">
        <is>
          <t>Quý cô Bala</t>
        </is>
      </c>
      <c r="F223" s="590" t="inlineStr">
        <is>
          <t>Action, Adventure</t>
        </is>
      </c>
      <c r="G223" s="103" t="inlineStr">
        <is>
          <t>SONY PICTURES</t>
        </is>
      </c>
      <c r="H223" s="590" t="inlineStr">
        <is>
          <t>Sony/K+Vietnam PayBasic SVOD Package Agmt D2D per JK (19-01-2024)</t>
        </is>
      </c>
      <c r="I223" s="104" t="n">
        <v>2019</v>
      </c>
      <c r="J223" s="600" t="inlineStr">
        <is>
          <t>US</t>
        </is>
      </c>
      <c r="K223" s="104" t="n">
        <v>103</v>
      </c>
      <c r="L223" s="98" t="n">
        <v>45505</v>
      </c>
      <c r="M223" s="98" t="n">
        <v>46234</v>
      </c>
      <c r="N223" s="601" t="n">
        <v>45547</v>
      </c>
      <c r="O223" s="592" t="inlineStr">
        <is>
          <t>K+ACTION</t>
        </is>
      </c>
      <c r="P223" s="592" t="n"/>
      <c r="Q223" s="104" t="inlineStr">
        <is>
          <t>No</t>
        </is>
      </c>
      <c r="R223" s="592" t="inlineStr">
        <is>
          <t>Yes</t>
        </is>
      </c>
      <c r="S223" s="592" t="inlineStr">
        <is>
          <t>Yes</t>
        </is>
      </c>
      <c r="T223" s="592" t="inlineStr">
        <is>
          <t>Yes</t>
        </is>
      </c>
      <c r="U223" s="104" t="inlineStr">
        <is>
          <t>No</t>
        </is>
      </c>
      <c r="V223" s="104" t="inlineStr">
        <is>
          <t>No</t>
        </is>
      </c>
      <c r="W223" s="104" t="inlineStr">
        <is>
          <t>No</t>
        </is>
      </c>
      <c r="X223" s="104" t="inlineStr">
        <is>
          <t>No</t>
        </is>
      </c>
      <c r="Y223" s="104" t="inlineStr">
        <is>
          <t>No</t>
        </is>
      </c>
      <c r="Z223" s="106" t="n">
        <v>45505</v>
      </c>
      <c r="AA223" s="124" t="n">
        <v>46053</v>
      </c>
      <c r="AB223" s="107" t="n">
        <v>7</v>
      </c>
      <c r="AC223" s="202" t="n">
        <v>4</v>
      </c>
      <c r="AD223" s="592" t="inlineStr">
        <is>
          <t>Yes</t>
        </is>
      </c>
      <c r="AE223" s="592" t="inlineStr">
        <is>
          <t>Yes</t>
        </is>
      </c>
      <c r="AF223" s="600" t="n"/>
      <c r="AG223" s="593" t="inlineStr">
        <is>
          <t>Phim còn hạn từ 2026</t>
        </is>
      </c>
      <c r="AH223" s="594" t="n"/>
      <c r="AI223" s="599" t="inlineStr">
        <is>
          <t>MISS BALA (2019)</t>
        </is>
      </c>
      <c r="AJ223" s="128">
        <f>SUMIF('TK 15661.Bản quyền phim '!F:F,'KK1. Movies'!D223,'TK 15661.Bản quyền phim '!X:X)</f>
        <v/>
      </c>
      <c r="AK223" s="128">
        <f>SUMIF('TK 15661.Bản quyền phim '!F:F,'KK1. Movies'!AI223,'TK 15661.Bản quyền phim '!X:X)</f>
        <v/>
      </c>
      <c r="AL223" s="203">
        <f>COUNTIF('242.BQ Phim hợp tác'!$C:$C,'KK1. Movies'!AI223)</f>
        <v/>
      </c>
      <c r="AM223" s="203">
        <f>COUNTIF('TK 15661.Bản quyền phim '!F:F,'KK1. Movies'!AI223)</f>
        <v/>
      </c>
      <c r="AN223" s="546">
        <f>AL223+AM223</f>
        <v/>
      </c>
      <c r="AO223" s="203" t="n"/>
      <c r="AP223" s="203" t="n"/>
      <c r="AQ223" s="203" t="n"/>
      <c r="AR223" s="203" t="n"/>
      <c r="AS223" s="203" t="n"/>
      <c r="AT223" s="546">
        <f>IFERROR(VLOOKUP(C223, CodeRanMovies!$A:$K, 11, 0), "Not found")</f>
        <v/>
      </c>
    </row>
    <row r="224" ht="26.4" customHeight="1" s="578">
      <c r="A224" s="201">
        <f>_xlfn.AGGREGATE(3,3,$D$7:D224)</f>
        <v/>
      </c>
      <c r="B224" s="589" t="inlineStr">
        <is>
          <t>16+</t>
        </is>
      </c>
      <c r="C224" s="234" t="inlineStr">
        <is>
          <t>MOV_ACT_LNVM__16__2486863</t>
        </is>
      </c>
      <c r="D224" s="611" t="inlineStr">
        <is>
          <t>Bitcoin heist</t>
        </is>
      </c>
      <c r="E224" s="589" t="inlineStr">
        <is>
          <t>SIÊU TRỘM</t>
        </is>
      </c>
      <c r="F224" s="590" t="inlineStr">
        <is>
          <t>Action, Adventure</t>
        </is>
      </c>
      <c r="G224" s="589" t="inlineStr">
        <is>
          <t>BHD</t>
        </is>
      </c>
      <c r="H224" s="589" t="inlineStr">
        <is>
          <t>90/2015/HDBQ/VSTV-BHD</t>
        </is>
      </c>
      <c r="I224" s="96" t="n">
        <v>2016</v>
      </c>
      <c r="J224" s="592" t="inlineStr">
        <is>
          <t>Việt Nam</t>
        </is>
      </c>
      <c r="K224" s="100" t="n">
        <v>120</v>
      </c>
      <c r="L224" s="98" t="n">
        <v>42517</v>
      </c>
      <c r="M224" s="601" t="inlineStr">
        <is>
          <t>Vĩnh viễn</t>
        </is>
      </c>
      <c r="N224" s="609" t="n">
        <v>42517</v>
      </c>
      <c r="O224" s="592" t="n"/>
      <c r="P224" s="240" t="n">
        <v>24</v>
      </c>
      <c r="Q224" s="592" t="inlineStr">
        <is>
          <t>No</t>
        </is>
      </c>
      <c r="R224" s="592" t="inlineStr">
        <is>
          <t>Yes</t>
        </is>
      </c>
      <c r="S224" s="592" t="inlineStr">
        <is>
          <t>Yes</t>
        </is>
      </c>
      <c r="T224" s="592" t="inlineStr">
        <is>
          <t>Yes</t>
        </is>
      </c>
      <c r="U224" s="592" t="inlineStr">
        <is>
          <t>Yes</t>
        </is>
      </c>
      <c r="V224" s="592" t="inlineStr">
        <is>
          <t>Yes</t>
        </is>
      </c>
      <c r="W224" s="592" t="inlineStr">
        <is>
          <t>Yes</t>
        </is>
      </c>
      <c r="X224" s="592" t="inlineStr">
        <is>
          <t>No</t>
        </is>
      </c>
      <c r="Y224" s="592" t="inlineStr">
        <is>
          <t>yes</t>
        </is>
      </c>
      <c r="Z224" s="98" t="n">
        <v>42517</v>
      </c>
      <c r="AA224" s="601" t="inlineStr">
        <is>
          <t>Vĩnh viễn</t>
        </is>
      </c>
      <c r="AB224" s="96" t="n">
        <v>6</v>
      </c>
      <c r="AC224" s="100" t="n">
        <v>4</v>
      </c>
      <c r="AD224" s="592" t="inlineStr">
        <is>
          <t>Yes</t>
        </is>
      </c>
      <c r="AE224" s="592" t="inlineStr">
        <is>
          <t>Yes</t>
        </is>
      </c>
      <c r="AF224" s="600" t="n"/>
      <c r="AG224" s="593" t="inlineStr">
        <is>
          <t>Phim còn hạn từ 2026</t>
        </is>
      </c>
      <c r="AH224" s="594" t="n"/>
      <c r="AI224" s="207" t="inlineStr">
        <is>
          <t>Film hợp tác - Siêu trộm/ Bitcoin Heist</t>
        </is>
      </c>
      <c r="AJ224" s="128">
        <f>SUMIF('TK 15661.Bản quyền phim '!F:F,'KK1. Movies'!D224,'TK 15661.Bản quyền phim '!X:X)</f>
        <v/>
      </c>
      <c r="AK224" s="128">
        <f>SUMIF('TK 15661.Bản quyền phim '!F:F,'KK1. Movies'!AI224,'TK 15661.Bản quyền phim '!X:X)</f>
        <v/>
      </c>
      <c r="AL224" s="203">
        <f>COUNTIF('242.BQ Phim hợp tác'!$C:$C,'KK1. Movies'!AI224)</f>
        <v/>
      </c>
      <c r="AM224" s="203">
        <f>COUNTIF('TK 15661.Bản quyền phim '!F:F,'KK1. Movies'!AI224)</f>
        <v/>
      </c>
      <c r="AN224" s="546">
        <f>AL224+AM224</f>
        <v/>
      </c>
      <c r="AO224" s="203" t="n"/>
      <c r="AP224" s="203" t="n"/>
      <c r="AQ224" s="203" t="n"/>
      <c r="AR224" s="203" t="n"/>
      <c r="AS224" s="203" t="n"/>
      <c r="AT224" s="546">
        <f>IFERROR(VLOOKUP(C224, CodeRanMovies!$A:$K, 11, 0), "Not found")</f>
        <v/>
      </c>
    </row>
    <row r="225" ht="52.8" customHeight="1" s="578">
      <c r="A225" s="201">
        <f>_xlfn.AGGREGATE(3,3,$D$7:D225)</f>
        <v/>
      </c>
      <c r="B225" s="589" t="inlineStr">
        <is>
          <t>16+</t>
        </is>
      </c>
      <c r="C225" s="234" t="inlineStr">
        <is>
          <t>MOV_COM_24__2714425</t>
        </is>
      </c>
      <c r="D225" s="105" t="inlineStr">
        <is>
          <t>DEATH AT A FUNERAL (2010)</t>
        </is>
      </c>
      <c r="E225" s="110" t="inlineStr">
        <is>
          <t>Tang gia bối rối</t>
        </is>
      </c>
      <c r="F225" s="590" t="inlineStr">
        <is>
          <t>Comedy</t>
        </is>
      </c>
      <c r="G225" s="103" t="inlineStr">
        <is>
          <t>SONY PICTURES</t>
        </is>
      </c>
      <c r="H225" s="590" t="inlineStr">
        <is>
          <t>Sony/K+Vietnam PayBasic SVOD Package Agmt D2D per JK (19-01-2024)</t>
        </is>
      </c>
      <c r="I225" s="104" t="n">
        <v>2010</v>
      </c>
      <c r="J225" s="600" t="inlineStr">
        <is>
          <t>US</t>
        </is>
      </c>
      <c r="K225" s="104" t="n">
        <v>92</v>
      </c>
      <c r="L225" s="98" t="n">
        <v>45505</v>
      </c>
      <c r="M225" s="98" t="n">
        <v>46234</v>
      </c>
      <c r="N225" s="601" t="n">
        <v>45511</v>
      </c>
      <c r="O225" s="592" t="inlineStr">
        <is>
          <t>K+CINE</t>
        </is>
      </c>
      <c r="P225" s="592" t="n"/>
      <c r="Q225" s="104" t="inlineStr">
        <is>
          <t>No</t>
        </is>
      </c>
      <c r="R225" s="592" t="inlineStr">
        <is>
          <t>Yes</t>
        </is>
      </c>
      <c r="S225" s="592" t="inlineStr">
        <is>
          <t>Yes</t>
        </is>
      </c>
      <c r="T225" s="592" t="inlineStr">
        <is>
          <t>Yes</t>
        </is>
      </c>
      <c r="U225" s="104" t="inlineStr">
        <is>
          <t>No</t>
        </is>
      </c>
      <c r="V225" s="104" t="inlineStr">
        <is>
          <t>No</t>
        </is>
      </c>
      <c r="W225" s="104" t="inlineStr">
        <is>
          <t>No</t>
        </is>
      </c>
      <c r="X225" s="104" t="inlineStr">
        <is>
          <t>No</t>
        </is>
      </c>
      <c r="Y225" s="104" t="inlineStr">
        <is>
          <t>No</t>
        </is>
      </c>
      <c r="Z225" s="106" t="n">
        <v>45505</v>
      </c>
      <c r="AA225" s="124" t="n">
        <v>46053</v>
      </c>
      <c r="AB225" s="107" t="n">
        <v>7</v>
      </c>
      <c r="AC225" s="202" t="n">
        <v>6</v>
      </c>
      <c r="AD225" s="592" t="inlineStr">
        <is>
          <t>Yes</t>
        </is>
      </c>
      <c r="AE225" s="592" t="inlineStr">
        <is>
          <t>Yes</t>
        </is>
      </c>
      <c r="AF225" s="600" t="n"/>
      <c r="AG225" s="593" t="inlineStr">
        <is>
          <t>Phim còn hạn từ 2026</t>
        </is>
      </c>
      <c r="AH225" s="594" t="n"/>
      <c r="AI225" s="599" t="inlineStr">
        <is>
          <t>DEATH AT A FUNERAL (2010)</t>
        </is>
      </c>
      <c r="AJ225" s="128">
        <f>SUMIF('TK 15661.Bản quyền phim '!F:F,'KK1. Movies'!D225,'TK 15661.Bản quyền phim '!X:X)</f>
        <v/>
      </c>
      <c r="AK225" s="128">
        <f>SUMIF('TK 15661.Bản quyền phim '!F:F,'KK1. Movies'!AI225,'TK 15661.Bản quyền phim '!X:X)</f>
        <v/>
      </c>
      <c r="AL225" s="203">
        <f>COUNTIF('242.BQ Phim hợp tác'!$C:$C,'KK1. Movies'!AI225)</f>
        <v/>
      </c>
      <c r="AM225" s="203">
        <f>COUNTIF('TK 15661.Bản quyền phim '!F:F,'KK1. Movies'!AI225)</f>
        <v/>
      </c>
      <c r="AN225" s="546">
        <f>AL225+AM225</f>
        <v/>
      </c>
      <c r="AO225" s="203" t="n"/>
      <c r="AP225" s="203" t="n"/>
      <c r="AQ225" s="203" t="n"/>
      <c r="AR225" s="203" t="n"/>
      <c r="AS225" s="203" t="n"/>
      <c r="AT225" s="546">
        <f>IFERROR(VLOOKUP(C225, CodeRanMovies!$A:$K, 11, 0), "Not found")</f>
        <v/>
      </c>
    </row>
    <row r="226" ht="26.4" customHeight="1" s="578">
      <c r="A226" s="201">
        <f>_xlfn.AGGREGATE(3,3,$D$7:D226)</f>
        <v/>
      </c>
      <c r="B226" s="589" t="inlineStr">
        <is>
          <t>16+</t>
        </is>
      </c>
      <c r="C226" s="590" t="inlineStr">
        <is>
          <t>MOV_HOR_24__2716635</t>
        </is>
      </c>
      <c r="D226" s="105" t="inlineStr">
        <is>
          <t>LAST NIGHT IN SOHO</t>
        </is>
      </c>
      <c r="E226" s="110" t="inlineStr">
        <is>
          <t>Đêm trước ở Soho</t>
        </is>
      </c>
      <c r="F226" s="108" t="inlineStr">
        <is>
          <t>action</t>
        </is>
      </c>
      <c r="G226" s="108" t="inlineStr">
        <is>
          <t>NBC Universal</t>
        </is>
      </c>
      <c r="H226" s="108" t="inlineStr">
        <is>
          <t>5049540-2/161434-3</t>
        </is>
      </c>
      <c r="I226" s="104" t="n">
        <v>2020</v>
      </c>
      <c r="J226" s="107" t="inlineStr">
        <is>
          <t>US</t>
        </is>
      </c>
      <c r="K226" s="104" t="n">
        <v>116</v>
      </c>
      <c r="L226" s="98" t="n">
        <v>45435</v>
      </c>
      <c r="M226" s="109" t="n">
        <v>46164</v>
      </c>
      <c r="N226" s="601" t="n">
        <v>45435</v>
      </c>
      <c r="O226" s="104" t="inlineStr">
        <is>
          <t>K+ACTION</t>
        </is>
      </c>
      <c r="P226" s="104" t="inlineStr">
        <is>
          <t xml:space="preserve"> </t>
        </is>
      </c>
      <c r="Q226" s="104" t="inlineStr">
        <is>
          <t>No</t>
        </is>
      </c>
      <c r="R226" s="592" t="inlineStr">
        <is>
          <t>Yes</t>
        </is>
      </c>
      <c r="S226" s="104" t="inlineStr">
        <is>
          <t>Yes</t>
        </is>
      </c>
      <c r="T226" s="592" t="inlineStr">
        <is>
          <t>Yes</t>
        </is>
      </c>
      <c r="U226" s="104" t="inlineStr">
        <is>
          <t>No</t>
        </is>
      </c>
      <c r="V226" s="104" t="inlineStr">
        <is>
          <t>No</t>
        </is>
      </c>
      <c r="W226" s="104" t="inlineStr">
        <is>
          <t>No</t>
        </is>
      </c>
      <c r="X226" s="104" t="inlineStr">
        <is>
          <t>No</t>
        </is>
      </c>
      <c r="Y226" s="104" t="inlineStr">
        <is>
          <t>Yes</t>
        </is>
      </c>
      <c r="Z226" s="98" t="n">
        <v>45435</v>
      </c>
      <c r="AA226" s="109" t="n">
        <v>46164</v>
      </c>
      <c r="AB226" s="107" t="n">
        <v>6</v>
      </c>
      <c r="AC226" s="107" t="n">
        <v>3</v>
      </c>
      <c r="AD226" s="592" t="inlineStr">
        <is>
          <t>Yes</t>
        </is>
      </c>
      <c r="AE226" s="592" t="inlineStr">
        <is>
          <t>Yes</t>
        </is>
      </c>
      <c r="AF226" s="600" t="n"/>
      <c r="AG226" s="593" t="inlineStr">
        <is>
          <t>Phim còn hạn từ 2026</t>
        </is>
      </c>
      <c r="AH226" s="594" t="n"/>
      <c r="AI226" s="599" t="inlineStr">
        <is>
          <t>LAST NIGHT IN SOHO</t>
        </is>
      </c>
      <c r="AJ226" s="128">
        <f>SUMIF('TK 15661.Bản quyền phim '!F:F,'KK1. Movies'!D226,'TK 15661.Bản quyền phim '!X:X)</f>
        <v/>
      </c>
      <c r="AK226" s="128">
        <f>SUMIF('TK 15661.Bản quyền phim '!F:F,'KK1. Movies'!AI226,'TK 15661.Bản quyền phim '!X:X)</f>
        <v/>
      </c>
      <c r="AL226" s="203">
        <f>COUNTIF('242.BQ Phim hợp tác'!$C:$C,'KK1. Movies'!AI226)</f>
        <v/>
      </c>
      <c r="AM226" s="203">
        <f>COUNTIF('TK 15661.Bản quyền phim '!F:F,'KK1. Movies'!AI226)</f>
        <v/>
      </c>
      <c r="AN226" s="546">
        <f>AL226+AM226</f>
        <v/>
      </c>
      <c r="AO226" s="203" t="n"/>
      <c r="AP226" s="203" t="n"/>
      <c r="AQ226" s="203" t="n"/>
      <c r="AR226" s="203" t="n"/>
      <c r="AS226" s="203" t="n"/>
      <c r="AT226" s="546">
        <f>IFERROR(VLOOKUP(C226, CodeRanMovies!$A:$K, 11, 0), "Not found")</f>
        <v/>
      </c>
    </row>
    <row r="227" ht="26.4" customHeight="1" s="578">
      <c r="A227" s="201">
        <f>_xlfn.AGGREGATE(3,3,$D$7:D227)</f>
        <v/>
      </c>
      <c r="B227" s="589" t="inlineStr">
        <is>
          <t>P</t>
        </is>
      </c>
      <c r="C227" s="234" t="inlineStr">
        <is>
          <t>MOV_ANI_23__2695078</t>
        </is>
      </c>
      <c r="D227" s="596" t="inlineStr">
        <is>
          <t>Ainbo</t>
        </is>
      </c>
      <c r="E227" s="590" t="inlineStr">
        <is>
          <t>Ainbo: Nữ Chiến Binh Amazon</t>
        </is>
      </c>
      <c r="F227" s="590" t="inlineStr">
        <is>
          <t>Comedy</t>
        </is>
      </c>
      <c r="G227" s="589" t="inlineStr">
        <is>
          <t>Roses Media</t>
        </is>
      </c>
      <c r="H227" s="590" t="inlineStr">
        <is>
          <t>140/2022/HDBQ/VSTV-RM</t>
        </is>
      </c>
      <c r="I227" s="204" t="n">
        <v>2021</v>
      </c>
      <c r="J227" s="592" t="inlineStr">
        <is>
          <t>US</t>
        </is>
      </c>
      <c r="K227" s="204" t="n">
        <v>85</v>
      </c>
      <c r="L227" s="98" t="n">
        <v>45192</v>
      </c>
      <c r="M227" s="101" t="n">
        <v>46287</v>
      </c>
      <c r="N227" s="601" t="n">
        <v>45192</v>
      </c>
      <c r="O227" s="592" t="inlineStr">
        <is>
          <t>K+KIDS</t>
        </is>
      </c>
      <c r="P227" s="592" t="inlineStr">
        <is>
          <t xml:space="preserve">Exclusive All Pay TV Rights for first 12 months.
Non exclusive All VOD during LP 
</t>
        </is>
      </c>
      <c r="Q227" s="592" t="inlineStr">
        <is>
          <t>No</t>
        </is>
      </c>
      <c r="R227" s="592" t="inlineStr">
        <is>
          <t>Yes</t>
        </is>
      </c>
      <c r="S227" s="104" t="inlineStr">
        <is>
          <t>No</t>
        </is>
      </c>
      <c r="T227" s="592" t="inlineStr">
        <is>
          <t>Yes</t>
        </is>
      </c>
      <c r="U227" s="592" t="inlineStr">
        <is>
          <t>Yes</t>
        </is>
      </c>
      <c r="V227" s="592" t="inlineStr">
        <is>
          <t>Yes</t>
        </is>
      </c>
      <c r="W227" s="592" t="inlineStr">
        <is>
          <t>Yes</t>
        </is>
      </c>
      <c r="X227" s="592" t="inlineStr">
        <is>
          <t>Yes</t>
        </is>
      </c>
      <c r="Y227" s="592" t="inlineStr">
        <is>
          <t>No</t>
        </is>
      </c>
      <c r="Z227" s="98" t="n">
        <v>45192</v>
      </c>
      <c r="AA227" s="101" t="n">
        <v>46287</v>
      </c>
      <c r="AB227" s="202" t="n">
        <v>24</v>
      </c>
      <c r="AC227" s="202" t="n">
        <v>20</v>
      </c>
      <c r="AD227" s="592" t="inlineStr">
        <is>
          <t>Yes</t>
        </is>
      </c>
      <c r="AE227" s="592" t="inlineStr">
        <is>
          <t>Yes</t>
        </is>
      </c>
      <c r="AF227" s="600" t="n"/>
      <c r="AG227" s="593" t="inlineStr">
        <is>
          <t>Phim còn hạn từ 2026</t>
        </is>
      </c>
      <c r="AH227" s="594" t="n"/>
      <c r="AI227" s="599" t="inlineStr">
        <is>
          <t>Ainbo</t>
        </is>
      </c>
      <c r="AJ227" s="128">
        <f>SUMIF('TK 15661.Bản quyền phim '!F:F,'KK1. Movies'!D227,'TK 15661.Bản quyền phim '!X:X)</f>
        <v/>
      </c>
      <c r="AK227" s="128">
        <f>SUMIF('TK 15661.Bản quyền phim '!F:F,'KK1. Movies'!AI227,'TK 15661.Bản quyền phim '!X:X)</f>
        <v/>
      </c>
      <c r="AL227" s="203">
        <f>COUNTIF('242.BQ Phim hợp tác'!$C:$C,'KK1. Movies'!AI227)</f>
        <v/>
      </c>
      <c r="AM227" s="203">
        <f>COUNTIF('TK 15661.Bản quyền phim '!F:F,'KK1. Movies'!AI227)</f>
        <v/>
      </c>
      <c r="AN227" s="546">
        <f>AL227+AM227</f>
        <v/>
      </c>
      <c r="AO227" s="203" t="n"/>
      <c r="AP227" s="203" t="n"/>
      <c r="AQ227" s="203" t="n"/>
      <c r="AR227" s="203" t="n"/>
      <c r="AS227" s="203" t="n"/>
      <c r="AT227" s="546">
        <f>IFERROR(VLOOKUP(C227, CodeRanMovies!$A:$K, 11, 0), "Not found")</f>
        <v/>
      </c>
    </row>
    <row r="228">
      <c r="A228" s="201">
        <f>_xlfn.AGGREGATE(3,3,$D$7:D228)</f>
        <v/>
      </c>
      <c r="B228" s="589" t="inlineStr">
        <is>
          <t>16+</t>
        </is>
      </c>
      <c r="C228" s="590" t="inlineStr">
        <is>
          <t>MOV_HOR_23__2696804</t>
        </is>
      </c>
      <c r="D228" s="596" t="inlineStr">
        <is>
          <t>Scent of Ghost</t>
        </is>
      </c>
      <c r="E228" s="593" t="inlineStr">
        <is>
          <t>Ma nữ chung cư</t>
        </is>
      </c>
      <c r="F228" s="590" t="inlineStr">
        <is>
          <t>Horror</t>
        </is>
      </c>
      <c r="G228" s="589" t="inlineStr">
        <is>
          <t>King Content</t>
        </is>
      </c>
      <c r="H228" s="590" t="inlineStr">
        <is>
          <t>52/2023/HDBQ/VSTV-KC</t>
        </is>
      </c>
      <c r="I228" s="204" t="n">
        <v>2019</v>
      </c>
      <c r="J228" s="600" t="inlineStr">
        <is>
          <t>Korea</t>
        </is>
      </c>
      <c r="K228" s="204" t="n">
        <v>93</v>
      </c>
      <c r="L228" s="98" t="n">
        <v>45147</v>
      </c>
      <c r="M228" s="101" t="n">
        <v>46242</v>
      </c>
      <c r="N228" s="597" t="n">
        <v>45204</v>
      </c>
      <c r="O228" s="598" t="inlineStr">
        <is>
          <t>K+CINE</t>
        </is>
      </c>
      <c r="P228" s="102" t="inlineStr">
        <is>
          <t>Exclusive All PayTV rights and Non-Exclusive VOD rights</t>
        </is>
      </c>
      <c r="Q228" s="592" t="inlineStr">
        <is>
          <t>Yes</t>
        </is>
      </c>
      <c r="R228" s="592" t="inlineStr">
        <is>
          <t>Yes</t>
        </is>
      </c>
      <c r="S228" s="592" t="inlineStr">
        <is>
          <t>No</t>
        </is>
      </c>
      <c r="T228" s="592" t="inlineStr">
        <is>
          <t>Yes</t>
        </is>
      </c>
      <c r="U228" s="592" t="inlineStr">
        <is>
          <t>Yes</t>
        </is>
      </c>
      <c r="V228" s="592" t="inlineStr">
        <is>
          <t>Yes</t>
        </is>
      </c>
      <c r="W228" s="592" t="inlineStr">
        <is>
          <t>Yes</t>
        </is>
      </c>
      <c r="X228" s="592" t="inlineStr">
        <is>
          <t>Yes</t>
        </is>
      </c>
      <c r="Y228" s="592" t="inlineStr">
        <is>
          <t>No</t>
        </is>
      </c>
      <c r="Z228" s="98" t="n">
        <v>45147</v>
      </c>
      <c r="AA228" s="101" t="n">
        <v>46242</v>
      </c>
      <c r="AB228" s="96" t="inlineStr">
        <is>
          <t>unlimited</t>
        </is>
      </c>
      <c r="AC228" s="202" t="n">
        <v>39</v>
      </c>
      <c r="AD228" s="592" t="inlineStr">
        <is>
          <t>Yes</t>
        </is>
      </c>
      <c r="AE228" s="592" t="inlineStr">
        <is>
          <t>Yes</t>
        </is>
      </c>
      <c r="AF228" s="600" t="n"/>
      <c r="AG228" s="593" t="inlineStr">
        <is>
          <t>Phim còn hạn từ 2026</t>
        </is>
      </c>
      <c r="AH228" s="594" t="n"/>
      <c r="AI228" s="599" t="inlineStr">
        <is>
          <t>Scent of Ghost</t>
        </is>
      </c>
      <c r="AJ228" s="128">
        <f>SUMIF('TK 15661.Bản quyền phim '!F:F,'KK1. Movies'!D228,'TK 15661.Bản quyền phim '!X:X)</f>
        <v/>
      </c>
      <c r="AK228" s="128">
        <f>SUMIF('TK 15661.Bản quyền phim '!F:F,'KK1. Movies'!AI228,'TK 15661.Bản quyền phim '!X:X)</f>
        <v/>
      </c>
      <c r="AL228" s="203">
        <f>COUNTIF('242.BQ Phim hợp tác'!$C:$C,'KK1. Movies'!AI228)</f>
        <v/>
      </c>
      <c r="AM228" s="203">
        <f>COUNTIF('TK 15661.Bản quyền phim '!F:F,'KK1. Movies'!AI228)</f>
        <v/>
      </c>
      <c r="AN228" s="546">
        <f>AL228+AM228</f>
        <v/>
      </c>
      <c r="AO228" s="203" t="n"/>
      <c r="AP228" s="203" t="n"/>
      <c r="AQ228" s="203" t="n"/>
      <c r="AR228" s="203" t="n"/>
      <c r="AS228" s="203" t="n"/>
      <c r="AT228" s="546">
        <f>IFERROR(VLOOKUP(C228, CodeRanMovies!$A:$K, 11, 0), "Not found")</f>
        <v/>
      </c>
    </row>
    <row r="229" ht="52.8" customHeight="1" s="578">
      <c r="A229" s="201">
        <f>_xlfn.AGGREGATE(3,3,$D$7:D229)</f>
        <v/>
      </c>
      <c r="B229" s="606" t="inlineStr">
        <is>
          <t>n/a</t>
        </is>
      </c>
      <c r="C229" s="590" t="inlineStr">
        <is>
          <t>MOV_COM294</t>
        </is>
      </c>
      <c r="D229" s="105" t="inlineStr">
        <is>
          <t>HUNT FOR THE WILDERPEOPLE</t>
        </is>
      </c>
      <c r="E229" s="110" t="inlineStr">
        <is>
          <t>Cuộc đi săn kỳ lạ</t>
        </is>
      </c>
      <c r="F229" s="590" t="inlineStr">
        <is>
          <t>Action, Adventure</t>
        </is>
      </c>
      <c r="G229" s="103" t="inlineStr">
        <is>
          <t>SONY</t>
        </is>
      </c>
      <c r="H229" s="590" t="inlineStr">
        <is>
          <t>Sony/K+Vietnam PayBasic SVOD Package Agmt D3A FE (Feb-5-24)</t>
        </is>
      </c>
      <c r="I229" s="104" t="n">
        <v>2016</v>
      </c>
      <c r="J229" s="104" t="inlineStr">
        <is>
          <t>New Zealand [excluding adjacent islands]</t>
        </is>
      </c>
      <c r="K229" s="104" t="n">
        <v>101</v>
      </c>
      <c r="L229" s="591" t="n">
        <v>45736</v>
      </c>
      <c r="M229" s="106" t="n">
        <v>46465</v>
      </c>
      <c r="N229" s="601" t="n"/>
      <c r="O229" s="592" t="n"/>
      <c r="P229" s="592" t="n"/>
      <c r="Q229" s="104" t="inlineStr">
        <is>
          <t>No</t>
        </is>
      </c>
      <c r="R229" s="104" t="inlineStr">
        <is>
          <t>Yes</t>
        </is>
      </c>
      <c r="S229" s="104" t="inlineStr">
        <is>
          <t>Yes</t>
        </is>
      </c>
      <c r="T229" s="592" t="inlineStr">
        <is>
          <t>Yes</t>
        </is>
      </c>
      <c r="U229" s="104" t="inlineStr">
        <is>
          <t>No</t>
        </is>
      </c>
      <c r="V229" s="104" t="inlineStr">
        <is>
          <t>No</t>
        </is>
      </c>
      <c r="W229" s="104" t="inlineStr">
        <is>
          <t>No</t>
        </is>
      </c>
      <c r="X229" s="104" t="inlineStr">
        <is>
          <t>Yes</t>
        </is>
      </c>
      <c r="Y229" s="104" t="inlineStr">
        <is>
          <t>No</t>
        </is>
      </c>
      <c r="Z229" s="106" t="n">
        <v>45736</v>
      </c>
      <c r="AA229" s="124" t="n">
        <v>46284</v>
      </c>
      <c r="AB229" s="104" t="n">
        <v>7</v>
      </c>
      <c r="AC229" s="202" t="n">
        <v>2</v>
      </c>
      <c r="AD229" s="592" t="inlineStr">
        <is>
          <t>Yes</t>
        </is>
      </c>
      <c r="AE229" s="592" t="inlineStr">
        <is>
          <t>Yes</t>
        </is>
      </c>
      <c r="AF229" s="600" t="n"/>
      <c r="AG229" s="593" t="inlineStr">
        <is>
          <t>Phim còn hạn từ 2026</t>
        </is>
      </c>
      <c r="AH229" s="594" t="n"/>
      <c r="AI229" s="206" t="inlineStr">
        <is>
          <t>HUNT FOR THE WILDERPEOPLE</t>
        </is>
      </c>
      <c r="AJ229" s="128">
        <f>SUMIF('TK 15661.Bản quyền phim '!F:F,'KK1. Movies'!D229,'TK 15661.Bản quyền phim '!X:X)</f>
        <v/>
      </c>
      <c r="AK229" s="128">
        <f>SUMIF('TK 15661.Bản quyền phim '!F:F,'KK1. Movies'!AI229,'TK 15661.Bản quyền phim '!X:X)</f>
        <v/>
      </c>
      <c r="AL229" s="203">
        <f>COUNTIF('242.BQ Phim hợp tác'!$C:$C,'KK1. Movies'!AI229)</f>
        <v/>
      </c>
      <c r="AM229" s="203">
        <f>COUNTIF('TK 15661.Bản quyền phim '!F:F,'KK1. Movies'!AI229)</f>
        <v/>
      </c>
      <c r="AN229" s="546">
        <f>AL229+AM229</f>
        <v/>
      </c>
      <c r="AO229" s="203" t="n"/>
      <c r="AP229" s="203" t="n"/>
      <c r="AQ229" s="203" t="n"/>
      <c r="AR229" s="203" t="n"/>
      <c r="AS229" s="203" t="n"/>
      <c r="AT229" s="546">
        <f>IFERROR(VLOOKUP(C229, CodeRanMovies!$A:$K, 11, 0), "Not found")</f>
        <v/>
      </c>
    </row>
    <row r="230" ht="26.4" customHeight="1" s="578">
      <c r="A230" s="201">
        <f>_xlfn.AGGREGATE(3,3,$D$7:D230)</f>
        <v/>
      </c>
      <c r="B230" s="589" t="inlineStr">
        <is>
          <t>16+</t>
        </is>
      </c>
      <c r="C230" s="590" t="inlineStr">
        <is>
          <t>MOV_ACT_24__2713433</t>
        </is>
      </c>
      <c r="D230" s="105" t="inlineStr">
        <is>
          <t>BEAR MAN</t>
        </is>
      </c>
      <c r="E230" s="110" t="inlineStr">
        <is>
          <t>ĐẦU GẤU ĐỤNG ĐẦU ĐẤT</t>
        </is>
      </c>
      <c r="F230" s="590" t="inlineStr">
        <is>
          <t>Comedy</t>
        </is>
      </c>
      <c r="G230" s="103" t="inlineStr">
        <is>
          <t>CJ HK</t>
        </is>
      </c>
      <c r="H230" s="590" t="inlineStr">
        <is>
          <t>180/2024/HDBQ/VSTV-CJHK</t>
        </is>
      </c>
      <c r="I230" s="104" t="n">
        <v>2023</v>
      </c>
      <c r="J230" s="600" t="inlineStr">
        <is>
          <t>Korea</t>
        </is>
      </c>
      <c r="K230" s="104" t="n">
        <v>98</v>
      </c>
      <c r="L230" s="98" t="n">
        <v>45518</v>
      </c>
      <c r="M230" s="106" t="n">
        <v>46612</v>
      </c>
      <c r="N230" s="601" t="n">
        <v>45518</v>
      </c>
      <c r="O230" s="592" t="inlineStr">
        <is>
          <t>K+CINE</t>
        </is>
      </c>
      <c r="P230" s="100" t="n">
        <v>12</v>
      </c>
      <c r="Q230" s="104" t="inlineStr">
        <is>
          <t>No</t>
        </is>
      </c>
      <c r="R230" s="592" t="inlineStr">
        <is>
          <t>Yes</t>
        </is>
      </c>
      <c r="S230" s="592" t="inlineStr">
        <is>
          <t>Yes</t>
        </is>
      </c>
      <c r="T230" s="592" t="inlineStr">
        <is>
          <t>Yes</t>
        </is>
      </c>
      <c r="U230" s="592" t="inlineStr">
        <is>
          <t>Yes</t>
        </is>
      </c>
      <c r="V230" s="592" t="inlineStr">
        <is>
          <t>Yes</t>
        </is>
      </c>
      <c r="W230" s="592" t="inlineStr">
        <is>
          <t>Yes</t>
        </is>
      </c>
      <c r="X230" s="104" t="inlineStr">
        <is>
          <t>No</t>
        </is>
      </c>
      <c r="Y230" s="592" t="inlineStr">
        <is>
          <t>Yes</t>
        </is>
      </c>
      <c r="Z230" s="98" t="n">
        <v>45518</v>
      </c>
      <c r="AA230" s="106" t="n">
        <v>46612</v>
      </c>
      <c r="AB230" s="592" t="inlineStr">
        <is>
          <t>Unlimited</t>
        </is>
      </c>
      <c r="AC230" s="202" t="n">
        <v>15</v>
      </c>
      <c r="AD230" s="592" t="inlineStr">
        <is>
          <t>Yes</t>
        </is>
      </c>
      <c r="AE230" s="592" t="inlineStr">
        <is>
          <t>Yes</t>
        </is>
      </c>
      <c r="AF230" s="600" t="n"/>
      <c r="AG230" s="593" t="inlineStr">
        <is>
          <t>Phim còn hạn từ 2026</t>
        </is>
      </c>
      <c r="AH230" s="594" t="n"/>
      <c r="AI230" s="206" t="inlineStr">
        <is>
          <t>BEAR MAN (ĐẦU GẤU ĐỤNG ĐẦU ĐẤT)</t>
        </is>
      </c>
      <c r="AJ230" s="128">
        <f>SUMIF('TK 15661.Bản quyền phim '!F:F,'KK1. Movies'!D230,'TK 15661.Bản quyền phim '!X:X)</f>
        <v/>
      </c>
      <c r="AK230" s="128">
        <f>SUMIF('TK 15661.Bản quyền phim '!F:F,'KK1. Movies'!AI230,'TK 15661.Bản quyền phim '!X:X)</f>
        <v/>
      </c>
      <c r="AL230" s="203">
        <f>COUNTIF('242.BQ Phim hợp tác'!$C:$C,'KK1. Movies'!AI230)</f>
        <v/>
      </c>
      <c r="AM230" s="203">
        <f>COUNTIF('TK 15661.Bản quyền phim '!F:F,'KK1. Movies'!AI230)</f>
        <v/>
      </c>
      <c r="AN230" s="546">
        <f>AL230+AM230</f>
        <v/>
      </c>
      <c r="AO230" s="203" t="n"/>
      <c r="AP230" s="203" t="n"/>
      <c r="AQ230" s="203" t="n"/>
      <c r="AR230" s="203" t="n"/>
      <c r="AS230" s="203" t="n"/>
      <c r="AT230" s="546">
        <f>IFERROR(VLOOKUP(C230, CodeRanMovies!$A:$K, 11, 0), "Not found")</f>
        <v/>
      </c>
    </row>
    <row r="231" ht="26.4" customHeight="1" s="578">
      <c r="A231" s="201">
        <f>_xlfn.AGGREGATE(3,3,$D$7:D231)</f>
        <v/>
      </c>
      <c r="B231" s="589" t="inlineStr">
        <is>
          <t>16+</t>
        </is>
      </c>
      <c r="C231" s="234" t="inlineStr">
        <is>
          <t>MOV_ACT_21__2654661</t>
        </is>
      </c>
      <c r="D231" s="590" t="inlineStr">
        <is>
          <t>Heroes Return</t>
        </is>
      </c>
      <c r="E231" s="590" t="inlineStr">
        <is>
          <t>Anh hùng trở về</t>
        </is>
      </c>
      <c r="F231" s="590" t="inlineStr">
        <is>
          <t>Action, Adventure</t>
        </is>
      </c>
      <c r="G231" s="590" t="inlineStr">
        <is>
          <t>Pro Partner</t>
        </is>
      </c>
      <c r="H231" s="590" t="inlineStr">
        <is>
          <t>47F/2022/VSTV-Pro Partner</t>
        </is>
      </c>
      <c r="I231" s="204" t="n">
        <v>2021</v>
      </c>
      <c r="J231" s="204" t="inlineStr">
        <is>
          <t>China</t>
        </is>
      </c>
      <c r="K231" s="204" t="n">
        <v>90</v>
      </c>
      <c r="L231" s="98" t="n">
        <v>44562</v>
      </c>
      <c r="M231" s="602" t="n">
        <v>46387</v>
      </c>
      <c r="N231" s="603" t="n">
        <v>44545</v>
      </c>
      <c r="O231" s="592" t="inlineStr">
        <is>
          <t>K+CINE</t>
        </is>
      </c>
      <c r="P231" s="412" t="inlineStr">
        <is>
          <t xml:space="preserve">Exclusive All TV Rights for the first 9 months of LP. 
Non exclusive All VOD during LP </t>
        </is>
      </c>
      <c r="Q231" s="413" t="inlineStr">
        <is>
          <t>No</t>
        </is>
      </c>
      <c r="R231" s="592" t="inlineStr">
        <is>
          <t>Yes</t>
        </is>
      </c>
      <c r="S231" s="592" t="inlineStr">
        <is>
          <t>Yes</t>
        </is>
      </c>
      <c r="T231" s="592" t="inlineStr">
        <is>
          <t>Yes</t>
        </is>
      </c>
      <c r="U231" s="592" t="inlineStr">
        <is>
          <t>Yes</t>
        </is>
      </c>
      <c r="V231" s="592" t="inlineStr">
        <is>
          <t>Yes</t>
        </is>
      </c>
      <c r="W231" s="592" t="inlineStr">
        <is>
          <t>Yes</t>
        </is>
      </c>
      <c r="X231" s="592" t="inlineStr">
        <is>
          <t>Yes</t>
        </is>
      </c>
      <c r="Y231" s="592" t="inlineStr">
        <is>
          <t>Yes</t>
        </is>
      </c>
      <c r="Z231" s="98" t="n">
        <v>44562</v>
      </c>
      <c r="AA231" s="602" t="n">
        <v>46387</v>
      </c>
      <c r="AB231" s="96" t="inlineStr">
        <is>
          <t>unlimited</t>
        </is>
      </c>
      <c r="AC231" s="202" t="n">
        <v>51</v>
      </c>
      <c r="AD231" s="592" t="inlineStr">
        <is>
          <t>Yes</t>
        </is>
      </c>
      <c r="AE231" s="592" t="inlineStr">
        <is>
          <t>Yes</t>
        </is>
      </c>
      <c r="AF231" s="600" t="n"/>
      <c r="AG231" s="593" t="inlineStr">
        <is>
          <t>Phim còn hạn từ 2026</t>
        </is>
      </c>
      <c r="AH231" s="594" t="n"/>
      <c r="AI231" s="590" t="inlineStr">
        <is>
          <t>HEROS RETURN</t>
        </is>
      </c>
      <c r="AJ231" s="128">
        <f>SUMIF('TK 15661.Bản quyền phim '!F:F,'KK1. Movies'!D231,'TK 15661.Bản quyền phim '!X:X)</f>
        <v/>
      </c>
      <c r="AK231" s="128">
        <f>SUMIF('TK 15661.Bản quyền phim '!F:F,'KK1. Movies'!AI231,'TK 15661.Bản quyền phim '!X:X)</f>
        <v/>
      </c>
      <c r="AL231" s="203">
        <f>COUNTIF('242.BQ Phim hợp tác'!$C:$C,'KK1. Movies'!AI231)</f>
        <v/>
      </c>
      <c r="AM231" s="203">
        <f>COUNTIF('TK 15661.Bản quyền phim '!F:F,'KK1. Movies'!AI231)</f>
        <v/>
      </c>
      <c r="AN231" s="546">
        <f>AL231+AM231</f>
        <v/>
      </c>
      <c r="AO231" s="203" t="n"/>
      <c r="AP231" s="203" t="n"/>
      <c r="AQ231" s="203" t="n"/>
      <c r="AR231" s="203" t="n"/>
      <c r="AS231" s="203" t="n"/>
      <c r="AT231" s="546">
        <f>IFERROR(VLOOKUP(C231, CodeRanMovies!$A:$K, 11, 0), "Not found")</f>
        <v/>
      </c>
    </row>
    <row r="232">
      <c r="A232" s="201">
        <f>_xlfn.AGGREGATE(3,3,$D$7:D232)</f>
        <v/>
      </c>
      <c r="B232" s="606" t="inlineStr">
        <is>
          <t>n/a</t>
        </is>
      </c>
      <c r="C232" s="590" t="inlineStr">
        <is>
          <t>MOV_DRA745</t>
        </is>
      </c>
      <c r="D232" s="105" t="inlineStr">
        <is>
          <t>BELFAST</t>
        </is>
      </c>
      <c r="E232" s="97" t="inlineStr">
        <is>
          <t>Hồi ký Belfast</t>
        </is>
      </c>
      <c r="F232" s="590" t="inlineStr">
        <is>
          <t>Drama</t>
        </is>
      </c>
      <c r="G232" s="103" t="inlineStr">
        <is>
          <t>NBC Universal</t>
        </is>
      </c>
      <c r="H232" s="108" t="inlineStr">
        <is>
          <t>5051370-3/166015-3</t>
        </is>
      </c>
      <c r="I232" s="104" t="n">
        <v>2021</v>
      </c>
      <c r="J232" s="104" t="inlineStr">
        <is>
          <t>US</t>
        </is>
      </c>
      <c r="K232" s="104" t="n">
        <v>98</v>
      </c>
      <c r="L232" s="591" t="n">
        <v>45712</v>
      </c>
      <c r="M232" s="98" t="n">
        <v>46441</v>
      </c>
      <c r="N232" s="601" t="inlineStr">
        <is>
          <t>n/a</t>
        </is>
      </c>
      <c r="O232" s="592" t="n"/>
      <c r="P232" s="104" t="n"/>
      <c r="Q232" s="107" t="inlineStr">
        <is>
          <t>No</t>
        </is>
      </c>
      <c r="R232" s="592" t="inlineStr">
        <is>
          <t>Yes</t>
        </is>
      </c>
      <c r="S232" s="107" t="inlineStr">
        <is>
          <t>Yes</t>
        </is>
      </c>
      <c r="T232" s="592" t="inlineStr">
        <is>
          <t>Yes</t>
        </is>
      </c>
      <c r="U232" s="104" t="inlineStr">
        <is>
          <t>No</t>
        </is>
      </c>
      <c r="V232" s="104" t="inlineStr">
        <is>
          <t>No</t>
        </is>
      </c>
      <c r="W232" s="104" t="inlineStr">
        <is>
          <t>No</t>
        </is>
      </c>
      <c r="X232" s="107" t="inlineStr">
        <is>
          <t>Yes</t>
        </is>
      </c>
      <c r="Y232" s="104" t="inlineStr">
        <is>
          <t>No</t>
        </is>
      </c>
      <c r="Z232" s="109" t="n">
        <v>45712</v>
      </c>
      <c r="AA232" s="124" t="n">
        <v>46441</v>
      </c>
      <c r="AB232" s="104" t="n">
        <v>6</v>
      </c>
      <c r="AC232" s="202" t="n">
        <v>3</v>
      </c>
      <c r="AD232" s="592" t="inlineStr">
        <is>
          <t>Yes</t>
        </is>
      </c>
      <c r="AE232" s="592" t="inlineStr">
        <is>
          <t>Yes</t>
        </is>
      </c>
      <c r="AF232" s="600" t="n"/>
      <c r="AG232" s="593" t="inlineStr">
        <is>
          <t>Phim còn hạn từ 2026</t>
        </is>
      </c>
      <c r="AH232" s="594" t="n"/>
      <c r="AI232" s="206" t="inlineStr">
        <is>
          <t>BELFAST</t>
        </is>
      </c>
      <c r="AJ232" s="128">
        <f>SUMIF('TK 15661.Bản quyền phim '!F:F,'KK1. Movies'!D232,'TK 15661.Bản quyền phim '!X:X)</f>
        <v/>
      </c>
      <c r="AK232" s="128">
        <f>SUMIF('TK 15661.Bản quyền phim '!F:F,'KK1. Movies'!AI232,'TK 15661.Bản quyền phim '!X:X)</f>
        <v/>
      </c>
      <c r="AL232" s="203">
        <f>COUNTIF('242.BQ Phim hợp tác'!$C:$C,'KK1. Movies'!AI232)</f>
        <v/>
      </c>
      <c r="AM232" s="203">
        <f>COUNTIF('TK 15661.Bản quyền phim '!F:F,'KK1. Movies'!AI232)</f>
        <v/>
      </c>
      <c r="AN232" s="546">
        <f>AL232+AM232</f>
        <v/>
      </c>
      <c r="AO232" s="203" t="n"/>
      <c r="AP232" s="203" t="n"/>
      <c r="AQ232" s="203" t="n"/>
      <c r="AR232" s="203" t="n"/>
      <c r="AS232" s="203" t="n"/>
      <c r="AT232" s="546">
        <f>IFERROR(VLOOKUP(C232, CodeRanMovies!$A:$K, 11, 0), "Not found")</f>
        <v/>
      </c>
    </row>
    <row r="233">
      <c r="A233" s="201">
        <f>_xlfn.AGGREGATE(3,3,$D$7:D233)</f>
        <v/>
      </c>
      <c r="B233" s="589" t="n"/>
      <c r="C233" s="590" t="inlineStr">
        <is>
          <t>MOV_THR167</t>
        </is>
      </c>
      <c r="D233" s="105" t="inlineStr">
        <is>
          <t>Trending Topic</t>
        </is>
      </c>
      <c r="E233" s="110" t="inlineStr">
        <is>
          <t>Bạo lực mạng</t>
        </is>
      </c>
      <c r="F233" s="103" t="inlineStr">
        <is>
          <t>Thriller, Mystery, Drama</t>
        </is>
      </c>
      <c r="G233" s="103" t="inlineStr">
        <is>
          <t>iQiYi</t>
        </is>
      </c>
      <c r="H233" s="590" t="inlineStr">
        <is>
          <t>9/2025/HDBQVSTV-Iqiyi</t>
        </is>
      </c>
      <c r="I233" s="104" t="n">
        <v>2023</v>
      </c>
      <c r="J233" s="104" t="inlineStr">
        <is>
          <t>China</t>
        </is>
      </c>
      <c r="K233" s="104" t="n">
        <v>120</v>
      </c>
      <c r="L233" s="106" t="n">
        <v>45820</v>
      </c>
      <c r="M233" s="106" t="n">
        <v>46916</v>
      </c>
      <c r="N233" s="601" t="n"/>
      <c r="O233" s="592" t="n"/>
      <c r="P233" s="104" t="n">
        <v>36</v>
      </c>
      <c r="Q233" s="104" t="inlineStr">
        <is>
          <t>No</t>
        </is>
      </c>
      <c r="R233" s="592" t="inlineStr">
        <is>
          <t>Yes</t>
        </is>
      </c>
      <c r="S233" s="104" t="inlineStr">
        <is>
          <t>Yes</t>
        </is>
      </c>
      <c r="T233" s="592" t="inlineStr">
        <is>
          <t>Yes</t>
        </is>
      </c>
      <c r="U233" s="104" t="inlineStr">
        <is>
          <t>Yes</t>
        </is>
      </c>
      <c r="V233" s="104" t="inlineStr">
        <is>
          <t>No</t>
        </is>
      </c>
      <c r="W233" s="104" t="inlineStr">
        <is>
          <t>Yes</t>
        </is>
      </c>
      <c r="X233" s="104" t="inlineStr">
        <is>
          <t>Yes</t>
        </is>
      </c>
      <c r="Y233" s="104" t="inlineStr">
        <is>
          <t>Yes</t>
        </is>
      </c>
      <c r="Z233" s="106" t="n">
        <v>45820</v>
      </c>
      <c r="AA233" s="124" t="n">
        <v>46916</v>
      </c>
      <c r="AB233" s="104" t="inlineStr">
        <is>
          <t>Unlimited</t>
        </is>
      </c>
      <c r="AC233" s="202" t="n">
        <v>6</v>
      </c>
      <c r="AD233" s="592" t="inlineStr">
        <is>
          <t>Yes</t>
        </is>
      </c>
      <c r="AE233" s="592" t="inlineStr">
        <is>
          <t>Yes</t>
        </is>
      </c>
      <c r="AF233" s="600" t="n"/>
      <c r="AG233" s="593" t="inlineStr">
        <is>
          <t>Phim còn hạn từ 2026</t>
        </is>
      </c>
      <c r="AH233" s="594" t="n"/>
      <c r="AI233" s="206" t="inlineStr">
        <is>
          <t>Trending Topic</t>
        </is>
      </c>
      <c r="AJ233" s="128">
        <f>SUMIF('TK 15661.Bản quyền phim '!F:F,'KK1. Movies'!D233,'TK 15661.Bản quyền phim '!X:X)</f>
        <v/>
      </c>
      <c r="AK233" s="128">
        <f>SUMIF('TK 15661.Bản quyền phim '!F:F,'KK1. Movies'!AI233,'TK 15661.Bản quyền phim '!X:X)</f>
        <v/>
      </c>
      <c r="AL233" s="203">
        <f>COUNTIF('242.BQ Phim hợp tác'!$C:$C,'KK1. Movies'!AI233)</f>
        <v/>
      </c>
      <c r="AM233" s="203">
        <f>COUNTIF('TK 15661.Bản quyền phim '!F:F,'KK1. Movies'!AI233)</f>
        <v/>
      </c>
      <c r="AN233" s="546">
        <f>AL233+AM233</f>
        <v/>
      </c>
      <c r="AO233" s="203" t="n"/>
      <c r="AP233" s="203" t="n"/>
      <c r="AQ233" s="203" t="n"/>
      <c r="AR233" s="203" t="n"/>
      <c r="AS233" s="203" t="n"/>
      <c r="AT233" s="546">
        <f>IFERROR(VLOOKUP(C233, CodeRanMovies!$A:$K, 11, 0), "Not found")</f>
        <v/>
      </c>
    </row>
    <row r="234" ht="39.6" customHeight="1" s="578">
      <c r="A234" s="201">
        <f>_xlfn.AGGREGATE(3,3,$D$7:D234)</f>
        <v/>
      </c>
      <c r="B234" s="589" t="n"/>
      <c r="C234" s="234" t="inlineStr">
        <is>
          <t>MOV_ANI90</t>
        </is>
      </c>
      <c r="D234" s="105" t="inlineStr">
        <is>
          <t>MADAGASCAR 3: EUROPE'S MOST WANTED</t>
        </is>
      </c>
      <c r="E234" s="110" t="inlineStr">
        <is>
          <t>Madagascar 3: Thần tượng Châu Âu</t>
        </is>
      </c>
      <c r="F234" s="108" t="inlineStr">
        <is>
          <t>Animated; Comedy; Family Oriented</t>
        </is>
      </c>
      <c r="G234" s="103" t="inlineStr">
        <is>
          <t>NBC Universal</t>
        </is>
      </c>
      <c r="H234" s="108" t="inlineStr">
        <is>
          <t>5051370-3/166015-3</t>
        </is>
      </c>
      <c r="I234" s="107" t="n">
        <v>2012</v>
      </c>
      <c r="J234" s="104" t="inlineStr">
        <is>
          <t>US</t>
        </is>
      </c>
      <c r="K234" s="107" t="n">
        <v>93</v>
      </c>
      <c r="L234" s="109" t="n">
        <v>45864</v>
      </c>
      <c r="M234" s="109" t="n">
        <v>46593</v>
      </c>
      <c r="N234" s="601" t="n"/>
      <c r="O234" s="592" t="n"/>
      <c r="P234" s="104" t="n">
        <v>12</v>
      </c>
      <c r="Q234" s="104" t="inlineStr">
        <is>
          <t>No</t>
        </is>
      </c>
      <c r="R234" s="104" t="inlineStr">
        <is>
          <t>Yes</t>
        </is>
      </c>
      <c r="S234" s="104" t="inlineStr">
        <is>
          <t>Yes</t>
        </is>
      </c>
      <c r="T234" s="104" t="inlineStr">
        <is>
          <t>Yes</t>
        </is>
      </c>
      <c r="U234" s="104" t="inlineStr">
        <is>
          <t>No</t>
        </is>
      </c>
      <c r="V234" s="104" t="inlineStr">
        <is>
          <t>No</t>
        </is>
      </c>
      <c r="W234" s="104" t="inlineStr">
        <is>
          <t>No</t>
        </is>
      </c>
      <c r="X234" s="104" t="inlineStr">
        <is>
          <t>Yes</t>
        </is>
      </c>
      <c r="Y234" s="104" t="inlineStr">
        <is>
          <t>Yes</t>
        </is>
      </c>
      <c r="Z234" s="109" t="n">
        <v>45864</v>
      </c>
      <c r="AA234" s="125" t="n">
        <v>46593</v>
      </c>
      <c r="AB234" s="104" t="n">
        <v>6</v>
      </c>
      <c r="AC234" s="202" t="n">
        <v>1</v>
      </c>
      <c r="AD234" s="592" t="inlineStr">
        <is>
          <t>Yes</t>
        </is>
      </c>
      <c r="AE234" s="592" t="inlineStr">
        <is>
          <t>Yes</t>
        </is>
      </c>
      <c r="AF234" s="600" t="n"/>
      <c r="AG234" s="593" t="inlineStr">
        <is>
          <t>Phim còn hạn từ 2026</t>
        </is>
      </c>
      <c r="AH234" s="594" t="n"/>
      <c r="AI234" s="206" t="inlineStr">
        <is>
          <t>MADAGASCAR 3: EUROPE'S MOST WANTED</t>
        </is>
      </c>
      <c r="AJ234" s="128">
        <f>SUMIF('TK 15661.Bản quyền phim '!F:F,'KK1. Movies'!D234,'TK 15661.Bản quyền phim '!X:X)</f>
        <v/>
      </c>
      <c r="AK234" s="128">
        <f>SUMIF('TK 15661.Bản quyền phim '!F:F,'KK1. Movies'!AI234,'TK 15661.Bản quyền phim '!X:X)</f>
        <v/>
      </c>
      <c r="AL234" s="203">
        <f>COUNTIF('242.BQ Phim hợp tác'!$C:$C,'KK1. Movies'!AI234)</f>
        <v/>
      </c>
      <c r="AM234" s="203">
        <f>COUNTIF('TK 15661.Bản quyền phim '!F:F,'KK1. Movies'!AI234)</f>
        <v/>
      </c>
      <c r="AN234" s="546">
        <f>AL234+AM234</f>
        <v/>
      </c>
      <c r="AO234" s="203" t="n"/>
      <c r="AP234" s="203" t="n"/>
      <c r="AQ234" s="203" t="n"/>
      <c r="AR234" s="203" t="n"/>
      <c r="AS234" s="203" t="n"/>
      <c r="AT234" s="546">
        <f>IFERROR(VLOOKUP(C234, CodeRanMovies!$A:$K, 11, 0), "Not found")</f>
        <v/>
      </c>
    </row>
    <row r="235" ht="26.4" customHeight="1" s="578">
      <c r="A235" s="201">
        <f>_xlfn.AGGREGATE(3,3,$D$7:D235)</f>
        <v/>
      </c>
      <c r="B235" s="589" t="inlineStr">
        <is>
          <t>P</t>
        </is>
      </c>
      <c r="C235" s="590" t="inlineStr">
        <is>
          <t>MOV_DRA736</t>
        </is>
      </c>
      <c r="D235" s="105" t="inlineStr">
        <is>
          <t>MOZART FROM SPACE</t>
        </is>
      </c>
      <c r="E235" s="590" t="inlineStr">
        <is>
          <t>Mozart ngoài không gian</t>
        </is>
      </c>
      <c r="F235" s="103" t="inlineStr">
        <is>
          <t>Comedy/Fantasy/Family</t>
        </is>
      </c>
      <c r="G235" s="103" t="inlineStr">
        <is>
          <t>STK</t>
        </is>
      </c>
      <c r="H235" s="590" t="inlineStr">
        <is>
          <t>134/2024/HDBQ/VSTV-STK</t>
        </is>
      </c>
      <c r="I235" s="104" t="n">
        <v>2022</v>
      </c>
      <c r="J235" s="104" t="inlineStr">
        <is>
          <t>China</t>
        </is>
      </c>
      <c r="K235" s="104" t="n">
        <v>136</v>
      </c>
      <c r="L235" s="591" t="n">
        <v>45672</v>
      </c>
      <c r="M235" s="98" t="n">
        <v>46766</v>
      </c>
      <c r="N235" s="591" t="n">
        <v>45672</v>
      </c>
      <c r="O235" s="592" t="n"/>
      <c r="P235" s="104" t="n">
        <v>12</v>
      </c>
      <c r="Q235" s="104" t="inlineStr">
        <is>
          <t>No</t>
        </is>
      </c>
      <c r="R235" s="592" t="inlineStr">
        <is>
          <t>Yes</t>
        </is>
      </c>
      <c r="S235" s="107" t="inlineStr">
        <is>
          <t>Yes</t>
        </is>
      </c>
      <c r="T235" s="592" t="inlineStr">
        <is>
          <t>Yes</t>
        </is>
      </c>
      <c r="U235" s="107" t="inlineStr">
        <is>
          <t>Yes</t>
        </is>
      </c>
      <c r="V235" s="107" t="inlineStr">
        <is>
          <t>Yes</t>
        </is>
      </c>
      <c r="W235" s="107" t="inlineStr">
        <is>
          <t>Yes</t>
        </is>
      </c>
      <c r="X235" s="107" t="inlineStr">
        <is>
          <t>Yes</t>
        </is>
      </c>
      <c r="Y235" s="104" t="inlineStr">
        <is>
          <t>Yes</t>
        </is>
      </c>
      <c r="Z235" s="106" t="n">
        <v>45778</v>
      </c>
      <c r="AA235" s="236" t="n">
        <v>46873</v>
      </c>
      <c r="AB235" s="104" t="n">
        <v>24</v>
      </c>
      <c r="AC235" s="202" t="n">
        <v>6</v>
      </c>
      <c r="AD235" s="592" t="inlineStr">
        <is>
          <t>Yes</t>
        </is>
      </c>
      <c r="AE235" s="592" t="inlineStr">
        <is>
          <t>Yes</t>
        </is>
      </c>
      <c r="AF235" s="600" t="n"/>
      <c r="AG235" s="593" t="inlineStr">
        <is>
          <t>Phim còn hạn từ 2026</t>
        </is>
      </c>
      <c r="AH235" s="594" t="n"/>
      <c r="AI235" s="206" t="inlineStr">
        <is>
          <t>MOZART FROM SPACE</t>
        </is>
      </c>
      <c r="AJ235" s="128">
        <f>SUMIF('TK 15661.Bản quyền phim '!F:F,'KK1. Movies'!D235,'TK 15661.Bản quyền phim '!X:X)</f>
        <v/>
      </c>
      <c r="AK235" s="128">
        <f>SUMIF('TK 15661.Bản quyền phim '!F:F,'KK1. Movies'!AI235,'TK 15661.Bản quyền phim '!X:X)</f>
        <v/>
      </c>
      <c r="AL235" s="203">
        <f>COUNTIF('242.BQ Phim hợp tác'!$C:$C,'KK1. Movies'!AI235)</f>
        <v/>
      </c>
      <c r="AM235" s="203">
        <f>COUNTIF('TK 15661.Bản quyền phim '!F:F,'KK1. Movies'!AI235)</f>
        <v/>
      </c>
      <c r="AN235" s="546">
        <f>AL235+AM235</f>
        <v/>
      </c>
      <c r="AO235" s="203" t="n"/>
      <c r="AP235" s="203" t="n"/>
      <c r="AQ235" s="203" t="n"/>
      <c r="AR235" s="203" t="n"/>
      <c r="AS235" s="203" t="n"/>
      <c r="AT235" s="546">
        <f>IFERROR(VLOOKUP(C235, CodeRanMovies!$A:$K, 11, 0), "Not found")</f>
        <v/>
      </c>
    </row>
    <row r="236" ht="26.4" customHeight="1" s="578">
      <c r="A236" s="201">
        <f>_xlfn.AGGREGATE(3,3,$D$7:D236)</f>
        <v/>
      </c>
      <c r="B236" s="589" t="inlineStr">
        <is>
          <t>16+</t>
        </is>
      </c>
      <c r="C236" s="590" t="inlineStr">
        <is>
          <t>MOV_COM_24__2713434</t>
        </is>
      </c>
      <c r="D236" s="105" t="inlineStr">
        <is>
          <t>COBWEB</t>
        </is>
      </c>
      <c r="E236" s="110" t="inlineStr">
        <is>
          <t>CÚ MÁY ĂN TIỀN</t>
        </is>
      </c>
      <c r="F236" s="590" t="inlineStr">
        <is>
          <t>Drama</t>
        </is>
      </c>
      <c r="G236" s="103" t="inlineStr">
        <is>
          <t>CJ HK</t>
        </is>
      </c>
      <c r="H236" s="590" t="inlineStr">
        <is>
          <t>180/2024/HDBQ/VSTV-CJHK</t>
        </is>
      </c>
      <c r="I236" s="104" t="n">
        <v>2023</v>
      </c>
      <c r="J236" s="600" t="inlineStr">
        <is>
          <t>Korea</t>
        </is>
      </c>
      <c r="K236" s="104" t="n">
        <v>132</v>
      </c>
      <c r="L236" s="98" t="n">
        <v>45546</v>
      </c>
      <c r="M236" s="106" t="n">
        <v>46640</v>
      </c>
      <c r="N236" s="601" t="n">
        <v>45546</v>
      </c>
      <c r="O236" s="592" t="inlineStr">
        <is>
          <t>K+CINE</t>
        </is>
      </c>
      <c r="P236" s="100" t="n">
        <v>12</v>
      </c>
      <c r="Q236" s="104" t="inlineStr">
        <is>
          <t>No</t>
        </is>
      </c>
      <c r="R236" s="592" t="inlineStr">
        <is>
          <t>Yes</t>
        </is>
      </c>
      <c r="S236" s="592" t="inlineStr">
        <is>
          <t>Yes</t>
        </is>
      </c>
      <c r="T236" s="592" t="inlineStr">
        <is>
          <t>Yes</t>
        </is>
      </c>
      <c r="U236" s="592" t="inlineStr">
        <is>
          <t>Yes</t>
        </is>
      </c>
      <c r="V236" s="592" t="inlineStr">
        <is>
          <t>Yes</t>
        </is>
      </c>
      <c r="W236" s="592" t="inlineStr">
        <is>
          <t>Yes</t>
        </is>
      </c>
      <c r="X236" s="104" t="inlineStr">
        <is>
          <t>No</t>
        </is>
      </c>
      <c r="Y236" s="592" t="inlineStr">
        <is>
          <t>Yes</t>
        </is>
      </c>
      <c r="Z236" s="98" t="n">
        <v>45546</v>
      </c>
      <c r="AA236" s="106" t="n">
        <v>46640</v>
      </c>
      <c r="AB236" s="592" t="inlineStr">
        <is>
          <t>Unlimited</t>
        </is>
      </c>
      <c r="AC236" s="202" t="n">
        <v>14</v>
      </c>
      <c r="AD236" s="592" t="inlineStr">
        <is>
          <t>Yes</t>
        </is>
      </c>
      <c r="AE236" s="592" t="inlineStr">
        <is>
          <t>Yes</t>
        </is>
      </c>
      <c r="AF236" s="600" t="n"/>
      <c r="AG236" s="593" t="inlineStr">
        <is>
          <t>Phim còn hạn từ 2026</t>
        </is>
      </c>
      <c r="AH236" s="594" t="n"/>
      <c r="AI236" s="206" t="inlineStr">
        <is>
          <t>COBWEB (CÚ MÁY ĂN TIỀN)</t>
        </is>
      </c>
      <c r="AJ236" s="128">
        <f>SUMIF('TK 15661.Bản quyền phim '!F:F,'KK1. Movies'!D236,'TK 15661.Bản quyền phim '!X:X)</f>
        <v/>
      </c>
      <c r="AK236" s="128">
        <f>SUMIF('TK 15661.Bản quyền phim '!F:F,'KK1. Movies'!AI236,'TK 15661.Bản quyền phim '!X:X)</f>
        <v/>
      </c>
      <c r="AL236" s="203">
        <f>COUNTIF('242.BQ Phim hợp tác'!$C:$C,'KK1. Movies'!AI236)</f>
        <v/>
      </c>
      <c r="AM236" s="203">
        <f>COUNTIF('TK 15661.Bản quyền phim '!F:F,'KK1. Movies'!AI236)</f>
        <v/>
      </c>
      <c r="AN236" s="546">
        <f>AL236+AM236</f>
        <v/>
      </c>
      <c r="AO236" s="203" t="n"/>
      <c r="AP236" s="203" t="n"/>
      <c r="AQ236" s="203" t="n"/>
      <c r="AR236" s="203" t="n"/>
      <c r="AS236" s="203" t="n"/>
      <c r="AT236" s="546">
        <f>IFERROR(VLOOKUP(C236, CodeRanMovies!$A:$K, 11, 0), "Not found")</f>
        <v/>
      </c>
    </row>
    <row r="237" ht="26.4" customHeight="1" s="578">
      <c r="A237" s="201">
        <f>_xlfn.AGGREGATE(3,3,$D$7:D237)</f>
        <v/>
      </c>
      <c r="B237" s="589" t="inlineStr">
        <is>
          <t>16+</t>
        </is>
      </c>
      <c r="C237" s="234" t="inlineStr">
        <is>
          <t>MOV_DRA732</t>
        </is>
      </c>
      <c r="D237" s="105" t="inlineStr">
        <is>
          <t>THE COUGAR QUEEN</t>
        </is>
      </c>
      <c r="E237" s="105" t="inlineStr">
        <is>
          <t>GÁI GIÀ LẮM CHIÊU 2</t>
        </is>
      </c>
      <c r="F237" s="108" t="inlineStr">
        <is>
          <t>Comedy, Romace</t>
        </is>
      </c>
      <c r="G237" s="108" t="inlineStr">
        <is>
          <t>Skyline Media</t>
        </is>
      </c>
      <c r="H237" s="590" t="inlineStr">
        <is>
          <t>36/2025/HDBQ/VSTV-SM</t>
        </is>
      </c>
      <c r="I237" s="107" t="n">
        <v>2018</v>
      </c>
      <c r="J237" s="592" t="inlineStr">
        <is>
          <t>Việt Nam</t>
        </is>
      </c>
      <c r="K237" s="107" t="n">
        <v>105</v>
      </c>
      <c r="L237" s="591" t="n">
        <v>45685</v>
      </c>
      <c r="M237" s="98" t="n">
        <v>46779</v>
      </c>
      <c r="N237" s="591" t="n">
        <v>45685</v>
      </c>
      <c r="O237" s="592" t="n"/>
      <c r="P237" s="104" t="n">
        <v>0</v>
      </c>
      <c r="Q237" s="107" t="inlineStr">
        <is>
          <t>No</t>
        </is>
      </c>
      <c r="R237" s="592" t="inlineStr">
        <is>
          <t>Yes</t>
        </is>
      </c>
      <c r="S237" s="104" t="inlineStr">
        <is>
          <t>Yes</t>
        </is>
      </c>
      <c r="T237" s="592" t="inlineStr">
        <is>
          <t>Yes</t>
        </is>
      </c>
      <c r="U237" s="104" t="inlineStr">
        <is>
          <t>Yes</t>
        </is>
      </c>
      <c r="V237" s="104" t="inlineStr">
        <is>
          <t>Yes</t>
        </is>
      </c>
      <c r="W237" s="104" t="inlineStr">
        <is>
          <t>Yes</t>
        </is>
      </c>
      <c r="X237" s="104" t="inlineStr">
        <is>
          <t>Yes</t>
        </is>
      </c>
      <c r="Y237" s="104" t="inlineStr">
        <is>
          <t>No</t>
        </is>
      </c>
      <c r="Z237" s="109" t="n">
        <v>45685</v>
      </c>
      <c r="AA237" s="125" t="n">
        <v>46779</v>
      </c>
      <c r="AB237" s="107" t="n">
        <v>24</v>
      </c>
      <c r="AC237" s="202" t="n">
        <v>11</v>
      </c>
      <c r="AD237" s="592" t="inlineStr">
        <is>
          <t>Yes</t>
        </is>
      </c>
      <c r="AE237" s="592" t="inlineStr">
        <is>
          <t>Yes</t>
        </is>
      </c>
      <c r="AF237" s="600" t="n"/>
      <c r="AG237" s="593" t="inlineStr">
        <is>
          <t>Phim còn hạn từ 2026</t>
        </is>
      </c>
      <c r="AH237" s="594" t="n"/>
      <c r="AI237" s="108" t="inlineStr">
        <is>
          <t>THE COUGAR QUEEN (Gái già lắm chiêu 2)</t>
        </is>
      </c>
      <c r="AJ237" s="128">
        <f>SUMIF('TK 15661.Bản quyền phim '!F:F,'KK1. Movies'!D237,'TK 15661.Bản quyền phim '!X:X)</f>
        <v/>
      </c>
      <c r="AK237" s="128">
        <f>SUMIF('TK 15661.Bản quyền phim '!F:F,'KK1. Movies'!AI237,'TK 15661.Bản quyền phim '!X:X)</f>
        <v/>
      </c>
      <c r="AL237" s="203">
        <f>COUNTIF('242.BQ Phim hợp tác'!$C:$C,'KK1. Movies'!AI237)</f>
        <v/>
      </c>
      <c r="AM237" s="203">
        <f>COUNTIF('TK 15661.Bản quyền phim '!F:F,'KK1. Movies'!AI237)</f>
        <v/>
      </c>
      <c r="AN237" s="546">
        <f>AL237+AM237</f>
        <v/>
      </c>
      <c r="AO237" s="203" t="n"/>
      <c r="AP237" s="203" t="n"/>
      <c r="AQ237" s="203" t="n"/>
      <c r="AR237" s="203" t="n"/>
      <c r="AS237" s="203" t="n"/>
      <c r="AT237" s="546">
        <f>IFERROR(VLOOKUP(C237, CodeRanMovies!$A:$K, 11, 0), "Not found")</f>
        <v/>
      </c>
    </row>
    <row r="238">
      <c r="A238" s="201">
        <f>_xlfn.AGGREGATE(3,3,$D$7:D238)</f>
        <v/>
      </c>
      <c r="B238" s="589" t="inlineStr">
        <is>
          <t>P</t>
        </is>
      </c>
      <c r="C238" s="590" t="inlineStr">
        <is>
          <t>MOV_ROM100</t>
        </is>
      </c>
      <c r="D238" s="105" t="inlineStr">
        <is>
          <t>MARRY ME</t>
        </is>
      </c>
      <c r="E238" s="97" t="inlineStr">
        <is>
          <t>Cưới em đi</t>
        </is>
      </c>
      <c r="F238" s="590" t="inlineStr">
        <is>
          <t>Romance</t>
        </is>
      </c>
      <c r="G238" s="103" t="inlineStr">
        <is>
          <t>NBC Universal</t>
        </is>
      </c>
      <c r="H238" s="108" t="inlineStr">
        <is>
          <t>5051370-3/166015-3</t>
        </is>
      </c>
      <c r="I238" s="104" t="n">
        <v>2022</v>
      </c>
      <c r="J238" s="104" t="inlineStr">
        <is>
          <t>US</t>
        </is>
      </c>
      <c r="K238" s="104" t="n">
        <v>112</v>
      </c>
      <c r="L238" s="591" t="n">
        <v>45695</v>
      </c>
      <c r="M238" s="98" t="n">
        <v>46424</v>
      </c>
      <c r="N238" s="601" t="inlineStr">
        <is>
          <t>n/a</t>
        </is>
      </c>
      <c r="O238" s="592" t="n"/>
      <c r="P238" s="104" t="n"/>
      <c r="Q238" s="107" t="inlineStr">
        <is>
          <t>No</t>
        </is>
      </c>
      <c r="R238" s="592" t="inlineStr">
        <is>
          <t>Yes</t>
        </is>
      </c>
      <c r="S238" s="107" t="inlineStr">
        <is>
          <t>Yes</t>
        </is>
      </c>
      <c r="T238" s="592" t="inlineStr">
        <is>
          <t>Yes</t>
        </is>
      </c>
      <c r="U238" s="104" t="inlineStr">
        <is>
          <t>No</t>
        </is>
      </c>
      <c r="V238" s="104" t="inlineStr">
        <is>
          <t>No</t>
        </is>
      </c>
      <c r="W238" s="104" t="inlineStr">
        <is>
          <t>No</t>
        </is>
      </c>
      <c r="X238" s="107" t="inlineStr">
        <is>
          <t>Yes</t>
        </is>
      </c>
      <c r="Y238" s="104" t="inlineStr">
        <is>
          <t>No</t>
        </is>
      </c>
      <c r="Z238" s="109" t="n">
        <v>45695</v>
      </c>
      <c r="AA238" s="124" t="n">
        <v>46424</v>
      </c>
      <c r="AB238" s="104" t="n">
        <v>5</v>
      </c>
      <c r="AC238" s="202" t="n">
        <v>3</v>
      </c>
      <c r="AD238" s="592" t="inlineStr">
        <is>
          <t>Yes</t>
        </is>
      </c>
      <c r="AE238" s="592" t="inlineStr">
        <is>
          <t>Yes</t>
        </is>
      </c>
      <c r="AF238" s="600" t="n"/>
      <c r="AG238" s="593" t="inlineStr">
        <is>
          <t>Phim còn hạn từ 2026</t>
        </is>
      </c>
      <c r="AH238" s="594" t="n"/>
      <c r="AI238" s="206" t="inlineStr">
        <is>
          <t>MARRY ME</t>
        </is>
      </c>
      <c r="AJ238" s="128">
        <f>SUMIF('TK 15661.Bản quyền phim '!F:F,'KK1. Movies'!D238,'TK 15661.Bản quyền phim '!X:X)</f>
        <v/>
      </c>
      <c r="AK238" s="128">
        <f>SUMIF('TK 15661.Bản quyền phim '!F:F,'KK1. Movies'!AI238,'TK 15661.Bản quyền phim '!X:X)</f>
        <v/>
      </c>
      <c r="AL238" s="203">
        <f>COUNTIF('242.BQ Phim hợp tác'!$C:$C,'KK1. Movies'!AI238)</f>
        <v/>
      </c>
      <c r="AM238" s="203">
        <f>COUNTIF('TK 15661.Bản quyền phim '!F:F,'KK1. Movies'!AI238)</f>
        <v/>
      </c>
      <c r="AN238" s="546">
        <f>AL238+AM238</f>
        <v/>
      </c>
      <c r="AO238" s="203" t="n"/>
      <c r="AP238" s="203" t="n"/>
      <c r="AQ238" s="203" t="n"/>
      <c r="AR238" s="203" t="n"/>
      <c r="AS238" s="203" t="n"/>
      <c r="AT238" s="546">
        <f>IFERROR(VLOOKUP(C238, CodeRanMovies!$A:$K, 11, 0), "Not found")</f>
        <v/>
      </c>
    </row>
    <row r="239">
      <c r="A239" s="201">
        <f>_xlfn.AGGREGATE(3,3,$D$7:D239)</f>
        <v/>
      </c>
      <c r="B239" s="589" t="inlineStr">
        <is>
          <t>P</t>
        </is>
      </c>
      <c r="C239" s="234" t="inlineStr">
        <is>
          <t>MOV_DRA__17__2495883</t>
        </is>
      </c>
      <c r="D239" s="596" t="inlineStr">
        <is>
          <t>Victory</t>
        </is>
      </c>
      <c r="E239" s="589" t="inlineStr">
        <is>
          <t>SÚT</t>
        </is>
      </c>
      <c r="F239" s="589" t="inlineStr">
        <is>
          <t>Drama</t>
        </is>
      </c>
      <c r="G239" s="589" t="inlineStr">
        <is>
          <t>BHD</t>
        </is>
      </c>
      <c r="H239" s="589" t="inlineStr">
        <is>
          <t>10/2017/HDBQ/VSTV-BHD</t>
        </is>
      </c>
      <c r="I239" s="96" t="n">
        <v>2016</v>
      </c>
      <c r="J239" s="592" t="inlineStr">
        <is>
          <t>Việt Nam</t>
        </is>
      </c>
      <c r="K239" s="96" t="n">
        <v>90</v>
      </c>
      <c r="L239" s="98" t="n">
        <v>42825</v>
      </c>
      <c r="M239" s="98" t="inlineStr">
        <is>
          <t>Vĩnh Viễn</t>
        </is>
      </c>
      <c r="N239" s="591" t="n">
        <v>42825</v>
      </c>
      <c r="O239" s="612" t="n"/>
      <c r="P239" s="96" t="n">
        <v>60</v>
      </c>
      <c r="Q239" s="592" t="inlineStr">
        <is>
          <t>No</t>
        </is>
      </c>
      <c r="R239" s="592" t="inlineStr">
        <is>
          <t>Yes</t>
        </is>
      </c>
      <c r="S239" s="592" t="inlineStr">
        <is>
          <t>Yes</t>
        </is>
      </c>
      <c r="T239" s="592" t="inlineStr">
        <is>
          <t>Yes</t>
        </is>
      </c>
      <c r="U239" s="592" t="inlineStr">
        <is>
          <t>Yes</t>
        </is>
      </c>
      <c r="V239" s="592" t="inlineStr">
        <is>
          <t>Yes</t>
        </is>
      </c>
      <c r="W239" s="592" t="inlineStr">
        <is>
          <t>Yes</t>
        </is>
      </c>
      <c r="X239" s="104" t="inlineStr">
        <is>
          <t>No</t>
        </is>
      </c>
      <c r="Y239" s="592" t="inlineStr">
        <is>
          <t>yes</t>
        </is>
      </c>
      <c r="Z239" s="98" t="n">
        <v>42825</v>
      </c>
      <c r="AA239" s="601" t="inlineStr">
        <is>
          <t>Vĩnh viễn</t>
        </is>
      </c>
      <c r="AB239" s="96" t="n">
        <v>36</v>
      </c>
      <c r="AC239" s="100" t="n">
        <v>12</v>
      </c>
      <c r="AD239" s="592" t="inlineStr">
        <is>
          <t>Yes</t>
        </is>
      </c>
      <c r="AE239" s="592" t="inlineStr">
        <is>
          <t>Yes</t>
        </is>
      </c>
      <c r="AF239" s="600" t="n"/>
      <c r="AG239" s="593" t="inlineStr">
        <is>
          <t>Phim còn hạn từ 2026</t>
        </is>
      </c>
      <c r="AH239" s="594" t="n"/>
      <c r="AI239" s="207" t="inlineStr">
        <is>
          <t>Phim hợp tác Victory -  SÚT</t>
        </is>
      </c>
      <c r="AJ239" s="128">
        <f>SUMIF('TK 15661.Bản quyền phim '!F:F,'KK1. Movies'!D239,'TK 15661.Bản quyền phim '!X:X)</f>
        <v/>
      </c>
      <c r="AK239" s="128">
        <f>SUMIF('TK 15661.Bản quyền phim '!F:F,'KK1. Movies'!AI239,'TK 15661.Bản quyền phim '!X:X)</f>
        <v/>
      </c>
      <c r="AL239" s="203">
        <f>COUNTIF('242.BQ Phim hợp tác'!$C:$C,'KK1. Movies'!AI239)</f>
        <v/>
      </c>
      <c r="AM239" s="203">
        <f>COUNTIF('TK 15661.Bản quyền phim '!F:F,'KK1. Movies'!AI239)</f>
        <v/>
      </c>
      <c r="AN239" s="546">
        <f>AL239+AM239</f>
        <v/>
      </c>
      <c r="AO239" s="203" t="n"/>
      <c r="AP239" s="203" t="n"/>
      <c r="AQ239" s="203" t="n"/>
      <c r="AR239" s="203" t="n"/>
      <c r="AS239" s="203" t="n"/>
      <c r="AT239" s="546">
        <f>IFERROR(VLOOKUP(C239, CodeRanMovies!$A:$K, 11, 0), "Not found")</f>
        <v/>
      </c>
    </row>
    <row r="240" ht="26.4" customHeight="1" s="578">
      <c r="A240" s="201">
        <f>_xlfn.AGGREGATE(3,3,$D$7:D240)</f>
        <v/>
      </c>
      <c r="B240" s="606" t="inlineStr">
        <is>
          <t>n/a</t>
        </is>
      </c>
      <c r="C240" s="590" t="inlineStr">
        <is>
          <t>MOV_ACT609</t>
        </is>
      </c>
      <c r="D240" s="105" t="inlineStr">
        <is>
          <t>Deep Fear</t>
        </is>
      </c>
      <c r="E240" s="97" t="inlineStr">
        <is>
          <t>Hàm tử thần</t>
        </is>
      </c>
      <c r="F240" s="590" t="inlineStr">
        <is>
          <t>Crime, Thriller</t>
        </is>
      </c>
      <c r="G240" s="103" t="inlineStr">
        <is>
          <t xml:space="preserve">Mocking Bird </t>
        </is>
      </c>
      <c r="H240" s="108" t="inlineStr">
        <is>
          <t>10/2025/HDBQ/VSTV-Mockingbird</t>
        </is>
      </c>
      <c r="I240" s="104" t="n">
        <v>2023</v>
      </c>
      <c r="J240" s="104" t="inlineStr">
        <is>
          <t>Korea</t>
        </is>
      </c>
      <c r="K240" s="104" t="n">
        <v>84</v>
      </c>
      <c r="L240" s="591" t="n">
        <v>45743</v>
      </c>
      <c r="M240" s="106" t="n">
        <v>46838</v>
      </c>
      <c r="N240" s="601" t="inlineStr">
        <is>
          <t>n/a</t>
        </is>
      </c>
      <c r="O240" s="592" t="n"/>
      <c r="P240" s="592" t="n"/>
      <c r="Q240" s="104" t="inlineStr">
        <is>
          <t>No</t>
        </is>
      </c>
      <c r="R240" s="592" t="inlineStr">
        <is>
          <t>Yes</t>
        </is>
      </c>
      <c r="S240" s="107" t="inlineStr">
        <is>
          <t>Yes</t>
        </is>
      </c>
      <c r="T240" s="592" t="inlineStr">
        <is>
          <t>Yes</t>
        </is>
      </c>
      <c r="U240" s="107" t="inlineStr">
        <is>
          <t>Yes</t>
        </is>
      </c>
      <c r="V240" s="107" t="inlineStr">
        <is>
          <t>Yes</t>
        </is>
      </c>
      <c r="W240" s="107" t="inlineStr">
        <is>
          <t>Yes</t>
        </is>
      </c>
      <c r="X240" s="107" t="inlineStr">
        <is>
          <t>Yes</t>
        </is>
      </c>
      <c r="Y240" s="107" t="inlineStr">
        <is>
          <t>Yes</t>
        </is>
      </c>
      <c r="Z240" s="106" t="n">
        <v>45743</v>
      </c>
      <c r="AA240" s="124" t="n">
        <v>46838</v>
      </c>
      <c r="AB240" s="104" t="n">
        <v>24</v>
      </c>
      <c r="AC240" s="202" t="n">
        <v>7</v>
      </c>
      <c r="AD240" s="592" t="inlineStr">
        <is>
          <t>Yes</t>
        </is>
      </c>
      <c r="AE240" s="592" t="inlineStr">
        <is>
          <t>Yes</t>
        </is>
      </c>
      <c r="AF240" s="600" t="n"/>
      <c r="AG240" s="593" t="inlineStr">
        <is>
          <t>Phim còn hạn từ 2026</t>
        </is>
      </c>
      <c r="AH240" s="594" t="inlineStr">
        <is>
          <t>MOV_ACT609</t>
        </is>
      </c>
      <c r="AI240" s="206" t="inlineStr">
        <is>
          <t>Deep Fear</t>
        </is>
      </c>
      <c r="AJ240" s="128">
        <f>SUMIF('TK 15661.Bản quyền phim '!F:F,'KK1. Movies'!D240,'TK 15661.Bản quyền phim '!X:X)</f>
        <v/>
      </c>
      <c r="AK240" s="128">
        <f>SUMIF('TK 15661.Bản quyền phim '!F:F,'KK1. Movies'!AI240,'TK 15661.Bản quyền phim '!X:X)</f>
        <v/>
      </c>
      <c r="AL240" s="203">
        <f>COUNTIF('242.BQ Phim hợp tác'!$C:$C,'KK1. Movies'!AI240)</f>
        <v/>
      </c>
      <c r="AM240" s="203">
        <f>COUNTIF('TK 15661.Bản quyền phim '!F:F,'KK1. Movies'!AI240)</f>
        <v/>
      </c>
      <c r="AN240" s="546">
        <f>AL240+AM240</f>
        <v/>
      </c>
      <c r="AO240" s="203" t="n"/>
      <c r="AP240" s="203" t="n"/>
      <c r="AQ240" s="203" t="n"/>
      <c r="AR240" s="203" t="n"/>
      <c r="AS240" s="203" t="n"/>
      <c r="AT240" s="546">
        <f>IFERROR(VLOOKUP(C240, CodeRanMovies!$A:$K, 11, 0), "Not found")</f>
        <v/>
      </c>
    </row>
    <row r="241" ht="26.4" customHeight="1" s="578">
      <c r="A241" s="201">
        <f>_xlfn.AGGREGATE(3,3,$D$7:D241)</f>
        <v/>
      </c>
      <c r="B241" s="589" t="inlineStr">
        <is>
          <t>16+</t>
        </is>
      </c>
      <c r="C241" s="590" t="inlineStr">
        <is>
          <t>MOV_DRA_24__2710439</t>
        </is>
      </c>
      <c r="D241" s="105" t="inlineStr">
        <is>
          <t>ANGEL OF MINE</t>
        </is>
      </c>
      <c r="E241" s="590" t="inlineStr">
        <is>
          <t>Thiên thần của mẹ</t>
        </is>
      </c>
      <c r="F241" s="590" t="inlineStr">
        <is>
          <t>Crime, Thriller</t>
        </is>
      </c>
      <c r="G241" s="108" t="inlineStr">
        <is>
          <t>Skyline Media</t>
        </is>
      </c>
      <c r="H241" s="590" t="inlineStr">
        <is>
          <t>28/2024/HDBQ/VSTV-SM</t>
        </is>
      </c>
      <c r="I241" s="107" t="n">
        <v>2019</v>
      </c>
      <c r="J241" s="107" t="inlineStr">
        <is>
          <t>AUS - US</t>
        </is>
      </c>
      <c r="K241" s="107" t="n">
        <v>98</v>
      </c>
      <c r="L241" s="98" t="n">
        <v>45372</v>
      </c>
      <c r="M241" s="109" t="n">
        <v>46466</v>
      </c>
      <c r="N241" s="601" t="n">
        <v>45456</v>
      </c>
      <c r="O241" s="592" t="inlineStr">
        <is>
          <t>K+ACTION</t>
        </is>
      </c>
      <c r="P241" s="104" t="n">
        <v>12</v>
      </c>
      <c r="Q241" s="107" t="inlineStr">
        <is>
          <t>No</t>
        </is>
      </c>
      <c r="R241" s="592" t="inlineStr">
        <is>
          <t>Yes</t>
        </is>
      </c>
      <c r="S241" s="592" t="inlineStr">
        <is>
          <t>Yes</t>
        </is>
      </c>
      <c r="T241" s="592" t="inlineStr">
        <is>
          <t>Yes</t>
        </is>
      </c>
      <c r="U241" s="592" t="inlineStr">
        <is>
          <t>Yes</t>
        </is>
      </c>
      <c r="V241" s="592" t="inlineStr">
        <is>
          <t>Yes</t>
        </is>
      </c>
      <c r="W241" s="592" t="inlineStr">
        <is>
          <t>Yes</t>
        </is>
      </c>
      <c r="X241" s="592" t="inlineStr">
        <is>
          <t>Yes</t>
        </is>
      </c>
      <c r="Y241" s="104" t="inlineStr">
        <is>
          <t>No</t>
        </is>
      </c>
      <c r="Z241" s="98" t="n">
        <v>45372</v>
      </c>
      <c r="AA241" s="109" t="n">
        <v>46466</v>
      </c>
      <c r="AB241" s="107" t="n">
        <v>24</v>
      </c>
      <c r="AC241" s="202" t="n">
        <v>15</v>
      </c>
      <c r="AD241" s="592" t="inlineStr">
        <is>
          <t>Yes</t>
        </is>
      </c>
      <c r="AE241" s="592" t="inlineStr">
        <is>
          <t>Yes</t>
        </is>
      </c>
      <c r="AF241" s="600" t="n"/>
      <c r="AG241" s="593" t="inlineStr">
        <is>
          <t>Phim còn hạn từ 2026</t>
        </is>
      </c>
      <c r="AH241" s="594" t="n"/>
      <c r="AI241" s="206" t="inlineStr">
        <is>
          <t>ANGEL OF MINE</t>
        </is>
      </c>
      <c r="AJ241" s="128">
        <f>SUMIF('TK 15661.Bản quyền phim '!F:F,'KK1. Movies'!D241,'TK 15661.Bản quyền phim '!X:X)</f>
        <v/>
      </c>
      <c r="AK241" s="128">
        <f>SUMIF('TK 15661.Bản quyền phim '!F:F,'KK1. Movies'!AI241,'TK 15661.Bản quyền phim '!X:X)</f>
        <v/>
      </c>
      <c r="AL241" s="203">
        <f>COUNTIF('242.BQ Phim hợp tác'!$C:$C,'KK1. Movies'!AI241)</f>
        <v/>
      </c>
      <c r="AM241" s="203">
        <f>COUNTIF('TK 15661.Bản quyền phim '!F:F,'KK1. Movies'!AI241)</f>
        <v/>
      </c>
      <c r="AN241" s="546">
        <f>AL241+AM241</f>
        <v/>
      </c>
      <c r="AO241" s="203" t="n"/>
      <c r="AP241" s="203" t="n"/>
      <c r="AQ241" s="203" t="n"/>
      <c r="AR241" s="203" t="n"/>
      <c r="AS241" s="203" t="n"/>
      <c r="AT241" s="546">
        <f>IFERROR(VLOOKUP(C241, CodeRanMovies!$A:$K, 11, 0), "Not found")</f>
        <v/>
      </c>
    </row>
    <row r="242" ht="26.4" customHeight="1" s="578">
      <c r="A242" s="201">
        <f>_xlfn.AGGREGATE(3,3,$D$7:D242)</f>
        <v/>
      </c>
      <c r="B242" s="606" t="inlineStr">
        <is>
          <t>n/a</t>
        </is>
      </c>
      <c r="C242" s="590" t="inlineStr">
        <is>
          <t>MOV_HOR71</t>
        </is>
      </c>
      <c r="D242" s="105" t="inlineStr">
        <is>
          <t>Exhuma</t>
        </is>
      </c>
      <c r="E242" s="97" t="inlineStr">
        <is>
          <t>Quật mộ trùng ma</t>
        </is>
      </c>
      <c r="F242" s="590" t="inlineStr">
        <is>
          <t>Horror</t>
        </is>
      </c>
      <c r="G242" s="103" t="inlineStr">
        <is>
          <t xml:space="preserve">Mocking Bird </t>
        </is>
      </c>
      <c r="H242" s="590" t="inlineStr">
        <is>
          <t>10/2025/HDBQ/VSTV-Mockingbird</t>
        </is>
      </c>
      <c r="I242" s="104" t="n">
        <v>2024</v>
      </c>
      <c r="J242" s="104" t="inlineStr">
        <is>
          <t>Korea</t>
        </is>
      </c>
      <c r="K242" s="104" t="n">
        <v>134</v>
      </c>
      <c r="L242" s="591" t="n">
        <v>45730</v>
      </c>
      <c r="M242" s="106" t="n">
        <v>46825</v>
      </c>
      <c r="N242" s="601" t="inlineStr">
        <is>
          <t>n/a</t>
        </is>
      </c>
      <c r="O242" s="592" t="n"/>
      <c r="P242" s="592" t="n"/>
      <c r="Q242" s="104" t="inlineStr">
        <is>
          <t>No</t>
        </is>
      </c>
      <c r="R242" s="592" t="inlineStr">
        <is>
          <t>Yes</t>
        </is>
      </c>
      <c r="S242" s="107" t="inlineStr">
        <is>
          <t>Yes</t>
        </is>
      </c>
      <c r="T242" s="592" t="inlineStr">
        <is>
          <t>Yes</t>
        </is>
      </c>
      <c r="U242" s="107" t="inlineStr">
        <is>
          <t>Yes</t>
        </is>
      </c>
      <c r="V242" s="107" t="inlineStr">
        <is>
          <t>Yes</t>
        </is>
      </c>
      <c r="W242" s="107" t="inlineStr">
        <is>
          <t>Yes</t>
        </is>
      </c>
      <c r="X242" s="107" t="inlineStr">
        <is>
          <t>Yes</t>
        </is>
      </c>
      <c r="Y242" s="107" t="inlineStr">
        <is>
          <t>Yes</t>
        </is>
      </c>
      <c r="Z242" s="106" t="n">
        <v>45778</v>
      </c>
      <c r="AA242" s="124" t="n">
        <v>46873</v>
      </c>
      <c r="AB242" s="104" t="n">
        <v>24</v>
      </c>
      <c r="AC242" s="202" t="n">
        <v>20</v>
      </c>
      <c r="AD242" s="592" t="inlineStr">
        <is>
          <t>Yes</t>
        </is>
      </c>
      <c r="AE242" s="592" t="inlineStr">
        <is>
          <t>Yes</t>
        </is>
      </c>
      <c r="AF242" s="600" t="n"/>
      <c r="AG242" s="593" t="inlineStr">
        <is>
          <t>Phim còn hạn từ 2026</t>
        </is>
      </c>
      <c r="AH242" s="594" t="inlineStr">
        <is>
          <t>MOV_HOR71</t>
        </is>
      </c>
      <c r="AI242" s="206" t="inlineStr">
        <is>
          <t>Exhuma</t>
        </is>
      </c>
      <c r="AJ242" s="128">
        <f>SUMIF('TK 15661.Bản quyền phim '!F:F,'KK1. Movies'!D242,'TK 15661.Bản quyền phim '!X:X)</f>
        <v/>
      </c>
      <c r="AK242" s="128">
        <f>SUMIF('TK 15661.Bản quyền phim '!F:F,'KK1. Movies'!AI242,'TK 15661.Bản quyền phim '!X:X)</f>
        <v/>
      </c>
      <c r="AL242" s="203">
        <f>COUNTIF('242.BQ Phim hợp tác'!$C:$C,'KK1. Movies'!AI242)</f>
        <v/>
      </c>
      <c r="AM242" s="203">
        <f>COUNTIF('TK 15661.Bản quyền phim '!F:F,'KK1. Movies'!AI242)</f>
        <v/>
      </c>
      <c r="AN242" s="546">
        <f>AL242+AM242</f>
        <v/>
      </c>
      <c r="AO242" s="203" t="n"/>
      <c r="AP242" s="203" t="n"/>
      <c r="AQ242" s="203" t="n"/>
      <c r="AR242" s="203" t="n"/>
      <c r="AS242" s="203" t="n"/>
      <c r="AT242" s="546">
        <f>IFERROR(VLOOKUP(C242, CodeRanMovies!$A:$K, 11, 0), "Not found")</f>
        <v/>
      </c>
    </row>
    <row r="243" ht="26.4" customHeight="1" s="578">
      <c r="A243" s="201">
        <f>_xlfn.AGGREGATE(3,3,$D$7:D243)</f>
        <v/>
      </c>
      <c r="B243" s="589" t="inlineStr">
        <is>
          <t>16+</t>
        </is>
      </c>
      <c r="C243" s="590" t="inlineStr">
        <is>
          <t>MOV_DRA_24__2712650</t>
        </is>
      </c>
      <c r="D243" s="105" t="inlineStr">
        <is>
          <t>PROMISING YOUNG WOMAN</t>
        </is>
      </c>
      <c r="E243" s="110" t="inlineStr">
        <is>
          <t>Cô gái trẻ hứa hẹn</t>
        </is>
      </c>
      <c r="F243" s="108" t="inlineStr">
        <is>
          <t>Thriller</t>
        </is>
      </c>
      <c r="G243" s="108" t="inlineStr">
        <is>
          <t>NBC Universal</t>
        </is>
      </c>
      <c r="H243" s="108" t="inlineStr">
        <is>
          <t>5049540-2/161434-3</t>
        </is>
      </c>
      <c r="I243" s="104" t="n">
        <v>2020</v>
      </c>
      <c r="J243" s="107" t="inlineStr">
        <is>
          <t>US</t>
        </is>
      </c>
      <c r="K243" s="104" t="n">
        <v>113</v>
      </c>
      <c r="L243" s="98" t="n">
        <v>45360</v>
      </c>
      <c r="M243" s="98" t="n">
        <v>46089</v>
      </c>
      <c r="N243" s="601" t="n">
        <v>45360</v>
      </c>
      <c r="O243" s="592" t="inlineStr">
        <is>
          <t>K+CINE</t>
        </is>
      </c>
      <c r="P243" s="104" t="inlineStr">
        <is>
          <t>Non exclusive</t>
        </is>
      </c>
      <c r="Q243" s="104" t="inlineStr">
        <is>
          <t>No</t>
        </is>
      </c>
      <c r="R243" s="592" t="inlineStr">
        <is>
          <t>Yes</t>
        </is>
      </c>
      <c r="S243" s="104" t="inlineStr">
        <is>
          <t>Yes</t>
        </is>
      </c>
      <c r="T243" s="592" t="inlineStr">
        <is>
          <t>Yes</t>
        </is>
      </c>
      <c r="U243" s="104" t="inlineStr">
        <is>
          <t>No</t>
        </is>
      </c>
      <c r="V243" s="104" t="inlineStr">
        <is>
          <t>No</t>
        </is>
      </c>
      <c r="W243" s="104" t="inlineStr">
        <is>
          <t>No</t>
        </is>
      </c>
      <c r="X243" s="104" t="inlineStr">
        <is>
          <t>No</t>
        </is>
      </c>
      <c r="Y243" s="104" t="inlineStr">
        <is>
          <t>Yes</t>
        </is>
      </c>
      <c r="Z243" s="98" t="n">
        <v>45360</v>
      </c>
      <c r="AA243" s="98" t="n">
        <v>46089</v>
      </c>
      <c r="AB243" s="107" t="n">
        <v>6</v>
      </c>
      <c r="AC243" s="107" t="n">
        <v>5</v>
      </c>
      <c r="AD243" s="592" t="inlineStr">
        <is>
          <t>Yes</t>
        </is>
      </c>
      <c r="AE243" s="592" t="inlineStr">
        <is>
          <t>Yes</t>
        </is>
      </c>
      <c r="AF243" s="600" t="n"/>
      <c r="AG243" s="593" t="inlineStr">
        <is>
          <t>Phim còn hạn từ 2026</t>
        </is>
      </c>
      <c r="AH243" s="594" t="n"/>
      <c r="AI243" s="599" t="inlineStr">
        <is>
          <t>PROMISING YOUNG WOMAN</t>
        </is>
      </c>
      <c r="AJ243" s="128">
        <f>SUMIF('TK 15661.Bản quyền phim '!F:F,'KK1. Movies'!D243,'TK 15661.Bản quyền phim '!X:X)</f>
        <v/>
      </c>
      <c r="AK243" s="128">
        <f>SUMIF('TK 15661.Bản quyền phim '!F:F,'KK1. Movies'!AI243,'TK 15661.Bản quyền phim '!X:X)</f>
        <v/>
      </c>
      <c r="AL243" s="203">
        <f>COUNTIF('242.BQ Phim hợp tác'!$C:$C,'KK1. Movies'!AI243)</f>
        <v/>
      </c>
      <c r="AM243" s="203">
        <f>COUNTIF('TK 15661.Bản quyền phim '!F:F,'KK1. Movies'!AI243)</f>
        <v/>
      </c>
      <c r="AN243" s="546">
        <f>AL243+AM243</f>
        <v/>
      </c>
      <c r="AO243" s="203" t="n"/>
      <c r="AP243" s="203" t="n"/>
      <c r="AQ243" s="203" t="n"/>
      <c r="AR243" s="203" t="n"/>
      <c r="AS243" s="203" t="n"/>
      <c r="AT243" s="546">
        <f>IFERROR(VLOOKUP(C243, CodeRanMovies!$A:$K, 11, 0), "Not found")</f>
        <v/>
      </c>
    </row>
    <row r="244" ht="26.4" customHeight="1" s="578">
      <c r="A244" s="201">
        <f>_xlfn.AGGREGATE(3,3,$D$7:D244)</f>
        <v/>
      </c>
      <c r="B244" s="589" t="inlineStr">
        <is>
          <t>16+</t>
        </is>
      </c>
      <c r="C244" s="234" t="inlineStr">
        <is>
          <t>MOV_HOR69</t>
        </is>
      </c>
      <c r="D244" s="105" t="inlineStr">
        <is>
          <t>BLACK PHONE, THE (INTL)</t>
        </is>
      </c>
      <c r="E244" s="110" t="inlineStr">
        <is>
          <t>Điện thoại đen</t>
        </is>
      </c>
      <c r="F244" s="590" t="inlineStr">
        <is>
          <t>Crime, Thriller</t>
        </is>
      </c>
      <c r="G244" s="108" t="inlineStr">
        <is>
          <t>NBC Universal</t>
        </is>
      </c>
      <c r="H244" s="108" t="inlineStr">
        <is>
          <t>5049540-2/161434-3</t>
        </is>
      </c>
      <c r="I244" s="104" t="n">
        <v>2021</v>
      </c>
      <c r="J244" s="107" t="inlineStr">
        <is>
          <t>US</t>
        </is>
      </c>
      <c r="K244" s="104" t="n">
        <v>103</v>
      </c>
      <c r="L244" s="98" t="n">
        <v>45646</v>
      </c>
      <c r="M244" s="98" t="n">
        <v>46375</v>
      </c>
      <c r="N244" s="601" t="n">
        <v>45646</v>
      </c>
      <c r="O244" s="592" t="inlineStr">
        <is>
          <t>K+CINE</t>
        </is>
      </c>
      <c r="P244" s="112" t="n">
        <v>12</v>
      </c>
      <c r="Q244" s="104" t="inlineStr">
        <is>
          <t>No</t>
        </is>
      </c>
      <c r="R244" s="592" t="inlineStr">
        <is>
          <t>Yes</t>
        </is>
      </c>
      <c r="S244" s="104" t="inlineStr">
        <is>
          <t>Yes</t>
        </is>
      </c>
      <c r="T244" s="592" t="inlineStr">
        <is>
          <t>Yes</t>
        </is>
      </c>
      <c r="U244" s="104" t="inlineStr">
        <is>
          <t>No</t>
        </is>
      </c>
      <c r="V244" s="104" t="inlineStr">
        <is>
          <t>No</t>
        </is>
      </c>
      <c r="W244" s="104" t="inlineStr">
        <is>
          <t>No</t>
        </is>
      </c>
      <c r="X244" s="104" t="inlineStr">
        <is>
          <t>No</t>
        </is>
      </c>
      <c r="Y244" s="104" t="inlineStr">
        <is>
          <t>Yes</t>
        </is>
      </c>
      <c r="Z244" s="98" t="n">
        <v>45646</v>
      </c>
      <c r="AA244" s="98" t="n">
        <v>46375</v>
      </c>
      <c r="AB244" s="107" t="n">
        <v>6</v>
      </c>
      <c r="AC244" s="107" t="n">
        <v>3</v>
      </c>
      <c r="AD244" s="592" t="inlineStr">
        <is>
          <t>Yes</t>
        </is>
      </c>
      <c r="AE244" s="592" t="inlineStr">
        <is>
          <t>Yes</t>
        </is>
      </c>
      <c r="AF244" s="600" t="n"/>
      <c r="AG244" s="593" t="inlineStr">
        <is>
          <t>Phim còn hạn từ 2026</t>
        </is>
      </c>
      <c r="AH244" s="594" t="n"/>
      <c r="AI244" s="599" t="inlineStr">
        <is>
          <t>BLACK PHONE, THE (INTL)</t>
        </is>
      </c>
      <c r="AJ244" s="128">
        <f>SUMIF('TK 15661.Bản quyền phim '!F:F,'KK1. Movies'!D244,'TK 15661.Bản quyền phim '!X:X)</f>
        <v/>
      </c>
      <c r="AK244" s="128">
        <f>SUMIF('TK 15661.Bản quyền phim '!F:F,'KK1. Movies'!AI244,'TK 15661.Bản quyền phim '!X:X)</f>
        <v/>
      </c>
      <c r="AL244" s="203">
        <f>COUNTIF('242.BQ Phim hợp tác'!$C:$C,'KK1. Movies'!AI244)</f>
        <v/>
      </c>
      <c r="AM244" s="203">
        <f>COUNTIF('TK 15661.Bản quyền phim '!F:F,'KK1. Movies'!AI244)</f>
        <v/>
      </c>
      <c r="AN244" s="546">
        <f>AL244+AM244</f>
        <v/>
      </c>
      <c r="AO244" s="203" t="n"/>
      <c r="AP244" s="203" t="n"/>
      <c r="AQ244" s="203" t="n"/>
      <c r="AR244" s="203" t="n"/>
      <c r="AS244" s="203" t="n"/>
      <c r="AT244" s="546">
        <f>IFERROR(VLOOKUP(C244, CodeRanMovies!$A:$K, 11, 0), "Not found")</f>
        <v/>
      </c>
    </row>
    <row r="245" ht="26.4" customHeight="1" s="578">
      <c r="A245" s="201">
        <f>_xlfn.AGGREGATE(3,3,$D$7:D245)</f>
        <v/>
      </c>
      <c r="B245" s="589" t="inlineStr">
        <is>
          <t>16+</t>
        </is>
      </c>
      <c r="C245" s="590" t="inlineStr">
        <is>
          <t>MOV_CRI_24__2714939</t>
        </is>
      </c>
      <c r="D245" s="105" t="inlineStr">
        <is>
          <t>Detective Vs. Sleuths</t>
        </is>
      </c>
      <c r="E245" s="110" t="inlineStr">
        <is>
          <t>Thần Thám Đại Chiến</t>
        </is>
      </c>
      <c r="F245" s="108" t="inlineStr">
        <is>
          <t>action</t>
        </is>
      </c>
      <c r="G245" s="108" t="inlineStr">
        <is>
          <t>Hỏa Thổ</t>
        </is>
      </c>
      <c r="H245" s="108" t="inlineStr">
        <is>
          <t>25A/2024/HDBQ/VSTV-Hoa tho</t>
        </is>
      </c>
      <c r="I245" s="104" t="n">
        <v>2022</v>
      </c>
      <c r="J245" s="107" t="inlineStr">
        <is>
          <t>China</t>
        </is>
      </c>
      <c r="K245" s="104" t="n">
        <v>101</v>
      </c>
      <c r="L245" s="98" t="n">
        <v>45436</v>
      </c>
      <c r="M245" s="109" t="n">
        <v>46530</v>
      </c>
      <c r="N245" s="601" t="n">
        <v>45436</v>
      </c>
      <c r="O245" s="592" t="inlineStr">
        <is>
          <t>K+CINE</t>
        </is>
      </c>
      <c r="P245" s="104" t="inlineStr">
        <is>
          <t xml:space="preserve"> </t>
        </is>
      </c>
      <c r="Q245" s="104" t="inlineStr">
        <is>
          <t>No</t>
        </is>
      </c>
      <c r="R245" s="592" t="inlineStr">
        <is>
          <t>Yes</t>
        </is>
      </c>
      <c r="S245" s="104" t="inlineStr">
        <is>
          <t>Yes</t>
        </is>
      </c>
      <c r="T245" s="592" t="inlineStr">
        <is>
          <t>Yes</t>
        </is>
      </c>
      <c r="U245" s="104" t="inlineStr">
        <is>
          <t>No</t>
        </is>
      </c>
      <c r="V245" s="104" t="inlineStr">
        <is>
          <t>Yes</t>
        </is>
      </c>
      <c r="W245" s="104" t="inlineStr">
        <is>
          <t>Yes</t>
        </is>
      </c>
      <c r="X245" s="592" t="inlineStr">
        <is>
          <t>No</t>
        </is>
      </c>
      <c r="Y245" s="104" t="inlineStr">
        <is>
          <t>No</t>
        </is>
      </c>
      <c r="Z245" s="98" t="n">
        <v>45436</v>
      </c>
      <c r="AA245" s="109" t="n">
        <v>46530</v>
      </c>
      <c r="AB245" s="107" t="inlineStr">
        <is>
          <t>Unlimited run</t>
        </is>
      </c>
      <c r="AC245" s="105" t="n">
        <v>23</v>
      </c>
      <c r="AD245" s="592" t="inlineStr">
        <is>
          <t>Yes</t>
        </is>
      </c>
      <c r="AE245" s="592" t="inlineStr">
        <is>
          <t>Yes</t>
        </is>
      </c>
      <c r="AF245" s="600" t="n"/>
      <c r="AG245" s="593" t="inlineStr">
        <is>
          <t>Phim còn hạn từ 2026</t>
        </is>
      </c>
      <c r="AH245" s="594" t="n"/>
      <c r="AI245" s="206" t="inlineStr">
        <is>
          <t>Detective Vs. Sleuths (Thần Thám Đại Chiến)</t>
        </is>
      </c>
      <c r="AJ245" s="128">
        <f>SUMIF('TK 15661.Bản quyền phim '!F:F,'KK1. Movies'!D245,'TK 15661.Bản quyền phim '!X:X)</f>
        <v/>
      </c>
      <c r="AK245" s="128">
        <f>SUMIF('TK 15661.Bản quyền phim '!F:F,'KK1. Movies'!AI245,'TK 15661.Bản quyền phim '!X:X)</f>
        <v/>
      </c>
      <c r="AL245" s="203">
        <f>COUNTIF('242.BQ Phim hợp tác'!$C:$C,'KK1. Movies'!AI245)</f>
        <v/>
      </c>
      <c r="AM245" s="203">
        <f>COUNTIF('TK 15661.Bản quyền phim '!F:F,'KK1. Movies'!AI245)</f>
        <v/>
      </c>
      <c r="AN245" s="546">
        <f>AL245+AM245</f>
        <v/>
      </c>
      <c r="AO245" s="203" t="n"/>
      <c r="AP245" s="203" t="n"/>
      <c r="AQ245" s="203" t="n"/>
      <c r="AR245" s="203" t="n"/>
      <c r="AS245" s="203" t="n"/>
      <c r="AT245" s="546">
        <f>IFERROR(VLOOKUP(C245, CodeRanMovies!$A:$K, 11, 0), "Not found")</f>
        <v/>
      </c>
    </row>
    <row r="246">
      <c r="A246" s="201">
        <f>_xlfn.AGGREGATE(3,3,$D$7:D246)</f>
        <v/>
      </c>
      <c r="B246" s="606" t="inlineStr">
        <is>
          <t>n/a</t>
        </is>
      </c>
      <c r="C246" s="590" t="inlineStr">
        <is>
          <t>MOV_COM289</t>
        </is>
      </c>
      <c r="D246" s="105" t="inlineStr">
        <is>
          <t>MISS FORTUNE</t>
        </is>
      </c>
      <c r="E246" s="105" t="inlineStr">
        <is>
          <t>Mỹ Nhân Đạo Chích</t>
        </is>
      </c>
      <c r="F246" s="108" t="inlineStr">
        <is>
          <t>Comedy, Life, Drama</t>
        </is>
      </c>
      <c r="G246" s="108" t="inlineStr">
        <is>
          <t>Skyline Media</t>
        </is>
      </c>
      <c r="H246" s="590" t="inlineStr">
        <is>
          <t>36/2025/HDBQ/VSTV-SM</t>
        </is>
      </c>
      <c r="I246" s="107" t="n">
        <v>2023</v>
      </c>
      <c r="J246" s="107" t="inlineStr">
        <is>
          <t>Korea</t>
        </is>
      </c>
      <c r="K246" s="107" t="n">
        <v>121</v>
      </c>
      <c r="L246" s="591" t="n">
        <v>45735</v>
      </c>
      <c r="M246" s="98" t="n">
        <v>46830</v>
      </c>
      <c r="N246" s="601" t="inlineStr">
        <is>
          <t>n/a</t>
        </is>
      </c>
      <c r="O246" s="592" t="n"/>
      <c r="P246" s="104" t="n">
        <v>12</v>
      </c>
      <c r="Q246" s="107" t="inlineStr">
        <is>
          <t>No</t>
        </is>
      </c>
      <c r="R246" s="592" t="inlineStr">
        <is>
          <t>Yes</t>
        </is>
      </c>
      <c r="S246" s="104" t="inlineStr">
        <is>
          <t>Yes</t>
        </is>
      </c>
      <c r="T246" s="592" t="inlineStr">
        <is>
          <t>Yes</t>
        </is>
      </c>
      <c r="U246" s="104" t="inlineStr">
        <is>
          <t>Yes</t>
        </is>
      </c>
      <c r="V246" s="104" t="inlineStr">
        <is>
          <t>Yes</t>
        </is>
      </c>
      <c r="W246" s="104" t="inlineStr">
        <is>
          <t>Yes</t>
        </is>
      </c>
      <c r="X246" s="104" t="inlineStr">
        <is>
          <t>Yes</t>
        </is>
      </c>
      <c r="Y246" s="104" t="inlineStr">
        <is>
          <t>No</t>
        </is>
      </c>
      <c r="Z246" s="109" t="n">
        <v>45735</v>
      </c>
      <c r="AA246" s="125" t="n">
        <v>46830</v>
      </c>
      <c r="AB246" s="107" t="n">
        <v>24</v>
      </c>
      <c r="AC246" s="202" t="n">
        <v>5</v>
      </c>
      <c r="AD246" s="592" t="inlineStr">
        <is>
          <t>Yes</t>
        </is>
      </c>
      <c r="AE246" s="592" t="inlineStr">
        <is>
          <t>Yes</t>
        </is>
      </c>
      <c r="AF246" s="600" t="n"/>
      <c r="AG246" s="593" t="inlineStr">
        <is>
          <t>Phim còn hạn từ 2026</t>
        </is>
      </c>
      <c r="AH246" s="594" t="n"/>
      <c r="AI246" s="206" t="inlineStr">
        <is>
          <t>MISS FORTUNE</t>
        </is>
      </c>
      <c r="AJ246" s="128">
        <f>SUMIF('TK 15661.Bản quyền phim '!F:F,'KK1. Movies'!D246,'TK 15661.Bản quyền phim '!X:X)</f>
        <v/>
      </c>
      <c r="AK246" s="128">
        <f>SUMIF('TK 15661.Bản quyền phim '!F:F,'KK1. Movies'!AI246,'TK 15661.Bản quyền phim '!X:X)</f>
        <v/>
      </c>
      <c r="AL246" s="203">
        <f>COUNTIF('242.BQ Phim hợp tác'!$C:$C,'KK1. Movies'!AI246)</f>
        <v/>
      </c>
      <c r="AM246" s="203">
        <f>COUNTIF('TK 15661.Bản quyền phim '!F:F,'KK1. Movies'!AI246)</f>
        <v/>
      </c>
      <c r="AN246" s="546">
        <f>AL246+AM246</f>
        <v/>
      </c>
      <c r="AO246" s="203" t="n"/>
      <c r="AP246" s="203" t="n"/>
      <c r="AQ246" s="203" t="n"/>
      <c r="AR246" s="203" t="n"/>
      <c r="AS246" s="203" t="n"/>
      <c r="AT246" s="546">
        <f>IFERROR(VLOOKUP(C246, CodeRanMovies!$A:$K, 11, 0), "Not found")</f>
        <v/>
      </c>
    </row>
    <row r="247" ht="26.4" customHeight="1" s="578">
      <c r="A247" s="201">
        <f>_xlfn.AGGREGATE(3,3,$D$7:D247)</f>
        <v/>
      </c>
      <c r="B247" s="589" t="inlineStr">
        <is>
          <t>P</t>
        </is>
      </c>
      <c r="C247" s="234" t="inlineStr">
        <is>
          <t>MOV_FAN__16__2492574</t>
        </is>
      </c>
      <c r="D247" s="596" t="inlineStr">
        <is>
          <t>Tam Cam: The untold story</t>
        </is>
      </c>
      <c r="E247" s="590" t="inlineStr">
        <is>
          <t>TẤM CÁM: CHUYỆN CHƯA KỂ</t>
        </is>
      </c>
      <c r="F247" s="589" t="inlineStr">
        <is>
          <t>Comedy</t>
        </is>
      </c>
      <c r="G247" s="589" t="inlineStr">
        <is>
          <t>BHD</t>
        </is>
      </c>
      <c r="H247" s="589" t="inlineStr">
        <is>
          <t>10/2017/HDBQ/VSTV-BHD</t>
        </is>
      </c>
      <c r="I247" s="96" t="n">
        <v>2016</v>
      </c>
      <c r="J247" s="592" t="inlineStr">
        <is>
          <t>Việt Nam</t>
        </is>
      </c>
      <c r="K247" s="107" t="n">
        <v>110</v>
      </c>
      <c r="L247" s="98" t="n">
        <v>42720</v>
      </c>
      <c r="M247" s="602" t="inlineStr">
        <is>
          <t>Vĩnh viễn</t>
        </is>
      </c>
      <c r="N247" s="602" t="n">
        <v>42720</v>
      </c>
      <c r="O247" s="612" t="n"/>
      <c r="P247" s="96" t="n">
        <v>60</v>
      </c>
      <c r="Q247" s="592" t="inlineStr">
        <is>
          <t>No</t>
        </is>
      </c>
      <c r="R247" s="592" t="inlineStr">
        <is>
          <t>Yes</t>
        </is>
      </c>
      <c r="S247" s="592" t="inlineStr">
        <is>
          <t>Yes</t>
        </is>
      </c>
      <c r="T247" s="592" t="inlineStr">
        <is>
          <t>Yes</t>
        </is>
      </c>
      <c r="U247" s="592" t="inlineStr">
        <is>
          <t>Yes</t>
        </is>
      </c>
      <c r="V247" s="592" t="inlineStr">
        <is>
          <t>Yes</t>
        </is>
      </c>
      <c r="W247" s="592" t="inlineStr">
        <is>
          <t>Yes</t>
        </is>
      </c>
      <c r="X247" s="592" t="inlineStr">
        <is>
          <t>No</t>
        </is>
      </c>
      <c r="Y247" s="592" t="inlineStr">
        <is>
          <t>yes</t>
        </is>
      </c>
      <c r="Z247" s="98" t="n">
        <v>42720</v>
      </c>
      <c r="AA247" s="601" t="inlineStr">
        <is>
          <t>Vĩnh viễn</t>
        </is>
      </c>
      <c r="AB247" s="96" t="n">
        <v>36</v>
      </c>
      <c r="AC247" s="100" t="n">
        <v>4</v>
      </c>
      <c r="AD247" s="592" t="inlineStr">
        <is>
          <t>Yes</t>
        </is>
      </c>
      <c r="AE247" s="592" t="inlineStr">
        <is>
          <t>Yes</t>
        </is>
      </c>
      <c r="AF247" s="600" t="n"/>
      <c r="AG247" s="593" t="inlineStr">
        <is>
          <t>Phim còn hạn từ 2026</t>
        </is>
      </c>
      <c r="AH247" s="594" t="n"/>
      <c r="AI247" s="207" t="inlineStr">
        <is>
          <t>Phim hợp tác Tấm Cám: Chuyện chưa kể</t>
        </is>
      </c>
      <c r="AJ247" s="128">
        <f>SUMIF('TK 15661.Bản quyền phim '!F:F,'KK1. Movies'!D247,'TK 15661.Bản quyền phim '!X:X)</f>
        <v/>
      </c>
      <c r="AK247" s="128">
        <f>SUMIF('TK 15661.Bản quyền phim '!F:F,'KK1. Movies'!AI247,'TK 15661.Bản quyền phim '!X:X)</f>
        <v/>
      </c>
      <c r="AL247" s="203">
        <f>COUNTIF('242.BQ Phim hợp tác'!$C:$C,'KK1. Movies'!AI247)</f>
        <v/>
      </c>
      <c r="AM247" s="203">
        <f>COUNTIF('TK 15661.Bản quyền phim '!F:F,'KK1. Movies'!AI247)</f>
        <v/>
      </c>
      <c r="AN247" s="546">
        <f>AL247+AM247</f>
        <v/>
      </c>
      <c r="AO247" s="203" t="n"/>
      <c r="AP247" s="203" t="n"/>
      <c r="AQ247" s="203" t="n"/>
      <c r="AR247" s="203" t="n"/>
      <c r="AS247" s="203" t="n"/>
      <c r="AT247" s="546">
        <f>IFERROR(VLOOKUP(C247, CodeRanMovies!$A:$K, 11, 0), "Not found")</f>
        <v/>
      </c>
    </row>
    <row r="248" ht="26.4" customHeight="1" s="578">
      <c r="A248" s="201">
        <f>_xlfn.AGGREGATE(3,3,$D$7:D248)</f>
        <v/>
      </c>
      <c r="B248" s="589" t="inlineStr">
        <is>
          <t>13+</t>
        </is>
      </c>
      <c r="C248" s="590" t="inlineStr">
        <is>
          <t>MOV_ACT_23__2689674</t>
        </is>
      </c>
      <c r="D248" s="596" t="inlineStr">
        <is>
          <t>7 DAYS IN ENTEBBE</t>
        </is>
      </c>
      <c r="E248" s="590" t="inlineStr">
        <is>
          <t>7 ngày ở Entebbe</t>
        </is>
      </c>
      <c r="F248" s="590" t="inlineStr">
        <is>
          <t>Action, Adventure</t>
        </is>
      </c>
      <c r="G248" s="589" t="inlineStr">
        <is>
          <t>CJ HK</t>
        </is>
      </c>
      <c r="H248" s="590" t="inlineStr">
        <is>
          <t>135/2022/HDBQ/VSTV-CJHK</t>
        </is>
      </c>
      <c r="I248" s="204" t="n">
        <v>2017</v>
      </c>
      <c r="J248" s="600" t="inlineStr">
        <is>
          <t>US</t>
        </is>
      </c>
      <c r="K248" s="204" t="n">
        <v>107</v>
      </c>
      <c r="L248" s="98" t="n">
        <v>45021</v>
      </c>
      <c r="M248" s="101" t="n">
        <v>46116</v>
      </c>
      <c r="N248" s="597" t="n">
        <v>45021</v>
      </c>
      <c r="O248" s="598" t="inlineStr">
        <is>
          <t>K+CINE</t>
        </is>
      </c>
      <c r="P248" s="96" t="n">
        <v>12</v>
      </c>
      <c r="Q248" s="592" t="inlineStr">
        <is>
          <t>No</t>
        </is>
      </c>
      <c r="R248" s="592" t="inlineStr">
        <is>
          <t>Yes</t>
        </is>
      </c>
      <c r="S248" s="592" t="inlineStr">
        <is>
          <t>Yes</t>
        </is>
      </c>
      <c r="T248" s="592" t="inlineStr">
        <is>
          <t>Yes</t>
        </is>
      </c>
      <c r="U248" s="592" t="inlineStr">
        <is>
          <t>Yes</t>
        </is>
      </c>
      <c r="V248" s="592" t="inlineStr">
        <is>
          <t>Yes</t>
        </is>
      </c>
      <c r="W248" s="592" t="inlineStr">
        <is>
          <t>Yes</t>
        </is>
      </c>
      <c r="X248" s="104" t="inlineStr">
        <is>
          <t>No</t>
        </is>
      </c>
      <c r="Y248" s="592" t="inlineStr">
        <is>
          <t>Yes</t>
        </is>
      </c>
      <c r="Z248" s="98" t="n">
        <v>45021</v>
      </c>
      <c r="AA248" s="101" t="n">
        <v>46116</v>
      </c>
      <c r="AB248" s="96" t="inlineStr">
        <is>
          <t>unlimited</t>
        </is>
      </c>
      <c r="AC248" s="202" t="n">
        <v>36</v>
      </c>
      <c r="AD248" s="592" t="inlineStr">
        <is>
          <t>Yes</t>
        </is>
      </c>
      <c r="AE248" s="592" t="inlineStr">
        <is>
          <t>Yes</t>
        </is>
      </c>
      <c r="AF248" s="600" t="n"/>
      <c r="AG248" s="593" t="inlineStr">
        <is>
          <t>Phim còn hạn từ 2026</t>
        </is>
      </c>
      <c r="AH248" s="594" t="n"/>
      <c r="AI248" s="206" t="inlineStr">
        <is>
          <t>7 DAYS IN ENTEBBE (7 ngày ở Entebbe)</t>
        </is>
      </c>
      <c r="AJ248" s="128">
        <f>SUMIF('TK 15661.Bản quyền phim '!F:F,'KK1. Movies'!D248,'TK 15661.Bản quyền phim '!X:X)</f>
        <v/>
      </c>
      <c r="AK248" s="128">
        <f>SUMIF('TK 15661.Bản quyền phim '!F:F,'KK1. Movies'!AI248,'TK 15661.Bản quyền phim '!X:X)</f>
        <v/>
      </c>
      <c r="AL248" s="203">
        <f>COUNTIF('242.BQ Phim hợp tác'!$C:$C,'KK1. Movies'!AI248)</f>
        <v/>
      </c>
      <c r="AM248" s="203">
        <f>COUNTIF('TK 15661.Bản quyền phim '!F:F,'KK1. Movies'!AI248)</f>
        <v/>
      </c>
      <c r="AN248" s="546">
        <f>AL248+AM248</f>
        <v/>
      </c>
      <c r="AO248" s="203" t="n"/>
      <c r="AP248" s="203" t="n"/>
      <c r="AQ248" s="203" t="n"/>
      <c r="AR248" s="203" t="n"/>
      <c r="AS248" s="203" t="n"/>
      <c r="AT248" s="546">
        <f>IFERROR(VLOOKUP(C248, CodeRanMovies!$A:$K, 11, 0), "Not found")</f>
        <v/>
      </c>
    </row>
    <row r="249" ht="26.4" customHeight="1" s="578">
      <c r="A249" s="201">
        <f>_xlfn.AGGREGATE(3,3,$D$7:D249)</f>
        <v/>
      </c>
      <c r="B249" s="589" t="inlineStr">
        <is>
          <t>16+</t>
        </is>
      </c>
      <c r="C249" s="590" t="inlineStr">
        <is>
          <t>MOV_ACT_23__2691049</t>
        </is>
      </c>
      <c r="D249" s="596" t="inlineStr">
        <is>
          <t>Horizon Line</t>
        </is>
      </c>
      <c r="E249" s="590" t="inlineStr">
        <is>
          <t>Vùng trời tử thần</t>
        </is>
      </c>
      <c r="F249" s="590" t="inlineStr">
        <is>
          <t>Action, Adventure</t>
        </is>
      </c>
      <c r="G249" s="589" t="inlineStr">
        <is>
          <t>Roses Media</t>
        </is>
      </c>
      <c r="H249" s="590" t="inlineStr">
        <is>
          <t>140/2022/HDBQ/VSTV-RM</t>
        </is>
      </c>
      <c r="I249" s="204" t="n">
        <v>2020</v>
      </c>
      <c r="J249" s="592" t="inlineStr">
        <is>
          <t>US</t>
        </is>
      </c>
      <c r="K249" s="204" t="n">
        <v>91</v>
      </c>
      <c r="L249" s="98" t="n">
        <v>45127</v>
      </c>
      <c r="M249" s="101" t="n">
        <v>46222</v>
      </c>
      <c r="N249" s="597" t="n">
        <v>45134</v>
      </c>
      <c r="O249" s="598" t="inlineStr">
        <is>
          <t>K+CINE</t>
        </is>
      </c>
      <c r="P249" s="592" t="inlineStr">
        <is>
          <t xml:space="preserve">Exclusive All Pay TV Rights for first 12 months.
Non exclusive All VOD during LP 
</t>
        </is>
      </c>
      <c r="Q249" s="592" t="inlineStr">
        <is>
          <t>No</t>
        </is>
      </c>
      <c r="R249" s="592" t="inlineStr">
        <is>
          <t>Yes</t>
        </is>
      </c>
      <c r="S249" s="592" t="inlineStr">
        <is>
          <t>No</t>
        </is>
      </c>
      <c r="T249" s="592" t="inlineStr">
        <is>
          <t>Yes</t>
        </is>
      </c>
      <c r="U249" s="592" t="inlineStr">
        <is>
          <t>Yes</t>
        </is>
      </c>
      <c r="V249" s="592" t="inlineStr">
        <is>
          <t>Yes</t>
        </is>
      </c>
      <c r="W249" s="592" t="inlineStr">
        <is>
          <t>Yes</t>
        </is>
      </c>
      <c r="X249" s="592" t="inlineStr">
        <is>
          <t>Yes</t>
        </is>
      </c>
      <c r="Y249" s="592" t="inlineStr">
        <is>
          <t>No</t>
        </is>
      </c>
      <c r="Z249" s="98" t="n">
        <v>45127</v>
      </c>
      <c r="AA249" s="101" t="n">
        <v>46222</v>
      </c>
      <c r="AB249" s="202" t="n">
        <v>24</v>
      </c>
      <c r="AC249" s="202" t="n">
        <v>18</v>
      </c>
      <c r="AD249" s="592" t="inlineStr">
        <is>
          <t>Yes</t>
        </is>
      </c>
      <c r="AE249" s="592" t="inlineStr">
        <is>
          <t>Yes</t>
        </is>
      </c>
      <c r="AF249" s="600" t="n"/>
      <c r="AG249" s="593" t="inlineStr">
        <is>
          <t>Phim còn hạn từ 2026</t>
        </is>
      </c>
      <c r="AH249" s="594" t="n"/>
      <c r="AI249" s="599" t="inlineStr">
        <is>
          <t>Horizon Line</t>
        </is>
      </c>
      <c r="AJ249" s="128">
        <f>SUMIF('TK 15661.Bản quyền phim '!F:F,'KK1. Movies'!D249,'TK 15661.Bản quyền phim '!X:X)</f>
        <v/>
      </c>
      <c r="AK249" s="128">
        <f>SUMIF('TK 15661.Bản quyền phim '!F:F,'KK1. Movies'!AI249,'TK 15661.Bản quyền phim '!X:X)</f>
        <v/>
      </c>
      <c r="AL249" s="203">
        <f>COUNTIF('242.BQ Phim hợp tác'!$C:$C,'KK1. Movies'!AI249)</f>
        <v/>
      </c>
      <c r="AM249" s="203">
        <f>COUNTIF('TK 15661.Bản quyền phim '!F:F,'KK1. Movies'!AI249)</f>
        <v/>
      </c>
      <c r="AN249" s="546">
        <f>AL249+AM249</f>
        <v/>
      </c>
      <c r="AO249" s="203" t="n"/>
      <c r="AP249" s="203" t="n"/>
      <c r="AQ249" s="203" t="n"/>
      <c r="AR249" s="203" t="n"/>
      <c r="AS249" s="203" t="n"/>
      <c r="AT249" s="546">
        <f>IFERROR(VLOOKUP(C249, CodeRanMovies!$A:$K, 11, 0), "Not found")</f>
        <v/>
      </c>
    </row>
    <row r="250" ht="52.8" customHeight="1" s="578">
      <c r="A250" s="201">
        <f>_xlfn.AGGREGATE(3,3,$D$7:D250)</f>
        <v/>
      </c>
      <c r="B250" s="606" t="inlineStr">
        <is>
          <t>n/a</t>
        </is>
      </c>
      <c r="C250" s="590" t="inlineStr">
        <is>
          <t>MOV_ACT607</t>
        </is>
      </c>
      <c r="D250" s="105" t="inlineStr">
        <is>
          <t>BATTLE LOS ANGELES</t>
        </is>
      </c>
      <c r="E250" s="110" t="inlineStr">
        <is>
          <t>Thảm họa Los Angeles</t>
        </is>
      </c>
      <c r="F250" s="590" t="inlineStr">
        <is>
          <t>Action, Adventure</t>
        </is>
      </c>
      <c r="G250" s="103" t="inlineStr">
        <is>
          <t>SONY</t>
        </is>
      </c>
      <c r="H250" s="590" t="inlineStr">
        <is>
          <t>Sony/K+Vietnam PayBasic SVOD Package Agmt D3A FE (Feb-5-24)</t>
        </is>
      </c>
      <c r="I250" s="104" t="n">
        <v>2011</v>
      </c>
      <c r="J250" s="104" t="inlineStr">
        <is>
          <t>U.S.A.[excluding Territories &amp; Possessions]</t>
        </is>
      </c>
      <c r="K250" s="104" t="n">
        <v>116</v>
      </c>
      <c r="L250" s="591" t="n">
        <v>45747</v>
      </c>
      <c r="M250" s="106" t="n">
        <v>46492</v>
      </c>
      <c r="N250" s="601" t="n"/>
      <c r="O250" s="592" t="n"/>
      <c r="P250" s="592" t="n"/>
      <c r="Q250" s="104" t="inlineStr">
        <is>
          <t>No</t>
        </is>
      </c>
      <c r="R250" s="104" t="inlineStr">
        <is>
          <t>Yes</t>
        </is>
      </c>
      <c r="S250" s="104" t="inlineStr">
        <is>
          <t>Yes</t>
        </is>
      </c>
      <c r="T250" s="592" t="inlineStr">
        <is>
          <t>Yes</t>
        </is>
      </c>
      <c r="U250" s="104" t="inlineStr">
        <is>
          <t>No</t>
        </is>
      </c>
      <c r="V250" s="104" t="inlineStr">
        <is>
          <t>No</t>
        </is>
      </c>
      <c r="W250" s="104" t="inlineStr">
        <is>
          <t>No</t>
        </is>
      </c>
      <c r="X250" s="104" t="inlineStr">
        <is>
          <t>Yes</t>
        </is>
      </c>
      <c r="Y250" s="104" t="inlineStr">
        <is>
          <t>No</t>
        </is>
      </c>
      <c r="Z250" s="106" t="n">
        <v>45747</v>
      </c>
      <c r="AA250" s="124" t="n">
        <v>46310</v>
      </c>
      <c r="AB250" s="104" t="n">
        <v>7</v>
      </c>
      <c r="AC250" s="202" t="n">
        <v>2</v>
      </c>
      <c r="AD250" s="592" t="inlineStr">
        <is>
          <t>Yes</t>
        </is>
      </c>
      <c r="AE250" s="592" t="inlineStr">
        <is>
          <t>Yes</t>
        </is>
      </c>
      <c r="AF250" s="600" t="n"/>
      <c r="AG250" s="593" t="inlineStr">
        <is>
          <t>Phim còn hạn từ 2026</t>
        </is>
      </c>
      <c r="AH250" s="594" t="inlineStr">
        <is>
          <t>MOV_ACT607</t>
        </is>
      </c>
      <c r="AI250" s="206" t="inlineStr">
        <is>
          <t>BATTLE LOS ANGELES</t>
        </is>
      </c>
      <c r="AJ250" s="128">
        <f>SUMIF('TK 15661.Bản quyền phim '!F:F,'KK1. Movies'!D250,'TK 15661.Bản quyền phim '!X:X)</f>
        <v/>
      </c>
      <c r="AK250" s="128">
        <f>SUMIF('TK 15661.Bản quyền phim '!F:F,'KK1. Movies'!AI250,'TK 15661.Bản quyền phim '!X:X)</f>
        <v/>
      </c>
      <c r="AL250" s="203">
        <f>COUNTIF('242.BQ Phim hợp tác'!$C:$C,'KK1. Movies'!AI250)</f>
        <v/>
      </c>
      <c r="AM250" s="203">
        <f>COUNTIF('TK 15661.Bản quyền phim '!F:F,'KK1. Movies'!AI250)</f>
        <v/>
      </c>
      <c r="AN250" s="546">
        <f>AL250+AM250</f>
        <v/>
      </c>
      <c r="AO250" s="203" t="n"/>
      <c r="AP250" s="203" t="n"/>
      <c r="AQ250" s="203" t="n"/>
      <c r="AR250" s="203" t="n"/>
      <c r="AS250" s="203" t="n"/>
      <c r="AT250" s="546">
        <f>IFERROR(VLOOKUP(C250, CodeRanMovies!$A:$K, 11, 0), "Not found")</f>
        <v/>
      </c>
    </row>
    <row r="251">
      <c r="A251" s="201">
        <f>_xlfn.AGGREGATE(3,3,$D$7:D251)</f>
        <v/>
      </c>
      <c r="B251" s="589" t="n"/>
      <c r="C251" s="590" t="inlineStr">
        <is>
          <t>MOV_CRI114</t>
        </is>
      </c>
      <c r="D251" s="105" t="inlineStr">
        <is>
          <t>Hovering Blade</t>
        </is>
      </c>
      <c r="E251" s="110" t="inlineStr">
        <is>
          <t>Lưỡi dao lạc lối</t>
        </is>
      </c>
      <c r="F251" s="103" t="inlineStr">
        <is>
          <t>Crime, Drama</t>
        </is>
      </c>
      <c r="G251" s="103" t="inlineStr">
        <is>
          <t>iQiYi</t>
        </is>
      </c>
      <c r="H251" s="590" t="inlineStr">
        <is>
          <t>9/2025/HDBQVSTV-Iqiyi</t>
        </is>
      </c>
      <c r="I251" s="104" t="n">
        <v>2024</v>
      </c>
      <c r="J251" s="104" t="inlineStr">
        <is>
          <t>China</t>
        </is>
      </c>
      <c r="K251" s="104" t="n">
        <v>107</v>
      </c>
      <c r="L251" s="106" t="n">
        <v>45869</v>
      </c>
      <c r="M251" s="106" t="n">
        <v>46965</v>
      </c>
      <c r="N251" s="601" t="n"/>
      <c r="O251" s="592" t="n"/>
      <c r="P251" s="104" t="n">
        <v>36</v>
      </c>
      <c r="Q251" s="104" t="inlineStr">
        <is>
          <t>No</t>
        </is>
      </c>
      <c r="R251" s="104" t="inlineStr">
        <is>
          <t>Yes</t>
        </is>
      </c>
      <c r="S251" s="104" t="inlineStr">
        <is>
          <t>Yes</t>
        </is>
      </c>
      <c r="T251" s="592" t="inlineStr">
        <is>
          <t>Yes</t>
        </is>
      </c>
      <c r="U251" s="104" t="inlineStr">
        <is>
          <t>Yes</t>
        </is>
      </c>
      <c r="V251" s="104" t="inlineStr">
        <is>
          <t>No</t>
        </is>
      </c>
      <c r="W251" s="104" t="inlineStr">
        <is>
          <t>Yes</t>
        </is>
      </c>
      <c r="X251" s="104" t="inlineStr">
        <is>
          <t>Yes</t>
        </is>
      </c>
      <c r="Y251" s="104" t="inlineStr">
        <is>
          <t>Yes</t>
        </is>
      </c>
      <c r="Z251" s="106" t="n">
        <v>45869</v>
      </c>
      <c r="AA251" s="124" t="n">
        <v>46965</v>
      </c>
      <c r="AB251" s="104" t="inlineStr">
        <is>
          <t>Unlimited</t>
        </is>
      </c>
      <c r="AC251" s="202" t="n">
        <v>5</v>
      </c>
      <c r="AD251" s="592" t="inlineStr">
        <is>
          <t>Yes</t>
        </is>
      </c>
      <c r="AE251" s="592" t="inlineStr">
        <is>
          <t>Yes</t>
        </is>
      </c>
      <c r="AF251" s="600" t="n"/>
      <c r="AG251" s="593" t="inlineStr">
        <is>
          <t>Phim còn hạn từ 2026</t>
        </is>
      </c>
      <c r="AH251" s="594" t="n"/>
      <c r="AI251" s="206" t="inlineStr">
        <is>
          <t>Hovering Blade</t>
        </is>
      </c>
      <c r="AJ251" s="128">
        <f>SUMIF('TK 15661.Bản quyền phim '!F:F,'KK1. Movies'!D251,'TK 15661.Bản quyền phim '!X:X)</f>
        <v/>
      </c>
      <c r="AK251" s="128">
        <f>SUMIF('TK 15661.Bản quyền phim '!F:F,'KK1. Movies'!AI251,'TK 15661.Bản quyền phim '!X:X)</f>
        <v/>
      </c>
      <c r="AL251" s="203">
        <f>COUNTIF('242.BQ Phim hợp tác'!$C:$C,'KK1. Movies'!AI251)</f>
        <v/>
      </c>
      <c r="AM251" s="203">
        <f>COUNTIF('TK 15661.Bản quyền phim '!F:F,'KK1. Movies'!AI251)</f>
        <v/>
      </c>
      <c r="AN251" s="546">
        <f>AL251+AM251</f>
        <v/>
      </c>
      <c r="AO251" s="203" t="n"/>
      <c r="AP251" s="203" t="n"/>
      <c r="AQ251" s="203" t="n"/>
      <c r="AR251" s="203" t="n"/>
      <c r="AS251" s="203" t="n"/>
      <c r="AT251" s="546">
        <f>IFERROR(VLOOKUP(C251, CodeRanMovies!$A:$K, 11, 0), "Not found")</f>
        <v/>
      </c>
    </row>
    <row r="252" ht="26.4" customHeight="1" s="578">
      <c r="A252" s="201">
        <f>_xlfn.AGGREGATE(3,3,$D$7:D252)</f>
        <v/>
      </c>
      <c r="B252" s="589" t="inlineStr">
        <is>
          <t>13+</t>
        </is>
      </c>
      <c r="C252" s="590" t="inlineStr">
        <is>
          <t>MOV_COM__2686867</t>
        </is>
      </c>
      <c r="D252" s="596" t="inlineStr">
        <is>
          <t>FAMILY SWAP</t>
        </is>
      </c>
      <c r="E252" s="590" t="inlineStr">
        <is>
          <t>Bố là con gái mẹ tôi</t>
        </is>
      </c>
      <c r="F252" s="590" t="inlineStr">
        <is>
          <t>Comedy</t>
        </is>
      </c>
      <c r="G252" s="589" t="inlineStr">
        <is>
          <t>CJ HK</t>
        </is>
      </c>
      <c r="H252" s="590" t="inlineStr">
        <is>
          <t>135/2022/HDBQ/VSTV-CJHK</t>
        </is>
      </c>
      <c r="I252" s="204" t="n">
        <v>2021</v>
      </c>
      <c r="J252" s="600" t="inlineStr">
        <is>
          <t>France</t>
        </is>
      </c>
      <c r="K252" s="204" t="n">
        <v>107</v>
      </c>
      <c r="L252" s="98" t="n">
        <v>44931</v>
      </c>
      <c r="M252" s="98" t="n">
        <v>46026</v>
      </c>
      <c r="N252" s="597" t="n">
        <v>44931</v>
      </c>
      <c r="O252" s="598" t="inlineStr">
        <is>
          <t>K+CINE</t>
        </is>
      </c>
      <c r="P252" s="96" t="n">
        <v>12</v>
      </c>
      <c r="Q252" s="592" t="inlineStr">
        <is>
          <t>No</t>
        </is>
      </c>
      <c r="R252" s="592" t="inlineStr">
        <is>
          <t>Yes</t>
        </is>
      </c>
      <c r="S252" s="592" t="inlineStr">
        <is>
          <t>Yes</t>
        </is>
      </c>
      <c r="T252" s="592" t="inlineStr">
        <is>
          <t>Yes</t>
        </is>
      </c>
      <c r="U252" s="592" t="inlineStr">
        <is>
          <t>Yes</t>
        </is>
      </c>
      <c r="V252" s="592" t="inlineStr">
        <is>
          <t>Yes</t>
        </is>
      </c>
      <c r="W252" s="592" t="inlineStr">
        <is>
          <t>Yes</t>
        </is>
      </c>
      <c r="X252" s="104" t="inlineStr">
        <is>
          <t>No</t>
        </is>
      </c>
      <c r="Y252" s="592" t="inlineStr">
        <is>
          <t>Yes</t>
        </is>
      </c>
      <c r="Z252" s="98" t="n">
        <v>44931</v>
      </c>
      <c r="AA252" s="98" t="n">
        <v>46026</v>
      </c>
      <c r="AB252" s="96" t="inlineStr">
        <is>
          <t>unlimited</t>
        </is>
      </c>
      <c r="AC252" s="202" t="n">
        <v>32</v>
      </c>
      <c r="AD252" s="592" t="inlineStr">
        <is>
          <t>Yes</t>
        </is>
      </c>
      <c r="AE252" s="592" t="inlineStr">
        <is>
          <t>Yes</t>
        </is>
      </c>
      <c r="AF252" s="600" t="n"/>
      <c r="AG252" s="593" t="inlineStr">
        <is>
          <t>Phim còn hạn từ 2026</t>
        </is>
      </c>
      <c r="AH252" s="594" t="n"/>
      <c r="AI252" s="206" t="inlineStr">
        <is>
          <t>FAMILY SWAP (Bố là con gái mẹ tôi)</t>
        </is>
      </c>
      <c r="AJ252" s="128">
        <f>SUMIF('TK 15661.Bản quyền phim '!F:F,'KK1. Movies'!D252,'TK 15661.Bản quyền phim '!X:X)</f>
        <v/>
      </c>
      <c r="AK252" s="128">
        <f>SUMIF('TK 15661.Bản quyền phim '!F:F,'KK1. Movies'!AI252,'TK 15661.Bản quyền phim '!X:X)</f>
        <v/>
      </c>
      <c r="AL252" s="203">
        <f>COUNTIF('242.BQ Phim hợp tác'!$C:$C,'KK1. Movies'!AI252)</f>
        <v/>
      </c>
      <c r="AM252" s="203">
        <f>COUNTIF('TK 15661.Bản quyền phim '!F:F,'KK1. Movies'!AI252)</f>
        <v/>
      </c>
      <c r="AN252" s="546">
        <f>AL252+AM252</f>
        <v/>
      </c>
      <c r="AO252" s="203" t="n"/>
      <c r="AP252" s="203" t="n"/>
      <c r="AQ252" s="203" t="n"/>
      <c r="AR252" s="203" t="n"/>
      <c r="AS252" s="203" t="n"/>
      <c r="AT252" s="546">
        <f>IFERROR(VLOOKUP(C252, CodeRanMovies!$A:$K, 11, 0), "Not found")</f>
        <v/>
      </c>
    </row>
    <row r="253">
      <c r="A253" s="201">
        <f>_xlfn.AGGREGATE(3,3,$D$7:D253)</f>
        <v/>
      </c>
      <c r="B253" s="589" t="inlineStr">
        <is>
          <t>P</t>
        </is>
      </c>
      <c r="C253" s="234" t="inlineStr">
        <is>
          <t>MOV_MUS8</t>
        </is>
      </c>
      <c r="D253" s="105" t="inlineStr">
        <is>
          <t>CATS (2019)</t>
        </is>
      </c>
      <c r="E253" s="110" t="inlineStr">
        <is>
          <t>Những chú mèo</t>
        </is>
      </c>
      <c r="F253" s="108" t="inlineStr">
        <is>
          <t xml:space="preserve">Others </t>
        </is>
      </c>
      <c r="G253" s="108" t="inlineStr">
        <is>
          <t>NBC Universal</t>
        </is>
      </c>
      <c r="H253" s="108" t="inlineStr">
        <is>
          <t>5049540-2/161434-3</t>
        </is>
      </c>
      <c r="I253" s="104" t="n">
        <v>2019</v>
      </c>
      <c r="J253" s="107" t="inlineStr">
        <is>
          <t>US</t>
        </is>
      </c>
      <c r="K253" s="104" t="n">
        <v>109</v>
      </c>
      <c r="L253" s="98" t="n">
        <v>45616</v>
      </c>
      <c r="M253" s="98" t="n">
        <v>46345</v>
      </c>
      <c r="N253" s="601" t="n">
        <v>45616</v>
      </c>
      <c r="O253" s="592" t="inlineStr">
        <is>
          <t>K+CINE</t>
        </is>
      </c>
      <c r="P253" s="112" t="n">
        <v>12</v>
      </c>
      <c r="Q253" s="104" t="inlineStr">
        <is>
          <t>No</t>
        </is>
      </c>
      <c r="R253" s="592" t="inlineStr">
        <is>
          <t>Yes</t>
        </is>
      </c>
      <c r="S253" s="104" t="inlineStr">
        <is>
          <t>Yes</t>
        </is>
      </c>
      <c r="T253" s="592" t="inlineStr">
        <is>
          <t>Yes</t>
        </is>
      </c>
      <c r="U253" s="104" t="inlineStr">
        <is>
          <t>No</t>
        </is>
      </c>
      <c r="V253" s="104" t="inlineStr">
        <is>
          <t>No</t>
        </is>
      </c>
      <c r="W253" s="104" t="inlineStr">
        <is>
          <t>No</t>
        </is>
      </c>
      <c r="X253" s="104" t="inlineStr">
        <is>
          <t>No</t>
        </is>
      </c>
      <c r="Y253" s="104" t="inlineStr">
        <is>
          <t>Yes</t>
        </is>
      </c>
      <c r="Z253" s="98" t="n">
        <v>45616</v>
      </c>
      <c r="AA253" s="98" t="n">
        <v>46345</v>
      </c>
      <c r="AB253" s="107" t="n">
        <v>6</v>
      </c>
      <c r="AC253" s="105" t="n">
        <v>3</v>
      </c>
      <c r="AD253" s="592" t="inlineStr">
        <is>
          <t>Yes</t>
        </is>
      </c>
      <c r="AE253" s="592" t="inlineStr">
        <is>
          <t>Yes</t>
        </is>
      </c>
      <c r="AF253" s="600" t="n"/>
      <c r="AG253" s="593" t="inlineStr">
        <is>
          <t>Phim còn hạn từ 2026</t>
        </is>
      </c>
      <c r="AH253" s="594" t="n"/>
      <c r="AI253" s="599" t="inlineStr">
        <is>
          <t>CATS (2019)</t>
        </is>
      </c>
      <c r="AJ253" s="128">
        <f>SUMIF('TK 15661.Bản quyền phim '!F:F,'KK1. Movies'!D253,'TK 15661.Bản quyền phim '!X:X)</f>
        <v/>
      </c>
      <c r="AK253" s="128">
        <f>SUMIF('TK 15661.Bản quyền phim '!F:F,'KK1. Movies'!AI253,'TK 15661.Bản quyền phim '!X:X)</f>
        <v/>
      </c>
      <c r="AL253" s="203">
        <f>COUNTIF('242.BQ Phim hợp tác'!$C:$C,'KK1. Movies'!AI253)</f>
        <v/>
      </c>
      <c r="AM253" s="203">
        <f>COUNTIF('TK 15661.Bản quyền phim '!F:F,'KK1. Movies'!AI253)</f>
        <v/>
      </c>
      <c r="AN253" s="546">
        <f>AL253+AM253</f>
        <v/>
      </c>
      <c r="AO253" s="203" t="n"/>
      <c r="AP253" s="203" t="n"/>
      <c r="AQ253" s="203" t="n"/>
      <c r="AR253" s="203" t="n"/>
      <c r="AS253" s="203" t="n"/>
      <c r="AT253" s="546">
        <f>IFERROR(VLOOKUP(C253, CodeRanMovies!$A:$K, 11, 0), "Not found")</f>
        <v/>
      </c>
    </row>
    <row r="254" ht="26.4" customHeight="1" s="578">
      <c r="A254" s="201">
        <f>_xlfn.AGGREGATE(3,3,$D$7:D254)</f>
        <v/>
      </c>
      <c r="B254" s="589" t="inlineStr">
        <is>
          <t>13+</t>
        </is>
      </c>
      <c r="C254" s="234" t="inlineStr">
        <is>
          <t>MOV_DRA_22__2686502</t>
        </is>
      </c>
      <c r="D254" s="596" t="inlineStr">
        <is>
          <t>The Upside</t>
        </is>
      </c>
      <c r="E254" s="590" t="inlineStr">
        <is>
          <t>Trợ lý hết ý</t>
        </is>
      </c>
      <c r="F254" s="590" t="inlineStr">
        <is>
          <t>Drama</t>
        </is>
      </c>
      <c r="G254" s="604" t="inlineStr">
        <is>
          <t>Pro Partner</t>
        </is>
      </c>
      <c r="H254" s="590" t="inlineStr">
        <is>
          <t>56/2023/HDBQ/VSTV-Pro Partner</t>
        </is>
      </c>
      <c r="I254" s="204" t="n">
        <v>2017</v>
      </c>
      <c r="J254" s="600" t="inlineStr">
        <is>
          <t>US</t>
        </is>
      </c>
      <c r="K254" s="204" t="n">
        <v>125</v>
      </c>
      <c r="L254" s="98" t="n">
        <v>45176</v>
      </c>
      <c r="M254" s="98" t="n">
        <v>46271</v>
      </c>
      <c r="N254" s="601" t="n">
        <v>45176</v>
      </c>
      <c r="O254" s="598" t="inlineStr">
        <is>
          <t>K+CINE</t>
        </is>
      </c>
      <c r="P254" s="592" t="inlineStr">
        <is>
          <t>Exclusive All TV Rights the first 9 months of LP
 Non-exclusive with All Catch-up TV Rights; All VOD Rights during LP</t>
        </is>
      </c>
      <c r="Q254" s="600" t="inlineStr">
        <is>
          <t>No</t>
        </is>
      </c>
      <c r="R254" s="592" t="inlineStr">
        <is>
          <t>Yes</t>
        </is>
      </c>
      <c r="S254" s="592" t="inlineStr">
        <is>
          <t>Yes</t>
        </is>
      </c>
      <c r="T254" s="592" t="inlineStr">
        <is>
          <t>Yes</t>
        </is>
      </c>
      <c r="U254" s="592" t="inlineStr">
        <is>
          <t>Yes</t>
        </is>
      </c>
      <c r="V254" s="592" t="inlineStr">
        <is>
          <t>Yes</t>
        </is>
      </c>
      <c r="W254" s="592" t="inlineStr">
        <is>
          <t>Yes</t>
        </is>
      </c>
      <c r="X254" s="592" t="inlineStr">
        <is>
          <t>Yes</t>
        </is>
      </c>
      <c r="Y254" s="592" t="inlineStr">
        <is>
          <t>Yes</t>
        </is>
      </c>
      <c r="Z254" s="98" t="n">
        <v>45176</v>
      </c>
      <c r="AA254" s="98" t="n">
        <v>46271</v>
      </c>
      <c r="AB254" s="96" t="inlineStr">
        <is>
          <t>unlimited</t>
        </is>
      </c>
      <c r="AC254" s="202" t="n">
        <v>22</v>
      </c>
      <c r="AD254" s="592" t="inlineStr">
        <is>
          <t>Yes</t>
        </is>
      </c>
      <c r="AE254" s="592" t="inlineStr">
        <is>
          <t>Yes</t>
        </is>
      </c>
      <c r="AF254" s="600" t="n"/>
      <c r="AG254" s="593" t="inlineStr">
        <is>
          <t>Phim còn hạn từ 2026</t>
        </is>
      </c>
      <c r="AH254" s="594" t="n"/>
      <c r="AI254" s="590" t="inlineStr">
        <is>
          <t>The Upside</t>
        </is>
      </c>
      <c r="AJ254" s="128">
        <f>SUMIF('TK 15661.Bản quyền phim '!F:F,'KK1. Movies'!D254,'TK 15661.Bản quyền phim '!X:X)</f>
        <v/>
      </c>
      <c r="AK254" s="128">
        <f>SUMIF('TK 15661.Bản quyền phim '!F:F,'KK1. Movies'!AI254,'TK 15661.Bản quyền phim '!X:X)</f>
        <v/>
      </c>
      <c r="AL254" s="203">
        <f>COUNTIF('242.BQ Phim hợp tác'!$C:$C,'KK1. Movies'!AI254)</f>
        <v/>
      </c>
      <c r="AM254" s="203">
        <f>COUNTIF('TK 15661.Bản quyền phim '!F:F,'KK1. Movies'!AI254)</f>
        <v/>
      </c>
      <c r="AN254" s="546">
        <f>AL254+AM254</f>
        <v/>
      </c>
      <c r="AO254" s="203" t="n"/>
      <c r="AP254" s="203" t="n"/>
      <c r="AQ254" s="203" t="n"/>
      <c r="AR254" s="203" t="n"/>
      <c r="AS254" s="203" t="n"/>
      <c r="AT254" s="546">
        <f>IFERROR(VLOOKUP(C254, CodeRanMovies!$A:$K, 11, 0), "Not found")</f>
        <v/>
      </c>
    </row>
    <row r="255">
      <c r="A255" s="201">
        <f>_xlfn.AGGREGATE(3,3,$D$7:D255)</f>
        <v/>
      </c>
      <c r="B255" s="589" t="inlineStr">
        <is>
          <t>16+</t>
        </is>
      </c>
      <c r="C255" s="590" t="inlineStr">
        <is>
          <t>MOV_HIS10</t>
        </is>
      </c>
      <c r="D255" s="105" t="inlineStr">
        <is>
          <t>BLACK '47</t>
        </is>
      </c>
      <c r="E255" s="105" t="inlineStr">
        <is>
          <t>Năm 1847 Đen Tối</t>
        </is>
      </c>
      <c r="F255" s="108" t="inlineStr">
        <is>
          <t>Action, Western</t>
        </is>
      </c>
      <c r="G255" s="108" t="inlineStr">
        <is>
          <t>Skyline Media</t>
        </is>
      </c>
      <c r="H255" s="590" t="inlineStr">
        <is>
          <t>36/2025/HDBQ/VSTV-SM</t>
        </is>
      </c>
      <c r="I255" s="107" t="n">
        <v>2018</v>
      </c>
      <c r="J255" s="107" t="inlineStr">
        <is>
          <t>Ireland</t>
        </is>
      </c>
      <c r="K255" s="107" t="n">
        <v>86</v>
      </c>
      <c r="L255" s="591" t="n">
        <v>45680</v>
      </c>
      <c r="M255" s="109" t="n">
        <v>46560</v>
      </c>
      <c r="N255" s="591" t="n">
        <v>45680</v>
      </c>
      <c r="O255" s="592" t="n"/>
      <c r="P255" s="104" t="n">
        <v>12</v>
      </c>
      <c r="Q255" s="107" t="inlineStr">
        <is>
          <t>No</t>
        </is>
      </c>
      <c r="R255" s="592" t="inlineStr">
        <is>
          <t>Yes</t>
        </is>
      </c>
      <c r="S255" s="104" t="inlineStr">
        <is>
          <t>Yes</t>
        </is>
      </c>
      <c r="T255" s="592" t="inlineStr">
        <is>
          <t>Yes</t>
        </is>
      </c>
      <c r="U255" s="104" t="inlineStr">
        <is>
          <t>Yes</t>
        </is>
      </c>
      <c r="V255" s="104" t="inlineStr">
        <is>
          <t>Yes</t>
        </is>
      </c>
      <c r="W255" s="104" t="inlineStr">
        <is>
          <t>Yes</t>
        </is>
      </c>
      <c r="X255" s="104" t="inlineStr">
        <is>
          <t>Yes</t>
        </is>
      </c>
      <c r="Y255" s="104" t="inlineStr">
        <is>
          <t>No</t>
        </is>
      </c>
      <c r="Z255" s="109" t="n">
        <v>45680</v>
      </c>
      <c r="AA255" s="109" t="n">
        <v>46560</v>
      </c>
      <c r="AB255" s="107" t="n">
        <v>24</v>
      </c>
      <c r="AC255" s="202" t="n">
        <v>8</v>
      </c>
      <c r="AD255" s="592" t="inlineStr">
        <is>
          <t>Yes</t>
        </is>
      </c>
      <c r="AE255" s="592" t="inlineStr">
        <is>
          <t>Yes</t>
        </is>
      </c>
      <c r="AF255" s="600" t="n"/>
      <c r="AG255" s="593" t="inlineStr">
        <is>
          <t>Phim còn hạn từ 2026</t>
        </is>
      </c>
      <c r="AH255" s="594" t="n"/>
      <c r="AI255" s="595" t="inlineStr">
        <is>
          <t>BLACK' 47</t>
        </is>
      </c>
      <c r="AJ255" s="128">
        <f>SUMIF('TK 15661.Bản quyền phim '!F:F,'KK1. Movies'!D255,'TK 15661.Bản quyền phim '!X:X)</f>
        <v/>
      </c>
      <c r="AK255" s="128">
        <f>SUMIF('TK 15661.Bản quyền phim '!F:F,'KK1. Movies'!AI255,'TK 15661.Bản quyền phim '!X:X)</f>
        <v/>
      </c>
      <c r="AL255" s="203">
        <f>COUNTIF('242.BQ Phim hợp tác'!$C:$C,'KK1. Movies'!AI255)</f>
        <v/>
      </c>
      <c r="AM255" s="203">
        <f>COUNTIF('TK 15661.Bản quyền phim '!F:F,'KK1. Movies'!AI255)</f>
        <v/>
      </c>
      <c r="AN255" s="546">
        <f>AL255+AM255</f>
        <v/>
      </c>
      <c r="AO255" s="203" t="n"/>
      <c r="AP255" s="203" t="n"/>
      <c r="AQ255" s="203" t="n"/>
      <c r="AR255" s="203" t="n"/>
      <c r="AS255" s="203" t="n"/>
      <c r="AT255" s="546">
        <f>IFERROR(VLOOKUP(C255, CodeRanMovies!$A:$K, 11, 0), "Not found")</f>
        <v/>
      </c>
    </row>
    <row r="256" ht="26.4" customHeight="1" s="578">
      <c r="A256" s="201">
        <f>_xlfn.AGGREGATE(3,3,$D$7:D256)</f>
        <v/>
      </c>
      <c r="B256" s="589" t="inlineStr">
        <is>
          <t>P</t>
        </is>
      </c>
      <c r="C256" s="590" t="inlineStr">
        <is>
          <t>MOV_DRA_24__2713877</t>
        </is>
      </c>
      <c r="D256" s="105" t="inlineStr">
        <is>
          <t>THE FABELMANS</t>
        </is>
      </c>
      <c r="E256" s="110" t="inlineStr">
        <is>
          <t>THE FABELMANS: TUỔI TRẺ HUY HOÀNG</t>
        </is>
      </c>
      <c r="F256" s="590" t="inlineStr">
        <is>
          <t>Drama</t>
        </is>
      </c>
      <c r="G256" s="103" t="inlineStr">
        <is>
          <t>CJ HK</t>
        </is>
      </c>
      <c r="H256" s="590" t="inlineStr">
        <is>
          <t>180/2024/HDBQ/VSTV-CJHK</t>
        </is>
      </c>
      <c r="I256" s="104" t="n">
        <v>2022</v>
      </c>
      <c r="J256" s="107" t="inlineStr">
        <is>
          <t>US</t>
        </is>
      </c>
      <c r="K256" s="104" t="n">
        <v>151</v>
      </c>
      <c r="L256" s="98" t="n">
        <v>45632</v>
      </c>
      <c r="M256" s="98" t="n">
        <v>46726</v>
      </c>
      <c r="N256" s="601" t="n">
        <v>45632</v>
      </c>
      <c r="O256" s="592" t="inlineStr">
        <is>
          <t>K+CINE</t>
        </is>
      </c>
      <c r="P256" s="100" t="n">
        <v>12</v>
      </c>
      <c r="Q256" s="104" t="inlineStr">
        <is>
          <t>No</t>
        </is>
      </c>
      <c r="R256" s="592" t="inlineStr">
        <is>
          <t>Yes</t>
        </is>
      </c>
      <c r="S256" s="592" t="inlineStr">
        <is>
          <t>Yes</t>
        </is>
      </c>
      <c r="T256" s="592" t="inlineStr">
        <is>
          <t>Yes</t>
        </is>
      </c>
      <c r="U256" s="592" t="inlineStr">
        <is>
          <t>Yes</t>
        </is>
      </c>
      <c r="V256" s="592" t="inlineStr">
        <is>
          <t>Yes</t>
        </is>
      </c>
      <c r="W256" s="592" t="inlineStr">
        <is>
          <t>Yes</t>
        </is>
      </c>
      <c r="X256" s="104" t="inlineStr">
        <is>
          <t>No</t>
        </is>
      </c>
      <c r="Y256" s="592" t="inlineStr">
        <is>
          <t>Yes</t>
        </is>
      </c>
      <c r="Z256" s="98" t="n">
        <v>45632</v>
      </c>
      <c r="AA256" s="98" t="n">
        <v>46726</v>
      </c>
      <c r="AB256" s="592" t="inlineStr">
        <is>
          <t>Unlimited</t>
        </is>
      </c>
      <c r="AC256" s="202" t="n">
        <v>13</v>
      </c>
      <c r="AD256" s="592" t="inlineStr">
        <is>
          <t>Yes</t>
        </is>
      </c>
      <c r="AE256" s="592" t="inlineStr">
        <is>
          <t>Yes</t>
        </is>
      </c>
      <c r="AF256" s="600" t="n"/>
      <c r="AG256" s="593" t="inlineStr">
        <is>
          <t>Phim còn hạn từ 2026</t>
        </is>
      </c>
      <c r="AH256" s="594" t="n"/>
      <c r="AI256" s="206" t="inlineStr">
        <is>
          <t>THE FABELMANS (THE FABELMANS: TUỔI TRẺ HUY HOÀNG)</t>
        </is>
      </c>
      <c r="AJ256" s="128">
        <f>SUMIF('TK 15661.Bản quyền phim '!F:F,'KK1. Movies'!D256,'TK 15661.Bản quyền phim '!X:X)</f>
        <v/>
      </c>
      <c r="AK256" s="128">
        <f>SUMIF('TK 15661.Bản quyền phim '!F:F,'KK1. Movies'!AI256,'TK 15661.Bản quyền phim '!X:X)</f>
        <v/>
      </c>
      <c r="AL256" s="203">
        <f>COUNTIF('242.BQ Phim hợp tác'!$C:$C,'KK1. Movies'!AI256)</f>
        <v/>
      </c>
      <c r="AM256" s="203">
        <f>COUNTIF('TK 15661.Bản quyền phim '!F:F,'KK1. Movies'!AI256)</f>
        <v/>
      </c>
      <c r="AN256" s="546">
        <f>AL256+AM256</f>
        <v/>
      </c>
      <c r="AO256" s="203" t="n"/>
      <c r="AP256" s="203" t="n"/>
      <c r="AQ256" s="203" t="n"/>
      <c r="AR256" s="203" t="n"/>
      <c r="AS256" s="203" t="n"/>
      <c r="AT256" s="546">
        <f>IFERROR(VLOOKUP(C256, CodeRanMovies!$A:$K, 11, 0), "Not found")</f>
        <v/>
      </c>
    </row>
    <row r="257" ht="26.4" customHeight="1" s="578">
      <c r="A257" s="201">
        <f>_xlfn.AGGREGATE(3,3,$D$7:D257)</f>
        <v/>
      </c>
      <c r="B257" s="589" t="n"/>
      <c r="C257" s="234" t="inlineStr">
        <is>
          <t>MOV_ANI86</t>
        </is>
      </c>
      <c r="D257" s="105" t="inlineStr">
        <is>
          <t>PAW PATROL: THE MOVIE</t>
        </is>
      </c>
      <c r="E257" s="110" t="inlineStr">
        <is>
          <t>Paw Patrol: Đội đặc nhiệm siêu đẳng</t>
        </is>
      </c>
      <c r="F257" s="105" t="inlineStr">
        <is>
          <t>Action/Adventure,Animation,Comedy</t>
        </is>
      </c>
      <c r="G257" s="103" t="inlineStr">
        <is>
          <t>Paramount</t>
        </is>
      </c>
      <c r="H257" s="103" t="inlineStr">
        <is>
          <t>1009675/DM-38696/DM-39285</t>
        </is>
      </c>
      <c r="I257" s="104" t="n">
        <v>2021</v>
      </c>
      <c r="J257" s="104" t="inlineStr">
        <is>
          <t>US</t>
        </is>
      </c>
      <c r="K257" s="104" t="n">
        <v>86</v>
      </c>
      <c r="L257" s="124" t="n">
        <v>45777</v>
      </c>
      <c r="M257" s="124" t="n">
        <v>46324</v>
      </c>
      <c r="N257" s="601" t="n"/>
      <c r="O257" s="592" t="n"/>
      <c r="P257" s="592" t="n"/>
      <c r="Q257" s="104" t="inlineStr">
        <is>
          <t>No</t>
        </is>
      </c>
      <c r="R257" s="592" t="inlineStr">
        <is>
          <t>Yes</t>
        </is>
      </c>
      <c r="S257" s="110" t="inlineStr">
        <is>
          <t>Yes</t>
        </is>
      </c>
      <c r="T257" s="104" t="inlineStr">
        <is>
          <t>Yes</t>
        </is>
      </c>
      <c r="U257" s="104" t="inlineStr">
        <is>
          <t>No</t>
        </is>
      </c>
      <c r="V257" s="104" t="inlineStr">
        <is>
          <t>No</t>
        </is>
      </c>
      <c r="W257" s="104" t="inlineStr">
        <is>
          <t>No</t>
        </is>
      </c>
      <c r="X257" s="104" t="inlineStr">
        <is>
          <t>Yes</t>
        </is>
      </c>
      <c r="Y257" s="104" t="inlineStr">
        <is>
          <t>No</t>
        </is>
      </c>
      <c r="Z257" s="124" t="n">
        <v>45777</v>
      </c>
      <c r="AA257" s="124" t="n">
        <v>46141</v>
      </c>
      <c r="AB257" s="110" t="n">
        <v>10</v>
      </c>
      <c r="AC257" s="202" t="n">
        <v>10</v>
      </c>
      <c r="AD257" s="592" t="inlineStr">
        <is>
          <t>Yes</t>
        </is>
      </c>
      <c r="AE257" s="592" t="inlineStr">
        <is>
          <t>Yes</t>
        </is>
      </c>
      <c r="AF257" s="600" t="n"/>
      <c r="AG257" s="593" t="inlineStr">
        <is>
          <t>Phim còn hạn từ 2026</t>
        </is>
      </c>
      <c r="AH257" s="594" t="n"/>
      <c r="AI257" s="206" t="inlineStr">
        <is>
          <t>PAW PATROL: THE MOVIE</t>
        </is>
      </c>
      <c r="AJ257" s="128">
        <f>SUMIF('TK 15661.Bản quyền phim '!F:F,'KK1. Movies'!D257,'TK 15661.Bản quyền phim '!X:X)</f>
        <v/>
      </c>
      <c r="AK257" s="128">
        <f>SUMIF('TK 15661.Bản quyền phim '!F:F,'KK1. Movies'!AI257,'TK 15661.Bản quyền phim '!X:X)</f>
        <v/>
      </c>
      <c r="AL257" s="203">
        <f>COUNTIF('242.BQ Phim hợp tác'!$C:$C,'KK1. Movies'!AI257)</f>
        <v/>
      </c>
      <c r="AM257" s="203">
        <f>COUNTIF('TK 15661.Bản quyền phim '!F:F,'KK1. Movies'!AI257)</f>
        <v/>
      </c>
      <c r="AN257" s="546">
        <f>AL257+AM257</f>
        <v/>
      </c>
      <c r="AO257" s="203" t="n"/>
      <c r="AP257" s="203" t="n"/>
      <c r="AQ257" s="203" t="n"/>
      <c r="AR257" s="203" t="n"/>
      <c r="AS257" s="203" t="n"/>
      <c r="AT257" s="546">
        <f>IFERROR(VLOOKUP(C257, CodeRanMovies!$A:$K, 11, 0), "Not found")</f>
        <v/>
      </c>
    </row>
    <row r="258" ht="26.4" customHeight="1" s="578">
      <c r="A258" s="201">
        <f>_xlfn.AGGREGATE(3,3,$D$7:D258)</f>
        <v/>
      </c>
      <c r="B258" s="589" t="inlineStr">
        <is>
          <t>16+</t>
        </is>
      </c>
      <c r="C258" s="590" t="inlineStr">
        <is>
          <t>MOV_DRA740</t>
        </is>
      </c>
      <c r="D258" s="105" t="inlineStr">
        <is>
          <t>LOVE IN THE BIG CITY</t>
        </is>
      </c>
      <c r="E258" s="110" t="inlineStr">
        <is>
          <t>Đôi bạn học yêu</t>
        </is>
      </c>
      <c r="F258" s="590" t="inlineStr">
        <is>
          <t>Romance</t>
        </is>
      </c>
      <c r="G258" s="103" t="inlineStr">
        <is>
          <t>CJ HK</t>
        </is>
      </c>
      <c r="H258" s="590" t="inlineStr">
        <is>
          <t>15/2025/HDBQ/VSTV-CJHK</t>
        </is>
      </c>
      <c r="I258" s="104" t="n">
        <v>2021</v>
      </c>
      <c r="J258" s="104" t="inlineStr">
        <is>
          <t>Korea</t>
        </is>
      </c>
      <c r="K258" s="104" t="n">
        <v>118</v>
      </c>
      <c r="L258" s="591" t="n">
        <v>45702</v>
      </c>
      <c r="M258" s="106" t="n">
        <v>46796</v>
      </c>
      <c r="N258" s="591" t="n"/>
      <c r="O258" s="592" t="n"/>
      <c r="P258" s="104" t="n">
        <v>12</v>
      </c>
      <c r="Q258" s="104" t="inlineStr">
        <is>
          <t>No</t>
        </is>
      </c>
      <c r="R258" s="104" t="inlineStr">
        <is>
          <t>Yes</t>
        </is>
      </c>
      <c r="S258" s="104" t="inlineStr">
        <is>
          <t>Yes</t>
        </is>
      </c>
      <c r="T258" s="592" t="inlineStr">
        <is>
          <t>Yes</t>
        </is>
      </c>
      <c r="U258" s="104" t="inlineStr">
        <is>
          <t>Yes</t>
        </is>
      </c>
      <c r="V258" s="104" t="inlineStr">
        <is>
          <t>Yes</t>
        </is>
      </c>
      <c r="W258" s="104" t="inlineStr">
        <is>
          <t>Yes</t>
        </is>
      </c>
      <c r="X258" s="104" t="inlineStr">
        <is>
          <t>Yes</t>
        </is>
      </c>
      <c r="Y258" s="104" t="inlineStr">
        <is>
          <t>Yes</t>
        </is>
      </c>
      <c r="Z258" s="106" t="n">
        <v>45870</v>
      </c>
      <c r="AA258" s="124" t="n">
        <v>46965</v>
      </c>
      <c r="AB258" s="104" t="inlineStr">
        <is>
          <t xml:space="preserve">Unlimited </t>
        </is>
      </c>
      <c r="AC258" s="202" t="n">
        <v>41</v>
      </c>
      <c r="AD258" s="592" t="inlineStr">
        <is>
          <t>Yes</t>
        </is>
      </c>
      <c r="AE258" s="592" t="inlineStr">
        <is>
          <t>Yes</t>
        </is>
      </c>
      <c r="AF258" s="600" t="n"/>
      <c r="AG258" s="593" t="inlineStr">
        <is>
          <t>Phim còn hạn từ 2026</t>
        </is>
      </c>
      <c r="AH258" s="594" t="inlineStr">
        <is>
          <t>MOV_DRA740</t>
        </is>
      </c>
      <c r="AI258" s="206" t="inlineStr">
        <is>
          <t>LOVE IN THE BIG CITY</t>
        </is>
      </c>
      <c r="AJ258" s="128">
        <f>SUMIF('TK 15661.Bản quyền phim '!F:F,'KK1. Movies'!D258,'TK 15661.Bản quyền phim '!X:X)</f>
        <v/>
      </c>
      <c r="AK258" s="128">
        <f>SUMIF('TK 15661.Bản quyền phim '!F:F,'KK1. Movies'!AI258,'TK 15661.Bản quyền phim '!X:X)</f>
        <v/>
      </c>
      <c r="AL258" s="203">
        <f>COUNTIF('242.BQ Phim hợp tác'!$C:$C,'KK1. Movies'!AI258)</f>
        <v/>
      </c>
      <c r="AM258" s="203">
        <f>COUNTIF('TK 15661.Bản quyền phim '!F:F,'KK1. Movies'!AI258)</f>
        <v/>
      </c>
      <c r="AN258" s="546">
        <f>AL258+AM258</f>
        <v/>
      </c>
      <c r="AO258" s="203" t="n"/>
      <c r="AP258" s="203" t="n"/>
      <c r="AQ258" s="203" t="n"/>
      <c r="AR258" s="203" t="n"/>
      <c r="AS258" s="203" t="n"/>
      <c r="AT258" s="546">
        <f>IFERROR(VLOOKUP(C258, CodeRanMovies!$A:$K, 11, 0), "Not found")</f>
        <v/>
      </c>
    </row>
    <row r="259" ht="26.4" customHeight="1" s="578">
      <c r="A259" s="201">
        <f>_xlfn.AGGREGATE(3,3,$D$7:D259)</f>
        <v/>
      </c>
      <c r="B259" s="606" t="inlineStr">
        <is>
          <t>n/a</t>
        </is>
      </c>
      <c r="C259" s="234" t="inlineStr">
        <is>
          <t>MOV_ANI84</t>
        </is>
      </c>
      <c r="D259" s="105" t="inlineStr">
        <is>
          <t>Katak: The Brave Beluga</t>
        </is>
      </c>
      <c r="E259" s="110" t="inlineStr">
        <is>
          <t>Katak và sứ mệnh đại dương</t>
        </is>
      </c>
      <c r="F259" s="590" t="inlineStr">
        <is>
          <t>animation</t>
        </is>
      </c>
      <c r="G259" s="103" t="inlineStr">
        <is>
          <t>CJ HK</t>
        </is>
      </c>
      <c r="H259" s="590" t="inlineStr">
        <is>
          <t>15/2025/HDBQ/VSTV-CJHK</t>
        </is>
      </c>
      <c r="I259" s="104" t="n">
        <v>2024</v>
      </c>
      <c r="J259" s="104" t="inlineStr">
        <is>
          <t>Canada</t>
        </is>
      </c>
      <c r="K259" s="104" t="n">
        <v>118</v>
      </c>
      <c r="L259" s="591" t="n">
        <v>45997</v>
      </c>
      <c r="M259" s="106" t="n">
        <v>47092</v>
      </c>
      <c r="N259" s="601" t="n"/>
      <c r="O259" s="592" t="n"/>
      <c r="P259" s="104" t="n">
        <v>12</v>
      </c>
      <c r="Q259" s="104" t="inlineStr">
        <is>
          <t>No</t>
        </is>
      </c>
      <c r="R259" s="104" t="inlineStr">
        <is>
          <t>Yes</t>
        </is>
      </c>
      <c r="S259" s="104" t="inlineStr">
        <is>
          <t>Yes</t>
        </is>
      </c>
      <c r="T259" s="104" t="inlineStr">
        <is>
          <t>Yes</t>
        </is>
      </c>
      <c r="U259" s="104" t="inlineStr">
        <is>
          <t>Yes</t>
        </is>
      </c>
      <c r="V259" s="104" t="inlineStr">
        <is>
          <t>Yes</t>
        </is>
      </c>
      <c r="W259" s="104" t="inlineStr">
        <is>
          <t>Yes</t>
        </is>
      </c>
      <c r="X259" s="104" t="inlineStr">
        <is>
          <t>Yes</t>
        </is>
      </c>
      <c r="Y259" s="104" t="inlineStr">
        <is>
          <t>Yes</t>
        </is>
      </c>
      <c r="Z259" s="106" t="n">
        <v>45997</v>
      </c>
      <c r="AA259" s="124" t="n">
        <v>47092</v>
      </c>
      <c r="AB259" s="104" t="inlineStr">
        <is>
          <t xml:space="preserve">Unlimited </t>
        </is>
      </c>
      <c r="AC259" s="202" t="n">
        <v>6</v>
      </c>
      <c r="AD259" s="592" t="inlineStr">
        <is>
          <t>Yes</t>
        </is>
      </c>
      <c r="AE259" s="592" t="inlineStr">
        <is>
          <t>Yes</t>
        </is>
      </c>
      <c r="AF259" s="600" t="n"/>
      <c r="AG259" s="593" t="inlineStr">
        <is>
          <t>Phim còn hạn từ 2026</t>
        </is>
      </c>
      <c r="AH259" s="594" t="n"/>
      <c r="AI259" s="206" t="inlineStr">
        <is>
          <t>Katak: The Brave Beluga</t>
        </is>
      </c>
      <c r="AJ259" s="128">
        <f>SUMIF('TK 15661.Bản quyền phim '!F:F,'KK1. Movies'!D259,'TK 15661.Bản quyền phim '!X:X)</f>
        <v/>
      </c>
      <c r="AK259" s="128">
        <f>SUMIF('TK 15661.Bản quyền phim '!F:F,'KK1. Movies'!AI259,'TK 15661.Bản quyền phim '!X:X)</f>
        <v/>
      </c>
      <c r="AL259" s="203">
        <f>COUNTIF('242.BQ Phim hợp tác'!$C:$C,'KK1. Movies'!AI259)</f>
        <v/>
      </c>
      <c r="AM259" s="203">
        <f>COUNTIF('TK 15661.Bản quyền phim '!F:F,'KK1. Movies'!AI259)</f>
        <v/>
      </c>
      <c r="AN259" s="546">
        <f>AL259+AM259</f>
        <v/>
      </c>
      <c r="AO259" s="203" t="n"/>
      <c r="AP259" s="203" t="n"/>
      <c r="AQ259" s="203" t="n"/>
      <c r="AR259" s="203" t="n"/>
      <c r="AS259" s="203" t="n"/>
      <c r="AT259" s="546">
        <f>IFERROR(VLOOKUP(C259, CodeRanMovies!$A:$K, 11, 0), "Not found")</f>
        <v/>
      </c>
    </row>
    <row r="260" ht="26.4" customHeight="1" s="578">
      <c r="A260" s="201">
        <f>_xlfn.AGGREGATE(3,3,$D$7:D260)</f>
        <v/>
      </c>
      <c r="B260" s="589" t="inlineStr">
        <is>
          <t>16+</t>
        </is>
      </c>
      <c r="C260" s="590" t="inlineStr">
        <is>
          <t>MOV_DRA_23__2694715</t>
        </is>
      </c>
      <c r="D260" s="596" t="inlineStr">
        <is>
          <t>I CAN SPEAK</t>
        </is>
      </c>
      <c r="E260" s="590" t="inlineStr">
        <is>
          <t>Tiếng Anh là chuyện nhỏ</t>
        </is>
      </c>
      <c r="F260" s="590" t="inlineStr">
        <is>
          <t>Drama</t>
        </is>
      </c>
      <c r="G260" s="589" t="inlineStr">
        <is>
          <t>CJ HK</t>
        </is>
      </c>
      <c r="H260" s="590" t="inlineStr">
        <is>
          <t>135/2022/HDBQ/VSTV-CJHK</t>
        </is>
      </c>
      <c r="I260" s="204" t="n">
        <v>2017</v>
      </c>
      <c r="J260" s="600" t="inlineStr">
        <is>
          <t>Korea</t>
        </is>
      </c>
      <c r="K260" s="204" t="n">
        <v>119</v>
      </c>
      <c r="L260" s="98" t="n">
        <v>45212</v>
      </c>
      <c r="M260" s="101" t="n">
        <v>46307</v>
      </c>
      <c r="N260" s="597" t="n">
        <v>45212</v>
      </c>
      <c r="O260" s="598" t="inlineStr">
        <is>
          <t>K+CINE</t>
        </is>
      </c>
      <c r="P260" s="96" t="n">
        <v>12</v>
      </c>
      <c r="Q260" s="592" t="inlineStr">
        <is>
          <t>No</t>
        </is>
      </c>
      <c r="R260" s="592" t="inlineStr">
        <is>
          <t>Yes</t>
        </is>
      </c>
      <c r="S260" s="592" t="inlineStr">
        <is>
          <t>Yes</t>
        </is>
      </c>
      <c r="T260" s="592" t="inlineStr">
        <is>
          <t>Yes</t>
        </is>
      </c>
      <c r="U260" s="592" t="inlineStr">
        <is>
          <t>Yes</t>
        </is>
      </c>
      <c r="V260" s="592" t="inlineStr">
        <is>
          <t>Yes</t>
        </is>
      </c>
      <c r="W260" s="592" t="inlineStr">
        <is>
          <t>Yes</t>
        </is>
      </c>
      <c r="X260" s="592" t="inlineStr">
        <is>
          <t>No</t>
        </is>
      </c>
      <c r="Y260" s="592" t="inlineStr">
        <is>
          <t>Yes</t>
        </is>
      </c>
      <c r="Z260" s="98" t="n">
        <v>45212</v>
      </c>
      <c r="AA260" s="101" t="n">
        <v>46307</v>
      </c>
      <c r="AB260" s="96" t="inlineStr">
        <is>
          <t>unlimited</t>
        </is>
      </c>
      <c r="AC260" s="202" t="n">
        <v>25</v>
      </c>
      <c r="AD260" s="592" t="inlineStr">
        <is>
          <t>Yes</t>
        </is>
      </c>
      <c r="AE260" s="592" t="inlineStr">
        <is>
          <t>Yes</t>
        </is>
      </c>
      <c r="AF260" s="600" t="n"/>
      <c r="AG260" s="593" t="inlineStr">
        <is>
          <t>Phim còn hạn từ 2026</t>
        </is>
      </c>
      <c r="AH260" s="594" t="n"/>
      <c r="AI260" s="206" t="inlineStr">
        <is>
          <t>I CAN SPEAK (Tiếng Anh là chuyện nhỏ)</t>
        </is>
      </c>
      <c r="AJ260" s="128">
        <f>SUMIF('TK 15661.Bản quyền phim '!F:F,'KK1. Movies'!D260,'TK 15661.Bản quyền phim '!X:X)</f>
        <v/>
      </c>
      <c r="AK260" s="128">
        <f>SUMIF('TK 15661.Bản quyền phim '!F:F,'KK1. Movies'!AI260,'TK 15661.Bản quyền phim '!X:X)</f>
        <v/>
      </c>
      <c r="AL260" s="203">
        <f>COUNTIF('242.BQ Phim hợp tác'!$C:$C,'KK1. Movies'!AI260)</f>
        <v/>
      </c>
      <c r="AM260" s="203">
        <f>COUNTIF('TK 15661.Bản quyền phim '!F:F,'KK1. Movies'!AI260)</f>
        <v/>
      </c>
      <c r="AN260" s="546">
        <f>AL260+AM260</f>
        <v/>
      </c>
      <c r="AO260" s="203" t="n"/>
      <c r="AP260" s="203" t="n"/>
      <c r="AQ260" s="203" t="n"/>
      <c r="AR260" s="203" t="n"/>
      <c r="AS260" s="203" t="n"/>
      <c r="AT260" s="546">
        <f>IFERROR(VLOOKUP(C260, CodeRanMovies!$A:$K, 11, 0), "Not found")</f>
        <v/>
      </c>
    </row>
    <row r="261" ht="26.4" customHeight="1" s="578">
      <c r="A261" s="201">
        <f>_xlfn.AGGREGATE(3,3,$D$7:D261)</f>
        <v/>
      </c>
      <c r="B261" s="589" t="inlineStr">
        <is>
          <t>16+</t>
        </is>
      </c>
      <c r="C261" s="590" t="inlineStr">
        <is>
          <t>MOV_CRI_24__2711480</t>
        </is>
      </c>
      <c r="D261" s="105" t="inlineStr">
        <is>
          <t>STILLWATER</t>
        </is>
      </c>
      <c r="E261" s="110" t="inlineStr">
        <is>
          <t>Một người Mỹ ở Marseille</t>
        </is>
      </c>
      <c r="F261" s="590" t="inlineStr">
        <is>
          <t>Drama</t>
        </is>
      </c>
      <c r="G261" s="103" t="inlineStr">
        <is>
          <t>CJ HK</t>
        </is>
      </c>
      <c r="H261" s="590" t="inlineStr">
        <is>
          <t>180/2024/HDBQ/VSTV-CJHK</t>
        </is>
      </c>
      <c r="I261" s="104" t="n">
        <v>2021</v>
      </c>
      <c r="J261" s="107" t="inlineStr">
        <is>
          <t>US</t>
        </is>
      </c>
      <c r="K261" s="104" t="n">
        <v>140</v>
      </c>
      <c r="L261" s="98" t="n">
        <v>45555</v>
      </c>
      <c r="M261" s="106" t="n">
        <v>46649</v>
      </c>
      <c r="N261" s="601" t="n">
        <v>45548</v>
      </c>
      <c r="O261" s="592" t="inlineStr">
        <is>
          <t>K+CINE</t>
        </is>
      </c>
      <c r="P261" s="100" t="n">
        <v>12</v>
      </c>
      <c r="Q261" s="104" t="inlineStr">
        <is>
          <t>No</t>
        </is>
      </c>
      <c r="R261" s="592" t="inlineStr">
        <is>
          <t>Yes</t>
        </is>
      </c>
      <c r="S261" s="592" t="inlineStr">
        <is>
          <t>Yes</t>
        </is>
      </c>
      <c r="T261" s="592" t="inlineStr">
        <is>
          <t>Yes</t>
        </is>
      </c>
      <c r="U261" s="592" t="inlineStr">
        <is>
          <t>Yes</t>
        </is>
      </c>
      <c r="V261" s="592" t="inlineStr">
        <is>
          <t>Yes</t>
        </is>
      </c>
      <c r="W261" s="592" t="inlineStr">
        <is>
          <t>Yes</t>
        </is>
      </c>
      <c r="X261" s="104" t="inlineStr">
        <is>
          <t>No</t>
        </is>
      </c>
      <c r="Y261" s="592" t="inlineStr">
        <is>
          <t>Yes</t>
        </is>
      </c>
      <c r="Z261" s="98" t="n">
        <v>45555</v>
      </c>
      <c r="AA261" s="106" t="n">
        <v>46649</v>
      </c>
      <c r="AB261" s="592" t="inlineStr">
        <is>
          <t>Unlimited</t>
        </is>
      </c>
      <c r="AC261" s="202" t="n">
        <v>11</v>
      </c>
      <c r="AD261" s="592" t="inlineStr">
        <is>
          <t>Yes</t>
        </is>
      </c>
      <c r="AE261" s="592" t="inlineStr">
        <is>
          <t>Yes</t>
        </is>
      </c>
      <c r="AF261" s="600" t="n"/>
      <c r="AG261" s="593" t="inlineStr">
        <is>
          <t>Phim còn hạn từ 2026</t>
        </is>
      </c>
      <c r="AH261" s="594" t="n"/>
      <c r="AI261" s="206" t="inlineStr">
        <is>
          <t>STILLWATER</t>
        </is>
      </c>
      <c r="AJ261" s="128">
        <f>SUMIF('TK 15661.Bản quyền phim '!F:F,'KK1. Movies'!D261,'TK 15661.Bản quyền phim '!X:X)</f>
        <v/>
      </c>
      <c r="AK261" s="128">
        <f>SUMIF('TK 15661.Bản quyền phim '!F:F,'KK1. Movies'!AI261,'TK 15661.Bản quyền phim '!X:X)</f>
        <v/>
      </c>
      <c r="AL261" s="203">
        <f>COUNTIF('242.BQ Phim hợp tác'!$C:$C,'KK1. Movies'!AI261)</f>
        <v/>
      </c>
      <c r="AM261" s="203">
        <f>COUNTIF('TK 15661.Bản quyền phim '!F:F,'KK1. Movies'!AI261)</f>
        <v/>
      </c>
      <c r="AN261" s="546">
        <f>AL261+AM261</f>
        <v/>
      </c>
      <c r="AO261" s="203" t="n"/>
      <c r="AP261" s="203" t="n"/>
      <c r="AQ261" s="203" t="n"/>
      <c r="AR261" s="203" t="n"/>
      <c r="AS261" s="203" t="n"/>
      <c r="AT261" s="546">
        <f>IFERROR(VLOOKUP(C261, CodeRanMovies!$A:$K, 11, 0), "Not found")</f>
        <v/>
      </c>
    </row>
    <row r="262" ht="26.4" customHeight="1" s="578">
      <c r="A262" s="201">
        <f>_xlfn.AGGREGATE(3,3,$D$7:D262)</f>
        <v/>
      </c>
      <c r="B262" s="589" t="inlineStr">
        <is>
          <t>16+</t>
        </is>
      </c>
      <c r="C262" s="590" t="inlineStr">
        <is>
          <t>MOV_ROM_21__2642967</t>
        </is>
      </c>
      <c r="D262" s="590" t="inlineStr">
        <is>
          <t>Sai Gon in the rain</t>
        </is>
      </c>
      <c r="E262" s="589" t="inlineStr">
        <is>
          <t>Sài Gòn trong cơn mưa</t>
        </is>
      </c>
      <c r="F262" s="590" t="inlineStr">
        <is>
          <t>Comedy</t>
        </is>
      </c>
      <c r="G262" s="589" t="inlineStr">
        <is>
          <t>TFILM</t>
        </is>
      </c>
      <c r="H262" s="590" t="inlineStr">
        <is>
          <t>04A/2021/HDBQ/VSTV-TFILM</t>
        </is>
      </c>
      <c r="I262" s="96" t="n">
        <v>2020</v>
      </c>
      <c r="J262" s="592" t="inlineStr">
        <is>
          <t>Việt Nam</t>
        </is>
      </c>
      <c r="K262" s="107" t="n">
        <v>114</v>
      </c>
      <c r="L262" s="98" t="n">
        <v>44253</v>
      </c>
      <c r="M262" s="98" t="n">
        <v>46078</v>
      </c>
      <c r="N262" s="603" t="n">
        <v>44253</v>
      </c>
      <c r="O262" s="592" t="inlineStr">
        <is>
          <t>K+CINE</t>
        </is>
      </c>
      <c r="P262" s="592" t="n"/>
      <c r="Q262" s="592" t="inlineStr">
        <is>
          <t>No</t>
        </is>
      </c>
      <c r="R262" s="592" t="inlineStr">
        <is>
          <t>Yes</t>
        </is>
      </c>
      <c r="S262" s="592" t="inlineStr">
        <is>
          <t>Yes</t>
        </is>
      </c>
      <c r="T262" s="592" t="inlineStr">
        <is>
          <t>Yes</t>
        </is>
      </c>
      <c r="U262" s="592" t="inlineStr">
        <is>
          <t>no</t>
        </is>
      </c>
      <c r="V262" s="592" t="inlineStr">
        <is>
          <t>no</t>
        </is>
      </c>
      <c r="W262" s="592" t="inlineStr">
        <is>
          <t>no</t>
        </is>
      </c>
      <c r="X262" s="592" t="inlineStr">
        <is>
          <t>Yes</t>
        </is>
      </c>
      <c r="Y262" s="592" t="inlineStr">
        <is>
          <t>Yes</t>
        </is>
      </c>
      <c r="Z262" s="98" t="n">
        <v>44253</v>
      </c>
      <c r="AA262" s="98" t="n">
        <v>46078</v>
      </c>
      <c r="AB262" s="96" t="inlineStr">
        <is>
          <t>unlimited</t>
        </is>
      </c>
      <c r="AC262" s="100" t="n">
        <v>61</v>
      </c>
      <c r="AD262" s="592" t="inlineStr">
        <is>
          <t>Yes</t>
        </is>
      </c>
      <c r="AE262" s="592" t="inlineStr">
        <is>
          <t>Yes</t>
        </is>
      </c>
      <c r="AF262" s="600" t="n"/>
      <c r="AG262" s="593" t="inlineStr">
        <is>
          <t>Phim còn hạn từ 2026</t>
        </is>
      </c>
      <c r="AH262" s="594" t="n"/>
      <c r="AI262" s="599" t="inlineStr">
        <is>
          <t>Sai Gon in the rain</t>
        </is>
      </c>
      <c r="AJ262" s="128">
        <f>SUMIF('TK 15661.Bản quyền phim '!F:F,'KK1. Movies'!D262,'TK 15661.Bản quyền phim '!X:X)</f>
        <v/>
      </c>
      <c r="AK262" s="128">
        <f>SUMIF('TK 15661.Bản quyền phim '!F:F,'KK1. Movies'!AI262,'TK 15661.Bản quyền phim '!X:X)</f>
        <v/>
      </c>
      <c r="AL262" s="203">
        <f>COUNTIF('242.BQ Phim hợp tác'!$C:$C,'KK1. Movies'!AI262)</f>
        <v/>
      </c>
      <c r="AM262" s="203">
        <f>COUNTIF('TK 15661.Bản quyền phim '!F:F,'KK1. Movies'!AI262)</f>
        <v/>
      </c>
      <c r="AN262" s="546">
        <f>AL262+AM262</f>
        <v/>
      </c>
      <c r="AO262" s="203" t="n"/>
      <c r="AP262" s="203" t="n"/>
      <c r="AQ262" s="203" t="n"/>
      <c r="AR262" s="203" t="n"/>
      <c r="AS262" s="203" t="n"/>
      <c r="AT262" s="546">
        <f>IFERROR(VLOOKUP(C262, CodeRanMovies!$A:$K, 11, 0), "Not found")</f>
        <v/>
      </c>
    </row>
    <row r="263">
      <c r="A263" s="201">
        <f>_xlfn.AGGREGATE(3,3,$D$7:D263)</f>
        <v/>
      </c>
      <c r="B263" s="589" t="inlineStr">
        <is>
          <t>13+</t>
        </is>
      </c>
      <c r="C263" s="234" t="inlineStr">
        <is>
          <t>MOV_ACT_22__2686507</t>
        </is>
      </c>
      <c r="D263" s="596" t="inlineStr">
        <is>
          <t>Shock Wave 2</t>
        </is>
      </c>
      <c r="E263" s="590" t="inlineStr">
        <is>
          <t>Sóng dữ 2</t>
        </is>
      </c>
      <c r="F263" s="590" t="inlineStr">
        <is>
          <t>Crime, Thriller</t>
        </is>
      </c>
      <c r="G263" s="604" t="inlineStr">
        <is>
          <t>Skyline Media</t>
        </is>
      </c>
      <c r="H263" s="590" t="inlineStr">
        <is>
          <t>66/2023/HDBQ/VSTV-SM</t>
        </is>
      </c>
      <c r="I263" s="204" t="n">
        <v>2020</v>
      </c>
      <c r="J263" s="600" t="inlineStr">
        <is>
          <t>China</t>
        </is>
      </c>
      <c r="K263" s="204" t="n">
        <v>120</v>
      </c>
      <c r="L263" s="98" t="n">
        <v>44965</v>
      </c>
      <c r="M263" s="591" t="n">
        <v>46060</v>
      </c>
      <c r="N263" s="601" t="n">
        <v>44965</v>
      </c>
      <c r="O263" s="598" t="inlineStr">
        <is>
          <t>K+CINE</t>
        </is>
      </c>
      <c r="P263" s="592" t="inlineStr">
        <is>
          <t>Exclusive All TV Rights the first 12 months of LP
 Non-exclusive with All Catch-up TV Rights; All VOD Rights during LP</t>
        </is>
      </c>
      <c r="Q263" s="600" t="inlineStr">
        <is>
          <t>No</t>
        </is>
      </c>
      <c r="R263" s="592" t="inlineStr">
        <is>
          <t>Yes</t>
        </is>
      </c>
      <c r="S263" s="592" t="inlineStr">
        <is>
          <t>Yes</t>
        </is>
      </c>
      <c r="T263" s="592" t="inlineStr">
        <is>
          <t>Yes</t>
        </is>
      </c>
      <c r="U263" s="592" t="inlineStr">
        <is>
          <t>Yes</t>
        </is>
      </c>
      <c r="V263" s="592" t="inlineStr">
        <is>
          <t>Yes</t>
        </is>
      </c>
      <c r="W263" s="592" t="inlineStr">
        <is>
          <t>Yes</t>
        </is>
      </c>
      <c r="X263" s="592" t="inlineStr">
        <is>
          <t>Yes</t>
        </is>
      </c>
      <c r="Y263" s="592" t="inlineStr">
        <is>
          <t>Yes</t>
        </is>
      </c>
      <c r="Z263" s="98" t="n">
        <v>44965</v>
      </c>
      <c r="AA263" s="591" t="n">
        <v>46060</v>
      </c>
      <c r="AB263" s="96" t="inlineStr">
        <is>
          <t>unlimited</t>
        </is>
      </c>
      <c r="AC263" s="202" t="n">
        <v>40</v>
      </c>
      <c r="AD263" s="592" t="inlineStr">
        <is>
          <t>Yes</t>
        </is>
      </c>
      <c r="AE263" s="592" t="inlineStr">
        <is>
          <t>Yes</t>
        </is>
      </c>
      <c r="AF263" s="600" t="n"/>
      <c r="AG263" s="593" t="inlineStr">
        <is>
          <t>Phim còn hạn từ 2026</t>
        </is>
      </c>
      <c r="AH263" s="594" t="n"/>
      <c r="AI263" s="599" t="inlineStr">
        <is>
          <t>Shock Wave 2</t>
        </is>
      </c>
      <c r="AJ263" s="128">
        <f>SUMIF('TK 15661.Bản quyền phim '!F:F,'KK1. Movies'!D263,'TK 15661.Bản quyền phim '!X:X)</f>
        <v/>
      </c>
      <c r="AK263" s="128">
        <f>SUMIF('TK 15661.Bản quyền phim '!F:F,'KK1. Movies'!AI263,'TK 15661.Bản quyền phim '!X:X)</f>
        <v/>
      </c>
      <c r="AL263" s="203">
        <f>COUNTIF('242.BQ Phim hợp tác'!$C:$C,'KK1. Movies'!AI263)</f>
        <v/>
      </c>
      <c r="AM263" s="203">
        <f>COUNTIF('TK 15661.Bản quyền phim '!F:F,'KK1. Movies'!AI263)</f>
        <v/>
      </c>
      <c r="AN263" s="546">
        <f>AL263+AM263</f>
        <v/>
      </c>
      <c r="AO263" s="203" t="n"/>
      <c r="AP263" s="203" t="n"/>
      <c r="AQ263" s="203" t="n"/>
      <c r="AR263" s="203" t="n"/>
      <c r="AS263" s="203" t="n"/>
      <c r="AT263" s="546">
        <f>IFERROR(VLOOKUP(C263, CodeRanMovies!$A:$K, 11, 0), "Not found")</f>
        <v/>
      </c>
    </row>
    <row r="264" ht="52.8" customHeight="1" s="578">
      <c r="A264" s="201">
        <f>_xlfn.AGGREGATE(3,3,$D$7:D264)</f>
        <v/>
      </c>
      <c r="B264" s="110" t="inlineStr">
        <is>
          <t>16+</t>
        </is>
      </c>
      <c r="C264" s="590" t="inlineStr">
        <is>
          <t>MOV_ACT_23__2698984</t>
        </is>
      </c>
      <c r="D264" s="596" t="inlineStr">
        <is>
          <t>Dangerous</t>
        </is>
      </c>
      <c r="E264" s="593" t="inlineStr">
        <is>
          <t>Hiểm Nguy</t>
        </is>
      </c>
      <c r="F264" s="590" t="inlineStr">
        <is>
          <t>Action, Adventure</t>
        </is>
      </c>
      <c r="G264" s="589" t="inlineStr">
        <is>
          <t>Roses Media</t>
        </is>
      </c>
      <c r="H264" s="590" t="inlineStr">
        <is>
          <t>bản sửa đổi số 1 của HD: 140/2022/HDBQ/VSTV-RM</t>
        </is>
      </c>
      <c r="I264" s="204" t="n">
        <v>2021</v>
      </c>
      <c r="J264" s="592" t="inlineStr">
        <is>
          <t>US</t>
        </is>
      </c>
      <c r="K264" s="204" t="n">
        <v>99</v>
      </c>
      <c r="L264" s="98" t="n">
        <v>45168</v>
      </c>
      <c r="M264" s="98" t="n">
        <v>46263</v>
      </c>
      <c r="N264" s="601" t="n">
        <v>45168</v>
      </c>
      <c r="O264" s="598" t="inlineStr">
        <is>
          <t>K+CINE</t>
        </is>
      </c>
      <c r="P264" s="592" t="inlineStr">
        <is>
          <t xml:space="preserve">Exclusive All Pay TV Rights for first 12 months.
Non exclusive All VOD during LP 
</t>
        </is>
      </c>
      <c r="Q264" s="600" t="inlineStr">
        <is>
          <t>No</t>
        </is>
      </c>
      <c r="R264" s="592" t="inlineStr">
        <is>
          <t>Yes</t>
        </is>
      </c>
      <c r="S264" s="592" t="inlineStr">
        <is>
          <t>Yes</t>
        </is>
      </c>
      <c r="T264" s="592" t="inlineStr">
        <is>
          <t>Yes</t>
        </is>
      </c>
      <c r="U264" s="592" t="inlineStr">
        <is>
          <t>Yes</t>
        </is>
      </c>
      <c r="V264" s="592" t="inlineStr">
        <is>
          <t>Yes</t>
        </is>
      </c>
      <c r="W264" s="592" t="inlineStr">
        <is>
          <t>Yes</t>
        </is>
      </c>
      <c r="X264" s="592" t="inlineStr">
        <is>
          <t>Yes</t>
        </is>
      </c>
      <c r="Y264" s="104" t="inlineStr">
        <is>
          <t>No</t>
        </is>
      </c>
      <c r="Z264" s="98" t="n">
        <v>45168</v>
      </c>
      <c r="AA264" s="98" t="n">
        <v>46263</v>
      </c>
      <c r="AB264" s="96" t="n">
        <v>24</v>
      </c>
      <c r="AC264" s="202" t="n">
        <v>20</v>
      </c>
      <c r="AD264" s="592" t="inlineStr">
        <is>
          <t>Yes</t>
        </is>
      </c>
      <c r="AE264" s="592" t="inlineStr">
        <is>
          <t>Yes</t>
        </is>
      </c>
      <c r="AF264" s="600" t="n"/>
      <c r="AG264" s="593" t="inlineStr">
        <is>
          <t>Phim còn hạn từ 2026</t>
        </is>
      </c>
      <c r="AH264" s="594" t="inlineStr">
        <is>
          <t>MOV_ACT_23__2698984</t>
        </is>
      </c>
      <c r="AI264" s="599" t="inlineStr">
        <is>
          <t>Dangerous</t>
        </is>
      </c>
      <c r="AJ264" s="128">
        <f>SUMIF('TK 15661.Bản quyền phim '!F:F,'KK1. Movies'!D264,'TK 15661.Bản quyền phim '!X:X)</f>
        <v/>
      </c>
      <c r="AK264" s="128">
        <f>SUMIF('TK 15661.Bản quyền phim '!F:F,'KK1. Movies'!AI264,'TK 15661.Bản quyền phim '!X:X)</f>
        <v/>
      </c>
      <c r="AL264" s="203">
        <f>COUNTIF('242.BQ Phim hợp tác'!$C:$C,'KK1. Movies'!AI264)</f>
        <v/>
      </c>
      <c r="AM264" s="203">
        <f>COUNTIF('TK 15661.Bản quyền phim '!F:F,'KK1. Movies'!AI264)</f>
        <v/>
      </c>
      <c r="AN264" s="546">
        <f>AL264+AM264</f>
        <v/>
      </c>
      <c r="AO264" s="203" t="n"/>
      <c r="AP264" s="203" t="n"/>
      <c r="AQ264" s="203" t="n"/>
      <c r="AR264" s="203" t="n"/>
      <c r="AS264" s="203" t="n"/>
      <c r="AT264" s="546">
        <f>IFERROR(VLOOKUP(C264, CodeRanMovies!$A:$K, 11, 0), "Not found")</f>
        <v/>
      </c>
    </row>
    <row r="265">
      <c r="A265" s="201">
        <f>_xlfn.AGGREGATE(3,3,$D$7:D265)</f>
        <v/>
      </c>
      <c r="B265" s="589" t="inlineStr">
        <is>
          <t>13+</t>
        </is>
      </c>
      <c r="C265" s="590" t="inlineStr">
        <is>
          <t>MOV_ACT_22__2686506</t>
        </is>
      </c>
      <c r="D265" s="596" t="inlineStr">
        <is>
          <t>Shock Wave</t>
        </is>
      </c>
      <c r="E265" s="590" t="inlineStr">
        <is>
          <t>Sóng dữ</t>
        </is>
      </c>
      <c r="F265" s="590" t="inlineStr">
        <is>
          <t>Crime, Thriller</t>
        </is>
      </c>
      <c r="G265" s="604" t="inlineStr">
        <is>
          <t>Skyline Media</t>
        </is>
      </c>
      <c r="H265" s="590" t="inlineStr">
        <is>
          <t>66/2023/HDBQ/VSTV-SM</t>
        </is>
      </c>
      <c r="I265" s="204" t="n">
        <v>2017</v>
      </c>
      <c r="J265" s="600" t="inlineStr">
        <is>
          <t>China</t>
        </is>
      </c>
      <c r="K265" s="204" t="n">
        <v>119</v>
      </c>
      <c r="L265" s="98" t="n">
        <v>44958</v>
      </c>
      <c r="M265" s="98" t="n">
        <v>46053</v>
      </c>
      <c r="N265" s="601" t="n">
        <v>44958</v>
      </c>
      <c r="O265" s="598" t="inlineStr">
        <is>
          <t>K+CINE</t>
        </is>
      </c>
      <c r="P265" s="592" t="inlineStr">
        <is>
          <t>Exclusive All TV Rights the first 12 months of LP
 Non-exclusive with All Catch-up TV Rights; All VOD Rights during LP</t>
        </is>
      </c>
      <c r="Q265" s="600" t="inlineStr">
        <is>
          <t>No</t>
        </is>
      </c>
      <c r="R265" s="592" t="inlineStr">
        <is>
          <t>Yes</t>
        </is>
      </c>
      <c r="S265" s="592" t="inlineStr">
        <is>
          <t>Yes</t>
        </is>
      </c>
      <c r="T265" s="592" t="inlineStr">
        <is>
          <t>Yes</t>
        </is>
      </c>
      <c r="U265" s="592" t="inlineStr">
        <is>
          <t>Yes</t>
        </is>
      </c>
      <c r="V265" s="592" t="inlineStr">
        <is>
          <t>Yes</t>
        </is>
      </c>
      <c r="W265" s="592" t="inlineStr">
        <is>
          <t>Yes</t>
        </is>
      </c>
      <c r="X265" s="592" t="inlineStr">
        <is>
          <t>Yes</t>
        </is>
      </c>
      <c r="Y265" s="592" t="inlineStr">
        <is>
          <t>Yes</t>
        </is>
      </c>
      <c r="Z265" s="98" t="n">
        <v>44958</v>
      </c>
      <c r="AA265" s="98" t="n">
        <v>46053</v>
      </c>
      <c r="AB265" s="96" t="inlineStr">
        <is>
          <t>unlimited</t>
        </is>
      </c>
      <c r="AC265" s="202" t="n">
        <v>37</v>
      </c>
      <c r="AD265" s="592" t="inlineStr">
        <is>
          <t>Yes</t>
        </is>
      </c>
      <c r="AE265" s="592" t="inlineStr">
        <is>
          <t>Yes</t>
        </is>
      </c>
      <c r="AF265" s="600" t="n"/>
      <c r="AG265" s="593" t="inlineStr">
        <is>
          <t>Phim còn hạn từ 2026</t>
        </is>
      </c>
      <c r="AH265" s="594" t="inlineStr">
        <is>
          <t>MOV_ACT_22__2686506</t>
        </is>
      </c>
      <c r="AI265" s="599" t="inlineStr">
        <is>
          <t>Shock Wave</t>
        </is>
      </c>
      <c r="AJ265" s="128">
        <f>SUMIF('TK 15661.Bản quyền phim '!F:F,'KK1. Movies'!D265,'TK 15661.Bản quyền phim '!X:X)</f>
        <v/>
      </c>
      <c r="AK265" s="128">
        <f>SUMIF('TK 15661.Bản quyền phim '!F:F,'KK1. Movies'!AI265,'TK 15661.Bản quyền phim '!X:X)</f>
        <v/>
      </c>
      <c r="AL265" s="203">
        <f>COUNTIF('242.BQ Phim hợp tác'!$C:$C,'KK1. Movies'!AI265)</f>
        <v/>
      </c>
      <c r="AM265" s="203">
        <f>COUNTIF('TK 15661.Bản quyền phim '!F:F,'KK1. Movies'!AI265)</f>
        <v/>
      </c>
      <c r="AN265" s="546">
        <f>AL265+AM265</f>
        <v/>
      </c>
      <c r="AO265" s="203" t="n"/>
      <c r="AP265" s="203" t="n"/>
      <c r="AQ265" s="203" t="n"/>
      <c r="AR265" s="203" t="n"/>
      <c r="AS265" s="203" t="n"/>
      <c r="AT265" s="546">
        <f>IFERROR(VLOOKUP(C265, CodeRanMovies!$A:$K, 11, 0), "Not found")</f>
        <v/>
      </c>
    </row>
    <row r="266" ht="26.4" customHeight="1" s="578">
      <c r="A266" s="201">
        <f>_xlfn.AGGREGATE(3,3,$D$7:D266)</f>
        <v/>
      </c>
      <c r="B266" s="589" t="inlineStr">
        <is>
          <t>13+</t>
        </is>
      </c>
      <c r="C266" s="234" t="inlineStr">
        <is>
          <t>MOV_DRA_19__2597304</t>
        </is>
      </c>
      <c r="D266" s="105" t="inlineStr">
        <is>
          <t>MY SON, WHERE ARE YOU</t>
        </is>
      </c>
      <c r="E266" s="97" t="inlineStr">
        <is>
          <t>Mặt trời con ở đâu</t>
        </is>
      </c>
      <c r="F266" s="103" t="inlineStr">
        <is>
          <t>Drama</t>
        </is>
      </c>
      <c r="G266" s="103" t="inlineStr">
        <is>
          <t>TFILM</t>
        </is>
      </c>
      <c r="H266" s="590" t="inlineStr">
        <is>
          <t>139/2024/HDBQ/VSTV-TFlim</t>
        </is>
      </c>
      <c r="I266" s="104" t="n">
        <v>2018</v>
      </c>
      <c r="J266" s="592" t="inlineStr">
        <is>
          <t>Việt Nam</t>
        </is>
      </c>
      <c r="K266" s="104" t="n">
        <v>95</v>
      </c>
      <c r="L266" s="591" t="n">
        <v>45658</v>
      </c>
      <c r="M266" s="98" t="n">
        <v>46388</v>
      </c>
      <c r="N266" s="591" t="n">
        <v>44795</v>
      </c>
      <c r="O266" s="592" t="n"/>
      <c r="P266" s="104" t="n">
        <v>0</v>
      </c>
      <c r="Q266" s="107" t="inlineStr">
        <is>
          <t>No</t>
        </is>
      </c>
      <c r="R266" s="592" t="inlineStr">
        <is>
          <t>Yes</t>
        </is>
      </c>
      <c r="S266" s="107" t="inlineStr">
        <is>
          <t>Yes</t>
        </is>
      </c>
      <c r="T266" s="592" t="inlineStr">
        <is>
          <t>Yes</t>
        </is>
      </c>
      <c r="U266" s="107" t="inlineStr">
        <is>
          <t>Yes</t>
        </is>
      </c>
      <c r="V266" s="107" t="inlineStr">
        <is>
          <t>Yes</t>
        </is>
      </c>
      <c r="W266" s="107" t="inlineStr">
        <is>
          <t>Yes</t>
        </is>
      </c>
      <c r="X266" s="107" t="inlineStr">
        <is>
          <t>Yes</t>
        </is>
      </c>
      <c r="Y266" s="107" t="inlineStr">
        <is>
          <t>Yes</t>
        </is>
      </c>
      <c r="Z266" s="106" t="n">
        <v>45658</v>
      </c>
      <c r="AA266" s="124" t="n">
        <v>46388</v>
      </c>
      <c r="AB266" s="104" t="inlineStr">
        <is>
          <t>Unlimited</t>
        </is>
      </c>
      <c r="AC266" s="202" t="n">
        <v>4</v>
      </c>
      <c r="AD266" s="592" t="inlineStr">
        <is>
          <t>Yes</t>
        </is>
      </c>
      <c r="AE266" s="592" t="inlineStr">
        <is>
          <t>Yes</t>
        </is>
      </c>
      <c r="AF266" s="600" t="n"/>
      <c r="AG266" s="593" t="inlineStr">
        <is>
          <t>Phim còn hạn từ 2026</t>
        </is>
      </c>
      <c r="AH266" s="594" t="n"/>
      <c r="AI266" s="206" t="inlineStr">
        <is>
          <t>My son, where are you (Mặt trời, con ở đâu) (Renew)</t>
        </is>
      </c>
      <c r="AJ266" s="128">
        <f>SUMIF('TK 15661.Bản quyền phim '!F:F,'KK1. Movies'!D266,'TK 15661.Bản quyền phim '!X:X)</f>
        <v/>
      </c>
      <c r="AK266" s="128">
        <f>SUMIF('TK 15661.Bản quyền phim '!F:F,'KK1. Movies'!AI266,'TK 15661.Bản quyền phim '!X:X)</f>
        <v/>
      </c>
      <c r="AL266" s="203">
        <f>COUNTIF('242.BQ Phim hợp tác'!$C:$C,'KK1. Movies'!AI266)</f>
        <v/>
      </c>
      <c r="AM266" s="203">
        <f>COUNTIF('TK 15661.Bản quyền phim '!F:F,'KK1. Movies'!AI266)</f>
        <v/>
      </c>
      <c r="AN266" s="546">
        <f>AL266+AM266</f>
        <v/>
      </c>
      <c r="AO266" s="203" t="n"/>
      <c r="AP266" s="203" t="n"/>
      <c r="AQ266" s="203" t="n"/>
      <c r="AR266" s="203" t="n"/>
      <c r="AS266" s="203" t="n"/>
      <c r="AT266" s="546">
        <f>IFERROR(VLOOKUP(C266, CodeRanMovies!$A:$K, 11, 0), "Not found")</f>
        <v/>
      </c>
    </row>
    <row r="267">
      <c r="A267" s="201">
        <f>_xlfn.AGGREGATE(3,3,$D$7:D267)</f>
        <v/>
      </c>
      <c r="B267" s="589" t="n"/>
      <c r="C267" s="590" t="inlineStr">
        <is>
          <t>MOV_CRI110</t>
        </is>
      </c>
      <c r="D267" s="105" t="inlineStr">
        <is>
          <t>The Invisible Guest</t>
        </is>
      </c>
      <c r="E267" s="110" t="inlineStr">
        <is>
          <t>Man thiên quá hải</t>
        </is>
      </c>
      <c r="F267" s="103" t="inlineStr">
        <is>
          <t>Crime, Thriller, Mystery</t>
        </is>
      </c>
      <c r="G267" s="103" t="inlineStr">
        <is>
          <t>iQiYi</t>
        </is>
      </c>
      <c r="H267" s="590" t="inlineStr">
        <is>
          <t>9/2025/HDBQVSTV-Iqiyi</t>
        </is>
      </c>
      <c r="I267" s="104" t="n">
        <v>2023</v>
      </c>
      <c r="J267" s="104" t="inlineStr">
        <is>
          <t>China</t>
        </is>
      </c>
      <c r="K267" s="104" t="n">
        <v>120</v>
      </c>
      <c r="L267" s="106" t="n">
        <v>45731</v>
      </c>
      <c r="M267" s="106" t="n">
        <v>46827</v>
      </c>
      <c r="N267" s="601" t="n"/>
      <c r="O267" s="592" t="n"/>
      <c r="P267" s="104" t="n">
        <v>36</v>
      </c>
      <c r="Q267" s="104" t="inlineStr">
        <is>
          <t>No</t>
        </is>
      </c>
      <c r="R267" s="104" t="inlineStr">
        <is>
          <t>Yes</t>
        </is>
      </c>
      <c r="S267" s="104" t="inlineStr">
        <is>
          <t>Yes</t>
        </is>
      </c>
      <c r="T267" s="592" t="inlineStr">
        <is>
          <t>Yes</t>
        </is>
      </c>
      <c r="U267" s="104" t="inlineStr">
        <is>
          <t>Yes</t>
        </is>
      </c>
      <c r="V267" s="104" t="inlineStr">
        <is>
          <t>No</t>
        </is>
      </c>
      <c r="W267" s="104" t="inlineStr">
        <is>
          <t>Yes</t>
        </is>
      </c>
      <c r="X267" s="104" t="inlineStr">
        <is>
          <t>Yes</t>
        </is>
      </c>
      <c r="Y267" s="104" t="inlineStr">
        <is>
          <t>Yes</t>
        </is>
      </c>
      <c r="Z267" s="106" t="n">
        <v>45731</v>
      </c>
      <c r="AA267" s="124" t="n">
        <v>46827</v>
      </c>
      <c r="AB267" s="104" t="inlineStr">
        <is>
          <t>Unlimited</t>
        </is>
      </c>
      <c r="AC267" s="202" t="n">
        <v>6</v>
      </c>
      <c r="AD267" s="592" t="inlineStr">
        <is>
          <t>Yes</t>
        </is>
      </c>
      <c r="AE267" s="592" t="inlineStr">
        <is>
          <t>Yes</t>
        </is>
      </c>
      <c r="AF267" s="600" t="n"/>
      <c r="AG267" s="593" t="inlineStr">
        <is>
          <t>Phim còn hạn từ 2026</t>
        </is>
      </c>
      <c r="AH267" s="594" t="n"/>
      <c r="AI267" s="206" t="inlineStr">
        <is>
          <t>The Invisible Guest</t>
        </is>
      </c>
      <c r="AJ267" s="128">
        <f>SUMIF('TK 15661.Bản quyền phim '!F:F,'KK1. Movies'!D267,'TK 15661.Bản quyền phim '!X:X)</f>
        <v/>
      </c>
      <c r="AK267" s="128">
        <f>SUMIF('TK 15661.Bản quyền phim '!F:F,'KK1. Movies'!AI267,'TK 15661.Bản quyền phim '!X:X)</f>
        <v/>
      </c>
      <c r="AL267" s="203">
        <f>COUNTIF('242.BQ Phim hợp tác'!$C:$C,'KK1. Movies'!AI267)</f>
        <v/>
      </c>
      <c r="AM267" s="203">
        <f>COUNTIF('TK 15661.Bản quyền phim '!F:F,'KK1. Movies'!AI267)</f>
        <v/>
      </c>
      <c r="AN267" s="546">
        <f>AL267+AM267</f>
        <v/>
      </c>
      <c r="AO267" s="203" t="n"/>
      <c r="AP267" s="203" t="n"/>
      <c r="AQ267" s="203" t="n"/>
      <c r="AR267" s="203" t="n"/>
      <c r="AS267" s="203" t="n"/>
      <c r="AT267" s="546">
        <f>IFERROR(VLOOKUP(C267, CodeRanMovies!$A:$K, 11, 0), "Not found")</f>
        <v/>
      </c>
    </row>
    <row r="268" ht="26.4" customHeight="1" s="578">
      <c r="A268" s="201">
        <f>_xlfn.AGGREGATE(3,3,$D$7:D268)</f>
        <v/>
      </c>
      <c r="B268" s="589" t="inlineStr">
        <is>
          <t>13+</t>
        </is>
      </c>
      <c r="C268" s="590" t="inlineStr">
        <is>
          <t>MOV_DRA_23__2691045</t>
        </is>
      </c>
      <c r="D268" s="596" t="inlineStr">
        <is>
          <t>The Personal History of David Copperfield</t>
        </is>
      </c>
      <c r="E268" s="590" t="inlineStr">
        <is>
          <t>Cuộc đời David Copperfield</t>
        </is>
      </c>
      <c r="F268" s="589" t="inlineStr">
        <is>
          <t>Drama</t>
        </is>
      </c>
      <c r="G268" s="589" t="inlineStr">
        <is>
          <t>Roses Media</t>
        </is>
      </c>
      <c r="H268" s="590" t="inlineStr">
        <is>
          <t>140/2022/HDBQ/VSTV-RM</t>
        </is>
      </c>
      <c r="I268" s="204" t="n">
        <v>2019</v>
      </c>
      <c r="J268" s="592" t="inlineStr">
        <is>
          <t>US</t>
        </is>
      </c>
      <c r="K268" s="204" t="n">
        <v>119</v>
      </c>
      <c r="L268" s="98" t="n">
        <v>45029</v>
      </c>
      <c r="M268" s="98" t="n">
        <v>46124</v>
      </c>
      <c r="N268" s="597" t="n">
        <v>45029</v>
      </c>
      <c r="O268" s="598" t="inlineStr">
        <is>
          <t>K+CINE</t>
        </is>
      </c>
      <c r="P268" s="592" t="inlineStr">
        <is>
          <t xml:space="preserve">Exclusive All Pay TV Rights for first 12 months.
Non exclusive All VOD during LP 
</t>
        </is>
      </c>
      <c r="Q268" s="592" t="inlineStr">
        <is>
          <t>No</t>
        </is>
      </c>
      <c r="R268" s="592" t="inlineStr">
        <is>
          <t>Yes</t>
        </is>
      </c>
      <c r="S268" s="592" t="inlineStr">
        <is>
          <t>No</t>
        </is>
      </c>
      <c r="T268" s="592" t="inlineStr">
        <is>
          <t>Yes</t>
        </is>
      </c>
      <c r="U268" s="592" t="inlineStr">
        <is>
          <t>Yes</t>
        </is>
      </c>
      <c r="V268" s="592" t="inlineStr">
        <is>
          <t>Yes</t>
        </is>
      </c>
      <c r="W268" s="592" t="inlineStr">
        <is>
          <t>Yes</t>
        </is>
      </c>
      <c r="X268" s="592" t="inlineStr">
        <is>
          <t>Yes</t>
        </is>
      </c>
      <c r="Y268" s="592" t="inlineStr">
        <is>
          <t>No</t>
        </is>
      </c>
      <c r="Z268" s="98" t="n">
        <v>45029</v>
      </c>
      <c r="AA268" s="98" t="n">
        <v>46124</v>
      </c>
      <c r="AB268" s="202" t="n">
        <v>24</v>
      </c>
      <c r="AC268" s="202" t="n">
        <v>24</v>
      </c>
      <c r="AD268" s="592" t="inlineStr">
        <is>
          <t>Yes</t>
        </is>
      </c>
      <c r="AE268" s="592" t="inlineStr">
        <is>
          <t>Yes</t>
        </is>
      </c>
      <c r="AF268" s="600" t="n"/>
      <c r="AG268" s="593" t="inlineStr">
        <is>
          <t>Phim còn hạn từ 2026</t>
        </is>
      </c>
      <c r="AH268" s="594" t="n"/>
      <c r="AI268" s="599" t="inlineStr">
        <is>
          <t>The Personal History of David Copperfield</t>
        </is>
      </c>
      <c r="AJ268" s="128">
        <f>SUMIF('TK 15661.Bản quyền phim '!F:F,'KK1. Movies'!D268,'TK 15661.Bản quyền phim '!X:X)</f>
        <v/>
      </c>
      <c r="AK268" s="128">
        <f>SUMIF('TK 15661.Bản quyền phim '!F:F,'KK1. Movies'!AI268,'TK 15661.Bản quyền phim '!X:X)</f>
        <v/>
      </c>
      <c r="AL268" s="203">
        <f>COUNTIF('242.BQ Phim hợp tác'!$C:$C,'KK1. Movies'!AI268)</f>
        <v/>
      </c>
      <c r="AM268" s="203">
        <f>COUNTIF('TK 15661.Bản quyền phim '!F:F,'KK1. Movies'!AI268)</f>
        <v/>
      </c>
      <c r="AN268" s="546">
        <f>AL268+AM268</f>
        <v/>
      </c>
      <c r="AO268" s="203" t="n"/>
      <c r="AP268" s="203" t="n"/>
      <c r="AQ268" s="203" t="n"/>
      <c r="AR268" s="203" t="n"/>
      <c r="AS268" s="203" t="n"/>
      <c r="AT268" s="546">
        <f>IFERROR(VLOOKUP(C268, CodeRanMovies!$A:$K, 11, 0), "Not found")</f>
        <v/>
      </c>
    </row>
    <row r="269" ht="26.4" customHeight="1" s="578">
      <c r="A269" s="201">
        <f>_xlfn.AGGREGATE(3,3,$D$7:D269)</f>
        <v/>
      </c>
      <c r="B269" s="589" t="inlineStr">
        <is>
          <t>13+</t>
        </is>
      </c>
      <c r="C269" s="590" t="inlineStr">
        <is>
          <t>MOV_ROM_23__2694716</t>
        </is>
      </c>
      <c r="D269" s="596" t="inlineStr">
        <is>
          <t>HAPPY ENDING</t>
        </is>
      </c>
      <c r="E269" s="590" t="inlineStr">
        <is>
          <t>Mình yêu nhau đi</t>
        </is>
      </c>
      <c r="F269" s="590" t="inlineStr">
        <is>
          <t>Comedy</t>
        </is>
      </c>
      <c r="G269" s="589" t="inlineStr">
        <is>
          <t>CJ HK</t>
        </is>
      </c>
      <c r="H269" s="590" t="inlineStr">
        <is>
          <t>135/2022/HDBQ/VSTV-CJHK</t>
        </is>
      </c>
      <c r="I269" s="204" t="n">
        <v>2022</v>
      </c>
      <c r="J269" s="600" t="inlineStr">
        <is>
          <t>Thailand</t>
        </is>
      </c>
      <c r="K269" s="204" t="n">
        <v>100</v>
      </c>
      <c r="L269" s="98" t="n">
        <v>45246</v>
      </c>
      <c r="M269" s="98" t="n">
        <v>46341</v>
      </c>
      <c r="N269" s="597" t="n">
        <v>45246</v>
      </c>
      <c r="O269" s="598" t="inlineStr">
        <is>
          <t>K+CINE</t>
        </is>
      </c>
      <c r="P269" s="96" t="n">
        <v>12</v>
      </c>
      <c r="Q269" s="592" t="inlineStr">
        <is>
          <t>No</t>
        </is>
      </c>
      <c r="R269" s="592" t="inlineStr">
        <is>
          <t>Yes</t>
        </is>
      </c>
      <c r="S269" s="592" t="inlineStr">
        <is>
          <t>Yes</t>
        </is>
      </c>
      <c r="T269" s="592" t="inlineStr">
        <is>
          <t>Yes</t>
        </is>
      </c>
      <c r="U269" s="592" t="inlineStr">
        <is>
          <t>Yes</t>
        </is>
      </c>
      <c r="V269" s="592" t="inlineStr">
        <is>
          <t>Yes</t>
        </is>
      </c>
      <c r="W269" s="592" t="inlineStr">
        <is>
          <t>Yes</t>
        </is>
      </c>
      <c r="X269" s="592" t="inlineStr">
        <is>
          <t>No</t>
        </is>
      </c>
      <c r="Y269" s="592" t="inlineStr">
        <is>
          <t>Yes</t>
        </is>
      </c>
      <c r="Z269" s="98" t="n">
        <v>45246</v>
      </c>
      <c r="AA269" s="98" t="n">
        <v>46341</v>
      </c>
      <c r="AB269" s="96" t="inlineStr">
        <is>
          <t>unlimited</t>
        </is>
      </c>
      <c r="AC269" s="202" t="n">
        <v>17</v>
      </c>
      <c r="AD269" s="592" t="inlineStr">
        <is>
          <t>Yes</t>
        </is>
      </c>
      <c r="AE269" s="592" t="inlineStr">
        <is>
          <t>Yes</t>
        </is>
      </c>
      <c r="AF269" s="600" t="n"/>
      <c r="AG269" s="593" t="inlineStr">
        <is>
          <t>Phim còn hạn từ 2026</t>
        </is>
      </c>
      <c r="AH269" s="594" t="n"/>
      <c r="AI269" s="206" t="inlineStr">
        <is>
          <t>HAPPY ENDING (Mình yêu nhau đi)</t>
        </is>
      </c>
      <c r="AJ269" s="128">
        <f>SUMIF('TK 15661.Bản quyền phim '!F:F,'KK1. Movies'!D269,'TK 15661.Bản quyền phim '!X:X)</f>
        <v/>
      </c>
      <c r="AK269" s="128">
        <f>SUMIF('TK 15661.Bản quyền phim '!F:F,'KK1. Movies'!AI269,'TK 15661.Bản quyền phim '!X:X)</f>
        <v/>
      </c>
      <c r="AL269" s="203">
        <f>COUNTIF('242.BQ Phim hợp tác'!$C:$C,'KK1. Movies'!AI269)</f>
        <v/>
      </c>
      <c r="AM269" s="203">
        <f>COUNTIF('TK 15661.Bản quyền phim '!F:F,'KK1. Movies'!AI269)</f>
        <v/>
      </c>
      <c r="AN269" s="546">
        <f>AL269+AM269</f>
        <v/>
      </c>
      <c r="AO269" s="203" t="n"/>
      <c r="AP269" s="203" t="n"/>
      <c r="AQ269" s="203" t="n"/>
      <c r="AR269" s="203" t="n"/>
      <c r="AS269" s="203" t="n"/>
      <c r="AT269" s="546">
        <f>IFERROR(VLOOKUP(C269, CodeRanMovies!$A:$K, 11, 0), "Not found")</f>
        <v/>
      </c>
    </row>
    <row r="270">
      <c r="A270" s="201">
        <f>_xlfn.AGGREGATE(3,3,$D$7:D270)</f>
        <v/>
      </c>
      <c r="B270" s="589" t="inlineStr">
        <is>
          <t>16+</t>
        </is>
      </c>
      <c r="C270" s="590" t="inlineStr">
        <is>
          <t>MOV_ACT_22__2686508</t>
        </is>
      </c>
      <c r="D270" s="596" t="inlineStr">
        <is>
          <t>Spiritwalker</t>
        </is>
      </c>
      <c r="E270" s="590" t="inlineStr">
        <is>
          <t>Đặc vụ du hồn</t>
        </is>
      </c>
      <c r="F270" s="590" t="inlineStr">
        <is>
          <t>Action, Adventure</t>
        </is>
      </c>
      <c r="G270" s="604" t="inlineStr">
        <is>
          <t>Skyline Media</t>
        </is>
      </c>
      <c r="H270" s="590" t="inlineStr">
        <is>
          <t>66/2023/HDBQ/VSTV-SM</t>
        </is>
      </c>
      <c r="I270" s="204" t="n">
        <v>2021</v>
      </c>
      <c r="J270" s="600" t="inlineStr">
        <is>
          <t>Korea</t>
        </is>
      </c>
      <c r="K270" s="204" t="n">
        <v>108</v>
      </c>
      <c r="L270" s="98" t="n">
        <v>45000</v>
      </c>
      <c r="M270" s="591" t="n">
        <v>46095</v>
      </c>
      <c r="N270" s="601" t="n">
        <v>45000</v>
      </c>
      <c r="O270" s="598" t="inlineStr">
        <is>
          <t>K+CINE</t>
        </is>
      </c>
      <c r="P270" s="592" t="inlineStr">
        <is>
          <t>Exclusive All TV Rights the first 12 months of LP
 Non-exclusive with All Catch-up TV Rights; All VOD Rights during LP</t>
        </is>
      </c>
      <c r="Q270" s="600" t="inlineStr">
        <is>
          <t>No</t>
        </is>
      </c>
      <c r="R270" s="592" t="inlineStr">
        <is>
          <t>Yes</t>
        </is>
      </c>
      <c r="S270" s="592" t="inlineStr">
        <is>
          <t>Yes</t>
        </is>
      </c>
      <c r="T270" s="592" t="inlineStr">
        <is>
          <t>Yes</t>
        </is>
      </c>
      <c r="U270" s="592" t="inlineStr">
        <is>
          <t>Yes</t>
        </is>
      </c>
      <c r="V270" s="592" t="inlineStr">
        <is>
          <t>Yes</t>
        </is>
      </c>
      <c r="W270" s="592" t="inlineStr">
        <is>
          <t>Yes</t>
        </is>
      </c>
      <c r="X270" s="592" t="inlineStr">
        <is>
          <t>Yes</t>
        </is>
      </c>
      <c r="Y270" s="592" t="inlineStr">
        <is>
          <t>Yes</t>
        </is>
      </c>
      <c r="Z270" s="98" t="n">
        <v>45000</v>
      </c>
      <c r="AA270" s="591" t="n">
        <v>46095</v>
      </c>
      <c r="AB270" s="96" t="inlineStr">
        <is>
          <t>unlimited</t>
        </is>
      </c>
      <c r="AC270" s="202" t="n">
        <v>30</v>
      </c>
      <c r="AD270" s="592" t="inlineStr">
        <is>
          <t>Yes</t>
        </is>
      </c>
      <c r="AE270" s="592" t="inlineStr">
        <is>
          <t>Yes</t>
        </is>
      </c>
      <c r="AF270" s="600" t="n"/>
      <c r="AG270" s="593" t="inlineStr">
        <is>
          <t>Phim còn hạn từ 2026</t>
        </is>
      </c>
      <c r="AH270" s="594" t="inlineStr">
        <is>
          <t>MOV_ACT_22__2686508</t>
        </is>
      </c>
      <c r="AI270" s="599" t="inlineStr">
        <is>
          <t>Spiritwalker</t>
        </is>
      </c>
      <c r="AJ270" s="128">
        <f>SUMIF('TK 15661.Bản quyền phim '!F:F,'KK1. Movies'!D270,'TK 15661.Bản quyền phim '!X:X)</f>
        <v/>
      </c>
      <c r="AK270" s="128">
        <f>SUMIF('TK 15661.Bản quyền phim '!F:F,'KK1. Movies'!AI270,'TK 15661.Bản quyền phim '!X:X)</f>
        <v/>
      </c>
      <c r="AL270" s="203">
        <f>COUNTIF('242.BQ Phim hợp tác'!$C:$C,'KK1. Movies'!AI270)</f>
        <v/>
      </c>
      <c r="AM270" s="203">
        <f>COUNTIF('TK 15661.Bản quyền phim '!F:F,'KK1. Movies'!AI270)</f>
        <v/>
      </c>
      <c r="AN270" s="546">
        <f>AL270+AM270</f>
        <v/>
      </c>
      <c r="AO270" s="203" t="n"/>
      <c r="AP270" s="203" t="n"/>
      <c r="AQ270" s="203" t="n"/>
      <c r="AR270" s="203" t="n"/>
      <c r="AS270" s="203" t="n"/>
      <c r="AT270" s="546">
        <f>IFERROR(VLOOKUP(C270, CodeRanMovies!$A:$K, 11, 0), "Not found")</f>
        <v/>
      </c>
    </row>
    <row r="271" ht="26.4" customHeight="1" s="578">
      <c r="A271" s="201">
        <f>_xlfn.AGGREGATE(3,3,$D$7:D271)</f>
        <v/>
      </c>
      <c r="B271" s="589" t="inlineStr">
        <is>
          <t>16+</t>
        </is>
      </c>
      <c r="C271" s="590" t="inlineStr">
        <is>
          <t>MOV_DRA_19__2627771</t>
        </is>
      </c>
      <c r="D271" s="105" t="inlineStr">
        <is>
          <t>GOODBYE MOTHER</t>
        </is>
      </c>
      <c r="E271" s="97" t="inlineStr">
        <is>
          <t>Thưa mẹ con đi</t>
        </is>
      </c>
      <c r="F271" s="103" t="inlineStr">
        <is>
          <t>Drama</t>
        </is>
      </c>
      <c r="G271" s="103" t="inlineStr">
        <is>
          <t>TFILM</t>
        </is>
      </c>
      <c r="H271" s="590" t="inlineStr">
        <is>
          <t>139/2024/HDBQ/VSTV-TFlim</t>
        </is>
      </c>
      <c r="I271" s="104" t="n">
        <v>2019</v>
      </c>
      <c r="J271" s="592" t="inlineStr">
        <is>
          <t>Việt Nam</t>
        </is>
      </c>
      <c r="K271" s="104" t="n">
        <v>100</v>
      </c>
      <c r="L271" s="591" t="n">
        <v>45657</v>
      </c>
      <c r="M271" s="98" t="n">
        <v>46387</v>
      </c>
      <c r="N271" s="591" t="n">
        <v>44628</v>
      </c>
      <c r="O271" s="592" t="n"/>
      <c r="P271" s="104" t="n">
        <v>0</v>
      </c>
      <c r="Q271" s="107" t="inlineStr">
        <is>
          <t>No</t>
        </is>
      </c>
      <c r="R271" s="592" t="inlineStr">
        <is>
          <t>Yes</t>
        </is>
      </c>
      <c r="S271" s="107" t="inlineStr">
        <is>
          <t>Yes</t>
        </is>
      </c>
      <c r="T271" s="592" t="inlineStr">
        <is>
          <t>Yes</t>
        </is>
      </c>
      <c r="U271" s="107" t="inlineStr">
        <is>
          <t>Yes</t>
        </is>
      </c>
      <c r="V271" s="107" t="inlineStr">
        <is>
          <t>Yes</t>
        </is>
      </c>
      <c r="W271" s="107" t="inlineStr">
        <is>
          <t>Yes</t>
        </is>
      </c>
      <c r="X271" s="107" t="inlineStr">
        <is>
          <t>Yes</t>
        </is>
      </c>
      <c r="Y271" s="107" t="inlineStr">
        <is>
          <t>Yes</t>
        </is>
      </c>
      <c r="Z271" s="106" t="n">
        <v>45657</v>
      </c>
      <c r="AA271" s="124" t="n">
        <v>46387</v>
      </c>
      <c r="AB271" s="104" t="inlineStr">
        <is>
          <t>Unlimited</t>
        </is>
      </c>
      <c r="AC271" s="202" t="n">
        <v>15</v>
      </c>
      <c r="AD271" s="592" t="inlineStr">
        <is>
          <t>Yes</t>
        </is>
      </c>
      <c r="AE271" s="592" t="inlineStr">
        <is>
          <t>Yes</t>
        </is>
      </c>
      <c r="AF271" s="600" t="n"/>
      <c r="AG271" s="593" t="inlineStr">
        <is>
          <t>Phim còn hạn từ 2026</t>
        </is>
      </c>
      <c r="AH271" s="594" t="n"/>
      <c r="AI271" s="595" t="inlineStr">
        <is>
          <t>Goodbye mother (Thưa mẹ con đi) (renew)</t>
        </is>
      </c>
      <c r="AJ271" s="128">
        <f>SUMIF('TK 15661.Bản quyền phim '!F:F,'KK1. Movies'!D271,'TK 15661.Bản quyền phim '!X:X)</f>
        <v/>
      </c>
      <c r="AK271" s="128">
        <f>SUMIF('TK 15661.Bản quyền phim '!F:F,'KK1. Movies'!AI271,'TK 15661.Bản quyền phim '!X:X)</f>
        <v/>
      </c>
      <c r="AL271" s="203">
        <f>COUNTIF('242.BQ Phim hợp tác'!$C:$C,'KK1. Movies'!AI271)</f>
        <v/>
      </c>
      <c r="AM271" s="203">
        <f>COUNTIF('TK 15661.Bản quyền phim '!F:F,'KK1. Movies'!AI271)</f>
        <v/>
      </c>
      <c r="AN271" s="546">
        <f>AL271+AM271</f>
        <v/>
      </c>
      <c r="AO271" s="203" t="n"/>
      <c r="AP271" s="203" t="n"/>
      <c r="AQ271" s="203" t="n"/>
      <c r="AR271" s="203" t="n"/>
      <c r="AS271" s="203" t="n"/>
      <c r="AT271" s="546">
        <f>IFERROR(VLOOKUP(C271, CodeRanMovies!$A:$K, 11, 0), "Not found")</f>
        <v/>
      </c>
    </row>
    <row r="272" ht="26.4" customHeight="1" s="578">
      <c r="A272" s="201">
        <f>_xlfn.AGGREGATE(3,3,$D$7:D272)</f>
        <v/>
      </c>
      <c r="B272" s="589" t="inlineStr">
        <is>
          <t>16+</t>
        </is>
      </c>
      <c r="C272" s="590" t="inlineStr">
        <is>
          <t>MOV_DRA__2557492</t>
        </is>
      </c>
      <c r="D272" s="105" t="inlineStr">
        <is>
          <t>MISSTRESS</t>
        </is>
      </c>
      <c r="E272" s="97" t="inlineStr">
        <is>
          <t>Mẹ chồng</t>
        </is>
      </c>
      <c r="F272" s="103" t="inlineStr">
        <is>
          <t>Drama</t>
        </is>
      </c>
      <c r="G272" s="103" t="inlineStr">
        <is>
          <t>TFILM</t>
        </is>
      </c>
      <c r="H272" s="590" t="inlineStr">
        <is>
          <t>139/2024/HDBQ/VSTV-TFlim</t>
        </is>
      </c>
      <c r="I272" s="104" t="n">
        <v>2017</v>
      </c>
      <c r="J272" s="592" t="inlineStr">
        <is>
          <t>Việt Nam</t>
        </is>
      </c>
      <c r="K272" s="104" t="n">
        <v>90</v>
      </c>
      <c r="L272" s="591" t="n">
        <v>45658</v>
      </c>
      <c r="M272" s="98" t="n">
        <v>46388</v>
      </c>
      <c r="N272" s="591" t="n">
        <v>44683</v>
      </c>
      <c r="O272" s="592" t="n"/>
      <c r="P272" s="104" t="n">
        <v>0</v>
      </c>
      <c r="Q272" s="107" t="inlineStr">
        <is>
          <t>No</t>
        </is>
      </c>
      <c r="R272" s="592" t="inlineStr">
        <is>
          <t>Yes</t>
        </is>
      </c>
      <c r="S272" s="107" t="inlineStr">
        <is>
          <t>Yes</t>
        </is>
      </c>
      <c r="T272" s="592" t="inlineStr">
        <is>
          <t>Yes</t>
        </is>
      </c>
      <c r="U272" s="107" t="inlineStr">
        <is>
          <t>Yes</t>
        </is>
      </c>
      <c r="V272" s="107" t="inlineStr">
        <is>
          <t>Yes</t>
        </is>
      </c>
      <c r="W272" s="107" t="inlineStr">
        <is>
          <t>Yes</t>
        </is>
      </c>
      <c r="X272" s="107" t="inlineStr">
        <is>
          <t>Yes</t>
        </is>
      </c>
      <c r="Y272" s="107" t="inlineStr">
        <is>
          <t>Yes</t>
        </is>
      </c>
      <c r="Z272" s="106" t="n">
        <v>45658</v>
      </c>
      <c r="AA272" s="124" t="n">
        <v>46388</v>
      </c>
      <c r="AB272" s="104" t="inlineStr">
        <is>
          <t>Unlimited</t>
        </is>
      </c>
      <c r="AC272" s="202" t="n">
        <v>10</v>
      </c>
      <c r="AD272" s="592" t="inlineStr">
        <is>
          <t>Yes</t>
        </is>
      </c>
      <c r="AE272" s="592" t="inlineStr">
        <is>
          <t>Yes</t>
        </is>
      </c>
      <c r="AF272" s="600" t="n"/>
      <c r="AG272" s="593" t="inlineStr">
        <is>
          <t>Phim còn hạn từ 2026</t>
        </is>
      </c>
      <c r="AH272" s="594" t="n"/>
      <c r="AI272" s="206" t="inlineStr">
        <is>
          <t>Mẹ Chồng (Renew)</t>
        </is>
      </c>
      <c r="AJ272" s="128">
        <f>SUMIF('TK 15661.Bản quyền phim '!F:F,'KK1. Movies'!D272,'TK 15661.Bản quyền phim '!X:X)</f>
        <v/>
      </c>
      <c r="AK272" s="128">
        <f>SUMIF('TK 15661.Bản quyền phim '!F:F,'KK1. Movies'!AI272,'TK 15661.Bản quyền phim '!X:X)</f>
        <v/>
      </c>
      <c r="AL272" s="203">
        <f>COUNTIF('242.BQ Phim hợp tác'!$C:$C,'KK1. Movies'!AI272)</f>
        <v/>
      </c>
      <c r="AM272" s="203">
        <f>COUNTIF('TK 15661.Bản quyền phim '!F:F,'KK1. Movies'!AI272)</f>
        <v/>
      </c>
      <c r="AN272" s="546">
        <f>AL272+AM272</f>
        <v/>
      </c>
      <c r="AO272" s="203" t="n"/>
      <c r="AP272" s="203" t="n"/>
      <c r="AQ272" s="203" t="n"/>
      <c r="AR272" s="203" t="n"/>
      <c r="AS272" s="203" t="n"/>
      <c r="AT272" s="546">
        <f>IFERROR(VLOOKUP(C272, CodeRanMovies!$A:$K, 11, 0), "Not found")</f>
        <v/>
      </c>
    </row>
    <row r="273" ht="26.4" customHeight="1" s="578">
      <c r="A273" s="201">
        <f>_xlfn.AGGREGATE(3,3,$D$7:D273)</f>
        <v/>
      </c>
      <c r="B273" s="600" t="inlineStr">
        <is>
          <t>16+</t>
        </is>
      </c>
      <c r="C273" s="234" t="inlineStr">
        <is>
          <t>MOV_DRA_22__2672129</t>
        </is>
      </c>
      <c r="D273" s="590" t="inlineStr">
        <is>
          <t>Listeners: The Whispering</t>
        </is>
      </c>
      <c r="E273" s="590" t="inlineStr">
        <is>
          <t>Người Lắng Nghe</t>
        </is>
      </c>
      <c r="F273" s="590" t="inlineStr">
        <is>
          <t>Thriller, Suspense</t>
        </is>
      </c>
      <c r="G273" s="108" t="inlineStr">
        <is>
          <t>TFILM</t>
        </is>
      </c>
      <c r="H273" s="590" t="inlineStr">
        <is>
          <t>10/2022/HDBQ/VSTV-CPF</t>
        </is>
      </c>
      <c r="I273" s="204" t="n">
        <v>2021</v>
      </c>
      <c r="J273" s="592" t="inlineStr">
        <is>
          <t>Việt Nam</t>
        </is>
      </c>
      <c r="K273" s="204" t="n">
        <v>100</v>
      </c>
      <c r="L273" s="237" t="n">
        <v>44708</v>
      </c>
      <c r="M273" s="237" t="n">
        <v>46533</v>
      </c>
      <c r="N273" s="591" t="n">
        <v>44708</v>
      </c>
      <c r="O273" s="592" t="n"/>
      <c r="P273" s="592" t="inlineStr">
        <is>
          <t xml:space="preserve">Exclusive All Pay TV Rights for first 12 months.
Non exclusive All VOD during LP </t>
        </is>
      </c>
      <c r="Q273" s="600" t="inlineStr">
        <is>
          <t>No</t>
        </is>
      </c>
      <c r="R273" s="592" t="inlineStr">
        <is>
          <t>Yes</t>
        </is>
      </c>
      <c r="S273" s="592" t="inlineStr">
        <is>
          <t>yes</t>
        </is>
      </c>
      <c r="T273" s="592" t="inlineStr">
        <is>
          <t>Yes</t>
        </is>
      </c>
      <c r="U273" s="592" t="inlineStr">
        <is>
          <t>yes</t>
        </is>
      </c>
      <c r="V273" s="592" t="inlineStr">
        <is>
          <t>yes</t>
        </is>
      </c>
      <c r="W273" s="592" t="inlineStr">
        <is>
          <t>yes</t>
        </is>
      </c>
      <c r="X273" s="592" t="inlineStr">
        <is>
          <t>No</t>
        </is>
      </c>
      <c r="Y273" s="592" t="inlineStr">
        <is>
          <t>Yes</t>
        </is>
      </c>
      <c r="Z273" s="237" t="n">
        <v>44708</v>
      </c>
      <c r="AA273" s="237" t="n">
        <v>46533</v>
      </c>
      <c r="AB273" s="211" t="inlineStr">
        <is>
          <t>unlimited</t>
        </is>
      </c>
      <c r="AC273" s="202" t="n">
        <v>18</v>
      </c>
      <c r="AD273" s="592" t="inlineStr">
        <is>
          <t>Yes</t>
        </is>
      </c>
      <c r="AE273" s="592" t="inlineStr">
        <is>
          <t>Yes</t>
        </is>
      </c>
      <c r="AF273" s="600" t="n"/>
      <c r="AG273" s="593" t="inlineStr">
        <is>
          <t>Phim còn hạn từ 2026</t>
        </is>
      </c>
      <c r="AH273" s="594" t="n"/>
      <c r="AI273" s="206" t="inlineStr">
        <is>
          <t>Listener: The Whispering (Người lắng nghe)</t>
        </is>
      </c>
      <c r="AJ273" s="128">
        <f>SUMIF('TK 15661.Bản quyền phim '!F:F,'KK1. Movies'!D273,'TK 15661.Bản quyền phim '!X:X)</f>
        <v/>
      </c>
      <c r="AK273" s="128">
        <f>SUMIF('TK 15661.Bản quyền phim '!F:F,'KK1. Movies'!AI273,'TK 15661.Bản quyền phim '!X:X)</f>
        <v/>
      </c>
      <c r="AL273" s="203">
        <f>COUNTIF('242.BQ Phim hợp tác'!$C:$C,'KK1. Movies'!AI273)</f>
        <v/>
      </c>
      <c r="AM273" s="203">
        <f>COUNTIF('TK 15661.Bản quyền phim '!F:F,'KK1. Movies'!AI273)</f>
        <v/>
      </c>
      <c r="AN273" s="546">
        <f>AL273+AM273</f>
        <v/>
      </c>
      <c r="AO273" s="203" t="n"/>
      <c r="AP273" s="203" t="n"/>
      <c r="AQ273" s="203" t="n"/>
      <c r="AR273" s="203" t="n"/>
      <c r="AS273" s="203" t="n"/>
      <c r="AT273" s="546">
        <f>IFERROR(VLOOKUP(C273, CodeRanMovies!$A:$K, 11, 0), "Not found")</f>
        <v/>
      </c>
    </row>
    <row r="274" ht="26.4" customHeight="1" s="578">
      <c r="A274" s="201">
        <f>_xlfn.AGGREGATE(3,3,$D$7:D274)</f>
        <v/>
      </c>
      <c r="B274" s="589" t="inlineStr">
        <is>
          <t>P</t>
        </is>
      </c>
      <c r="C274" s="590" t="inlineStr">
        <is>
          <t>MOV_DRA_23__2692573</t>
        </is>
      </c>
      <c r="D274" s="596" t="inlineStr">
        <is>
          <t>The Farewell</t>
        </is>
      </c>
      <c r="E274" s="590" t="inlineStr">
        <is>
          <t>Lời từ biệt</t>
        </is>
      </c>
      <c r="F274" s="590" t="inlineStr">
        <is>
          <t>Drama</t>
        </is>
      </c>
      <c r="G274" s="589" t="inlineStr">
        <is>
          <t>Roses Media</t>
        </is>
      </c>
      <c r="H274" s="590" t="inlineStr">
        <is>
          <t>140/2022/HDBQ/VSTV-RM</t>
        </is>
      </c>
      <c r="I274" s="204" t="n">
        <v>2019</v>
      </c>
      <c r="J274" s="592" t="inlineStr">
        <is>
          <t>US</t>
        </is>
      </c>
      <c r="K274" s="204" t="n">
        <v>100</v>
      </c>
      <c r="L274" s="98" t="n">
        <v>45169</v>
      </c>
      <c r="M274" s="98" t="n">
        <v>46264</v>
      </c>
      <c r="N274" s="597" t="n">
        <v>45169</v>
      </c>
      <c r="O274" s="598" t="inlineStr">
        <is>
          <t>K+CINE</t>
        </is>
      </c>
      <c r="P274" s="592" t="inlineStr">
        <is>
          <t xml:space="preserve">Exclusive All Pay TV Rights for first 12 months.
Non exclusive All VOD during LP 
</t>
        </is>
      </c>
      <c r="Q274" s="592" t="inlineStr">
        <is>
          <t>No</t>
        </is>
      </c>
      <c r="R274" s="592" t="inlineStr">
        <is>
          <t>Yes</t>
        </is>
      </c>
      <c r="S274" s="592" t="inlineStr">
        <is>
          <t>No</t>
        </is>
      </c>
      <c r="T274" s="592" t="inlineStr">
        <is>
          <t>Yes</t>
        </is>
      </c>
      <c r="U274" s="592" t="inlineStr">
        <is>
          <t>Yes</t>
        </is>
      </c>
      <c r="V274" s="592" t="inlineStr">
        <is>
          <t>Yes</t>
        </is>
      </c>
      <c r="W274" s="592" t="inlineStr">
        <is>
          <t>Yes</t>
        </is>
      </c>
      <c r="X274" s="592" t="inlineStr">
        <is>
          <t>Yes</t>
        </is>
      </c>
      <c r="Y274" s="592" t="inlineStr">
        <is>
          <t>No</t>
        </is>
      </c>
      <c r="Z274" s="98" t="n">
        <v>45169</v>
      </c>
      <c r="AA274" s="98" t="n">
        <v>46264</v>
      </c>
      <c r="AB274" s="202" t="n">
        <v>24</v>
      </c>
      <c r="AC274" s="202" t="n">
        <v>19</v>
      </c>
      <c r="AD274" s="592" t="inlineStr">
        <is>
          <t>Yes</t>
        </is>
      </c>
      <c r="AE274" s="592" t="inlineStr">
        <is>
          <t>Yes</t>
        </is>
      </c>
      <c r="AF274" s="600" t="n"/>
      <c r="AG274" s="593" t="inlineStr">
        <is>
          <t>Phim còn hạn từ 2026</t>
        </is>
      </c>
      <c r="AH274" s="594" t="n"/>
      <c r="AI274" s="599" t="inlineStr">
        <is>
          <t>The Farewell</t>
        </is>
      </c>
      <c r="AJ274" s="128">
        <f>SUMIF('TK 15661.Bản quyền phim '!F:F,'KK1. Movies'!D274,'TK 15661.Bản quyền phim '!X:X)</f>
        <v/>
      </c>
      <c r="AK274" s="128">
        <f>SUMIF('TK 15661.Bản quyền phim '!F:F,'KK1. Movies'!AI274,'TK 15661.Bản quyền phim '!X:X)</f>
        <v/>
      </c>
      <c r="AL274" s="203">
        <f>COUNTIF('242.BQ Phim hợp tác'!$C:$C,'KK1. Movies'!AI274)</f>
        <v/>
      </c>
      <c r="AM274" s="203">
        <f>COUNTIF('TK 15661.Bản quyền phim '!F:F,'KK1. Movies'!AI274)</f>
        <v/>
      </c>
      <c r="AN274" s="546">
        <f>AL274+AM274</f>
        <v/>
      </c>
      <c r="AO274" s="203" t="n"/>
      <c r="AP274" s="203" t="n"/>
      <c r="AQ274" s="203" t="n"/>
      <c r="AR274" s="203" t="n"/>
      <c r="AS274" s="203" t="n"/>
      <c r="AT274" s="546">
        <f>IFERROR(VLOOKUP(C274, CodeRanMovies!$A:$K, 11, 0), "Not found")</f>
        <v/>
      </c>
    </row>
    <row r="275" ht="26.4" customHeight="1" s="578">
      <c r="A275" s="201">
        <f>_xlfn.AGGREGATE(3,3,$D$7:D275)</f>
        <v/>
      </c>
      <c r="B275" s="606" t="inlineStr">
        <is>
          <t>n/a</t>
        </is>
      </c>
      <c r="C275" s="234" t="inlineStr">
        <is>
          <t>MOV_ANI77</t>
        </is>
      </c>
      <c r="D275" s="105" t="inlineStr">
        <is>
          <t>LEAP!</t>
        </is>
      </c>
      <c r="E275" s="105" t="inlineStr">
        <is>
          <t>Vũ Điệu Thần Tiên</t>
        </is>
      </c>
      <c r="F275" s="108" t="inlineStr">
        <is>
          <t>Adventure, Comedy, Family, Music</t>
        </is>
      </c>
      <c r="G275" s="108" t="inlineStr">
        <is>
          <t>Skyline Media</t>
        </is>
      </c>
      <c r="H275" s="590" t="inlineStr">
        <is>
          <t>36/2025/HDBQ/VSTV-SM</t>
        </is>
      </c>
      <c r="I275" s="107" t="n">
        <v>2016</v>
      </c>
      <c r="J275" s="107" t="inlineStr">
        <is>
          <t>France, Canada</t>
        </is>
      </c>
      <c r="K275" s="107" t="n">
        <v>89</v>
      </c>
      <c r="L275" s="591" t="n">
        <v>45787</v>
      </c>
      <c r="M275" s="98" t="n">
        <v>46507</v>
      </c>
      <c r="N275" s="601" t="inlineStr">
        <is>
          <t>n/a</t>
        </is>
      </c>
      <c r="O275" s="592" t="n"/>
      <c r="P275" s="104" t="n">
        <v>12</v>
      </c>
      <c r="Q275" s="107" t="inlineStr">
        <is>
          <t>No</t>
        </is>
      </c>
      <c r="R275" s="592" t="inlineStr">
        <is>
          <t>Yes</t>
        </is>
      </c>
      <c r="S275" s="104" t="inlineStr">
        <is>
          <t>Yes</t>
        </is>
      </c>
      <c r="T275" s="104" t="inlineStr">
        <is>
          <t>Yes</t>
        </is>
      </c>
      <c r="U275" s="104" t="inlineStr">
        <is>
          <t>Yes</t>
        </is>
      </c>
      <c r="V275" s="104" t="inlineStr">
        <is>
          <t>Yes</t>
        </is>
      </c>
      <c r="W275" s="104" t="inlineStr">
        <is>
          <t>Yes</t>
        </is>
      </c>
      <c r="X275" s="104" t="inlineStr">
        <is>
          <t>Yes</t>
        </is>
      </c>
      <c r="Y275" s="104" t="inlineStr">
        <is>
          <t>No</t>
        </is>
      </c>
      <c r="Z275" s="109" t="n">
        <v>45787</v>
      </c>
      <c r="AA275" s="98" t="n">
        <v>46507</v>
      </c>
      <c r="AB275" s="107" t="n">
        <v>24</v>
      </c>
      <c r="AC275" s="202" t="n">
        <v>6</v>
      </c>
      <c r="AD275" s="592" t="inlineStr">
        <is>
          <t>Yes</t>
        </is>
      </c>
      <c r="AE275" s="592" t="inlineStr">
        <is>
          <t>Yes</t>
        </is>
      </c>
      <c r="AF275" s="600" t="n"/>
      <c r="AG275" s="593" t="inlineStr">
        <is>
          <t>Phim còn hạn từ 2026</t>
        </is>
      </c>
      <c r="AH275" s="594" t="n"/>
      <c r="AI275" s="206" t="inlineStr">
        <is>
          <t>LEAP! (BALLERINA)</t>
        </is>
      </c>
      <c r="AJ275" s="128">
        <f>SUMIF('TK 15661.Bản quyền phim '!F:F,'KK1. Movies'!D275,'TK 15661.Bản quyền phim '!X:X)</f>
        <v/>
      </c>
      <c r="AK275" s="128">
        <f>SUMIF('TK 15661.Bản quyền phim '!F:F,'KK1. Movies'!AI275,'TK 15661.Bản quyền phim '!X:X)</f>
        <v/>
      </c>
      <c r="AL275" s="203">
        <f>COUNTIF('242.BQ Phim hợp tác'!$C:$C,'KK1. Movies'!AI275)</f>
        <v/>
      </c>
      <c r="AM275" s="203">
        <f>COUNTIF('TK 15661.Bản quyền phim '!F:F,'KK1. Movies'!AI275)</f>
        <v/>
      </c>
      <c r="AN275" s="546">
        <f>AL275+AM275</f>
        <v/>
      </c>
      <c r="AO275" s="203" t="n"/>
      <c r="AP275" s="203" t="n"/>
      <c r="AQ275" s="203" t="n"/>
      <c r="AR275" s="203" t="n"/>
      <c r="AS275" s="203" t="n"/>
      <c r="AT275" s="546">
        <f>IFERROR(VLOOKUP(C275, CodeRanMovies!$A:$K, 11, 0), "Not found")</f>
        <v/>
      </c>
    </row>
    <row r="276" ht="39.6" customHeight="1" s="578">
      <c r="A276" s="201">
        <f>_xlfn.AGGREGATE(3,3,$D$7:D276)</f>
        <v/>
      </c>
      <c r="B276" s="606" t="inlineStr">
        <is>
          <t>n/a</t>
        </is>
      </c>
      <c r="C276" s="234" t="inlineStr">
        <is>
          <t>MOV_ANI80</t>
        </is>
      </c>
      <c r="D276" s="105" t="inlineStr">
        <is>
          <t>NORM OF THE NORTH: FAMILY VACATION</t>
        </is>
      </c>
      <c r="E276" s="105" t="inlineStr">
        <is>
          <t>Đầu Gấu Bắc Cực: Kỳ Nghỉ Vui Nhộn</t>
        </is>
      </c>
      <c r="F276" s="108" t="inlineStr">
        <is>
          <t>Adventure, Comedy, Family</t>
        </is>
      </c>
      <c r="G276" s="108" t="inlineStr">
        <is>
          <t>Skyline Media</t>
        </is>
      </c>
      <c r="H276" s="590" t="inlineStr">
        <is>
          <t>36/2025/HDBQ/VSTV-SM</t>
        </is>
      </c>
      <c r="I276" s="107" t="n">
        <v>2020</v>
      </c>
      <c r="J276" s="107" t="inlineStr">
        <is>
          <t>US</t>
        </is>
      </c>
      <c r="K276" s="107" t="n">
        <v>90</v>
      </c>
      <c r="L276" s="591" t="n">
        <v>45983</v>
      </c>
      <c r="M276" s="98" t="n">
        <v>46697</v>
      </c>
      <c r="N276" s="601" t="inlineStr">
        <is>
          <t>n/a</t>
        </is>
      </c>
      <c r="O276" s="592" t="n"/>
      <c r="P276" s="104" t="n">
        <v>12</v>
      </c>
      <c r="Q276" s="107" t="inlineStr">
        <is>
          <t>No</t>
        </is>
      </c>
      <c r="R276" s="592" t="inlineStr">
        <is>
          <t>Yes</t>
        </is>
      </c>
      <c r="S276" s="104" t="inlineStr">
        <is>
          <t>Yes</t>
        </is>
      </c>
      <c r="T276" s="104" t="inlineStr">
        <is>
          <t>Yes</t>
        </is>
      </c>
      <c r="U276" s="104" t="inlineStr">
        <is>
          <t>Yes</t>
        </is>
      </c>
      <c r="V276" s="104" t="inlineStr">
        <is>
          <t>Yes</t>
        </is>
      </c>
      <c r="W276" s="104" t="inlineStr">
        <is>
          <t>Yes</t>
        </is>
      </c>
      <c r="X276" s="104" t="inlineStr">
        <is>
          <t>Yes</t>
        </is>
      </c>
      <c r="Y276" s="104" t="inlineStr">
        <is>
          <t>No</t>
        </is>
      </c>
      <c r="Z276" s="109" t="n">
        <v>45983</v>
      </c>
      <c r="AA276" s="98" t="n">
        <v>46697</v>
      </c>
      <c r="AB276" s="107" t="n">
        <v>24</v>
      </c>
      <c r="AC276" s="202" t="n"/>
      <c r="AD276" s="592" t="inlineStr">
        <is>
          <t>Yes</t>
        </is>
      </c>
      <c r="AE276" s="592" t="inlineStr">
        <is>
          <t>Yes</t>
        </is>
      </c>
      <c r="AF276" s="600" t="n"/>
      <c r="AG276" s="593" t="inlineStr">
        <is>
          <t>Phim còn hạn từ 2026</t>
        </is>
      </c>
      <c r="AH276" s="594" t="n"/>
      <c r="AI276" s="206" t="inlineStr">
        <is>
          <t>NORM OF THE NORTH: FAMILY VACATION</t>
        </is>
      </c>
      <c r="AJ276" s="128">
        <f>SUMIF('TK 15661.Bản quyền phim '!F:F,'KK1. Movies'!D276,'TK 15661.Bản quyền phim '!X:X)</f>
        <v/>
      </c>
      <c r="AK276" s="128">
        <f>SUMIF('TK 15661.Bản quyền phim '!F:F,'KK1. Movies'!AI276,'TK 15661.Bản quyền phim '!X:X)</f>
        <v/>
      </c>
      <c r="AL276" s="203">
        <f>COUNTIF('242.BQ Phim hợp tác'!$C:$C,'KK1. Movies'!AI276)</f>
        <v/>
      </c>
      <c r="AM276" s="203">
        <f>COUNTIF('TK 15661.Bản quyền phim '!F:F,'KK1. Movies'!AI276)</f>
        <v/>
      </c>
      <c r="AN276" s="546">
        <f>AL276+AM276</f>
        <v/>
      </c>
      <c r="AO276" s="203" t="n"/>
      <c r="AP276" s="203" t="n"/>
      <c r="AQ276" s="203" t="n"/>
      <c r="AR276" s="203" t="n"/>
      <c r="AS276" s="203" t="n"/>
      <c r="AT276" s="546">
        <f>IFERROR(VLOOKUP(C276, CodeRanMovies!$A:$K, 11, 0), "Not found")</f>
        <v/>
      </c>
    </row>
    <row r="277" ht="26.4" customHeight="1" s="578">
      <c r="A277" s="201">
        <f>_xlfn.AGGREGATE(3,3,$D$7:D277)</f>
        <v/>
      </c>
      <c r="B277" s="606" t="inlineStr">
        <is>
          <t>n/a</t>
        </is>
      </c>
      <c r="C277" s="590" t="inlineStr">
        <is>
          <t>MOV_ACT592</t>
        </is>
      </c>
      <c r="D277" s="105" t="inlineStr">
        <is>
          <t>WEEKEND IN TAIPEI</t>
        </is>
      </c>
      <c r="E277" s="105" t="inlineStr">
        <is>
          <t>Vây Hãm Tại Đài Bắc</t>
        </is>
      </c>
      <c r="F277" s="108" t="inlineStr">
        <is>
          <t>Action, Thriller</t>
        </is>
      </c>
      <c r="G277" s="108" t="inlineStr">
        <is>
          <t>Skyline Media</t>
        </is>
      </c>
      <c r="H277" s="590" t="inlineStr">
        <is>
          <t>36/2025/HDBQ/VSTV-SM</t>
        </is>
      </c>
      <c r="I277" s="107" t="n">
        <v>2024</v>
      </c>
      <c r="J277" s="107" t="inlineStr">
        <is>
          <t>Taiwan, France</t>
        </is>
      </c>
      <c r="K277" s="107" t="n">
        <v>100</v>
      </c>
      <c r="L277" s="591" t="n">
        <v>45988</v>
      </c>
      <c r="M277" s="98" t="n">
        <v>47448</v>
      </c>
      <c r="N277" s="601" t="inlineStr">
        <is>
          <t>n/a</t>
        </is>
      </c>
      <c r="O277" s="592" t="n"/>
      <c r="P277" s="104" t="n">
        <v>12</v>
      </c>
      <c r="Q277" s="107" t="inlineStr">
        <is>
          <t>No</t>
        </is>
      </c>
      <c r="R277" s="592" t="inlineStr">
        <is>
          <t>Yes</t>
        </is>
      </c>
      <c r="S277" s="104" t="inlineStr">
        <is>
          <t>Yes</t>
        </is>
      </c>
      <c r="T277" s="592" t="inlineStr">
        <is>
          <t>Yes</t>
        </is>
      </c>
      <c r="U277" s="104" t="inlineStr">
        <is>
          <t>Yes</t>
        </is>
      </c>
      <c r="V277" s="104" t="inlineStr">
        <is>
          <t>Yes</t>
        </is>
      </c>
      <c r="W277" s="104" t="inlineStr">
        <is>
          <t>Yes</t>
        </is>
      </c>
      <c r="X277" s="104" t="inlineStr">
        <is>
          <t>Yes</t>
        </is>
      </c>
      <c r="Y277" s="104" t="inlineStr">
        <is>
          <t>No</t>
        </is>
      </c>
      <c r="Z277" s="109" t="n">
        <v>45988</v>
      </c>
      <c r="AA277" s="98" t="n">
        <v>47448</v>
      </c>
      <c r="AB277" s="107" t="n">
        <v>24</v>
      </c>
      <c r="AC277" s="202" t="n"/>
      <c r="AD277" s="592" t="inlineStr">
        <is>
          <t>Yes</t>
        </is>
      </c>
      <c r="AE277" s="592" t="inlineStr">
        <is>
          <t>Yes</t>
        </is>
      </c>
      <c r="AF277" s="600" t="n"/>
      <c r="AG277" s="593" t="inlineStr">
        <is>
          <t>Phim còn hạn từ 2026</t>
        </is>
      </c>
      <c r="AH277" s="594" t="n"/>
      <c r="AI277" s="206" t="inlineStr">
        <is>
          <t>WEEKEND IN TAIPEI</t>
        </is>
      </c>
      <c r="AJ277" s="128">
        <f>SUMIF('TK 15661.Bản quyền phim '!F:F,'KK1. Movies'!D277,'TK 15661.Bản quyền phim '!X:X)</f>
        <v/>
      </c>
      <c r="AK277" s="128">
        <f>SUMIF('TK 15661.Bản quyền phim '!F:F,'KK1. Movies'!AI277,'TK 15661.Bản quyền phim '!X:X)</f>
        <v/>
      </c>
      <c r="AL277" s="203">
        <f>COUNTIF('242.BQ Phim hợp tác'!$C:$C,'KK1. Movies'!AI277)</f>
        <v/>
      </c>
      <c r="AM277" s="203">
        <f>COUNTIF('TK 15661.Bản quyền phim '!F:F,'KK1. Movies'!AI277)</f>
        <v/>
      </c>
      <c r="AN277" s="546">
        <f>AL277+AM277</f>
        <v/>
      </c>
      <c r="AO277" s="203" t="n"/>
      <c r="AP277" s="203" t="n"/>
      <c r="AQ277" s="203" t="n"/>
      <c r="AR277" s="203" t="n"/>
      <c r="AS277" s="203" t="n"/>
      <c r="AT277" s="546">
        <f>IFERROR(VLOOKUP(C277, CodeRanMovies!$A:$K, 11, 0), "Not found")</f>
        <v/>
      </c>
    </row>
    <row r="278" ht="26.4" customHeight="1" s="578">
      <c r="A278" s="201">
        <f>_xlfn.AGGREGATE(3,3,$D$7:D278)</f>
        <v/>
      </c>
      <c r="B278" s="606" t="inlineStr">
        <is>
          <t>n/a</t>
        </is>
      </c>
      <c r="C278" s="590" t="inlineStr">
        <is>
          <t>MOV_DRA747</t>
        </is>
      </c>
      <c r="D278" s="105" t="inlineStr">
        <is>
          <t>HEART’S MOTIVE</t>
        </is>
      </c>
      <c r="E278" s="590" t="inlineStr">
        <is>
          <t>Sự thật cuối cùng</t>
        </is>
      </c>
      <c r="F278" s="103" t="inlineStr">
        <is>
          <t>Drama/Suspense/Crime</t>
        </is>
      </c>
      <c r="G278" s="103" t="inlineStr">
        <is>
          <t>STK</t>
        </is>
      </c>
      <c r="H278" s="590" t="inlineStr">
        <is>
          <t>134/2024/HDBQ/VSTV-STK</t>
        </is>
      </c>
      <c r="I278" s="104" t="n">
        <v>2023</v>
      </c>
      <c r="J278" s="104" t="inlineStr">
        <is>
          <t>China</t>
        </is>
      </c>
      <c r="K278" s="104" t="n">
        <v>112</v>
      </c>
      <c r="L278" s="591" t="n">
        <v>45877</v>
      </c>
      <c r="M278" s="98" t="n">
        <v>46972</v>
      </c>
      <c r="N278" s="601" t="inlineStr">
        <is>
          <t>n/a</t>
        </is>
      </c>
      <c r="O278" s="592" t="n"/>
      <c r="P278" s="104" t="n">
        <v>12</v>
      </c>
      <c r="Q278" s="104" t="inlineStr">
        <is>
          <t>No</t>
        </is>
      </c>
      <c r="R278" s="592" t="inlineStr">
        <is>
          <t>Yes</t>
        </is>
      </c>
      <c r="S278" s="107" t="inlineStr">
        <is>
          <t>Yes</t>
        </is>
      </c>
      <c r="T278" s="592" t="inlineStr">
        <is>
          <t>Yes</t>
        </is>
      </c>
      <c r="U278" s="107" t="inlineStr">
        <is>
          <t>Yes</t>
        </is>
      </c>
      <c r="V278" s="107" t="inlineStr">
        <is>
          <t>Yes</t>
        </is>
      </c>
      <c r="W278" s="107" t="inlineStr">
        <is>
          <t>Yes</t>
        </is>
      </c>
      <c r="X278" s="107" t="inlineStr">
        <is>
          <t>Yes</t>
        </is>
      </c>
      <c r="Y278" s="104" t="inlineStr">
        <is>
          <t>Yes</t>
        </is>
      </c>
      <c r="Z278" s="113" t="n">
        <v>45877</v>
      </c>
      <c r="AA278" s="236" t="n">
        <v>46972</v>
      </c>
      <c r="AB278" s="104" t="n">
        <v>24</v>
      </c>
      <c r="AC278" s="202" t="n"/>
      <c r="AD278" s="592" t="inlineStr">
        <is>
          <t>Yes</t>
        </is>
      </c>
      <c r="AE278" s="592" t="inlineStr">
        <is>
          <t>Yes</t>
        </is>
      </c>
      <c r="AF278" s="600" t="n"/>
      <c r="AG278" s="593" t="inlineStr">
        <is>
          <t>Phim còn hạn từ 2026</t>
        </is>
      </c>
      <c r="AH278" s="594" t="n"/>
      <c r="AI278" s="206" t="inlineStr">
        <is>
          <t>HEART’S MOTIVE</t>
        </is>
      </c>
      <c r="AJ278" s="128">
        <f>SUMIF('TK 15661.Bản quyền phim '!F:F,'KK1. Movies'!D278,'TK 15661.Bản quyền phim '!X:X)</f>
        <v/>
      </c>
      <c r="AK278" s="128">
        <f>SUMIF('TK 15661.Bản quyền phim '!F:F,'KK1. Movies'!AI278,'TK 15661.Bản quyền phim '!X:X)</f>
        <v/>
      </c>
      <c r="AL278" s="203">
        <f>COUNTIF('242.BQ Phim hợp tác'!$C:$C,'KK1. Movies'!AI278)</f>
        <v/>
      </c>
      <c r="AM278" s="203">
        <f>COUNTIF('TK 15661.Bản quyền phim '!F:F,'KK1. Movies'!AI278)</f>
        <v/>
      </c>
      <c r="AN278" s="546">
        <f>AL278+AM278</f>
        <v/>
      </c>
      <c r="AO278" s="203" t="n"/>
      <c r="AP278" s="203" t="n"/>
      <c r="AQ278" s="203" t="n"/>
      <c r="AR278" s="203" t="n"/>
      <c r="AS278" s="203" t="n"/>
      <c r="AT278" s="546">
        <f>IFERROR(VLOOKUP(C278, CodeRanMovies!$A:$K, 11, 0), "Not found")</f>
        <v/>
      </c>
    </row>
    <row r="279" ht="26.4" customHeight="1" s="578">
      <c r="A279" s="201">
        <f>_xlfn.AGGREGATE(3,3,$D$7:D279)</f>
        <v/>
      </c>
      <c r="B279" s="606" t="inlineStr">
        <is>
          <t>n/a</t>
        </is>
      </c>
      <c r="C279" s="590" t="inlineStr">
        <is>
          <t>MOV_SCI21</t>
        </is>
      </c>
      <c r="D279" s="105" t="inlineStr">
        <is>
          <t>MOON MAN</t>
        </is>
      </c>
      <c r="E279" s="590" t="inlineStr">
        <is>
          <t>Một mình trên mặt trăng</t>
        </is>
      </c>
      <c r="F279" s="103" t="inlineStr">
        <is>
          <t>Comedy/Science Fiction</t>
        </is>
      </c>
      <c r="G279" s="103" t="inlineStr">
        <is>
          <t>STK</t>
        </is>
      </c>
      <c r="H279" s="590" t="inlineStr">
        <is>
          <t>134/2024/HDBQ/VSTV-STK</t>
        </is>
      </c>
      <c r="I279" s="104" t="n">
        <v>2022</v>
      </c>
      <c r="J279" s="104" t="inlineStr">
        <is>
          <t>China</t>
        </is>
      </c>
      <c r="K279" s="104" t="n">
        <v>122</v>
      </c>
      <c r="L279" s="591" t="n">
        <v>45884</v>
      </c>
      <c r="M279" s="98" t="n">
        <v>46979</v>
      </c>
      <c r="N279" s="601" t="inlineStr">
        <is>
          <t>n/a</t>
        </is>
      </c>
      <c r="O279" s="592" t="n"/>
      <c r="P279" s="104" t="n">
        <v>12</v>
      </c>
      <c r="Q279" s="104" t="inlineStr">
        <is>
          <t>No</t>
        </is>
      </c>
      <c r="R279" s="592" t="inlineStr">
        <is>
          <t>Yes</t>
        </is>
      </c>
      <c r="S279" s="107" t="inlineStr">
        <is>
          <t>Yes</t>
        </is>
      </c>
      <c r="T279" s="592" t="inlineStr">
        <is>
          <t>Yes</t>
        </is>
      </c>
      <c r="U279" s="107" t="inlineStr">
        <is>
          <t>Yes</t>
        </is>
      </c>
      <c r="V279" s="107" t="inlineStr">
        <is>
          <t>Yes</t>
        </is>
      </c>
      <c r="W279" s="107" t="inlineStr">
        <is>
          <t>Yes</t>
        </is>
      </c>
      <c r="X279" s="107" t="inlineStr">
        <is>
          <t>Yes</t>
        </is>
      </c>
      <c r="Y279" s="104" t="inlineStr">
        <is>
          <t>Yes</t>
        </is>
      </c>
      <c r="Z279" s="113" t="n">
        <v>45884</v>
      </c>
      <c r="AA279" s="236" t="n">
        <v>46979</v>
      </c>
      <c r="AB279" s="104" t="n">
        <v>24</v>
      </c>
      <c r="AC279" s="202" t="n"/>
      <c r="AD279" s="592" t="inlineStr">
        <is>
          <t>Yes</t>
        </is>
      </c>
      <c r="AE279" s="592" t="inlineStr">
        <is>
          <t>Yes</t>
        </is>
      </c>
      <c r="AF279" s="600" t="n"/>
      <c r="AG279" s="593" t="inlineStr">
        <is>
          <t>Phim còn hạn từ 2026</t>
        </is>
      </c>
      <c r="AH279" s="594" t="n"/>
      <c r="AI279" s="206" t="inlineStr">
        <is>
          <t>MOON MAN</t>
        </is>
      </c>
      <c r="AJ279" s="128">
        <f>SUMIF('TK 15661.Bản quyền phim '!F:F,'KK1. Movies'!D279,'TK 15661.Bản quyền phim '!X:X)</f>
        <v/>
      </c>
      <c r="AK279" s="128">
        <f>SUMIF('TK 15661.Bản quyền phim '!F:F,'KK1. Movies'!AI279,'TK 15661.Bản quyền phim '!X:X)</f>
        <v/>
      </c>
      <c r="AL279" s="203">
        <f>COUNTIF('242.BQ Phim hợp tác'!$C:$C,'KK1. Movies'!AI279)</f>
        <v/>
      </c>
      <c r="AM279" s="203">
        <f>COUNTIF('TK 15661.Bản quyền phim '!F:F,'KK1. Movies'!AI279)</f>
        <v/>
      </c>
      <c r="AN279" s="546">
        <f>AL279+AM279</f>
        <v/>
      </c>
      <c r="AO279" s="203" t="n"/>
      <c r="AP279" s="203" t="n"/>
      <c r="AQ279" s="203" t="n"/>
      <c r="AR279" s="203" t="n"/>
      <c r="AS279" s="203" t="n"/>
      <c r="AT279" s="546">
        <f>IFERROR(VLOOKUP(C279, CodeRanMovies!$A:$K, 11, 0), "Not found")</f>
        <v/>
      </c>
    </row>
    <row r="280" ht="26.4" customHeight="1" s="578">
      <c r="A280" s="201">
        <f>_xlfn.AGGREGATE(3,3,$D$7:D280)</f>
        <v/>
      </c>
      <c r="B280" s="606" t="inlineStr">
        <is>
          <t>n/a</t>
        </is>
      </c>
      <c r="C280" s="590" t="inlineStr">
        <is>
          <t>MOV_SPO7</t>
        </is>
      </c>
      <c r="D280" s="105" t="inlineStr">
        <is>
          <t>Lose to Win</t>
        </is>
      </c>
      <c r="E280" s="590" t="inlineStr">
        <is>
          <t>Đội bóng phèn</t>
        </is>
      </c>
      <c r="F280" s="103" t="inlineStr">
        <is>
          <t>Comedy/Sport</t>
        </is>
      </c>
      <c r="G280" s="103" t="inlineStr">
        <is>
          <t>STK</t>
        </is>
      </c>
      <c r="H280" s="590" t="inlineStr">
        <is>
          <t>134/2024/HDBQ/VSTV-STK</t>
        </is>
      </c>
      <c r="I280" s="104" t="n">
        <v>2023</v>
      </c>
      <c r="J280" s="104" t="inlineStr">
        <is>
          <t>China</t>
        </is>
      </c>
      <c r="K280" s="104" t="n">
        <v>134</v>
      </c>
      <c r="L280" s="591" t="n">
        <v>45896</v>
      </c>
      <c r="M280" s="98" t="n">
        <v>46991</v>
      </c>
      <c r="N280" s="601" t="inlineStr">
        <is>
          <t>n/a</t>
        </is>
      </c>
      <c r="O280" s="592" t="n"/>
      <c r="P280" s="104" t="n">
        <v>12</v>
      </c>
      <c r="Q280" s="104" t="inlineStr">
        <is>
          <t>No</t>
        </is>
      </c>
      <c r="R280" s="592" t="inlineStr">
        <is>
          <t>Yes</t>
        </is>
      </c>
      <c r="S280" s="107" t="inlineStr">
        <is>
          <t>Yes</t>
        </is>
      </c>
      <c r="T280" s="592" t="inlineStr">
        <is>
          <t>Yes</t>
        </is>
      </c>
      <c r="U280" s="107" t="inlineStr">
        <is>
          <t>Yes</t>
        </is>
      </c>
      <c r="V280" s="107" t="inlineStr">
        <is>
          <t>Yes</t>
        </is>
      </c>
      <c r="W280" s="107" t="inlineStr">
        <is>
          <t>Yes</t>
        </is>
      </c>
      <c r="X280" s="107" t="inlineStr">
        <is>
          <t>Yes</t>
        </is>
      </c>
      <c r="Y280" s="104" t="inlineStr">
        <is>
          <t>Yes</t>
        </is>
      </c>
      <c r="Z280" s="238" t="inlineStr">
        <is>
          <t xml:space="preserve"> 27-Aug-25</t>
        </is>
      </c>
      <c r="AA280" s="236" t="n">
        <v>46991</v>
      </c>
      <c r="AB280" s="104" t="n">
        <v>24</v>
      </c>
      <c r="AC280" s="202" t="n"/>
      <c r="AD280" s="592" t="inlineStr">
        <is>
          <t>Yes</t>
        </is>
      </c>
      <c r="AE280" s="592" t="inlineStr">
        <is>
          <t>Yes</t>
        </is>
      </c>
      <c r="AF280" s="600" t="n"/>
      <c r="AG280" s="593" t="inlineStr">
        <is>
          <t>Phim còn hạn từ 2026</t>
        </is>
      </c>
      <c r="AH280" s="594" t="n"/>
      <c r="AI280" s="206" t="inlineStr">
        <is>
          <t>Lose to Win</t>
        </is>
      </c>
      <c r="AJ280" s="128">
        <f>SUMIF('TK 15661.Bản quyền phim '!F:F,'KK1. Movies'!D280,'TK 15661.Bản quyền phim '!X:X)</f>
        <v/>
      </c>
      <c r="AK280" s="128">
        <f>SUMIF('TK 15661.Bản quyền phim '!F:F,'KK1. Movies'!AI280,'TK 15661.Bản quyền phim '!X:X)</f>
        <v/>
      </c>
      <c r="AL280" s="203">
        <f>COUNTIF('242.BQ Phim hợp tác'!$C:$C,'KK1. Movies'!AI280)</f>
        <v/>
      </c>
      <c r="AM280" s="203">
        <f>COUNTIF('TK 15661.Bản quyền phim '!F:F,'KK1. Movies'!AI280)</f>
        <v/>
      </c>
      <c r="AN280" s="546">
        <f>AL280+AM280</f>
        <v/>
      </c>
      <c r="AO280" s="203" t="n"/>
      <c r="AP280" s="203" t="n"/>
      <c r="AQ280" s="203" t="n"/>
      <c r="AR280" s="203" t="n"/>
      <c r="AS280" s="203" t="n"/>
      <c r="AT280" s="546">
        <f>IFERROR(VLOOKUP(C280, CodeRanMovies!$A:$K, 11, 0), "Not found")</f>
        <v/>
      </c>
    </row>
    <row r="281" ht="26.4" customHeight="1" s="578">
      <c r="A281" s="201">
        <f>_xlfn.AGGREGATE(3,3,$D$7:D281)</f>
        <v/>
      </c>
      <c r="B281" s="606" t="inlineStr">
        <is>
          <t>n/a</t>
        </is>
      </c>
      <c r="C281" s="234" t="inlineStr">
        <is>
          <t>MOV_DRA748</t>
        </is>
      </c>
      <c r="D281" s="105" t="inlineStr">
        <is>
          <t>HI，MOM</t>
        </is>
      </c>
      <c r="E281" s="590" t="inlineStr">
        <is>
          <t>Xin chào, Lý Hoán Anh</t>
        </is>
      </c>
      <c r="F281" s="103" t="inlineStr">
        <is>
          <t xml:space="preserve">Comedy/Drama </t>
        </is>
      </c>
      <c r="G281" s="103" t="inlineStr">
        <is>
          <t>STK</t>
        </is>
      </c>
      <c r="H281" s="590" t="inlineStr">
        <is>
          <t>134/2024/HDBQ/VSTV-STK</t>
        </is>
      </c>
      <c r="I281" s="104" t="n">
        <v>2021</v>
      </c>
      <c r="J281" s="104" t="inlineStr">
        <is>
          <t>China</t>
        </is>
      </c>
      <c r="K281" s="104" t="n">
        <v>128</v>
      </c>
      <c r="L281" s="591" t="n">
        <v>45945</v>
      </c>
      <c r="M281" s="98" t="n">
        <v>47040</v>
      </c>
      <c r="N281" s="601" t="inlineStr">
        <is>
          <t>n/a</t>
        </is>
      </c>
      <c r="O281" s="592" t="n"/>
      <c r="P281" s="104" t="n">
        <v>12</v>
      </c>
      <c r="Q281" s="104" t="inlineStr">
        <is>
          <t>No</t>
        </is>
      </c>
      <c r="R281" s="592" t="inlineStr">
        <is>
          <t>Yes</t>
        </is>
      </c>
      <c r="S281" s="107" t="inlineStr">
        <is>
          <t>Yes</t>
        </is>
      </c>
      <c r="T281" s="592" t="inlineStr">
        <is>
          <t>Yes</t>
        </is>
      </c>
      <c r="U281" s="107" t="inlineStr">
        <is>
          <t>Yes</t>
        </is>
      </c>
      <c r="V281" s="107" t="inlineStr">
        <is>
          <t>Yes</t>
        </is>
      </c>
      <c r="W281" s="107" t="inlineStr">
        <is>
          <t>Yes</t>
        </is>
      </c>
      <c r="X281" s="107" t="inlineStr">
        <is>
          <t>Yes</t>
        </is>
      </c>
      <c r="Y281" s="104" t="inlineStr">
        <is>
          <t>Yes</t>
        </is>
      </c>
      <c r="Z281" s="113" t="n">
        <v>45945</v>
      </c>
      <c r="AA281" s="236" t="n">
        <v>47040</v>
      </c>
      <c r="AB281" s="104" t="n">
        <v>24</v>
      </c>
      <c r="AC281" s="202" t="n"/>
      <c r="AD281" s="592" t="inlineStr">
        <is>
          <t>Yes</t>
        </is>
      </c>
      <c r="AE281" s="592" t="inlineStr">
        <is>
          <t>Yes</t>
        </is>
      </c>
      <c r="AF281" s="600" t="n"/>
      <c r="AG281" s="593" t="inlineStr">
        <is>
          <t>Phim còn hạn từ 2026</t>
        </is>
      </c>
      <c r="AH281" s="594" t="n"/>
      <c r="AI281" s="206" t="inlineStr">
        <is>
          <t>HI, MOM</t>
        </is>
      </c>
      <c r="AJ281" s="128">
        <f>SUMIF('TK 15661.Bản quyền phim '!F:F,'KK1. Movies'!D281,'TK 15661.Bản quyền phim '!X:X)</f>
        <v/>
      </c>
      <c r="AK281" s="128">
        <f>SUMIF('TK 15661.Bản quyền phim '!F:F,'KK1. Movies'!AI281,'TK 15661.Bản quyền phim '!X:X)</f>
        <v/>
      </c>
      <c r="AL281" s="203">
        <f>COUNTIF('242.BQ Phim hợp tác'!$C:$C,'KK1. Movies'!AI281)</f>
        <v/>
      </c>
      <c r="AM281" s="203">
        <f>COUNTIF('TK 15661.Bản quyền phim '!F:F,'KK1. Movies'!AI281)</f>
        <v/>
      </c>
      <c r="AN281" s="546">
        <f>AL281+AM281</f>
        <v/>
      </c>
      <c r="AO281" s="203" t="n"/>
      <c r="AP281" s="203" t="n"/>
      <c r="AQ281" s="203" t="n"/>
      <c r="AR281" s="203" t="n"/>
      <c r="AS281" s="203" t="n"/>
      <c r="AT281" s="546">
        <f>IFERROR(VLOOKUP(C281, CodeRanMovies!$A:$K, 11, 0), "Not found")</f>
        <v/>
      </c>
    </row>
    <row r="282" ht="26.4" customHeight="1" s="578">
      <c r="A282" s="201">
        <f>_xlfn.AGGREGATE(3,3,$D$7:D282)</f>
        <v/>
      </c>
      <c r="B282" s="606" t="inlineStr">
        <is>
          <t>n/a</t>
        </is>
      </c>
      <c r="C282" s="590" t="inlineStr">
        <is>
          <t>MOV_ACT599</t>
        </is>
      </c>
      <c r="D282" s="105" t="inlineStr">
        <is>
          <t>The Asset/ The Protégé</t>
        </is>
      </c>
      <c r="E282" s="97" t="inlineStr">
        <is>
          <t>Nữ sát thủ báo thù</t>
        </is>
      </c>
      <c r="F282" s="103" t="inlineStr">
        <is>
          <t xml:space="preserve">Action </t>
        </is>
      </c>
      <c r="G282" s="103" t="inlineStr">
        <is>
          <t>Rose</t>
        </is>
      </c>
      <c r="H282" s="590" t="inlineStr">
        <is>
          <t>4/2025/HDBQ/VSTV-RM</t>
        </is>
      </c>
      <c r="I282" s="104" t="n">
        <v>2021</v>
      </c>
      <c r="J282" s="104" t="inlineStr">
        <is>
          <t>US</t>
        </is>
      </c>
      <c r="K282" s="104" t="n">
        <v>100</v>
      </c>
      <c r="L282" s="591" t="n">
        <v>45694</v>
      </c>
      <c r="M282" s="106" t="n">
        <v>46788</v>
      </c>
      <c r="N282" s="601" t="inlineStr">
        <is>
          <t>n/a</t>
        </is>
      </c>
      <c r="O282" s="592" t="n"/>
      <c r="P282" s="104" t="n">
        <v>12</v>
      </c>
      <c r="Q282" s="104" t="inlineStr">
        <is>
          <t>No</t>
        </is>
      </c>
      <c r="R282" s="592" t="inlineStr">
        <is>
          <t>Yes</t>
        </is>
      </c>
      <c r="S282" s="107" t="inlineStr">
        <is>
          <t>Yes</t>
        </is>
      </c>
      <c r="T282" s="592" t="inlineStr">
        <is>
          <t>Yes</t>
        </is>
      </c>
      <c r="U282" s="107" t="inlineStr">
        <is>
          <t>Yes</t>
        </is>
      </c>
      <c r="V282" s="107" t="inlineStr">
        <is>
          <t>Yes</t>
        </is>
      </c>
      <c r="W282" s="107" t="inlineStr">
        <is>
          <t>Yes</t>
        </is>
      </c>
      <c r="X282" s="107" t="inlineStr">
        <is>
          <t>Yes</t>
        </is>
      </c>
      <c r="Y282" s="104" t="inlineStr">
        <is>
          <t>Yes</t>
        </is>
      </c>
      <c r="Z282" s="591" t="n">
        <v>45694</v>
      </c>
      <c r="AA282" s="106" t="n">
        <v>46788</v>
      </c>
      <c r="AB282" s="104" t="n">
        <v>24</v>
      </c>
      <c r="AC282" s="202" t="n"/>
      <c r="AD282" s="592" t="inlineStr">
        <is>
          <t>Yes</t>
        </is>
      </c>
      <c r="AE282" s="592" t="inlineStr">
        <is>
          <t>Yes</t>
        </is>
      </c>
      <c r="AF282" s="600" t="n"/>
      <c r="AG282" s="593" t="inlineStr">
        <is>
          <t>Phim còn hạn từ 2026</t>
        </is>
      </c>
      <c r="AH282" s="594" t="n"/>
      <c r="AI282" s="206" t="inlineStr">
        <is>
          <t>The Asset/The Protégé</t>
        </is>
      </c>
      <c r="AJ282" s="128">
        <f>SUMIF('TK 15661.Bản quyền phim '!F:F,'KK1. Movies'!D282,'TK 15661.Bản quyền phim '!X:X)</f>
        <v/>
      </c>
      <c r="AK282" s="128">
        <f>SUMIF('TK 15661.Bản quyền phim '!F:F,'KK1. Movies'!AI282,'TK 15661.Bản quyền phim '!X:X)</f>
        <v/>
      </c>
      <c r="AL282" s="203">
        <f>COUNTIF('242.BQ Phim hợp tác'!$C:$C,'KK1. Movies'!AI282)</f>
        <v/>
      </c>
      <c r="AM282" s="203">
        <f>COUNTIF('TK 15661.Bản quyền phim '!F:F,'KK1. Movies'!AI282)</f>
        <v/>
      </c>
      <c r="AN282" s="546">
        <f>AL282+AM282</f>
        <v/>
      </c>
      <c r="AO282" s="203" t="n"/>
      <c r="AP282" s="203" t="n"/>
      <c r="AQ282" s="203" t="n"/>
      <c r="AR282" s="203" t="n"/>
      <c r="AS282" s="203" t="n"/>
      <c r="AT282" s="546">
        <f>IFERROR(VLOOKUP(C282, CodeRanMovies!$A:$K, 11, 0), "Not found")</f>
        <v/>
      </c>
    </row>
    <row r="283">
      <c r="A283" s="201">
        <f>_xlfn.AGGREGATE(3,3,$D$7:D283)</f>
        <v/>
      </c>
      <c r="B283" s="606" t="inlineStr">
        <is>
          <t>n/a</t>
        </is>
      </c>
      <c r="C283" s="590" t="inlineStr">
        <is>
          <t>MOV_FAN29</t>
        </is>
      </c>
      <c r="D283" s="105" t="inlineStr">
        <is>
          <t>Gretel and Hansel</t>
        </is>
      </c>
      <c r="E283" s="97" t="inlineStr">
        <is>
          <t xml:space="preserve">Gretel và Hansel </t>
        </is>
      </c>
      <c r="F283" s="103" t="inlineStr">
        <is>
          <t>Thriller</t>
        </is>
      </c>
      <c r="G283" s="103" t="inlineStr">
        <is>
          <t>Rose</t>
        </is>
      </c>
      <c r="H283" s="590" t="inlineStr">
        <is>
          <t>4/2025/HDBQ/VSTV-RM</t>
        </is>
      </c>
      <c r="I283" s="104" t="n">
        <v>2020</v>
      </c>
      <c r="J283" s="104" t="inlineStr">
        <is>
          <t>US</t>
        </is>
      </c>
      <c r="K283" s="104" t="n">
        <v>84</v>
      </c>
      <c r="L283" s="591" t="n">
        <v>45932</v>
      </c>
      <c r="M283" s="98" t="n">
        <v>46965</v>
      </c>
      <c r="N283" s="601" t="inlineStr">
        <is>
          <t>n/a</t>
        </is>
      </c>
      <c r="O283" s="592" t="n"/>
      <c r="P283" s="104" t="n">
        <v>12</v>
      </c>
      <c r="Q283" s="104" t="inlineStr">
        <is>
          <t>No</t>
        </is>
      </c>
      <c r="R283" s="592" t="inlineStr">
        <is>
          <t>Yes</t>
        </is>
      </c>
      <c r="S283" s="107" t="inlineStr">
        <is>
          <t>Yes</t>
        </is>
      </c>
      <c r="T283" s="592" t="inlineStr">
        <is>
          <t>Yes</t>
        </is>
      </c>
      <c r="U283" s="107" t="inlineStr">
        <is>
          <t>Yes</t>
        </is>
      </c>
      <c r="V283" s="107" t="inlineStr">
        <is>
          <t>Yes</t>
        </is>
      </c>
      <c r="W283" s="107" t="inlineStr">
        <is>
          <t>Yes</t>
        </is>
      </c>
      <c r="X283" s="107" t="inlineStr">
        <is>
          <t>Yes</t>
        </is>
      </c>
      <c r="Y283" s="104" t="inlineStr">
        <is>
          <t>Yes</t>
        </is>
      </c>
      <c r="Z283" s="591" t="n">
        <v>45932</v>
      </c>
      <c r="AA283" s="98" t="n">
        <v>46965</v>
      </c>
      <c r="AB283" s="104" t="n">
        <v>24</v>
      </c>
      <c r="AC283" s="202" t="n"/>
      <c r="AD283" s="592" t="inlineStr">
        <is>
          <t>Yes</t>
        </is>
      </c>
      <c r="AE283" s="592" t="inlineStr">
        <is>
          <t>Yes</t>
        </is>
      </c>
      <c r="AF283" s="600" t="n"/>
      <c r="AG283" s="593" t="inlineStr">
        <is>
          <t>Phim còn hạn từ 2026</t>
        </is>
      </c>
      <c r="AH283" s="594" t="n"/>
      <c r="AI283" s="206" t="inlineStr">
        <is>
          <t>Gretel and Hansel</t>
        </is>
      </c>
      <c r="AJ283" s="128">
        <f>SUMIF('TK 15661.Bản quyền phim '!F:F,'KK1. Movies'!D283,'TK 15661.Bản quyền phim '!X:X)</f>
        <v/>
      </c>
      <c r="AK283" s="128">
        <f>SUMIF('TK 15661.Bản quyền phim '!F:F,'KK1. Movies'!AI283,'TK 15661.Bản quyền phim '!X:X)</f>
        <v/>
      </c>
      <c r="AL283" s="203">
        <f>COUNTIF('242.BQ Phim hợp tác'!$C:$C,'KK1. Movies'!AI283)</f>
        <v/>
      </c>
      <c r="AM283" s="203">
        <f>COUNTIF('TK 15661.Bản quyền phim '!F:F,'KK1. Movies'!AI283)</f>
        <v/>
      </c>
      <c r="AN283" s="546">
        <f>AL283+AM283</f>
        <v/>
      </c>
      <c r="AO283" s="203" t="n"/>
      <c r="AP283" s="203" t="n"/>
      <c r="AQ283" s="203" t="n"/>
      <c r="AR283" s="203" t="n"/>
      <c r="AS283" s="203" t="n"/>
      <c r="AT283" s="546">
        <f>IFERROR(VLOOKUP(C283, CodeRanMovies!$A:$K, 11, 0), "Not found")</f>
        <v/>
      </c>
    </row>
    <row r="284" ht="26.4" customHeight="1" s="578">
      <c r="A284" s="201">
        <f>_xlfn.AGGREGATE(3,3,$D$7:D284)</f>
        <v/>
      </c>
      <c r="B284" s="606" t="inlineStr">
        <is>
          <t>n/a</t>
        </is>
      </c>
      <c r="C284" s="590" t="inlineStr">
        <is>
          <t>MOV_DRA758</t>
        </is>
      </c>
      <c r="D284" s="105" t="inlineStr">
        <is>
          <t>Murder In The Lens</t>
        </is>
      </c>
      <c r="E284" s="97" t="inlineStr">
        <is>
          <t>Ống kính sát nhân</t>
        </is>
      </c>
      <c r="F284" s="590" t="inlineStr">
        <is>
          <t>Crime, Thriller</t>
        </is>
      </c>
      <c r="G284" s="103" t="inlineStr">
        <is>
          <t xml:space="preserve">Mocking Bird </t>
        </is>
      </c>
      <c r="H284" s="590" t="inlineStr">
        <is>
          <t>10/2025/HDBQ/VSTV-Mockingbird</t>
        </is>
      </c>
      <c r="I284" s="104" t="n">
        <v>2018</v>
      </c>
      <c r="J284" s="592" t="inlineStr">
        <is>
          <t>Việt Nam</t>
        </is>
      </c>
      <c r="K284" s="104" t="n">
        <v>110</v>
      </c>
      <c r="L284" s="591" t="n">
        <v>45947</v>
      </c>
      <c r="M284" s="106" t="n">
        <v>47042</v>
      </c>
      <c r="N284" s="601" t="inlineStr">
        <is>
          <t>n/a</t>
        </is>
      </c>
      <c r="O284" s="592" t="n"/>
      <c r="P284" s="592" t="n"/>
      <c r="Q284" s="104" t="inlineStr">
        <is>
          <t>No</t>
        </is>
      </c>
      <c r="R284" s="592" t="inlineStr">
        <is>
          <t>Yes</t>
        </is>
      </c>
      <c r="S284" s="107" t="inlineStr">
        <is>
          <t>Yes</t>
        </is>
      </c>
      <c r="T284" s="592" t="inlineStr">
        <is>
          <t>Yes</t>
        </is>
      </c>
      <c r="U284" s="107" t="inlineStr">
        <is>
          <t>Yes</t>
        </is>
      </c>
      <c r="V284" s="107" t="inlineStr">
        <is>
          <t>Yes</t>
        </is>
      </c>
      <c r="W284" s="107" t="inlineStr">
        <is>
          <t>Yes</t>
        </is>
      </c>
      <c r="X284" s="107" t="inlineStr">
        <is>
          <t>Yes</t>
        </is>
      </c>
      <c r="Y284" s="107" t="inlineStr">
        <is>
          <t>Yes</t>
        </is>
      </c>
      <c r="Z284" s="106" t="n">
        <v>45947</v>
      </c>
      <c r="AA284" s="124" t="n">
        <v>47042</v>
      </c>
      <c r="AB284" s="104" t="n">
        <v>24</v>
      </c>
      <c r="AC284" s="202" t="n"/>
      <c r="AD284" s="592" t="inlineStr">
        <is>
          <t>Yes</t>
        </is>
      </c>
      <c r="AE284" s="592" t="inlineStr">
        <is>
          <t>Yes</t>
        </is>
      </c>
      <c r="AF284" s="600" t="n"/>
      <c r="AG284" s="593" t="inlineStr">
        <is>
          <t>Phim còn hạn từ 2026</t>
        </is>
      </c>
      <c r="AH284" s="594" t="n"/>
      <c r="AI284" s="206" t="inlineStr">
        <is>
          <t>Murder In The Lens</t>
        </is>
      </c>
      <c r="AJ284" s="128">
        <f>SUMIF('TK 15661.Bản quyền phim '!F:F,'KK1. Movies'!D284,'TK 15661.Bản quyền phim '!X:X)</f>
        <v/>
      </c>
      <c r="AK284" s="128">
        <f>SUMIF('TK 15661.Bản quyền phim '!F:F,'KK1. Movies'!AI284,'TK 15661.Bản quyền phim '!X:X)</f>
        <v/>
      </c>
      <c r="AL284" s="203">
        <f>COUNTIF('242.BQ Phim hợp tác'!$C:$C,'KK1. Movies'!AI284)</f>
        <v/>
      </c>
      <c r="AM284" s="203">
        <f>COUNTIF('TK 15661.Bản quyền phim '!F:F,'KK1. Movies'!AI284)</f>
        <v/>
      </c>
      <c r="AN284" s="546">
        <f>AL284+AM284</f>
        <v/>
      </c>
      <c r="AO284" s="203" t="n"/>
      <c r="AP284" s="203" t="n"/>
      <c r="AQ284" s="203" t="n"/>
      <c r="AR284" s="203" t="n"/>
      <c r="AS284" s="203" t="n"/>
      <c r="AT284" s="546">
        <f>IFERROR(VLOOKUP(C284, CodeRanMovies!$A:$K, 11, 0), "Not found")</f>
        <v/>
      </c>
    </row>
    <row r="285" ht="26.4" customHeight="1" s="578">
      <c r="A285" s="201">
        <f>_xlfn.AGGREGATE(3,3,$D$7:D285)</f>
        <v/>
      </c>
      <c r="B285" s="606" t="inlineStr">
        <is>
          <t>n/a</t>
        </is>
      </c>
      <c r="C285" s="590" t="inlineStr">
        <is>
          <t>MOV_DRA755</t>
        </is>
      </c>
      <c r="D285" s="105" t="inlineStr">
        <is>
          <t>A DOG'S JOURNEY</t>
        </is>
      </c>
      <c r="E285" s="110" t="inlineStr">
        <is>
          <t>Hành trình của một chú chó</t>
        </is>
      </c>
      <c r="F285" s="590" t="inlineStr">
        <is>
          <t>Drama</t>
        </is>
      </c>
      <c r="G285" s="103" t="inlineStr">
        <is>
          <t>CJ HK</t>
        </is>
      </c>
      <c r="H285" s="590" t="inlineStr">
        <is>
          <t>15/2025/HDBQ/VSTV-CJHK</t>
        </is>
      </c>
      <c r="I285" s="104" t="n">
        <v>2024</v>
      </c>
      <c r="J285" s="104" t="inlineStr">
        <is>
          <t>US</t>
        </is>
      </c>
      <c r="K285" s="104" t="n">
        <v>96</v>
      </c>
      <c r="L285" s="591" t="n">
        <v>45882</v>
      </c>
      <c r="M285" s="106" t="n">
        <v>46977</v>
      </c>
      <c r="N285" s="591" t="n"/>
      <c r="O285" s="592" t="n"/>
      <c r="P285" s="104" t="n">
        <v>12</v>
      </c>
      <c r="Q285" s="104" t="inlineStr">
        <is>
          <t>No</t>
        </is>
      </c>
      <c r="R285" s="104" t="inlineStr">
        <is>
          <t>Yes</t>
        </is>
      </c>
      <c r="S285" s="104" t="inlineStr">
        <is>
          <t>Yes</t>
        </is>
      </c>
      <c r="T285" s="592" t="inlineStr">
        <is>
          <t>Yes</t>
        </is>
      </c>
      <c r="U285" s="104" t="inlineStr">
        <is>
          <t>Yes</t>
        </is>
      </c>
      <c r="V285" s="104" t="inlineStr">
        <is>
          <t>Yes</t>
        </is>
      </c>
      <c r="W285" s="104" t="inlineStr">
        <is>
          <t>Yes</t>
        </is>
      </c>
      <c r="X285" s="104" t="inlineStr">
        <is>
          <t>Yes</t>
        </is>
      </c>
      <c r="Y285" s="104" t="inlineStr">
        <is>
          <t>Yes</t>
        </is>
      </c>
      <c r="Z285" s="106" t="n">
        <v>45882</v>
      </c>
      <c r="AA285" s="124" t="n">
        <v>46977</v>
      </c>
      <c r="AB285" s="104" t="inlineStr">
        <is>
          <t xml:space="preserve">Unlimited </t>
        </is>
      </c>
      <c r="AC285" s="202" t="n"/>
      <c r="AD285" s="592" t="inlineStr">
        <is>
          <t>Yes</t>
        </is>
      </c>
      <c r="AE285" s="592" t="inlineStr">
        <is>
          <t>Yes</t>
        </is>
      </c>
      <c r="AF285" s="600" t="n"/>
      <c r="AG285" s="593" t="inlineStr">
        <is>
          <t>Phim còn hạn từ 2026</t>
        </is>
      </c>
      <c r="AH285" s="594" t="n"/>
      <c r="AI285" s="206" t="inlineStr">
        <is>
          <t>A DOG'S JOURNEY</t>
        </is>
      </c>
      <c r="AJ285" s="128">
        <f>SUMIF('TK 15661.Bản quyền phim '!F:F,'KK1. Movies'!D285,'TK 15661.Bản quyền phim '!X:X)</f>
        <v/>
      </c>
      <c r="AK285" s="128">
        <f>SUMIF('TK 15661.Bản quyền phim '!F:F,'KK1. Movies'!AI285,'TK 15661.Bản quyền phim '!X:X)</f>
        <v/>
      </c>
      <c r="AL285" s="203">
        <f>COUNTIF('242.BQ Phim hợp tác'!$C:$C,'KK1. Movies'!AI285)</f>
        <v/>
      </c>
      <c r="AM285" s="203">
        <f>COUNTIF('TK 15661.Bản quyền phim '!F:F,'KK1. Movies'!AI285)</f>
        <v/>
      </c>
      <c r="AN285" s="546">
        <f>AL285+AM285</f>
        <v/>
      </c>
      <c r="AO285" s="203" t="n"/>
      <c r="AP285" s="203" t="n"/>
      <c r="AQ285" s="203" t="n"/>
      <c r="AR285" s="203" t="n"/>
      <c r="AS285" s="203" t="n"/>
      <c r="AT285" s="546">
        <f>IFERROR(VLOOKUP(C285, CodeRanMovies!$A:$K, 11, 0), "Not found")</f>
        <v/>
      </c>
    </row>
    <row r="286" ht="26.4" customHeight="1" s="578">
      <c r="A286" s="201">
        <f>_xlfn.AGGREGATE(3,3,$D$7:D286)</f>
        <v/>
      </c>
      <c r="B286" s="606" t="inlineStr">
        <is>
          <t>n/a</t>
        </is>
      </c>
      <c r="C286" s="234" t="inlineStr">
        <is>
          <t>MOV_ANI85</t>
        </is>
      </c>
      <c r="D286" s="105" t="inlineStr">
        <is>
          <t>Little Eggs: A Frozen Rescue</t>
        </is>
      </c>
      <c r="E286" s="110" t="inlineStr">
        <is>
          <t>Bố gà siêu đỉnh: Trận chiến trên băng</t>
        </is>
      </c>
      <c r="F286" s="590" t="inlineStr">
        <is>
          <t>animation</t>
        </is>
      </c>
      <c r="G286" s="103" t="inlineStr">
        <is>
          <t>CJ HK</t>
        </is>
      </c>
      <c r="H286" s="590" t="inlineStr">
        <is>
          <t>15/2025/HDBQ/VSTV-CJHK</t>
        </is>
      </c>
      <c r="I286" s="104" t="n">
        <v>2024</v>
      </c>
      <c r="J286" s="600" t="inlineStr">
        <is>
          <t>Mexico</t>
        </is>
      </c>
      <c r="K286" s="104" t="n">
        <v>87</v>
      </c>
      <c r="L286" s="591" t="n">
        <v>46004</v>
      </c>
      <c r="M286" s="106" t="n">
        <v>47099</v>
      </c>
      <c r="N286" s="601" t="n"/>
      <c r="O286" s="592" t="n"/>
      <c r="P286" s="104" t="n">
        <v>12</v>
      </c>
      <c r="Q286" s="104" t="inlineStr">
        <is>
          <t>No</t>
        </is>
      </c>
      <c r="R286" s="104" t="inlineStr">
        <is>
          <t>Yes</t>
        </is>
      </c>
      <c r="S286" s="104" t="inlineStr">
        <is>
          <t>Yes</t>
        </is>
      </c>
      <c r="T286" s="104" t="inlineStr">
        <is>
          <t>Yes</t>
        </is>
      </c>
      <c r="U286" s="104" t="inlineStr">
        <is>
          <t>Yes</t>
        </is>
      </c>
      <c r="V286" s="104" t="inlineStr">
        <is>
          <t>Yes</t>
        </is>
      </c>
      <c r="W286" s="104" t="inlineStr">
        <is>
          <t>Yes</t>
        </is>
      </c>
      <c r="X286" s="104" t="inlineStr">
        <is>
          <t>Yes</t>
        </is>
      </c>
      <c r="Y286" s="104" t="inlineStr">
        <is>
          <t>Yes</t>
        </is>
      </c>
      <c r="Z286" s="106" t="n">
        <v>46004</v>
      </c>
      <c r="AA286" s="124" t="n">
        <v>47099</v>
      </c>
      <c r="AB286" s="104" t="inlineStr">
        <is>
          <t xml:space="preserve">Unlimited </t>
        </is>
      </c>
      <c r="AC286" s="202" t="n">
        <v>10</v>
      </c>
      <c r="AD286" s="592" t="inlineStr">
        <is>
          <t>Yes</t>
        </is>
      </c>
      <c r="AE286" s="592" t="inlineStr">
        <is>
          <t>Yes</t>
        </is>
      </c>
      <c r="AF286" s="600" t="n"/>
      <c r="AG286" s="593" t="inlineStr">
        <is>
          <t>Phim còn hạn từ 2026</t>
        </is>
      </c>
      <c r="AH286" s="594" t="n"/>
      <c r="AI286" s="206" t="inlineStr">
        <is>
          <t>Little Eggs: A Frozen Rescue</t>
        </is>
      </c>
      <c r="AJ286" s="128">
        <f>SUMIF('TK 15661.Bản quyền phim '!F:F,'KK1. Movies'!D286,'TK 15661.Bản quyền phim '!X:X)</f>
        <v/>
      </c>
      <c r="AK286" s="128">
        <f>SUMIF('TK 15661.Bản quyền phim '!F:F,'KK1. Movies'!AI286,'TK 15661.Bản quyền phim '!X:X)</f>
        <v/>
      </c>
      <c r="AL286" s="203">
        <f>COUNTIF('242.BQ Phim hợp tác'!$C:$C,'KK1. Movies'!AI286)</f>
        <v/>
      </c>
      <c r="AM286" s="203">
        <f>COUNTIF('TK 15661.Bản quyền phim '!F:F,'KK1. Movies'!AI286)</f>
        <v/>
      </c>
      <c r="AN286" s="546">
        <f>AL286+AM286</f>
        <v/>
      </c>
      <c r="AO286" s="203" t="n"/>
      <c r="AP286" s="203" t="n"/>
      <c r="AQ286" s="203" t="n"/>
      <c r="AR286" s="203" t="n"/>
      <c r="AS286" s="203" t="n"/>
      <c r="AT286" s="546">
        <f>IFERROR(VLOOKUP(C286, CodeRanMovies!$A:$K, 11, 0), "Not found")</f>
        <v/>
      </c>
    </row>
    <row r="287" ht="26.4" customHeight="1" s="578">
      <c r="A287" s="201">
        <f>_xlfn.AGGREGATE(3,3,$D$7:D287)</f>
        <v/>
      </c>
      <c r="B287" s="606" t="inlineStr">
        <is>
          <t>n/a</t>
        </is>
      </c>
      <c r="C287" s="234" t="inlineStr">
        <is>
          <t>MOV_COM295</t>
        </is>
      </c>
      <c r="D287" s="105" t="inlineStr">
        <is>
          <t>THE GOOD HOUSE</t>
        </is>
      </c>
      <c r="E287" s="110" t="inlineStr">
        <is>
          <t>Ngôi nhà tốt lành</t>
        </is>
      </c>
      <c r="F287" s="590" t="inlineStr">
        <is>
          <t>Drama</t>
        </is>
      </c>
      <c r="G287" s="103" t="inlineStr">
        <is>
          <t>CJ HK</t>
        </is>
      </c>
      <c r="H287" s="590" t="inlineStr">
        <is>
          <t>15/2025/HDBQ/VSTV-CJHK</t>
        </is>
      </c>
      <c r="I287" s="104" t="n">
        <v>2018</v>
      </c>
      <c r="J287" s="104" t="inlineStr">
        <is>
          <t>US</t>
        </is>
      </c>
      <c r="K287" s="104" t="n">
        <v>109</v>
      </c>
      <c r="L287" s="591" t="n">
        <v>46003</v>
      </c>
      <c r="M287" s="106" t="n">
        <v>47098</v>
      </c>
      <c r="N287" s="601" t="n"/>
      <c r="O287" s="592" t="n"/>
      <c r="P287" s="104" t="n">
        <v>12</v>
      </c>
      <c r="Q287" s="104" t="inlineStr">
        <is>
          <t>No</t>
        </is>
      </c>
      <c r="R287" s="104" t="inlineStr">
        <is>
          <t>Yes</t>
        </is>
      </c>
      <c r="S287" s="104" t="inlineStr">
        <is>
          <t>Yes</t>
        </is>
      </c>
      <c r="T287" s="592" t="inlineStr">
        <is>
          <t>Yes</t>
        </is>
      </c>
      <c r="U287" s="104" t="inlineStr">
        <is>
          <t>Yes</t>
        </is>
      </c>
      <c r="V287" s="104" t="inlineStr">
        <is>
          <t>Yes</t>
        </is>
      </c>
      <c r="W287" s="104" t="inlineStr">
        <is>
          <t>Yes</t>
        </is>
      </c>
      <c r="X287" s="104" t="inlineStr">
        <is>
          <t>Yes</t>
        </is>
      </c>
      <c r="Y287" s="104" t="inlineStr">
        <is>
          <t>Yes</t>
        </is>
      </c>
      <c r="Z287" s="106" t="n">
        <v>46003</v>
      </c>
      <c r="AA287" s="124" t="n">
        <v>47098</v>
      </c>
      <c r="AB287" s="104" t="inlineStr">
        <is>
          <t xml:space="preserve">Unlimited </t>
        </is>
      </c>
      <c r="AC287" s="202" t="n"/>
      <c r="AD287" s="592" t="inlineStr">
        <is>
          <t>Yes</t>
        </is>
      </c>
      <c r="AE287" s="592" t="inlineStr">
        <is>
          <t>Yes</t>
        </is>
      </c>
      <c r="AF287" s="600" t="n"/>
      <c r="AG287" s="593" t="inlineStr">
        <is>
          <t>Phim còn hạn từ 2026</t>
        </is>
      </c>
      <c r="AH287" s="594" t="n"/>
      <c r="AI287" s="206" t="inlineStr">
        <is>
          <t>THE GOOD HOUSE</t>
        </is>
      </c>
      <c r="AJ287" s="128">
        <f>SUMIF('TK 15661.Bản quyền phim '!F:F,'KK1. Movies'!D287,'TK 15661.Bản quyền phim '!X:X)</f>
        <v/>
      </c>
      <c r="AK287" s="128">
        <f>SUMIF('TK 15661.Bản quyền phim '!F:F,'KK1. Movies'!AI287,'TK 15661.Bản quyền phim '!X:X)</f>
        <v/>
      </c>
      <c r="AL287" s="203">
        <f>COUNTIF('242.BQ Phim hợp tác'!$C:$C,'KK1. Movies'!AI287)</f>
        <v/>
      </c>
      <c r="AM287" s="203">
        <f>COUNTIF('TK 15661.Bản quyền phim '!F:F,'KK1. Movies'!AI287)</f>
        <v/>
      </c>
      <c r="AN287" s="546">
        <f>AL287+AM287</f>
        <v/>
      </c>
      <c r="AO287" s="203" t="n"/>
      <c r="AP287" s="203" t="n"/>
      <c r="AQ287" s="203" t="n"/>
      <c r="AR287" s="203" t="n"/>
      <c r="AS287" s="203" t="n"/>
      <c r="AT287" s="546">
        <f>IFERROR(VLOOKUP(C287, CodeRanMovies!$A:$K, 11, 0), "Not found")</f>
        <v/>
      </c>
    </row>
    <row r="288" ht="52.8" customHeight="1" s="578">
      <c r="A288" s="201">
        <f>_xlfn.AGGREGATE(3,3,$D$7:D288)</f>
        <v/>
      </c>
      <c r="B288" s="606" t="inlineStr">
        <is>
          <t>n/a</t>
        </is>
      </c>
      <c r="C288" s="590" t="inlineStr">
        <is>
          <t>MOV_ACT612</t>
        </is>
      </c>
      <c r="D288" s="105" t="inlineStr">
        <is>
          <t>SPIDER-MAN (2002)</t>
        </is>
      </c>
      <c r="E288" s="110" t="inlineStr">
        <is>
          <t>Người nhện</t>
        </is>
      </c>
      <c r="F288" s="590" t="inlineStr">
        <is>
          <t>Action, Adventure</t>
        </is>
      </c>
      <c r="G288" s="103" t="inlineStr">
        <is>
          <t>SONY</t>
        </is>
      </c>
      <c r="H288" s="590" t="inlineStr">
        <is>
          <t>Sony/K+Vietnam PayBasic SVOD Package Agmt D3A FE (Feb-5-24)</t>
        </is>
      </c>
      <c r="I288" s="104" t="n">
        <v>2002</v>
      </c>
      <c r="J288" s="104" t="inlineStr">
        <is>
          <t>U.S.A.[excluding Territories &amp; Possessions]</t>
        </is>
      </c>
      <c r="K288" s="104" t="n">
        <v>121</v>
      </c>
      <c r="L288" s="591" t="n">
        <v>45747</v>
      </c>
      <c r="M288" s="106" t="n">
        <v>46576</v>
      </c>
      <c r="N288" s="601" t="n"/>
      <c r="O288" s="592" t="n"/>
      <c r="P288" s="592" t="n"/>
      <c r="Q288" s="104" t="inlineStr">
        <is>
          <t>No</t>
        </is>
      </c>
      <c r="R288" s="104" t="inlineStr">
        <is>
          <t>Yes</t>
        </is>
      </c>
      <c r="S288" s="104" t="inlineStr">
        <is>
          <t>Yes</t>
        </is>
      </c>
      <c r="T288" s="592" t="inlineStr">
        <is>
          <t>Yes</t>
        </is>
      </c>
      <c r="U288" s="104" t="inlineStr">
        <is>
          <t>No</t>
        </is>
      </c>
      <c r="V288" s="104" t="inlineStr">
        <is>
          <t>No</t>
        </is>
      </c>
      <c r="W288" s="104" t="inlineStr">
        <is>
          <t>No</t>
        </is>
      </c>
      <c r="X288" s="104" t="inlineStr">
        <is>
          <t>Yes</t>
        </is>
      </c>
      <c r="Y288" s="104" t="inlineStr">
        <is>
          <t>No</t>
        </is>
      </c>
      <c r="Z288" s="106" t="n">
        <v>45747</v>
      </c>
      <c r="AA288" s="124" t="n">
        <v>46395</v>
      </c>
      <c r="AB288" s="104" t="n">
        <v>7</v>
      </c>
      <c r="AC288" s="202" t="n"/>
      <c r="AD288" s="592" t="inlineStr">
        <is>
          <t>Yes</t>
        </is>
      </c>
      <c r="AE288" s="592" t="inlineStr">
        <is>
          <t>Yes</t>
        </is>
      </c>
      <c r="AF288" s="600" t="n"/>
      <c r="AG288" s="593" t="inlineStr">
        <is>
          <t>Phim còn hạn từ 2026</t>
        </is>
      </c>
      <c r="AH288" s="594" t="n"/>
      <c r="AI288" s="206" t="inlineStr">
        <is>
          <t>SPIDER-MAN (2002)</t>
        </is>
      </c>
      <c r="AJ288" s="128">
        <f>SUMIF('TK 15661.Bản quyền phim '!F:F,'KK1. Movies'!D288,'TK 15661.Bản quyền phim '!X:X)</f>
        <v/>
      </c>
      <c r="AK288" s="128">
        <f>SUMIF('TK 15661.Bản quyền phim '!F:F,'KK1. Movies'!AI288,'TK 15661.Bản quyền phim '!X:X)</f>
        <v/>
      </c>
      <c r="AL288" s="203">
        <f>COUNTIF('242.BQ Phim hợp tác'!$C:$C,'KK1. Movies'!AI288)</f>
        <v/>
      </c>
      <c r="AM288" s="203">
        <f>COUNTIF('TK 15661.Bản quyền phim '!F:F,'KK1. Movies'!AI288)</f>
        <v/>
      </c>
      <c r="AN288" s="546">
        <f>AL288+AM288</f>
        <v/>
      </c>
      <c r="AO288" s="203" t="n"/>
      <c r="AP288" s="203" t="n"/>
      <c r="AQ288" s="203" t="n"/>
      <c r="AR288" s="203" t="n"/>
      <c r="AS288" s="203" t="n"/>
      <c r="AT288" s="546">
        <f>IFERROR(VLOOKUP(C288, CodeRanMovies!$A:$K, 11, 0), "Not found")</f>
        <v/>
      </c>
    </row>
    <row r="289" ht="52.8" customHeight="1" s="578">
      <c r="A289" s="201">
        <f>_xlfn.AGGREGATE(3,3,$D$7:D289)</f>
        <v/>
      </c>
      <c r="B289" s="606" t="inlineStr">
        <is>
          <t>n/a</t>
        </is>
      </c>
      <c r="C289" s="590" t="inlineStr">
        <is>
          <t>MOV_ACT613</t>
        </is>
      </c>
      <c r="D289" s="105" t="inlineStr">
        <is>
          <t>SPIDER-MAN 3 (2007)</t>
        </is>
      </c>
      <c r="E289" s="110" t="inlineStr">
        <is>
          <t>Người nhện 3</t>
        </is>
      </c>
      <c r="F289" s="590" t="inlineStr">
        <is>
          <t>Action, Adventure</t>
        </is>
      </c>
      <c r="G289" s="103" t="inlineStr">
        <is>
          <t>SONY</t>
        </is>
      </c>
      <c r="H289" s="590" t="inlineStr">
        <is>
          <t>Sony/K+Vietnam PayBasic SVOD Package Agmt D3A FE (Feb-5-24)</t>
        </is>
      </c>
      <c r="I289" s="104" t="n">
        <v>2007</v>
      </c>
      <c r="J289" s="104" t="inlineStr">
        <is>
          <t>U.S.A.[excluding Territories &amp; Possessions]</t>
        </is>
      </c>
      <c r="K289" s="104" t="n">
        <v>139</v>
      </c>
      <c r="L289" s="591" t="n">
        <v>45747</v>
      </c>
      <c r="M289" s="106" t="n">
        <v>46576</v>
      </c>
      <c r="N289" s="601" t="n"/>
      <c r="O289" s="592" t="n"/>
      <c r="P289" s="592" t="n"/>
      <c r="Q289" s="104" t="inlineStr">
        <is>
          <t>No</t>
        </is>
      </c>
      <c r="R289" s="104" t="inlineStr">
        <is>
          <t>Yes</t>
        </is>
      </c>
      <c r="S289" s="104" t="inlineStr">
        <is>
          <t>Yes</t>
        </is>
      </c>
      <c r="T289" s="592" t="inlineStr">
        <is>
          <t>Yes</t>
        </is>
      </c>
      <c r="U289" s="104" t="inlineStr">
        <is>
          <t>No</t>
        </is>
      </c>
      <c r="V289" s="104" t="inlineStr">
        <is>
          <t>No</t>
        </is>
      </c>
      <c r="W289" s="104" t="inlineStr">
        <is>
          <t>No</t>
        </is>
      </c>
      <c r="X289" s="104" t="inlineStr">
        <is>
          <t>Yes</t>
        </is>
      </c>
      <c r="Y289" s="104" t="inlineStr">
        <is>
          <t>No</t>
        </is>
      </c>
      <c r="Z289" s="106" t="n">
        <v>45747</v>
      </c>
      <c r="AA289" s="124" t="n">
        <v>46395</v>
      </c>
      <c r="AB289" s="104" t="n">
        <v>7</v>
      </c>
      <c r="AC289" s="202" t="n"/>
      <c r="AD289" s="592" t="inlineStr">
        <is>
          <t>Yes</t>
        </is>
      </c>
      <c r="AE289" s="592" t="inlineStr">
        <is>
          <t>Yes</t>
        </is>
      </c>
      <c r="AF289" s="600" t="n"/>
      <c r="AG289" s="593" t="inlineStr">
        <is>
          <t>Phim còn hạn từ 2026</t>
        </is>
      </c>
      <c r="AH289" s="594" t="n"/>
      <c r="AI289" s="206" t="inlineStr">
        <is>
          <t>SPIDER-MAN 3 (2007)</t>
        </is>
      </c>
      <c r="AJ289" s="128">
        <f>SUMIF('TK 15661.Bản quyền phim '!F:F,'KK1. Movies'!D289,'TK 15661.Bản quyền phim '!X:X)</f>
        <v/>
      </c>
      <c r="AK289" s="128">
        <f>SUMIF('TK 15661.Bản quyền phim '!F:F,'KK1. Movies'!AI289,'TK 15661.Bản quyền phim '!X:X)</f>
        <v/>
      </c>
      <c r="AL289" s="203">
        <f>COUNTIF('242.BQ Phim hợp tác'!$C:$C,'KK1. Movies'!AI289)</f>
        <v/>
      </c>
      <c r="AM289" s="203">
        <f>COUNTIF('TK 15661.Bản quyền phim '!F:F,'KK1. Movies'!AI289)</f>
        <v/>
      </c>
      <c r="AN289" s="546">
        <f>AL289+AM289</f>
        <v/>
      </c>
      <c r="AO289" s="203" t="n"/>
      <c r="AP289" s="203" t="n"/>
      <c r="AQ289" s="203" t="n"/>
      <c r="AR289" s="203" t="n"/>
      <c r="AS289" s="203" t="n"/>
      <c r="AT289" s="546">
        <f>IFERROR(VLOOKUP(C289, CodeRanMovies!$A:$K, 11, 0), "Not found")</f>
        <v/>
      </c>
    </row>
    <row r="290" ht="52.8" customHeight="1" s="578">
      <c r="A290" s="201">
        <f>_xlfn.AGGREGATE(3,3,$D$7:D290)</f>
        <v/>
      </c>
      <c r="B290" s="606" t="inlineStr">
        <is>
          <t>n/a</t>
        </is>
      </c>
      <c r="C290" s="590" t="inlineStr">
        <is>
          <t>MOV_ACT614</t>
        </is>
      </c>
      <c r="D290" s="105" t="inlineStr">
        <is>
          <t>SPIDER-MAN: NO WAY HOME</t>
        </is>
      </c>
      <c r="E290" s="110" t="inlineStr">
        <is>
          <t>Người nhện: Không còn nhà</t>
        </is>
      </c>
      <c r="F290" s="590" t="inlineStr">
        <is>
          <t>Action, Adventure</t>
        </is>
      </c>
      <c r="G290" s="103" t="inlineStr">
        <is>
          <t>SONY</t>
        </is>
      </c>
      <c r="H290" s="590" t="inlineStr">
        <is>
          <t>Sony/K+Vietnam PayBasic SVOD Package Agmt D3A FE (Feb-5-24)</t>
        </is>
      </c>
      <c r="I290" s="104" t="n">
        <v>2021</v>
      </c>
      <c r="J290" s="104" t="inlineStr">
        <is>
          <t>U.S.A.[excluding Territories &amp; Possessions]</t>
        </is>
      </c>
      <c r="K290" s="104" t="n">
        <v>148</v>
      </c>
      <c r="L290" s="591" t="n">
        <v>45747</v>
      </c>
      <c r="M290" s="106" t="n">
        <v>46576</v>
      </c>
      <c r="N290" s="601" t="n"/>
      <c r="O290" s="592" t="n"/>
      <c r="P290" s="592" t="n"/>
      <c r="Q290" s="104" t="inlineStr">
        <is>
          <t>No</t>
        </is>
      </c>
      <c r="R290" s="104" t="inlineStr">
        <is>
          <t>Yes</t>
        </is>
      </c>
      <c r="S290" s="104" t="inlineStr">
        <is>
          <t>Yes</t>
        </is>
      </c>
      <c r="T290" s="592" t="inlineStr">
        <is>
          <t>Yes</t>
        </is>
      </c>
      <c r="U290" s="104" t="inlineStr">
        <is>
          <t>No</t>
        </is>
      </c>
      <c r="V290" s="104" t="inlineStr">
        <is>
          <t>No</t>
        </is>
      </c>
      <c r="W290" s="104" t="inlineStr">
        <is>
          <t>No</t>
        </is>
      </c>
      <c r="X290" s="104" t="inlineStr">
        <is>
          <t>Yes</t>
        </is>
      </c>
      <c r="Y290" s="104" t="inlineStr">
        <is>
          <t>No</t>
        </is>
      </c>
      <c r="Z290" s="106" t="n">
        <v>45747</v>
      </c>
      <c r="AA290" s="124" t="n">
        <v>46395</v>
      </c>
      <c r="AB290" s="104" t="n">
        <v>7</v>
      </c>
      <c r="AC290" s="202" t="n"/>
      <c r="AD290" s="592" t="inlineStr">
        <is>
          <t>Yes</t>
        </is>
      </c>
      <c r="AE290" s="592" t="inlineStr">
        <is>
          <t>Yes</t>
        </is>
      </c>
      <c r="AF290" s="600" t="n"/>
      <c r="AG290" s="593" t="inlineStr">
        <is>
          <t>Phim còn hạn từ 2026</t>
        </is>
      </c>
      <c r="AH290" s="594" t="n"/>
      <c r="AI290" s="206" t="inlineStr">
        <is>
          <t>SPIDER-MAN: NO WAY HOME</t>
        </is>
      </c>
      <c r="AJ290" s="128">
        <f>SUMIF('TK 15661.Bản quyền phim '!F:F,'KK1. Movies'!D290,'TK 15661.Bản quyền phim '!X:X)</f>
        <v/>
      </c>
      <c r="AK290" s="128">
        <f>SUMIF('TK 15661.Bản quyền phim '!F:F,'KK1. Movies'!AI290,'TK 15661.Bản quyền phim '!X:X)</f>
        <v/>
      </c>
      <c r="AL290" s="203">
        <f>COUNTIF('242.BQ Phim hợp tác'!$C:$C,'KK1. Movies'!AI290)</f>
        <v/>
      </c>
      <c r="AM290" s="203">
        <f>COUNTIF('TK 15661.Bản quyền phim '!F:F,'KK1. Movies'!AI290)</f>
        <v/>
      </c>
      <c r="AN290" s="546">
        <f>AL290+AM290</f>
        <v/>
      </c>
      <c r="AO290" s="203" t="n"/>
      <c r="AP290" s="203" t="n"/>
      <c r="AQ290" s="203" t="n"/>
      <c r="AR290" s="203" t="n"/>
      <c r="AS290" s="203" t="n"/>
      <c r="AT290" s="546">
        <f>IFERROR(VLOOKUP(C290, CodeRanMovies!$A:$K, 11, 0), "Not found")</f>
        <v/>
      </c>
    </row>
    <row r="291" ht="52.8" customHeight="1" s="578">
      <c r="A291" s="201">
        <f>_xlfn.AGGREGATE(3,3,$D$7:D291)</f>
        <v/>
      </c>
      <c r="B291" s="606" t="inlineStr">
        <is>
          <t>n/a</t>
        </is>
      </c>
      <c r="C291" s="590" t="inlineStr">
        <is>
          <t>MOV_ACT616</t>
        </is>
      </c>
      <c r="D291" s="105" t="inlineStr">
        <is>
          <t>DON'T BREATHE 2</t>
        </is>
      </c>
      <c r="E291" s="110" t="inlineStr">
        <is>
          <t>Sát nhân trong bóng tối</t>
        </is>
      </c>
      <c r="F291" s="590" t="inlineStr">
        <is>
          <t>Action, Adventure</t>
        </is>
      </c>
      <c r="G291" s="103" t="inlineStr">
        <is>
          <t>SONY</t>
        </is>
      </c>
      <c r="H291" s="590" t="inlineStr">
        <is>
          <t>Sony/K+Vietnam PayBasic SVOD Package Agmt D3A FE (Feb-5-24)</t>
        </is>
      </c>
      <c r="I291" s="104" t="n">
        <v>2021</v>
      </c>
      <c r="J291" s="104" t="inlineStr">
        <is>
          <t>U.S.A.[excluding Territories &amp; Possessions]</t>
        </is>
      </c>
      <c r="K291" s="104" t="n">
        <v>98</v>
      </c>
      <c r="L291" s="591" t="n">
        <v>45747</v>
      </c>
      <c r="M291" s="106" t="n">
        <v>46600</v>
      </c>
      <c r="N291" s="601" t="n"/>
      <c r="O291" s="592" t="n"/>
      <c r="P291" s="592" t="n"/>
      <c r="Q291" s="104" t="inlineStr">
        <is>
          <t>No</t>
        </is>
      </c>
      <c r="R291" s="104" t="inlineStr">
        <is>
          <t>Yes</t>
        </is>
      </c>
      <c r="S291" s="104" t="inlineStr">
        <is>
          <t>Yes</t>
        </is>
      </c>
      <c r="T291" s="592" t="inlineStr">
        <is>
          <t>Yes</t>
        </is>
      </c>
      <c r="U291" s="104" t="inlineStr">
        <is>
          <t>No</t>
        </is>
      </c>
      <c r="V291" s="104" t="inlineStr">
        <is>
          <t>No</t>
        </is>
      </c>
      <c r="W291" s="104" t="inlineStr">
        <is>
          <t>No</t>
        </is>
      </c>
      <c r="X291" s="104" t="inlineStr">
        <is>
          <t>Yes</t>
        </is>
      </c>
      <c r="Y291" s="104" t="inlineStr">
        <is>
          <t>No</t>
        </is>
      </c>
      <c r="Z291" s="106" t="n">
        <v>45747</v>
      </c>
      <c r="AA291" s="124" t="n">
        <v>46419</v>
      </c>
      <c r="AB291" s="104" t="n">
        <v>7</v>
      </c>
      <c r="AC291" s="202" t="n"/>
      <c r="AD291" s="592" t="inlineStr">
        <is>
          <t>Yes</t>
        </is>
      </c>
      <c r="AE291" s="592" t="inlineStr">
        <is>
          <t>Yes</t>
        </is>
      </c>
      <c r="AF291" s="600" t="n"/>
      <c r="AG291" s="593" t="inlineStr">
        <is>
          <t>Phim còn hạn từ 2026</t>
        </is>
      </c>
      <c r="AH291" s="594" t="n"/>
      <c r="AI291" s="206" t="inlineStr">
        <is>
          <t>DON'T BREATHE 2</t>
        </is>
      </c>
      <c r="AJ291" s="128">
        <f>SUMIF('TK 15661.Bản quyền phim '!F:F,'KK1. Movies'!D291,'TK 15661.Bản quyền phim '!X:X)</f>
        <v/>
      </c>
      <c r="AK291" s="128">
        <f>SUMIF('TK 15661.Bản quyền phim '!F:F,'KK1. Movies'!AI291,'TK 15661.Bản quyền phim '!X:X)</f>
        <v/>
      </c>
      <c r="AL291" s="203">
        <f>COUNTIF('242.BQ Phim hợp tác'!$C:$C,'KK1. Movies'!AI291)</f>
        <v/>
      </c>
      <c r="AM291" s="203">
        <f>COUNTIF('TK 15661.Bản quyền phim '!F:F,'KK1. Movies'!AI291)</f>
        <v/>
      </c>
      <c r="AN291" s="546">
        <f>AL291+AM291</f>
        <v/>
      </c>
      <c r="AO291" s="203" t="n"/>
      <c r="AP291" s="203" t="n"/>
      <c r="AQ291" s="203" t="n"/>
      <c r="AR291" s="203" t="n"/>
      <c r="AS291" s="203" t="n"/>
      <c r="AT291" s="546">
        <f>IFERROR(VLOOKUP(C291, CodeRanMovies!$A:$K, 11, 0), "Not found")</f>
        <v/>
      </c>
    </row>
    <row r="292" ht="52.8" customHeight="1" s="578">
      <c r="A292" s="201">
        <f>_xlfn.AGGREGATE(3,3,$D$7:D292)</f>
        <v/>
      </c>
      <c r="B292" s="606" t="inlineStr">
        <is>
          <t>n/a</t>
        </is>
      </c>
      <c r="C292" s="234" t="inlineStr">
        <is>
          <t>MOV_ANI88</t>
        </is>
      </c>
      <c r="D292" s="105" t="inlineStr">
        <is>
          <t>PETER RABBIT (2018)</t>
        </is>
      </c>
      <c r="E292" s="110" t="inlineStr">
        <is>
          <t>Thỏ Peter</t>
        </is>
      </c>
      <c r="F292" s="590" t="inlineStr">
        <is>
          <t>animation</t>
        </is>
      </c>
      <c r="G292" s="103" t="inlineStr">
        <is>
          <t>SONY</t>
        </is>
      </c>
      <c r="H292" s="590" t="inlineStr">
        <is>
          <t>Sony/K+Vietnam PayBasic SVOD Package Agmt D3A FE (Feb-5-24)</t>
        </is>
      </c>
      <c r="I292" s="104" t="n">
        <v>2018</v>
      </c>
      <c r="J292" s="104" t="inlineStr">
        <is>
          <t>U.S.A.[excluding Territories &amp; Possessions]</t>
        </is>
      </c>
      <c r="K292" s="104" t="n">
        <v>94</v>
      </c>
      <c r="L292" s="591" t="n">
        <v>45747</v>
      </c>
      <c r="M292" s="106" t="n">
        <v>46600</v>
      </c>
      <c r="N292" s="601" t="n"/>
      <c r="O292" s="592" t="n"/>
      <c r="P292" s="592" t="n"/>
      <c r="Q292" s="104" t="inlineStr">
        <is>
          <t>No</t>
        </is>
      </c>
      <c r="R292" s="104" t="inlineStr">
        <is>
          <t>Yes</t>
        </is>
      </c>
      <c r="S292" s="104" t="inlineStr">
        <is>
          <t>Yes</t>
        </is>
      </c>
      <c r="T292" s="104" t="inlineStr">
        <is>
          <t>Yes</t>
        </is>
      </c>
      <c r="U292" s="104" t="inlineStr">
        <is>
          <t>No</t>
        </is>
      </c>
      <c r="V292" s="104" t="inlineStr">
        <is>
          <t>No</t>
        </is>
      </c>
      <c r="W292" s="104" t="inlineStr">
        <is>
          <t>No</t>
        </is>
      </c>
      <c r="X292" s="104" t="inlineStr">
        <is>
          <t>Yes</t>
        </is>
      </c>
      <c r="Y292" s="104" t="inlineStr">
        <is>
          <t>No</t>
        </is>
      </c>
      <c r="Z292" s="106" t="n">
        <v>45747</v>
      </c>
      <c r="AA292" s="124" t="n">
        <v>46419</v>
      </c>
      <c r="AB292" s="104" t="n">
        <v>7</v>
      </c>
      <c r="AC292" s="202" t="n">
        <v>2</v>
      </c>
      <c r="AD292" s="592" t="inlineStr">
        <is>
          <t>Yes</t>
        </is>
      </c>
      <c r="AE292" s="592" t="inlineStr">
        <is>
          <t>Yes</t>
        </is>
      </c>
      <c r="AF292" s="600" t="n"/>
      <c r="AG292" s="593" t="inlineStr">
        <is>
          <t>Phim còn hạn từ 2026</t>
        </is>
      </c>
      <c r="AH292" s="594" t="n"/>
      <c r="AI292" s="206" t="inlineStr">
        <is>
          <t>PETER RABBIT (2018)</t>
        </is>
      </c>
      <c r="AJ292" s="128">
        <f>SUMIF('TK 15661.Bản quyền phim '!F:F,'KK1. Movies'!D292,'TK 15661.Bản quyền phim '!X:X)</f>
        <v/>
      </c>
      <c r="AK292" s="128">
        <f>SUMIF('TK 15661.Bản quyền phim '!F:F,'KK1. Movies'!AI292,'TK 15661.Bản quyền phim '!X:X)</f>
        <v/>
      </c>
      <c r="AL292" s="203">
        <f>COUNTIF('242.BQ Phim hợp tác'!$C:$C,'KK1. Movies'!AI292)</f>
        <v/>
      </c>
      <c r="AM292" s="203">
        <f>COUNTIF('TK 15661.Bản quyền phim '!F:F,'KK1. Movies'!AI292)</f>
        <v/>
      </c>
      <c r="AN292" s="546">
        <f>AL292+AM292</f>
        <v/>
      </c>
      <c r="AO292" s="203" t="n"/>
      <c r="AP292" s="203" t="n"/>
      <c r="AQ292" s="203" t="n"/>
      <c r="AR292" s="203" t="n"/>
      <c r="AS292" s="203" t="n"/>
      <c r="AT292" s="546">
        <f>IFERROR(VLOOKUP(C292, CodeRanMovies!$A:$K, 11, 0), "Not found")</f>
        <v/>
      </c>
    </row>
    <row r="293" ht="52.8" customHeight="1" s="578">
      <c r="A293" s="201">
        <f>_xlfn.AGGREGATE(3,3,$D$7:D293)</f>
        <v/>
      </c>
      <c r="B293" s="606" t="inlineStr">
        <is>
          <t>n/a</t>
        </is>
      </c>
      <c r="C293" s="234" t="inlineStr">
        <is>
          <t>MOV_COM296</t>
        </is>
      </c>
      <c r="D293" s="105" t="inlineStr">
        <is>
          <t>GROWN UPS 2</t>
        </is>
      </c>
      <c r="E293" s="110" t="inlineStr">
        <is>
          <t>Những đứa trẻ to xác 2</t>
        </is>
      </c>
      <c r="F293" s="590" t="inlineStr">
        <is>
          <t>Comedy</t>
        </is>
      </c>
      <c r="G293" s="103" t="inlineStr">
        <is>
          <t>SONY</t>
        </is>
      </c>
      <c r="H293" s="590" t="inlineStr">
        <is>
          <t>Sony/K+Vietnam PayBasic SVOD Package Agmt D3A FE (Feb-5-24)</t>
        </is>
      </c>
      <c r="I293" s="104" t="n">
        <v>2013</v>
      </c>
      <c r="J293" s="104" t="inlineStr">
        <is>
          <t>U.S.A.[excluding Territories &amp; Possessions]</t>
        </is>
      </c>
      <c r="K293" s="104" t="n">
        <v>100</v>
      </c>
      <c r="L293" s="591" t="n">
        <v>45747</v>
      </c>
      <c r="M293" s="106" t="n">
        <v>46604</v>
      </c>
      <c r="N293" s="601" t="n"/>
      <c r="O293" s="592" t="n"/>
      <c r="P293" s="592" t="n"/>
      <c r="Q293" s="104" t="inlineStr">
        <is>
          <t>No</t>
        </is>
      </c>
      <c r="R293" s="104" t="inlineStr">
        <is>
          <t>Yes</t>
        </is>
      </c>
      <c r="S293" s="104" t="inlineStr">
        <is>
          <t>Yes</t>
        </is>
      </c>
      <c r="T293" s="592" t="inlineStr">
        <is>
          <t>Yes</t>
        </is>
      </c>
      <c r="U293" s="104" t="inlineStr">
        <is>
          <t>No</t>
        </is>
      </c>
      <c r="V293" s="104" t="inlineStr">
        <is>
          <t>No</t>
        </is>
      </c>
      <c r="W293" s="104" t="inlineStr">
        <is>
          <t>No</t>
        </is>
      </c>
      <c r="X293" s="104" t="inlineStr">
        <is>
          <t>Yes</t>
        </is>
      </c>
      <c r="Y293" s="104" t="inlineStr">
        <is>
          <t>No</t>
        </is>
      </c>
      <c r="Z293" s="106" t="n">
        <v>45747</v>
      </c>
      <c r="AA293" s="124" t="n">
        <v>46423</v>
      </c>
      <c r="AB293" s="104" t="n">
        <v>7</v>
      </c>
      <c r="AC293" s="202" t="n"/>
      <c r="AD293" s="592" t="inlineStr">
        <is>
          <t>Yes</t>
        </is>
      </c>
      <c r="AE293" s="592" t="inlineStr">
        <is>
          <t>Yes</t>
        </is>
      </c>
      <c r="AF293" s="600" t="n"/>
      <c r="AG293" s="593" t="inlineStr">
        <is>
          <t>Phim còn hạn từ 2026</t>
        </is>
      </c>
      <c r="AH293" s="594" t="n"/>
      <c r="AI293" s="206" t="inlineStr">
        <is>
          <t>GROWN UPS 2</t>
        </is>
      </c>
      <c r="AJ293" s="128">
        <f>SUMIF('TK 15661.Bản quyền phim '!F:F,'KK1. Movies'!D293,'TK 15661.Bản quyền phim '!X:X)</f>
        <v/>
      </c>
      <c r="AK293" s="128">
        <f>SUMIF('TK 15661.Bản quyền phim '!F:F,'KK1. Movies'!AI293,'TK 15661.Bản quyền phim '!X:X)</f>
        <v/>
      </c>
      <c r="AL293" s="203">
        <f>COUNTIF('242.BQ Phim hợp tác'!$C:$C,'KK1. Movies'!AI293)</f>
        <v/>
      </c>
      <c r="AM293" s="203">
        <f>COUNTIF('TK 15661.Bản quyền phim '!F:F,'KK1. Movies'!AI293)</f>
        <v/>
      </c>
      <c r="AN293" s="546">
        <f>AL293+AM293</f>
        <v/>
      </c>
      <c r="AO293" s="203" t="n"/>
      <c r="AP293" s="203" t="n"/>
      <c r="AQ293" s="203" t="n"/>
      <c r="AR293" s="203" t="n"/>
      <c r="AS293" s="203" t="n"/>
      <c r="AT293" s="546">
        <f>IFERROR(VLOOKUP(C293, CodeRanMovies!$A:$K, 11, 0), "Not found")</f>
        <v/>
      </c>
    </row>
    <row r="294" ht="52.8" customHeight="1" s="578">
      <c r="A294" s="201">
        <f>_xlfn.AGGREGATE(3,3,$D$7:D294)</f>
        <v/>
      </c>
      <c r="B294" s="606" t="inlineStr">
        <is>
          <t>n/a</t>
        </is>
      </c>
      <c r="C294" s="234" t="inlineStr">
        <is>
          <t>MOV_COM299</t>
        </is>
      </c>
      <c r="D294" s="105" t="inlineStr">
        <is>
          <t>BAD TEACHER (2011)</t>
        </is>
      </c>
      <c r="E294" s="110" t="inlineStr">
        <is>
          <t>Cô giáo lắm chiêu</t>
        </is>
      </c>
      <c r="F294" s="590" t="inlineStr">
        <is>
          <t>Comedy</t>
        </is>
      </c>
      <c r="G294" s="103" t="inlineStr">
        <is>
          <t>SONY</t>
        </is>
      </c>
      <c r="H294" s="590" t="inlineStr">
        <is>
          <t>Sony/K+Vietnam PayBasic SVOD Package Agmt D3A FE (Feb-5-24)</t>
        </is>
      </c>
      <c r="I294" s="104" t="n">
        <v>2011</v>
      </c>
      <c r="J294" s="104" t="inlineStr">
        <is>
          <t>U.S.A.[excluding Territories &amp; Possessions]</t>
        </is>
      </c>
      <c r="K294" s="104" t="n">
        <v>91</v>
      </c>
      <c r="L294" s="591" t="n">
        <v>45884</v>
      </c>
      <c r="M294" s="106" t="n">
        <v>46321</v>
      </c>
      <c r="N294" s="601" t="n"/>
      <c r="O294" s="592" t="n"/>
      <c r="P294" s="592" t="n"/>
      <c r="Q294" s="104" t="inlineStr">
        <is>
          <t>No</t>
        </is>
      </c>
      <c r="R294" s="104" t="inlineStr">
        <is>
          <t>Yes</t>
        </is>
      </c>
      <c r="S294" s="104" t="inlineStr">
        <is>
          <t>Yes</t>
        </is>
      </c>
      <c r="T294" s="592" t="inlineStr">
        <is>
          <t>Yes</t>
        </is>
      </c>
      <c r="U294" s="104" t="inlineStr">
        <is>
          <t>No</t>
        </is>
      </c>
      <c r="V294" s="104" t="inlineStr">
        <is>
          <t>No</t>
        </is>
      </c>
      <c r="W294" s="104" t="inlineStr">
        <is>
          <t>No</t>
        </is>
      </c>
      <c r="X294" s="104" t="inlineStr">
        <is>
          <t>Yes</t>
        </is>
      </c>
      <c r="Y294" s="104" t="inlineStr">
        <is>
          <t>No</t>
        </is>
      </c>
      <c r="Z294" s="106" t="n">
        <v>45884</v>
      </c>
      <c r="AA294" s="124" t="n">
        <v>46321</v>
      </c>
      <c r="AB294" s="104" t="n">
        <v>4</v>
      </c>
      <c r="AC294" s="202" t="n"/>
      <c r="AD294" s="592" t="inlineStr">
        <is>
          <t>Yes</t>
        </is>
      </c>
      <c r="AE294" s="592" t="inlineStr">
        <is>
          <t>Yes</t>
        </is>
      </c>
      <c r="AF294" s="600" t="n"/>
      <c r="AG294" s="593" t="inlineStr">
        <is>
          <t>Phim còn hạn từ 2026</t>
        </is>
      </c>
      <c r="AH294" s="594" t="n"/>
      <c r="AI294" s="599" t="inlineStr">
        <is>
          <t>BAD TEACHER (2011)</t>
        </is>
      </c>
      <c r="AJ294" s="128">
        <f>SUMIF('TK 15661.Bản quyền phim '!F:F,'KK1. Movies'!D294,'TK 15661.Bản quyền phim '!X:X)</f>
        <v/>
      </c>
      <c r="AK294" s="128">
        <f>SUMIF('TK 15661.Bản quyền phim '!F:F,'KK1. Movies'!AI294,'TK 15661.Bản quyền phim '!X:X)</f>
        <v/>
      </c>
      <c r="AL294" s="203">
        <f>COUNTIF('242.BQ Phim hợp tác'!$C:$C,'KK1. Movies'!AI294)</f>
        <v/>
      </c>
      <c r="AM294" s="203">
        <f>COUNTIF('TK 15661.Bản quyền phim '!F:F,'KK1. Movies'!AI294)</f>
        <v/>
      </c>
      <c r="AN294" s="546">
        <f>AL294+AM294</f>
        <v/>
      </c>
      <c r="AO294" s="203" t="n"/>
      <c r="AP294" s="203" t="n"/>
      <c r="AQ294" s="203" t="n"/>
      <c r="AR294" s="203" t="n"/>
      <c r="AS294" s="203" t="n"/>
      <c r="AT294" s="546">
        <f>IFERROR(VLOOKUP(C294, CodeRanMovies!$A:$K, 11, 0), "Not found")</f>
        <v/>
      </c>
    </row>
    <row r="295" ht="52.8" customHeight="1" s="578">
      <c r="A295" s="201">
        <f>_xlfn.AGGREGATE(3,3,$D$7:D295)</f>
        <v/>
      </c>
      <c r="B295" s="606" t="inlineStr">
        <is>
          <t>n/a</t>
        </is>
      </c>
      <c r="C295" s="234" t="inlineStr">
        <is>
          <t>MOV_DRA760</t>
        </is>
      </c>
      <c r="D295" s="105" t="inlineStr">
        <is>
          <t>ARE YOU THERE GOD? IT'S ME, MARGARET (2023)</t>
        </is>
      </c>
      <c r="E295" s="110" t="inlineStr">
        <is>
          <t>Chúa có ở đó không? Tôi là Margaret</t>
        </is>
      </c>
      <c r="F295" s="590" t="inlineStr">
        <is>
          <t>Drama</t>
        </is>
      </c>
      <c r="G295" s="103" t="inlineStr">
        <is>
          <t>SONY</t>
        </is>
      </c>
      <c r="H295" s="590" t="inlineStr">
        <is>
          <t>Sony/K+Vietnam PayBasic SVOD Package Agmt D3A FE (Feb-5-24)</t>
        </is>
      </c>
      <c r="I295" s="104" t="n">
        <v>2023</v>
      </c>
      <c r="J295" s="104" t="inlineStr">
        <is>
          <t>U.S.A.[excluding Territories &amp; Possessions]</t>
        </is>
      </c>
      <c r="K295" s="104" t="n">
        <v>106</v>
      </c>
      <c r="L295" s="591" t="n">
        <v>45884</v>
      </c>
      <c r="M295" s="106" t="n">
        <v>46248</v>
      </c>
      <c r="N295" s="601" t="n"/>
      <c r="O295" s="592" t="n"/>
      <c r="P295" s="592" t="n"/>
      <c r="Q295" s="104" t="inlineStr">
        <is>
          <t>No</t>
        </is>
      </c>
      <c r="R295" s="104" t="inlineStr">
        <is>
          <t>Yes</t>
        </is>
      </c>
      <c r="S295" s="104" t="inlineStr">
        <is>
          <t>Yes</t>
        </is>
      </c>
      <c r="T295" s="592" t="inlineStr">
        <is>
          <t>Yes</t>
        </is>
      </c>
      <c r="U295" s="104" t="inlineStr">
        <is>
          <t>No</t>
        </is>
      </c>
      <c r="V295" s="104" t="inlineStr">
        <is>
          <t>No</t>
        </is>
      </c>
      <c r="W295" s="104" t="inlineStr">
        <is>
          <t>No</t>
        </is>
      </c>
      <c r="X295" s="104" t="inlineStr">
        <is>
          <t>Yes</t>
        </is>
      </c>
      <c r="Y295" s="104" t="inlineStr">
        <is>
          <t>No</t>
        </is>
      </c>
      <c r="Z295" s="106" t="n">
        <v>45884</v>
      </c>
      <c r="AA295" s="124" t="n">
        <v>46248</v>
      </c>
      <c r="AB295" s="104" t="n">
        <v>7</v>
      </c>
      <c r="AC295" s="202" t="n"/>
      <c r="AD295" s="592" t="inlineStr">
        <is>
          <t>Yes</t>
        </is>
      </c>
      <c r="AE295" s="592" t="inlineStr">
        <is>
          <t>Yes</t>
        </is>
      </c>
      <c r="AF295" s="600" t="n"/>
      <c r="AG295" s="593" t="inlineStr">
        <is>
          <t>Phim còn hạn từ 2026</t>
        </is>
      </c>
      <c r="AH295" s="594" t="n"/>
      <c r="AI295" s="599" t="inlineStr">
        <is>
          <t>ARE YOU THERE GOD? IT'S ME, MARGARET (2023)</t>
        </is>
      </c>
      <c r="AJ295" s="128">
        <f>SUMIF('TK 15661.Bản quyền phim '!F:F,'KK1. Movies'!D295,'TK 15661.Bản quyền phim '!X:X)</f>
        <v/>
      </c>
      <c r="AK295" s="128">
        <f>SUMIF('TK 15661.Bản quyền phim '!F:F,'KK1. Movies'!AI295,'TK 15661.Bản quyền phim '!X:X)</f>
        <v/>
      </c>
      <c r="AL295" s="203">
        <f>COUNTIF('242.BQ Phim hợp tác'!$C:$C,'KK1. Movies'!AI295)</f>
        <v/>
      </c>
      <c r="AM295" s="203">
        <f>COUNTIF('TK 15661.Bản quyền phim '!F:F,'KK1. Movies'!AI295)</f>
        <v/>
      </c>
      <c r="AN295" s="546">
        <f>AL295+AM295</f>
        <v/>
      </c>
      <c r="AO295" s="203" t="n"/>
      <c r="AP295" s="203" t="n"/>
      <c r="AQ295" s="203" t="n"/>
      <c r="AR295" s="203" t="n"/>
      <c r="AS295" s="203" t="n"/>
      <c r="AT295" s="546">
        <f>IFERROR(VLOOKUP(C295, CodeRanMovies!$A:$K, 11, 0), "Not found")</f>
        <v/>
      </c>
    </row>
    <row r="296" ht="52.8" customHeight="1" s="578">
      <c r="A296" s="201">
        <f>_xlfn.AGGREGATE(3,3,$D$7:D296)</f>
        <v/>
      </c>
      <c r="B296" s="606" t="inlineStr">
        <is>
          <t>n/a</t>
        </is>
      </c>
      <c r="C296" s="234" t="inlineStr">
        <is>
          <t>MOV_ACT621</t>
        </is>
      </c>
      <c r="D296" s="105" t="inlineStr">
        <is>
          <t>DA VINCI CODE, THE</t>
        </is>
      </c>
      <c r="E296" s="110" t="inlineStr">
        <is>
          <t>Mật mã Da Vinci</t>
        </is>
      </c>
      <c r="F296" s="590" t="inlineStr">
        <is>
          <t>Crime, Thriller</t>
        </is>
      </c>
      <c r="G296" s="103" t="inlineStr">
        <is>
          <t>SONY</t>
        </is>
      </c>
      <c r="H296" s="590" t="inlineStr">
        <is>
          <t>Sony/K+Vietnam PayBasic SVOD Package Agmt D3A FE (Feb-5-24)</t>
        </is>
      </c>
      <c r="I296" s="104" t="n">
        <v>2006</v>
      </c>
      <c r="J296" s="104" t="inlineStr">
        <is>
          <t>U.S.A.[excluding Territories &amp; Possessions]</t>
        </is>
      </c>
      <c r="K296" s="104" t="n">
        <v>148</v>
      </c>
      <c r="L296" s="591" t="n">
        <v>45884</v>
      </c>
      <c r="M296" s="106" t="n">
        <v>46613</v>
      </c>
      <c r="N296" s="601" t="n"/>
      <c r="O296" s="592" t="n"/>
      <c r="P296" s="592" t="n"/>
      <c r="Q296" s="104" t="inlineStr">
        <is>
          <t>No</t>
        </is>
      </c>
      <c r="R296" s="104" t="inlineStr">
        <is>
          <t>Yes</t>
        </is>
      </c>
      <c r="S296" s="104" t="inlineStr">
        <is>
          <t>Yes</t>
        </is>
      </c>
      <c r="T296" s="592" t="inlineStr">
        <is>
          <t>Yes</t>
        </is>
      </c>
      <c r="U296" s="104" t="inlineStr">
        <is>
          <t>No</t>
        </is>
      </c>
      <c r="V296" s="104" t="inlineStr">
        <is>
          <t>No</t>
        </is>
      </c>
      <c r="W296" s="104" t="inlineStr">
        <is>
          <t>No</t>
        </is>
      </c>
      <c r="X296" s="104" t="inlineStr">
        <is>
          <t>Yes</t>
        </is>
      </c>
      <c r="Y296" s="104" t="inlineStr">
        <is>
          <t>No</t>
        </is>
      </c>
      <c r="Z296" s="106" t="n">
        <v>45884</v>
      </c>
      <c r="AA296" s="124" t="n">
        <v>46432</v>
      </c>
      <c r="AB296" s="104" t="n">
        <v>7</v>
      </c>
      <c r="AC296" s="202" t="n"/>
      <c r="AD296" s="592" t="inlineStr">
        <is>
          <t>Yes</t>
        </is>
      </c>
      <c r="AE296" s="592" t="inlineStr">
        <is>
          <t>Yes</t>
        </is>
      </c>
      <c r="AF296" s="600" t="n"/>
      <c r="AG296" s="593" t="inlineStr">
        <is>
          <t>Phim còn hạn từ 2026</t>
        </is>
      </c>
      <c r="AH296" s="594" t="n"/>
      <c r="AI296" s="206" t="inlineStr">
        <is>
          <t>DA VINCI CODE, THE</t>
        </is>
      </c>
      <c r="AJ296" s="128">
        <f>SUMIF('TK 15661.Bản quyền phim '!F:F,'KK1. Movies'!D296,'TK 15661.Bản quyền phim '!X:X)</f>
        <v/>
      </c>
      <c r="AK296" s="128">
        <f>SUMIF('TK 15661.Bản quyền phim '!F:F,'KK1. Movies'!AI296,'TK 15661.Bản quyền phim '!X:X)</f>
        <v/>
      </c>
      <c r="AL296" s="203">
        <f>COUNTIF('242.BQ Phim hợp tác'!$C:$C,'KK1. Movies'!AI296)</f>
        <v/>
      </c>
      <c r="AM296" s="203">
        <f>COUNTIF('TK 15661.Bản quyền phim '!F:F,'KK1. Movies'!AI296)</f>
        <v/>
      </c>
      <c r="AN296" s="546">
        <f>AL296+AM296</f>
        <v/>
      </c>
      <c r="AO296" s="203" t="n"/>
      <c r="AP296" s="203" t="n"/>
      <c r="AQ296" s="203" t="n"/>
      <c r="AR296" s="203" t="n"/>
      <c r="AS296" s="203" t="n"/>
      <c r="AT296" s="546">
        <f>IFERROR(VLOOKUP(C296, CodeRanMovies!$A:$K, 11, 0), "Not found")</f>
        <v/>
      </c>
    </row>
    <row r="297" ht="52.8" customHeight="1" s="578">
      <c r="A297" s="201">
        <f>_xlfn.AGGREGATE(3,3,$D$7:D297)</f>
        <v/>
      </c>
      <c r="B297" s="606" t="inlineStr">
        <is>
          <t>n/a</t>
        </is>
      </c>
      <c r="C297" s="234" t="inlineStr">
        <is>
          <t>MOV_HOR75</t>
        </is>
      </c>
      <c r="D297" s="105" t="inlineStr">
        <is>
          <t>ESCAPE ROOM (2019)</t>
        </is>
      </c>
      <c r="E297" s="110" t="inlineStr">
        <is>
          <t>Căn phòng tử thần</t>
        </is>
      </c>
      <c r="F297" s="590" t="inlineStr">
        <is>
          <t>Crime, Thriller</t>
        </is>
      </c>
      <c r="G297" s="103" t="inlineStr">
        <is>
          <t>SONY</t>
        </is>
      </c>
      <c r="H297" s="590" t="inlineStr">
        <is>
          <t>Sony/K+Vietnam PayBasic SVOD Package Agmt D3A FE (Feb-5-24)</t>
        </is>
      </c>
      <c r="I297" s="104" t="n">
        <v>2019</v>
      </c>
      <c r="J297" s="104" t="inlineStr">
        <is>
          <t>U.S.A.[excluding Territories &amp; Possessions]</t>
        </is>
      </c>
      <c r="K297" s="104" t="n">
        <v>99</v>
      </c>
      <c r="L297" s="591" t="n">
        <v>45884</v>
      </c>
      <c r="M297" s="106" t="n">
        <v>46613</v>
      </c>
      <c r="N297" s="601" t="n"/>
      <c r="O297" s="592" t="n"/>
      <c r="P297" s="592" t="n"/>
      <c r="Q297" s="104" t="inlineStr">
        <is>
          <t>No</t>
        </is>
      </c>
      <c r="R297" s="104" t="inlineStr">
        <is>
          <t>Yes</t>
        </is>
      </c>
      <c r="S297" s="104" t="inlineStr">
        <is>
          <t>Yes</t>
        </is>
      </c>
      <c r="T297" s="592" t="inlineStr">
        <is>
          <t>Yes</t>
        </is>
      </c>
      <c r="U297" s="104" t="inlineStr">
        <is>
          <t>No</t>
        </is>
      </c>
      <c r="V297" s="104" t="inlineStr">
        <is>
          <t>No</t>
        </is>
      </c>
      <c r="W297" s="104" t="inlineStr">
        <is>
          <t>No</t>
        </is>
      </c>
      <c r="X297" s="104" t="inlineStr">
        <is>
          <t>Yes</t>
        </is>
      </c>
      <c r="Y297" s="104" t="inlineStr">
        <is>
          <t>No</t>
        </is>
      </c>
      <c r="Z297" s="106" t="n">
        <v>45884</v>
      </c>
      <c r="AA297" s="124" t="n">
        <v>46432</v>
      </c>
      <c r="AB297" s="104" t="n">
        <v>7</v>
      </c>
      <c r="AC297" s="202" t="n"/>
      <c r="AD297" s="592" t="inlineStr">
        <is>
          <t>Yes</t>
        </is>
      </c>
      <c r="AE297" s="592" t="inlineStr">
        <is>
          <t>Yes</t>
        </is>
      </c>
      <c r="AF297" s="600" t="n"/>
      <c r="AG297" s="593" t="inlineStr">
        <is>
          <t>Phim còn hạn từ 2026</t>
        </is>
      </c>
      <c r="AH297" s="594" t="n"/>
      <c r="AI297" s="206" t="inlineStr">
        <is>
          <t>ESCAPE ROOM (2019)</t>
        </is>
      </c>
      <c r="AJ297" s="128">
        <f>SUMIF('TK 15661.Bản quyền phim '!F:F,'KK1. Movies'!D297,'TK 15661.Bản quyền phim '!X:X)</f>
        <v/>
      </c>
      <c r="AK297" s="128">
        <f>SUMIF('TK 15661.Bản quyền phim '!F:F,'KK1. Movies'!AI297,'TK 15661.Bản quyền phim '!X:X)</f>
        <v/>
      </c>
      <c r="AL297" s="203">
        <f>COUNTIF('242.BQ Phim hợp tác'!$C:$C,'KK1. Movies'!AI297)</f>
        <v/>
      </c>
      <c r="AM297" s="203">
        <f>COUNTIF('TK 15661.Bản quyền phim '!F:F,'KK1. Movies'!AI297)</f>
        <v/>
      </c>
      <c r="AN297" s="546">
        <f>AL297+AM297</f>
        <v/>
      </c>
      <c r="AO297" s="203" t="n"/>
      <c r="AP297" s="203" t="n"/>
      <c r="AQ297" s="203" t="n"/>
      <c r="AR297" s="203" t="n"/>
      <c r="AS297" s="203" t="n"/>
      <c r="AT297" s="546">
        <f>IFERROR(VLOOKUP(C297, CodeRanMovies!$A:$K, 11, 0), "Not found")</f>
        <v/>
      </c>
    </row>
    <row r="298" ht="52.8" customHeight="1" s="578">
      <c r="A298" s="201">
        <f>_xlfn.AGGREGATE(3,3,$D$7:D298)</f>
        <v/>
      </c>
      <c r="B298" s="606" t="inlineStr">
        <is>
          <t>n/a</t>
        </is>
      </c>
      <c r="C298" s="234" t="inlineStr">
        <is>
          <t>MOV_HOR76</t>
        </is>
      </c>
      <c r="D298" s="105" t="inlineStr">
        <is>
          <t>ESCAPE ROOM: TOURNAMENT OF CHAMPIONS</t>
        </is>
      </c>
      <c r="E298" s="110" t="inlineStr">
        <is>
          <t>Căn phòng tử thần: Cái chết trở lại</t>
        </is>
      </c>
      <c r="F298" s="590" t="inlineStr">
        <is>
          <t>Crime, Thriller</t>
        </is>
      </c>
      <c r="G298" s="103" t="inlineStr">
        <is>
          <t>SONY</t>
        </is>
      </c>
      <c r="H298" s="590" t="inlineStr">
        <is>
          <t>Sony/K+Vietnam PayBasic SVOD Package Agmt D3A FE (Feb-5-24)</t>
        </is>
      </c>
      <c r="I298" s="104" t="n">
        <v>2021</v>
      </c>
      <c r="J298" s="104" t="inlineStr">
        <is>
          <t>U.S.A.[excluding Territories &amp; Possessions]</t>
        </is>
      </c>
      <c r="K298" s="104" t="n">
        <v>87</v>
      </c>
      <c r="L298" s="591" t="n">
        <v>45884</v>
      </c>
      <c r="M298" s="106" t="n">
        <v>46613</v>
      </c>
      <c r="N298" s="601" t="n"/>
      <c r="O298" s="592" t="n"/>
      <c r="P298" s="592" t="n"/>
      <c r="Q298" s="104" t="inlineStr">
        <is>
          <t>No</t>
        </is>
      </c>
      <c r="R298" s="104" t="inlineStr">
        <is>
          <t>Yes</t>
        </is>
      </c>
      <c r="S298" s="104" t="inlineStr">
        <is>
          <t>Yes</t>
        </is>
      </c>
      <c r="T298" s="592" t="inlineStr">
        <is>
          <t>Yes</t>
        </is>
      </c>
      <c r="U298" s="104" t="inlineStr">
        <is>
          <t>No</t>
        </is>
      </c>
      <c r="V298" s="104" t="inlineStr">
        <is>
          <t>No</t>
        </is>
      </c>
      <c r="W298" s="104" t="inlineStr">
        <is>
          <t>No</t>
        </is>
      </c>
      <c r="X298" s="104" t="inlineStr">
        <is>
          <t>Yes</t>
        </is>
      </c>
      <c r="Y298" s="104" t="inlineStr">
        <is>
          <t>No</t>
        </is>
      </c>
      <c r="Z298" s="106" t="n">
        <v>45884</v>
      </c>
      <c r="AA298" s="124" t="n">
        <v>46432</v>
      </c>
      <c r="AB298" s="104" t="n">
        <v>7</v>
      </c>
      <c r="AC298" s="202" t="n"/>
      <c r="AD298" s="592" t="inlineStr">
        <is>
          <t>Yes</t>
        </is>
      </c>
      <c r="AE298" s="592" t="inlineStr">
        <is>
          <t>Yes</t>
        </is>
      </c>
      <c r="AF298" s="600" t="n"/>
      <c r="AG298" s="593" t="inlineStr">
        <is>
          <t>Phim còn hạn từ 2026</t>
        </is>
      </c>
      <c r="AH298" s="594" t="n"/>
      <c r="AI298" s="206" t="inlineStr">
        <is>
          <t>ESCAPE ROOM: TOURNAMENT OF CHAMPIONS</t>
        </is>
      </c>
      <c r="AJ298" s="128">
        <f>SUMIF('TK 15661.Bản quyền phim '!F:F,'KK1. Movies'!D298,'TK 15661.Bản quyền phim '!X:X)</f>
        <v/>
      </c>
      <c r="AK298" s="128">
        <f>SUMIF('TK 15661.Bản quyền phim '!F:F,'KK1. Movies'!AI298,'TK 15661.Bản quyền phim '!X:X)</f>
        <v/>
      </c>
      <c r="AL298" s="203">
        <f>COUNTIF('242.BQ Phim hợp tác'!$C:$C,'KK1. Movies'!AI298)</f>
        <v/>
      </c>
      <c r="AM298" s="203">
        <f>COUNTIF('TK 15661.Bản quyền phim '!F:F,'KK1. Movies'!AI298)</f>
        <v/>
      </c>
      <c r="AN298" s="546">
        <f>AL298+AM298</f>
        <v/>
      </c>
      <c r="AO298" s="203" t="n"/>
      <c r="AP298" s="203" t="n"/>
      <c r="AQ298" s="203" t="n"/>
      <c r="AR298" s="203" t="n"/>
      <c r="AS298" s="203" t="n"/>
      <c r="AT298" s="546">
        <f>IFERROR(VLOOKUP(C298, CodeRanMovies!$A:$K, 11, 0), "Not found")</f>
        <v/>
      </c>
    </row>
    <row r="299" ht="52.8" customHeight="1" s="578">
      <c r="A299" s="201">
        <f>_xlfn.AGGREGATE(3,3,$D$7:D299)</f>
        <v/>
      </c>
      <c r="B299" s="606" t="inlineStr">
        <is>
          <t>n/a</t>
        </is>
      </c>
      <c r="C299" s="234" t="inlineStr">
        <is>
          <t>MOV_ANI91</t>
        </is>
      </c>
      <c r="D299" s="105" t="inlineStr">
        <is>
          <t>ANGRY BIRDS MOVIE 2, THE</t>
        </is>
      </c>
      <c r="E299" s="110" t="inlineStr">
        <is>
          <t>Những chú chim giận dữ 2</t>
        </is>
      </c>
      <c r="F299" s="590" t="inlineStr">
        <is>
          <t>animation</t>
        </is>
      </c>
      <c r="G299" s="103" t="inlineStr">
        <is>
          <t>SONY</t>
        </is>
      </c>
      <c r="H299" s="590" t="inlineStr">
        <is>
          <t>Sony/K+Vietnam PayBasic SVOD Package Agmt D3A FE (Feb-5-24)</t>
        </is>
      </c>
      <c r="I299" s="104" t="n">
        <v>2019</v>
      </c>
      <c r="J299" s="104" t="inlineStr">
        <is>
          <t>U.S.A.[excluding Territories &amp; Possessions]</t>
        </is>
      </c>
      <c r="K299" s="104" t="n">
        <v>103</v>
      </c>
      <c r="L299" s="591" t="n">
        <v>45884</v>
      </c>
      <c r="M299" s="106" t="n">
        <v>46613</v>
      </c>
      <c r="N299" s="601" t="n"/>
      <c r="O299" s="592" t="n"/>
      <c r="P299" s="592" t="n"/>
      <c r="Q299" s="104" t="inlineStr">
        <is>
          <t>No</t>
        </is>
      </c>
      <c r="R299" s="104" t="inlineStr">
        <is>
          <t>Yes</t>
        </is>
      </c>
      <c r="S299" s="104" t="inlineStr">
        <is>
          <t>Yes</t>
        </is>
      </c>
      <c r="T299" s="104" t="inlineStr">
        <is>
          <t>Yes</t>
        </is>
      </c>
      <c r="U299" s="104" t="inlineStr">
        <is>
          <t>No</t>
        </is>
      </c>
      <c r="V299" s="104" t="inlineStr">
        <is>
          <t>No</t>
        </is>
      </c>
      <c r="W299" s="104" t="inlineStr">
        <is>
          <t>No</t>
        </is>
      </c>
      <c r="X299" s="104" t="inlineStr">
        <is>
          <t>Yes</t>
        </is>
      </c>
      <c r="Y299" s="104" t="inlineStr">
        <is>
          <t>No</t>
        </is>
      </c>
      <c r="Z299" s="106" t="n">
        <v>45884</v>
      </c>
      <c r="AA299" s="124" t="n">
        <v>46432</v>
      </c>
      <c r="AB299" s="104" t="n">
        <v>7</v>
      </c>
      <c r="AC299" s="202" t="n">
        <v>2</v>
      </c>
      <c r="AD299" s="592" t="inlineStr">
        <is>
          <t>Yes</t>
        </is>
      </c>
      <c r="AE299" s="592" t="inlineStr">
        <is>
          <t>Yes</t>
        </is>
      </c>
      <c r="AF299" s="600" t="n"/>
      <c r="AG299" s="593" t="inlineStr">
        <is>
          <t>Phim còn hạn từ 2026</t>
        </is>
      </c>
      <c r="AH299" s="594" t="n"/>
      <c r="AI299" s="206" t="inlineStr">
        <is>
          <t>ANGRY BIRDS MOVIE 2, THE</t>
        </is>
      </c>
      <c r="AJ299" s="128">
        <f>SUMIF('TK 15661.Bản quyền phim '!F:F,'KK1. Movies'!D299,'TK 15661.Bản quyền phim '!X:X)</f>
        <v/>
      </c>
      <c r="AK299" s="128">
        <f>SUMIF('TK 15661.Bản quyền phim '!F:F,'KK1. Movies'!AI299,'TK 15661.Bản quyền phim '!X:X)</f>
        <v/>
      </c>
      <c r="AL299" s="203">
        <f>COUNTIF('242.BQ Phim hợp tác'!$C:$C,'KK1. Movies'!AI299)</f>
        <v/>
      </c>
      <c r="AM299" s="203">
        <f>COUNTIF('TK 15661.Bản quyền phim '!F:F,'KK1. Movies'!AI299)</f>
        <v/>
      </c>
      <c r="AN299" s="546">
        <f>AL299+AM299</f>
        <v/>
      </c>
      <c r="AO299" s="203" t="n"/>
      <c r="AP299" s="203" t="n"/>
      <c r="AQ299" s="203" t="n"/>
      <c r="AR299" s="203" t="n"/>
      <c r="AS299" s="203" t="n"/>
      <c r="AT299" s="546">
        <f>IFERROR(VLOOKUP(C299, CodeRanMovies!$A:$K, 11, 0), "Not found")</f>
        <v/>
      </c>
    </row>
    <row r="300" ht="52.8" customHeight="1" s="578">
      <c r="A300" s="201">
        <f>_xlfn.AGGREGATE(3,3,$D$7:D300)</f>
        <v/>
      </c>
      <c r="B300" s="606" t="inlineStr">
        <is>
          <t>n/a</t>
        </is>
      </c>
      <c r="C300" s="234" t="inlineStr">
        <is>
          <t>MOV_ACT620</t>
        </is>
      </c>
      <c r="D300" s="108" t="n">
        <v>2012</v>
      </c>
      <c r="E300" s="110" t="n">
        <v>2012</v>
      </c>
      <c r="F300" s="590" t="inlineStr">
        <is>
          <t>Action, Adventure</t>
        </is>
      </c>
      <c r="G300" s="103" t="inlineStr">
        <is>
          <t>SONY</t>
        </is>
      </c>
      <c r="H300" s="590" t="inlineStr">
        <is>
          <t>Sony/K+Vietnam PayBasic SVOD Package Agmt D3A FE (Feb-5-24)</t>
        </is>
      </c>
      <c r="I300" s="104" t="n">
        <v>2009</v>
      </c>
      <c r="J300" s="104" t="inlineStr">
        <is>
          <t>U.S.A.[excluding Territories &amp; Possessions]</t>
        </is>
      </c>
      <c r="K300" s="104" t="n">
        <v>157</v>
      </c>
      <c r="L300" s="591" t="n">
        <v>45884</v>
      </c>
      <c r="M300" s="106" t="n">
        <v>46613</v>
      </c>
      <c r="N300" s="601" t="n"/>
      <c r="O300" s="592" t="n"/>
      <c r="P300" s="592" t="n"/>
      <c r="Q300" s="104" t="inlineStr">
        <is>
          <t>No</t>
        </is>
      </c>
      <c r="R300" s="104" t="inlineStr">
        <is>
          <t>Yes</t>
        </is>
      </c>
      <c r="S300" s="104" t="inlineStr">
        <is>
          <t>Yes</t>
        </is>
      </c>
      <c r="T300" s="592" t="inlineStr">
        <is>
          <t>Yes</t>
        </is>
      </c>
      <c r="U300" s="104" t="inlineStr">
        <is>
          <t>No</t>
        </is>
      </c>
      <c r="V300" s="104" t="inlineStr">
        <is>
          <t>No</t>
        </is>
      </c>
      <c r="W300" s="104" t="inlineStr">
        <is>
          <t>No</t>
        </is>
      </c>
      <c r="X300" s="104" t="inlineStr">
        <is>
          <t>Yes</t>
        </is>
      </c>
      <c r="Y300" s="104" t="inlineStr">
        <is>
          <t>No</t>
        </is>
      </c>
      <c r="Z300" s="106" t="n">
        <v>45884</v>
      </c>
      <c r="AA300" s="124" t="n">
        <v>46432</v>
      </c>
      <c r="AB300" s="104" t="n">
        <v>7</v>
      </c>
      <c r="AC300" s="202" t="n"/>
      <c r="AD300" s="592" t="inlineStr">
        <is>
          <t>Yes</t>
        </is>
      </c>
      <c r="AE300" s="592" t="inlineStr">
        <is>
          <t>Yes</t>
        </is>
      </c>
      <c r="AF300" s="600" t="n"/>
      <c r="AG300" s="593" t="inlineStr">
        <is>
          <t>Phim còn hạn từ 2026</t>
        </is>
      </c>
      <c r="AH300" s="594" t="n"/>
      <c r="AI300" s="206" t="n">
        <v>2012</v>
      </c>
      <c r="AJ300" s="128">
        <f>SUMIF('TK 15661.Bản quyền phim '!F:F,'KK1. Movies'!D300,'TK 15661.Bản quyền phim '!X:X)</f>
        <v/>
      </c>
      <c r="AK300" s="128">
        <f>SUMIF('TK 15661.Bản quyền phim '!F:F,'KK1. Movies'!AI300,'TK 15661.Bản quyền phim '!X:X)</f>
        <v/>
      </c>
      <c r="AL300" s="203">
        <f>COUNTIF('242.BQ Phim hợp tác'!$C:$C,'KK1. Movies'!AI300)</f>
        <v/>
      </c>
      <c r="AM300" s="203">
        <f>COUNTIF('TK 15661.Bản quyền phim '!F:F,'KK1. Movies'!AI300)</f>
        <v/>
      </c>
      <c r="AN300" s="546">
        <f>AL300+AM300</f>
        <v/>
      </c>
      <c r="AO300" s="203" t="n"/>
      <c r="AP300" s="203" t="n"/>
      <c r="AQ300" s="203" t="n"/>
      <c r="AR300" s="203" t="n"/>
      <c r="AS300" s="203" t="n"/>
      <c r="AT300" s="546">
        <f>IFERROR(VLOOKUP(C300, CodeRanMovies!$A:$K, 11, 0), "Not found")</f>
        <v/>
      </c>
    </row>
    <row r="301" ht="26.4" customHeight="1" s="578">
      <c r="A301" s="201">
        <f>_xlfn.AGGREGATE(3,3,$D$7:D301)</f>
        <v/>
      </c>
      <c r="B301" s="589" t="n"/>
      <c r="C301" s="234" t="inlineStr">
        <is>
          <t>MOV_ANI89</t>
        </is>
      </c>
      <c r="D301" s="105" t="inlineStr">
        <is>
          <t>MADAGASCAR: ESCAPE 2 AFRICA</t>
        </is>
      </c>
      <c r="E301" s="110" t="inlineStr">
        <is>
          <t>Madagascar 2: Tẩu thoát đến Châu Phi</t>
        </is>
      </c>
      <c r="F301" s="108" t="inlineStr">
        <is>
          <t>Animated; Comedy; Family Oriented</t>
        </is>
      </c>
      <c r="G301" s="103" t="inlineStr">
        <is>
          <t>NBC Universal</t>
        </is>
      </c>
      <c r="H301" s="108" t="inlineStr">
        <is>
          <t>5051370-3/166015-3</t>
        </is>
      </c>
      <c r="I301" s="107" t="n">
        <v>2008</v>
      </c>
      <c r="J301" s="104" t="inlineStr">
        <is>
          <t>US</t>
        </is>
      </c>
      <c r="K301" s="107" t="n">
        <v>89</v>
      </c>
      <c r="L301" s="109" t="n">
        <v>45857</v>
      </c>
      <c r="M301" s="109" t="n">
        <v>46495</v>
      </c>
      <c r="N301" s="601" t="n"/>
      <c r="O301" s="592" t="n"/>
      <c r="P301" s="104" t="n">
        <v>12</v>
      </c>
      <c r="Q301" s="104" t="inlineStr">
        <is>
          <t>No</t>
        </is>
      </c>
      <c r="R301" s="104" t="inlineStr">
        <is>
          <t>Yes</t>
        </is>
      </c>
      <c r="S301" s="104" t="inlineStr">
        <is>
          <t>Yes</t>
        </is>
      </c>
      <c r="T301" s="104" t="inlineStr">
        <is>
          <t>Yes</t>
        </is>
      </c>
      <c r="U301" s="104" t="inlineStr">
        <is>
          <t>No</t>
        </is>
      </c>
      <c r="V301" s="104" t="inlineStr">
        <is>
          <t>No</t>
        </is>
      </c>
      <c r="W301" s="104" t="inlineStr">
        <is>
          <t>No</t>
        </is>
      </c>
      <c r="X301" s="104" t="inlineStr">
        <is>
          <t>Yes</t>
        </is>
      </c>
      <c r="Y301" s="104" t="inlineStr">
        <is>
          <t>Yes</t>
        </is>
      </c>
      <c r="Z301" s="109" t="n">
        <v>45857</v>
      </c>
      <c r="AA301" s="125" t="n">
        <v>46495</v>
      </c>
      <c r="AB301" s="104" t="n">
        <v>5</v>
      </c>
      <c r="AC301" s="202" t="n">
        <v>3</v>
      </c>
      <c r="AD301" s="592" t="inlineStr">
        <is>
          <t>Yes</t>
        </is>
      </c>
      <c r="AE301" s="592" t="inlineStr">
        <is>
          <t>Yes</t>
        </is>
      </c>
      <c r="AF301" s="600" t="n"/>
      <c r="AG301" s="593" t="inlineStr">
        <is>
          <t>Phim còn hạn từ 2026</t>
        </is>
      </c>
      <c r="AH301" s="594" t="n"/>
      <c r="AI301" s="206" t="inlineStr">
        <is>
          <t>MADAGASCAR: ESCAPE 2 AFRICA</t>
        </is>
      </c>
      <c r="AJ301" s="128">
        <f>SUMIF('TK 15661.Bản quyền phim '!F:F,'KK1. Movies'!D301,'TK 15661.Bản quyền phim '!X:X)</f>
        <v/>
      </c>
      <c r="AK301" s="128">
        <f>SUMIF('TK 15661.Bản quyền phim '!F:F,'KK1. Movies'!AI301,'TK 15661.Bản quyền phim '!X:X)</f>
        <v/>
      </c>
      <c r="AL301" s="203">
        <f>COUNTIF('242.BQ Phim hợp tác'!$C:$C,'KK1. Movies'!AI301)</f>
        <v/>
      </c>
      <c r="AM301" s="203">
        <f>COUNTIF('TK 15661.Bản quyền phim '!F:F,'KK1. Movies'!AI301)</f>
        <v/>
      </c>
      <c r="AN301" s="546">
        <f>AL301+AM301</f>
        <v/>
      </c>
      <c r="AO301" s="203" t="n"/>
      <c r="AP301" s="203" t="n"/>
      <c r="AQ301" s="203" t="n"/>
      <c r="AR301" s="203" t="n"/>
      <c r="AS301" s="203" t="n"/>
      <c r="AT301" s="546">
        <f>IFERROR(VLOOKUP(C301, CodeRanMovies!$A:$K, 11, 0), "Not found")</f>
        <v/>
      </c>
    </row>
    <row r="302">
      <c r="A302" s="201">
        <f>_xlfn.AGGREGATE(3,3,$D$7:D302)</f>
        <v/>
      </c>
      <c r="B302" s="589" t="n"/>
      <c r="C302" s="590" t="inlineStr">
        <is>
          <t>MOV_COM297</t>
        </is>
      </c>
      <c r="D302" s="105" t="inlineStr">
        <is>
          <t>BLOCKERS</t>
        </is>
      </c>
      <c r="E302" s="110" t="inlineStr">
        <is>
          <t>Kỳ đà cản mũi</t>
        </is>
      </c>
      <c r="F302" s="103" t="inlineStr">
        <is>
          <t>Comedy/Drama</t>
        </is>
      </c>
      <c r="G302" s="103" t="inlineStr">
        <is>
          <t>NBC Universal</t>
        </is>
      </c>
      <c r="H302" s="108" t="inlineStr">
        <is>
          <t>5051370-3/166015-3</t>
        </is>
      </c>
      <c r="I302" s="107" t="n">
        <v>2018</v>
      </c>
      <c r="J302" s="104" t="inlineStr">
        <is>
          <t>US</t>
        </is>
      </c>
      <c r="K302" s="107" t="n">
        <v>102</v>
      </c>
      <c r="L302" s="109" t="n">
        <v>45891</v>
      </c>
      <c r="M302" s="109" t="n">
        <v>46528</v>
      </c>
      <c r="N302" s="601" t="n"/>
      <c r="O302" s="592" t="n"/>
      <c r="P302" s="104" t="n">
        <v>12</v>
      </c>
      <c r="Q302" s="104" t="inlineStr">
        <is>
          <t>No</t>
        </is>
      </c>
      <c r="R302" s="104" t="inlineStr">
        <is>
          <t>Yes</t>
        </is>
      </c>
      <c r="S302" s="104" t="inlineStr">
        <is>
          <t>Yes</t>
        </is>
      </c>
      <c r="T302" s="592" t="inlineStr">
        <is>
          <t>Yes</t>
        </is>
      </c>
      <c r="U302" s="104" t="inlineStr">
        <is>
          <t>No</t>
        </is>
      </c>
      <c r="V302" s="104" t="inlineStr">
        <is>
          <t>No</t>
        </is>
      </c>
      <c r="W302" s="104" t="inlineStr">
        <is>
          <t>No</t>
        </is>
      </c>
      <c r="X302" s="104" t="inlineStr">
        <is>
          <t>Yes</t>
        </is>
      </c>
      <c r="Y302" s="104" t="inlineStr">
        <is>
          <t>Yes</t>
        </is>
      </c>
      <c r="Z302" s="109" t="n">
        <v>45891</v>
      </c>
      <c r="AA302" s="125" t="n">
        <v>46528</v>
      </c>
      <c r="AB302" s="104" t="n">
        <v>5</v>
      </c>
      <c r="AC302" s="202" t="n"/>
      <c r="AD302" s="592" t="inlineStr">
        <is>
          <t>Yes</t>
        </is>
      </c>
      <c r="AE302" s="592" t="inlineStr">
        <is>
          <t>Yes</t>
        </is>
      </c>
      <c r="AF302" s="600" t="n"/>
      <c r="AG302" s="593" t="inlineStr">
        <is>
          <t>Phim còn hạn từ 2026</t>
        </is>
      </c>
      <c r="AH302" s="594" t="n"/>
      <c r="AI302" s="206" t="inlineStr">
        <is>
          <t>BLOCKERS</t>
        </is>
      </c>
      <c r="AJ302" s="128">
        <f>SUMIF('TK 15661.Bản quyền phim '!F:F,'KK1. Movies'!D302,'TK 15661.Bản quyền phim '!X:X)</f>
        <v/>
      </c>
      <c r="AK302" s="128">
        <f>SUMIF('TK 15661.Bản quyền phim '!F:F,'KK1. Movies'!AI302,'TK 15661.Bản quyền phim '!X:X)</f>
        <v/>
      </c>
      <c r="AL302" s="203">
        <f>COUNTIF('242.BQ Phim hợp tác'!$C:$C,'KK1. Movies'!AI302)</f>
        <v/>
      </c>
      <c r="AM302" s="203">
        <f>COUNTIF('TK 15661.Bản quyền phim '!F:F,'KK1. Movies'!AI302)</f>
        <v/>
      </c>
      <c r="AN302" s="546">
        <f>AL302+AM302</f>
        <v/>
      </c>
      <c r="AO302" s="203" t="n"/>
      <c r="AP302" s="203" t="n"/>
      <c r="AQ302" s="203" t="n"/>
      <c r="AR302" s="203" t="n"/>
      <c r="AS302" s="203" t="n"/>
      <c r="AT302" s="546">
        <f>IFERROR(VLOOKUP(C302, CodeRanMovies!$A:$K, 11, 0), "Not found")</f>
        <v/>
      </c>
    </row>
    <row r="303" ht="26.4" customHeight="1" s="578">
      <c r="A303" s="201">
        <f>_xlfn.AGGREGATE(3,3,$D$7:D303)</f>
        <v/>
      </c>
      <c r="B303" s="589" t="n"/>
      <c r="C303" s="234" t="inlineStr">
        <is>
          <t>MOV_KID9</t>
        </is>
      </c>
      <c r="D303" s="105" t="inlineStr">
        <is>
          <t>SUPER MARIO BROS. MOVIE, THE</t>
        </is>
      </c>
      <c r="E303" s="110" t="inlineStr">
        <is>
          <t>Anh em Super Mario</t>
        </is>
      </c>
      <c r="F303" s="108" t="inlineStr">
        <is>
          <t>Animated; Comedy; Family Oriented</t>
        </is>
      </c>
      <c r="G303" s="103" t="inlineStr">
        <is>
          <t>NBC Universal</t>
        </is>
      </c>
      <c r="H303" s="108" t="inlineStr">
        <is>
          <t>5051370-3/166015-3</t>
        </is>
      </c>
      <c r="I303" s="107" t="n">
        <v>2022</v>
      </c>
      <c r="J303" s="104" t="inlineStr">
        <is>
          <t>US</t>
        </is>
      </c>
      <c r="K303" s="107" t="n">
        <v>92</v>
      </c>
      <c r="L303" s="109" t="n">
        <v>45892</v>
      </c>
      <c r="M303" s="109" t="n">
        <v>46621</v>
      </c>
      <c r="N303" s="601" t="n"/>
      <c r="O303" s="592" t="n"/>
      <c r="P303" s="104" t="n">
        <v>12</v>
      </c>
      <c r="Q303" s="104" t="inlineStr">
        <is>
          <t>No</t>
        </is>
      </c>
      <c r="R303" s="104" t="inlineStr">
        <is>
          <t>Yes</t>
        </is>
      </c>
      <c r="S303" s="104" t="inlineStr">
        <is>
          <t>Yes</t>
        </is>
      </c>
      <c r="T303" s="104" t="inlineStr">
        <is>
          <t>Yes</t>
        </is>
      </c>
      <c r="U303" s="104" t="inlineStr">
        <is>
          <t>No</t>
        </is>
      </c>
      <c r="V303" s="104" t="inlineStr">
        <is>
          <t>No</t>
        </is>
      </c>
      <c r="W303" s="104" t="inlineStr">
        <is>
          <t>No</t>
        </is>
      </c>
      <c r="X303" s="104" t="inlineStr">
        <is>
          <t>Yes</t>
        </is>
      </c>
      <c r="Y303" s="104" t="inlineStr">
        <is>
          <t>Yes</t>
        </is>
      </c>
      <c r="Z303" s="109" t="n">
        <v>45892</v>
      </c>
      <c r="AA303" s="125" t="n">
        <v>46621</v>
      </c>
      <c r="AB303" s="104" t="n">
        <v>6</v>
      </c>
      <c r="AC303" s="202" t="n">
        <v>3</v>
      </c>
      <c r="AD303" s="592" t="inlineStr">
        <is>
          <t>Yes</t>
        </is>
      </c>
      <c r="AE303" s="592" t="inlineStr">
        <is>
          <t>Yes</t>
        </is>
      </c>
      <c r="AF303" s="600" t="n"/>
      <c r="AG303" s="593" t="inlineStr">
        <is>
          <t>Phim còn hạn từ 2026</t>
        </is>
      </c>
      <c r="AH303" s="594" t="n"/>
      <c r="AI303" s="206" t="inlineStr">
        <is>
          <t>SUPER MARIO BROS. MOVIE, THE</t>
        </is>
      </c>
      <c r="AJ303" s="128">
        <f>SUMIF('TK 15661.Bản quyền phim '!F:F,'KK1. Movies'!D303,'TK 15661.Bản quyền phim '!X:X)</f>
        <v/>
      </c>
      <c r="AK303" s="128">
        <f>SUMIF('TK 15661.Bản quyền phim '!F:F,'KK1. Movies'!AI303,'TK 15661.Bản quyền phim '!X:X)</f>
        <v/>
      </c>
      <c r="AL303" s="203">
        <f>COUNTIF('242.BQ Phim hợp tác'!$C:$C,'KK1. Movies'!AI303)</f>
        <v/>
      </c>
      <c r="AM303" s="203">
        <f>COUNTIF('TK 15661.Bản quyền phim '!F:F,'KK1. Movies'!AI303)</f>
        <v/>
      </c>
      <c r="AN303" s="546">
        <f>AL303+AM303</f>
        <v/>
      </c>
      <c r="AO303" s="203" t="n"/>
      <c r="AP303" s="203" t="n"/>
      <c r="AQ303" s="203" t="n"/>
      <c r="AR303" s="203" t="n"/>
      <c r="AS303" s="203" t="n"/>
      <c r="AT303" s="546">
        <f>IFERROR(VLOOKUP(C303, CodeRanMovies!$A:$K, 11, 0), "Not found")</f>
        <v/>
      </c>
    </row>
    <row r="304">
      <c r="A304" s="201">
        <f>_xlfn.AGGREGATE(3,3,$D$7:D304)</f>
        <v/>
      </c>
      <c r="B304" s="589" t="n"/>
      <c r="C304" s="590" t="inlineStr">
        <is>
          <t>MOV_ACT617</t>
        </is>
      </c>
      <c r="D304" s="105" t="inlineStr">
        <is>
          <t>BEAST (2022)</t>
        </is>
      </c>
      <c r="E304" s="110" t="inlineStr">
        <is>
          <t>Quái vật đảo Jersey</t>
        </is>
      </c>
      <c r="F304" s="103" t="inlineStr">
        <is>
          <t>Horror/Action</t>
        </is>
      </c>
      <c r="G304" s="103" t="inlineStr">
        <is>
          <t>NBC Universal</t>
        </is>
      </c>
      <c r="H304" s="108" t="inlineStr">
        <is>
          <t>5051370-3/166015-3</t>
        </is>
      </c>
      <c r="I304" s="107" t="n">
        <v>2021</v>
      </c>
      <c r="J304" s="104" t="inlineStr">
        <is>
          <t>US</t>
        </is>
      </c>
      <c r="K304" s="107" t="n">
        <v>93</v>
      </c>
      <c r="L304" s="109" t="n">
        <v>45897</v>
      </c>
      <c r="M304" s="109" t="n">
        <v>46626</v>
      </c>
      <c r="N304" s="601" t="n"/>
      <c r="O304" s="592" t="n"/>
      <c r="P304" s="104" t="n">
        <v>0</v>
      </c>
      <c r="Q304" s="104" t="inlineStr">
        <is>
          <t>No</t>
        </is>
      </c>
      <c r="R304" s="104" t="inlineStr">
        <is>
          <t>Yes</t>
        </is>
      </c>
      <c r="S304" s="104" t="inlineStr">
        <is>
          <t>Yes</t>
        </is>
      </c>
      <c r="T304" s="592" t="inlineStr">
        <is>
          <t>Yes</t>
        </is>
      </c>
      <c r="U304" s="104" t="inlineStr">
        <is>
          <t>No</t>
        </is>
      </c>
      <c r="V304" s="104" t="inlineStr">
        <is>
          <t>No</t>
        </is>
      </c>
      <c r="W304" s="104" t="inlineStr">
        <is>
          <t>No</t>
        </is>
      </c>
      <c r="X304" s="104" t="inlineStr">
        <is>
          <t>Yes</t>
        </is>
      </c>
      <c r="Y304" s="104" t="inlineStr">
        <is>
          <t>Yes</t>
        </is>
      </c>
      <c r="Z304" s="109" t="n">
        <v>45897</v>
      </c>
      <c r="AA304" s="125" t="n">
        <v>46626</v>
      </c>
      <c r="AB304" s="104" t="n">
        <v>6</v>
      </c>
      <c r="AC304" s="202" t="n"/>
      <c r="AD304" s="592" t="inlineStr">
        <is>
          <t>Yes</t>
        </is>
      </c>
      <c r="AE304" s="592" t="inlineStr">
        <is>
          <t>Yes</t>
        </is>
      </c>
      <c r="AF304" s="600" t="n"/>
      <c r="AG304" s="593" t="inlineStr">
        <is>
          <t>Phim còn hạn từ 2026</t>
        </is>
      </c>
      <c r="AH304" s="594" t="n"/>
      <c r="AI304" s="206" t="inlineStr">
        <is>
          <t>BEAST (2022)</t>
        </is>
      </c>
      <c r="AJ304" s="128">
        <f>SUMIF('TK 15661.Bản quyền phim '!F:F,'KK1. Movies'!D304,'TK 15661.Bản quyền phim '!X:X)</f>
        <v/>
      </c>
      <c r="AK304" s="128">
        <f>SUMIF('TK 15661.Bản quyền phim '!F:F,'KK1. Movies'!AI304,'TK 15661.Bản quyền phim '!X:X)</f>
        <v/>
      </c>
      <c r="AL304" s="203">
        <f>COUNTIF('242.BQ Phim hợp tác'!$C:$C,'KK1. Movies'!AI304)</f>
        <v/>
      </c>
      <c r="AM304" s="203">
        <f>COUNTIF('TK 15661.Bản quyền phim '!F:F,'KK1. Movies'!AI304)</f>
        <v/>
      </c>
      <c r="AN304" s="546">
        <f>AL304+AM304</f>
        <v/>
      </c>
      <c r="AO304" s="203" t="n"/>
      <c r="AP304" s="203" t="n"/>
      <c r="AQ304" s="203" t="n"/>
      <c r="AR304" s="203" t="n"/>
      <c r="AS304" s="203" t="n"/>
      <c r="AT304" s="546">
        <f>IFERROR(VLOOKUP(C304, CodeRanMovies!$A:$K, 11, 0), "Not found")</f>
        <v/>
      </c>
    </row>
    <row r="305">
      <c r="A305" s="201">
        <f>_xlfn.AGGREGATE(3,3,$D$7:D305)</f>
        <v/>
      </c>
      <c r="B305" s="589" t="n"/>
      <c r="C305" s="590" t="inlineStr">
        <is>
          <t>MOV_WAR4</t>
        </is>
      </c>
      <c r="D305" s="105" t="inlineStr">
        <is>
          <t>UNBROKEN</t>
        </is>
      </c>
      <c r="E305" s="590" t="inlineStr">
        <is>
          <t>Không khuất phục</t>
        </is>
      </c>
      <c r="F305" s="103" t="inlineStr">
        <is>
          <t>War/Action</t>
        </is>
      </c>
      <c r="G305" s="103" t="inlineStr">
        <is>
          <t>NBC Universal</t>
        </is>
      </c>
      <c r="H305" s="108" t="inlineStr">
        <is>
          <t>5051370-3/166015-3</t>
        </is>
      </c>
      <c r="I305" s="107" t="n">
        <v>2014</v>
      </c>
      <c r="J305" s="104" t="inlineStr">
        <is>
          <t>US</t>
        </is>
      </c>
      <c r="K305" s="107" t="n">
        <v>137</v>
      </c>
      <c r="L305" s="109" t="n">
        <v>45905</v>
      </c>
      <c r="M305" s="109" t="n">
        <v>46542</v>
      </c>
      <c r="N305" s="601" t="n"/>
      <c r="O305" s="592" t="n"/>
      <c r="P305" s="104" t="n">
        <v>12</v>
      </c>
      <c r="Q305" s="104" t="inlineStr">
        <is>
          <t>No</t>
        </is>
      </c>
      <c r="R305" s="104" t="inlineStr">
        <is>
          <t>Yes</t>
        </is>
      </c>
      <c r="S305" s="104" t="inlineStr">
        <is>
          <t>Yes</t>
        </is>
      </c>
      <c r="T305" s="592" t="inlineStr">
        <is>
          <t>Yes</t>
        </is>
      </c>
      <c r="U305" s="104" t="inlineStr">
        <is>
          <t>No</t>
        </is>
      </c>
      <c r="V305" s="104" t="inlineStr">
        <is>
          <t>No</t>
        </is>
      </c>
      <c r="W305" s="104" t="inlineStr">
        <is>
          <t>No</t>
        </is>
      </c>
      <c r="X305" s="104" t="inlineStr">
        <is>
          <t>Yes</t>
        </is>
      </c>
      <c r="Y305" s="104" t="inlineStr">
        <is>
          <t>Yes</t>
        </is>
      </c>
      <c r="Z305" s="109" t="n">
        <v>45905</v>
      </c>
      <c r="AA305" s="125" t="n">
        <v>46542</v>
      </c>
      <c r="AB305" s="104" t="n">
        <v>5</v>
      </c>
      <c r="AC305" s="202" t="n"/>
      <c r="AD305" s="592" t="inlineStr">
        <is>
          <t>Yes</t>
        </is>
      </c>
      <c r="AE305" s="592" t="inlineStr">
        <is>
          <t>Yes</t>
        </is>
      </c>
      <c r="AF305" s="600" t="n"/>
      <c r="AG305" s="593" t="inlineStr">
        <is>
          <t>Phim còn hạn từ 2026</t>
        </is>
      </c>
      <c r="AH305" s="594" t="n"/>
      <c r="AI305" s="206" t="inlineStr">
        <is>
          <t>UNBROKEN</t>
        </is>
      </c>
      <c r="AJ305" s="128">
        <f>SUMIF('TK 15661.Bản quyền phim '!F:F,'KK1. Movies'!D305,'TK 15661.Bản quyền phim '!X:X)</f>
        <v/>
      </c>
      <c r="AK305" s="128">
        <f>SUMIF('TK 15661.Bản quyền phim '!F:F,'KK1. Movies'!AI305,'TK 15661.Bản quyền phim '!X:X)</f>
        <v/>
      </c>
      <c r="AL305" s="203">
        <f>COUNTIF('242.BQ Phim hợp tác'!$C:$C,'KK1. Movies'!AI305)</f>
        <v/>
      </c>
      <c r="AM305" s="203">
        <f>COUNTIF('TK 15661.Bản quyền phim '!F:F,'KK1. Movies'!AI305)</f>
        <v/>
      </c>
      <c r="AN305" s="546">
        <f>AL305+AM305</f>
        <v/>
      </c>
      <c r="AO305" s="203" t="n"/>
      <c r="AP305" s="203" t="n"/>
      <c r="AQ305" s="203" t="n"/>
      <c r="AR305" s="203" t="n"/>
      <c r="AS305" s="203" t="n"/>
      <c r="AT305" s="546">
        <f>IFERROR(VLOOKUP(C305, CodeRanMovies!$A:$K, 11, 0), "Not found")</f>
        <v/>
      </c>
    </row>
    <row r="306" ht="26.4" customHeight="1" s="578">
      <c r="A306" s="201">
        <f>_xlfn.AGGREGATE(3,3,$D$7:D306)</f>
        <v/>
      </c>
      <c r="B306" s="589" t="n"/>
      <c r="C306" s="590" t="inlineStr">
        <is>
          <t>MOV_ACT622</t>
        </is>
      </c>
      <c r="D306" s="105" t="inlineStr">
        <is>
          <t>CENTRAL INTELLIGENCE</t>
        </is>
      </c>
      <c r="E306" s="590" t="inlineStr">
        <is>
          <t>Điệp viên không hoàn hảo</t>
        </is>
      </c>
      <c r="F306" s="103" t="inlineStr">
        <is>
          <t>Comedy/Action</t>
        </is>
      </c>
      <c r="G306" s="103" t="inlineStr">
        <is>
          <t>NBC Universal</t>
        </is>
      </c>
      <c r="H306" s="108" t="inlineStr">
        <is>
          <t>5051370-3/166015-3</t>
        </is>
      </c>
      <c r="I306" s="107" t="n">
        <v>2016</v>
      </c>
      <c r="J306" s="104" t="inlineStr">
        <is>
          <t>US</t>
        </is>
      </c>
      <c r="K306" s="107" t="n">
        <v>107</v>
      </c>
      <c r="L306" s="109" t="n">
        <v>45912</v>
      </c>
      <c r="M306" s="109" t="n">
        <v>46549</v>
      </c>
      <c r="N306" s="601" t="n"/>
      <c r="O306" s="592" t="n"/>
      <c r="P306" s="104" t="n">
        <v>12</v>
      </c>
      <c r="Q306" s="104" t="inlineStr">
        <is>
          <t>No</t>
        </is>
      </c>
      <c r="R306" s="104" t="inlineStr">
        <is>
          <t>Yes</t>
        </is>
      </c>
      <c r="S306" s="104" t="inlineStr">
        <is>
          <t>Yes</t>
        </is>
      </c>
      <c r="T306" s="592" t="inlineStr">
        <is>
          <t>Yes</t>
        </is>
      </c>
      <c r="U306" s="104" t="inlineStr">
        <is>
          <t>No</t>
        </is>
      </c>
      <c r="V306" s="104" t="inlineStr">
        <is>
          <t>No</t>
        </is>
      </c>
      <c r="W306" s="104" t="inlineStr">
        <is>
          <t>No</t>
        </is>
      </c>
      <c r="X306" s="104" t="inlineStr">
        <is>
          <t>Yes</t>
        </is>
      </c>
      <c r="Y306" s="104" t="inlineStr">
        <is>
          <t>Yes</t>
        </is>
      </c>
      <c r="Z306" s="109" t="n">
        <v>45912</v>
      </c>
      <c r="AA306" s="125" t="n">
        <v>46549</v>
      </c>
      <c r="AB306" s="104" t="n">
        <v>5</v>
      </c>
      <c r="AC306" s="202" t="n"/>
      <c r="AD306" s="592" t="inlineStr">
        <is>
          <t>Yes</t>
        </is>
      </c>
      <c r="AE306" s="592" t="inlineStr">
        <is>
          <t>Yes</t>
        </is>
      </c>
      <c r="AF306" s="600" t="n"/>
      <c r="AG306" s="593" t="inlineStr">
        <is>
          <t>Phim còn hạn từ 2026</t>
        </is>
      </c>
      <c r="AH306" s="594" t="n"/>
      <c r="AI306" s="206" t="inlineStr">
        <is>
          <t>CENTRAL INTELLIGENCE</t>
        </is>
      </c>
      <c r="AJ306" s="128">
        <f>SUMIF('TK 15661.Bản quyền phim '!F:F,'KK1. Movies'!D306,'TK 15661.Bản quyền phim '!X:X)</f>
        <v/>
      </c>
      <c r="AK306" s="128">
        <f>SUMIF('TK 15661.Bản quyền phim '!F:F,'KK1. Movies'!AI306,'TK 15661.Bản quyền phim '!X:X)</f>
        <v/>
      </c>
      <c r="AL306" s="203">
        <f>COUNTIF('242.BQ Phim hợp tác'!$C:$C,'KK1. Movies'!AI306)</f>
        <v/>
      </c>
      <c r="AM306" s="203">
        <f>COUNTIF('TK 15661.Bản quyền phim '!F:F,'KK1. Movies'!AI306)</f>
        <v/>
      </c>
      <c r="AN306" s="546">
        <f>AL306+AM306</f>
        <v/>
      </c>
      <c r="AO306" s="203" t="n"/>
      <c r="AP306" s="203" t="n"/>
      <c r="AQ306" s="203" t="n"/>
      <c r="AR306" s="203" t="n"/>
      <c r="AS306" s="203" t="n"/>
      <c r="AT306" s="546">
        <f>IFERROR(VLOOKUP(C306, CodeRanMovies!$A:$K, 11, 0), "Not found")</f>
        <v/>
      </c>
    </row>
    <row r="307">
      <c r="A307" s="201">
        <f>_xlfn.AGGREGATE(3,3,$D$7:D307)</f>
        <v/>
      </c>
      <c r="B307" s="589" t="n"/>
      <c r="C307" s="234" t="inlineStr">
        <is>
          <t>MOV_CRI116</t>
        </is>
      </c>
      <c r="D307" s="105" t="inlineStr">
        <is>
          <t>OUTFIT, THE</t>
        </is>
      </c>
      <c r="E307" s="590" t="inlineStr">
        <is>
          <t>Thợ may</t>
        </is>
      </c>
      <c r="F307" s="103" t="inlineStr">
        <is>
          <t>Thriller/Crime</t>
        </is>
      </c>
      <c r="G307" s="103" t="inlineStr">
        <is>
          <t>NBC Universal</t>
        </is>
      </c>
      <c r="H307" s="108" t="inlineStr">
        <is>
          <t>5051370-3/166015-3</t>
        </is>
      </c>
      <c r="I307" s="107" t="n">
        <v>2021</v>
      </c>
      <c r="J307" s="104" t="inlineStr">
        <is>
          <t>US/UK</t>
        </is>
      </c>
      <c r="K307" s="107" t="n">
        <v>105</v>
      </c>
      <c r="L307" s="109" t="n">
        <v>45925</v>
      </c>
      <c r="M307" s="109" t="n">
        <v>46654</v>
      </c>
      <c r="N307" s="601" t="n"/>
      <c r="O307" s="592" t="n"/>
      <c r="P307" s="104" t="n">
        <v>12</v>
      </c>
      <c r="Q307" s="104" t="inlineStr">
        <is>
          <t>No</t>
        </is>
      </c>
      <c r="R307" s="104" t="inlineStr">
        <is>
          <t>Yes</t>
        </is>
      </c>
      <c r="S307" s="104" t="inlineStr">
        <is>
          <t>Yes</t>
        </is>
      </c>
      <c r="T307" s="592" t="inlineStr">
        <is>
          <t>Yes</t>
        </is>
      </c>
      <c r="U307" s="104" t="inlineStr">
        <is>
          <t>No</t>
        </is>
      </c>
      <c r="V307" s="104" t="inlineStr">
        <is>
          <t>No</t>
        </is>
      </c>
      <c r="W307" s="104" t="inlineStr">
        <is>
          <t>No</t>
        </is>
      </c>
      <c r="X307" s="104" t="inlineStr">
        <is>
          <t>Yes</t>
        </is>
      </c>
      <c r="Y307" s="104" t="inlineStr">
        <is>
          <t>Yes</t>
        </is>
      </c>
      <c r="Z307" s="109" t="n">
        <v>45925</v>
      </c>
      <c r="AA307" s="125" t="n">
        <v>46654</v>
      </c>
      <c r="AB307" s="104" t="n">
        <v>6</v>
      </c>
      <c r="AC307" s="202" t="n"/>
      <c r="AD307" s="592" t="inlineStr">
        <is>
          <t>Yes</t>
        </is>
      </c>
      <c r="AE307" s="592" t="inlineStr">
        <is>
          <t>Yes</t>
        </is>
      </c>
      <c r="AF307" s="600" t="n"/>
      <c r="AG307" s="593" t="inlineStr">
        <is>
          <t>Phim còn hạn từ 2026</t>
        </is>
      </c>
      <c r="AH307" s="594" t="n"/>
      <c r="AI307" s="206" t="inlineStr">
        <is>
          <t>OUTFIT, THE</t>
        </is>
      </c>
      <c r="AJ307" s="128">
        <f>SUMIF('TK 15661.Bản quyền phim '!F:F,'KK1. Movies'!D307,'TK 15661.Bản quyền phim '!X:X)</f>
        <v/>
      </c>
      <c r="AK307" s="128">
        <f>SUMIF('TK 15661.Bản quyền phim '!F:F,'KK1. Movies'!AI307,'TK 15661.Bản quyền phim '!X:X)</f>
        <v/>
      </c>
      <c r="AL307" s="203">
        <f>COUNTIF('242.BQ Phim hợp tác'!$C:$C,'KK1. Movies'!AI307)</f>
        <v/>
      </c>
      <c r="AM307" s="203">
        <f>COUNTIF('TK 15661.Bản quyền phim '!F:F,'KK1. Movies'!AI307)</f>
        <v/>
      </c>
      <c r="AN307" s="546">
        <f>AL307+AM307</f>
        <v/>
      </c>
      <c r="AO307" s="203" t="n"/>
      <c r="AP307" s="203" t="n"/>
      <c r="AQ307" s="203" t="n"/>
      <c r="AR307" s="203" t="n"/>
      <c r="AS307" s="203" t="n"/>
      <c r="AT307" s="546">
        <f>IFERROR(VLOOKUP(C307, CodeRanMovies!$A:$K, 11, 0), "Not found")</f>
        <v/>
      </c>
    </row>
    <row r="308" ht="26.4" customHeight="1" s="578">
      <c r="A308" s="201">
        <f>_xlfn.AGGREGATE(3,3,$D$7:D308)</f>
        <v/>
      </c>
      <c r="B308" s="589" t="n"/>
      <c r="C308" s="590" t="inlineStr">
        <is>
          <t>MOV_ACT623</t>
        </is>
      </c>
      <c r="D308" s="105" t="inlineStr">
        <is>
          <t>FAST X</t>
        </is>
      </c>
      <c r="E308" s="590" t="inlineStr">
        <is>
          <t>Quá nhanh quá nguy hiểm 10</t>
        </is>
      </c>
      <c r="F308" s="103" t="inlineStr">
        <is>
          <t xml:space="preserve">Action/Crime </t>
        </is>
      </c>
      <c r="G308" s="103" t="inlineStr">
        <is>
          <t>NBC Universal</t>
        </is>
      </c>
      <c r="H308" s="108" t="inlineStr">
        <is>
          <t>5051370-3/166015-3</t>
        </is>
      </c>
      <c r="I308" s="107" t="n">
        <v>2023</v>
      </c>
      <c r="J308" s="104" t="inlineStr">
        <is>
          <t>US</t>
        </is>
      </c>
      <c r="K308" s="107" t="n">
        <v>141</v>
      </c>
      <c r="L308" s="109" t="n">
        <v>45926</v>
      </c>
      <c r="M308" s="109" t="n">
        <v>46655</v>
      </c>
      <c r="N308" s="601" t="n"/>
      <c r="O308" s="592" t="n"/>
      <c r="P308" s="104" t="n">
        <v>12</v>
      </c>
      <c r="Q308" s="104" t="inlineStr">
        <is>
          <t>No</t>
        </is>
      </c>
      <c r="R308" s="104" t="inlineStr">
        <is>
          <t>Yes</t>
        </is>
      </c>
      <c r="S308" s="104" t="inlineStr">
        <is>
          <t>Yes</t>
        </is>
      </c>
      <c r="T308" s="592" t="inlineStr">
        <is>
          <t>Yes</t>
        </is>
      </c>
      <c r="U308" s="104" t="inlineStr">
        <is>
          <t>No</t>
        </is>
      </c>
      <c r="V308" s="104" t="inlineStr">
        <is>
          <t>No</t>
        </is>
      </c>
      <c r="W308" s="104" t="inlineStr">
        <is>
          <t>No</t>
        </is>
      </c>
      <c r="X308" s="104" t="inlineStr">
        <is>
          <t>Yes</t>
        </is>
      </c>
      <c r="Y308" s="104" t="inlineStr">
        <is>
          <t>Yes</t>
        </is>
      </c>
      <c r="Z308" s="109" t="n">
        <v>45926</v>
      </c>
      <c r="AA308" s="125" t="n">
        <v>46655</v>
      </c>
      <c r="AB308" s="104" t="n">
        <v>6</v>
      </c>
      <c r="AC308" s="202" t="n"/>
      <c r="AD308" s="592" t="inlineStr">
        <is>
          <t>Yes</t>
        </is>
      </c>
      <c r="AE308" s="592" t="inlineStr">
        <is>
          <t>Yes</t>
        </is>
      </c>
      <c r="AF308" s="600" t="n"/>
      <c r="AG308" s="593" t="inlineStr">
        <is>
          <t>Phim còn hạn từ 2026</t>
        </is>
      </c>
      <c r="AH308" s="594" t="n"/>
      <c r="AI308" s="206" t="inlineStr">
        <is>
          <t>FAST X</t>
        </is>
      </c>
      <c r="AJ308" s="128">
        <f>SUMIF('TK 15661.Bản quyền phim '!F:F,'KK1. Movies'!D308,'TK 15661.Bản quyền phim '!X:X)</f>
        <v/>
      </c>
      <c r="AK308" s="128">
        <f>SUMIF('TK 15661.Bản quyền phim '!F:F,'KK1. Movies'!AI308,'TK 15661.Bản quyền phim '!X:X)</f>
        <v/>
      </c>
      <c r="AL308" s="203">
        <f>COUNTIF('242.BQ Phim hợp tác'!$C:$C,'KK1. Movies'!AI308)</f>
        <v/>
      </c>
      <c r="AM308" s="203">
        <f>COUNTIF('TK 15661.Bản quyền phim '!F:F,'KK1. Movies'!AI308)</f>
        <v/>
      </c>
      <c r="AN308" s="546">
        <f>AL308+AM308</f>
        <v/>
      </c>
      <c r="AO308" s="203" t="n"/>
      <c r="AP308" s="203" t="n"/>
      <c r="AQ308" s="203" t="n"/>
      <c r="AR308" s="203" t="n"/>
      <c r="AS308" s="203" t="n"/>
      <c r="AT308" s="546">
        <f>IFERROR(VLOOKUP(C308, CodeRanMovies!$A:$K, 11, 0), "Not found")</f>
        <v/>
      </c>
    </row>
    <row r="309">
      <c r="A309" s="201">
        <f>_xlfn.AGGREGATE(3,3,$D$7:D309)</f>
        <v/>
      </c>
      <c r="B309" s="589" t="n"/>
      <c r="C309" s="234" t="inlineStr">
        <is>
          <t>MOV_ACT627</t>
        </is>
      </c>
      <c r="D309" s="105" t="inlineStr">
        <is>
          <t>VIOLENT NIGHT</t>
        </is>
      </c>
      <c r="E309" s="590" t="inlineStr">
        <is>
          <t>Đêm Kinh Hoàng</t>
        </is>
      </c>
      <c r="F309" s="103" t="inlineStr">
        <is>
          <t>Action/Comedy</t>
        </is>
      </c>
      <c r="G309" s="103" t="inlineStr">
        <is>
          <t>NBC Universal</t>
        </is>
      </c>
      <c r="H309" s="108" t="inlineStr">
        <is>
          <t>5051370-3/166015-3</t>
        </is>
      </c>
      <c r="I309" s="107" t="n">
        <v>2022</v>
      </c>
      <c r="J309" s="104" t="inlineStr">
        <is>
          <t>US</t>
        </is>
      </c>
      <c r="K309" s="107" t="n">
        <v>112</v>
      </c>
      <c r="L309" s="109" t="n">
        <v>45946</v>
      </c>
      <c r="M309" s="109" t="n">
        <v>46675</v>
      </c>
      <c r="N309" s="601" t="n"/>
      <c r="O309" s="592" t="n"/>
      <c r="P309" s="104" t="n">
        <v>0</v>
      </c>
      <c r="Q309" s="104" t="inlineStr">
        <is>
          <t>No</t>
        </is>
      </c>
      <c r="R309" s="104" t="inlineStr">
        <is>
          <t>Yes</t>
        </is>
      </c>
      <c r="S309" s="104" t="inlineStr">
        <is>
          <t>Yes</t>
        </is>
      </c>
      <c r="T309" s="592" t="inlineStr">
        <is>
          <t>Yes</t>
        </is>
      </c>
      <c r="U309" s="104" t="inlineStr">
        <is>
          <t>No</t>
        </is>
      </c>
      <c r="V309" s="104" t="inlineStr">
        <is>
          <t>No</t>
        </is>
      </c>
      <c r="W309" s="104" t="inlineStr">
        <is>
          <t>No</t>
        </is>
      </c>
      <c r="X309" s="104" t="inlineStr">
        <is>
          <t>Yes</t>
        </is>
      </c>
      <c r="Y309" s="104" t="inlineStr">
        <is>
          <t>Yes</t>
        </is>
      </c>
      <c r="Z309" s="109" t="n">
        <v>45946</v>
      </c>
      <c r="AA309" s="125" t="n">
        <v>46675</v>
      </c>
      <c r="AB309" s="104" t="n">
        <v>6</v>
      </c>
      <c r="AC309" s="202" t="n"/>
      <c r="AD309" s="592" t="inlineStr">
        <is>
          <t>Yes</t>
        </is>
      </c>
      <c r="AE309" s="592" t="inlineStr">
        <is>
          <t>Yes</t>
        </is>
      </c>
      <c r="AF309" s="600" t="n"/>
      <c r="AG309" s="593" t="inlineStr">
        <is>
          <t>Phim còn hạn từ 2026</t>
        </is>
      </c>
      <c r="AH309" s="594" t="n"/>
      <c r="AI309" s="206" t="inlineStr">
        <is>
          <t>VIOLENT NIGHT</t>
        </is>
      </c>
      <c r="AJ309" s="128">
        <f>SUMIF('TK 15661.Bản quyền phim '!F:F,'KK1. Movies'!D309,'TK 15661.Bản quyền phim '!X:X)</f>
        <v/>
      </c>
      <c r="AK309" s="128">
        <f>SUMIF('TK 15661.Bản quyền phim '!F:F,'KK1. Movies'!AI309,'TK 15661.Bản quyền phim '!X:X)</f>
        <v/>
      </c>
      <c r="AL309" s="203">
        <f>COUNTIF('242.BQ Phim hợp tác'!$C:$C,'KK1. Movies'!AI309)</f>
        <v/>
      </c>
      <c r="AM309" s="203">
        <f>COUNTIF('TK 15661.Bản quyền phim '!F:F,'KK1. Movies'!AI309)</f>
        <v/>
      </c>
      <c r="AN309" s="546">
        <f>AL309+AM309</f>
        <v/>
      </c>
      <c r="AO309" s="203" t="n"/>
      <c r="AP309" s="203" t="n"/>
      <c r="AQ309" s="203" t="n"/>
      <c r="AR309" s="203" t="n"/>
      <c r="AS309" s="203" t="n"/>
      <c r="AT309" s="546">
        <f>IFERROR(VLOOKUP(C309, CodeRanMovies!$A:$K, 11, 0), "Not found")</f>
        <v/>
      </c>
    </row>
    <row r="310">
      <c r="A310" s="201">
        <f>_xlfn.AGGREGATE(3,3,$D$7:D310)</f>
        <v/>
      </c>
      <c r="B310" s="589" t="n"/>
      <c r="C310" s="590" t="inlineStr">
        <is>
          <t>MOV_COM300</t>
        </is>
      </c>
      <c r="D310" s="105" t="inlineStr">
        <is>
          <t>SISTERS</t>
        </is>
      </c>
      <c r="E310" s="590" t="inlineStr">
        <is>
          <t>Chị em rắc rối</t>
        </is>
      </c>
      <c r="F310" s="103" t="inlineStr">
        <is>
          <t>Comedy</t>
        </is>
      </c>
      <c r="G310" s="103" t="inlineStr">
        <is>
          <t>NBC Universal</t>
        </is>
      </c>
      <c r="H310" s="108" t="inlineStr">
        <is>
          <t>5051370-3/166015-3</t>
        </is>
      </c>
      <c r="I310" s="107" t="n">
        <v>2015</v>
      </c>
      <c r="J310" s="104" t="inlineStr">
        <is>
          <t>US</t>
        </is>
      </c>
      <c r="K310" s="107" t="n">
        <v>118</v>
      </c>
      <c r="L310" s="109" t="n">
        <v>45952</v>
      </c>
      <c r="M310" s="109" t="n">
        <v>46589</v>
      </c>
      <c r="N310" s="601" t="n"/>
      <c r="O310" s="592" t="n"/>
      <c r="P310" s="104" t="n">
        <v>0</v>
      </c>
      <c r="Q310" s="104" t="inlineStr">
        <is>
          <t>No</t>
        </is>
      </c>
      <c r="R310" s="104" t="inlineStr">
        <is>
          <t>Yes</t>
        </is>
      </c>
      <c r="S310" s="104" t="inlineStr">
        <is>
          <t>Yes</t>
        </is>
      </c>
      <c r="T310" s="592" t="inlineStr">
        <is>
          <t>Yes</t>
        </is>
      </c>
      <c r="U310" s="104" t="inlineStr">
        <is>
          <t>No</t>
        </is>
      </c>
      <c r="V310" s="104" t="inlineStr">
        <is>
          <t>No</t>
        </is>
      </c>
      <c r="W310" s="104" t="inlineStr">
        <is>
          <t>No</t>
        </is>
      </c>
      <c r="X310" s="104" t="inlineStr">
        <is>
          <t>Yes</t>
        </is>
      </c>
      <c r="Y310" s="104" t="inlineStr">
        <is>
          <t>Yes</t>
        </is>
      </c>
      <c r="Z310" s="109" t="n">
        <v>45952</v>
      </c>
      <c r="AA310" s="125" t="n">
        <v>46589</v>
      </c>
      <c r="AB310" s="104" t="n">
        <v>5</v>
      </c>
      <c r="AC310" s="202" t="n"/>
      <c r="AD310" s="592" t="inlineStr">
        <is>
          <t>Yes</t>
        </is>
      </c>
      <c r="AE310" s="592" t="inlineStr">
        <is>
          <t>Yes</t>
        </is>
      </c>
      <c r="AF310" s="600" t="n"/>
      <c r="AG310" s="593" t="inlineStr">
        <is>
          <t>Phim còn hạn từ 2026</t>
        </is>
      </c>
      <c r="AH310" s="594" t="n"/>
      <c r="AI310" s="206" t="inlineStr">
        <is>
          <t>SISTERS</t>
        </is>
      </c>
      <c r="AJ310" s="128">
        <f>SUMIF('TK 15661.Bản quyền phim '!F:F,'KK1. Movies'!D310,'TK 15661.Bản quyền phim '!X:X)</f>
        <v/>
      </c>
      <c r="AK310" s="128">
        <f>SUMIF('TK 15661.Bản quyền phim '!F:F,'KK1. Movies'!AI310,'TK 15661.Bản quyền phim '!X:X)</f>
        <v/>
      </c>
      <c r="AL310" s="203">
        <f>COUNTIF('242.BQ Phim hợp tác'!$C:$C,'KK1. Movies'!AI310)</f>
        <v/>
      </c>
      <c r="AM310" s="203">
        <f>COUNTIF('TK 15661.Bản quyền phim '!F:F,'KK1. Movies'!AI310)</f>
        <v/>
      </c>
      <c r="AN310" s="546">
        <f>AL310+AM310</f>
        <v/>
      </c>
      <c r="AO310" s="203" t="n"/>
      <c r="AP310" s="203" t="n"/>
      <c r="AQ310" s="203" t="n"/>
      <c r="AR310" s="203" t="n"/>
      <c r="AS310" s="203" t="n"/>
      <c r="AT310" s="546">
        <f>IFERROR(VLOOKUP(C310, CodeRanMovies!$A:$K, 11, 0), "Not found")</f>
        <v/>
      </c>
    </row>
    <row r="311">
      <c r="A311" s="201">
        <f>_xlfn.AGGREGATE(3,3,$D$7:D311)</f>
        <v/>
      </c>
      <c r="B311" s="589" t="n"/>
      <c r="C311" s="590" t="inlineStr">
        <is>
          <t>MOV_HOR77</t>
        </is>
      </c>
      <c r="D311" s="105" t="inlineStr">
        <is>
          <t>OLD</t>
        </is>
      </c>
      <c r="E311" s="590" t="inlineStr">
        <is>
          <t>Già</t>
        </is>
      </c>
      <c r="F311" s="103" t="inlineStr">
        <is>
          <t>Horror/Mystery</t>
        </is>
      </c>
      <c r="G311" s="103" t="inlineStr">
        <is>
          <t>NBC Universal</t>
        </is>
      </c>
      <c r="H311" s="108" t="inlineStr">
        <is>
          <t>5051370-3/166015-3</t>
        </is>
      </c>
      <c r="I311" s="107" t="n">
        <v>2020</v>
      </c>
      <c r="J311" s="104" t="inlineStr">
        <is>
          <t>US</t>
        </is>
      </c>
      <c r="K311" s="107" t="n">
        <v>108</v>
      </c>
      <c r="L311" s="109" t="n">
        <v>45954</v>
      </c>
      <c r="M311" s="109" t="n">
        <v>46591</v>
      </c>
      <c r="N311" s="601" t="n"/>
      <c r="O311" s="592" t="n"/>
      <c r="P311" s="104" t="n">
        <v>0</v>
      </c>
      <c r="Q311" s="104" t="inlineStr">
        <is>
          <t>No</t>
        </is>
      </c>
      <c r="R311" s="104" t="inlineStr">
        <is>
          <t>Yes</t>
        </is>
      </c>
      <c r="S311" s="104" t="inlineStr">
        <is>
          <t>Yes</t>
        </is>
      </c>
      <c r="T311" s="592" t="inlineStr">
        <is>
          <t>Yes</t>
        </is>
      </c>
      <c r="U311" s="104" t="inlineStr">
        <is>
          <t>No</t>
        </is>
      </c>
      <c r="V311" s="104" t="inlineStr">
        <is>
          <t>No</t>
        </is>
      </c>
      <c r="W311" s="104" t="inlineStr">
        <is>
          <t>No</t>
        </is>
      </c>
      <c r="X311" s="104" t="inlineStr">
        <is>
          <t>Yes</t>
        </is>
      </c>
      <c r="Y311" s="104" t="inlineStr">
        <is>
          <t>Yes</t>
        </is>
      </c>
      <c r="Z311" s="109" t="n">
        <v>45954</v>
      </c>
      <c r="AA311" s="125" t="n">
        <v>46591</v>
      </c>
      <c r="AB311" s="104" t="n">
        <v>5</v>
      </c>
      <c r="AC311" s="202" t="n"/>
      <c r="AD311" s="592" t="inlineStr">
        <is>
          <t>Yes</t>
        </is>
      </c>
      <c r="AE311" s="592" t="inlineStr">
        <is>
          <t>Yes</t>
        </is>
      </c>
      <c r="AF311" s="600" t="n"/>
      <c r="AG311" s="593" t="inlineStr">
        <is>
          <t>Phim còn hạn từ 2026</t>
        </is>
      </c>
      <c r="AH311" s="594" t="n"/>
      <c r="AI311" s="206" t="inlineStr">
        <is>
          <t>OLD</t>
        </is>
      </c>
      <c r="AJ311" s="128">
        <f>SUMIF('TK 15661.Bản quyền phim '!F:F,'KK1. Movies'!D311,'TK 15661.Bản quyền phim '!X:X)</f>
        <v/>
      </c>
      <c r="AK311" s="128">
        <f>SUMIF('TK 15661.Bản quyền phim '!F:F,'KK1. Movies'!AI311,'TK 15661.Bản quyền phim '!X:X)</f>
        <v/>
      </c>
      <c r="AL311" s="203">
        <f>COUNTIF('242.BQ Phim hợp tác'!$C:$C,'KK1. Movies'!AI311)</f>
        <v/>
      </c>
      <c r="AM311" s="203">
        <f>COUNTIF('TK 15661.Bản quyền phim '!F:F,'KK1. Movies'!AI311)</f>
        <v/>
      </c>
      <c r="AN311" s="546">
        <f>AL311+AM311</f>
        <v/>
      </c>
      <c r="AO311" s="203" t="n"/>
      <c r="AP311" s="203" t="n"/>
      <c r="AQ311" s="203" t="n"/>
      <c r="AR311" s="203" t="n"/>
      <c r="AS311" s="203" t="n"/>
      <c r="AT311" s="546">
        <f>IFERROR(VLOOKUP(C311, CodeRanMovies!$A:$K, 11, 0), "Not found")</f>
        <v/>
      </c>
    </row>
    <row r="312" ht="26.4" customHeight="1" s="578">
      <c r="A312" s="201">
        <f>_xlfn.AGGREGATE(3,3,$D$7:D312)</f>
        <v/>
      </c>
      <c r="B312" s="589" t="n"/>
      <c r="C312" s="590" t="inlineStr">
        <is>
          <t>MOV_ROM102</t>
        </is>
      </c>
      <c r="D312" s="105" t="inlineStr">
        <is>
          <t>BOOK CLUB: THE NEXT CHAPTER</t>
        </is>
      </c>
      <c r="E312" s="590" t="inlineStr">
        <is>
          <t>Hội đọc sách: Chương kế tiếp</t>
        </is>
      </c>
      <c r="F312" s="103" t="inlineStr">
        <is>
          <t xml:space="preserve">Comedy/Romance </t>
        </is>
      </c>
      <c r="G312" s="103" t="inlineStr">
        <is>
          <t>NBC Universal</t>
        </is>
      </c>
      <c r="H312" s="108" t="inlineStr">
        <is>
          <t>5051370-3/166015-3</t>
        </is>
      </c>
      <c r="I312" s="107" t="n">
        <v>2022</v>
      </c>
      <c r="J312" s="104" t="inlineStr">
        <is>
          <t>US</t>
        </is>
      </c>
      <c r="K312" s="107" t="n">
        <v>107</v>
      </c>
      <c r="L312" s="109" t="n">
        <v>45956</v>
      </c>
      <c r="M312" s="109" t="n">
        <v>46685</v>
      </c>
      <c r="N312" s="601" t="n"/>
      <c r="O312" s="592" t="n"/>
      <c r="P312" s="104" t="n">
        <v>12</v>
      </c>
      <c r="Q312" s="104" t="inlineStr">
        <is>
          <t>No</t>
        </is>
      </c>
      <c r="R312" s="104" t="inlineStr">
        <is>
          <t>Yes</t>
        </is>
      </c>
      <c r="S312" s="104" t="inlineStr">
        <is>
          <t>Yes</t>
        </is>
      </c>
      <c r="T312" s="592" t="inlineStr">
        <is>
          <t>Yes</t>
        </is>
      </c>
      <c r="U312" s="104" t="inlineStr">
        <is>
          <t>No</t>
        </is>
      </c>
      <c r="V312" s="104" t="inlineStr">
        <is>
          <t>No</t>
        </is>
      </c>
      <c r="W312" s="104" t="inlineStr">
        <is>
          <t>No</t>
        </is>
      </c>
      <c r="X312" s="104" t="inlineStr">
        <is>
          <t>Yes</t>
        </is>
      </c>
      <c r="Y312" s="104" t="inlineStr">
        <is>
          <t>Yes</t>
        </is>
      </c>
      <c r="Z312" s="109" t="n">
        <v>45956</v>
      </c>
      <c r="AA312" s="125" t="n">
        <v>46685</v>
      </c>
      <c r="AB312" s="104" t="n">
        <v>6</v>
      </c>
      <c r="AC312" s="202" t="n"/>
      <c r="AD312" s="592" t="inlineStr">
        <is>
          <t>Yes</t>
        </is>
      </c>
      <c r="AE312" s="592" t="inlineStr">
        <is>
          <t>Yes</t>
        </is>
      </c>
      <c r="AF312" s="600" t="n"/>
      <c r="AG312" s="593" t="inlineStr">
        <is>
          <t>Phim còn hạn từ 2026</t>
        </is>
      </c>
      <c r="AH312" s="594" t="n"/>
      <c r="AI312" s="206" t="inlineStr">
        <is>
          <t>BOOK CLUB: THE NEXT CHAPTER</t>
        </is>
      </c>
      <c r="AJ312" s="128">
        <f>SUMIF('TK 15661.Bản quyền phim '!F:F,'KK1. Movies'!D312,'TK 15661.Bản quyền phim '!X:X)</f>
        <v/>
      </c>
      <c r="AK312" s="128">
        <f>SUMIF('TK 15661.Bản quyền phim '!F:F,'KK1. Movies'!AI312,'TK 15661.Bản quyền phim '!X:X)</f>
        <v/>
      </c>
      <c r="AL312" s="203">
        <f>COUNTIF('242.BQ Phim hợp tác'!$C:$C,'KK1. Movies'!AI312)</f>
        <v/>
      </c>
      <c r="AM312" s="203">
        <f>COUNTIF('TK 15661.Bản quyền phim '!F:F,'KK1. Movies'!AI312)</f>
        <v/>
      </c>
      <c r="AN312" s="546">
        <f>AL312+AM312</f>
        <v/>
      </c>
      <c r="AO312" s="203" t="n"/>
      <c r="AP312" s="203" t="n"/>
      <c r="AQ312" s="203" t="n"/>
      <c r="AR312" s="203" t="n"/>
      <c r="AS312" s="203" t="n"/>
      <c r="AT312" s="546">
        <f>IFERROR(VLOOKUP(C312, CodeRanMovies!$A:$K, 11, 0), "Not found")</f>
        <v/>
      </c>
    </row>
    <row r="313">
      <c r="A313" s="201">
        <f>_xlfn.AGGREGATE(3,3,$D$7:D313)</f>
        <v/>
      </c>
      <c r="B313" s="589" t="n"/>
      <c r="C313" s="590" t="inlineStr">
        <is>
          <t>MOV_CRI117</t>
        </is>
      </c>
      <c r="D313" s="105" t="inlineStr">
        <is>
          <t>SHE SAID</t>
        </is>
      </c>
      <c r="E313" s="590" t="inlineStr">
        <is>
          <t>Lời khai chấn động</t>
        </is>
      </c>
      <c r="F313" s="103" t="inlineStr">
        <is>
          <t xml:space="preserve"> Drama/History</t>
        </is>
      </c>
      <c r="G313" s="103" t="inlineStr">
        <is>
          <t>NBC Universal</t>
        </is>
      </c>
      <c r="H313" s="108" t="inlineStr">
        <is>
          <t>5051370-3/166015-3</t>
        </is>
      </c>
      <c r="I313" s="107" t="n">
        <v>2022</v>
      </c>
      <c r="J313" s="104" t="inlineStr">
        <is>
          <t>US</t>
        </is>
      </c>
      <c r="K313" s="107" t="n">
        <v>129</v>
      </c>
      <c r="L313" s="109" t="n">
        <v>45945</v>
      </c>
      <c r="M313" s="109" t="n">
        <v>46674</v>
      </c>
      <c r="N313" s="601" t="n"/>
      <c r="O313" s="592" t="n"/>
      <c r="P313" s="104" t="n">
        <v>0</v>
      </c>
      <c r="Q313" s="104" t="inlineStr">
        <is>
          <t>No</t>
        </is>
      </c>
      <c r="R313" s="104" t="inlineStr">
        <is>
          <t>Yes</t>
        </is>
      </c>
      <c r="S313" s="104" t="inlineStr">
        <is>
          <t>Yes</t>
        </is>
      </c>
      <c r="T313" s="592" t="inlineStr">
        <is>
          <t>Yes</t>
        </is>
      </c>
      <c r="U313" s="104" t="inlineStr">
        <is>
          <t>No</t>
        </is>
      </c>
      <c r="V313" s="104" t="inlineStr">
        <is>
          <t>No</t>
        </is>
      </c>
      <c r="W313" s="104" t="inlineStr">
        <is>
          <t>No</t>
        </is>
      </c>
      <c r="X313" s="104" t="inlineStr">
        <is>
          <t>Yes</t>
        </is>
      </c>
      <c r="Y313" s="104" t="inlineStr">
        <is>
          <t>Yes</t>
        </is>
      </c>
      <c r="Z313" s="109" t="n">
        <v>45945</v>
      </c>
      <c r="AA313" s="125" t="n">
        <v>46674</v>
      </c>
      <c r="AB313" s="104" t="n">
        <v>6</v>
      </c>
      <c r="AC313" s="202" t="n"/>
      <c r="AD313" s="592" t="inlineStr">
        <is>
          <t>Yes</t>
        </is>
      </c>
      <c r="AE313" s="592" t="inlineStr">
        <is>
          <t>Yes</t>
        </is>
      </c>
      <c r="AF313" s="600" t="n"/>
      <c r="AG313" s="593" t="inlineStr">
        <is>
          <t>Phim còn hạn từ 2026</t>
        </is>
      </c>
      <c r="AH313" s="594" t="n"/>
      <c r="AI313" s="206" t="inlineStr">
        <is>
          <t>SHE SAID</t>
        </is>
      </c>
      <c r="AJ313" s="128">
        <f>SUMIF('TK 15661.Bản quyền phim '!F:F,'KK1. Movies'!D313,'TK 15661.Bản quyền phim '!X:X)</f>
        <v/>
      </c>
      <c r="AK313" s="128">
        <f>SUMIF('TK 15661.Bản quyền phim '!F:F,'KK1. Movies'!AI313,'TK 15661.Bản quyền phim '!X:X)</f>
        <v/>
      </c>
      <c r="AL313" s="203">
        <f>COUNTIF('242.BQ Phim hợp tác'!$C:$C,'KK1. Movies'!AI313)</f>
        <v/>
      </c>
      <c r="AM313" s="203">
        <f>COUNTIF('TK 15661.Bản quyền phim '!F:F,'KK1. Movies'!AI313)</f>
        <v/>
      </c>
      <c r="AN313" s="546">
        <f>AL313+AM313</f>
        <v/>
      </c>
      <c r="AO313" s="203" t="n"/>
      <c r="AP313" s="203" t="n"/>
      <c r="AQ313" s="203" t="n"/>
      <c r="AR313" s="203" t="n"/>
      <c r="AS313" s="203" t="n"/>
      <c r="AT313" s="546">
        <f>IFERROR(VLOOKUP(C313, CodeRanMovies!$A:$K, 11, 0), "Not found")</f>
        <v/>
      </c>
    </row>
    <row r="314">
      <c r="A314" s="201">
        <f>_xlfn.AGGREGATE(3,3,$D$7:D314)</f>
        <v/>
      </c>
      <c r="B314" s="589" t="n"/>
      <c r="C314" s="590" t="inlineStr">
        <is>
          <t>MOV_HOR78</t>
        </is>
      </c>
      <c r="D314" s="105" t="inlineStr">
        <is>
          <t>NOPE</t>
        </is>
      </c>
      <c r="E314" s="110" t="inlineStr">
        <is>
          <t>KHÔNG</t>
        </is>
      </c>
      <c r="F314" s="103" t="inlineStr">
        <is>
          <t>Horror/Sci-fi</t>
        </is>
      </c>
      <c r="G314" s="103" t="inlineStr">
        <is>
          <t>NBC Universal</t>
        </is>
      </c>
      <c r="H314" s="108" t="inlineStr">
        <is>
          <t>5051370-3/166015-3</t>
        </is>
      </c>
      <c r="I314" s="107" t="n">
        <v>2021</v>
      </c>
      <c r="J314" s="104" t="inlineStr">
        <is>
          <t>US</t>
        </is>
      </c>
      <c r="K314" s="107" t="n">
        <v>130</v>
      </c>
      <c r="L314" s="109" t="n">
        <v>45961</v>
      </c>
      <c r="M314" s="109" t="n">
        <v>46690</v>
      </c>
      <c r="N314" s="601" t="n"/>
      <c r="O314" s="592" t="n"/>
      <c r="P314" s="104" t="n">
        <v>0</v>
      </c>
      <c r="Q314" s="104" t="inlineStr">
        <is>
          <t>No</t>
        </is>
      </c>
      <c r="R314" s="104" t="inlineStr">
        <is>
          <t>Yes</t>
        </is>
      </c>
      <c r="S314" s="104" t="inlineStr">
        <is>
          <t>Yes</t>
        </is>
      </c>
      <c r="T314" s="592" t="inlineStr">
        <is>
          <t>Yes</t>
        </is>
      </c>
      <c r="U314" s="104" t="inlineStr">
        <is>
          <t>No</t>
        </is>
      </c>
      <c r="V314" s="104" t="inlineStr">
        <is>
          <t>No</t>
        </is>
      </c>
      <c r="W314" s="104" t="inlineStr">
        <is>
          <t>No</t>
        </is>
      </c>
      <c r="X314" s="104" t="inlineStr">
        <is>
          <t>Yes</t>
        </is>
      </c>
      <c r="Y314" s="104" t="inlineStr">
        <is>
          <t>Yes</t>
        </is>
      </c>
      <c r="Z314" s="109" t="n">
        <v>45961</v>
      </c>
      <c r="AA314" s="125" t="n">
        <v>46690</v>
      </c>
      <c r="AB314" s="104" t="n">
        <v>6</v>
      </c>
      <c r="AC314" s="202" t="n"/>
      <c r="AD314" s="592" t="inlineStr">
        <is>
          <t>Yes</t>
        </is>
      </c>
      <c r="AE314" s="592" t="inlineStr">
        <is>
          <t>Yes</t>
        </is>
      </c>
      <c r="AF314" s="600" t="n"/>
      <c r="AG314" s="593" t="inlineStr">
        <is>
          <t>Phim còn hạn từ 2026</t>
        </is>
      </c>
      <c r="AH314" s="594" t="n"/>
      <c r="AI314" s="206" t="inlineStr">
        <is>
          <t>NOPE</t>
        </is>
      </c>
      <c r="AJ314" s="128">
        <f>SUMIF('TK 15661.Bản quyền phim '!F:F,'KK1. Movies'!D314,'TK 15661.Bản quyền phim '!X:X)</f>
        <v/>
      </c>
      <c r="AK314" s="128">
        <f>SUMIF('TK 15661.Bản quyền phim '!F:F,'KK1. Movies'!AI314,'TK 15661.Bản quyền phim '!X:X)</f>
        <v/>
      </c>
      <c r="AL314" s="203">
        <f>COUNTIF('242.BQ Phim hợp tác'!$C:$C,'KK1. Movies'!AI314)</f>
        <v/>
      </c>
      <c r="AM314" s="203">
        <f>COUNTIF('TK 15661.Bản quyền phim '!F:F,'KK1. Movies'!AI314)</f>
        <v/>
      </c>
      <c r="AN314" s="546">
        <f>AL314+AM314</f>
        <v/>
      </c>
      <c r="AO314" s="203" t="n"/>
      <c r="AP314" s="203" t="n"/>
      <c r="AQ314" s="203" t="n"/>
      <c r="AR314" s="203" t="n"/>
      <c r="AS314" s="203" t="n"/>
      <c r="AT314" s="546">
        <f>IFERROR(VLOOKUP(C314, CodeRanMovies!$A:$K, 11, 0), "Not found")</f>
        <v/>
      </c>
    </row>
    <row r="315">
      <c r="A315" s="201">
        <f>_xlfn.AGGREGATE(3,3,$D$7:D315)</f>
        <v/>
      </c>
      <c r="B315" s="589" t="n"/>
      <c r="C315" s="590" t="inlineStr">
        <is>
          <t>MOV_COM304</t>
        </is>
      </c>
      <c r="D315" s="105" t="inlineStr">
        <is>
          <t>TRAINWRECK</t>
        </is>
      </c>
      <c r="E315" s="110" t="inlineStr">
        <is>
          <t>Buông thả</t>
        </is>
      </c>
      <c r="F315" s="103" t="inlineStr">
        <is>
          <t>Comedy/Romance</t>
        </is>
      </c>
      <c r="G315" s="103" t="inlineStr">
        <is>
          <t>NBC Universal</t>
        </is>
      </c>
      <c r="H315" s="108" t="inlineStr">
        <is>
          <t>5051370-3/166015-3</t>
        </is>
      </c>
      <c r="I315" s="107" t="n">
        <v>2015</v>
      </c>
      <c r="J315" s="104" t="inlineStr">
        <is>
          <t>US</t>
        </is>
      </c>
      <c r="K315" s="107" t="n">
        <v>124</v>
      </c>
      <c r="L315" s="109" t="n">
        <v>45968</v>
      </c>
      <c r="M315" s="109" t="n">
        <v>46605</v>
      </c>
      <c r="N315" s="601" t="n"/>
      <c r="O315" s="592" t="n"/>
      <c r="P315" s="104" t="n">
        <v>0</v>
      </c>
      <c r="Q315" s="104" t="inlineStr">
        <is>
          <t>No</t>
        </is>
      </c>
      <c r="R315" s="104" t="inlineStr">
        <is>
          <t>Yes</t>
        </is>
      </c>
      <c r="S315" s="104" t="inlineStr">
        <is>
          <t>Yes</t>
        </is>
      </c>
      <c r="T315" s="592" t="inlineStr">
        <is>
          <t>Yes</t>
        </is>
      </c>
      <c r="U315" s="104" t="inlineStr">
        <is>
          <t>No</t>
        </is>
      </c>
      <c r="V315" s="104" t="inlineStr">
        <is>
          <t>No</t>
        </is>
      </c>
      <c r="W315" s="104" t="inlineStr">
        <is>
          <t>No</t>
        </is>
      </c>
      <c r="X315" s="104" t="inlineStr">
        <is>
          <t>Yes</t>
        </is>
      </c>
      <c r="Y315" s="104" t="inlineStr">
        <is>
          <t>Yes</t>
        </is>
      </c>
      <c r="Z315" s="109" t="n">
        <v>45968</v>
      </c>
      <c r="AA315" s="125" t="n">
        <v>46605</v>
      </c>
      <c r="AB315" s="104" t="n">
        <v>5</v>
      </c>
      <c r="AC315" s="202" t="n"/>
      <c r="AD315" s="592" t="inlineStr">
        <is>
          <t>Yes</t>
        </is>
      </c>
      <c r="AE315" s="592" t="inlineStr">
        <is>
          <t>Yes</t>
        </is>
      </c>
      <c r="AF315" s="600" t="n"/>
      <c r="AG315" s="593" t="inlineStr">
        <is>
          <t>Phim còn hạn từ 2026</t>
        </is>
      </c>
      <c r="AH315" s="594" t="n"/>
      <c r="AI315" s="206" t="inlineStr">
        <is>
          <t>TRAINWRECK</t>
        </is>
      </c>
      <c r="AJ315" s="128">
        <f>SUMIF('TK 15661.Bản quyền phim '!F:F,'KK1. Movies'!D315,'TK 15661.Bản quyền phim '!X:X)</f>
        <v/>
      </c>
      <c r="AK315" s="128">
        <f>SUMIF('TK 15661.Bản quyền phim '!F:F,'KK1. Movies'!AI315,'TK 15661.Bản quyền phim '!X:X)</f>
        <v/>
      </c>
      <c r="AL315" s="203">
        <f>COUNTIF('242.BQ Phim hợp tác'!$C:$C,'KK1. Movies'!AI315)</f>
        <v/>
      </c>
      <c r="AM315" s="203">
        <f>COUNTIF('TK 15661.Bản quyền phim '!F:F,'KK1. Movies'!AI315)</f>
        <v/>
      </c>
      <c r="AN315" s="546">
        <f>AL315+AM315</f>
        <v/>
      </c>
      <c r="AO315" s="203" t="n"/>
      <c r="AP315" s="203" t="n"/>
      <c r="AQ315" s="203" t="n"/>
      <c r="AR315" s="203" t="n"/>
      <c r="AS315" s="203" t="n"/>
      <c r="AT315" s="546">
        <f>IFERROR(VLOOKUP(C315, CodeRanMovies!$A:$K, 11, 0), "Not found")</f>
        <v/>
      </c>
    </row>
    <row r="316" ht="26.4" customHeight="1" s="578">
      <c r="A316" s="201">
        <f>_xlfn.AGGREGATE(3,3,$D$7:D316)</f>
        <v/>
      </c>
      <c r="B316" s="589" t="n"/>
      <c r="C316" s="234" t="inlineStr">
        <is>
          <t>MOV_ANI92</t>
        </is>
      </c>
      <c r="D316" s="105" t="inlineStr">
        <is>
          <t>PUSS IN BOOTS: THE LAST WISH</t>
        </is>
      </c>
      <c r="E316" s="110" t="inlineStr">
        <is>
          <t>Mèo đi hia: Điều ước cuối cùng</t>
        </is>
      </c>
      <c r="F316" s="108" t="inlineStr">
        <is>
          <t>Animated; Comedy; Family Oriented</t>
        </is>
      </c>
      <c r="G316" s="103" t="inlineStr">
        <is>
          <t>NBC Universal</t>
        </is>
      </c>
      <c r="H316" s="108" t="inlineStr">
        <is>
          <t>5051370-3/166015-3</t>
        </is>
      </c>
      <c r="I316" s="107" t="n">
        <v>2020</v>
      </c>
      <c r="J316" s="104" t="inlineStr">
        <is>
          <t>US</t>
        </is>
      </c>
      <c r="K316" s="107" t="n">
        <v>102</v>
      </c>
      <c r="L316" s="109" t="n">
        <v>45969</v>
      </c>
      <c r="M316" s="109" t="n">
        <v>46698</v>
      </c>
      <c r="N316" s="601" t="n"/>
      <c r="O316" s="592" t="n"/>
      <c r="P316" s="104" t="n">
        <v>0</v>
      </c>
      <c r="Q316" s="104" t="inlineStr">
        <is>
          <t>No</t>
        </is>
      </c>
      <c r="R316" s="104" t="inlineStr">
        <is>
          <t>Yes</t>
        </is>
      </c>
      <c r="S316" s="104" t="inlineStr">
        <is>
          <t>Yes</t>
        </is>
      </c>
      <c r="T316" s="104" t="inlineStr">
        <is>
          <t>Yes</t>
        </is>
      </c>
      <c r="U316" s="104" t="inlineStr">
        <is>
          <t>No</t>
        </is>
      </c>
      <c r="V316" s="104" t="inlineStr">
        <is>
          <t>No</t>
        </is>
      </c>
      <c r="W316" s="104" t="inlineStr">
        <is>
          <t>No</t>
        </is>
      </c>
      <c r="X316" s="104" t="inlineStr">
        <is>
          <t>Yes</t>
        </is>
      </c>
      <c r="Y316" s="104" t="inlineStr">
        <is>
          <t>Yes</t>
        </is>
      </c>
      <c r="Z316" s="109" t="n">
        <v>45969</v>
      </c>
      <c r="AA316" s="125" t="n">
        <v>46698</v>
      </c>
      <c r="AB316" s="104" t="n">
        <v>6</v>
      </c>
      <c r="AC316" s="202" t="n"/>
      <c r="AD316" s="592" t="inlineStr">
        <is>
          <t>Yes</t>
        </is>
      </c>
      <c r="AE316" s="592" t="inlineStr">
        <is>
          <t>Yes</t>
        </is>
      </c>
      <c r="AF316" s="600" t="n"/>
      <c r="AG316" s="593" t="inlineStr">
        <is>
          <t>Phim còn hạn từ 2026</t>
        </is>
      </c>
      <c r="AH316" s="594" t="n"/>
      <c r="AI316" s="206" t="inlineStr">
        <is>
          <t>PUSS IN BOOTS: THE LAST WISH</t>
        </is>
      </c>
      <c r="AJ316" s="128">
        <f>SUMIF('TK 15661.Bản quyền phim '!F:F,'KK1. Movies'!D316,'TK 15661.Bản quyền phim '!X:X)</f>
        <v/>
      </c>
      <c r="AK316" s="128">
        <f>SUMIF('TK 15661.Bản quyền phim '!F:F,'KK1. Movies'!AI316,'TK 15661.Bản quyền phim '!X:X)</f>
        <v/>
      </c>
      <c r="AL316" s="203">
        <f>COUNTIF('242.BQ Phim hợp tác'!$C:$C,'KK1. Movies'!AI316)</f>
        <v/>
      </c>
      <c r="AM316" s="203">
        <f>COUNTIF('TK 15661.Bản quyền phim '!F:F,'KK1. Movies'!AI316)</f>
        <v/>
      </c>
      <c r="AN316" s="546">
        <f>AL316+AM316</f>
        <v/>
      </c>
      <c r="AO316" s="203" t="n"/>
      <c r="AP316" s="203" t="n"/>
      <c r="AQ316" s="203" t="n"/>
      <c r="AR316" s="203" t="n"/>
      <c r="AS316" s="203" t="n"/>
      <c r="AT316" s="546">
        <f>IFERROR(VLOOKUP(C316, CodeRanMovies!$A:$K, 11, 0), "Not found")</f>
        <v/>
      </c>
    </row>
    <row r="317" ht="26.4" customHeight="1" s="578">
      <c r="A317" s="201">
        <f>_xlfn.AGGREGATE(3,3,$D$7:D317)</f>
        <v/>
      </c>
      <c r="B317" s="589" t="n"/>
      <c r="C317" s="590" t="inlineStr">
        <is>
          <t>MOV_COM305</t>
        </is>
      </c>
      <c r="D317" s="105" t="inlineStr">
        <is>
          <t>TICKET TO PARADISE</t>
        </is>
      </c>
      <c r="E317" s="110" t="inlineStr">
        <is>
          <t>Tấm vé đến thiên đường</t>
        </is>
      </c>
      <c r="F317" s="108" t="inlineStr">
        <is>
          <t>Comedy/Romance</t>
        </is>
      </c>
      <c r="G317" s="103" t="inlineStr">
        <is>
          <t>NBC Universal</t>
        </is>
      </c>
      <c r="H317" s="108" t="inlineStr">
        <is>
          <t>5051370-3/166015-3</t>
        </is>
      </c>
      <c r="I317" s="107" t="n">
        <v>2022</v>
      </c>
      <c r="J317" s="104" t="inlineStr">
        <is>
          <t>US</t>
        </is>
      </c>
      <c r="K317" s="107" t="n">
        <v>104</v>
      </c>
      <c r="L317" s="109" t="n">
        <v>45973</v>
      </c>
      <c r="M317" s="109" t="n">
        <v>46702</v>
      </c>
      <c r="N317" s="601" t="n"/>
      <c r="O317" s="592" t="n"/>
      <c r="P317" s="104" t="n">
        <v>0</v>
      </c>
      <c r="Q317" s="104" t="inlineStr">
        <is>
          <t>No</t>
        </is>
      </c>
      <c r="R317" s="104" t="inlineStr">
        <is>
          <t>Yes</t>
        </is>
      </c>
      <c r="S317" s="104" t="inlineStr">
        <is>
          <t>Yes</t>
        </is>
      </c>
      <c r="T317" s="592" t="inlineStr">
        <is>
          <t>Yes</t>
        </is>
      </c>
      <c r="U317" s="104" t="inlineStr">
        <is>
          <t>No</t>
        </is>
      </c>
      <c r="V317" s="104" t="inlineStr">
        <is>
          <t>No</t>
        </is>
      </c>
      <c r="W317" s="104" t="inlineStr">
        <is>
          <t>No</t>
        </is>
      </c>
      <c r="X317" s="104" t="inlineStr">
        <is>
          <t>Yes</t>
        </is>
      </c>
      <c r="Y317" s="104" t="inlineStr">
        <is>
          <t>Yes</t>
        </is>
      </c>
      <c r="Z317" s="109" t="n">
        <v>45973</v>
      </c>
      <c r="AA317" s="125" t="n">
        <v>46702</v>
      </c>
      <c r="AB317" s="104" t="n">
        <v>6</v>
      </c>
      <c r="AC317" s="202" t="n"/>
      <c r="AD317" s="592" t="inlineStr">
        <is>
          <t>Yes</t>
        </is>
      </c>
      <c r="AE317" s="592" t="inlineStr">
        <is>
          <t>Yes</t>
        </is>
      </c>
      <c r="AF317" s="600" t="n"/>
      <c r="AG317" s="593" t="inlineStr">
        <is>
          <t>Phim còn hạn từ 2026</t>
        </is>
      </c>
      <c r="AH317" s="594" t="n"/>
      <c r="AI317" s="206" t="inlineStr">
        <is>
          <t>TICKET TO PARADISE</t>
        </is>
      </c>
      <c r="AJ317" s="128">
        <f>SUMIF('TK 15661.Bản quyền phim '!F:F,'KK1. Movies'!D317,'TK 15661.Bản quyền phim '!X:X)</f>
        <v/>
      </c>
      <c r="AK317" s="128">
        <f>SUMIF('TK 15661.Bản quyền phim '!F:F,'KK1. Movies'!AI317,'TK 15661.Bản quyền phim '!X:X)</f>
        <v/>
      </c>
      <c r="AL317" s="203">
        <f>COUNTIF('242.BQ Phim hợp tác'!$C:$C,'KK1. Movies'!AI317)</f>
        <v/>
      </c>
      <c r="AM317" s="203">
        <f>COUNTIF('TK 15661.Bản quyền phim '!F:F,'KK1. Movies'!AI317)</f>
        <v/>
      </c>
      <c r="AN317" s="546">
        <f>AL317+AM317</f>
        <v/>
      </c>
      <c r="AO317" s="203" t="n"/>
      <c r="AP317" s="203" t="n"/>
      <c r="AQ317" s="203" t="n"/>
      <c r="AR317" s="203" t="n"/>
      <c r="AS317" s="203" t="n"/>
      <c r="AT317" s="546">
        <f>IFERROR(VLOOKUP(C317, CodeRanMovies!$A:$K, 11, 0), "Not found")</f>
        <v/>
      </c>
    </row>
    <row r="318">
      <c r="A318" s="201">
        <f>_xlfn.AGGREGATE(3,3,$D$7:D318)</f>
        <v/>
      </c>
      <c r="B318" s="589" t="n"/>
      <c r="C318" s="234" t="inlineStr">
        <is>
          <t>MOV_COM306</t>
        </is>
      </c>
      <c r="D318" s="105" t="inlineStr">
        <is>
          <t>GENIE</t>
        </is>
      </c>
      <c r="E318" s="110" t="inlineStr">
        <is>
          <t>Thần đèn</t>
        </is>
      </c>
      <c r="F318" s="103" t="inlineStr">
        <is>
          <t>Comedy</t>
        </is>
      </c>
      <c r="G318" s="103" t="inlineStr">
        <is>
          <t>NBC Universal</t>
        </is>
      </c>
      <c r="H318" s="108" t="inlineStr">
        <is>
          <t>5051370-3/166015-3</t>
        </is>
      </c>
      <c r="I318" s="107" t="n">
        <v>2023</v>
      </c>
      <c r="J318" s="104" t="inlineStr">
        <is>
          <t>US</t>
        </is>
      </c>
      <c r="K318" s="107" t="n">
        <v>93</v>
      </c>
      <c r="L318" s="109" t="n">
        <v>46003</v>
      </c>
      <c r="M318" s="109" t="n">
        <v>46732</v>
      </c>
      <c r="N318" s="601" t="n"/>
      <c r="O318" s="592" t="n"/>
      <c r="P318" s="104" t="n">
        <v>12</v>
      </c>
      <c r="Q318" s="104" t="inlineStr">
        <is>
          <t>No</t>
        </is>
      </c>
      <c r="R318" s="104" t="inlineStr">
        <is>
          <t>Yes</t>
        </is>
      </c>
      <c r="S318" s="104" t="inlineStr">
        <is>
          <t>Yes</t>
        </is>
      </c>
      <c r="T318" s="592" t="inlineStr">
        <is>
          <t>Yes</t>
        </is>
      </c>
      <c r="U318" s="104" t="inlineStr">
        <is>
          <t>No</t>
        </is>
      </c>
      <c r="V318" s="104" t="inlineStr">
        <is>
          <t>No</t>
        </is>
      </c>
      <c r="W318" s="104" t="inlineStr">
        <is>
          <t>No</t>
        </is>
      </c>
      <c r="X318" s="104" t="inlineStr">
        <is>
          <t>Yes</t>
        </is>
      </c>
      <c r="Y318" s="104" t="inlineStr">
        <is>
          <t>Yes</t>
        </is>
      </c>
      <c r="Z318" s="109" t="n">
        <v>46003</v>
      </c>
      <c r="AA318" s="125" t="n">
        <v>46732</v>
      </c>
      <c r="AB318" s="104" t="n">
        <v>6</v>
      </c>
      <c r="AC318" s="202" t="n"/>
      <c r="AD318" s="592" t="inlineStr">
        <is>
          <t>Yes</t>
        </is>
      </c>
      <c r="AE318" s="592" t="inlineStr">
        <is>
          <t>Yes</t>
        </is>
      </c>
      <c r="AF318" s="600" t="n"/>
      <c r="AG318" s="593" t="inlineStr">
        <is>
          <t>Phim còn hạn từ 2026</t>
        </is>
      </c>
      <c r="AH318" s="594" t="n"/>
      <c r="AI318" s="206" t="inlineStr">
        <is>
          <t>GENIE</t>
        </is>
      </c>
      <c r="AJ318" s="128">
        <f>SUMIF('TK 15661.Bản quyền phim '!F:F,'KK1. Movies'!D318,'TK 15661.Bản quyền phim '!X:X)</f>
        <v/>
      </c>
      <c r="AK318" s="128">
        <f>SUMIF('TK 15661.Bản quyền phim '!F:F,'KK1. Movies'!AI318,'TK 15661.Bản quyền phim '!X:X)</f>
        <v/>
      </c>
      <c r="AL318" s="203">
        <f>COUNTIF('242.BQ Phim hợp tác'!$C:$C,'KK1. Movies'!AI318)</f>
        <v/>
      </c>
      <c r="AM318" s="203">
        <f>COUNTIF('TK 15661.Bản quyền phim '!F:F,'KK1. Movies'!AI318)</f>
        <v/>
      </c>
      <c r="AN318" s="546">
        <f>AL318+AM318</f>
        <v/>
      </c>
      <c r="AO318" s="203" t="n"/>
      <c r="AP318" s="203" t="n"/>
      <c r="AQ318" s="203" t="n"/>
      <c r="AR318" s="203" t="n"/>
      <c r="AS318" s="203" t="n"/>
      <c r="AT318" s="546">
        <f>IFERROR(VLOOKUP(C318, CodeRanMovies!$A:$K, 11, 0), "Not found")</f>
        <v/>
      </c>
    </row>
    <row r="319">
      <c r="A319" s="201">
        <f>_xlfn.AGGREGATE(3,3,$D$7:D319)</f>
        <v/>
      </c>
      <c r="B319" s="589" t="n"/>
      <c r="C319" s="234" t="inlineStr">
        <is>
          <t>MOV_COM307</t>
        </is>
      </c>
      <c r="D319" s="105" t="inlineStr">
        <is>
          <t>NEIGHBORS</t>
        </is>
      </c>
      <c r="E319" s="110" t="inlineStr">
        <is>
          <t>Hàng xóm ôn dịch</t>
        </is>
      </c>
      <c r="F319" s="103" t="inlineStr">
        <is>
          <t xml:space="preserve"> Comedy/Drama </t>
        </is>
      </c>
      <c r="G319" s="103" t="inlineStr">
        <is>
          <t>NBC Universal</t>
        </is>
      </c>
      <c r="H319" s="108" t="inlineStr">
        <is>
          <t>5051370-3/166015-3</t>
        </is>
      </c>
      <c r="I319" s="107" t="n">
        <v>2014</v>
      </c>
      <c r="J319" s="104" t="inlineStr">
        <is>
          <t>US</t>
        </is>
      </c>
      <c r="K319" s="107" t="n">
        <v>97</v>
      </c>
      <c r="L319" s="109" t="n">
        <v>46003</v>
      </c>
      <c r="M319" s="109" t="n">
        <v>46732</v>
      </c>
      <c r="N319" s="601" t="n"/>
      <c r="O319" s="592" t="n"/>
      <c r="P319" s="104" t="n">
        <v>12</v>
      </c>
      <c r="Q319" s="104" t="inlineStr">
        <is>
          <t>No</t>
        </is>
      </c>
      <c r="R319" s="104" t="inlineStr">
        <is>
          <t>Yes</t>
        </is>
      </c>
      <c r="S319" s="104" t="inlineStr">
        <is>
          <t>Yes</t>
        </is>
      </c>
      <c r="T319" s="592" t="inlineStr">
        <is>
          <t>Yes</t>
        </is>
      </c>
      <c r="U319" s="104" t="inlineStr">
        <is>
          <t>No</t>
        </is>
      </c>
      <c r="V319" s="104" t="inlineStr">
        <is>
          <t>No</t>
        </is>
      </c>
      <c r="W319" s="104" t="inlineStr">
        <is>
          <t>No</t>
        </is>
      </c>
      <c r="X319" s="104" t="inlineStr">
        <is>
          <t>Yes</t>
        </is>
      </c>
      <c r="Y319" s="104" t="inlineStr">
        <is>
          <t>Yes</t>
        </is>
      </c>
      <c r="Z319" s="109" t="n">
        <v>46003</v>
      </c>
      <c r="AA319" s="125" t="n">
        <v>46732</v>
      </c>
      <c r="AB319" s="104" t="n">
        <v>6</v>
      </c>
      <c r="AC319" s="202" t="n"/>
      <c r="AD319" s="592" t="inlineStr">
        <is>
          <t>Yes</t>
        </is>
      </c>
      <c r="AE319" s="592" t="inlineStr">
        <is>
          <t>Yes</t>
        </is>
      </c>
      <c r="AF319" s="600" t="n"/>
      <c r="AG319" s="593" t="inlineStr">
        <is>
          <t>Phim còn hạn từ 2026</t>
        </is>
      </c>
      <c r="AH319" s="594" t="n"/>
      <c r="AI319" s="206" t="inlineStr">
        <is>
          <t>NEIGHBORS</t>
        </is>
      </c>
      <c r="AJ319" s="128">
        <f>SUMIF('TK 15661.Bản quyền phim '!F:F,'KK1. Movies'!D319,'TK 15661.Bản quyền phim '!X:X)</f>
        <v/>
      </c>
      <c r="AK319" s="128">
        <f>SUMIF('TK 15661.Bản quyền phim '!F:F,'KK1. Movies'!AI319,'TK 15661.Bản quyền phim '!X:X)</f>
        <v/>
      </c>
      <c r="AL319" s="203">
        <f>COUNTIF('242.BQ Phim hợp tác'!$C:$C,'KK1. Movies'!AI319)</f>
        <v/>
      </c>
      <c r="AM319" s="203">
        <f>COUNTIF('TK 15661.Bản quyền phim '!F:F,'KK1. Movies'!AI319)</f>
        <v/>
      </c>
      <c r="AN319" s="546">
        <f>AL319+AM319</f>
        <v/>
      </c>
      <c r="AO319" s="203" t="n"/>
      <c r="AP319" s="203" t="n"/>
      <c r="AQ319" s="203" t="n"/>
      <c r="AR319" s="203" t="n"/>
      <c r="AS319" s="203" t="n"/>
      <c r="AT319" s="546">
        <f>IFERROR(VLOOKUP(C319, CodeRanMovies!$A:$K, 11, 0), "Not found")</f>
        <v/>
      </c>
    </row>
    <row r="320">
      <c r="A320" s="201">
        <f>_xlfn.AGGREGATE(3,3,$D$7:D320)</f>
        <v/>
      </c>
      <c r="B320" s="589" t="n"/>
      <c r="C320" s="234" t="inlineStr">
        <is>
          <t>MOV_ACT626</t>
        </is>
      </c>
      <c r="D320" s="105" t="inlineStr">
        <is>
          <t>MAFIA MAMMA</t>
        </is>
      </c>
      <c r="E320" s="110" t="inlineStr">
        <is>
          <t>Bà Trùm Mafia</t>
        </is>
      </c>
      <c r="F320" s="103" t="inlineStr">
        <is>
          <t>Comedy/Action</t>
        </is>
      </c>
      <c r="G320" s="103" t="inlineStr">
        <is>
          <t>NBC Universal</t>
        </is>
      </c>
      <c r="H320" s="108" t="inlineStr">
        <is>
          <t>5051370-3/166015-3</t>
        </is>
      </c>
      <c r="I320" s="107" t="n">
        <v>2023</v>
      </c>
      <c r="J320" s="104" t="inlineStr">
        <is>
          <t>US</t>
        </is>
      </c>
      <c r="K320" s="107" t="n">
        <v>101</v>
      </c>
      <c r="L320" s="109" t="n">
        <v>46009</v>
      </c>
      <c r="M320" s="109" t="n">
        <v>46738</v>
      </c>
      <c r="N320" s="601" t="n"/>
      <c r="O320" s="592" t="n"/>
      <c r="P320" s="104" t="n">
        <v>12</v>
      </c>
      <c r="Q320" s="104" t="inlineStr">
        <is>
          <t>No</t>
        </is>
      </c>
      <c r="R320" s="104" t="inlineStr">
        <is>
          <t>Yes</t>
        </is>
      </c>
      <c r="S320" s="104" t="inlineStr">
        <is>
          <t>Yes</t>
        </is>
      </c>
      <c r="T320" s="592" t="inlineStr">
        <is>
          <t>Yes</t>
        </is>
      </c>
      <c r="U320" s="104" t="inlineStr">
        <is>
          <t>No</t>
        </is>
      </c>
      <c r="V320" s="104" t="inlineStr">
        <is>
          <t>No</t>
        </is>
      </c>
      <c r="W320" s="104" t="inlineStr">
        <is>
          <t>No</t>
        </is>
      </c>
      <c r="X320" s="104" t="inlineStr">
        <is>
          <t>Yes</t>
        </is>
      </c>
      <c r="Y320" s="104" t="inlineStr">
        <is>
          <t>Yes</t>
        </is>
      </c>
      <c r="Z320" s="109" t="n">
        <v>46009</v>
      </c>
      <c r="AA320" s="125" t="n">
        <v>46738</v>
      </c>
      <c r="AB320" s="104" t="n">
        <v>6</v>
      </c>
      <c r="AC320" s="202" t="n"/>
      <c r="AD320" s="592" t="inlineStr">
        <is>
          <t>Yes</t>
        </is>
      </c>
      <c r="AE320" s="592" t="inlineStr">
        <is>
          <t>Yes</t>
        </is>
      </c>
      <c r="AF320" s="600" t="n"/>
      <c r="AG320" s="593" t="inlineStr">
        <is>
          <t>Phim còn hạn từ 2026</t>
        </is>
      </c>
      <c r="AH320" s="594" t="n"/>
      <c r="AI320" s="206" t="inlineStr">
        <is>
          <t>MAFIA MAMMA</t>
        </is>
      </c>
      <c r="AJ320" s="128">
        <f>SUMIF('TK 15661.Bản quyền phim '!F:F,'KK1. Movies'!D320,'TK 15661.Bản quyền phim '!X:X)</f>
        <v/>
      </c>
      <c r="AK320" s="128">
        <f>SUMIF('TK 15661.Bản quyền phim '!F:F,'KK1. Movies'!AI320,'TK 15661.Bản quyền phim '!X:X)</f>
        <v/>
      </c>
      <c r="AL320" s="203">
        <f>COUNTIF('242.BQ Phim hợp tác'!$C:$C,'KK1. Movies'!AI320)</f>
        <v/>
      </c>
      <c r="AM320" s="203">
        <f>COUNTIF('TK 15661.Bản quyền phim '!F:F,'KK1. Movies'!AI320)</f>
        <v/>
      </c>
      <c r="AN320" s="546">
        <f>AL320+AM320</f>
        <v/>
      </c>
      <c r="AO320" s="203" t="n"/>
      <c r="AP320" s="203" t="n"/>
      <c r="AQ320" s="203" t="n"/>
      <c r="AR320" s="203" t="n"/>
      <c r="AS320" s="203" t="n"/>
      <c r="AT320" s="546">
        <f>IFERROR(VLOOKUP(C320, CodeRanMovies!$A:$K, 11, 0), "Not found")</f>
        <v/>
      </c>
    </row>
    <row r="321">
      <c r="A321" s="201">
        <f>_xlfn.AGGREGATE(3,3,$D$7:D321)</f>
        <v/>
      </c>
      <c r="B321" s="589" t="n"/>
      <c r="C321" s="590" t="inlineStr">
        <is>
          <t>MOV_DRA756</t>
        </is>
      </c>
      <c r="D321" s="105" t="inlineStr">
        <is>
          <t>FORREST GUMP</t>
        </is>
      </c>
      <c r="E321" s="105" t="inlineStr">
        <is>
          <t>FORREST GUMP</t>
        </is>
      </c>
      <c r="F321" s="110" t="inlineStr">
        <is>
          <t>Comedy,Drama</t>
        </is>
      </c>
      <c r="G321" s="103" t="inlineStr">
        <is>
          <t>Paramount</t>
        </is>
      </c>
      <c r="H321" s="103" t="inlineStr">
        <is>
          <t>1009675/DM-38696/DM-39285</t>
        </is>
      </c>
      <c r="I321" s="104" t="n">
        <v>1994</v>
      </c>
      <c r="J321" s="104" t="inlineStr">
        <is>
          <t>US</t>
        </is>
      </c>
      <c r="K321" s="104" t="n">
        <v>142</v>
      </c>
      <c r="L321" s="124" t="n">
        <v>45777</v>
      </c>
      <c r="M321" s="124" t="n">
        <v>46324</v>
      </c>
      <c r="N321" s="601" t="n"/>
      <c r="O321" s="592" t="n"/>
      <c r="P321" s="592" t="n"/>
      <c r="Q321" s="104" t="inlineStr">
        <is>
          <t>No</t>
        </is>
      </c>
      <c r="R321" s="104" t="inlineStr">
        <is>
          <t>Yes</t>
        </is>
      </c>
      <c r="S321" s="110" t="inlineStr">
        <is>
          <t>Yes</t>
        </is>
      </c>
      <c r="T321" s="592" t="inlineStr">
        <is>
          <t>Yes</t>
        </is>
      </c>
      <c r="U321" s="104" t="inlineStr">
        <is>
          <t>No</t>
        </is>
      </c>
      <c r="V321" s="104" t="inlineStr">
        <is>
          <t>No</t>
        </is>
      </c>
      <c r="W321" s="104" t="inlineStr">
        <is>
          <t>No</t>
        </is>
      </c>
      <c r="X321" s="104" t="inlineStr">
        <is>
          <t>Yes</t>
        </is>
      </c>
      <c r="Y321" s="104" t="inlineStr">
        <is>
          <t>No</t>
        </is>
      </c>
      <c r="Z321" s="124" t="n">
        <v>45777</v>
      </c>
      <c r="AA321" s="124" t="n">
        <v>46141</v>
      </c>
      <c r="AB321" s="110" t="n">
        <v>10</v>
      </c>
      <c r="AC321" s="202" t="n"/>
      <c r="AD321" s="592" t="inlineStr">
        <is>
          <t>Yes</t>
        </is>
      </c>
      <c r="AE321" s="592" t="inlineStr">
        <is>
          <t>Yes</t>
        </is>
      </c>
      <c r="AF321" s="600" t="n"/>
      <c r="AG321" s="593" t="inlineStr">
        <is>
          <t>Phim còn hạn từ 2026</t>
        </is>
      </c>
      <c r="AH321" s="594" t="inlineStr">
        <is>
          <t>MOV_DRA756</t>
        </is>
      </c>
      <c r="AI321" s="206" t="inlineStr">
        <is>
          <t>FORREST GUMP</t>
        </is>
      </c>
      <c r="AJ321" s="128">
        <f>SUMIF('TK 15661.Bản quyền phim '!F:F,'KK1. Movies'!D321,'TK 15661.Bản quyền phim '!X:X)</f>
        <v/>
      </c>
      <c r="AK321" s="128">
        <f>SUMIF('TK 15661.Bản quyền phim '!F:F,'KK1. Movies'!AI321,'TK 15661.Bản quyền phim '!X:X)</f>
        <v/>
      </c>
      <c r="AL321" s="203">
        <f>COUNTIF('242.BQ Phim hợp tác'!$C:$C,'KK1. Movies'!AI321)</f>
        <v/>
      </c>
      <c r="AM321" s="203">
        <f>COUNTIF('TK 15661.Bản quyền phim '!F:F,'KK1. Movies'!AI321)</f>
        <v/>
      </c>
      <c r="AN321" s="546">
        <f>AL321+AM321</f>
        <v/>
      </c>
      <c r="AO321" s="203" t="n"/>
      <c r="AP321" s="203" t="n"/>
      <c r="AQ321" s="203" t="n"/>
      <c r="AR321" s="203" t="n"/>
      <c r="AS321" s="203" t="n"/>
      <c r="AT321" s="546">
        <f>IFERROR(VLOOKUP(C321, CodeRanMovies!$A:$K, 11, 0), "Not found")</f>
        <v/>
      </c>
    </row>
    <row r="322">
      <c r="A322" s="201">
        <f>_xlfn.AGGREGATE(3,3,$D$7:D322)</f>
        <v/>
      </c>
      <c r="B322" s="589" t="n"/>
      <c r="C322" s="590" t="inlineStr">
        <is>
          <t>MOV_DRA759</t>
        </is>
      </c>
      <c r="D322" s="105" t="inlineStr">
        <is>
          <t>BABYLON</t>
        </is>
      </c>
      <c r="E322" s="105" t="inlineStr">
        <is>
          <t>BABYLON</t>
        </is>
      </c>
      <c r="F322" s="110" t="inlineStr">
        <is>
          <t>Comedy,Drama</t>
        </is>
      </c>
      <c r="G322" s="103" t="inlineStr">
        <is>
          <t>Paramount</t>
        </is>
      </c>
      <c r="H322" s="103" t="inlineStr">
        <is>
          <t>1009675/DM-38696/DM-39285</t>
        </is>
      </c>
      <c r="I322" s="104" t="n">
        <v>2022</v>
      </c>
      <c r="J322" s="104" t="inlineStr">
        <is>
          <t>US</t>
        </is>
      </c>
      <c r="K322" s="104" t="n">
        <v>189</v>
      </c>
      <c r="L322" s="124" t="n">
        <v>45883</v>
      </c>
      <c r="M322" s="124" t="n">
        <v>46431</v>
      </c>
      <c r="N322" s="601" t="n"/>
      <c r="O322" s="592" t="n"/>
      <c r="P322" s="592" t="n"/>
      <c r="Q322" s="104" t="inlineStr">
        <is>
          <t>No</t>
        </is>
      </c>
      <c r="R322" s="104" t="inlineStr">
        <is>
          <t>Yes</t>
        </is>
      </c>
      <c r="S322" s="110" t="inlineStr">
        <is>
          <t>Yes</t>
        </is>
      </c>
      <c r="T322" s="592" t="inlineStr">
        <is>
          <t>Yes</t>
        </is>
      </c>
      <c r="U322" s="104" t="inlineStr">
        <is>
          <t>No</t>
        </is>
      </c>
      <c r="V322" s="104" t="inlineStr">
        <is>
          <t>No</t>
        </is>
      </c>
      <c r="W322" s="104" t="inlineStr">
        <is>
          <t>No</t>
        </is>
      </c>
      <c r="X322" s="104" t="inlineStr">
        <is>
          <t>Yes</t>
        </is>
      </c>
      <c r="Y322" s="104" t="inlineStr">
        <is>
          <t>No</t>
        </is>
      </c>
      <c r="Z322" s="124" t="n">
        <v>45883</v>
      </c>
      <c r="AA322" s="124" t="n">
        <v>46247</v>
      </c>
      <c r="AB322" s="110" t="n">
        <v>10</v>
      </c>
      <c r="AC322" s="202" t="n"/>
      <c r="AD322" s="592" t="inlineStr">
        <is>
          <t>Yes</t>
        </is>
      </c>
      <c r="AE322" s="592" t="inlineStr">
        <is>
          <t>Yes</t>
        </is>
      </c>
      <c r="AF322" s="600" t="n"/>
      <c r="AG322" s="593" t="inlineStr">
        <is>
          <t>Phim còn hạn từ 2026</t>
        </is>
      </c>
      <c r="AH322" s="594" t="n"/>
      <c r="AI322" s="206" t="inlineStr">
        <is>
          <t>BABYLON</t>
        </is>
      </c>
      <c r="AJ322" s="128">
        <f>SUMIF('TK 15661.Bản quyền phim '!F:F,'KK1. Movies'!D322,'TK 15661.Bản quyền phim '!X:X)</f>
        <v/>
      </c>
      <c r="AK322" s="128">
        <f>SUMIF('TK 15661.Bản quyền phim '!F:F,'KK1. Movies'!AI322,'TK 15661.Bản quyền phim '!X:X)</f>
        <v/>
      </c>
      <c r="AL322" s="203">
        <f>COUNTIF('242.BQ Phim hợp tác'!$C:$C,'KK1. Movies'!AI322)</f>
        <v/>
      </c>
      <c r="AM322" s="203">
        <f>COUNTIF('TK 15661.Bản quyền phim '!F:F,'KK1. Movies'!AI322)</f>
        <v/>
      </c>
      <c r="AN322" s="546">
        <f>AL322+AM322</f>
        <v/>
      </c>
      <c r="AO322" s="203" t="n"/>
      <c r="AP322" s="203" t="n"/>
      <c r="AQ322" s="203" t="n"/>
      <c r="AR322" s="203" t="n"/>
      <c r="AS322" s="203" t="n"/>
      <c r="AT322" s="546">
        <f>IFERROR(VLOOKUP(C322, CodeRanMovies!$A:$K, 11, 0), "Not found")</f>
        <v/>
      </c>
    </row>
    <row r="323">
      <c r="A323" s="201">
        <f>_xlfn.AGGREGATE(3,3,$D$7:D323)</f>
        <v/>
      </c>
      <c r="B323" s="589" t="n"/>
      <c r="C323" s="590" t="inlineStr">
        <is>
          <t>MOV_FAN28</t>
        </is>
      </c>
      <c r="D323" s="105" t="inlineStr">
        <is>
          <t>BEASTLY</t>
        </is>
      </c>
      <c r="E323" s="110" t="inlineStr">
        <is>
          <t>Ma thuật tình yêu</t>
        </is>
      </c>
      <c r="F323" s="110" t="inlineStr">
        <is>
          <t>Drama</t>
        </is>
      </c>
      <c r="G323" s="103" t="inlineStr">
        <is>
          <t>Paramount</t>
        </is>
      </c>
      <c r="H323" s="103" t="inlineStr">
        <is>
          <t>1009675/DM-38696/DM-39285</t>
        </is>
      </c>
      <c r="I323" s="104" t="n">
        <v>2011</v>
      </c>
      <c r="J323" s="104" t="inlineStr">
        <is>
          <t>US</t>
        </is>
      </c>
      <c r="K323" s="104" t="n">
        <v>112</v>
      </c>
      <c r="L323" s="124" t="n">
        <v>45883</v>
      </c>
      <c r="M323" s="124" t="n">
        <v>46431</v>
      </c>
      <c r="N323" s="601" t="n"/>
      <c r="O323" s="592" t="n"/>
      <c r="P323" s="592" t="n"/>
      <c r="Q323" s="104" t="inlineStr">
        <is>
          <t>No</t>
        </is>
      </c>
      <c r="R323" s="104" t="inlineStr">
        <is>
          <t>Yes</t>
        </is>
      </c>
      <c r="S323" s="110" t="inlineStr">
        <is>
          <t>Yes</t>
        </is>
      </c>
      <c r="T323" s="592" t="inlineStr">
        <is>
          <t>Yes</t>
        </is>
      </c>
      <c r="U323" s="104" t="inlineStr">
        <is>
          <t>No</t>
        </is>
      </c>
      <c r="V323" s="104" t="inlineStr">
        <is>
          <t>No</t>
        </is>
      </c>
      <c r="W323" s="104" t="inlineStr">
        <is>
          <t>No</t>
        </is>
      </c>
      <c r="X323" s="104" t="inlineStr">
        <is>
          <t>Yes</t>
        </is>
      </c>
      <c r="Y323" s="104" t="inlineStr">
        <is>
          <t>No</t>
        </is>
      </c>
      <c r="Z323" s="124" t="n">
        <v>45883</v>
      </c>
      <c r="AA323" s="124" t="n">
        <v>46247</v>
      </c>
      <c r="AB323" s="110" t="n">
        <v>10</v>
      </c>
      <c r="AC323" s="202" t="n"/>
      <c r="AD323" s="592" t="inlineStr">
        <is>
          <t>Yes</t>
        </is>
      </c>
      <c r="AE323" s="592" t="inlineStr">
        <is>
          <t>Yes</t>
        </is>
      </c>
      <c r="AF323" s="600" t="n"/>
      <c r="AG323" s="593" t="inlineStr">
        <is>
          <t>Phim còn hạn từ 2026</t>
        </is>
      </c>
      <c r="AH323" s="594" t="n"/>
      <c r="AI323" s="206" t="inlineStr">
        <is>
          <t>BEASTLY</t>
        </is>
      </c>
      <c r="AJ323" s="128">
        <f>SUMIF('TK 15661.Bản quyền phim '!F:F,'KK1. Movies'!D323,'TK 15661.Bản quyền phim '!X:X)</f>
        <v/>
      </c>
      <c r="AK323" s="128">
        <f>SUMIF('TK 15661.Bản quyền phim '!F:F,'KK1. Movies'!AI323,'TK 15661.Bản quyền phim '!X:X)</f>
        <v/>
      </c>
      <c r="AL323" s="203">
        <f>COUNTIF('242.BQ Phim hợp tác'!$C:$C,'KK1. Movies'!AI323)</f>
        <v/>
      </c>
      <c r="AM323" s="203">
        <f>COUNTIF('TK 15661.Bản quyền phim '!F:F,'KK1. Movies'!AI323)</f>
        <v/>
      </c>
      <c r="AN323" s="546">
        <f>AL323+AM323</f>
        <v/>
      </c>
      <c r="AO323" s="203" t="n"/>
      <c r="AP323" s="203" t="n"/>
      <c r="AQ323" s="203" t="n"/>
      <c r="AR323" s="203" t="n"/>
      <c r="AS323" s="203" t="n"/>
      <c r="AT323" s="546">
        <f>IFERROR(VLOOKUP(C323, CodeRanMovies!$A:$K, 11, 0), "Not found")</f>
        <v/>
      </c>
    </row>
    <row r="324" ht="26.4" customHeight="1" s="578">
      <c r="A324" s="201">
        <f>_xlfn.AGGREGATE(3,3,$D$7:D324)</f>
        <v/>
      </c>
      <c r="B324" s="589" t="n"/>
      <c r="C324" s="234" t="inlineStr">
        <is>
          <t>MOV_CRI115</t>
        </is>
      </c>
      <c r="D324" s="105" t="inlineStr">
        <is>
          <t>GAMBLER (2014), THE</t>
        </is>
      </c>
      <c r="E324" s="110" t="inlineStr">
        <is>
          <t>Giáo sư cờ bạc</t>
        </is>
      </c>
      <c r="F324" s="110" t="inlineStr">
        <is>
          <t>Drama</t>
        </is>
      </c>
      <c r="G324" s="103" t="inlineStr">
        <is>
          <t>Paramount</t>
        </is>
      </c>
      <c r="H324" s="103" t="inlineStr">
        <is>
          <t>1009675/DM-38696/DM-39285</t>
        </is>
      </c>
      <c r="I324" s="104" t="n">
        <v>2014</v>
      </c>
      <c r="J324" s="104" t="inlineStr">
        <is>
          <t>US</t>
        </is>
      </c>
      <c r="K324" s="104" t="n">
        <v>112</v>
      </c>
      <c r="L324" s="124" t="n">
        <v>45883</v>
      </c>
      <c r="M324" s="124" t="n">
        <v>46431</v>
      </c>
      <c r="N324" s="601" t="n"/>
      <c r="O324" s="592" t="n"/>
      <c r="P324" s="592" t="n"/>
      <c r="Q324" s="104" t="inlineStr">
        <is>
          <t>No</t>
        </is>
      </c>
      <c r="R324" s="104" t="inlineStr">
        <is>
          <t>Yes</t>
        </is>
      </c>
      <c r="S324" s="110" t="inlineStr">
        <is>
          <t>Yes</t>
        </is>
      </c>
      <c r="T324" s="592" t="inlineStr">
        <is>
          <t>Yes</t>
        </is>
      </c>
      <c r="U324" s="104" t="inlineStr">
        <is>
          <t>No</t>
        </is>
      </c>
      <c r="V324" s="104" t="inlineStr">
        <is>
          <t>No</t>
        </is>
      </c>
      <c r="W324" s="104" t="inlineStr">
        <is>
          <t>No</t>
        </is>
      </c>
      <c r="X324" s="104" t="inlineStr">
        <is>
          <t>Yes</t>
        </is>
      </c>
      <c r="Y324" s="104" t="inlineStr">
        <is>
          <t>No</t>
        </is>
      </c>
      <c r="Z324" s="124" t="n">
        <v>45883</v>
      </c>
      <c r="AA324" s="124" t="n">
        <v>46247</v>
      </c>
      <c r="AB324" s="110" t="n">
        <v>10</v>
      </c>
      <c r="AC324" s="202" t="n"/>
      <c r="AD324" s="592" t="inlineStr">
        <is>
          <t>Yes</t>
        </is>
      </c>
      <c r="AE324" s="592" t="inlineStr">
        <is>
          <t>Yes</t>
        </is>
      </c>
      <c r="AF324" s="600" t="n"/>
      <c r="AG324" s="593" t="inlineStr">
        <is>
          <t>Phim còn hạn từ 2026</t>
        </is>
      </c>
      <c r="AH324" s="594" t="n"/>
      <c r="AI324" s="206" t="inlineStr">
        <is>
          <t>GAMBLER (2014), THE</t>
        </is>
      </c>
      <c r="AJ324" s="128">
        <f>SUMIF('TK 15661.Bản quyền phim '!F:F,'KK1. Movies'!D324,'TK 15661.Bản quyền phim '!X:X)</f>
        <v/>
      </c>
      <c r="AK324" s="128">
        <f>SUMIF('TK 15661.Bản quyền phim '!F:F,'KK1. Movies'!AI324,'TK 15661.Bản quyền phim '!X:X)</f>
        <v/>
      </c>
      <c r="AL324" s="203">
        <f>COUNTIF('242.BQ Phim hợp tác'!$C:$C,'KK1. Movies'!AI324)</f>
        <v/>
      </c>
      <c r="AM324" s="203">
        <f>COUNTIF('TK 15661.Bản quyền phim '!F:F,'KK1. Movies'!AI324)</f>
        <v/>
      </c>
      <c r="AN324" s="546">
        <f>AL324+AM324</f>
        <v/>
      </c>
      <c r="AO324" s="203" t="n"/>
      <c r="AP324" s="203" t="n"/>
      <c r="AQ324" s="203" t="n"/>
      <c r="AR324" s="203" t="n"/>
      <c r="AS324" s="203" t="n"/>
      <c r="AT324" s="546">
        <f>IFERROR(VLOOKUP(C324, CodeRanMovies!$A:$K, 11, 0), "Not found")</f>
        <v/>
      </c>
    </row>
    <row r="325">
      <c r="A325" s="201">
        <f>_xlfn.AGGREGATE(3,3,$D$7:D325)</f>
        <v/>
      </c>
      <c r="B325" s="589" t="n"/>
      <c r="C325" s="590" t="inlineStr">
        <is>
          <t>MOV_COM298</t>
        </is>
      </c>
      <c r="D325" s="105" t="inlineStr">
        <is>
          <t>LOVE IN TAIPEI</t>
        </is>
      </c>
      <c r="E325" s="110" t="inlineStr">
        <is>
          <t>Tình yêu ở Đài Bắc</t>
        </is>
      </c>
      <c r="F325" s="110" t="inlineStr">
        <is>
          <t>Comedy,Drama</t>
        </is>
      </c>
      <c r="G325" s="103" t="inlineStr">
        <is>
          <t>Paramount</t>
        </is>
      </c>
      <c r="H325" s="103" t="inlineStr">
        <is>
          <t>1009675/DM-38696/DM-39285</t>
        </is>
      </c>
      <c r="I325" s="104" t="n">
        <v>2023</v>
      </c>
      <c r="J325" s="104" t="inlineStr">
        <is>
          <t>US</t>
        </is>
      </c>
      <c r="K325" s="104" t="n">
        <v>95</v>
      </c>
      <c r="L325" s="124" t="n">
        <v>45883</v>
      </c>
      <c r="M325" s="124" t="n">
        <v>46431</v>
      </c>
      <c r="N325" s="601" t="n"/>
      <c r="O325" s="592" t="n"/>
      <c r="P325" s="592" t="n"/>
      <c r="Q325" s="104" t="inlineStr">
        <is>
          <t>No</t>
        </is>
      </c>
      <c r="R325" s="104" t="inlineStr">
        <is>
          <t>Yes</t>
        </is>
      </c>
      <c r="S325" s="110" t="inlineStr">
        <is>
          <t>Yes</t>
        </is>
      </c>
      <c r="T325" s="592" t="inlineStr">
        <is>
          <t>Yes</t>
        </is>
      </c>
      <c r="U325" s="104" t="inlineStr">
        <is>
          <t>No</t>
        </is>
      </c>
      <c r="V325" s="104" t="inlineStr">
        <is>
          <t>No</t>
        </is>
      </c>
      <c r="W325" s="104" t="inlineStr">
        <is>
          <t>No</t>
        </is>
      </c>
      <c r="X325" s="104" t="inlineStr">
        <is>
          <t>Yes</t>
        </is>
      </c>
      <c r="Y325" s="104" t="inlineStr">
        <is>
          <t>No</t>
        </is>
      </c>
      <c r="Z325" s="124" t="n">
        <v>45883</v>
      </c>
      <c r="AA325" s="124" t="n">
        <v>46247</v>
      </c>
      <c r="AB325" s="110" t="n">
        <v>10</v>
      </c>
      <c r="AC325" s="202" t="n"/>
      <c r="AD325" s="592" t="inlineStr">
        <is>
          <t>Yes</t>
        </is>
      </c>
      <c r="AE325" s="592" t="inlineStr">
        <is>
          <t>Yes</t>
        </is>
      </c>
      <c r="AF325" s="600" t="n"/>
      <c r="AG325" s="593" t="inlineStr">
        <is>
          <t>Phim còn hạn từ 2026</t>
        </is>
      </c>
      <c r="AH325" s="594" t="n"/>
      <c r="AI325" s="206" t="inlineStr">
        <is>
          <t>LOVE IN TAIPEI</t>
        </is>
      </c>
      <c r="AJ325" s="128">
        <f>SUMIF('TK 15661.Bản quyền phim '!F:F,'KK1. Movies'!D325,'TK 15661.Bản quyền phim '!X:X)</f>
        <v/>
      </c>
      <c r="AK325" s="128">
        <f>SUMIF('TK 15661.Bản quyền phim '!F:F,'KK1. Movies'!AI325,'TK 15661.Bản quyền phim '!X:X)</f>
        <v/>
      </c>
      <c r="AL325" s="203">
        <f>COUNTIF('242.BQ Phim hợp tác'!$C:$C,'KK1. Movies'!AI325)</f>
        <v/>
      </c>
      <c r="AM325" s="203">
        <f>COUNTIF('TK 15661.Bản quyền phim '!F:F,'KK1. Movies'!AI325)</f>
        <v/>
      </c>
      <c r="AN325" s="546">
        <f>AL325+AM325</f>
        <v/>
      </c>
      <c r="AO325" s="203" t="n"/>
      <c r="AP325" s="203" t="n"/>
      <c r="AQ325" s="203" t="n"/>
      <c r="AR325" s="203" t="n"/>
      <c r="AS325" s="203" t="n"/>
      <c r="AT325" s="546">
        <f>IFERROR(VLOOKUP(C325, CodeRanMovies!$A:$K, 11, 0), "Not found")</f>
        <v/>
      </c>
    </row>
    <row r="326" ht="26.4" customHeight="1" s="578">
      <c r="A326" s="201">
        <f>_xlfn.AGGREGATE(3,3,$D$7:D326)</f>
        <v/>
      </c>
      <c r="B326" s="589" t="n"/>
      <c r="C326" s="590" t="inlineStr">
        <is>
          <t>MOV_COM301</t>
        </is>
      </c>
      <c r="D326" s="105" t="inlineStr">
        <is>
          <t>SHE'S OUT OF MY LEAGUE</t>
        </is>
      </c>
      <c r="E326" s="590" t="inlineStr">
        <is>
          <t>Đũa mốc chòi mâm son</t>
        </is>
      </c>
      <c r="F326" s="110" t="inlineStr">
        <is>
          <t>Horror</t>
        </is>
      </c>
      <c r="G326" s="103" t="inlineStr">
        <is>
          <t>Paramount</t>
        </is>
      </c>
      <c r="H326" s="103" t="inlineStr">
        <is>
          <t>1009675/DM-38696/DM-39285</t>
        </is>
      </c>
      <c r="I326" s="104" t="n">
        <v>2019</v>
      </c>
      <c r="J326" s="104" t="inlineStr">
        <is>
          <t>US</t>
        </is>
      </c>
      <c r="K326" s="104" t="n">
        <v>100</v>
      </c>
      <c r="L326" s="124" t="n">
        <v>45883</v>
      </c>
      <c r="M326" s="124" t="n">
        <v>46387</v>
      </c>
      <c r="N326" s="601" t="n"/>
      <c r="O326" s="592" t="n"/>
      <c r="P326" s="592" t="n"/>
      <c r="Q326" s="104" t="inlineStr">
        <is>
          <t>No</t>
        </is>
      </c>
      <c r="R326" s="104" t="inlineStr">
        <is>
          <t>Yes</t>
        </is>
      </c>
      <c r="S326" s="110" t="inlineStr">
        <is>
          <t>Yes</t>
        </is>
      </c>
      <c r="T326" s="592" t="inlineStr">
        <is>
          <t>Yes</t>
        </is>
      </c>
      <c r="U326" s="104" t="inlineStr">
        <is>
          <t>No</t>
        </is>
      </c>
      <c r="V326" s="104" t="inlineStr">
        <is>
          <t>No</t>
        </is>
      </c>
      <c r="W326" s="104" t="inlineStr">
        <is>
          <t>No</t>
        </is>
      </c>
      <c r="X326" s="104" t="inlineStr">
        <is>
          <t>Yes</t>
        </is>
      </c>
      <c r="Y326" s="104" t="inlineStr">
        <is>
          <t>No</t>
        </is>
      </c>
      <c r="Z326" s="124" t="n">
        <v>45883</v>
      </c>
      <c r="AA326" s="124" t="n">
        <v>46247</v>
      </c>
      <c r="AB326" s="110" t="n">
        <v>8</v>
      </c>
      <c r="AC326" s="202" t="n"/>
      <c r="AD326" s="592" t="inlineStr">
        <is>
          <t>Yes</t>
        </is>
      </c>
      <c r="AE326" s="592" t="inlineStr">
        <is>
          <t>Yes</t>
        </is>
      </c>
      <c r="AF326" s="600" t="n"/>
      <c r="AG326" s="593" t="inlineStr">
        <is>
          <t>Phim còn hạn từ 2026</t>
        </is>
      </c>
      <c r="AH326" s="594" t="n"/>
      <c r="AI326" s="206" t="inlineStr">
        <is>
          <t>SHE'S OUT OF MY LEAGUE (2010)</t>
        </is>
      </c>
      <c r="AJ326" s="128">
        <f>SUMIF('TK 15661.Bản quyền phim '!F:F,'KK1. Movies'!D326,'TK 15661.Bản quyền phim '!X:X)</f>
        <v/>
      </c>
      <c r="AK326" s="128">
        <f>SUMIF('TK 15661.Bản quyền phim '!F:F,'KK1. Movies'!AI326,'TK 15661.Bản quyền phim '!X:X)</f>
        <v/>
      </c>
      <c r="AL326" s="203">
        <f>COUNTIF('242.BQ Phim hợp tác'!$C:$C,'KK1. Movies'!AI326)</f>
        <v/>
      </c>
      <c r="AM326" s="203">
        <f>COUNTIF('TK 15661.Bản quyền phim '!F:F,'KK1. Movies'!AI326)</f>
        <v/>
      </c>
      <c r="AN326" s="546">
        <f>AL326+AM326</f>
        <v/>
      </c>
      <c r="AO326" s="203" t="n"/>
      <c r="AP326" s="203" t="n"/>
      <c r="AQ326" s="203" t="n"/>
      <c r="AR326" s="203" t="n"/>
      <c r="AS326" s="203" t="n"/>
      <c r="AT326" s="546">
        <f>IFERROR(VLOOKUP(C326, CodeRanMovies!$A:$K, 11, 0), "Not found")</f>
        <v/>
      </c>
    </row>
    <row r="327">
      <c r="A327" s="201">
        <f>_xlfn.AGGREGATE(3,3,$D$7:D327)</f>
        <v/>
      </c>
      <c r="B327" s="589" t="n"/>
      <c r="C327" s="234" t="inlineStr">
        <is>
          <t>MOV_HOR74</t>
        </is>
      </c>
      <c r="D327" s="105" t="inlineStr">
        <is>
          <t>QUIET PLACE, A</t>
        </is>
      </c>
      <c r="E327" s="110" t="inlineStr">
        <is>
          <t>Vùng đất câm lặng</t>
        </is>
      </c>
      <c r="F327" s="110" t="inlineStr">
        <is>
          <t>Horror</t>
        </is>
      </c>
      <c r="G327" s="103" t="inlineStr">
        <is>
          <t>Paramount</t>
        </is>
      </c>
      <c r="H327" s="103" t="inlineStr">
        <is>
          <t>1009675/DM-38696/DM-39285</t>
        </is>
      </c>
      <c r="I327" s="104" t="n">
        <v>2018</v>
      </c>
      <c r="J327" s="104" t="inlineStr">
        <is>
          <t>US</t>
        </is>
      </c>
      <c r="K327" s="104" t="n">
        <v>90</v>
      </c>
      <c r="L327" s="124" t="n">
        <v>45883</v>
      </c>
      <c r="M327" s="124" t="n">
        <v>46356</v>
      </c>
      <c r="N327" s="601" t="n"/>
      <c r="O327" s="592" t="n"/>
      <c r="P327" s="592" t="n"/>
      <c r="Q327" s="104" t="inlineStr">
        <is>
          <t>No</t>
        </is>
      </c>
      <c r="R327" s="104" t="inlineStr">
        <is>
          <t>Yes</t>
        </is>
      </c>
      <c r="S327" s="110" t="inlineStr">
        <is>
          <t>Yes</t>
        </is>
      </c>
      <c r="T327" s="592" t="inlineStr">
        <is>
          <t>Yes</t>
        </is>
      </c>
      <c r="U327" s="104" t="inlineStr">
        <is>
          <t>No</t>
        </is>
      </c>
      <c r="V327" s="104" t="inlineStr">
        <is>
          <t>No</t>
        </is>
      </c>
      <c r="W327" s="104" t="inlineStr">
        <is>
          <t>No</t>
        </is>
      </c>
      <c r="X327" s="104" t="inlineStr">
        <is>
          <t>Yes</t>
        </is>
      </c>
      <c r="Y327" s="104" t="inlineStr">
        <is>
          <t>No</t>
        </is>
      </c>
      <c r="Z327" s="124" t="n">
        <v>45883</v>
      </c>
      <c r="AA327" s="124" t="n">
        <v>46247</v>
      </c>
      <c r="AB327" s="110" t="n">
        <v>8</v>
      </c>
      <c r="AC327" s="202" t="n"/>
      <c r="AD327" s="592" t="inlineStr">
        <is>
          <t>Yes</t>
        </is>
      </c>
      <c r="AE327" s="592" t="inlineStr">
        <is>
          <t>Yes</t>
        </is>
      </c>
      <c r="AF327" s="600" t="n"/>
      <c r="AG327" s="593" t="inlineStr">
        <is>
          <t>Phim còn hạn từ 2026</t>
        </is>
      </c>
      <c r="AH327" s="594" t="n"/>
      <c r="AI327" s="599" t="inlineStr">
        <is>
          <t>QUIET PLACE, A</t>
        </is>
      </c>
      <c r="AJ327" s="128">
        <f>SUMIF('TK 15661.Bản quyền phim '!F:F,'KK1. Movies'!D327,'TK 15661.Bản quyền phim '!X:X)</f>
        <v/>
      </c>
      <c r="AK327" s="128">
        <f>SUMIF('TK 15661.Bản quyền phim '!F:F,'KK1. Movies'!AI327,'TK 15661.Bản quyền phim '!X:X)</f>
        <v/>
      </c>
      <c r="AL327" s="203">
        <f>COUNTIF('242.BQ Phim hợp tác'!$C:$C,'KK1. Movies'!AI327)</f>
        <v/>
      </c>
      <c r="AM327" s="203">
        <f>COUNTIF('TK 15661.Bản quyền phim '!F:F,'KK1. Movies'!AI327)</f>
        <v/>
      </c>
      <c r="AN327" s="546">
        <f>AL327+AM327</f>
        <v/>
      </c>
      <c r="AO327" s="203" t="n"/>
      <c r="AP327" s="203" t="n"/>
      <c r="AQ327" s="203" t="n"/>
      <c r="AR327" s="203" t="n"/>
      <c r="AS327" s="203" t="n"/>
      <c r="AT327" s="546">
        <f>IFERROR(VLOOKUP(C327, CodeRanMovies!$A:$K, 11, 0), "Not found")</f>
        <v/>
      </c>
    </row>
    <row r="328" ht="39.6" customHeight="1" s="578">
      <c r="A328" s="201">
        <f>_xlfn.AGGREGATE(3,3,$D$7:D328)</f>
        <v/>
      </c>
      <c r="B328" s="589" t="n"/>
      <c r="C328" s="234" t="inlineStr">
        <is>
          <t>MOV_ACT618</t>
        </is>
      </c>
      <c r="D328" s="105" t="inlineStr">
        <is>
          <t>TEENAGE MUTANT NINJA TURTLES (2014)</t>
        </is>
      </c>
      <c r="E328" s="110" t="inlineStr">
        <is>
          <t>Ninja Rùa: Hỗn loạn tuổi dậy thì</t>
        </is>
      </c>
      <c r="F328" s="105" t="inlineStr">
        <is>
          <t>Action/Adventure,Animation</t>
        </is>
      </c>
      <c r="G328" s="103" t="inlineStr">
        <is>
          <t>Paramount</t>
        </is>
      </c>
      <c r="H328" s="103" t="inlineStr">
        <is>
          <t>1009675/DM-38696/DM-39285</t>
        </is>
      </c>
      <c r="I328" s="104" t="n">
        <v>2014</v>
      </c>
      <c r="J328" s="104" t="inlineStr">
        <is>
          <t>US</t>
        </is>
      </c>
      <c r="K328" s="104" t="n">
        <v>101</v>
      </c>
      <c r="L328" s="124" t="n">
        <v>45883</v>
      </c>
      <c r="M328" s="124" t="n">
        <v>46295</v>
      </c>
      <c r="N328" s="601" t="n"/>
      <c r="O328" s="592" t="n"/>
      <c r="P328" s="592" t="n"/>
      <c r="Q328" s="104" t="inlineStr">
        <is>
          <t>No</t>
        </is>
      </c>
      <c r="R328" s="104" t="inlineStr">
        <is>
          <t>Yes</t>
        </is>
      </c>
      <c r="S328" s="110" t="inlineStr">
        <is>
          <t>Yes</t>
        </is>
      </c>
      <c r="T328" s="592" t="inlineStr">
        <is>
          <t>Yes</t>
        </is>
      </c>
      <c r="U328" s="104" t="inlineStr">
        <is>
          <t>No</t>
        </is>
      </c>
      <c r="V328" s="104" t="inlineStr">
        <is>
          <t>No</t>
        </is>
      </c>
      <c r="W328" s="104" t="inlineStr">
        <is>
          <t>No</t>
        </is>
      </c>
      <c r="X328" s="104" t="inlineStr">
        <is>
          <t>Yes</t>
        </is>
      </c>
      <c r="Y328" s="104" t="inlineStr">
        <is>
          <t>No</t>
        </is>
      </c>
      <c r="Z328" s="124" t="n">
        <v>45883</v>
      </c>
      <c r="AA328" s="124" t="n">
        <v>46247</v>
      </c>
      <c r="AB328" s="110" t="n">
        <v>7</v>
      </c>
      <c r="AC328" s="202" t="n"/>
      <c r="AD328" s="592" t="inlineStr">
        <is>
          <t>Yes</t>
        </is>
      </c>
      <c r="AE328" s="592" t="inlineStr">
        <is>
          <t>Yes</t>
        </is>
      </c>
      <c r="AF328" s="600" t="n"/>
      <c r="AG328" s="593" t="inlineStr">
        <is>
          <t>Phim còn hạn từ 2026</t>
        </is>
      </c>
      <c r="AH328" s="594" t="n"/>
      <c r="AI328" s="599" t="inlineStr">
        <is>
          <t>TEENAGE MUTANT NINJA TURTLES (2014)</t>
        </is>
      </c>
      <c r="AJ328" s="128">
        <f>SUMIF('TK 15661.Bản quyền phim '!F:F,'KK1. Movies'!D328,'TK 15661.Bản quyền phim '!X:X)</f>
        <v/>
      </c>
      <c r="AK328" s="128">
        <f>SUMIF('TK 15661.Bản quyền phim '!F:F,'KK1. Movies'!AI328,'TK 15661.Bản quyền phim '!X:X)</f>
        <v/>
      </c>
      <c r="AL328" s="203">
        <f>COUNTIF('242.BQ Phim hợp tác'!$C:$C,'KK1. Movies'!AI328)</f>
        <v/>
      </c>
      <c r="AM328" s="203">
        <f>COUNTIF('TK 15661.Bản quyền phim '!F:F,'KK1. Movies'!AI328)</f>
        <v/>
      </c>
      <c r="AN328" s="546">
        <f>AL328+AM328</f>
        <v/>
      </c>
      <c r="AO328" s="203" t="n"/>
      <c r="AP328" s="203" t="n"/>
      <c r="AQ328" s="203" t="n"/>
      <c r="AR328" s="203" t="n"/>
      <c r="AS328" s="203" t="n"/>
      <c r="AT328" s="546">
        <f>IFERROR(VLOOKUP(C328, CodeRanMovies!$A:$K, 11, 0), "Not found")</f>
        <v/>
      </c>
    </row>
    <row r="329" ht="52.8" customHeight="1" s="578">
      <c r="A329" s="201">
        <f>_xlfn.AGGREGATE(3,3,$D$7:D329)</f>
        <v/>
      </c>
      <c r="B329" s="589" t="n"/>
      <c r="C329" s="590" t="inlineStr">
        <is>
          <t>MOV_ACT619</t>
        </is>
      </c>
      <c r="D329" s="105" t="inlineStr">
        <is>
          <t>TEENAGE MUTANT NINJA TURTLES: OUT OF THE SHADOWS</t>
        </is>
      </c>
      <c r="E329" s="110" t="inlineStr">
        <is>
          <t>Ninja Rùa: Đập tan bóng tối</t>
        </is>
      </c>
      <c r="F329" s="105" t="inlineStr">
        <is>
          <t>Action/Adventure,Animation</t>
        </is>
      </c>
      <c r="G329" s="103" t="inlineStr">
        <is>
          <t>Paramount</t>
        </is>
      </c>
      <c r="H329" s="103" t="inlineStr">
        <is>
          <t>1009675/DM-38696/DM-39285</t>
        </is>
      </c>
      <c r="I329" s="104" t="n">
        <v>2016</v>
      </c>
      <c r="J329" s="104" t="inlineStr">
        <is>
          <t>US</t>
        </is>
      </c>
      <c r="K329" s="104" t="n">
        <v>110</v>
      </c>
      <c r="L329" s="124" t="n">
        <v>45883</v>
      </c>
      <c r="M329" s="124" t="n">
        <v>46295</v>
      </c>
      <c r="N329" s="601" t="n"/>
      <c r="O329" s="592" t="n"/>
      <c r="P329" s="592" t="n"/>
      <c r="Q329" s="104" t="inlineStr">
        <is>
          <t>No</t>
        </is>
      </c>
      <c r="R329" s="104" t="inlineStr">
        <is>
          <t>Yes</t>
        </is>
      </c>
      <c r="S329" s="110" t="inlineStr">
        <is>
          <t>Yes</t>
        </is>
      </c>
      <c r="T329" s="592" t="inlineStr">
        <is>
          <t>Yes</t>
        </is>
      </c>
      <c r="U329" s="104" t="inlineStr">
        <is>
          <t>No</t>
        </is>
      </c>
      <c r="V329" s="104" t="inlineStr">
        <is>
          <t>No</t>
        </is>
      </c>
      <c r="W329" s="104" t="inlineStr">
        <is>
          <t>No</t>
        </is>
      </c>
      <c r="X329" s="104" t="inlineStr">
        <is>
          <t>Yes</t>
        </is>
      </c>
      <c r="Y329" s="104" t="inlineStr">
        <is>
          <t>No</t>
        </is>
      </c>
      <c r="Z329" s="124" t="n">
        <v>45883</v>
      </c>
      <c r="AA329" s="124" t="n">
        <v>46247</v>
      </c>
      <c r="AB329" s="110" t="n">
        <v>7</v>
      </c>
      <c r="AC329" s="202" t="n"/>
      <c r="AD329" s="592" t="inlineStr">
        <is>
          <t>Yes</t>
        </is>
      </c>
      <c r="AE329" s="592" t="inlineStr">
        <is>
          <t>Yes</t>
        </is>
      </c>
      <c r="AF329" s="600" t="n"/>
      <c r="AG329" s="593" t="inlineStr">
        <is>
          <t>Phim còn hạn từ 2026</t>
        </is>
      </c>
      <c r="AH329" s="594" t="n"/>
      <c r="AI329" s="599" t="inlineStr">
        <is>
          <t>TEENAGE MUTANT NINJA TURTLES: OUT OF THE SHADOWS</t>
        </is>
      </c>
      <c r="AJ329" s="128">
        <f>SUMIF('TK 15661.Bản quyền phim '!F:F,'KK1. Movies'!D329,'TK 15661.Bản quyền phim '!X:X)</f>
        <v/>
      </c>
      <c r="AK329" s="128">
        <f>SUMIF('TK 15661.Bản quyền phim '!F:F,'KK1. Movies'!AI329,'TK 15661.Bản quyền phim '!X:X)</f>
        <v/>
      </c>
      <c r="AL329" s="203">
        <f>COUNTIF('242.BQ Phim hợp tác'!$C:$C,'KK1. Movies'!AI329)</f>
        <v/>
      </c>
      <c r="AM329" s="203">
        <f>COUNTIF('TK 15661.Bản quyền phim '!F:F,'KK1. Movies'!AI329)</f>
        <v/>
      </c>
      <c r="AN329" s="546">
        <f>AL329+AM329</f>
        <v/>
      </c>
      <c r="AO329" s="203" t="n"/>
      <c r="AP329" s="203" t="n"/>
      <c r="AQ329" s="203" t="n"/>
      <c r="AR329" s="203" t="n"/>
      <c r="AS329" s="203" t="n"/>
      <c r="AT329" s="546">
        <f>IFERROR(VLOOKUP(C329, CodeRanMovies!$A:$K, 11, 0), "Not found")</f>
        <v/>
      </c>
    </row>
    <row r="330">
      <c r="A330" s="201">
        <f>_xlfn.AGGREGATE(3,3,$D$7:D330)</f>
        <v/>
      </c>
      <c r="B330" s="589" t="n"/>
      <c r="C330" s="234" t="inlineStr">
        <is>
          <t>MOV_SCI25</t>
        </is>
      </c>
      <c r="D330" s="105" t="inlineStr">
        <is>
          <t>SUPER 8</t>
        </is>
      </c>
      <c r="E330" s="110" t="inlineStr">
        <is>
          <t>Quái vật vũ trụ</t>
        </is>
      </c>
      <c r="F330" s="105" t="inlineStr">
        <is>
          <t>Action/Adventure</t>
        </is>
      </c>
      <c r="G330" s="103" t="inlineStr">
        <is>
          <t>Paramount</t>
        </is>
      </c>
      <c r="H330" s="103" t="inlineStr">
        <is>
          <t>1009675/DM-38696/DM-39285</t>
        </is>
      </c>
      <c r="I330" s="104" t="n">
        <v>2011</v>
      </c>
      <c r="J330" s="104" t="inlineStr">
        <is>
          <t>US</t>
        </is>
      </c>
      <c r="K330" s="104" t="n">
        <v>112</v>
      </c>
      <c r="L330" s="124" t="n">
        <v>46008</v>
      </c>
      <c r="M330" s="124" t="n">
        <v>46295</v>
      </c>
      <c r="N330" s="601" t="n"/>
      <c r="O330" s="592" t="n"/>
      <c r="P330" s="592" t="n"/>
      <c r="Q330" s="104" t="inlineStr">
        <is>
          <t>No</t>
        </is>
      </c>
      <c r="R330" s="104" t="inlineStr">
        <is>
          <t>Yes</t>
        </is>
      </c>
      <c r="S330" s="110" t="inlineStr">
        <is>
          <t>Yes</t>
        </is>
      </c>
      <c r="T330" s="592" t="inlineStr">
        <is>
          <t>Yes</t>
        </is>
      </c>
      <c r="U330" s="104" t="inlineStr">
        <is>
          <t>No</t>
        </is>
      </c>
      <c r="V330" s="104" t="inlineStr">
        <is>
          <t>No</t>
        </is>
      </c>
      <c r="W330" s="104" t="inlineStr">
        <is>
          <t>No</t>
        </is>
      </c>
      <c r="X330" s="104" t="inlineStr">
        <is>
          <t>Yes</t>
        </is>
      </c>
      <c r="Y330" s="104" t="inlineStr">
        <is>
          <t>No</t>
        </is>
      </c>
      <c r="Z330" s="124" t="n">
        <v>46008</v>
      </c>
      <c r="AA330" s="124" t="n">
        <v>46295</v>
      </c>
      <c r="AB330" s="110" t="n">
        <v>5</v>
      </c>
      <c r="AC330" s="202" t="n"/>
      <c r="AD330" s="592" t="inlineStr">
        <is>
          <t>Yes</t>
        </is>
      </c>
      <c r="AE330" s="592" t="inlineStr">
        <is>
          <t>Yes</t>
        </is>
      </c>
      <c r="AF330" s="600" t="n"/>
      <c r="AG330" s="593" t="inlineStr">
        <is>
          <t>Phim còn hạn từ 2026</t>
        </is>
      </c>
      <c r="AH330" s="594" t="n"/>
      <c r="AI330" s="599" t="inlineStr">
        <is>
          <t>SUPER 8</t>
        </is>
      </c>
      <c r="AJ330" s="128">
        <f>SUMIF('TK 15661.Bản quyền phim '!F:F,'KK1. Movies'!D330,'TK 15661.Bản quyền phim '!X:X)</f>
        <v/>
      </c>
      <c r="AK330" s="128">
        <f>SUMIF('TK 15661.Bản quyền phim '!F:F,'KK1. Movies'!AI330,'TK 15661.Bản quyền phim '!X:X)</f>
        <v/>
      </c>
      <c r="AL330" s="203">
        <f>COUNTIF('242.BQ Phim hợp tác'!$C:$C,'KK1. Movies'!AI330)</f>
        <v/>
      </c>
      <c r="AM330" s="203">
        <f>COUNTIF('TK 15661.Bản quyền phim '!F:F,'KK1. Movies'!AI330)</f>
        <v/>
      </c>
      <c r="AN330" s="546">
        <f>AL330+AM330</f>
        <v/>
      </c>
      <c r="AO330" s="203" t="n"/>
      <c r="AP330" s="203" t="n"/>
      <c r="AQ330" s="203" t="n"/>
      <c r="AR330" s="203" t="n"/>
      <c r="AS330" s="203" t="n"/>
      <c r="AT330" s="546">
        <f>IFERROR(VLOOKUP(C330, CodeRanMovies!$A:$K, 11, 0), "Not found")</f>
        <v/>
      </c>
    </row>
    <row r="331">
      <c r="A331" s="201">
        <f>_xlfn.AGGREGATE(3,3,$D$7:D331)</f>
        <v/>
      </c>
      <c r="B331" s="589" t="n"/>
      <c r="C331" s="590" t="inlineStr">
        <is>
          <t>MOV_SCI22</t>
        </is>
      </c>
      <c r="D331" s="105" t="inlineStr">
        <is>
          <t>ANNIHILATION</t>
        </is>
      </c>
      <c r="E331" s="110" t="inlineStr">
        <is>
          <t>VÙNG HỦY DIỆT</t>
        </is>
      </c>
      <c r="F331" s="110" t="inlineStr">
        <is>
          <t>Drama,Science Fiction</t>
        </is>
      </c>
      <c r="G331" s="103" t="inlineStr">
        <is>
          <t>Paramount</t>
        </is>
      </c>
      <c r="H331" s="103" t="inlineStr">
        <is>
          <t>1009675/DM-38696/DM-39285</t>
        </is>
      </c>
      <c r="I331" s="104" t="n">
        <v>2018</v>
      </c>
      <c r="J331" s="104" t="inlineStr">
        <is>
          <t>US</t>
        </is>
      </c>
      <c r="K331" s="104" t="n">
        <v>115</v>
      </c>
      <c r="L331" s="124" t="n">
        <v>45974</v>
      </c>
      <c r="M331" s="124" t="n">
        <v>46519</v>
      </c>
      <c r="N331" s="601" t="n"/>
      <c r="O331" s="592" t="n"/>
      <c r="P331" s="592" t="n"/>
      <c r="Q331" s="104" t="inlineStr">
        <is>
          <t>No</t>
        </is>
      </c>
      <c r="R331" s="104" t="inlineStr">
        <is>
          <t>Yes</t>
        </is>
      </c>
      <c r="S331" s="110" t="inlineStr">
        <is>
          <t>Yes</t>
        </is>
      </c>
      <c r="T331" s="592" t="inlineStr">
        <is>
          <t>Yes</t>
        </is>
      </c>
      <c r="U331" s="104" t="inlineStr">
        <is>
          <t>No</t>
        </is>
      </c>
      <c r="V331" s="104" t="inlineStr">
        <is>
          <t>No</t>
        </is>
      </c>
      <c r="W331" s="104" t="inlineStr">
        <is>
          <t>No</t>
        </is>
      </c>
      <c r="X331" s="104" t="inlineStr">
        <is>
          <t>Yes</t>
        </is>
      </c>
      <c r="Y331" s="104" t="inlineStr">
        <is>
          <t>No</t>
        </is>
      </c>
      <c r="Z331" s="124" t="n">
        <v>45974</v>
      </c>
      <c r="AA331" s="124" t="n">
        <v>46338</v>
      </c>
      <c r="AB331" s="110" t="n">
        <v>10</v>
      </c>
      <c r="AC331" s="202" t="n"/>
      <c r="AD331" s="592" t="inlineStr">
        <is>
          <t>Yes</t>
        </is>
      </c>
      <c r="AE331" s="592" t="inlineStr">
        <is>
          <t>Yes</t>
        </is>
      </c>
      <c r="AF331" s="600" t="n"/>
      <c r="AG331" s="593" t="inlineStr">
        <is>
          <t>Phim còn hạn từ 2026</t>
        </is>
      </c>
      <c r="AH331" s="594" t="n"/>
      <c r="AI331" s="206" t="inlineStr">
        <is>
          <t>ANNIHILATION</t>
        </is>
      </c>
      <c r="AJ331" s="128">
        <f>SUMIF('TK 15661.Bản quyền phim '!F:F,'KK1. Movies'!D331,'TK 15661.Bản quyền phim '!X:X)</f>
        <v/>
      </c>
      <c r="AK331" s="128">
        <f>SUMIF('TK 15661.Bản quyền phim '!F:F,'KK1. Movies'!AI331,'TK 15661.Bản quyền phim '!X:X)</f>
        <v/>
      </c>
      <c r="AL331" s="203">
        <f>COUNTIF('242.BQ Phim hợp tác'!$C:$C,'KK1. Movies'!AI331)</f>
        <v/>
      </c>
      <c r="AM331" s="203">
        <f>COUNTIF('TK 15661.Bản quyền phim '!F:F,'KK1. Movies'!AI331)</f>
        <v/>
      </c>
      <c r="AN331" s="546">
        <f>AL331+AM331</f>
        <v/>
      </c>
      <c r="AO331" s="203" t="n"/>
      <c r="AP331" s="203" t="n"/>
      <c r="AQ331" s="203" t="n"/>
      <c r="AR331" s="203" t="n"/>
      <c r="AS331" s="203" t="n"/>
      <c r="AT331" s="546">
        <f>IFERROR(VLOOKUP(C331, CodeRanMovies!$A:$K, 11, 0), "Not found")</f>
        <v/>
      </c>
    </row>
    <row r="332">
      <c r="A332" s="201">
        <f>_xlfn.AGGREGATE(3,3,$D$7:D332)</f>
        <v/>
      </c>
      <c r="B332" s="589" t="n"/>
      <c r="C332" s="590" t="inlineStr">
        <is>
          <t>MOV_CRI118</t>
        </is>
      </c>
      <c r="D332" s="105" t="inlineStr">
        <is>
          <t>CONFESS, FLETCH</t>
        </is>
      </c>
      <c r="E332" s="590" t="inlineStr">
        <is>
          <t>Thú tội đi, Fletch</t>
        </is>
      </c>
      <c r="F332" s="110" t="inlineStr">
        <is>
          <t>Comedy</t>
        </is>
      </c>
      <c r="G332" s="103" t="inlineStr">
        <is>
          <t>Paramount</t>
        </is>
      </c>
      <c r="H332" s="103" t="inlineStr">
        <is>
          <t>1009675/DM-38696/DM-39286</t>
        </is>
      </c>
      <c r="I332" s="104" t="n">
        <v>2022</v>
      </c>
      <c r="J332" s="104" t="inlineStr">
        <is>
          <t>US</t>
        </is>
      </c>
      <c r="K332" s="104" t="n">
        <v>100</v>
      </c>
      <c r="L332" s="124" t="n">
        <v>45974</v>
      </c>
      <c r="M332" s="124" t="n">
        <v>46519</v>
      </c>
      <c r="N332" s="601" t="n"/>
      <c r="O332" s="592" t="n"/>
      <c r="P332" s="592" t="n"/>
      <c r="Q332" s="104" t="inlineStr">
        <is>
          <t>No</t>
        </is>
      </c>
      <c r="R332" s="104" t="inlineStr">
        <is>
          <t>Yes</t>
        </is>
      </c>
      <c r="S332" s="110" t="inlineStr">
        <is>
          <t>Yes</t>
        </is>
      </c>
      <c r="T332" s="592" t="inlineStr">
        <is>
          <t>Yes</t>
        </is>
      </c>
      <c r="U332" s="104" t="inlineStr">
        <is>
          <t>No</t>
        </is>
      </c>
      <c r="V332" s="104" t="inlineStr">
        <is>
          <t>No</t>
        </is>
      </c>
      <c r="W332" s="104" t="inlineStr">
        <is>
          <t>No</t>
        </is>
      </c>
      <c r="X332" s="104" t="inlineStr">
        <is>
          <t>Yes</t>
        </is>
      </c>
      <c r="Y332" s="104" t="inlineStr">
        <is>
          <t>No</t>
        </is>
      </c>
      <c r="Z332" s="124" t="n">
        <v>45974</v>
      </c>
      <c r="AA332" s="124" t="n">
        <v>46338</v>
      </c>
      <c r="AB332" s="110" t="n">
        <v>10</v>
      </c>
      <c r="AC332" s="202" t="n"/>
      <c r="AD332" s="592" t="inlineStr">
        <is>
          <t>Yes</t>
        </is>
      </c>
      <c r="AE332" s="592" t="inlineStr">
        <is>
          <t>Yes</t>
        </is>
      </c>
      <c r="AF332" s="600" t="n"/>
      <c r="AG332" s="593" t="inlineStr">
        <is>
          <t>Phim còn hạn từ 2026</t>
        </is>
      </c>
      <c r="AH332" s="594" t="n"/>
      <c r="AI332" s="206" t="inlineStr">
        <is>
          <t>CONFESS, FLETCH</t>
        </is>
      </c>
      <c r="AJ332" s="128">
        <f>SUMIF('TK 15661.Bản quyền phim '!F:F,'KK1. Movies'!D332,'TK 15661.Bản quyền phim '!X:X)</f>
        <v/>
      </c>
      <c r="AK332" s="128">
        <f>SUMIF('TK 15661.Bản quyền phim '!F:F,'KK1. Movies'!AI332,'TK 15661.Bản quyền phim '!X:X)</f>
        <v/>
      </c>
      <c r="AL332" s="203">
        <f>COUNTIF('242.BQ Phim hợp tác'!$C:$C,'KK1. Movies'!AI332)</f>
        <v/>
      </c>
      <c r="AM332" s="203">
        <f>COUNTIF('TK 15661.Bản quyền phim '!F:F,'KK1. Movies'!AI332)</f>
        <v/>
      </c>
      <c r="AN332" s="546">
        <f>AL332+AM332</f>
        <v/>
      </c>
      <c r="AO332" s="203" t="n"/>
      <c r="AP332" s="203" t="n"/>
      <c r="AQ332" s="203" t="n"/>
      <c r="AR332" s="203" t="n"/>
      <c r="AS332" s="203" t="n"/>
      <c r="AT332" s="546">
        <f>IFERROR(VLOOKUP(C332, CodeRanMovies!$A:$K, 11, 0), "Not found")</f>
        <v/>
      </c>
    </row>
    <row r="333">
      <c r="A333" s="201">
        <f>_xlfn.AGGREGATE(3,3,$D$7:D333)</f>
        <v/>
      </c>
      <c r="B333" s="589" t="n"/>
      <c r="C333" s="590" t="inlineStr">
        <is>
          <t>MOV_COM302</t>
        </is>
      </c>
      <c r="D333" s="105" t="inlineStr">
        <is>
          <t>LITTLE FOCKERS</t>
        </is>
      </c>
      <c r="E333" s="110" t="inlineStr">
        <is>
          <t>Gặp gỡ thông gia: Nhóc Fockers</t>
        </is>
      </c>
      <c r="F333" s="110" t="inlineStr">
        <is>
          <t>Comedy,Drama</t>
        </is>
      </c>
      <c r="G333" s="103" t="inlineStr">
        <is>
          <t>Paramount</t>
        </is>
      </c>
      <c r="H333" s="103" t="inlineStr">
        <is>
          <t>1009675/DM-38696/DM-39285</t>
        </is>
      </c>
      <c r="I333" s="104" t="n">
        <v>2010</v>
      </c>
      <c r="J333" s="104" t="inlineStr">
        <is>
          <t>US</t>
        </is>
      </c>
      <c r="K333" s="104" t="n">
        <v>96</v>
      </c>
      <c r="L333" s="124" t="n">
        <v>45974</v>
      </c>
      <c r="M333" s="124" t="n">
        <v>46519</v>
      </c>
      <c r="N333" s="601" t="n"/>
      <c r="O333" s="592" t="n"/>
      <c r="P333" s="592" t="n"/>
      <c r="Q333" s="104" t="inlineStr">
        <is>
          <t>No</t>
        </is>
      </c>
      <c r="R333" s="104" t="inlineStr">
        <is>
          <t>Yes</t>
        </is>
      </c>
      <c r="S333" s="110" t="inlineStr">
        <is>
          <t>Yes</t>
        </is>
      </c>
      <c r="T333" s="592" t="inlineStr">
        <is>
          <t>Yes</t>
        </is>
      </c>
      <c r="U333" s="104" t="inlineStr">
        <is>
          <t>No</t>
        </is>
      </c>
      <c r="V333" s="104" t="inlineStr">
        <is>
          <t>No</t>
        </is>
      </c>
      <c r="W333" s="104" t="inlineStr">
        <is>
          <t>No</t>
        </is>
      </c>
      <c r="X333" s="104" t="inlineStr">
        <is>
          <t>Yes</t>
        </is>
      </c>
      <c r="Y333" s="104" t="inlineStr">
        <is>
          <t>No</t>
        </is>
      </c>
      <c r="Z333" s="124" t="n">
        <v>45974</v>
      </c>
      <c r="AA333" s="124" t="n">
        <v>46338</v>
      </c>
      <c r="AB333" s="110" t="n">
        <v>10</v>
      </c>
      <c r="AC333" s="202" t="n"/>
      <c r="AD333" s="592" t="inlineStr">
        <is>
          <t>Yes</t>
        </is>
      </c>
      <c r="AE333" s="592" t="inlineStr">
        <is>
          <t>Yes</t>
        </is>
      </c>
      <c r="AF333" s="600" t="n"/>
      <c r="AG333" s="593" t="inlineStr">
        <is>
          <t>Phim còn hạn từ 2026</t>
        </is>
      </c>
      <c r="AH333" s="594" t="n"/>
      <c r="AI333" s="206" t="inlineStr">
        <is>
          <t>LITTLE FOCKERS</t>
        </is>
      </c>
      <c r="AJ333" s="128">
        <f>SUMIF('TK 15661.Bản quyền phim '!F:F,'KK1. Movies'!D333,'TK 15661.Bản quyền phim '!X:X)</f>
        <v/>
      </c>
      <c r="AK333" s="128">
        <f>SUMIF('TK 15661.Bản quyền phim '!F:F,'KK1. Movies'!AI333,'TK 15661.Bản quyền phim '!X:X)</f>
        <v/>
      </c>
      <c r="AL333" s="203">
        <f>COUNTIF('242.BQ Phim hợp tác'!$C:$C,'KK1. Movies'!AI333)</f>
        <v/>
      </c>
      <c r="AM333" s="203">
        <f>COUNTIF('TK 15661.Bản quyền phim '!F:F,'KK1. Movies'!AI333)</f>
        <v/>
      </c>
      <c r="AN333" s="546">
        <f>AL333+AM333</f>
        <v/>
      </c>
      <c r="AO333" s="203" t="n"/>
      <c r="AP333" s="203" t="n"/>
      <c r="AQ333" s="203" t="n"/>
      <c r="AR333" s="203" t="n"/>
      <c r="AS333" s="203" t="n"/>
      <c r="AT333" s="546">
        <f>IFERROR(VLOOKUP(C333, CodeRanMovies!$A:$K, 11, 0), "Not found")</f>
        <v/>
      </c>
    </row>
    <row r="334">
      <c r="A334" s="201">
        <f>_xlfn.AGGREGATE(3,3,$D$7:D334)</f>
        <v/>
      </c>
      <c r="B334" s="589" t="n"/>
      <c r="C334" s="234" t="inlineStr">
        <is>
          <t>MOV_ADV54</t>
        </is>
      </c>
      <c r="D334" s="105" t="inlineStr">
        <is>
          <t>LOST CITY, THE</t>
        </is>
      </c>
      <c r="E334" s="110" t="inlineStr">
        <is>
          <t>Thành phố mất tích</t>
        </is>
      </c>
      <c r="F334" s="110" t="inlineStr">
        <is>
          <t>Action/Adventure</t>
        </is>
      </c>
      <c r="G334" s="103" t="inlineStr">
        <is>
          <t>Paramount</t>
        </is>
      </c>
      <c r="H334" s="103" t="inlineStr">
        <is>
          <t>1009675/DM-38696/DM-39285</t>
        </is>
      </c>
      <c r="I334" s="104" t="n">
        <v>2022</v>
      </c>
      <c r="J334" s="104" t="inlineStr">
        <is>
          <t>US</t>
        </is>
      </c>
      <c r="K334" s="104" t="n">
        <v>89</v>
      </c>
      <c r="L334" s="124" t="n">
        <v>45974</v>
      </c>
      <c r="M334" s="124" t="n">
        <v>46519</v>
      </c>
      <c r="N334" s="601" t="n"/>
      <c r="O334" s="592" t="n"/>
      <c r="P334" s="592" t="n"/>
      <c r="Q334" s="104" t="inlineStr">
        <is>
          <t>No</t>
        </is>
      </c>
      <c r="R334" s="104" t="inlineStr">
        <is>
          <t>Yes</t>
        </is>
      </c>
      <c r="S334" s="110" t="inlineStr">
        <is>
          <t>Yes</t>
        </is>
      </c>
      <c r="T334" s="592" t="inlineStr">
        <is>
          <t>Yes</t>
        </is>
      </c>
      <c r="U334" s="104" t="inlineStr">
        <is>
          <t>No</t>
        </is>
      </c>
      <c r="V334" s="104" t="inlineStr">
        <is>
          <t>No</t>
        </is>
      </c>
      <c r="W334" s="104" t="inlineStr">
        <is>
          <t>No</t>
        </is>
      </c>
      <c r="X334" s="104" t="inlineStr">
        <is>
          <t>Yes</t>
        </is>
      </c>
      <c r="Y334" s="104" t="inlineStr">
        <is>
          <t>No</t>
        </is>
      </c>
      <c r="Z334" s="124" t="n">
        <v>45974</v>
      </c>
      <c r="AA334" s="124" t="n">
        <v>46338</v>
      </c>
      <c r="AB334" s="110" t="n">
        <v>10</v>
      </c>
      <c r="AC334" s="202" t="n"/>
      <c r="AD334" s="592" t="inlineStr">
        <is>
          <t>Yes</t>
        </is>
      </c>
      <c r="AE334" s="592" t="inlineStr">
        <is>
          <t>Yes</t>
        </is>
      </c>
      <c r="AF334" s="600" t="n"/>
      <c r="AG334" s="593" t="inlineStr">
        <is>
          <t>Phim còn hạn từ 2026</t>
        </is>
      </c>
      <c r="AH334" s="594" t="n"/>
      <c r="AI334" s="206" t="inlineStr">
        <is>
          <t>LOST CITY, THE</t>
        </is>
      </c>
      <c r="AJ334" s="128">
        <f>SUMIF('TK 15661.Bản quyền phim '!F:F,'KK1. Movies'!D334,'TK 15661.Bản quyền phim '!X:X)</f>
        <v/>
      </c>
      <c r="AK334" s="128">
        <f>SUMIF('TK 15661.Bản quyền phim '!F:F,'KK1. Movies'!AI334,'TK 15661.Bản quyền phim '!X:X)</f>
        <v/>
      </c>
      <c r="AL334" s="203">
        <f>COUNTIF('242.BQ Phim hợp tác'!$C:$C,'KK1. Movies'!AI334)</f>
        <v/>
      </c>
      <c r="AM334" s="203">
        <f>COUNTIF('TK 15661.Bản quyền phim '!F:F,'KK1. Movies'!AI334)</f>
        <v/>
      </c>
      <c r="AN334" s="546">
        <f>AL334+AM334</f>
        <v/>
      </c>
      <c r="AO334" s="203" t="n"/>
      <c r="AP334" s="203" t="n"/>
      <c r="AQ334" s="203" t="n"/>
      <c r="AR334" s="203" t="n"/>
      <c r="AS334" s="203" t="n"/>
      <c r="AT334" s="546">
        <f>IFERROR(VLOOKUP(C334, CodeRanMovies!$A:$K, 11, 0), "Not found")</f>
        <v/>
      </c>
    </row>
    <row r="335" ht="26.4" customHeight="1" s="578">
      <c r="A335" s="201">
        <f>_xlfn.AGGREGATE(3,3,$D$7:D335)</f>
        <v/>
      </c>
      <c r="B335" s="589" t="n"/>
      <c r="C335" s="590" t="inlineStr">
        <is>
          <t>MOV_COM303</t>
        </is>
      </c>
      <c r="D335" s="105" t="inlineStr">
        <is>
          <t>MEET THE FOCKERS</t>
        </is>
      </c>
      <c r="E335" s="110" t="inlineStr">
        <is>
          <t>Gặp gỡ thông gia</t>
        </is>
      </c>
      <c r="F335" s="110" t="inlineStr">
        <is>
          <t>Comedy,Drama</t>
        </is>
      </c>
      <c r="G335" s="103" t="inlineStr">
        <is>
          <t>Paramount</t>
        </is>
      </c>
      <c r="H335" s="103" t="inlineStr">
        <is>
          <t>1009675/DM-38696/DM-39285</t>
        </is>
      </c>
      <c r="I335" s="104" t="n">
        <v>2004</v>
      </c>
      <c r="J335" s="104" t="inlineStr">
        <is>
          <t>US</t>
        </is>
      </c>
      <c r="K335" s="104" t="n">
        <v>99</v>
      </c>
      <c r="L335" s="124" t="n">
        <v>45974</v>
      </c>
      <c r="M335" s="124" t="n">
        <v>46519</v>
      </c>
      <c r="N335" s="601" t="n"/>
      <c r="O335" s="592" t="n"/>
      <c r="P335" s="592" t="n"/>
      <c r="Q335" s="104" t="inlineStr">
        <is>
          <t>No</t>
        </is>
      </c>
      <c r="R335" s="104" t="inlineStr">
        <is>
          <t>Yes</t>
        </is>
      </c>
      <c r="S335" s="110" t="inlineStr">
        <is>
          <t>Yes</t>
        </is>
      </c>
      <c r="T335" s="592" t="inlineStr">
        <is>
          <t>Yes</t>
        </is>
      </c>
      <c r="U335" s="104" t="inlineStr">
        <is>
          <t>No</t>
        </is>
      </c>
      <c r="V335" s="104" t="inlineStr">
        <is>
          <t>No</t>
        </is>
      </c>
      <c r="W335" s="104" t="inlineStr">
        <is>
          <t>No</t>
        </is>
      </c>
      <c r="X335" s="104" t="inlineStr">
        <is>
          <t>Yes</t>
        </is>
      </c>
      <c r="Y335" s="104" t="inlineStr">
        <is>
          <t>No</t>
        </is>
      </c>
      <c r="Z335" s="124" t="n">
        <v>45974</v>
      </c>
      <c r="AA335" s="124" t="n">
        <v>46338</v>
      </c>
      <c r="AB335" s="110" t="n">
        <v>10</v>
      </c>
      <c r="AC335" s="202" t="n"/>
      <c r="AD335" s="592" t="inlineStr">
        <is>
          <t>Yes</t>
        </is>
      </c>
      <c r="AE335" s="592" t="inlineStr">
        <is>
          <t>Yes</t>
        </is>
      </c>
      <c r="AF335" s="600" t="n"/>
      <c r="AG335" s="593" t="inlineStr">
        <is>
          <t>Phim còn hạn từ 2026</t>
        </is>
      </c>
      <c r="AH335" s="594" t="n"/>
      <c r="AI335" s="206" t="inlineStr">
        <is>
          <t>MEET THE FOCKERS</t>
        </is>
      </c>
      <c r="AJ335" s="128">
        <f>SUMIF('TK 15661.Bản quyền phim '!F:F,'KK1. Movies'!D335,'TK 15661.Bản quyền phim '!X:X)</f>
        <v/>
      </c>
      <c r="AK335" s="128">
        <f>SUMIF('TK 15661.Bản quyền phim '!F:F,'KK1. Movies'!AI335,'TK 15661.Bản quyền phim '!X:X)</f>
        <v/>
      </c>
      <c r="AL335" s="203">
        <f>COUNTIF('242.BQ Phim hợp tác'!$C:$C,'KK1. Movies'!AI335)</f>
        <v/>
      </c>
      <c r="AM335" s="203">
        <f>COUNTIF('TK 15661.Bản quyền phim '!F:F,'KK1. Movies'!AI335)</f>
        <v/>
      </c>
      <c r="AN335" s="546">
        <f>AL335+AM335</f>
        <v/>
      </c>
      <c r="AO335" s="203" t="n"/>
      <c r="AP335" s="203" t="n"/>
      <c r="AQ335" s="203" t="n"/>
      <c r="AR335" s="203" t="n"/>
      <c r="AS335" s="203" t="n"/>
      <c r="AT335" s="546">
        <f>IFERROR(VLOOKUP(C335, CodeRanMovies!$A:$K, 11, 0), "Not found")</f>
        <v/>
      </c>
    </row>
    <row r="336" ht="39.6" customHeight="1" s="578">
      <c r="A336" s="201">
        <f>_xlfn.AGGREGATE(3,3,$D$7:D336)</f>
        <v/>
      </c>
      <c r="B336" s="589" t="n"/>
      <c r="C336" s="590" t="inlineStr">
        <is>
          <t>MOV_ACT624</t>
        </is>
      </c>
      <c r="D336" s="105" t="inlineStr">
        <is>
          <t>MISSION: IMPOSSIBLE - FALLOUT</t>
        </is>
      </c>
      <c r="E336" s="110" t="inlineStr">
        <is>
          <t>Nhiệm vụ bất khả thi: Sụp đổ</t>
        </is>
      </c>
      <c r="F336" s="110" t="inlineStr">
        <is>
          <t>Action/Adventure</t>
        </is>
      </c>
      <c r="G336" s="103" t="inlineStr">
        <is>
          <t>Paramount</t>
        </is>
      </c>
      <c r="H336" s="103" t="inlineStr">
        <is>
          <t>1009675/DM-38696/DM-39285</t>
        </is>
      </c>
      <c r="I336" s="104" t="n">
        <v>2018</v>
      </c>
      <c r="J336" s="104" t="inlineStr">
        <is>
          <t>US</t>
        </is>
      </c>
      <c r="K336" s="104" t="n">
        <v>110</v>
      </c>
      <c r="L336" s="124" t="n">
        <v>45974</v>
      </c>
      <c r="M336" s="124" t="n">
        <v>46519</v>
      </c>
      <c r="N336" s="601" t="n"/>
      <c r="O336" s="592" t="n"/>
      <c r="P336" s="592" t="n"/>
      <c r="Q336" s="104" t="inlineStr">
        <is>
          <t>No</t>
        </is>
      </c>
      <c r="R336" s="104" t="inlineStr">
        <is>
          <t>Yes</t>
        </is>
      </c>
      <c r="S336" s="110" t="inlineStr">
        <is>
          <t>Yes</t>
        </is>
      </c>
      <c r="T336" s="592" t="inlineStr">
        <is>
          <t>Yes</t>
        </is>
      </c>
      <c r="U336" s="104" t="inlineStr">
        <is>
          <t>No</t>
        </is>
      </c>
      <c r="V336" s="104" t="inlineStr">
        <is>
          <t>No</t>
        </is>
      </c>
      <c r="W336" s="104" t="inlineStr">
        <is>
          <t>No</t>
        </is>
      </c>
      <c r="X336" s="104" t="inlineStr">
        <is>
          <t>Yes</t>
        </is>
      </c>
      <c r="Y336" s="104" t="inlineStr">
        <is>
          <t>No</t>
        </is>
      </c>
      <c r="Z336" s="124" t="n">
        <v>45974</v>
      </c>
      <c r="AA336" s="124" t="n">
        <v>46338</v>
      </c>
      <c r="AB336" s="110" t="n">
        <v>10</v>
      </c>
      <c r="AC336" s="202" t="n"/>
      <c r="AD336" s="592" t="inlineStr">
        <is>
          <t>Yes</t>
        </is>
      </c>
      <c r="AE336" s="592" t="inlineStr">
        <is>
          <t>Yes</t>
        </is>
      </c>
      <c r="AF336" s="600" t="n"/>
      <c r="AG336" s="593" t="inlineStr">
        <is>
          <t>Phim còn hạn từ 2026</t>
        </is>
      </c>
      <c r="AH336" s="594" t="n"/>
      <c r="AI336" s="206" t="inlineStr">
        <is>
          <t>MISSION: IMPOSSIBLE - FALLOUT</t>
        </is>
      </c>
      <c r="AJ336" s="128">
        <f>SUMIF('TK 15661.Bản quyền phim '!F:F,'KK1. Movies'!D336,'TK 15661.Bản quyền phim '!X:X)</f>
        <v/>
      </c>
      <c r="AK336" s="128">
        <f>SUMIF('TK 15661.Bản quyền phim '!F:F,'KK1. Movies'!AI336,'TK 15661.Bản quyền phim '!X:X)</f>
        <v/>
      </c>
      <c r="AL336" s="203">
        <f>COUNTIF('242.BQ Phim hợp tác'!$C:$C,'KK1. Movies'!AI336)</f>
        <v/>
      </c>
      <c r="AM336" s="203">
        <f>COUNTIF('TK 15661.Bản quyền phim '!F:F,'KK1. Movies'!AI336)</f>
        <v/>
      </c>
      <c r="AN336" s="546">
        <f>AL336+AM336</f>
        <v/>
      </c>
      <c r="AO336" s="203" t="n"/>
      <c r="AP336" s="203" t="n"/>
      <c r="AQ336" s="203" t="n"/>
      <c r="AR336" s="203" t="n"/>
      <c r="AS336" s="203" t="n"/>
      <c r="AT336" s="546">
        <f>IFERROR(VLOOKUP(C336, CodeRanMovies!$A:$K, 11, 0), "Not found")</f>
        <v/>
      </c>
    </row>
    <row r="337">
      <c r="A337" s="201">
        <f>_xlfn.AGGREGATE(3,3,$D$7:D337)</f>
        <v/>
      </c>
      <c r="B337" s="589" t="n"/>
      <c r="C337" s="234" t="inlineStr">
        <is>
          <t>MOV_SCI23</t>
        </is>
      </c>
      <c r="D337" s="105" t="inlineStr">
        <is>
          <t>PROJECT ALMANAC</t>
        </is>
      </c>
      <c r="E337" s="110" t="inlineStr">
        <is>
          <t>Du hành quá khứ</t>
        </is>
      </c>
      <c r="F337" s="110" t="inlineStr">
        <is>
          <t>Science Fiction</t>
        </is>
      </c>
      <c r="G337" s="103" t="inlineStr">
        <is>
          <t>Paramount</t>
        </is>
      </c>
      <c r="H337" s="103" t="inlineStr">
        <is>
          <t>1009675/DM-38696/DM-39285</t>
        </is>
      </c>
      <c r="I337" s="104" t="n">
        <v>2015</v>
      </c>
      <c r="J337" s="104" t="inlineStr">
        <is>
          <t>US</t>
        </is>
      </c>
      <c r="K337" s="104" t="n">
        <v>115</v>
      </c>
      <c r="L337" s="124" t="n">
        <v>45974</v>
      </c>
      <c r="M337" s="124" t="n">
        <v>46519</v>
      </c>
      <c r="N337" s="601" t="n"/>
      <c r="O337" s="592" t="n"/>
      <c r="P337" s="592" t="n"/>
      <c r="Q337" s="104" t="inlineStr">
        <is>
          <t>No</t>
        </is>
      </c>
      <c r="R337" s="104" t="inlineStr">
        <is>
          <t>Yes</t>
        </is>
      </c>
      <c r="S337" s="110" t="inlineStr">
        <is>
          <t>Yes</t>
        </is>
      </c>
      <c r="T337" s="592" t="inlineStr">
        <is>
          <t>Yes</t>
        </is>
      </c>
      <c r="U337" s="104" t="inlineStr">
        <is>
          <t>No</t>
        </is>
      </c>
      <c r="V337" s="104" t="inlineStr">
        <is>
          <t>No</t>
        </is>
      </c>
      <c r="W337" s="104" t="inlineStr">
        <is>
          <t>No</t>
        </is>
      </c>
      <c r="X337" s="104" t="inlineStr">
        <is>
          <t>Yes</t>
        </is>
      </c>
      <c r="Y337" s="104" t="inlineStr">
        <is>
          <t>No</t>
        </is>
      </c>
      <c r="Z337" s="124" t="n">
        <v>45974</v>
      </c>
      <c r="AA337" s="124" t="n">
        <v>46338</v>
      </c>
      <c r="AB337" s="110" t="n">
        <v>10</v>
      </c>
      <c r="AC337" s="202" t="n"/>
      <c r="AD337" s="592" t="inlineStr">
        <is>
          <t>Yes</t>
        </is>
      </c>
      <c r="AE337" s="592" t="inlineStr">
        <is>
          <t>Yes</t>
        </is>
      </c>
      <c r="AF337" s="600" t="n"/>
      <c r="AG337" s="593" t="inlineStr">
        <is>
          <t>Phim còn hạn từ 2026</t>
        </is>
      </c>
      <c r="AH337" s="594" t="n"/>
      <c r="AI337" s="206" t="inlineStr">
        <is>
          <t>PROJECT ALMANAC</t>
        </is>
      </c>
      <c r="AJ337" s="128">
        <f>SUMIF('TK 15661.Bản quyền phim '!F:F,'KK1. Movies'!D337,'TK 15661.Bản quyền phim '!X:X)</f>
        <v/>
      </c>
      <c r="AK337" s="128">
        <f>SUMIF('TK 15661.Bản quyền phim '!F:F,'KK1. Movies'!AI337,'TK 15661.Bản quyền phim '!X:X)</f>
        <v/>
      </c>
      <c r="AL337" s="203">
        <f>COUNTIF('242.BQ Phim hợp tác'!$C:$C,'KK1. Movies'!AI337)</f>
        <v/>
      </c>
      <c r="AM337" s="203">
        <f>COUNTIF('TK 15661.Bản quyền phim '!F:F,'KK1. Movies'!AI337)</f>
        <v/>
      </c>
      <c r="AN337" s="546">
        <f>AL337+AM337</f>
        <v/>
      </c>
      <c r="AO337" s="203" t="n"/>
      <c r="AP337" s="203" t="n"/>
      <c r="AQ337" s="203" t="n"/>
      <c r="AR337" s="203" t="n"/>
      <c r="AS337" s="203" t="n"/>
      <c r="AT337" s="546">
        <f>IFERROR(VLOOKUP(C337, CodeRanMovies!$A:$K, 11, 0), "Not found")</f>
        <v/>
      </c>
    </row>
    <row r="338" ht="26.4" customHeight="1" s="578">
      <c r="A338" s="201">
        <f>_xlfn.AGGREGATE(3,3,$D$7:D338)</f>
        <v/>
      </c>
      <c r="B338" s="589" t="n"/>
      <c r="C338" s="234" t="inlineStr">
        <is>
          <t>MOV_SCI24</t>
        </is>
      </c>
      <c r="D338" s="105" t="inlineStr">
        <is>
          <t>SECRET HEADQUARTERS</t>
        </is>
      </c>
      <c r="E338" s="110" t="inlineStr">
        <is>
          <t>Căn cứ bí mật</t>
        </is>
      </c>
      <c r="F338" s="110" t="inlineStr">
        <is>
          <t>Action/Adventure</t>
        </is>
      </c>
      <c r="G338" s="103" t="inlineStr">
        <is>
          <t>Paramount</t>
        </is>
      </c>
      <c r="H338" s="103" t="inlineStr">
        <is>
          <t>1009675/DM-38696/DM-39285</t>
        </is>
      </c>
      <c r="I338" s="104" t="n">
        <v>2022</v>
      </c>
      <c r="J338" s="104" t="inlineStr">
        <is>
          <t>US</t>
        </is>
      </c>
      <c r="K338" s="104" t="n">
        <v>118</v>
      </c>
      <c r="L338" s="124" t="n">
        <v>45974</v>
      </c>
      <c r="M338" s="124" t="n">
        <v>46519</v>
      </c>
      <c r="N338" s="601" t="n"/>
      <c r="O338" s="592" t="n"/>
      <c r="P338" s="592" t="n"/>
      <c r="Q338" s="104" t="inlineStr">
        <is>
          <t>No</t>
        </is>
      </c>
      <c r="R338" s="104" t="inlineStr">
        <is>
          <t>Yes</t>
        </is>
      </c>
      <c r="S338" s="110" t="inlineStr">
        <is>
          <t>Yes</t>
        </is>
      </c>
      <c r="T338" s="592" t="inlineStr">
        <is>
          <t>Yes</t>
        </is>
      </c>
      <c r="U338" s="104" t="inlineStr">
        <is>
          <t>No</t>
        </is>
      </c>
      <c r="V338" s="104" t="inlineStr">
        <is>
          <t>No</t>
        </is>
      </c>
      <c r="W338" s="104" t="inlineStr">
        <is>
          <t>No</t>
        </is>
      </c>
      <c r="X338" s="104" t="inlineStr">
        <is>
          <t>Yes</t>
        </is>
      </c>
      <c r="Y338" s="104" t="inlineStr">
        <is>
          <t>No</t>
        </is>
      </c>
      <c r="Z338" s="124" t="n">
        <v>45974</v>
      </c>
      <c r="AA338" s="124" t="n">
        <v>46338</v>
      </c>
      <c r="AB338" s="110" t="n">
        <v>10</v>
      </c>
      <c r="AC338" s="202" t="n"/>
      <c r="AD338" s="592" t="inlineStr">
        <is>
          <t>Yes</t>
        </is>
      </c>
      <c r="AE338" s="592" t="inlineStr">
        <is>
          <t>Yes</t>
        </is>
      </c>
      <c r="AF338" s="600" t="n"/>
      <c r="AG338" s="593" t="inlineStr">
        <is>
          <t>Phim còn hạn từ 2026</t>
        </is>
      </c>
      <c r="AH338" s="594" t="n"/>
      <c r="AI338" s="206" t="inlineStr">
        <is>
          <t>SECRET HEADQUARTERS</t>
        </is>
      </c>
      <c r="AJ338" s="128">
        <f>SUMIF('TK 15661.Bản quyền phim '!F:F,'KK1. Movies'!D338,'TK 15661.Bản quyền phim '!X:X)</f>
        <v/>
      </c>
      <c r="AK338" s="128">
        <f>SUMIF('TK 15661.Bản quyền phim '!F:F,'KK1. Movies'!AI338,'TK 15661.Bản quyền phim '!X:X)</f>
        <v/>
      </c>
      <c r="AL338" s="203">
        <f>COUNTIF('242.BQ Phim hợp tác'!$C:$C,'KK1. Movies'!AI338)</f>
        <v/>
      </c>
      <c r="AM338" s="203">
        <f>COUNTIF('TK 15661.Bản quyền phim '!F:F,'KK1. Movies'!AI338)</f>
        <v/>
      </c>
      <c r="AN338" s="546">
        <f>AL338+AM338</f>
        <v/>
      </c>
      <c r="AO338" s="203" t="n"/>
      <c r="AP338" s="203" t="n"/>
      <c r="AQ338" s="203" t="n"/>
      <c r="AR338" s="203" t="n"/>
      <c r="AS338" s="203" t="n"/>
      <c r="AT338" s="546">
        <f>IFERROR(VLOOKUP(C338, CodeRanMovies!$A:$K, 11, 0), "Not found")</f>
        <v/>
      </c>
    </row>
    <row r="339" ht="52.8" customHeight="1" s="578">
      <c r="A339" s="201">
        <f>_xlfn.AGGREGATE(3,3,$D$7:D339)</f>
        <v/>
      </c>
      <c r="B339" s="606" t="inlineStr">
        <is>
          <t>n/a</t>
        </is>
      </c>
      <c r="C339" s="590" t="inlineStr">
        <is>
          <t>MOV_FAN30</t>
        </is>
      </c>
      <c r="D339" s="105" t="inlineStr">
        <is>
          <t>LEAGUE OF GODS</t>
        </is>
      </c>
      <c r="E339" s="110" t="inlineStr">
        <is>
          <t>Phong thần bảng</t>
        </is>
      </c>
      <c r="F339" s="590" t="inlineStr">
        <is>
          <t>Action, Adventure</t>
        </is>
      </c>
      <c r="G339" s="103" t="inlineStr">
        <is>
          <t>SONY</t>
        </is>
      </c>
      <c r="H339" s="590" t="inlineStr">
        <is>
          <t>Sony/K+Vietnam PayBasic SVOD Package Agmt D3A FE (Feb-5-24)</t>
        </is>
      </c>
      <c r="I339" s="104" t="n">
        <v>2016</v>
      </c>
      <c r="J339" s="104" t="inlineStr">
        <is>
          <t>China</t>
        </is>
      </c>
      <c r="K339" s="104" t="n">
        <v>109</v>
      </c>
      <c r="L339" s="591" t="n">
        <v>45884</v>
      </c>
      <c r="M339" s="106" t="n">
        <v>46613</v>
      </c>
      <c r="N339" s="601" t="n"/>
      <c r="O339" s="592" t="n"/>
      <c r="P339" s="592" t="n"/>
      <c r="Q339" s="104" t="inlineStr">
        <is>
          <t>No</t>
        </is>
      </c>
      <c r="R339" s="104" t="inlineStr">
        <is>
          <t>Yes</t>
        </is>
      </c>
      <c r="S339" s="104" t="inlineStr">
        <is>
          <t>Yes</t>
        </is>
      </c>
      <c r="T339" s="104" t="inlineStr">
        <is>
          <t>Yes</t>
        </is>
      </c>
      <c r="U339" s="104" t="inlineStr">
        <is>
          <t>No</t>
        </is>
      </c>
      <c r="V339" s="104" t="inlineStr">
        <is>
          <t>No</t>
        </is>
      </c>
      <c r="W339" s="104" t="inlineStr">
        <is>
          <t>No</t>
        </is>
      </c>
      <c r="X339" s="104" t="inlineStr">
        <is>
          <t>Yes</t>
        </is>
      </c>
      <c r="Y339" s="104" t="inlineStr">
        <is>
          <t>No</t>
        </is>
      </c>
      <c r="Z339" s="106" t="n">
        <v>45884</v>
      </c>
      <c r="AA339" s="124" t="n">
        <v>46432</v>
      </c>
      <c r="AB339" s="104" t="n">
        <v>7</v>
      </c>
      <c r="AC339" s="202" t="n"/>
      <c r="AD339" s="592" t="inlineStr">
        <is>
          <t>Yes</t>
        </is>
      </c>
      <c r="AE339" s="592" t="inlineStr">
        <is>
          <t>Yes</t>
        </is>
      </c>
      <c r="AF339" s="600" t="n"/>
      <c r="AG339" s="593" t="inlineStr">
        <is>
          <t>Phim còn hạn từ 2026</t>
        </is>
      </c>
      <c r="AH339" s="594" t="n"/>
      <c r="AI339" s="206" t="inlineStr">
        <is>
          <t>LEAGUE OF GODS</t>
        </is>
      </c>
      <c r="AJ339" s="128">
        <f>SUMIF('TK 15661.Bản quyền phim '!F:F,'KK1. Movies'!D339,'TK 15661.Bản quyền phim '!X:X)</f>
        <v/>
      </c>
      <c r="AK339" s="128">
        <f>SUMIF('TK 15661.Bản quyền phim '!F:F,'KK1. Movies'!AI339,'TK 15661.Bản quyền phim '!X:X)</f>
        <v/>
      </c>
      <c r="AL339" s="203">
        <f>COUNTIF('242.BQ Phim hợp tác'!$C:$C,'KK1. Movies'!AI339)</f>
        <v/>
      </c>
      <c r="AM339" s="203">
        <f>COUNTIF('TK 15661.Bản quyền phim '!F:F,'KK1. Movies'!AI339)</f>
        <v/>
      </c>
      <c r="AN339" s="546">
        <f>AL339+AM339</f>
        <v/>
      </c>
      <c r="AO339" s="203" t="n"/>
      <c r="AP339" s="203" t="n"/>
      <c r="AQ339" s="203" t="n"/>
      <c r="AR339" s="203" t="n"/>
      <c r="AS339" s="203" t="n"/>
      <c r="AT339" s="546">
        <f>IFERROR(VLOOKUP(C339, CodeRanMovies!$A:$K, 11, 0), "Not found")</f>
        <v/>
      </c>
    </row>
    <row r="340" ht="52.8" customHeight="1" s="578">
      <c r="A340" s="201">
        <f>_xlfn.AGGREGATE(3,3,$D$7:D340)</f>
        <v/>
      </c>
      <c r="B340" s="606" t="inlineStr">
        <is>
          <t>n/a</t>
        </is>
      </c>
      <c r="C340" s="234" t="inlineStr">
        <is>
          <t>MOV_ANI_23__2690720</t>
        </is>
      </c>
      <c r="D340" s="105" t="inlineStr">
        <is>
          <t>ANGRY BIRDS MOVIE, THE</t>
        </is>
      </c>
      <c r="E340" s="110" t="inlineStr">
        <is>
          <t xml:space="preserve">Những chú chim giận dữ </t>
        </is>
      </c>
      <c r="F340" s="590" t="inlineStr">
        <is>
          <t>animation</t>
        </is>
      </c>
      <c r="G340" s="103" t="inlineStr">
        <is>
          <t>SONY</t>
        </is>
      </c>
      <c r="H340" s="590" t="inlineStr">
        <is>
          <t>Sony/K+Vietnam PayBasic SVOD Package Agmt D3A FE (Feb-5-24)</t>
        </is>
      </c>
      <c r="I340" s="104" t="n">
        <v>2016</v>
      </c>
      <c r="J340" s="104" t="inlineStr">
        <is>
          <t>Finland</t>
        </is>
      </c>
      <c r="K340" s="104" t="n">
        <v>97</v>
      </c>
      <c r="L340" s="591" t="n">
        <v>45884</v>
      </c>
      <c r="M340" s="106" t="n">
        <v>46613</v>
      </c>
      <c r="N340" s="601" t="n"/>
      <c r="O340" s="592" t="n"/>
      <c r="P340" s="592" t="n"/>
      <c r="Q340" s="104" t="inlineStr">
        <is>
          <t>No</t>
        </is>
      </c>
      <c r="R340" s="104" t="inlineStr">
        <is>
          <t>Yes</t>
        </is>
      </c>
      <c r="S340" s="104" t="inlineStr">
        <is>
          <t>Yes</t>
        </is>
      </c>
      <c r="T340" s="104" t="inlineStr">
        <is>
          <t>Yes</t>
        </is>
      </c>
      <c r="U340" s="104" t="inlineStr">
        <is>
          <t>No</t>
        </is>
      </c>
      <c r="V340" s="104" t="inlineStr">
        <is>
          <t>No</t>
        </is>
      </c>
      <c r="W340" s="104" t="inlineStr">
        <is>
          <t>No</t>
        </is>
      </c>
      <c r="X340" s="104" t="inlineStr">
        <is>
          <t>Yes</t>
        </is>
      </c>
      <c r="Y340" s="104" t="inlineStr">
        <is>
          <t>No</t>
        </is>
      </c>
      <c r="Z340" s="106" t="n">
        <v>45884</v>
      </c>
      <c r="AA340" s="124" t="n">
        <v>46432</v>
      </c>
      <c r="AB340" s="104" t="n">
        <v>7</v>
      </c>
      <c r="AC340" s="202" t="n">
        <v>2</v>
      </c>
      <c r="AD340" s="592" t="inlineStr">
        <is>
          <t>Yes</t>
        </is>
      </c>
      <c r="AE340" s="592" t="inlineStr">
        <is>
          <t>Yes</t>
        </is>
      </c>
      <c r="AF340" s="600" t="n"/>
      <c r="AG340" s="593" t="inlineStr">
        <is>
          <t>Phim còn hạn từ 2026</t>
        </is>
      </c>
      <c r="AH340" s="594" t="n"/>
      <c r="AI340" s="206" t="inlineStr">
        <is>
          <t>ANGRY BIRDS MOVIE, THE</t>
        </is>
      </c>
      <c r="AJ340" s="128">
        <f>SUMIF('TK 15661.Bản quyền phim '!F:F,'KK1. Movies'!D340,'TK 15661.Bản quyền phim '!X:X)</f>
        <v/>
      </c>
      <c r="AK340" s="128">
        <f>SUMIF('TK 15661.Bản quyền phim '!F:F,'KK1. Movies'!AI340,'TK 15661.Bản quyền phim '!X:X)</f>
        <v/>
      </c>
      <c r="AL340" s="203">
        <f>COUNTIF('242.BQ Phim hợp tác'!$C:$C,'KK1. Movies'!AI340)</f>
        <v/>
      </c>
      <c r="AM340" s="203">
        <f>COUNTIF('TK 15661.Bản quyền phim '!F:F,'KK1. Movies'!AI340)</f>
        <v/>
      </c>
      <c r="AN340" s="546">
        <f>AL340+AM340</f>
        <v/>
      </c>
      <c r="AO340" s="203" t="n"/>
      <c r="AP340" s="203" t="n"/>
      <c r="AQ340" s="203" t="n"/>
      <c r="AR340" s="203" t="n"/>
      <c r="AS340" s="203" t="n"/>
      <c r="AT340" s="546">
        <f>IFERROR(VLOOKUP(C340, CodeRanMovies!$A:$K, 11, 0), "Not found")</f>
        <v/>
      </c>
    </row>
    <row r="341">
      <c r="A341" s="201">
        <f>_xlfn.AGGREGATE(3,3,$D$7:D341)</f>
        <v/>
      </c>
      <c r="B341" s="589" t="n"/>
      <c r="C341" s="234" t="inlineStr">
        <is>
          <t>MOV_ACT615</t>
        </is>
      </c>
      <c r="D341" s="105" t="inlineStr">
        <is>
          <t>Man on The Edge</t>
        </is>
      </c>
      <c r="E341" s="110" t="inlineStr">
        <is>
          <t>Biên duyên hành giả</t>
        </is>
      </c>
      <c r="F341" s="103" t="inlineStr">
        <is>
          <t>Action, Crime</t>
        </is>
      </c>
      <c r="G341" s="103" t="inlineStr">
        <is>
          <t>iQiYi</t>
        </is>
      </c>
      <c r="H341" s="590" t="inlineStr">
        <is>
          <t>9/2025/HDBQVSTV-Iqiyi</t>
        </is>
      </c>
      <c r="I341" s="104" t="n">
        <v>2022</v>
      </c>
      <c r="J341" s="104" t="inlineStr">
        <is>
          <t>China</t>
        </is>
      </c>
      <c r="K341" s="104" t="n">
        <v>113</v>
      </c>
      <c r="L341" s="106" t="n">
        <v>45890</v>
      </c>
      <c r="M341" s="106" t="n">
        <v>46986</v>
      </c>
      <c r="N341" s="601" t="n"/>
      <c r="O341" s="592" t="n"/>
      <c r="P341" s="104" t="n">
        <v>36</v>
      </c>
      <c r="Q341" s="104" t="inlineStr">
        <is>
          <t>No</t>
        </is>
      </c>
      <c r="R341" s="104" t="inlineStr">
        <is>
          <t>Yes</t>
        </is>
      </c>
      <c r="S341" s="104" t="inlineStr">
        <is>
          <t>Yes</t>
        </is>
      </c>
      <c r="T341" s="104" t="inlineStr">
        <is>
          <t>Yes</t>
        </is>
      </c>
      <c r="U341" s="104" t="inlineStr">
        <is>
          <t>Yes</t>
        </is>
      </c>
      <c r="V341" s="104" t="inlineStr">
        <is>
          <t>No</t>
        </is>
      </c>
      <c r="W341" s="104" t="inlineStr">
        <is>
          <t>Yes</t>
        </is>
      </c>
      <c r="X341" s="104" t="inlineStr">
        <is>
          <t>Yes</t>
        </is>
      </c>
      <c r="Y341" s="104" t="inlineStr">
        <is>
          <t>Yes</t>
        </is>
      </c>
      <c r="Z341" s="106" t="n">
        <v>45890</v>
      </c>
      <c r="AA341" s="124" t="n">
        <v>46986</v>
      </c>
      <c r="AB341" s="104" t="inlineStr">
        <is>
          <t>Unlimited</t>
        </is>
      </c>
      <c r="AC341" s="202" t="n"/>
      <c r="AD341" s="592" t="inlineStr">
        <is>
          <t>Yes</t>
        </is>
      </c>
      <c r="AE341" s="592" t="inlineStr">
        <is>
          <t>Yes</t>
        </is>
      </c>
      <c r="AF341" s="600" t="n"/>
      <c r="AG341" s="593" t="inlineStr">
        <is>
          <t>Phim còn hạn từ 2026</t>
        </is>
      </c>
      <c r="AH341" s="594" t="n"/>
      <c r="AI341" s="206" t="inlineStr">
        <is>
          <t>Man on The Edge</t>
        </is>
      </c>
      <c r="AJ341" s="128">
        <f>SUMIF('TK 15661.Bản quyền phim '!F:F,'KK1. Movies'!D341,'TK 15661.Bản quyền phim '!X:X)</f>
        <v/>
      </c>
      <c r="AK341" s="128">
        <f>SUMIF('TK 15661.Bản quyền phim '!F:F,'KK1. Movies'!AI341,'TK 15661.Bản quyền phim '!X:X)</f>
        <v/>
      </c>
      <c r="AL341" s="203">
        <f>COUNTIF('242.BQ Phim hợp tác'!$C:$C,'KK1. Movies'!AI341)</f>
        <v/>
      </c>
      <c r="AM341" s="203">
        <f>COUNTIF('TK 15661.Bản quyền phim '!F:F,'KK1. Movies'!AI341)</f>
        <v/>
      </c>
      <c r="AN341" s="546">
        <f>AL341+AM341</f>
        <v/>
      </c>
      <c r="AO341" s="203" t="n"/>
      <c r="AP341" s="203" t="n"/>
      <c r="AQ341" s="203" t="n"/>
      <c r="AR341" s="203" t="n"/>
      <c r="AS341" s="203" t="n"/>
      <c r="AT341" s="546">
        <f>IFERROR(VLOOKUP(C341, CodeRanMovies!$A:$K, 11, 0), "Not found")</f>
        <v/>
      </c>
    </row>
    <row r="342" ht="26.4" customHeight="1" s="578">
      <c r="A342" s="201">
        <f>_xlfn.AGGREGATE(3,3,$D$7:D342)</f>
        <v/>
      </c>
      <c r="B342" s="589" t="n"/>
      <c r="C342" s="234" t="inlineStr">
        <is>
          <t>MOV_ACT625</t>
        </is>
      </c>
      <c r="D342" s="105" t="inlineStr">
        <is>
          <t>SNAKE EYES: G.I. JOE ORIGINS</t>
        </is>
      </c>
      <c r="E342" s="110" t="inlineStr">
        <is>
          <t>G. I. Joe: Xà nhãn báo thù</t>
        </is>
      </c>
      <c r="F342" s="110" t="inlineStr">
        <is>
          <t>Action/Adventure</t>
        </is>
      </c>
      <c r="G342" s="103" t="inlineStr">
        <is>
          <t>Paramount</t>
        </is>
      </c>
      <c r="H342" s="103" t="inlineStr">
        <is>
          <t>1009675/DM-38696/DM-39285</t>
        </is>
      </c>
      <c r="I342" s="104" t="n">
        <v>2021</v>
      </c>
      <c r="J342" s="104" t="inlineStr">
        <is>
          <t>US</t>
        </is>
      </c>
      <c r="K342" s="104" t="n">
        <v>100</v>
      </c>
      <c r="L342" s="124" t="n">
        <v>45974</v>
      </c>
      <c r="M342" s="124" t="n">
        <v>46519</v>
      </c>
      <c r="N342" s="601" t="n"/>
      <c r="O342" s="592" t="n"/>
      <c r="P342" s="592" t="n"/>
      <c r="Q342" s="104" t="inlineStr">
        <is>
          <t>No</t>
        </is>
      </c>
      <c r="R342" s="104" t="inlineStr">
        <is>
          <t>Yes</t>
        </is>
      </c>
      <c r="S342" s="110" t="inlineStr">
        <is>
          <t>Yes</t>
        </is>
      </c>
      <c r="T342" s="104" t="inlineStr">
        <is>
          <t>Yes</t>
        </is>
      </c>
      <c r="U342" s="104" t="inlineStr">
        <is>
          <t>No</t>
        </is>
      </c>
      <c r="V342" s="104" t="inlineStr">
        <is>
          <t>No</t>
        </is>
      </c>
      <c r="W342" s="104" t="inlineStr">
        <is>
          <t>No</t>
        </is>
      </c>
      <c r="X342" s="104" t="inlineStr">
        <is>
          <t>Yes</t>
        </is>
      </c>
      <c r="Y342" s="104" t="inlineStr">
        <is>
          <t>No</t>
        </is>
      </c>
      <c r="Z342" s="124" t="n">
        <v>45974</v>
      </c>
      <c r="AA342" s="124" t="n">
        <v>46338</v>
      </c>
      <c r="AB342" s="110" t="n">
        <v>10</v>
      </c>
      <c r="AC342" s="110" t="n"/>
      <c r="AD342" s="592" t="inlineStr">
        <is>
          <t>Yes</t>
        </is>
      </c>
      <c r="AE342" s="592" t="inlineStr">
        <is>
          <t>Yes</t>
        </is>
      </c>
      <c r="AF342" s="600" t="n"/>
      <c r="AG342" s="593" t="inlineStr">
        <is>
          <t>Phim còn hạn từ 2026</t>
        </is>
      </c>
      <c r="AH342" s="594" t="n"/>
      <c r="AI342" s="206" t="inlineStr">
        <is>
          <t>SNAKE EYES: G.I. JOE ORIGINS</t>
        </is>
      </c>
      <c r="AJ342" s="128">
        <f>SUMIF('TK 15661.Bản quyền phim '!F:F,'KK1. Movies'!D342,'TK 15661.Bản quyền phim '!X:X)</f>
        <v/>
      </c>
      <c r="AK342" s="128">
        <f>SUMIF('TK 15661.Bản quyền phim '!F:F,'KK1. Movies'!AI342,'TK 15661.Bản quyền phim '!X:X)</f>
        <v/>
      </c>
      <c r="AL342" s="203">
        <f>COUNTIF('242.BQ Phim hợp tác'!$C:$C,'KK1. Movies'!AI342)</f>
        <v/>
      </c>
      <c r="AM342" s="203">
        <f>COUNTIF('TK 15661.Bản quyền phim '!F:F,'KK1. Movies'!AI342)</f>
        <v/>
      </c>
      <c r="AN342" s="546">
        <f>AL342+AM342</f>
        <v/>
      </c>
      <c r="AO342" s="203" t="n"/>
      <c r="AP342" s="203" t="n"/>
      <c r="AQ342" s="203" t="n"/>
      <c r="AR342" s="203" t="n"/>
      <c r="AS342" s="203" t="n"/>
      <c r="AT342" s="546">
        <f>IFERROR(VLOOKUP(C342, CodeRanMovies!$A:$K, 11, 0), "Not found")</f>
        <v/>
      </c>
    </row>
    <row r="343">
      <c r="A343" s="283">
        <f>_xlfn.AGGREGATE(3,3,$D$7:D343)</f>
        <v/>
      </c>
      <c r="B343" s="613" t="n"/>
      <c r="C343" s="284" t="inlineStr">
        <is>
          <t>MOV_SCI26</t>
        </is>
      </c>
      <c r="D343" s="116" t="inlineStr">
        <is>
          <t>INFINITE</t>
        </is>
      </c>
      <c r="E343" s="614" t="inlineStr">
        <is>
          <t>Ký ức vô tận</t>
        </is>
      </c>
      <c r="F343" s="122" t="inlineStr">
        <is>
          <t>Action, Adventure</t>
        </is>
      </c>
      <c r="G343" s="123" t="inlineStr">
        <is>
          <t>Paramount</t>
        </is>
      </c>
      <c r="H343" s="123" t="inlineStr">
        <is>
          <t>1009675/DM-38696/DM-39285</t>
        </is>
      </c>
      <c r="I343" s="118" t="n">
        <v>2021</v>
      </c>
      <c r="J343" s="118" t="inlineStr">
        <is>
          <t>US</t>
        </is>
      </c>
      <c r="K343" s="118" t="n">
        <v>98</v>
      </c>
      <c r="L343" s="285" t="n">
        <v>46008</v>
      </c>
      <c r="M343" s="285" t="n">
        <v>46554</v>
      </c>
      <c r="N343" s="615" t="n"/>
      <c r="O343" s="616" t="n"/>
      <c r="P343" s="616" t="n"/>
      <c r="Q343" s="118" t="inlineStr">
        <is>
          <t>No</t>
        </is>
      </c>
      <c r="R343" s="118" t="inlineStr">
        <is>
          <t>Yes</t>
        </is>
      </c>
      <c r="S343" s="122" t="inlineStr">
        <is>
          <t>Yes</t>
        </is>
      </c>
      <c r="T343" s="118" t="inlineStr">
        <is>
          <t>Yes</t>
        </is>
      </c>
      <c r="U343" s="118" t="inlineStr">
        <is>
          <t>No</t>
        </is>
      </c>
      <c r="V343" s="118" t="inlineStr">
        <is>
          <t>No</t>
        </is>
      </c>
      <c r="W343" s="118" t="inlineStr">
        <is>
          <t>No</t>
        </is>
      </c>
      <c r="X343" s="118" t="inlineStr">
        <is>
          <t>Yes</t>
        </is>
      </c>
      <c r="Y343" s="118" t="inlineStr">
        <is>
          <t>No</t>
        </is>
      </c>
      <c r="Z343" s="285" t="n">
        <v>46008</v>
      </c>
      <c r="AA343" s="285" t="n">
        <v>46372</v>
      </c>
      <c r="AB343" s="122" t="n">
        <v>10</v>
      </c>
      <c r="AC343" s="122" t="n"/>
      <c r="AD343" s="616" t="inlineStr">
        <is>
          <t>Yes</t>
        </is>
      </c>
      <c r="AE343" s="616" t="inlineStr">
        <is>
          <t>Yes</t>
        </is>
      </c>
      <c r="AF343" s="617" t="n"/>
      <c r="AG343" s="618" t="inlineStr">
        <is>
          <t>Phim còn hạn từ 2026</t>
        </is>
      </c>
      <c r="AH343" s="619" t="n"/>
      <c r="AI343" s="286" t="inlineStr">
        <is>
          <t>INFINITE</t>
        </is>
      </c>
      <c r="AJ343" s="287">
        <f>SUMIF('TK 15661.Bản quyền phim '!F:F,'KK1. Movies'!D343,'TK 15661.Bản quyền phim '!X:X)</f>
        <v/>
      </c>
      <c r="AK343" s="287">
        <f>SUMIF('TK 15661.Bản quyền phim '!F:F,'KK1. Movies'!AI343,'TK 15661.Bản quyền phim '!X:X)</f>
        <v/>
      </c>
      <c r="AL343" s="288">
        <f>COUNTIF('242.BQ Phim hợp tác'!$C:$C,'KK1. Movies'!AI343)</f>
        <v/>
      </c>
      <c r="AM343" s="288">
        <f>COUNTIF('TK 15661.Bản quyền phim '!F:F,'KK1. Movies'!AI343)</f>
        <v/>
      </c>
      <c r="AN343" s="546">
        <f>AL343+AM343</f>
        <v/>
      </c>
      <c r="AO343" s="288" t="n"/>
      <c r="AP343" s="288" t="n"/>
      <c r="AQ343" s="288" t="n"/>
      <c r="AR343" s="288" t="n"/>
      <c r="AS343" s="288" t="n"/>
      <c r="AT343" s="546">
        <f>IFERROR(VLOOKUP(C343, CodeRanMovies!$A:$K, 11, 0), "Not found")</f>
        <v/>
      </c>
    </row>
    <row r="344" ht="26.4" customHeight="1" s="578">
      <c r="A344" s="201" t="inlineStr">
        <is>
          <t>Bổ sung</t>
        </is>
      </c>
      <c r="B344" s="589" t="n"/>
      <c r="C344" s="105" t="inlineStr">
        <is>
          <t>MOV021273</t>
        </is>
      </c>
      <c r="D344" s="105" t="inlineStr">
        <is>
          <t>THE BREAKUP GURU</t>
        </is>
      </c>
      <c r="E344" s="590" t="n"/>
      <c r="F344" s="110" t="n"/>
      <c r="G344" s="103" t="inlineStr">
        <is>
          <t>Công ty TNHH Đối tác Chuyên nghiệp</t>
        </is>
      </c>
      <c r="H344" s="103" t="inlineStr">
        <is>
          <t>S0001502</t>
        </is>
      </c>
      <c r="I344" s="104" t="n"/>
      <c r="J344" s="104" t="n"/>
      <c r="K344" s="104" t="n"/>
      <c r="L344" s="124" t="n"/>
      <c r="M344" s="124" t="n"/>
      <c r="N344" s="601" t="n"/>
      <c r="O344" s="592" t="n"/>
      <c r="P344" s="592" t="n"/>
      <c r="Q344" s="104" t="n"/>
      <c r="R344" s="104" t="n"/>
      <c r="S344" s="110" t="n"/>
      <c r="T344" s="104" t="n"/>
      <c r="U344" s="104" t="n"/>
      <c r="V344" s="104" t="n"/>
      <c r="W344" s="104" t="n"/>
      <c r="X344" s="104" t="n"/>
      <c r="Y344" s="104" t="n"/>
      <c r="Z344" s="124" t="n">
        <v>44519</v>
      </c>
      <c r="AA344" s="124" t="n">
        <v>46160</v>
      </c>
      <c r="AB344" s="110" t="n"/>
      <c r="AC344" s="110" t="n"/>
      <c r="AD344" s="592" t="n"/>
      <c r="AE344" s="592" t="n"/>
      <c r="AF344" s="600" t="n"/>
      <c r="AG344" s="593" t="n"/>
      <c r="AH344" s="589" t="n"/>
      <c r="AI344" s="206" t="n"/>
      <c r="AJ344" s="128" t="n"/>
      <c r="AK344" s="128" t="n"/>
      <c r="AL344" s="203" t="n"/>
      <c r="AM344" s="203" t="n"/>
      <c r="AN344" s="203" t="n"/>
      <c r="AO344" s="203" t="n"/>
      <c r="AP344" s="203" t="n"/>
      <c r="AQ344" s="203" t="n"/>
      <c r="AR344" s="203" t="n"/>
      <c r="AS344" s="203" t="n"/>
      <c r="AT344" s="546">
        <f>IFERROR(VLOOKUP(D344, CodeRanMovies!$B:$K, 10, 0), "Not found")</f>
        <v/>
      </c>
    </row>
    <row r="345" ht="26.4" customHeight="1" s="578">
      <c r="A345" s="201" t="inlineStr">
        <is>
          <t>Bổ sung</t>
        </is>
      </c>
      <c r="B345" s="589" t="n"/>
      <c r="C345" s="105" t="inlineStr">
        <is>
          <t>MOV021274</t>
        </is>
      </c>
      <c r="D345" s="105" t="inlineStr">
        <is>
          <t>FALL IN LOVE LIKE A STAR</t>
        </is>
      </c>
      <c r="E345" s="590" t="n"/>
      <c r="F345" s="110" t="n"/>
      <c r="G345" s="103" t="inlineStr">
        <is>
          <t>Công ty TNHH Đối tác Chuyên nghiệp</t>
        </is>
      </c>
      <c r="H345" s="103" t="inlineStr">
        <is>
          <t>S0001502</t>
        </is>
      </c>
      <c r="I345" s="104" t="n"/>
      <c r="J345" s="104" t="n"/>
      <c r="K345" s="104" t="n"/>
      <c r="L345" s="124" t="n"/>
      <c r="M345" s="124" t="n"/>
      <c r="N345" s="601" t="n"/>
      <c r="O345" s="592" t="n"/>
      <c r="P345" s="592" t="n"/>
      <c r="Q345" s="104" t="n"/>
      <c r="R345" s="104" t="n"/>
      <c r="S345" s="110" t="n"/>
      <c r="T345" s="104" t="n"/>
      <c r="U345" s="104" t="n"/>
      <c r="V345" s="104" t="n"/>
      <c r="W345" s="104" t="n"/>
      <c r="X345" s="104" t="n"/>
      <c r="Y345" s="104" t="n"/>
      <c r="Z345" s="124" t="n">
        <v>44491</v>
      </c>
      <c r="AA345" s="124" t="n">
        <v>46133</v>
      </c>
      <c r="AB345" s="110" t="n"/>
      <c r="AC345" s="110" t="n"/>
      <c r="AD345" s="592" t="n"/>
      <c r="AE345" s="592" t="n"/>
      <c r="AF345" s="600" t="n"/>
      <c r="AG345" s="593" t="n"/>
      <c r="AH345" s="589" t="n"/>
      <c r="AI345" s="206" t="n"/>
      <c r="AJ345" s="128" t="n"/>
      <c r="AK345" s="128" t="n"/>
      <c r="AL345" s="203" t="n"/>
      <c r="AM345" s="203" t="n"/>
      <c r="AN345" s="203" t="n"/>
      <c r="AO345" s="203" t="n"/>
      <c r="AP345" s="203" t="n"/>
      <c r="AQ345" s="203" t="n"/>
      <c r="AR345" s="203" t="n"/>
      <c r="AS345" s="203" t="n"/>
      <c r="AT345" s="546">
        <f>IFERROR(VLOOKUP(D345, CodeRanMovies!$B:$K, 10, 0), "Not found")</f>
        <v/>
      </c>
    </row>
    <row r="346">
      <c r="A346" s="201" t="inlineStr">
        <is>
          <t>Bổ sung</t>
        </is>
      </c>
      <c r="B346" s="589" t="n"/>
      <c r="C346" s="105" t="inlineStr">
        <is>
          <t>MOV021275</t>
        </is>
      </c>
      <c r="D346" s="105" t="inlineStr">
        <is>
          <t>NE ZHA</t>
        </is>
      </c>
      <c r="E346" s="590" t="n"/>
      <c r="F346" s="110" t="n"/>
      <c r="G346" s="103" t="inlineStr">
        <is>
          <t>Công ty TNHH Đối tác Chuyên nghiệp</t>
        </is>
      </c>
      <c r="H346" s="103" t="inlineStr">
        <is>
          <t>S0001502</t>
        </is>
      </c>
      <c r="I346" s="104" t="n"/>
      <c r="J346" s="104" t="n"/>
      <c r="K346" s="104" t="n"/>
      <c r="L346" s="124" t="n"/>
      <c r="M346" s="124" t="n"/>
      <c r="N346" s="601" t="n"/>
      <c r="O346" s="592" t="n"/>
      <c r="P346" s="592" t="n"/>
      <c r="Q346" s="104" t="n"/>
      <c r="R346" s="104" t="n"/>
      <c r="S346" s="110" t="n"/>
      <c r="T346" s="104" t="n"/>
      <c r="U346" s="104" t="n"/>
      <c r="V346" s="104" t="n"/>
      <c r="W346" s="104" t="n"/>
      <c r="X346" s="104" t="n"/>
      <c r="Y346" s="104" t="n"/>
      <c r="Z346" s="124" t="n">
        <v>44533</v>
      </c>
      <c r="AA346" s="124" t="n">
        <v>46175</v>
      </c>
      <c r="AB346" s="110" t="n"/>
      <c r="AC346" s="110" t="n"/>
      <c r="AD346" s="592" t="n"/>
      <c r="AE346" s="592" t="n"/>
      <c r="AF346" s="600" t="n"/>
      <c r="AG346" s="593" t="n"/>
      <c r="AH346" s="589" t="n"/>
      <c r="AI346" s="206" t="n"/>
      <c r="AJ346" s="128" t="n"/>
      <c r="AK346" s="128" t="n"/>
      <c r="AL346" s="203" t="n"/>
      <c r="AM346" s="203" t="n"/>
      <c r="AN346" s="203" t="n"/>
      <c r="AO346" s="203" t="n"/>
      <c r="AP346" s="203" t="n"/>
      <c r="AQ346" s="203" t="n"/>
      <c r="AR346" s="203" t="n"/>
      <c r="AS346" s="203" t="n"/>
      <c r="AT346" s="546">
        <f>IFERROR(VLOOKUP(D346, CodeRanMovies!$B:$K, 10, 0), "Not found")</f>
        <v/>
      </c>
    </row>
    <row r="347">
      <c r="A347" s="201" t="inlineStr">
        <is>
          <t>Bổ sung</t>
        </is>
      </c>
      <c r="B347" s="589" t="n"/>
      <c r="C347" s="105" t="inlineStr">
        <is>
          <t>MOV021276</t>
        </is>
      </c>
      <c r="D347" s="105" t="inlineStr">
        <is>
          <t>SOUL SNATCHER</t>
        </is>
      </c>
      <c r="E347" s="590" t="n"/>
      <c r="F347" s="110" t="n"/>
      <c r="G347" s="103" t="inlineStr">
        <is>
          <t>Công ty TNHH Đối tác Chuyên nghiệp</t>
        </is>
      </c>
      <c r="H347" s="103" t="inlineStr">
        <is>
          <t>S0001502</t>
        </is>
      </c>
      <c r="I347" s="104" t="n"/>
      <c r="J347" s="104" t="n"/>
      <c r="K347" s="104" t="n"/>
      <c r="L347" s="124" t="n"/>
      <c r="M347" s="124" t="n"/>
      <c r="N347" s="601" t="n"/>
      <c r="O347" s="592" t="n"/>
      <c r="P347" s="592" t="n"/>
      <c r="Q347" s="104" t="n"/>
      <c r="R347" s="104" t="n"/>
      <c r="S347" s="110" t="n"/>
      <c r="T347" s="104" t="n"/>
      <c r="U347" s="104" t="n"/>
      <c r="V347" s="104" t="n"/>
      <c r="W347" s="104" t="n"/>
      <c r="X347" s="104" t="n"/>
      <c r="Y347" s="104" t="n"/>
      <c r="Z347" s="124" t="n">
        <v>44517</v>
      </c>
      <c r="AA347" s="124" t="n">
        <v>46158</v>
      </c>
      <c r="AB347" s="110" t="n"/>
      <c r="AC347" s="110" t="n"/>
      <c r="AD347" s="592" t="n"/>
      <c r="AE347" s="592" t="n"/>
      <c r="AF347" s="600" t="n"/>
      <c r="AG347" s="593" t="n"/>
      <c r="AH347" s="589" t="n"/>
      <c r="AI347" s="206" t="n"/>
      <c r="AJ347" s="128" t="n"/>
      <c r="AK347" s="128" t="n"/>
      <c r="AL347" s="203" t="n"/>
      <c r="AM347" s="203" t="n"/>
      <c r="AN347" s="203" t="n"/>
      <c r="AO347" s="203" t="n"/>
      <c r="AP347" s="203" t="n"/>
      <c r="AQ347" s="203" t="n"/>
      <c r="AR347" s="203" t="n"/>
      <c r="AS347" s="203" t="n"/>
      <c r="AT347" s="546">
        <f>IFERROR(VLOOKUP(D347, CodeRanMovies!$B:$K, 10, 0), "Not found")</f>
        <v/>
      </c>
    </row>
    <row r="348">
      <c r="A348" s="201" t="inlineStr">
        <is>
          <t>Bổ sung</t>
        </is>
      </c>
      <c r="B348" s="589" t="n"/>
      <c r="C348" s="105" t="inlineStr">
        <is>
          <t>MOV021279</t>
        </is>
      </c>
      <c r="D348" s="105" t="inlineStr">
        <is>
          <t>RAT DISASTER</t>
        </is>
      </c>
      <c r="E348" s="590" t="n"/>
      <c r="F348" s="110" t="n"/>
      <c r="G348" s="103" t="inlineStr">
        <is>
          <t>Công ty TNHH Đối tác Chuyên nghiệp</t>
        </is>
      </c>
      <c r="H348" s="103" t="inlineStr">
        <is>
          <t>S0001502</t>
        </is>
      </c>
      <c r="I348" s="104" t="n"/>
      <c r="J348" s="104" t="n"/>
      <c r="K348" s="104" t="n"/>
      <c r="L348" s="124" t="n"/>
      <c r="M348" s="124" t="n"/>
      <c r="N348" s="601" t="n"/>
      <c r="O348" s="592" t="n"/>
      <c r="P348" s="592" t="n"/>
      <c r="Q348" s="104" t="n"/>
      <c r="R348" s="104" t="n"/>
      <c r="S348" s="110" t="n"/>
      <c r="T348" s="104" t="n"/>
      <c r="U348" s="104" t="n"/>
      <c r="V348" s="104" t="n"/>
      <c r="W348" s="104" t="n"/>
      <c r="X348" s="104" t="n"/>
      <c r="Y348" s="104" t="n"/>
      <c r="Z348" s="124" t="n">
        <v>44538</v>
      </c>
      <c r="AA348" s="124" t="n">
        <v>46180</v>
      </c>
      <c r="AB348" s="110" t="n"/>
      <c r="AC348" s="110" t="n"/>
      <c r="AD348" s="592" t="n"/>
      <c r="AE348" s="592" t="n"/>
      <c r="AF348" s="600" t="n"/>
      <c r="AG348" s="593" t="n"/>
      <c r="AH348" s="589" t="n"/>
      <c r="AI348" s="206" t="n"/>
      <c r="AJ348" s="128" t="n"/>
      <c r="AK348" s="128" t="n"/>
      <c r="AL348" s="203" t="n"/>
      <c r="AM348" s="203" t="n"/>
      <c r="AN348" s="203" t="n"/>
      <c r="AO348" s="203" t="n"/>
      <c r="AP348" s="203" t="n"/>
      <c r="AQ348" s="203" t="n"/>
      <c r="AR348" s="203" t="n"/>
      <c r="AS348" s="203" t="n"/>
      <c r="AT348" s="546">
        <f>IFERROR(VLOOKUP(D348, CodeRanMovies!$B:$K, 10, 0), "Not found")</f>
        <v/>
      </c>
    </row>
    <row r="349" ht="26.4" customHeight="1" s="578">
      <c r="A349" s="201" t="inlineStr">
        <is>
          <t>Bổ sung</t>
        </is>
      </c>
      <c r="B349" s="589" t="n"/>
      <c r="C349" s="105" t="inlineStr">
        <is>
          <t>MOV021282</t>
        </is>
      </c>
      <c r="D349" s="105" t="inlineStr">
        <is>
          <t>FEARLESS KUNGFU KING</t>
        </is>
      </c>
      <c r="E349" s="590" t="n"/>
      <c r="F349" s="110" t="n"/>
      <c r="G349" s="103" t="inlineStr">
        <is>
          <t>Công ty TNHH Đối tác Chuyên nghiệp</t>
        </is>
      </c>
      <c r="H349" s="103" t="inlineStr">
        <is>
          <t>S0001502</t>
        </is>
      </c>
      <c r="I349" s="104" t="n"/>
      <c r="J349" s="104" t="n"/>
      <c r="K349" s="104" t="n"/>
      <c r="L349" s="124" t="n"/>
      <c r="M349" s="124" t="n"/>
      <c r="N349" s="601" t="n"/>
      <c r="O349" s="592" t="n"/>
      <c r="P349" s="592" t="n"/>
      <c r="Q349" s="104" t="n"/>
      <c r="R349" s="104" t="n"/>
      <c r="S349" s="110" t="n"/>
      <c r="T349" s="104" t="n"/>
      <c r="U349" s="104" t="n"/>
      <c r="V349" s="104" t="n"/>
      <c r="W349" s="104" t="n"/>
      <c r="X349" s="104" t="n"/>
      <c r="Y349" s="104" t="n"/>
      <c r="Z349" s="124" t="n">
        <v>44531</v>
      </c>
      <c r="AA349" s="124" t="n">
        <v>46356</v>
      </c>
      <c r="AB349" s="110" t="n"/>
      <c r="AC349" s="110" t="n"/>
      <c r="AD349" s="592" t="n"/>
      <c r="AE349" s="592" t="n"/>
      <c r="AF349" s="600" t="n"/>
      <c r="AG349" s="593" t="n"/>
      <c r="AH349" s="589" t="n"/>
      <c r="AI349" s="206" t="n"/>
      <c r="AJ349" s="128" t="n"/>
      <c r="AK349" s="128" t="n"/>
      <c r="AL349" s="203" t="n"/>
      <c r="AM349" s="203" t="n"/>
      <c r="AN349" s="203" t="n"/>
      <c r="AO349" s="203" t="n"/>
      <c r="AP349" s="203" t="n"/>
      <c r="AQ349" s="203" t="n"/>
      <c r="AR349" s="203" t="n"/>
      <c r="AS349" s="203" t="n"/>
      <c r="AT349" s="546">
        <f>IFERROR(VLOOKUP(D349, CodeRanMovies!$B:$K, 10, 0), "Not found")</f>
        <v/>
      </c>
    </row>
    <row r="350">
      <c r="A350" s="201" t="inlineStr">
        <is>
          <t>Bổ sung</t>
        </is>
      </c>
      <c r="B350" s="589" t="n"/>
      <c r="C350" s="105" t="inlineStr">
        <is>
          <t>MOV021283</t>
        </is>
      </c>
      <c r="D350" s="105" t="inlineStr">
        <is>
          <t>MATCHLESS MULAN</t>
        </is>
      </c>
      <c r="E350" s="590" t="n"/>
      <c r="F350" s="110" t="n"/>
      <c r="G350" s="103" t="inlineStr">
        <is>
          <t>Công ty TNHH Đối tác Chuyên nghiệp</t>
        </is>
      </c>
      <c r="H350" s="103" t="inlineStr">
        <is>
          <t>S0001502</t>
        </is>
      </c>
      <c r="I350" s="104" t="n"/>
      <c r="J350" s="104" t="n"/>
      <c r="K350" s="104" t="n"/>
      <c r="L350" s="124" t="n"/>
      <c r="M350" s="124" t="n"/>
      <c r="N350" s="601" t="n"/>
      <c r="O350" s="592" t="n"/>
      <c r="P350" s="592" t="n"/>
      <c r="Q350" s="104" t="n"/>
      <c r="R350" s="104" t="n"/>
      <c r="S350" s="110" t="n"/>
      <c r="T350" s="104" t="n"/>
      <c r="U350" s="104" t="n"/>
      <c r="V350" s="104" t="n"/>
      <c r="W350" s="104" t="n"/>
      <c r="X350" s="104" t="n"/>
      <c r="Y350" s="104" t="n"/>
      <c r="Z350" s="124" t="n">
        <v>44489</v>
      </c>
      <c r="AA350" s="124" t="n">
        <v>46131</v>
      </c>
      <c r="AB350" s="110" t="n"/>
      <c r="AC350" s="110" t="n"/>
      <c r="AD350" s="592" t="n"/>
      <c r="AE350" s="592" t="n"/>
      <c r="AF350" s="600" t="n"/>
      <c r="AG350" s="593" t="n"/>
      <c r="AH350" s="589" t="n"/>
      <c r="AI350" s="206" t="n"/>
      <c r="AJ350" s="128" t="n"/>
      <c r="AK350" s="128" t="n"/>
      <c r="AL350" s="203" t="n"/>
      <c r="AM350" s="203" t="n"/>
      <c r="AN350" s="203" t="n"/>
      <c r="AO350" s="203" t="n"/>
      <c r="AP350" s="203" t="n"/>
      <c r="AQ350" s="203" t="n"/>
      <c r="AR350" s="203" t="n"/>
      <c r="AS350" s="203" t="n"/>
      <c r="AT350" s="546">
        <f>IFERROR(VLOOKUP(D350, CodeRanMovies!$B:$K, 10, 0), "Not found")</f>
        <v/>
      </c>
    </row>
    <row r="351">
      <c r="A351" s="201" t="inlineStr">
        <is>
          <t>Bổ sung</t>
        </is>
      </c>
      <c r="B351" s="589" t="n"/>
      <c r="C351" s="105" t="inlineStr">
        <is>
          <t>MOV021284</t>
        </is>
      </c>
      <c r="D351" s="105" t="inlineStr">
        <is>
          <t>LOVE IN BLOOD</t>
        </is>
      </c>
      <c r="E351" s="590" t="n"/>
      <c r="F351" s="110" t="n"/>
      <c r="G351" s="103" t="inlineStr">
        <is>
          <t>Công ty TNHH Đối tác Chuyên nghiệp</t>
        </is>
      </c>
      <c r="H351" s="103" t="inlineStr">
        <is>
          <t>S0001502</t>
        </is>
      </c>
      <c r="I351" s="104" t="n"/>
      <c r="J351" s="104" t="n"/>
      <c r="K351" s="104" t="n"/>
      <c r="L351" s="124" t="n"/>
      <c r="M351" s="124" t="n"/>
      <c r="N351" s="601" t="n"/>
      <c r="O351" s="592" t="n"/>
      <c r="P351" s="592" t="n"/>
      <c r="Q351" s="104" t="n"/>
      <c r="R351" s="104" t="n"/>
      <c r="S351" s="110" t="n"/>
      <c r="T351" s="104" t="n"/>
      <c r="U351" s="104" t="n"/>
      <c r="V351" s="104" t="n"/>
      <c r="W351" s="104" t="n"/>
      <c r="X351" s="104" t="n"/>
      <c r="Y351" s="104" t="n"/>
      <c r="Z351" s="124" t="n">
        <v>44461</v>
      </c>
      <c r="AA351" s="124" t="n">
        <v>46102</v>
      </c>
      <c r="AB351" s="110" t="n"/>
      <c r="AC351" s="110" t="n"/>
      <c r="AD351" s="592" t="n"/>
      <c r="AE351" s="592" t="n"/>
      <c r="AF351" s="600" t="n"/>
      <c r="AG351" s="593" t="n"/>
      <c r="AH351" s="589" t="n"/>
      <c r="AI351" s="206" t="n"/>
      <c r="AJ351" s="128" t="n"/>
      <c r="AK351" s="128" t="n"/>
      <c r="AL351" s="203" t="n"/>
      <c r="AM351" s="203" t="n"/>
      <c r="AN351" s="203" t="n"/>
      <c r="AO351" s="203" t="n"/>
      <c r="AP351" s="203" t="n"/>
      <c r="AQ351" s="203" t="n"/>
      <c r="AR351" s="203" t="n"/>
      <c r="AS351" s="203" t="n"/>
      <c r="AT351" s="546">
        <f>IFERROR(VLOOKUP(D351, CodeRanMovies!$B:$K, 10, 0), "Not found")</f>
        <v/>
      </c>
    </row>
    <row r="352">
      <c r="A352" s="201" t="inlineStr">
        <is>
          <t>Bổ sung</t>
        </is>
      </c>
      <c r="B352" s="589" t="n"/>
      <c r="C352" s="105" t="inlineStr">
        <is>
          <t>MOV021285</t>
        </is>
      </c>
      <c r="D352" s="105" t="inlineStr">
        <is>
          <t>GOD OF WAR</t>
        </is>
      </c>
      <c r="E352" s="590" t="n"/>
      <c r="F352" s="110" t="n"/>
      <c r="G352" s="103" t="inlineStr">
        <is>
          <t>Công ty TNHH Đối tác Chuyên nghiệp</t>
        </is>
      </c>
      <c r="H352" s="103" t="inlineStr">
        <is>
          <t>S0001502</t>
        </is>
      </c>
      <c r="I352" s="104" t="n"/>
      <c r="J352" s="104" t="n"/>
      <c r="K352" s="104" t="n"/>
      <c r="L352" s="124" t="n"/>
      <c r="M352" s="124" t="n"/>
      <c r="N352" s="601" t="n"/>
      <c r="O352" s="592" t="n"/>
      <c r="P352" s="592" t="n"/>
      <c r="Q352" s="104" t="n"/>
      <c r="R352" s="104" t="n"/>
      <c r="S352" s="110" t="n"/>
      <c r="T352" s="104" t="n"/>
      <c r="U352" s="104" t="n"/>
      <c r="V352" s="104" t="n"/>
      <c r="W352" s="104" t="n"/>
      <c r="X352" s="104" t="n"/>
      <c r="Y352" s="104" t="n"/>
      <c r="Z352" s="124" t="n">
        <v>44475</v>
      </c>
      <c r="AA352" s="124" t="n">
        <v>46117</v>
      </c>
      <c r="AB352" s="110" t="n"/>
      <c r="AC352" s="110" t="n"/>
      <c r="AD352" s="592" t="n"/>
      <c r="AE352" s="592" t="n"/>
      <c r="AF352" s="600" t="n"/>
      <c r="AG352" s="593" t="n"/>
      <c r="AH352" s="589" t="n"/>
      <c r="AI352" s="206" t="n"/>
      <c r="AJ352" s="128" t="n"/>
      <c r="AK352" s="128" t="n"/>
      <c r="AL352" s="203" t="n"/>
      <c r="AM352" s="203" t="n"/>
      <c r="AN352" s="203" t="n"/>
      <c r="AO352" s="203" t="n"/>
      <c r="AP352" s="203" t="n"/>
      <c r="AQ352" s="203" t="n"/>
      <c r="AR352" s="203" t="n"/>
      <c r="AS352" s="203" t="n"/>
      <c r="AT352" s="546">
        <f>IFERROR(VLOOKUP(D352, CodeRanMovies!$B:$K, 10, 0), "Not found")</f>
        <v/>
      </c>
    </row>
    <row r="353">
      <c r="A353" s="201" t="inlineStr">
        <is>
          <t>Bổ sung</t>
        </is>
      </c>
      <c r="B353" s="589" t="n"/>
      <c r="C353" s="105" t="inlineStr">
        <is>
          <t>MOV021287</t>
        </is>
      </c>
      <c r="D353" s="105" t="inlineStr">
        <is>
          <t>THE RISE OF HERO</t>
        </is>
      </c>
      <c r="E353" s="590" t="n"/>
      <c r="F353" s="110" t="n"/>
      <c r="G353" s="103" t="inlineStr">
        <is>
          <t>Công ty TNHH Đối tác Chuyên nghiệp</t>
        </is>
      </c>
      <c r="H353" s="103" t="inlineStr">
        <is>
          <t>S0001502</t>
        </is>
      </c>
      <c r="I353" s="104" t="n"/>
      <c r="J353" s="104" t="n"/>
      <c r="K353" s="104" t="n"/>
      <c r="L353" s="124" t="n"/>
      <c r="M353" s="124" t="n"/>
      <c r="N353" s="601" t="n"/>
      <c r="O353" s="592" t="n"/>
      <c r="P353" s="592" t="n"/>
      <c r="Q353" s="104" t="n"/>
      <c r="R353" s="104" t="n"/>
      <c r="S353" s="110" t="n"/>
      <c r="T353" s="104" t="n"/>
      <c r="U353" s="104" t="n"/>
      <c r="V353" s="104" t="n"/>
      <c r="W353" s="104" t="n"/>
      <c r="X353" s="104" t="n"/>
      <c r="Y353" s="104" t="n"/>
      <c r="Z353" s="124" t="n">
        <v>44559</v>
      </c>
      <c r="AA353" s="124" t="n">
        <v>46201</v>
      </c>
      <c r="AB353" s="110" t="n"/>
      <c r="AC353" s="110" t="n"/>
      <c r="AD353" s="592" t="n"/>
      <c r="AE353" s="592" t="n"/>
      <c r="AF353" s="600" t="n"/>
      <c r="AG353" s="593" t="n"/>
      <c r="AH353" s="589" t="n"/>
      <c r="AI353" s="206" t="n"/>
      <c r="AJ353" s="128" t="n"/>
      <c r="AK353" s="128" t="n"/>
      <c r="AL353" s="203" t="n"/>
      <c r="AM353" s="203" t="n"/>
      <c r="AN353" s="203" t="n"/>
      <c r="AO353" s="203" t="n"/>
      <c r="AP353" s="203" t="n"/>
      <c r="AQ353" s="203" t="n"/>
      <c r="AR353" s="203" t="n"/>
      <c r="AS353" s="203" t="n"/>
      <c r="AT353" s="546">
        <f>IFERROR(VLOOKUP(D353, CodeRanMovies!$B:$K, 10, 0), "Not found")</f>
        <v/>
      </c>
    </row>
    <row r="354">
      <c r="A354" s="201" t="inlineStr">
        <is>
          <t>Bổ sung</t>
        </is>
      </c>
      <c r="B354" s="589" t="n"/>
      <c r="C354" s="105" t="inlineStr">
        <is>
          <t>MOV021288</t>
        </is>
      </c>
      <c r="D354" s="105" t="inlineStr">
        <is>
          <t>SWORDSMAN</t>
        </is>
      </c>
      <c r="E354" s="590" t="n"/>
      <c r="F354" s="110" t="n"/>
      <c r="G354" s="103" t="inlineStr">
        <is>
          <t>Công ty TNHH Đối tác Chuyên nghiệp</t>
        </is>
      </c>
      <c r="H354" s="103" t="inlineStr">
        <is>
          <t>S0001502</t>
        </is>
      </c>
      <c r="I354" s="104" t="n"/>
      <c r="J354" s="104" t="n"/>
      <c r="K354" s="104" t="n"/>
      <c r="L354" s="124" t="n"/>
      <c r="M354" s="124" t="n"/>
      <c r="N354" s="601" t="n"/>
      <c r="O354" s="592" t="n"/>
      <c r="P354" s="592" t="n"/>
      <c r="Q354" s="104" t="n"/>
      <c r="R354" s="104" t="n"/>
      <c r="S354" s="110" t="n"/>
      <c r="T354" s="104" t="n"/>
      <c r="U354" s="104" t="n"/>
      <c r="V354" s="104" t="n"/>
      <c r="W354" s="104" t="n"/>
      <c r="X354" s="104" t="n"/>
      <c r="Y354" s="104" t="n"/>
      <c r="Z354" s="124" t="n">
        <v>44503</v>
      </c>
      <c r="AA354" s="124" t="n">
        <v>46144</v>
      </c>
      <c r="AB354" s="110" t="n"/>
      <c r="AC354" s="110" t="n"/>
      <c r="AD354" s="592" t="n"/>
      <c r="AE354" s="592" t="n"/>
      <c r="AF354" s="600" t="n"/>
      <c r="AG354" s="593" t="n"/>
      <c r="AH354" s="589" t="n"/>
      <c r="AI354" s="206" t="n"/>
      <c r="AJ354" s="128" t="n"/>
      <c r="AK354" s="128" t="n"/>
      <c r="AL354" s="203" t="n"/>
      <c r="AM354" s="203" t="n"/>
      <c r="AN354" s="203" t="n"/>
      <c r="AO354" s="203" t="n"/>
      <c r="AP354" s="203" t="n"/>
      <c r="AQ354" s="203" t="n"/>
      <c r="AR354" s="203" t="n"/>
      <c r="AS354" s="203" t="n"/>
      <c r="AT354" s="546">
        <f>IFERROR(VLOOKUP(D354, CodeRanMovies!$B:$K, 10, 0), "Not found")</f>
        <v/>
      </c>
    </row>
    <row r="355">
      <c r="A355" s="201" t="inlineStr">
        <is>
          <t>Bổ sung</t>
        </is>
      </c>
      <c r="B355" s="589" t="n"/>
      <c r="C355" s="105" t="inlineStr">
        <is>
          <t>MOV023009</t>
        </is>
      </c>
      <c r="D355" s="105" t="inlineStr">
        <is>
          <t>ROGUE</t>
        </is>
      </c>
      <c r="E355" s="590" t="n"/>
      <c r="F355" s="110" t="n"/>
      <c r="G355" s="103" t="inlineStr">
        <is>
          <t>CÔNG TY TNHH TRUYỀN THÔNG ROSES</t>
        </is>
      </c>
      <c r="H355" s="103" t="inlineStr">
        <is>
          <t>S0001804</t>
        </is>
      </c>
      <c r="I355" s="104" t="n"/>
      <c r="J355" s="104" t="n"/>
      <c r="K355" s="104" t="n"/>
      <c r="L355" s="124" t="n"/>
      <c r="M355" s="124" t="n"/>
      <c r="N355" s="601" t="n"/>
      <c r="O355" s="592" t="n"/>
      <c r="P355" s="592" t="n"/>
      <c r="Q355" s="104" t="n"/>
      <c r="R355" s="104" t="n"/>
      <c r="S355" s="110" t="n"/>
      <c r="T355" s="104" t="n"/>
      <c r="U355" s="104" t="n"/>
      <c r="V355" s="104" t="n"/>
      <c r="W355" s="104" t="n"/>
      <c r="X355" s="104" t="n"/>
      <c r="Y355" s="104" t="n"/>
      <c r="Z355" s="124" t="n">
        <v>45077</v>
      </c>
      <c r="AA355" s="124" t="n">
        <v>46172</v>
      </c>
      <c r="AB355" s="110" t="n"/>
      <c r="AC355" s="110" t="n"/>
      <c r="AD355" s="592" t="n"/>
      <c r="AE355" s="592" t="n"/>
      <c r="AF355" s="600" t="n"/>
      <c r="AG355" s="593" t="n"/>
      <c r="AH355" s="589" t="n"/>
      <c r="AI355" s="206" t="n"/>
      <c r="AJ355" s="128" t="n"/>
      <c r="AK355" s="128" t="n"/>
      <c r="AL355" s="203" t="n"/>
      <c r="AM355" s="203" t="n"/>
      <c r="AN355" s="203" t="n"/>
      <c r="AO355" s="203" t="n"/>
      <c r="AP355" s="203" t="n"/>
      <c r="AQ355" s="203" t="n"/>
      <c r="AR355" s="203" t="n"/>
      <c r="AS355" s="203" t="n"/>
      <c r="AT355" s="546">
        <f>IFERROR(VLOOKUP(D355, CodeRanMovies!$B:$K, 10, 0), "Not found")</f>
        <v/>
      </c>
    </row>
    <row r="356">
      <c r="A356" s="201" t="inlineStr">
        <is>
          <t>Bổ sung</t>
        </is>
      </c>
      <c r="B356" s="589" t="n"/>
      <c r="C356" s="105" t="inlineStr">
        <is>
          <t>MOV024135</t>
        </is>
      </c>
      <c r="D356" s="105" t="inlineStr">
        <is>
          <t>CRAWL</t>
        </is>
      </c>
      <c r="E356" s="590" t="n"/>
      <c r="F356" s="110" t="n"/>
      <c r="G356" s="103" t="inlineStr">
        <is>
          <t>Paramount Pictures International Limited</t>
        </is>
      </c>
      <c r="H356" s="103" t="inlineStr">
        <is>
          <t>S0002438</t>
        </is>
      </c>
      <c r="I356" s="104" t="n"/>
      <c r="J356" s="104" t="n"/>
      <c r="K356" s="104" t="n"/>
      <c r="L356" s="124" t="n"/>
      <c r="M356" s="124" t="n"/>
      <c r="N356" s="601" t="n"/>
      <c r="O356" s="592" t="n"/>
      <c r="P356" s="592" t="n"/>
      <c r="Q356" s="104" t="n"/>
      <c r="R356" s="104" t="n"/>
      <c r="S356" s="110" t="n"/>
      <c r="T356" s="104" t="n"/>
      <c r="U356" s="104" t="n"/>
      <c r="V356" s="104" t="n"/>
      <c r="W356" s="104" t="n"/>
      <c r="X356" s="104" t="n"/>
      <c r="Y356" s="104" t="n"/>
      <c r="Z356" s="124" t="n">
        <v>45609</v>
      </c>
      <c r="AA356" s="124" t="n">
        <v>46154</v>
      </c>
      <c r="AB356" s="110" t="n"/>
      <c r="AC356" s="110" t="n"/>
      <c r="AD356" s="592" t="n"/>
      <c r="AE356" s="592" t="n"/>
      <c r="AF356" s="600" t="n"/>
      <c r="AG356" s="593" t="n"/>
      <c r="AH356" s="589" t="n"/>
      <c r="AI356" s="206" t="n"/>
      <c r="AJ356" s="128" t="n"/>
      <c r="AK356" s="128" t="n"/>
      <c r="AL356" s="203" t="n"/>
      <c r="AM356" s="203" t="n"/>
      <c r="AN356" s="203" t="n"/>
      <c r="AO356" s="203" t="n"/>
      <c r="AP356" s="203" t="n"/>
      <c r="AQ356" s="203" t="n"/>
      <c r="AR356" s="203" t="n"/>
      <c r="AS356" s="203" t="n"/>
      <c r="AT356" s="546">
        <f>IFERROR(VLOOKUP(D356, CodeRanMovies!$B:$K, 10, 0), "Not found")</f>
        <v/>
      </c>
    </row>
    <row r="357" ht="26.4" customHeight="1" s="578">
      <c r="A357" s="201" t="inlineStr">
        <is>
          <t>Bổ sung</t>
        </is>
      </c>
      <c r="B357" s="589" t="n"/>
      <c r="C357" s="105" t="inlineStr">
        <is>
          <t>MOV024138</t>
        </is>
      </c>
      <c r="D357" s="105" t="inlineStr">
        <is>
          <t>GHOST IN THE SHELL (2017)</t>
        </is>
      </c>
      <c r="E357" s="590" t="n"/>
      <c r="F357" s="110" t="n"/>
      <c r="G357" s="103" t="inlineStr">
        <is>
          <t>Paramount Pictures International Limited</t>
        </is>
      </c>
      <c r="H357" s="103" t="inlineStr">
        <is>
          <t>S0002438</t>
        </is>
      </c>
      <c r="I357" s="104" t="n"/>
      <c r="J357" s="104" t="n"/>
      <c r="K357" s="104" t="n"/>
      <c r="L357" s="124" t="n"/>
      <c r="M357" s="124" t="n"/>
      <c r="N357" s="601" t="n"/>
      <c r="O357" s="592" t="n"/>
      <c r="P357" s="592" t="n"/>
      <c r="Q357" s="104" t="n"/>
      <c r="R357" s="104" t="n"/>
      <c r="S357" s="110" t="n"/>
      <c r="T357" s="104" t="n"/>
      <c r="U357" s="104" t="n"/>
      <c r="V357" s="104" t="n"/>
      <c r="W357" s="104" t="n"/>
      <c r="X357" s="104" t="n"/>
      <c r="Y357" s="104" t="n"/>
      <c r="Z357" s="124" t="n">
        <v>45609</v>
      </c>
      <c r="AA357" s="124" t="n">
        <v>46154</v>
      </c>
      <c r="AB357" s="110" t="n"/>
      <c r="AC357" s="110" t="n"/>
      <c r="AD357" s="592" t="n"/>
      <c r="AE357" s="592" t="n"/>
      <c r="AF357" s="600" t="n"/>
      <c r="AG357" s="593" t="n"/>
      <c r="AH357" s="589" t="n"/>
      <c r="AI357" s="206" t="n"/>
      <c r="AJ357" s="128" t="n"/>
      <c r="AK357" s="128" t="n"/>
      <c r="AL357" s="203" t="n"/>
      <c r="AM357" s="203" t="n"/>
      <c r="AN357" s="203" t="n"/>
      <c r="AO357" s="203" t="n"/>
      <c r="AP357" s="203" t="n"/>
      <c r="AQ357" s="203" t="n"/>
      <c r="AR357" s="203" t="n"/>
      <c r="AS357" s="203" t="n"/>
      <c r="AT357" s="546">
        <f>IFERROR(VLOOKUP(D357, CodeRanMovies!$B:$K, 10, 0), "Not found")</f>
        <v/>
      </c>
    </row>
    <row r="358" ht="26.4" customHeight="1" s="578">
      <c r="A358" s="201" t="inlineStr">
        <is>
          <t>Bổ sung</t>
        </is>
      </c>
      <c r="B358" s="589" t="n"/>
      <c r="C358" s="105" t="inlineStr">
        <is>
          <t>MOV024140</t>
        </is>
      </c>
      <c r="D358" s="105" t="inlineStr">
        <is>
          <t>JACK RYAN: SHADOW RECRUIT</t>
        </is>
      </c>
      <c r="E358" s="590" t="n"/>
      <c r="F358" s="110" t="n"/>
      <c r="G358" s="103" t="inlineStr">
        <is>
          <t>Paramount Pictures International Limited</t>
        </is>
      </c>
      <c r="H358" s="103" t="inlineStr">
        <is>
          <t>S0002438</t>
        </is>
      </c>
      <c r="I358" s="104" t="n"/>
      <c r="J358" s="104" t="n"/>
      <c r="K358" s="104" t="n"/>
      <c r="L358" s="124" t="n"/>
      <c r="M358" s="124" t="n"/>
      <c r="N358" s="601" t="n"/>
      <c r="O358" s="592" t="n"/>
      <c r="P358" s="592" t="n"/>
      <c r="Q358" s="104" t="n"/>
      <c r="R358" s="104" t="n"/>
      <c r="S358" s="110" t="n"/>
      <c r="T358" s="104" t="n"/>
      <c r="U358" s="104" t="n"/>
      <c r="V358" s="104" t="n"/>
      <c r="W358" s="104" t="n"/>
      <c r="X358" s="104" t="n"/>
      <c r="Y358" s="104" t="n"/>
      <c r="Z358" s="124" t="n">
        <v>45569</v>
      </c>
      <c r="AA358" s="124" t="n">
        <v>46115</v>
      </c>
      <c r="AB358" s="110" t="n"/>
      <c r="AC358" s="110" t="n"/>
      <c r="AD358" s="592" t="n"/>
      <c r="AE358" s="592" t="n"/>
      <c r="AF358" s="600" t="n"/>
      <c r="AG358" s="593" t="n"/>
      <c r="AH358" s="589" t="n"/>
      <c r="AI358" s="206" t="n"/>
      <c r="AJ358" s="128" t="n"/>
      <c r="AK358" s="128" t="n"/>
      <c r="AL358" s="203" t="n"/>
      <c r="AM358" s="203" t="n"/>
      <c r="AN358" s="203" t="n"/>
      <c r="AO358" s="203" t="n"/>
      <c r="AP358" s="203" t="n"/>
      <c r="AQ358" s="203" t="n"/>
      <c r="AR358" s="203" t="n"/>
      <c r="AS358" s="203" t="n"/>
      <c r="AT358" s="546">
        <f>IFERROR(VLOOKUP(D358, CodeRanMovies!$B:$K, 10, 0), "Not found")</f>
        <v/>
      </c>
    </row>
    <row r="359" ht="26.4" customHeight="1" s="578">
      <c r="A359" s="201" t="inlineStr">
        <is>
          <t>Bổ sung</t>
        </is>
      </c>
      <c r="B359" s="589" t="n"/>
      <c r="C359" s="105" t="inlineStr">
        <is>
          <t>MOV024141</t>
        </is>
      </c>
      <c r="D359" s="105" t="inlineStr">
        <is>
          <t>MISSION: IMPOSSIBLE</t>
        </is>
      </c>
      <c r="E359" s="590" t="n"/>
      <c r="F359" s="110" t="n"/>
      <c r="G359" s="103" t="inlineStr">
        <is>
          <t>Paramount Pictures International Limited</t>
        </is>
      </c>
      <c r="H359" s="103" t="inlineStr">
        <is>
          <t>S0002438</t>
        </is>
      </c>
      <c r="I359" s="104" t="n"/>
      <c r="J359" s="104" t="n"/>
      <c r="K359" s="104" t="n"/>
      <c r="L359" s="124" t="n"/>
      <c r="M359" s="124" t="n"/>
      <c r="N359" s="601" t="n"/>
      <c r="O359" s="592" t="n"/>
      <c r="P359" s="592" t="n"/>
      <c r="Q359" s="104" t="n"/>
      <c r="R359" s="104" t="n"/>
      <c r="S359" s="110" t="n"/>
      <c r="T359" s="104" t="n"/>
      <c r="U359" s="104" t="n"/>
      <c r="V359" s="104" t="n"/>
      <c r="W359" s="104" t="n"/>
      <c r="X359" s="104" t="n"/>
      <c r="Y359" s="104" t="n"/>
      <c r="Z359" s="124" t="n">
        <v>45597</v>
      </c>
      <c r="AA359" s="124" t="n">
        <v>46142</v>
      </c>
      <c r="AB359" s="110" t="n"/>
      <c r="AC359" s="110" t="n"/>
      <c r="AD359" s="592" t="n"/>
      <c r="AE359" s="592" t="n"/>
      <c r="AF359" s="600" t="n"/>
      <c r="AG359" s="593" t="n"/>
      <c r="AH359" s="589" t="n"/>
      <c r="AI359" s="206" t="n"/>
      <c r="AJ359" s="128" t="n"/>
      <c r="AK359" s="128" t="n"/>
      <c r="AL359" s="203" t="n"/>
      <c r="AM359" s="203" t="n"/>
      <c r="AN359" s="203" t="n"/>
      <c r="AO359" s="203" t="n"/>
      <c r="AP359" s="203" t="n"/>
      <c r="AQ359" s="203" t="n"/>
      <c r="AR359" s="203" t="n"/>
      <c r="AS359" s="203" t="n"/>
      <c r="AT359" s="546">
        <f>IFERROR(VLOOKUP(D359, CodeRanMovies!$B:$K, 10, 0), "Not found")</f>
        <v/>
      </c>
    </row>
    <row r="360" ht="39.6" customHeight="1" s="578">
      <c r="A360" s="201" t="inlineStr">
        <is>
          <t>Bổ sung</t>
        </is>
      </c>
      <c r="B360" s="589" t="n"/>
      <c r="C360" s="105" t="inlineStr">
        <is>
          <t>MOV024142</t>
        </is>
      </c>
      <c r="D360" s="105" t="inlineStr">
        <is>
          <t>MISSION: IMPOSSIBLE - GHOST PROTOCOL</t>
        </is>
      </c>
      <c r="E360" s="590" t="n"/>
      <c r="F360" s="110" t="n"/>
      <c r="G360" s="103" t="inlineStr">
        <is>
          <t>Paramount Pictures International Limited</t>
        </is>
      </c>
      <c r="H360" s="103" t="inlineStr">
        <is>
          <t>S0002438</t>
        </is>
      </c>
      <c r="I360" s="104" t="n"/>
      <c r="J360" s="104" t="n"/>
      <c r="K360" s="104" t="n"/>
      <c r="L360" s="124" t="n"/>
      <c r="M360" s="124" t="n"/>
      <c r="N360" s="601" t="n"/>
      <c r="O360" s="592" t="n"/>
      <c r="P360" s="592" t="n"/>
      <c r="Q360" s="104" t="n"/>
      <c r="R360" s="104" t="n"/>
      <c r="S360" s="110" t="n"/>
      <c r="T360" s="104" t="n"/>
      <c r="U360" s="104" t="n"/>
      <c r="V360" s="104" t="n"/>
      <c r="W360" s="104" t="n"/>
      <c r="X360" s="104" t="n"/>
      <c r="Y360" s="104" t="n"/>
      <c r="Z360" s="124" t="n">
        <v>45597</v>
      </c>
      <c r="AA360" s="124" t="n">
        <v>46142</v>
      </c>
      <c r="AB360" s="110" t="n"/>
      <c r="AC360" s="110" t="n"/>
      <c r="AD360" s="592" t="n"/>
      <c r="AE360" s="592" t="n"/>
      <c r="AF360" s="600" t="n"/>
      <c r="AG360" s="593" t="n"/>
      <c r="AH360" s="589" t="n"/>
      <c r="AI360" s="206" t="n"/>
      <c r="AJ360" s="128" t="n"/>
      <c r="AK360" s="128" t="n"/>
      <c r="AL360" s="203" t="n"/>
      <c r="AM360" s="203" t="n"/>
      <c r="AN360" s="203" t="n"/>
      <c r="AO360" s="203" t="n"/>
      <c r="AP360" s="203" t="n"/>
      <c r="AQ360" s="203" t="n"/>
      <c r="AR360" s="203" t="n"/>
      <c r="AS360" s="203" t="n"/>
      <c r="AT360" s="546">
        <f>IFERROR(VLOOKUP(D360, CodeRanMovies!$B:$K, 10, 0), "Not found")</f>
        <v/>
      </c>
    </row>
    <row r="361" ht="39.6" customHeight="1" s="578">
      <c r="A361" s="201" t="inlineStr">
        <is>
          <t>Bổ sung</t>
        </is>
      </c>
      <c r="B361" s="589" t="n"/>
      <c r="C361" s="105" t="inlineStr">
        <is>
          <t>MOV024143</t>
        </is>
      </c>
      <c r="D361" s="105" t="inlineStr">
        <is>
          <t>MISSION: IMPOSSIBLE - ROGUE NATION</t>
        </is>
      </c>
      <c r="E361" s="590" t="n"/>
      <c r="F361" s="110" t="n"/>
      <c r="G361" s="103" t="inlineStr">
        <is>
          <t>Paramount Pictures International Limited</t>
        </is>
      </c>
      <c r="H361" s="103" t="inlineStr">
        <is>
          <t>S0002438</t>
        </is>
      </c>
      <c r="I361" s="104" t="n"/>
      <c r="J361" s="104" t="n"/>
      <c r="K361" s="104" t="n"/>
      <c r="L361" s="124" t="n"/>
      <c r="M361" s="124" t="n"/>
      <c r="N361" s="601" t="n"/>
      <c r="O361" s="592" t="n"/>
      <c r="P361" s="592" t="n"/>
      <c r="Q361" s="104" t="n"/>
      <c r="R361" s="104" t="n"/>
      <c r="S361" s="110" t="n"/>
      <c r="T361" s="104" t="n"/>
      <c r="U361" s="104" t="n"/>
      <c r="V361" s="104" t="n"/>
      <c r="W361" s="104" t="n"/>
      <c r="X361" s="104" t="n"/>
      <c r="Y361" s="104" t="n"/>
      <c r="Z361" s="124" t="n">
        <v>45597</v>
      </c>
      <c r="AA361" s="124" t="n">
        <v>46142</v>
      </c>
      <c r="AB361" s="110" t="n"/>
      <c r="AC361" s="110" t="n"/>
      <c r="AD361" s="592" t="n"/>
      <c r="AE361" s="592" t="n"/>
      <c r="AF361" s="600" t="n"/>
      <c r="AG361" s="593" t="n"/>
      <c r="AH361" s="589" t="n"/>
      <c r="AI361" s="206" t="n"/>
      <c r="AJ361" s="128" t="n"/>
      <c r="AK361" s="128" t="n"/>
      <c r="AL361" s="203" t="n"/>
      <c r="AM361" s="203" t="n"/>
      <c r="AN361" s="203" t="n"/>
      <c r="AO361" s="203" t="n"/>
      <c r="AP361" s="203" t="n"/>
      <c r="AQ361" s="203" t="n"/>
      <c r="AR361" s="203" t="n"/>
      <c r="AS361" s="203" t="n"/>
      <c r="AT361" s="546">
        <f>IFERROR(VLOOKUP(D361, CodeRanMovies!$B:$K, 10, 0), "Not found")</f>
        <v/>
      </c>
    </row>
    <row r="362" ht="26.4" customHeight="1" s="578">
      <c r="A362" s="201" t="inlineStr">
        <is>
          <t>Bổ sung</t>
        </is>
      </c>
      <c r="B362" s="589" t="n"/>
      <c r="C362" s="105" t="inlineStr">
        <is>
          <t>MOV024144</t>
        </is>
      </c>
      <c r="D362" s="105" t="inlineStr">
        <is>
          <t>MISSION: IMPOSSIBLE II</t>
        </is>
      </c>
      <c r="E362" s="590" t="n"/>
      <c r="F362" s="110" t="n"/>
      <c r="G362" s="103" t="inlineStr">
        <is>
          <t>Paramount Pictures International Limited</t>
        </is>
      </c>
      <c r="H362" s="103" t="inlineStr">
        <is>
          <t>S0002438</t>
        </is>
      </c>
      <c r="I362" s="104" t="n"/>
      <c r="J362" s="104" t="n"/>
      <c r="K362" s="104" t="n"/>
      <c r="L362" s="124" t="n"/>
      <c r="M362" s="124" t="n"/>
      <c r="N362" s="601" t="n"/>
      <c r="O362" s="592" t="n"/>
      <c r="P362" s="592" t="n"/>
      <c r="Q362" s="104" t="n"/>
      <c r="R362" s="104" t="n"/>
      <c r="S362" s="110" t="n"/>
      <c r="T362" s="104" t="n"/>
      <c r="U362" s="104" t="n"/>
      <c r="V362" s="104" t="n"/>
      <c r="W362" s="104" t="n"/>
      <c r="X362" s="104" t="n"/>
      <c r="Y362" s="104" t="n"/>
      <c r="Z362" s="124" t="n">
        <v>45597</v>
      </c>
      <c r="AA362" s="124" t="n">
        <v>46142</v>
      </c>
      <c r="AB362" s="110" t="n"/>
      <c r="AC362" s="110" t="n"/>
      <c r="AD362" s="592" t="n"/>
      <c r="AE362" s="592" t="n"/>
      <c r="AF362" s="600" t="n"/>
      <c r="AG362" s="593" t="n"/>
      <c r="AH362" s="589" t="n"/>
      <c r="AI362" s="206" t="n"/>
      <c r="AJ362" s="128" t="n"/>
      <c r="AK362" s="128" t="n"/>
      <c r="AL362" s="203" t="n"/>
      <c r="AM362" s="203" t="n"/>
      <c r="AN362" s="203" t="n"/>
      <c r="AO362" s="203" t="n"/>
      <c r="AP362" s="203" t="n"/>
      <c r="AQ362" s="203" t="n"/>
      <c r="AR362" s="203" t="n"/>
      <c r="AS362" s="203" t="n"/>
      <c r="AT362" s="546">
        <f>IFERROR(VLOOKUP(D362, CodeRanMovies!$B:$K, 10, 0), "Not found")</f>
        <v/>
      </c>
    </row>
    <row r="363" ht="26.4" customHeight="1" s="578">
      <c r="A363" s="201" t="inlineStr">
        <is>
          <t>Bổ sung</t>
        </is>
      </c>
      <c r="B363" s="589" t="n"/>
      <c r="C363" s="105" t="inlineStr">
        <is>
          <t>MOV024145</t>
        </is>
      </c>
      <c r="D363" s="105" t="inlineStr">
        <is>
          <t>MISSION: IMPOSSIBLE III</t>
        </is>
      </c>
      <c r="E363" s="590" t="n"/>
      <c r="F363" s="110" t="n"/>
      <c r="G363" s="103" t="inlineStr">
        <is>
          <t>Paramount Pictures International Limited</t>
        </is>
      </c>
      <c r="H363" s="103" t="inlineStr">
        <is>
          <t>S0002438</t>
        </is>
      </c>
      <c r="I363" s="104" t="n"/>
      <c r="J363" s="104" t="n"/>
      <c r="K363" s="104" t="n"/>
      <c r="L363" s="124" t="n"/>
      <c r="M363" s="124" t="n"/>
      <c r="N363" s="601" t="n"/>
      <c r="O363" s="592" t="n"/>
      <c r="P363" s="592" t="n"/>
      <c r="Q363" s="104" t="n"/>
      <c r="R363" s="104" t="n"/>
      <c r="S363" s="110" t="n"/>
      <c r="T363" s="104" t="n"/>
      <c r="U363" s="104" t="n"/>
      <c r="V363" s="104" t="n"/>
      <c r="W363" s="104" t="n"/>
      <c r="X363" s="104" t="n"/>
      <c r="Y363" s="104" t="n"/>
      <c r="Z363" s="124" t="n">
        <v>45597</v>
      </c>
      <c r="AA363" s="124" t="n">
        <v>46142</v>
      </c>
      <c r="AB363" s="110" t="n"/>
      <c r="AC363" s="110" t="n"/>
      <c r="AD363" s="592" t="n"/>
      <c r="AE363" s="592" t="n"/>
      <c r="AF363" s="600" t="n"/>
      <c r="AG363" s="593" t="n"/>
      <c r="AH363" s="589" t="n"/>
      <c r="AI363" s="206" t="n"/>
      <c r="AJ363" s="128" t="n"/>
      <c r="AK363" s="128" t="n"/>
      <c r="AL363" s="203" t="n"/>
      <c r="AM363" s="203" t="n"/>
      <c r="AN363" s="203" t="n"/>
      <c r="AO363" s="203" t="n"/>
      <c r="AP363" s="203" t="n"/>
      <c r="AQ363" s="203" t="n"/>
      <c r="AR363" s="203" t="n"/>
      <c r="AS363" s="203" t="n"/>
      <c r="AT363" s="546">
        <f>IFERROR(VLOOKUP(D363, CodeRanMovies!$B:$K, 10, 0), "Not found")</f>
        <v/>
      </c>
    </row>
    <row r="364" ht="26.4" customHeight="1" s="578">
      <c r="A364" s="201" t="inlineStr">
        <is>
          <t>Bổ sung</t>
        </is>
      </c>
      <c r="B364" s="589" t="n"/>
      <c r="C364" s="105" t="inlineStr">
        <is>
          <t>MOV024149</t>
        </is>
      </c>
      <c r="D364" s="105" t="inlineStr">
        <is>
          <t>TERMINATOR GENISYS</t>
        </is>
      </c>
      <c r="E364" s="590" t="n"/>
      <c r="F364" s="110" t="n"/>
      <c r="G364" s="103" t="inlineStr">
        <is>
          <t>Paramount Pictures International Limited</t>
        </is>
      </c>
      <c r="H364" s="103" t="inlineStr">
        <is>
          <t>S0002438</t>
        </is>
      </c>
      <c r="I364" s="104" t="n"/>
      <c r="J364" s="104" t="n"/>
      <c r="K364" s="104" t="n"/>
      <c r="L364" s="124" t="n"/>
      <c r="M364" s="124" t="n"/>
      <c r="N364" s="601" t="n"/>
      <c r="O364" s="592" t="n"/>
      <c r="P364" s="592" t="n"/>
      <c r="Q364" s="104" t="n"/>
      <c r="R364" s="104" t="n"/>
      <c r="S364" s="110" t="n"/>
      <c r="T364" s="104" t="n"/>
      <c r="U364" s="104" t="n"/>
      <c r="V364" s="104" t="n"/>
      <c r="W364" s="104" t="n"/>
      <c r="X364" s="104" t="n"/>
      <c r="Y364" s="104" t="n"/>
      <c r="Z364" s="124" t="n">
        <v>45569</v>
      </c>
      <c r="AA364" s="124" t="n">
        <v>46115</v>
      </c>
      <c r="AB364" s="110" t="n"/>
      <c r="AC364" s="110" t="n"/>
      <c r="AD364" s="592" t="n"/>
      <c r="AE364" s="592" t="n"/>
      <c r="AF364" s="600" t="n"/>
      <c r="AG364" s="593" t="n"/>
      <c r="AH364" s="589" t="n"/>
      <c r="AI364" s="206" t="n"/>
      <c r="AJ364" s="128" t="n"/>
      <c r="AK364" s="128" t="n"/>
      <c r="AL364" s="203" t="n"/>
      <c r="AM364" s="203" t="n"/>
      <c r="AN364" s="203" t="n"/>
      <c r="AO364" s="203" t="n"/>
      <c r="AP364" s="203" t="n"/>
      <c r="AQ364" s="203" t="n"/>
      <c r="AR364" s="203" t="n"/>
      <c r="AS364" s="203" t="n"/>
      <c r="AT364" s="546">
        <f>IFERROR(VLOOKUP(D364, CodeRanMovies!$B:$K, 10, 0), "Not found")</f>
        <v/>
      </c>
    </row>
    <row r="365" ht="26.4" customHeight="1" s="578">
      <c r="A365" s="201" t="inlineStr">
        <is>
          <t>Bổ sung</t>
        </is>
      </c>
      <c r="B365" s="589" t="n"/>
      <c r="C365" s="105" t="inlineStr">
        <is>
          <t>MOV024154</t>
        </is>
      </c>
      <c r="D365" s="105" t="inlineStr">
        <is>
          <t>TRANSFORMERS: THE LAST KNIGHT</t>
        </is>
      </c>
      <c r="E365" s="590" t="n"/>
      <c r="F365" s="110" t="n"/>
      <c r="G365" s="103" t="inlineStr">
        <is>
          <t>Paramount Pictures International Limited</t>
        </is>
      </c>
      <c r="H365" s="103" t="inlineStr">
        <is>
          <t>S0002438</t>
        </is>
      </c>
      <c r="I365" s="104" t="n"/>
      <c r="J365" s="104" t="n"/>
      <c r="K365" s="104" t="n"/>
      <c r="L365" s="124" t="n"/>
      <c r="M365" s="124" t="n"/>
      <c r="N365" s="601" t="n"/>
      <c r="O365" s="592" t="n"/>
      <c r="P365" s="592" t="n"/>
      <c r="Q365" s="104" t="n"/>
      <c r="R365" s="104" t="n"/>
      <c r="S365" s="110" t="n"/>
      <c r="T365" s="104" t="n"/>
      <c r="U365" s="104" t="n"/>
      <c r="V365" s="104" t="n"/>
      <c r="W365" s="104" t="n"/>
      <c r="X365" s="104" t="n"/>
      <c r="Y365" s="104" t="n"/>
      <c r="Z365" s="124" t="n">
        <v>45583</v>
      </c>
      <c r="AA365" s="124" t="n">
        <v>46129</v>
      </c>
      <c r="AB365" s="110" t="n"/>
      <c r="AC365" s="110" t="n"/>
      <c r="AD365" s="592" t="n"/>
      <c r="AE365" s="592" t="n"/>
      <c r="AF365" s="600" t="n"/>
      <c r="AG365" s="593" t="n"/>
      <c r="AH365" s="589" t="n"/>
      <c r="AI365" s="206" t="n"/>
      <c r="AJ365" s="128" t="n"/>
      <c r="AK365" s="128" t="n"/>
      <c r="AL365" s="203" t="n"/>
      <c r="AM365" s="203" t="n"/>
      <c r="AN365" s="203" t="n"/>
      <c r="AO365" s="203" t="n"/>
      <c r="AP365" s="203" t="n"/>
      <c r="AQ365" s="203" t="n"/>
      <c r="AR365" s="203" t="n"/>
      <c r="AS365" s="203" t="n"/>
      <c r="AT365" s="546">
        <f>IFERROR(VLOOKUP(D365, CodeRanMovies!$B:$K, 10, 0), "Not found")</f>
        <v/>
      </c>
    </row>
    <row r="366">
      <c r="A366" s="201" t="inlineStr">
        <is>
          <t>Bổ sung</t>
        </is>
      </c>
      <c r="B366" s="589" t="n"/>
      <c r="C366" s="105" t="inlineStr">
        <is>
          <t>MOV025017</t>
        </is>
      </c>
      <c r="D366" s="105" t="inlineStr">
        <is>
          <t>Retribution</t>
        </is>
      </c>
      <c r="E366" s="590" t="n"/>
      <c r="F366" s="110" t="n"/>
      <c r="G366" s="103" t="inlineStr">
        <is>
          <t>CÔNG TY TNHH TRUYỀN THÔNG ROSES</t>
        </is>
      </c>
      <c r="H366" s="103" t="inlineStr">
        <is>
          <t>S0001804</t>
        </is>
      </c>
      <c r="I366" s="104" t="n"/>
      <c r="J366" s="104" t="n"/>
      <c r="K366" s="104" t="n"/>
      <c r="L366" s="124" t="n"/>
      <c r="M366" s="124" t="n"/>
      <c r="N366" s="601" t="n"/>
      <c r="O366" s="592" t="n"/>
      <c r="P366" s="592" t="n"/>
      <c r="Q366" s="104" t="n"/>
      <c r="R366" s="104" t="n"/>
      <c r="S366" s="110" t="n"/>
      <c r="T366" s="104" t="n"/>
      <c r="U366" s="104" t="n"/>
      <c r="V366" s="104" t="n"/>
      <c r="W366" s="104" t="n"/>
      <c r="X366" s="104" t="n"/>
      <c r="Y366" s="104" t="n"/>
      <c r="Z366" s="124" t="n">
        <v>45659</v>
      </c>
      <c r="AA366" s="124" t="n">
        <v>46753</v>
      </c>
      <c r="AB366" s="110" t="n"/>
      <c r="AC366" s="110" t="n"/>
      <c r="AD366" s="592" t="n"/>
      <c r="AE366" s="592" t="n"/>
      <c r="AF366" s="600" t="n"/>
      <c r="AG366" s="593" t="n"/>
      <c r="AH366" s="589" t="n"/>
      <c r="AI366" s="206" t="n"/>
      <c r="AJ366" s="128" t="n"/>
      <c r="AK366" s="128" t="n"/>
      <c r="AL366" s="203" t="n"/>
      <c r="AM366" s="203" t="n"/>
      <c r="AN366" s="203" t="n"/>
      <c r="AO366" s="203" t="n"/>
      <c r="AP366" s="203" t="n"/>
      <c r="AQ366" s="203" t="n"/>
      <c r="AR366" s="203" t="n"/>
      <c r="AS366" s="203" t="n"/>
      <c r="AT366" s="546">
        <f>IFERROR(VLOOKUP(D366, CodeRanMovies!$B:$K, 10, 0), "Not found")</f>
        <v/>
      </c>
    </row>
    <row r="367" ht="39.6" customHeight="1" s="578">
      <c r="A367" s="201" t="inlineStr">
        <is>
          <t>Bổ sung</t>
        </is>
      </c>
      <c r="B367" s="589" t="n"/>
      <c r="C367" s="105" t="inlineStr">
        <is>
          <t>MOV025019</t>
        </is>
      </c>
      <c r="D367" s="105" t="inlineStr">
        <is>
          <t>The Hunger Games: Ballad of Songbirds and Snakes</t>
        </is>
      </c>
      <c r="E367" s="590" t="n"/>
      <c r="F367" s="110" t="n"/>
      <c r="G367" s="103" t="inlineStr">
        <is>
          <t>CÔNG TY TNHH TRUYỀN THÔNG ROSES</t>
        </is>
      </c>
      <c r="H367" s="103" t="inlineStr">
        <is>
          <t>S0001804</t>
        </is>
      </c>
      <c r="I367" s="104" t="n"/>
      <c r="J367" s="104" t="n"/>
      <c r="K367" s="104" t="n"/>
      <c r="L367" s="124" t="n"/>
      <c r="M367" s="124" t="n"/>
      <c r="N367" s="601" t="n"/>
      <c r="O367" s="592" t="n"/>
      <c r="P367" s="592" t="n"/>
      <c r="Q367" s="104" t="n"/>
      <c r="R367" s="104" t="n"/>
      <c r="S367" s="110" t="n"/>
      <c r="T367" s="104" t="n"/>
      <c r="U367" s="104" t="n"/>
      <c r="V367" s="104" t="n"/>
      <c r="W367" s="104" t="n"/>
      <c r="X367" s="104" t="n"/>
      <c r="Y367" s="104" t="n"/>
      <c r="Z367" s="124" t="n">
        <v>45681</v>
      </c>
      <c r="AA367" s="124" t="n">
        <v>46775</v>
      </c>
      <c r="AB367" s="110" t="n"/>
      <c r="AC367" s="110" t="n"/>
      <c r="AD367" s="592" t="n"/>
      <c r="AE367" s="592" t="n"/>
      <c r="AF367" s="600" t="n"/>
      <c r="AG367" s="593" t="n"/>
      <c r="AH367" s="589" t="n"/>
      <c r="AI367" s="206" t="n"/>
      <c r="AJ367" s="128" t="n"/>
      <c r="AK367" s="128" t="n"/>
      <c r="AL367" s="203" t="n"/>
      <c r="AM367" s="203" t="n"/>
      <c r="AN367" s="203" t="n"/>
      <c r="AO367" s="203" t="n"/>
      <c r="AP367" s="203" t="n"/>
      <c r="AQ367" s="203" t="n"/>
      <c r="AR367" s="203" t="n"/>
      <c r="AS367" s="203" t="n"/>
      <c r="AT367" s="546">
        <f>IFERROR(VLOOKUP(D367, CodeRanMovies!$B:$K, 10, 0), "Not found")</f>
        <v/>
      </c>
    </row>
    <row r="368">
      <c r="A368" s="201" t="inlineStr">
        <is>
          <t>Bổ sung</t>
        </is>
      </c>
      <c r="B368" s="589" t="n"/>
      <c r="C368" s="105" t="inlineStr">
        <is>
          <t>MOV025053</t>
        </is>
      </c>
      <c r="D368" s="105" t="inlineStr">
        <is>
          <t>ARTICLE 20</t>
        </is>
      </c>
      <c r="E368" s="590" t="n"/>
      <c r="F368" s="110" t="n"/>
      <c r="G368" s="103" t="inlineStr">
        <is>
          <t>Công ty TNHH Skyline Media</t>
        </is>
      </c>
      <c r="H368" s="103" t="inlineStr">
        <is>
          <t>S0001328</t>
        </is>
      </c>
      <c r="I368" s="104" t="n"/>
      <c r="J368" s="104" t="n"/>
      <c r="K368" s="104" t="n"/>
      <c r="L368" s="124" t="n"/>
      <c r="M368" s="124" t="n"/>
      <c r="N368" s="601" t="n"/>
      <c r="O368" s="592" t="n"/>
      <c r="P368" s="592" t="n"/>
      <c r="Q368" s="104" t="n"/>
      <c r="R368" s="104" t="n"/>
      <c r="S368" s="110" t="n"/>
      <c r="T368" s="104" t="n"/>
      <c r="U368" s="104" t="n"/>
      <c r="V368" s="104" t="n"/>
      <c r="W368" s="104" t="n"/>
      <c r="X368" s="104" t="n"/>
      <c r="Y368" s="104" t="n"/>
      <c r="Z368" s="124" t="n">
        <v>45807</v>
      </c>
      <c r="AA368" s="124" t="n">
        <v>46902</v>
      </c>
      <c r="AB368" s="110" t="n"/>
      <c r="AC368" s="110" t="n"/>
      <c r="AD368" s="592" t="n"/>
      <c r="AE368" s="592" t="n"/>
      <c r="AF368" s="600" t="n"/>
      <c r="AG368" s="593" t="n"/>
      <c r="AH368" s="589" t="n"/>
      <c r="AI368" s="206" t="n"/>
      <c r="AJ368" s="128" t="n"/>
      <c r="AK368" s="128" t="n"/>
      <c r="AL368" s="203" t="n"/>
      <c r="AM368" s="203" t="n"/>
      <c r="AN368" s="203" t="n"/>
      <c r="AO368" s="203" t="n"/>
      <c r="AP368" s="203" t="n"/>
      <c r="AQ368" s="203" t="n"/>
      <c r="AR368" s="203" t="n"/>
      <c r="AS368" s="203" t="n"/>
      <c r="AT368" s="546">
        <f>IFERROR(VLOOKUP(D368, CodeRanMovies!$B:$K, 10, 0), "Not found")</f>
        <v/>
      </c>
    </row>
    <row r="369" ht="26.4" customHeight="1" s="578">
      <c r="A369" s="201" t="inlineStr">
        <is>
          <t>Bổ sung</t>
        </is>
      </c>
      <c r="B369" s="589" t="n"/>
      <c r="C369" s="105" t="inlineStr">
        <is>
          <t>MOV024229</t>
        </is>
      </c>
      <c r="D369" s="105" t="inlineStr">
        <is>
          <t>Skin (Xóa bỏ hận thù)</t>
        </is>
      </c>
      <c r="E369" s="590" t="n"/>
      <c r="F369" s="110" t="n"/>
      <c r="G369" s="103" t="inlineStr">
        <is>
          <t>CÔNG TY CỔ PHẦN TRUYỀN THÔNG HỎA THỔ</t>
        </is>
      </c>
      <c r="H369" s="103" t="inlineStr">
        <is>
          <t>S0002365</t>
        </is>
      </c>
      <c r="I369" s="104" t="n"/>
      <c r="J369" s="104" t="n"/>
      <c r="K369" s="104" t="n"/>
      <c r="L369" s="124" t="n"/>
      <c r="M369" s="124" t="n"/>
      <c r="N369" s="601" t="n"/>
      <c r="O369" s="592" t="n"/>
      <c r="P369" s="592" t="n"/>
      <c r="Q369" s="104" t="n"/>
      <c r="R369" s="104" t="n"/>
      <c r="S369" s="110" t="n"/>
      <c r="T369" s="104" t="n"/>
      <c r="U369" s="104" t="n"/>
      <c r="V369" s="104" t="n"/>
      <c r="W369" s="104" t="n"/>
      <c r="X369" s="104" t="n"/>
      <c r="Y369" s="104" t="n"/>
      <c r="Z369" s="124" t="n">
        <v>45637</v>
      </c>
      <c r="AA369" s="124" t="n">
        <v>46731</v>
      </c>
      <c r="AB369" s="110" t="n"/>
      <c r="AC369" s="110" t="n"/>
      <c r="AD369" s="592" t="n"/>
      <c r="AE369" s="592" t="n"/>
      <c r="AF369" s="600" t="n"/>
      <c r="AG369" s="593" t="n"/>
      <c r="AH369" s="589" t="n"/>
      <c r="AI369" s="206" t="n"/>
      <c r="AJ369" s="128" t="n"/>
      <c r="AK369" s="128" t="n"/>
      <c r="AL369" s="203" t="n"/>
      <c r="AM369" s="203" t="n"/>
      <c r="AN369" s="203" t="n"/>
      <c r="AO369" s="203" t="n"/>
      <c r="AP369" s="203" t="n"/>
      <c r="AQ369" s="203" t="n"/>
      <c r="AR369" s="203" t="n"/>
      <c r="AS369" s="203" t="n"/>
      <c r="AT369" s="546">
        <f>IFERROR(VLOOKUP(D369, CodeRanMovies!$B:$K, 10, 0), "Not found")</f>
        <v/>
      </c>
    </row>
    <row r="370" ht="26.4" customHeight="1" s="578">
      <c r="A370" s="201" t="inlineStr">
        <is>
          <t>Bổ sung</t>
        </is>
      </c>
      <c r="B370" s="589" t="n"/>
      <c r="C370" s="105" t="inlineStr">
        <is>
          <t>MOV025016</t>
        </is>
      </c>
      <c r="D370" s="105" t="inlineStr">
        <is>
          <t>Anti -piracy-contract 15 movies STK 2025</t>
        </is>
      </c>
      <c r="E370" s="590" t="n"/>
      <c r="F370" s="110" t="n"/>
      <c r="G370" s="103" t="inlineStr">
        <is>
          <t>CÔNG TY TNHH CÔNG NGHỆ VÀ GIẢI TRÍ TRUYỀN THÔNG SAO THIÊN KHÔI</t>
        </is>
      </c>
      <c r="H370" s="103" t="inlineStr">
        <is>
          <t>S0002622</t>
        </is>
      </c>
      <c r="I370" s="104" t="n"/>
      <c r="J370" s="104" t="n"/>
      <c r="K370" s="104" t="n"/>
      <c r="L370" s="124" t="n"/>
      <c r="M370" s="124" t="n"/>
      <c r="N370" s="601" t="n"/>
      <c r="O370" s="592" t="n"/>
      <c r="P370" s="592" t="n"/>
      <c r="Q370" s="104" t="n"/>
      <c r="R370" s="104" t="n"/>
      <c r="S370" s="110" t="n"/>
      <c r="T370" s="104" t="n"/>
      <c r="U370" s="104" t="n"/>
      <c r="V370" s="104" t="n"/>
      <c r="W370" s="104" t="n"/>
      <c r="X370" s="104" t="n"/>
      <c r="Y370" s="104" t="n"/>
      <c r="Z370" s="124" t="n">
        <v>45665</v>
      </c>
      <c r="AA370" s="124" t="n">
        <v>46029</v>
      </c>
      <c r="AB370" s="110" t="n"/>
      <c r="AC370" s="110" t="n"/>
      <c r="AD370" s="592" t="n"/>
      <c r="AE370" s="592" t="n"/>
      <c r="AF370" s="600" t="n"/>
      <c r="AG370" s="593" t="n"/>
      <c r="AH370" s="589" t="n"/>
      <c r="AI370" s="206" t="n"/>
      <c r="AJ370" s="128" t="n"/>
      <c r="AK370" s="128" t="n"/>
      <c r="AL370" s="203" t="n"/>
      <c r="AM370" s="203" t="n"/>
      <c r="AN370" s="203" t="n"/>
      <c r="AO370" s="203" t="n"/>
      <c r="AP370" s="203" t="n"/>
      <c r="AQ370" s="203" t="n"/>
      <c r="AR370" s="203" t="n"/>
      <c r="AS370" s="203" t="n"/>
      <c r="AT370" s="546">
        <f>IFERROR(VLOOKUP(D370, CodeRanMovies!$B:$K, 10, 0), "Not found")</f>
        <v/>
      </c>
    </row>
    <row r="371" ht="39.6" customHeight="1" s="578">
      <c r="A371" s="201" t="inlineStr">
        <is>
          <t>Bổ sung</t>
        </is>
      </c>
      <c r="B371" s="589" t="n"/>
      <c r="C371" s="105" t="inlineStr">
        <is>
          <t>MOV025037</t>
        </is>
      </c>
      <c r="D371" s="105" t="inlineStr">
        <is>
          <t>Anti -piracy-contract 8 movies Mockingbird 2025</t>
        </is>
      </c>
      <c r="E371" s="590" t="n"/>
      <c r="F371" s="110" t="n"/>
      <c r="G371" s="103" t="inlineStr">
        <is>
          <t>Công Ty TNHH HÌNH ẢNH CON CHIM NHẠI</t>
        </is>
      </c>
      <c r="H371" s="103" t="inlineStr">
        <is>
          <t>S0001883</t>
        </is>
      </c>
      <c r="I371" s="104" t="n"/>
      <c r="J371" s="104" t="n"/>
      <c r="K371" s="104" t="n"/>
      <c r="L371" s="124" t="n"/>
      <c r="M371" s="124" t="n"/>
      <c r="N371" s="601" t="n"/>
      <c r="O371" s="592" t="n"/>
      <c r="P371" s="592" t="n"/>
      <c r="Q371" s="104" t="n"/>
      <c r="R371" s="104" t="n"/>
      <c r="S371" s="110" t="n"/>
      <c r="T371" s="104" t="n"/>
      <c r="U371" s="104" t="n"/>
      <c r="V371" s="104" t="n"/>
      <c r="W371" s="104" t="n"/>
      <c r="X371" s="104" t="n"/>
      <c r="Y371" s="104" t="n"/>
      <c r="Z371" s="124" t="n">
        <v>45688</v>
      </c>
      <c r="AA371" s="124" t="n">
        <v>46052</v>
      </c>
      <c r="AB371" s="110" t="n"/>
      <c r="AC371" s="110" t="n"/>
      <c r="AD371" s="592" t="n"/>
      <c r="AE371" s="592" t="n"/>
      <c r="AF371" s="600" t="n"/>
      <c r="AG371" s="593" t="n"/>
      <c r="AH371" s="589" t="n"/>
      <c r="AI371" s="206" t="n"/>
      <c r="AJ371" s="128" t="n"/>
      <c r="AK371" s="128" t="n"/>
      <c r="AL371" s="203" t="n"/>
      <c r="AM371" s="203" t="n"/>
      <c r="AN371" s="203" t="n"/>
      <c r="AO371" s="203" t="n"/>
      <c r="AP371" s="203" t="n"/>
      <c r="AQ371" s="203" t="n"/>
      <c r="AR371" s="203" t="n"/>
      <c r="AS371" s="203" t="n"/>
      <c r="AT371" s="546">
        <f>IFERROR(VLOOKUP(D371, CodeRanMovies!$B:$K, 10, 0), "Not found")</f>
        <v/>
      </c>
    </row>
    <row r="372" ht="52.8" customHeight="1" s="578">
      <c r="A372" s="201" t="inlineStr">
        <is>
          <t>Bổ sung</t>
        </is>
      </c>
      <c r="B372" s="589" t="n"/>
      <c r="C372" s="105" t="inlineStr">
        <is>
          <t>MOV024230</t>
        </is>
      </c>
      <c r="D372" s="105" t="inlineStr">
        <is>
          <t>Extremely Wicked, Shockingly Evil and Vile (Kẻ cuồng sát biến thái)</t>
        </is>
      </c>
      <c r="E372" s="590" t="n"/>
      <c r="F372" s="110" t="n"/>
      <c r="G372" s="103" t="inlineStr">
        <is>
          <t>CÔNG TY CỔ PHẦN TRUYỀN THÔNG HỎA THỔ</t>
        </is>
      </c>
      <c r="H372" s="103" t="inlineStr">
        <is>
          <t>S0002365</t>
        </is>
      </c>
      <c r="I372" s="104" t="n"/>
      <c r="J372" s="104" t="n"/>
      <c r="K372" s="104" t="n"/>
      <c r="L372" s="124" t="n"/>
      <c r="M372" s="124" t="n"/>
      <c r="N372" s="601" t="n"/>
      <c r="O372" s="592" t="n"/>
      <c r="P372" s="592" t="n"/>
      <c r="Q372" s="104" t="n"/>
      <c r="R372" s="104" t="n"/>
      <c r="S372" s="110" t="n"/>
      <c r="T372" s="104" t="n"/>
      <c r="U372" s="104" t="n"/>
      <c r="V372" s="104" t="n"/>
      <c r="W372" s="104" t="n"/>
      <c r="X372" s="104" t="n"/>
      <c r="Y372" s="104" t="n"/>
      <c r="Z372" s="124" t="n">
        <v>45637</v>
      </c>
      <c r="AA372" s="124" t="n">
        <v>46731</v>
      </c>
      <c r="AB372" s="110" t="n"/>
      <c r="AC372" s="110" t="n"/>
      <c r="AD372" s="592" t="n"/>
      <c r="AE372" s="592" t="n"/>
      <c r="AF372" s="600" t="n"/>
      <c r="AG372" s="593" t="n"/>
      <c r="AH372" s="589" t="n"/>
      <c r="AI372" s="206" t="n"/>
      <c r="AJ372" s="128" t="n"/>
      <c r="AK372" s="128" t="n"/>
      <c r="AL372" s="203" t="n"/>
      <c r="AM372" s="203" t="n"/>
      <c r="AN372" s="203" t="n"/>
      <c r="AO372" s="203" t="n"/>
      <c r="AP372" s="203" t="n"/>
      <c r="AQ372" s="203" t="n"/>
      <c r="AR372" s="203" t="n"/>
      <c r="AS372" s="203" t="n"/>
      <c r="AT372" s="546">
        <f>IFERROR(VLOOKUP(D372, CodeRanMovies!$B:$K, 10, 0), "Not found")</f>
        <v/>
      </c>
    </row>
    <row r="373" ht="26.4" customHeight="1" s="578">
      <c r="A373" s="201" t="inlineStr">
        <is>
          <t>Bổ sung</t>
        </is>
      </c>
      <c r="B373" s="589" t="n"/>
      <c r="C373" s="105" t="inlineStr">
        <is>
          <t>MOV024126</t>
        </is>
      </c>
      <c r="D373" s="105" t="inlineStr">
        <is>
          <t>The Hot-Blooded (Tử Chiến)</t>
        </is>
      </c>
      <c r="E373" s="590" t="n"/>
      <c r="F373" s="110" t="n"/>
      <c r="G373" s="103" t="inlineStr">
        <is>
          <t>CÔNG TY CỔ PHẦN TRUYỀN THÔNG HỎA THỔ</t>
        </is>
      </c>
      <c r="H373" s="103" t="inlineStr">
        <is>
          <t>S0002365</t>
        </is>
      </c>
      <c r="I373" s="104" t="n"/>
      <c r="J373" s="104" t="n"/>
      <c r="K373" s="104" t="n"/>
      <c r="L373" s="124" t="n"/>
      <c r="M373" s="124" t="n"/>
      <c r="N373" s="601" t="n"/>
      <c r="O373" s="592" t="n"/>
      <c r="P373" s="592" t="n"/>
      <c r="Q373" s="104" t="n"/>
      <c r="R373" s="104" t="n"/>
      <c r="S373" s="110" t="n"/>
      <c r="T373" s="104" t="n"/>
      <c r="U373" s="104" t="n"/>
      <c r="V373" s="104" t="n"/>
      <c r="W373" s="104" t="n"/>
      <c r="X373" s="104" t="n"/>
      <c r="Y373" s="104" t="n"/>
      <c r="Z373" s="124" t="n">
        <v>45435</v>
      </c>
      <c r="AA373" s="124" t="n">
        <v>46529</v>
      </c>
      <c r="AB373" s="110" t="n"/>
      <c r="AC373" s="110" t="n"/>
      <c r="AD373" s="592" t="n"/>
      <c r="AE373" s="592" t="n"/>
      <c r="AF373" s="600" t="n"/>
      <c r="AG373" s="593" t="n"/>
      <c r="AH373" s="589" t="n"/>
      <c r="AI373" s="206" t="n"/>
      <c r="AJ373" s="128" t="n"/>
      <c r="AK373" s="128" t="n"/>
      <c r="AL373" s="203" t="n"/>
      <c r="AM373" s="203" t="n"/>
      <c r="AN373" s="203" t="n"/>
      <c r="AO373" s="203" t="n"/>
      <c r="AP373" s="203" t="n"/>
      <c r="AQ373" s="203" t="n"/>
      <c r="AR373" s="203" t="n"/>
      <c r="AS373" s="203" t="n"/>
      <c r="AT373" s="546">
        <f>IFERROR(VLOOKUP(D373, CodeRanMovies!$B:$K, 10, 0), "Not found")</f>
        <v/>
      </c>
    </row>
    <row r="374" ht="26.4" customHeight="1" s="578">
      <c r="A374" s="201" t="inlineStr">
        <is>
          <t>Bổ sung</t>
        </is>
      </c>
      <c r="B374" s="589" t="n"/>
      <c r="C374" s="105" t="inlineStr">
        <is>
          <t>MOV024132</t>
        </is>
      </c>
      <c r="D374" s="105" t="inlineStr">
        <is>
          <t>Z Storm (Đội Chống Tham Nhũng)</t>
        </is>
      </c>
      <c r="E374" s="590" t="n"/>
      <c r="F374" s="110" t="n"/>
      <c r="G374" s="103" t="inlineStr">
        <is>
          <t>CÔNG TY CỔ PHẦN TRUYỀN THÔNG HỎA THỔ</t>
        </is>
      </c>
      <c r="H374" s="103" t="inlineStr">
        <is>
          <t>S0002365</t>
        </is>
      </c>
      <c r="I374" s="104" t="n"/>
      <c r="J374" s="104" t="n"/>
      <c r="K374" s="104" t="n"/>
      <c r="L374" s="124" t="n"/>
      <c r="M374" s="124" t="n"/>
      <c r="N374" s="601" t="n"/>
      <c r="O374" s="592" t="n"/>
      <c r="P374" s="592" t="n"/>
      <c r="Q374" s="104" t="n"/>
      <c r="R374" s="104" t="n"/>
      <c r="S374" s="110" t="n"/>
      <c r="T374" s="104" t="n"/>
      <c r="U374" s="104" t="n"/>
      <c r="V374" s="104" t="n"/>
      <c r="W374" s="104" t="n"/>
      <c r="X374" s="104" t="n"/>
      <c r="Y374" s="104" t="n"/>
      <c r="Z374" s="124" t="n">
        <v>45506</v>
      </c>
      <c r="AA374" s="124" t="n">
        <v>46600</v>
      </c>
      <c r="AB374" s="110" t="n"/>
      <c r="AC374" s="110" t="n"/>
      <c r="AD374" s="592" t="n"/>
      <c r="AE374" s="592" t="n"/>
      <c r="AF374" s="600" t="n"/>
      <c r="AG374" s="593" t="n"/>
      <c r="AH374" s="589" t="n"/>
      <c r="AI374" s="206" t="n"/>
      <c r="AJ374" s="128" t="n"/>
      <c r="AK374" s="128" t="n"/>
      <c r="AL374" s="203" t="n"/>
      <c r="AM374" s="203" t="n"/>
      <c r="AN374" s="203" t="n"/>
      <c r="AO374" s="203" t="n"/>
      <c r="AP374" s="203" t="n"/>
      <c r="AQ374" s="203" t="n"/>
      <c r="AR374" s="203" t="n"/>
      <c r="AS374" s="203" t="n"/>
      <c r="AT374" s="546">
        <f>IFERROR(VLOOKUP(D374, CodeRanMovies!$B:$K, 10, 0), "Not found")</f>
        <v/>
      </c>
    </row>
    <row r="375" ht="26.4" customHeight="1" s="578">
      <c r="A375" s="201" t="inlineStr">
        <is>
          <t>Bổ sung</t>
        </is>
      </c>
      <c r="B375" s="589" t="n"/>
      <c r="C375" s="105" t="inlineStr">
        <is>
          <t>MOV024133</t>
        </is>
      </c>
      <c r="D375" s="105" t="inlineStr">
        <is>
          <t>Raging Fire (Cuồng Phong Nộ Hỏa)</t>
        </is>
      </c>
      <c r="E375" s="590" t="n"/>
      <c r="F375" s="110" t="n"/>
      <c r="G375" s="103" t="inlineStr">
        <is>
          <t>CÔNG TY CỔ PHẦN TRUYỀN THÔNG HỎA THỔ</t>
        </is>
      </c>
      <c r="H375" s="103" t="inlineStr">
        <is>
          <t>S0002365</t>
        </is>
      </c>
      <c r="I375" s="104" t="n"/>
      <c r="J375" s="104" t="n"/>
      <c r="K375" s="104" t="n"/>
      <c r="L375" s="124" t="n"/>
      <c r="M375" s="124" t="n"/>
      <c r="N375" s="601" t="n"/>
      <c r="O375" s="592" t="n"/>
      <c r="P375" s="592" t="n"/>
      <c r="Q375" s="104" t="n"/>
      <c r="R375" s="104" t="n"/>
      <c r="S375" s="110" t="n"/>
      <c r="T375" s="104" t="n"/>
      <c r="U375" s="104" t="n"/>
      <c r="V375" s="104" t="n"/>
      <c r="W375" s="104" t="n"/>
      <c r="X375" s="104" t="n"/>
      <c r="Y375" s="104" t="n"/>
      <c r="Z375" s="124" t="n">
        <v>45520</v>
      </c>
      <c r="AA375" s="124" t="n">
        <v>46614</v>
      </c>
      <c r="AB375" s="110" t="n"/>
      <c r="AC375" s="110" t="n"/>
      <c r="AD375" s="592" t="n"/>
      <c r="AE375" s="592" t="n"/>
      <c r="AF375" s="600" t="n"/>
      <c r="AG375" s="593" t="n"/>
      <c r="AH375" s="589" t="n"/>
      <c r="AI375" s="206" t="n"/>
      <c r="AJ375" s="128" t="n"/>
      <c r="AK375" s="128" t="n"/>
      <c r="AL375" s="203" t="n"/>
      <c r="AM375" s="203" t="n"/>
      <c r="AN375" s="203" t="n"/>
      <c r="AO375" s="203" t="n"/>
      <c r="AP375" s="203" t="n"/>
      <c r="AQ375" s="203" t="n"/>
      <c r="AR375" s="203" t="n"/>
      <c r="AS375" s="203" t="n"/>
      <c r="AT375" s="546">
        <f>IFERROR(VLOOKUP(D375, CodeRanMovies!$B:$K, 10, 0), "Not found")</f>
        <v/>
      </c>
    </row>
    <row r="376" ht="26.4" customHeight="1" s="578">
      <c r="A376" s="201" t="inlineStr">
        <is>
          <t>Bổ sung</t>
        </is>
      </c>
      <c r="B376" s="589" t="n"/>
      <c r="C376" s="105" t="inlineStr">
        <is>
          <t>MOV024134</t>
        </is>
      </c>
      <c r="D376" s="105" t="inlineStr">
        <is>
          <t>Ip Man 3 (Diệp Vấn 3)</t>
        </is>
      </c>
      <c r="E376" s="590" t="n"/>
      <c r="F376" s="110" t="n"/>
      <c r="G376" s="103" t="inlineStr">
        <is>
          <t>CÔNG TY CỔ PHẦN TRUYỀN THÔNG HỎA THỔ</t>
        </is>
      </c>
      <c r="H376" s="103" t="inlineStr">
        <is>
          <t>S0002365</t>
        </is>
      </c>
      <c r="I376" s="104" t="n"/>
      <c r="J376" s="104" t="n"/>
      <c r="K376" s="104" t="n"/>
      <c r="L376" s="124" t="n"/>
      <c r="M376" s="124" t="n"/>
      <c r="N376" s="601" t="n"/>
      <c r="O376" s="592" t="n"/>
      <c r="P376" s="592" t="n"/>
      <c r="Q376" s="104" t="n"/>
      <c r="R376" s="104" t="n"/>
      <c r="S376" s="110" t="n"/>
      <c r="T376" s="104" t="n"/>
      <c r="U376" s="104" t="n"/>
      <c r="V376" s="104" t="n"/>
      <c r="W376" s="104" t="n"/>
      <c r="X376" s="104" t="n"/>
      <c r="Y376" s="104" t="n"/>
      <c r="Z376" s="124" t="n">
        <v>45548</v>
      </c>
      <c r="AA376" s="124" t="n">
        <v>46642</v>
      </c>
      <c r="AB376" s="110" t="n"/>
      <c r="AC376" s="110" t="n"/>
      <c r="AD376" s="592" t="n"/>
      <c r="AE376" s="592" t="n"/>
      <c r="AF376" s="600" t="n"/>
      <c r="AG376" s="593" t="n"/>
      <c r="AH376" s="589" t="n"/>
      <c r="AI376" s="206" t="n"/>
      <c r="AJ376" s="128" t="n"/>
      <c r="AK376" s="128" t="n"/>
      <c r="AL376" s="203" t="n"/>
      <c r="AM376" s="203" t="n"/>
      <c r="AN376" s="203" t="n"/>
      <c r="AO376" s="203" t="n"/>
      <c r="AP376" s="203" t="n"/>
      <c r="AQ376" s="203" t="n"/>
      <c r="AR376" s="203" t="n"/>
      <c r="AS376" s="203" t="n"/>
      <c r="AT376" s="546">
        <f>IFERROR(VLOOKUP(D376, CodeRanMovies!$B:$K, 10, 0), "Not found")</f>
        <v/>
      </c>
    </row>
    <row r="378">
      <c r="A378" s="216" t="inlineStr">
        <is>
          <t>Ngày….....tháng…....năm 2026</t>
        </is>
      </c>
    </row>
    <row r="379">
      <c r="A379" s="217" t="inlineStr">
        <is>
          <t>TỔ KIỂM KÊ</t>
        </is>
      </c>
    </row>
    <row r="380" ht="26.4" customHeight="1" s="578">
      <c r="C380" s="214" t="inlineStr">
        <is>
          <t xml:space="preserve">Đại diện Kế toán - HME </t>
        </is>
      </c>
      <c r="D380" s="214" t="inlineStr">
        <is>
          <t>Đại diện Ban CNTT - HME</t>
        </is>
      </c>
      <c r="E380" s="188" t="inlineStr">
        <is>
          <t>Đại diện VSTV</t>
        </is>
      </c>
      <c r="F380" s="188" t="inlineStr">
        <is>
          <t>Đại diện VTV</t>
        </is>
      </c>
    </row>
    <row r="381" ht="26.4" customHeight="1" s="578">
      <c r="C381" s="548" t="inlineStr">
        <is>
          <t>(Ký và ghi rõ họ tên)</t>
        </is>
      </c>
      <c r="D381" s="548" t="inlineStr">
        <is>
          <t>(Ký và ghi rõ họ tên)</t>
        </is>
      </c>
      <c r="E381" s="548" t="inlineStr">
        <is>
          <t>(Ký và ghi rõ họ tên)</t>
        </is>
      </c>
      <c r="F381" s="548" t="inlineStr">
        <is>
          <t>(Ký và ghi rõ họ tên)</t>
        </is>
      </c>
    </row>
  </sheetData>
  <autoFilter ref="AO6:AT371"/>
  <mergeCells count="8">
    <mergeCell ref="AO5:AQ5"/>
    <mergeCell ref="AN5:AN6"/>
    <mergeCell ref="AD5:AF5"/>
    <mergeCell ref="AO2:AS2"/>
    <mergeCell ref="A3:AS3"/>
    <mergeCell ref="A4:AS4"/>
    <mergeCell ref="AO1:AS1"/>
    <mergeCell ref="AI5:AM5"/>
  </mergeCells>
  <conditionalFormatting sqref="D6:D40 D42:D177 D179:D246">
    <cfRule type="duplicateValues" priority="91" dxfId="32"/>
  </conditionalFormatting>
  <conditionalFormatting sqref="D6:D40 D42:D308">
    <cfRule type="duplicateValues" priority="90" dxfId="0"/>
  </conditionalFormatting>
  <conditionalFormatting sqref="D6:D40 D42:D314">
    <cfRule type="duplicateValues" priority="92" dxfId="0"/>
  </conditionalFormatting>
  <conditionalFormatting sqref="D6:D40 D42:D338">
    <cfRule type="duplicateValues" priority="93" dxfId="0"/>
  </conditionalFormatting>
  <conditionalFormatting sqref="D41">
    <cfRule type="duplicateValues" priority="86" dxfId="0"/>
    <cfRule type="duplicateValues" priority="84" dxfId="0"/>
    <cfRule type="duplicateValues" priority="85" dxfId="32"/>
    <cfRule type="duplicateValues" priority="87" dxfId="0"/>
  </conditionalFormatting>
  <conditionalFormatting sqref="E208">
    <cfRule type="duplicateValues" priority="80" dxfId="0"/>
    <cfRule type="duplicateValues" priority="81" dxfId="32"/>
    <cfRule type="duplicateValues" priority="83" dxfId="0"/>
    <cfRule type="duplicateValues" priority="82" dxfId="0"/>
  </conditionalFormatting>
  <conditionalFormatting sqref="E321">
    <cfRule type="duplicateValues" priority="89" dxfId="0"/>
  </conditionalFormatting>
  <conditionalFormatting sqref="E322">
    <cfRule type="duplicateValues" priority="88" dxfId="0"/>
  </conditionalFormatting>
  <conditionalFormatting sqref="AI7">
    <cfRule type="duplicateValues" priority="72" dxfId="0"/>
  </conditionalFormatting>
  <conditionalFormatting sqref="AI8">
    <cfRule type="duplicateValues" priority="57" dxfId="0"/>
    <cfRule type="duplicateValues" priority="56" dxfId="0"/>
    <cfRule type="duplicateValues" priority="71" dxfId="0"/>
    <cfRule type="duplicateValues" priority="61" dxfId="0"/>
    <cfRule type="duplicateValues" priority="60" dxfId="0"/>
    <cfRule type="duplicateValues" priority="59" dxfId="0"/>
    <cfRule type="duplicateValues" priority="70" dxfId="0"/>
    <cfRule type="duplicateValues" priority="69" dxfId="0"/>
    <cfRule type="duplicateValues" priority="68" dxfId="0"/>
    <cfRule type="duplicateValues" priority="67" dxfId="0"/>
    <cfRule type="duplicateValues" priority="66" dxfId="0"/>
    <cfRule type="duplicateValues" priority="65" dxfId="0"/>
    <cfRule type="duplicateValues" priority="64" dxfId="0"/>
    <cfRule type="duplicateValues" priority="63" dxfId="0"/>
    <cfRule type="duplicateValues" priority="62" dxfId="0"/>
    <cfRule type="duplicateValues" priority="58" dxfId="0"/>
  </conditionalFormatting>
  <conditionalFormatting sqref="AI13">
    <cfRule type="duplicateValues" priority="55" dxfId="0"/>
  </conditionalFormatting>
  <conditionalFormatting sqref="AI15">
    <cfRule type="duplicateValues" priority="54" dxfId="0"/>
  </conditionalFormatting>
  <conditionalFormatting sqref="AI17">
    <cfRule type="duplicateValues" priority="53" dxfId="0"/>
  </conditionalFormatting>
  <conditionalFormatting sqref="AI20">
    <cfRule type="duplicateValues" priority="52" dxfId="0"/>
  </conditionalFormatting>
  <conditionalFormatting sqref="AI21">
    <cfRule type="duplicateValues" priority="51" dxfId="0"/>
  </conditionalFormatting>
  <conditionalFormatting sqref="AI25">
    <cfRule type="duplicateValues" priority="49" dxfId="0"/>
    <cfRule type="duplicateValues" priority="50" dxfId="0"/>
    <cfRule type="duplicateValues" priority="47" dxfId="0"/>
    <cfRule type="duplicateValues" priority="48" dxfId="32"/>
  </conditionalFormatting>
  <conditionalFormatting sqref="AI26">
    <cfRule type="duplicateValues" priority="46" dxfId="0"/>
  </conditionalFormatting>
  <conditionalFormatting sqref="AI38">
    <cfRule type="duplicateValues" priority="45" dxfId="0"/>
  </conditionalFormatting>
  <conditionalFormatting sqref="AI81">
    <cfRule type="duplicateValues" priority="44" dxfId="0"/>
    <cfRule type="duplicateValues" priority="43" dxfId="0"/>
    <cfRule type="duplicateValues" priority="42" dxfId="0"/>
    <cfRule type="duplicateValues" priority="41" dxfId="0"/>
    <cfRule type="duplicateValues" priority="40" dxfId="0"/>
    <cfRule type="duplicateValues" priority="39" dxfId="0"/>
    <cfRule type="duplicateValues" priority="38" dxfId="0"/>
  </conditionalFormatting>
  <conditionalFormatting sqref="AI85">
    <cfRule type="duplicateValues" priority="35" dxfId="32"/>
    <cfRule type="duplicateValues" priority="34" dxfId="0"/>
    <cfRule type="duplicateValues" priority="36" dxfId="0"/>
    <cfRule type="duplicateValues" priority="37" dxfId="0"/>
  </conditionalFormatting>
  <conditionalFormatting sqref="AI86">
    <cfRule type="duplicateValues" priority="2" dxfId="0"/>
  </conditionalFormatting>
  <conditionalFormatting sqref="AI104">
    <cfRule type="duplicateValues" priority="76" dxfId="0"/>
    <cfRule type="duplicateValues" priority="75" dxfId="0"/>
    <cfRule type="duplicateValues" priority="73" dxfId="0"/>
    <cfRule type="duplicateValues" priority="74" dxfId="0"/>
    <cfRule type="duplicateValues" priority="79" dxfId="0"/>
    <cfRule type="duplicateValues" priority="78" dxfId="0"/>
    <cfRule type="duplicateValues" priority="77" dxfId="0"/>
  </conditionalFormatting>
  <conditionalFormatting sqref="AI118">
    <cfRule type="duplicateValues" priority="24" dxfId="32"/>
    <cfRule type="duplicateValues" priority="23" dxfId="0"/>
    <cfRule type="duplicateValues" priority="26" dxfId="0"/>
    <cfRule type="duplicateValues" priority="25" dxfId="0"/>
  </conditionalFormatting>
  <conditionalFormatting sqref="AI152">
    <cfRule type="duplicateValues" priority="22" dxfId="0"/>
  </conditionalFormatting>
  <conditionalFormatting sqref="AI154">
    <cfRule type="duplicateValues" priority="1" dxfId="0"/>
  </conditionalFormatting>
  <conditionalFormatting sqref="AI165">
    <cfRule type="duplicateValues" priority="21" dxfId="0"/>
  </conditionalFormatting>
  <conditionalFormatting sqref="AI177">
    <cfRule type="duplicateValues" priority="18" dxfId="32"/>
    <cfRule type="duplicateValues" priority="20" dxfId="0"/>
    <cfRule type="duplicateValues" priority="19" dxfId="0"/>
    <cfRule type="duplicateValues" priority="17" dxfId="0"/>
  </conditionalFormatting>
  <conditionalFormatting sqref="AI182">
    <cfRule type="duplicateValues" priority="29" dxfId="0"/>
    <cfRule type="duplicateValues" priority="28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27" dxfId="0"/>
  </conditionalFormatting>
  <conditionalFormatting sqref="AI204">
    <cfRule type="duplicateValues" priority="16" dxfId="0"/>
  </conditionalFormatting>
  <conditionalFormatting sqref="AI231">
    <cfRule type="duplicateValues" priority="12" dxfId="0"/>
    <cfRule type="duplicateValues" priority="15" dxfId="0"/>
    <cfRule type="duplicateValues" priority="14" dxfId="0"/>
    <cfRule type="duplicateValues" priority="13" dxfId="32"/>
  </conditionalFormatting>
  <conditionalFormatting sqref="AI237">
    <cfRule type="duplicateValues" priority="8" dxfId="0"/>
    <cfRule type="duplicateValues" priority="10" dxfId="0"/>
    <cfRule type="duplicateValues" priority="9" dxfId="32"/>
    <cfRule type="duplicateValues" priority="11" dxfId="0"/>
  </conditionalFormatting>
  <conditionalFormatting sqref="AI254">
    <cfRule type="duplicateValues" priority="5" dxfId="0"/>
    <cfRule type="duplicateValues" priority="6" dxfId="0"/>
    <cfRule type="duplicateValues" priority="7" dxfId="0"/>
  </conditionalFormatting>
  <conditionalFormatting sqref="AI255">
    <cfRule type="duplicateValues" priority="4" dxfId="0"/>
  </conditionalFormatting>
  <conditionalFormatting sqref="AI271">
    <cfRule type="duplicateValues" priority="3" dxfId="0"/>
  </conditionalFormatting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0" filterMode="1">
    <tabColor rgb="FF92D050"/>
    <outlinePr summaryBelow="1" summaryRight="1"/>
    <pageSetUpPr/>
  </sheetPr>
  <dimension ref="A1:Y44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4" sqref="A4"/>
      <selection pane="bottomRight" activeCell="F6" sqref="F6"/>
    </sheetView>
  </sheetViews>
  <sheetFormatPr baseColWidth="8" defaultColWidth="8.77734375" defaultRowHeight="22.5" customHeight="1"/>
  <cols>
    <col width="14.88671875" bestFit="1" customWidth="1" style="11" min="1" max="1"/>
    <col width="7.6640625" customWidth="1" style="532" min="2" max="2"/>
    <col width="12.109375" customWidth="1" style="532" min="3" max="3"/>
    <col width="32.21875" customWidth="1" style="185" min="4" max="4"/>
    <col width="27.21875" customWidth="1" style="50" min="5" max="5"/>
    <col width="19.33203125" customWidth="1" style="50" min="6" max="6"/>
    <col width="10.33203125" customWidth="1" style="9" min="7" max="7"/>
    <col width="12.33203125" customWidth="1" style="9" min="8" max="8"/>
    <col width="8.77734375" bestFit="1" customWidth="1" style="9" min="9" max="9"/>
    <col outlineLevel="1" width="9.88671875" bestFit="1" customWidth="1" style="532" min="10" max="11"/>
    <col hidden="1" outlineLevel="1" width="21.77734375" customWidth="1" style="532" min="12" max="12"/>
    <col hidden="1" outlineLevel="1" width="30.77734375" customWidth="1" style="532" min="13" max="13"/>
    <col hidden="1" width="23.44140625" customWidth="1" style="67" min="14" max="14"/>
    <col hidden="1" width="14.6640625" customWidth="1" style="532" min="15" max="15"/>
    <col hidden="1" width="13.6640625" customWidth="1" style="9" min="16" max="16"/>
    <col hidden="1" width="19.6640625" customWidth="1" style="532" min="17" max="17"/>
    <col hidden="1" width="20.88671875" customWidth="1" style="532" min="18" max="18"/>
    <col hidden="1" width="14.21875" customWidth="1" style="532" min="19" max="19"/>
    <col width="8.77734375" customWidth="1" style="532" min="20" max="22"/>
    <col width="22.44140625" customWidth="1" style="532" min="23" max="23"/>
    <col width="22.33203125" customWidth="1" style="532" min="24" max="24"/>
    <col width="8.77734375" customWidth="1" style="532" min="25" max="26"/>
    <col width="8.77734375" customWidth="1" style="532" min="27" max="16384"/>
  </cols>
  <sheetData>
    <row r="1" ht="22.5" customHeight="1" s="578">
      <c r="A1" s="187" t="inlineStr">
        <is>
          <t xml:space="preserve">CÔNG TY: </t>
        </is>
      </c>
      <c r="B1" s="188" t="inlineStr">
        <is>
          <t xml:space="preserve"> Công ty TNHH Truyền hình số vệ tinh Việt Nam</t>
        </is>
      </c>
      <c r="T1" s="582" t="inlineStr">
        <is>
          <t xml:space="preserve">           Cộng Hòa Xã Hội Chủ Nghĩa Việt Nam</t>
        </is>
      </c>
    </row>
    <row r="2" ht="22.5" customHeight="1" s="578">
      <c r="T2" s="583" t="inlineStr">
        <is>
          <t xml:space="preserve">                  Độc Lập - Tự Do - Hạnh Phúc</t>
        </is>
      </c>
    </row>
    <row r="4" ht="22.5" customHeight="1" s="578">
      <c r="Q4" s="532">
        <f>COUNTIF(Q7:Q44,1)</f>
        <v/>
      </c>
      <c r="R4" s="532">
        <f>COUNTIF(R7:R44,1)</f>
        <v/>
      </c>
    </row>
    <row r="5" ht="22.5" customHeight="1" s="578">
      <c r="A5" s="22" t="n"/>
      <c r="B5" s="21" t="n"/>
      <c r="C5" s="21" t="n"/>
      <c r="D5" s="52" t="n"/>
      <c r="E5" s="51" t="n"/>
      <c r="F5" s="51" t="n"/>
      <c r="G5" s="65" t="n"/>
      <c r="H5" s="65" t="n"/>
      <c r="I5" s="65" t="n"/>
      <c r="J5" s="21" t="n"/>
      <c r="K5" s="21" t="n"/>
      <c r="L5" s="21" t="n"/>
      <c r="M5" s="21" t="n"/>
      <c r="N5" s="557" t="inlineStr">
        <is>
          <t>Ref File Kế toán</t>
        </is>
      </c>
      <c r="O5" s="539" t="n"/>
      <c r="P5" s="539" t="n"/>
      <c r="Q5" s="539" t="n"/>
      <c r="R5" s="535" t="n"/>
      <c r="S5" s="554" t="inlineStr">
        <is>
          <t>Check</t>
        </is>
      </c>
      <c r="T5" s="585" t="inlineStr">
        <is>
          <t>SỐ LIỆU KIỂM KÊ</t>
        </is>
      </c>
      <c r="U5" s="539" t="n"/>
      <c r="V5" s="535" t="n"/>
      <c r="W5" s="555" t="inlineStr">
        <is>
          <t>Giải trình chênh lệch</t>
        </is>
      </c>
      <c r="X5" s="555" t="inlineStr">
        <is>
          <t>Đề xuất Phương án xử lý</t>
        </is>
      </c>
    </row>
    <row r="6" ht="42.75" customHeight="1" s="578">
      <c r="A6" s="18" t="inlineStr">
        <is>
          <t>Inventory
code</t>
        </is>
      </c>
      <c r="B6" s="17" t="inlineStr">
        <is>
          <t>Contract currency</t>
        </is>
      </c>
      <c r="C6" s="17" t="inlineStr">
        <is>
          <t>Contractor 
code</t>
        </is>
      </c>
      <c r="D6" s="17" t="inlineStr">
        <is>
          <t>Contractor
name</t>
        </is>
      </c>
      <c r="E6" s="17" t="inlineStr">
        <is>
          <t>Program name</t>
        </is>
      </c>
      <c r="F6" s="20" t="inlineStr">
        <is>
          <t>Nature Programme</t>
        </is>
      </c>
      <c r="G6" s="151" t="inlineStr">
        <is>
          <t>No of EPS
(Initially)</t>
        </is>
      </c>
      <c r="H6" s="152" t="inlineStr">
        <is>
          <t xml:space="preserve">Starting Date of right </t>
        </is>
      </c>
      <c r="I6" s="152" t="inlineStr">
        <is>
          <t>Ending date of right</t>
        </is>
      </c>
      <c r="J6" s="19" t="inlineStr">
        <is>
          <t>From (DTH)</t>
        </is>
      </c>
      <c r="K6" s="19" t="inlineStr">
        <is>
          <t>To (DTH)</t>
        </is>
      </c>
      <c r="L6" s="620" t="inlineStr">
        <is>
          <t>Note</t>
        </is>
      </c>
      <c r="M6" s="62" t="n"/>
      <c r="N6" s="69" t="inlineStr">
        <is>
          <t>Tên trên file Kế toán</t>
        </is>
      </c>
      <c r="O6" s="70" t="inlineStr">
        <is>
          <t>details kế toán</t>
        </is>
      </c>
      <c r="P6" s="71" t="inlineStr">
        <is>
          <t>Giá trị còn lại (15661)</t>
        </is>
      </c>
      <c r="Q6" s="72" t="inlineStr">
        <is>
          <t>Check ref "TK 242.BQ Phim hợp tác"</t>
        </is>
      </c>
      <c r="R6" s="72" t="inlineStr">
        <is>
          <t>Check ref "TK 15661. Bản quyền phim"</t>
        </is>
      </c>
      <c r="S6" s="543" t="n"/>
      <c r="T6" s="200" t="inlineStr">
        <is>
          <t>Số lượng</t>
        </is>
      </c>
      <c r="U6" s="200" t="inlineStr">
        <is>
          <t>From (VOD)</t>
        </is>
      </c>
      <c r="V6" s="200" t="inlineStr">
        <is>
          <t>To (VOD)</t>
        </is>
      </c>
      <c r="W6" s="556" t="n"/>
      <c r="X6" s="556" t="n"/>
      <c r="Y6" t="inlineStr">
        <is>
          <t>Kết quả kiểm tra VOD</t>
        </is>
      </c>
    </row>
    <row r="7" hidden="1" ht="39.45" customFormat="1" customHeight="1" s="50">
      <c r="A7" s="232" t="inlineStr">
        <is>
          <t>K+1MOV021273</t>
        </is>
      </c>
      <c r="B7" s="621" t="inlineStr">
        <is>
          <t>VND</t>
        </is>
      </c>
      <c r="C7" s="621" t="inlineStr">
        <is>
          <t>S0001502</t>
        </is>
      </c>
      <c r="D7" s="16" t="inlineStr">
        <is>
          <t>Công ty TNHH Đối tác Chuyên nghiệp</t>
        </is>
      </c>
      <c r="E7" s="16" t="inlineStr">
        <is>
          <t>THE BREAKUP GURU</t>
        </is>
      </c>
      <c r="F7" s="14" t="inlineStr">
        <is>
          <t>Movies International</t>
        </is>
      </c>
      <c r="G7" s="153" t="n">
        <v>1</v>
      </c>
      <c r="H7" s="154" t="n">
        <v>5</v>
      </c>
      <c r="I7" s="154" t="n">
        <v>5</v>
      </c>
      <c r="J7" s="164" t="n">
        <v>44519</v>
      </c>
      <c r="K7" s="164" t="n">
        <v>46160</v>
      </c>
      <c r="L7" s="622" t="inlineStr">
        <is>
          <t>Phim còn hạn từ 2026</t>
        </is>
      </c>
      <c r="M7" s="623" t="n"/>
      <c r="N7" s="624" t="inlineStr">
        <is>
          <t>SHINING FOR ONE THING</t>
        </is>
      </c>
      <c r="O7" s="63">
        <f>SUMIF('TK 15661.Bản quyền phim '!F:F,'KK6. Bổ sung'!D7,'TK 15661.Bản quyền phim '!X:X)</f>
        <v/>
      </c>
      <c r="P7" s="63">
        <f>SUMIF('TK 15661.Bản quyền phim '!F:F,'KK6. Bổ sung'!N7,'TK 15661.Bản quyền phim '!X:X)</f>
        <v/>
      </c>
      <c r="Q7" s="51" t="n"/>
      <c r="R7" s="51">
        <f>COUNTIF('TK 15661.Bản quyền phim '!F:F,'KK6. Bổ sung'!N7)</f>
        <v/>
      </c>
      <c r="S7" s="50">
        <f>Q7+R7</f>
        <v/>
      </c>
      <c r="T7" s="51" t="n"/>
      <c r="U7" s="51" t="n"/>
      <c r="V7" s="51" t="n"/>
      <c r="W7" s="51" t="n"/>
      <c r="X7" s="51" t="n"/>
      <c r="Y7" t="inlineStr">
        <is>
          <t>✗ Not Found</t>
        </is>
      </c>
    </row>
    <row r="8" hidden="1" ht="22.5" customHeight="1" s="578">
      <c r="A8" s="233" t="inlineStr">
        <is>
          <t>K+1MOV021274</t>
        </is>
      </c>
      <c r="B8" s="621" t="inlineStr">
        <is>
          <t>VND</t>
        </is>
      </c>
      <c r="C8" s="625" t="inlineStr">
        <is>
          <t>S0001502</t>
        </is>
      </c>
      <c r="D8" s="626" t="inlineStr">
        <is>
          <t>Công ty TNHH Đối tác Chuyên nghiệp</t>
        </is>
      </c>
      <c r="E8" s="627" t="inlineStr">
        <is>
          <t>FALL IN LOVE LIKE A STAR</t>
        </is>
      </c>
      <c r="F8" s="627" t="inlineStr">
        <is>
          <t>Movies International</t>
        </is>
      </c>
      <c r="G8" s="155" t="n">
        <v>1</v>
      </c>
      <c r="H8" s="154" t="n">
        <v>5</v>
      </c>
      <c r="I8" s="154" t="n">
        <v>5</v>
      </c>
      <c r="J8" s="165" t="n">
        <v>44491</v>
      </c>
      <c r="K8" s="166" t="n">
        <v>46133</v>
      </c>
      <c r="L8" s="628" t="inlineStr">
        <is>
          <t>Phim còn hạn từ 2026</t>
        </is>
      </c>
      <c r="M8" s="629" t="n"/>
      <c r="N8" s="66" t="inlineStr">
        <is>
          <t>ROGUE HEROS</t>
        </is>
      </c>
      <c r="O8" s="65">
        <f>SUMIF('TK 15661.Bản quyền phim '!F:F,'KK6. Bổ sung'!D8,'TK 15661.Bản quyền phim '!X:X)</f>
        <v/>
      </c>
      <c r="P8" s="65">
        <f>SUMIF('TK 15661.Bản quyền phim '!F:F,'KK6. Bổ sung'!N8,'TK 15661.Bản quyền phim '!X:X)</f>
        <v/>
      </c>
      <c r="Q8" s="51" t="n"/>
      <c r="R8" s="21">
        <f>COUNTIF('TK 15661.Bản quyền phim '!F:F,'KK6. Bổ sung'!N8)</f>
        <v/>
      </c>
      <c r="S8" s="50">
        <f>Q8+R8</f>
        <v/>
      </c>
      <c r="T8" s="21" t="n"/>
      <c r="U8" s="21" t="n"/>
      <c r="V8" s="21" t="n"/>
      <c r="W8" s="21" t="n"/>
      <c r="X8" s="21" t="n"/>
      <c r="Y8" t="inlineStr">
        <is>
          <t>✗ Not Found</t>
        </is>
      </c>
    </row>
    <row r="9" hidden="1" ht="22.5" customHeight="1" s="578">
      <c r="A9" s="233" t="inlineStr">
        <is>
          <t>K+1MOV021275</t>
        </is>
      </c>
      <c r="B9" s="625" t="inlineStr">
        <is>
          <t>VND</t>
        </is>
      </c>
      <c r="C9" s="625" t="inlineStr">
        <is>
          <t>S0001502</t>
        </is>
      </c>
      <c r="D9" s="626" t="inlineStr">
        <is>
          <t>Công ty TNHH Đối tác Chuyên nghiệp</t>
        </is>
      </c>
      <c r="E9" s="627" t="inlineStr">
        <is>
          <t>NE ZHA</t>
        </is>
      </c>
      <c r="F9" s="627" t="inlineStr">
        <is>
          <t>Movies International</t>
        </is>
      </c>
      <c r="G9" s="155" t="n">
        <v>1</v>
      </c>
      <c r="H9" s="154" t="n">
        <v>5</v>
      </c>
      <c r="I9" s="154" t="n">
        <v>5</v>
      </c>
      <c r="J9" s="165" t="n">
        <v>44533</v>
      </c>
      <c r="K9" s="166" t="n">
        <v>46175</v>
      </c>
      <c r="L9" s="628" t="inlineStr">
        <is>
          <t>Phim còn hạn từ 2026</t>
        </is>
      </c>
      <c r="M9" s="629" t="n"/>
      <c r="N9" s="630" t="inlineStr">
        <is>
          <t>Escape Plan 2: Hades</t>
        </is>
      </c>
      <c r="O9" s="65">
        <f>SUMIF('TK 15661.Bản quyền phim '!F:F,'KK6. Bổ sung'!D9,'TK 15661.Bản quyền phim '!X:X)</f>
        <v/>
      </c>
      <c r="P9" s="65">
        <f>SUMIF('TK 15661.Bản quyền phim '!F:F,'KK6. Bổ sung'!N9,'TK 15661.Bản quyền phim '!X:X)</f>
        <v/>
      </c>
      <c r="Q9" s="51" t="n"/>
      <c r="R9" s="21">
        <f>COUNTIF('TK 15661.Bản quyền phim '!F:F,'KK6. Bổ sung'!N9)</f>
        <v/>
      </c>
      <c r="S9" s="50">
        <f>Q9+R9</f>
        <v/>
      </c>
      <c r="T9" s="21" t="n"/>
      <c r="U9" s="21" t="n"/>
      <c r="V9" s="21" t="n"/>
      <c r="W9" s="21" t="n"/>
      <c r="X9" s="21" t="n"/>
      <c r="Y9" t="inlineStr">
        <is>
          <t>✗ Not Found</t>
        </is>
      </c>
    </row>
    <row r="10" hidden="1" ht="22.5" customHeight="1" s="578">
      <c r="A10" s="233" t="inlineStr">
        <is>
          <t>K+1MOV021276</t>
        </is>
      </c>
      <c r="B10" s="625" t="inlineStr">
        <is>
          <t>VND</t>
        </is>
      </c>
      <c r="C10" s="625" t="inlineStr">
        <is>
          <t>S0001502</t>
        </is>
      </c>
      <c r="D10" s="626" t="inlineStr">
        <is>
          <t>Công ty TNHH Đối tác Chuyên nghiệp</t>
        </is>
      </c>
      <c r="E10" s="627" t="inlineStr">
        <is>
          <t>SOUL SNATCHER</t>
        </is>
      </c>
      <c r="F10" s="627" t="inlineStr">
        <is>
          <t>Movies International</t>
        </is>
      </c>
      <c r="G10" s="155" t="n">
        <v>1</v>
      </c>
      <c r="H10" s="154" t="n">
        <v>5</v>
      </c>
      <c r="I10" s="154" t="n">
        <v>5</v>
      </c>
      <c r="J10" s="166" t="n">
        <v>44517</v>
      </c>
      <c r="K10" s="166" t="n">
        <v>46158</v>
      </c>
      <c r="L10" s="628" t="inlineStr">
        <is>
          <t>Phim còn hạn từ 2026</t>
        </is>
      </c>
      <c r="M10" s="629" t="n"/>
      <c r="N10" s="630" t="inlineStr">
        <is>
          <t>Riam: Fighting Angel</t>
        </is>
      </c>
      <c r="O10" s="65">
        <f>SUMIF('TK 15661.Bản quyền phim '!F:F,'KK6. Bổ sung'!D10,'TK 15661.Bản quyền phim '!X:X)</f>
        <v/>
      </c>
      <c r="P10" s="65">
        <f>SUMIF('TK 15661.Bản quyền phim '!F:F,'KK6. Bổ sung'!N10,'TK 15661.Bản quyền phim '!X:X)</f>
        <v/>
      </c>
      <c r="Q10" s="51" t="n"/>
      <c r="R10" s="21">
        <f>COUNTIF('TK 15661.Bản quyền phim '!F:F,'KK6. Bổ sung'!N10)</f>
        <v/>
      </c>
      <c r="S10" s="50">
        <f>Q10+R10</f>
        <v/>
      </c>
      <c r="T10" s="21" t="n"/>
      <c r="U10" s="21" t="n"/>
      <c r="V10" s="21" t="n"/>
      <c r="W10" s="21" t="n"/>
      <c r="X10" s="21" t="n"/>
      <c r="Y10" t="inlineStr">
        <is>
          <t>✗ Not Found</t>
        </is>
      </c>
    </row>
    <row r="11" hidden="1" ht="22.5" customHeight="1" s="578">
      <c r="A11" s="233" t="inlineStr">
        <is>
          <t>K+1MOV021279</t>
        </is>
      </c>
      <c r="B11" s="621" t="inlineStr">
        <is>
          <t>VND</t>
        </is>
      </c>
      <c r="C11" s="13" t="inlineStr">
        <is>
          <t>S0001502</t>
        </is>
      </c>
      <c r="D11" s="626" t="inlineStr">
        <is>
          <t>Công ty TNHH Đối tác Chuyên nghiệp</t>
        </is>
      </c>
      <c r="E11" s="627" t="inlineStr">
        <is>
          <t>RAT DISASTER</t>
        </is>
      </c>
      <c r="F11" s="627" t="inlineStr">
        <is>
          <t>Movies International</t>
        </is>
      </c>
      <c r="G11" s="155" t="n">
        <v>1</v>
      </c>
      <c r="H11" s="154" t="n">
        <v>5</v>
      </c>
      <c r="I11" s="154" t="n">
        <v>5</v>
      </c>
      <c r="J11" s="166" t="n">
        <v>44538</v>
      </c>
      <c r="K11" s="166" t="n">
        <v>46180</v>
      </c>
      <c r="L11" s="628" t="inlineStr">
        <is>
          <t>Phim còn hạn từ 2026</t>
        </is>
      </c>
      <c r="M11" s="629" t="n"/>
      <c r="N11" s="630" t="inlineStr">
        <is>
          <t>Happy Family</t>
        </is>
      </c>
      <c r="O11" s="65">
        <f>SUMIF('TK 15661.Bản quyền phim '!F:F,'KK6. Bổ sung'!D11,'TK 15661.Bản quyền phim '!X:X)</f>
        <v/>
      </c>
      <c r="P11" s="65">
        <f>SUMIF('TK 15661.Bản quyền phim '!F:F,'KK6. Bổ sung'!N11,'TK 15661.Bản quyền phim '!X:X)</f>
        <v/>
      </c>
      <c r="Q11" s="51" t="n"/>
      <c r="R11" s="21">
        <f>COUNTIF('TK 15661.Bản quyền phim '!F:F,'KK6. Bổ sung'!N11)</f>
        <v/>
      </c>
      <c r="S11" s="50">
        <f>Q11+R11</f>
        <v/>
      </c>
      <c r="T11" s="21" t="n"/>
      <c r="U11" s="21" t="n"/>
      <c r="V11" s="21" t="n"/>
      <c r="W11" s="21" t="n"/>
      <c r="X11" s="21" t="n"/>
      <c r="Y11" t="inlineStr">
        <is>
          <t>✗ Not Found</t>
        </is>
      </c>
    </row>
    <row r="12" hidden="1" ht="22.5" customHeight="1" s="578">
      <c r="A12" s="233" t="inlineStr">
        <is>
          <t>K+1MOV021282</t>
        </is>
      </c>
      <c r="B12" s="625" t="inlineStr">
        <is>
          <t>VND</t>
        </is>
      </c>
      <c r="C12" s="625" t="inlineStr">
        <is>
          <t>S0001502</t>
        </is>
      </c>
      <c r="D12" s="16" t="inlineStr">
        <is>
          <t>Công ty TNHH Đối tác Chuyên nghiệp</t>
        </is>
      </c>
      <c r="E12" s="15" t="inlineStr">
        <is>
          <t>FEARLESS KUNGFU KING</t>
        </is>
      </c>
      <c r="F12" s="627" t="inlineStr">
        <is>
          <t>Movies International</t>
        </is>
      </c>
      <c r="G12" s="156" t="n">
        <v>1</v>
      </c>
      <c r="H12" s="157" t="n">
        <v>5</v>
      </c>
      <c r="I12" s="158" t="n">
        <v>5</v>
      </c>
      <c r="J12" s="167" t="n">
        <v>44531</v>
      </c>
      <c r="K12" s="167" t="n">
        <v>46356</v>
      </c>
      <c r="L12" s="628" t="inlineStr">
        <is>
          <t>Phim còn hạn từ 2026</t>
        </is>
      </c>
      <c r="M12" s="629" t="n"/>
      <c r="N12" s="68" t="inlineStr">
        <is>
          <t>MEMOIRS OF A GEISHA</t>
        </is>
      </c>
      <c r="O12" s="65">
        <f>SUMIF('TK 15661.Bản quyền phim '!F:F,'KK6. Bổ sung'!D12,'TK 15661.Bản quyền phim '!X:X)</f>
        <v/>
      </c>
      <c r="P12" s="65">
        <f>SUMIF('TK 15661.Bản quyền phim '!F:F,'KK6. Bổ sung'!N12,'TK 15661.Bản quyền phim '!X:X)</f>
        <v/>
      </c>
      <c r="Q12" s="51" t="n"/>
      <c r="R12" s="21">
        <f>COUNTIF('TK 15661.Bản quyền phim '!F:F,'KK6. Bổ sung'!N12)</f>
        <v/>
      </c>
      <c r="S12" s="50">
        <f>Q12+R12</f>
        <v/>
      </c>
      <c r="T12" s="21" t="n"/>
      <c r="U12" s="21" t="n"/>
      <c r="V12" s="21" t="n"/>
      <c r="W12" s="21" t="n"/>
      <c r="X12" s="21" t="n"/>
      <c r="Y12" t="inlineStr">
        <is>
          <t>✗ Not Found</t>
        </is>
      </c>
    </row>
    <row r="13" hidden="1" ht="22.5" customHeight="1" s="578">
      <c r="A13" s="233" t="inlineStr">
        <is>
          <t>K+1MOV021283</t>
        </is>
      </c>
      <c r="B13" s="625" t="inlineStr">
        <is>
          <t>VND</t>
        </is>
      </c>
      <c r="C13" s="13" t="inlineStr">
        <is>
          <t>S0001502</t>
        </is>
      </c>
      <c r="D13" s="626" t="inlineStr">
        <is>
          <t>Công ty TNHH Đối tác Chuyên nghiệp</t>
        </is>
      </c>
      <c r="E13" s="627" t="inlineStr">
        <is>
          <t>MATCHLESS MULAN</t>
        </is>
      </c>
      <c r="F13" s="627" t="inlineStr">
        <is>
          <t>Movies International</t>
        </is>
      </c>
      <c r="G13" s="155" t="n">
        <v>1</v>
      </c>
      <c r="H13" s="154" t="n">
        <v>5</v>
      </c>
      <c r="I13" s="154" t="n">
        <v>5</v>
      </c>
      <c r="J13" s="165" t="n">
        <v>44489</v>
      </c>
      <c r="K13" s="166" t="n">
        <v>46131</v>
      </c>
      <c r="L13" s="628" t="inlineStr">
        <is>
          <t>Phim còn hạn từ 2026</t>
        </is>
      </c>
      <c r="M13" s="629" t="n"/>
      <c r="N13" s="624" t="inlineStr">
        <is>
          <t>Ironbark/The Courier</t>
        </is>
      </c>
      <c r="O13" s="65">
        <f>SUMIF('TK 15661.Bản quyền phim '!F:F,'KK6. Bổ sung'!D13,'TK 15661.Bản quyền phim '!X:X)</f>
        <v/>
      </c>
      <c r="P13" s="65">
        <f>SUMIF('TK 15661.Bản quyền phim '!F:F,'KK6. Bổ sung'!N13,'TK 15661.Bản quyền phim '!X:X)</f>
        <v/>
      </c>
      <c r="Q13" s="51" t="n"/>
      <c r="R13" s="21">
        <f>COUNTIF('TK 15661.Bản quyền phim '!F:F,'KK6. Bổ sung'!N13)</f>
        <v/>
      </c>
      <c r="S13" s="50">
        <f>Q13+R13</f>
        <v/>
      </c>
      <c r="T13" s="21" t="n"/>
      <c r="U13" s="21" t="n"/>
      <c r="V13" s="21" t="n"/>
      <c r="W13" s="21" t="n"/>
      <c r="X13" s="21" t="n"/>
      <c r="Y13" t="inlineStr">
        <is>
          <t>✗ Not Found</t>
        </is>
      </c>
    </row>
    <row r="14" hidden="1" ht="22.5" customHeight="1" s="578">
      <c r="A14" s="233" t="inlineStr">
        <is>
          <t>K+1MOV021284</t>
        </is>
      </c>
      <c r="B14" s="621" t="inlineStr">
        <is>
          <t>VND</t>
        </is>
      </c>
      <c r="C14" s="625" t="inlineStr">
        <is>
          <t>S0001502</t>
        </is>
      </c>
      <c r="D14" s="626" t="inlineStr">
        <is>
          <t>Công ty TNHH Đối tác Chuyên nghiệp</t>
        </is>
      </c>
      <c r="E14" s="627" t="inlineStr">
        <is>
          <t>LOVE IN BLOOD</t>
        </is>
      </c>
      <c r="F14" s="627" t="inlineStr">
        <is>
          <t>Movies International</t>
        </is>
      </c>
      <c r="G14" s="155" t="n">
        <v>1</v>
      </c>
      <c r="H14" s="154" t="n">
        <v>5</v>
      </c>
      <c r="I14" s="154" t="n">
        <v>5</v>
      </c>
      <c r="J14" s="165" t="n">
        <v>44461</v>
      </c>
      <c r="K14" s="166" t="n">
        <v>46102</v>
      </c>
      <c r="L14" s="628" t="inlineStr">
        <is>
          <t>Phim còn hạn từ 2026</t>
        </is>
      </c>
      <c r="M14" s="629" t="n"/>
      <c r="N14" s="630" t="inlineStr">
        <is>
          <t>Hitman's Wife's Bodyguard</t>
        </is>
      </c>
      <c r="O14" s="65">
        <f>SUMIF('TK 15661.Bản quyền phim '!F:F,'KK6. Bổ sung'!D14,'TK 15661.Bản quyền phim '!X:X)</f>
        <v/>
      </c>
      <c r="P14" s="65">
        <f>SUMIF('TK 15661.Bản quyền phim '!F:F,'KK6. Bổ sung'!N14,'TK 15661.Bản quyền phim '!X:X)</f>
        <v/>
      </c>
      <c r="Q14" s="51" t="n"/>
      <c r="R14" s="21">
        <f>COUNTIF('TK 15661.Bản quyền phim '!F:F,'KK6. Bổ sung'!N14)</f>
        <v/>
      </c>
      <c r="S14" s="50">
        <f>Q14+R14</f>
        <v/>
      </c>
      <c r="T14" s="21" t="n"/>
      <c r="U14" s="21" t="n"/>
      <c r="V14" s="21" t="n"/>
      <c r="W14" s="21" t="n"/>
      <c r="X14" s="21" t="n"/>
      <c r="Y14" t="inlineStr">
        <is>
          <t>✗ Not Found</t>
        </is>
      </c>
    </row>
    <row r="15" hidden="1" ht="22.5" customHeight="1" s="578">
      <c r="A15" s="233" t="inlineStr">
        <is>
          <t>K+1MOV021285</t>
        </is>
      </c>
      <c r="B15" s="625" t="inlineStr">
        <is>
          <t>VND</t>
        </is>
      </c>
      <c r="C15" s="625" t="inlineStr">
        <is>
          <t>S0001502</t>
        </is>
      </c>
      <c r="D15" s="16" t="inlineStr">
        <is>
          <t>Công ty TNHH Đối tác Chuyên nghiệp</t>
        </is>
      </c>
      <c r="E15" s="15" t="inlineStr">
        <is>
          <t>GOD OF WAR</t>
        </is>
      </c>
      <c r="F15" s="627" t="inlineStr">
        <is>
          <t>Movies International</t>
        </is>
      </c>
      <c r="G15" s="155" t="n">
        <v>1</v>
      </c>
      <c r="H15" s="157" t="n">
        <v>5</v>
      </c>
      <c r="I15" s="159" t="n">
        <v>5</v>
      </c>
      <c r="J15" s="166" t="n">
        <v>44475</v>
      </c>
      <c r="K15" s="168" t="n">
        <v>46117</v>
      </c>
      <c r="L15" s="628" t="inlineStr">
        <is>
          <t>Phim còn hạn từ 2026</t>
        </is>
      </c>
      <c r="M15" s="629" t="n"/>
      <c r="N15" s="624" t="inlineStr">
        <is>
          <t>GUIMOON: THE LIGHTLESS DOOR (CỔNG ĐỊA NGỤC)</t>
        </is>
      </c>
      <c r="O15" s="65">
        <f>SUMIF('TK 15661.Bản quyền phim '!F:F,'KK6. Bổ sung'!D15,'TK 15661.Bản quyền phim '!X:X)</f>
        <v/>
      </c>
      <c r="P15" s="65">
        <f>SUMIF('TK 15661.Bản quyền phim '!F:F,'KK6. Bổ sung'!N15,'TK 15661.Bản quyền phim '!X:X)</f>
        <v/>
      </c>
      <c r="Q15" s="51" t="n"/>
      <c r="R15" s="21">
        <f>COUNTIF('TK 15661.Bản quyền phim '!F:F,'KK6. Bổ sung'!N15)</f>
        <v/>
      </c>
      <c r="S15" s="50">
        <f>Q15+R15</f>
        <v/>
      </c>
      <c r="T15" s="21" t="n"/>
      <c r="U15" s="21" t="n"/>
      <c r="V15" s="21" t="n"/>
      <c r="W15" s="21" t="n"/>
      <c r="X15" s="21" t="n"/>
      <c r="Y15" t="inlineStr">
        <is>
          <t>✗ Not Found</t>
        </is>
      </c>
    </row>
    <row r="16" hidden="1" ht="22.5" customHeight="1" s="578">
      <c r="A16" s="233" t="inlineStr">
        <is>
          <t>K+1MOV021287</t>
        </is>
      </c>
      <c r="B16" s="625" t="inlineStr">
        <is>
          <t>VND</t>
        </is>
      </c>
      <c r="C16" s="625" t="inlineStr">
        <is>
          <t>S0001502</t>
        </is>
      </c>
      <c r="D16" s="626" t="inlineStr">
        <is>
          <t>Công ty TNHH Đối tác Chuyên nghiệp</t>
        </is>
      </c>
      <c r="E16" s="627" t="inlineStr">
        <is>
          <t>THE RISE OF HERO</t>
        </is>
      </c>
      <c r="F16" s="627" t="inlineStr">
        <is>
          <t>Movies International</t>
        </is>
      </c>
      <c r="G16" s="155" t="n">
        <v>1</v>
      </c>
      <c r="H16" s="154" t="n">
        <v>5</v>
      </c>
      <c r="I16" s="154" t="n">
        <v>5</v>
      </c>
      <c r="J16" s="165" t="n">
        <v>44559</v>
      </c>
      <c r="K16" s="166" t="n">
        <v>46201</v>
      </c>
      <c r="L16" s="628" t="inlineStr">
        <is>
          <t>Phim còn hạn từ 2026</t>
        </is>
      </c>
      <c r="M16" s="629" t="inlineStr">
        <is>
          <t>MOV_DRA_23__2696593</t>
        </is>
      </c>
      <c r="N16" s="630" t="inlineStr">
        <is>
          <t>Greta</t>
        </is>
      </c>
      <c r="O16" s="65">
        <f>SUMIF('TK 15661.Bản quyền phim '!F:F,'KK6. Bổ sung'!D16,'TK 15661.Bản quyền phim '!X:X)</f>
        <v/>
      </c>
      <c r="P16" s="65">
        <f>SUMIF('TK 15661.Bản quyền phim '!F:F,'KK6. Bổ sung'!N16,'TK 15661.Bản quyền phim '!X:X)</f>
        <v/>
      </c>
      <c r="Q16" s="51" t="n"/>
      <c r="R16" s="21">
        <f>COUNTIF('TK 15661.Bản quyền phim '!F:F,'KK6. Bổ sung'!N16)</f>
        <v/>
      </c>
      <c r="S16" s="50">
        <f>Q16+R16</f>
        <v/>
      </c>
      <c r="T16" s="21" t="n"/>
      <c r="U16" s="21" t="n"/>
      <c r="V16" s="21" t="n"/>
      <c r="W16" s="21" t="n"/>
      <c r="X16" s="21" t="n"/>
      <c r="Y16" t="inlineStr">
        <is>
          <t>✗ Not Found</t>
        </is>
      </c>
    </row>
    <row r="17" hidden="1" ht="22.5" customHeight="1" s="578">
      <c r="A17" s="233" t="inlineStr">
        <is>
          <t>K+1MOV021288</t>
        </is>
      </c>
      <c r="B17" s="621" t="inlineStr">
        <is>
          <t>VND</t>
        </is>
      </c>
      <c r="C17" s="625" t="inlineStr">
        <is>
          <t>S0001502</t>
        </is>
      </c>
      <c r="D17" s="626" t="inlineStr">
        <is>
          <t>Công ty TNHH Đối tác Chuyên nghiệp</t>
        </is>
      </c>
      <c r="E17" s="627" t="inlineStr">
        <is>
          <t>SWORDSMAN</t>
        </is>
      </c>
      <c r="F17" s="627" t="inlineStr">
        <is>
          <t>Movies International</t>
        </is>
      </c>
      <c r="G17" s="155" t="n">
        <v>1</v>
      </c>
      <c r="H17" s="157" t="n">
        <v>5</v>
      </c>
      <c r="I17" s="154" t="n">
        <v>5</v>
      </c>
      <c r="J17" s="166" t="n">
        <v>44503</v>
      </c>
      <c r="K17" s="166" t="n">
        <v>46144</v>
      </c>
      <c r="L17" s="628" t="inlineStr">
        <is>
          <t>Phim còn hạn từ 2026</t>
        </is>
      </c>
      <c r="M17" s="629" t="inlineStr">
        <is>
          <t>MOV_FAN_22__2686869</t>
        </is>
      </c>
      <c r="N17" s="624" t="inlineStr">
        <is>
          <t>HOUSE WITH A CLOCK IN ITS WALLS (Ngôi nhà có chiếc đồng hồ ma thuật)</t>
        </is>
      </c>
      <c r="O17" s="65">
        <f>SUMIF('TK 15661.Bản quyền phim '!F:F,'KK6. Bổ sung'!D17,'TK 15661.Bản quyền phim '!X:X)</f>
        <v/>
      </c>
      <c r="P17" s="65">
        <f>SUMIF('TK 15661.Bản quyền phim '!F:F,'KK6. Bổ sung'!N17,'TK 15661.Bản quyền phim '!X:X)</f>
        <v/>
      </c>
      <c r="Q17" s="51" t="n"/>
      <c r="R17" s="21">
        <f>COUNTIF('TK 15661.Bản quyền phim '!F:F,'KK6. Bổ sung'!N17)</f>
        <v/>
      </c>
      <c r="S17" s="50">
        <f>Q17+R17</f>
        <v/>
      </c>
      <c r="T17" s="21" t="n"/>
      <c r="U17" s="21" t="n"/>
      <c r="V17" s="21" t="n"/>
      <c r="W17" s="21" t="n"/>
      <c r="X17" s="21" t="n"/>
      <c r="Y17" t="inlineStr">
        <is>
          <t>✗ Not Found</t>
        </is>
      </c>
    </row>
    <row r="18" hidden="1" ht="22.5" customHeight="1" s="578">
      <c r="A18" s="233" t="inlineStr">
        <is>
          <t>K+2SER022116</t>
        </is>
      </c>
      <c r="B18" s="625" t="inlineStr">
        <is>
          <t>USD</t>
        </is>
      </c>
      <c r="C18" s="625" t="inlineStr">
        <is>
          <t>S0002262</t>
        </is>
      </c>
      <c r="D18" s="16" t="inlineStr">
        <is>
          <t>IQIYI INTERNATIONAL SINGAPORE PTE. LTD.</t>
        </is>
      </c>
      <c r="E18" s="15" t="inlineStr">
        <is>
          <t>Ideal City</t>
        </is>
      </c>
      <c r="F18" s="14" t="inlineStr">
        <is>
          <t>Series Asian</t>
        </is>
      </c>
      <c r="G18" s="160" t="n">
        <v>40</v>
      </c>
      <c r="H18" s="161" t="n">
        <v>4</v>
      </c>
      <c r="I18" s="158" t="n">
        <v>160</v>
      </c>
      <c r="J18" s="169" t="n">
        <v>44642</v>
      </c>
      <c r="K18" s="167" t="n">
        <v>46102</v>
      </c>
      <c r="L18" s="628" t="inlineStr">
        <is>
          <t>Phim còn hạn từ 2026</t>
        </is>
      </c>
      <c r="M18" s="629" t="n"/>
      <c r="N18" s="630" t="inlineStr">
        <is>
          <t>HUNT, THE</t>
        </is>
      </c>
      <c r="O18" s="65">
        <f>SUMIF('TK 15661.Bản quyền phim '!F:F,'KK6. Bổ sung'!D18,'TK 15661.Bản quyền phim '!X:X)</f>
        <v/>
      </c>
      <c r="P18" s="65">
        <f>SUMIF('TK 15661.Bản quyền phim '!F:F,'KK6. Bổ sung'!N18,'TK 15661.Bản quyền phim '!X:X)</f>
        <v/>
      </c>
      <c r="Q18" s="51" t="n"/>
      <c r="R18" s="21">
        <f>COUNTIF('TK 15661.Bản quyền phim '!F:F,'KK6. Bổ sung'!N18)</f>
        <v/>
      </c>
      <c r="S18" s="50">
        <f>Q18+R18</f>
        <v/>
      </c>
      <c r="T18" s="21" t="n"/>
      <c r="U18" s="21" t="n"/>
      <c r="V18" s="21" t="n"/>
      <c r="W18" s="21" t="n"/>
      <c r="X18" s="21" t="n"/>
      <c r="Y18" t="inlineStr">
        <is>
          <t>✓ Found</t>
        </is>
      </c>
    </row>
    <row r="19" hidden="1" ht="22.5" customHeight="1" s="578">
      <c r="A19" s="233" t="inlineStr">
        <is>
          <t>K+1MOV023009</t>
        </is>
      </c>
      <c r="B19" s="621" t="inlineStr">
        <is>
          <t>VND</t>
        </is>
      </c>
      <c r="C19" s="625" t="inlineStr">
        <is>
          <t>S0001804</t>
        </is>
      </c>
      <c r="D19" s="627" t="inlineStr">
        <is>
          <t>CÔNG TY TNHH TRUYỀN THÔNG ROSES</t>
        </is>
      </c>
      <c r="E19" s="627" t="inlineStr">
        <is>
          <t>ROGUE</t>
        </is>
      </c>
      <c r="F19" s="627" t="inlineStr">
        <is>
          <t>Movies International</t>
        </is>
      </c>
      <c r="G19" s="153" t="n">
        <v>1</v>
      </c>
      <c r="H19" s="159" t="n">
        <v>3</v>
      </c>
      <c r="I19" s="159" t="n">
        <v>3</v>
      </c>
      <c r="J19" s="166" t="n">
        <v>45077</v>
      </c>
      <c r="K19" s="165" t="n">
        <v>46172</v>
      </c>
      <c r="L19" s="628" t="inlineStr">
        <is>
          <t>Phim còn hạn từ 2026</t>
        </is>
      </c>
      <c r="M19" s="629" t="inlineStr">
        <is>
          <t>MOV_CRI_21__2648182</t>
        </is>
      </c>
      <c r="N19" s="630" t="inlineStr">
        <is>
          <t>MOZU</t>
        </is>
      </c>
      <c r="O19" s="65">
        <f>SUMIF('TK 15661.Bản quyền phim '!F:F,'KK6. Bổ sung'!D19,'TK 15661.Bản quyền phim '!X:X)</f>
        <v/>
      </c>
      <c r="P19" s="65">
        <f>SUMIF('TK 15661.Bản quyền phim '!F:F,'KK6. Bổ sung'!N19,'TK 15661.Bản quyền phim '!X:X)</f>
        <v/>
      </c>
      <c r="Q19" s="51" t="n"/>
      <c r="R19" s="21">
        <f>COUNTIF('TK 15661.Bản quyền phim '!F:F,'KK6. Bổ sung'!N19)</f>
        <v/>
      </c>
      <c r="S19" s="50">
        <f>Q19+R19</f>
        <v/>
      </c>
      <c r="T19" s="21" t="n"/>
      <c r="U19" s="21" t="n"/>
      <c r="V19" s="21" t="n"/>
      <c r="W19" s="21" t="n"/>
      <c r="X19" s="21" t="n"/>
      <c r="Y19" t="inlineStr">
        <is>
          <t>✗ Not Found</t>
        </is>
      </c>
    </row>
    <row r="20" hidden="1" ht="22.5" customHeight="1" s="578">
      <c r="A20" s="233" t="inlineStr">
        <is>
          <t>K+5KID023239</t>
        </is>
      </c>
      <c r="B20" s="625" t="inlineStr">
        <is>
          <t>USD</t>
        </is>
      </c>
      <c r="C20" s="625" t="inlineStr">
        <is>
          <t>S0002484</t>
        </is>
      </c>
      <c r="D20" s="16" t="inlineStr">
        <is>
          <t>GULLANE (THOMAS) LIMITED</t>
        </is>
      </c>
      <c r="E20" s="15" t="inlineStr">
        <is>
          <t>Thomas &amp; Friends Series 25 Special – Race for the Sodor Cup</t>
        </is>
      </c>
      <c r="F20" s="627" t="inlineStr">
        <is>
          <t>KIDS</t>
        </is>
      </c>
      <c r="G20" s="155" t="n">
        <v>1</v>
      </c>
      <c r="H20" s="157" t="n">
        <v>3</v>
      </c>
      <c r="I20" s="159" t="n">
        <v>3</v>
      </c>
      <c r="J20" s="166" t="n">
        <v>45200</v>
      </c>
      <c r="K20" s="168" t="n">
        <v>46295</v>
      </c>
      <c r="L20" s="628" t="inlineStr">
        <is>
          <t>Phim còn hạn từ 2026</t>
        </is>
      </c>
      <c r="M20" s="629" t="inlineStr">
        <is>
          <t>MOV_HOR_24__2713878</t>
        </is>
      </c>
      <c r="N20" s="624" t="inlineStr">
        <is>
          <t>CONTORTED (NHÀ KHO CHẾT CHÓC)</t>
        </is>
      </c>
      <c r="O20" s="65">
        <f>SUMIF('TK 15661.Bản quyền phim '!F:F,'KK6. Bổ sung'!D20,'TK 15661.Bản quyền phim '!X:X)</f>
        <v/>
      </c>
      <c r="P20" s="65">
        <f>SUMIF('TK 15661.Bản quyền phim '!F:F,'KK6. Bổ sung'!N20,'TK 15661.Bản quyền phim '!X:X)</f>
        <v/>
      </c>
      <c r="Q20" s="51" t="n"/>
      <c r="R20" s="21">
        <f>COUNTIF('TK 15661.Bản quyền phim '!F:F,'KK6. Bổ sung'!N20)</f>
        <v/>
      </c>
      <c r="S20" s="50">
        <f>Q20+R20</f>
        <v/>
      </c>
      <c r="T20" s="21" t="n"/>
      <c r="U20" s="21" t="n"/>
      <c r="V20" s="21" t="n"/>
      <c r="W20" s="21" t="n"/>
      <c r="X20" s="21" t="n"/>
      <c r="Y20" t="inlineStr">
        <is>
          <t>✗ Not Found</t>
        </is>
      </c>
    </row>
    <row r="21" hidden="1" ht="22.5" customHeight="1" s="578">
      <c r="A21" s="233" t="inlineStr">
        <is>
          <t>K+1MOV024126</t>
        </is>
      </c>
      <c r="B21" s="625" t="inlineStr">
        <is>
          <t>VND</t>
        </is>
      </c>
      <c r="C21" s="625" t="inlineStr">
        <is>
          <t>S0002365</t>
        </is>
      </c>
      <c r="D21" s="626" t="inlineStr">
        <is>
          <t>CÔNG TY CỔ PHẦN TRUYỀN THÔNG HỎA THỔ</t>
        </is>
      </c>
      <c r="E21" s="627" t="inlineStr">
        <is>
          <t>The Hot-Blooded (Tử Chiến)</t>
        </is>
      </c>
      <c r="F21" s="627" t="inlineStr">
        <is>
          <t>Movies International</t>
        </is>
      </c>
      <c r="G21" s="162" t="n">
        <v>1</v>
      </c>
      <c r="H21" s="154" t="n">
        <v>3</v>
      </c>
      <c r="I21" s="154" t="n">
        <v>3</v>
      </c>
      <c r="J21" s="166" t="n">
        <v>45435</v>
      </c>
      <c r="K21" s="166" t="n">
        <v>46529</v>
      </c>
      <c r="L21" s="628" t="inlineStr">
        <is>
          <t>Phim còn hạn từ 2026</t>
        </is>
      </c>
      <c r="M21" s="629" t="n"/>
      <c r="N21" s="630" t="inlineStr">
        <is>
          <t>The Night Clerk</t>
        </is>
      </c>
      <c r="O21" s="65">
        <f>SUMIF('TK 15661.Bản quyền phim '!F:F,'KK6. Bổ sung'!D21,'TK 15661.Bản quyền phim '!X:X)</f>
        <v/>
      </c>
      <c r="P21" s="65">
        <f>SUMIF('TK 15661.Bản quyền phim '!F:F,'KK6. Bổ sung'!N21,'TK 15661.Bản quyền phim '!X:X)</f>
        <v/>
      </c>
      <c r="Q21" s="51" t="n"/>
      <c r="R21" s="21">
        <f>COUNTIF('TK 15661.Bản quyền phim '!F:F,'KK6. Bổ sung'!N21)</f>
        <v/>
      </c>
      <c r="S21" s="50">
        <f>Q21+R21</f>
        <v/>
      </c>
      <c r="T21" s="21" t="n"/>
      <c r="U21" s="21" t="n"/>
      <c r="V21" s="21" t="n"/>
      <c r="W21" s="21" t="n"/>
      <c r="X21" s="21" t="n"/>
      <c r="Y21" t="inlineStr">
        <is>
          <t>✗ Not Found</t>
        </is>
      </c>
    </row>
    <row r="22" hidden="1" ht="22.5" customHeight="1" s="578">
      <c r="A22" s="233" t="inlineStr">
        <is>
          <t>K+1MOV024132</t>
        </is>
      </c>
      <c r="B22" s="625" t="inlineStr">
        <is>
          <t>VND</t>
        </is>
      </c>
      <c r="C22" s="625" t="inlineStr">
        <is>
          <t>S0002365</t>
        </is>
      </c>
      <c r="D22" s="16" t="inlineStr">
        <is>
          <t>CÔNG TY CỔ PHẦN TRUYỀN THÔNG HỎA THỔ</t>
        </is>
      </c>
      <c r="E22" s="627" t="inlineStr">
        <is>
          <t>Z Storm (Đội Chống Tham Nhũng)</t>
        </is>
      </c>
      <c r="F22" s="627" t="inlineStr">
        <is>
          <t>Movies International</t>
        </is>
      </c>
      <c r="G22" s="160" t="n">
        <v>1</v>
      </c>
      <c r="H22" s="157" t="n">
        <v>3</v>
      </c>
      <c r="I22" s="158" t="n">
        <v>3</v>
      </c>
      <c r="J22" s="167" t="n">
        <v>45506</v>
      </c>
      <c r="K22" s="167" t="n">
        <v>46600</v>
      </c>
      <c r="L22" s="628" t="inlineStr">
        <is>
          <t>Phim còn hạn từ 2026</t>
        </is>
      </c>
      <c r="M22" s="629" t="n"/>
      <c r="N22" s="68" t="inlineStr">
        <is>
          <t>Journey to China: The Mystery of the Dragon Seal</t>
        </is>
      </c>
      <c r="O22" s="65">
        <f>SUMIF('TK 15661.Bản quyền phim '!F:F,'KK6. Bổ sung'!D22,'TK 15661.Bản quyền phim '!X:X)</f>
        <v/>
      </c>
      <c r="P22" s="65">
        <f>SUMIF('TK 15661.Bản quyền phim '!F:F,'KK6. Bổ sung'!N22,'TK 15661.Bản quyền phim '!X:X)</f>
        <v/>
      </c>
      <c r="Q22" s="51" t="n"/>
      <c r="R22" s="21">
        <f>COUNTIF('TK 15661.Bản quyền phim '!F:F,'KK6. Bổ sung'!N22)</f>
        <v/>
      </c>
      <c r="S22" s="50">
        <f>Q22+R22</f>
        <v/>
      </c>
      <c r="T22" s="21" t="n"/>
      <c r="U22" s="21" t="n"/>
      <c r="V22" s="21" t="n"/>
      <c r="W22" s="21" t="n"/>
      <c r="X22" s="21" t="n"/>
      <c r="Y22" t="inlineStr">
        <is>
          <t>✗ Not Found</t>
        </is>
      </c>
    </row>
    <row r="23" hidden="1" ht="22.5" customHeight="1" s="578">
      <c r="A23" s="233" t="inlineStr">
        <is>
          <t>K+1MOV024133</t>
        </is>
      </c>
      <c r="B23" s="12" t="inlineStr">
        <is>
          <t>VND</t>
        </is>
      </c>
      <c r="C23" s="13" t="inlineStr">
        <is>
          <t>S0002365</t>
        </is>
      </c>
      <c r="D23" s="626" t="inlineStr">
        <is>
          <t>CÔNG TY CỔ PHẦN TRUYỀN THÔNG HỎA THỔ</t>
        </is>
      </c>
      <c r="E23" s="627" t="inlineStr">
        <is>
          <t>Raging Fire (Cuồng Phong Nộ Hỏa)</t>
        </is>
      </c>
      <c r="F23" s="627" t="inlineStr">
        <is>
          <t>Movies International</t>
        </is>
      </c>
      <c r="G23" s="162" t="n">
        <v>1</v>
      </c>
      <c r="H23" s="157" t="n">
        <v>3</v>
      </c>
      <c r="I23" s="154" t="n">
        <v>3</v>
      </c>
      <c r="J23" s="166" t="n">
        <v>45520</v>
      </c>
      <c r="K23" s="166" t="n">
        <v>46614</v>
      </c>
      <c r="L23" s="628" t="inlineStr">
        <is>
          <t>Phim còn hạn từ 2026</t>
        </is>
      </c>
      <c r="M23" s="629" t="n"/>
      <c r="N23" s="627" t="inlineStr">
        <is>
          <t>Gringo</t>
        </is>
      </c>
      <c r="O23" s="65">
        <f>SUMIF('TK 15661.Bản quyền phim '!F:F,'KK6. Bổ sung'!D23,'TK 15661.Bản quyền phim '!X:X)</f>
        <v/>
      </c>
      <c r="P23" s="65">
        <f>SUMIF('TK 15661.Bản quyền phim '!F:F,'KK6. Bổ sung'!N23,'TK 15661.Bản quyền phim '!X:X)</f>
        <v/>
      </c>
      <c r="Q23" s="51" t="n"/>
      <c r="R23" s="21">
        <f>COUNTIF('TK 15661.Bản quyền phim '!F:F,'KK6. Bổ sung'!N23)</f>
        <v/>
      </c>
      <c r="S23" s="50">
        <f>Q23+R23</f>
        <v/>
      </c>
      <c r="T23" s="21" t="n"/>
      <c r="U23" s="21" t="n"/>
      <c r="V23" s="21" t="n"/>
      <c r="W23" s="21" t="n"/>
      <c r="X23" s="21" t="n"/>
      <c r="Y23" t="inlineStr">
        <is>
          <t>✗ Not Found</t>
        </is>
      </c>
    </row>
    <row r="24" hidden="1" ht="22.5" customHeight="1" s="578">
      <c r="A24" s="233" t="inlineStr">
        <is>
          <t>K+1MOV024134</t>
        </is>
      </c>
      <c r="B24" s="621" t="inlineStr">
        <is>
          <t>VND</t>
        </is>
      </c>
      <c r="C24" s="625" t="inlineStr">
        <is>
          <t>S0002365</t>
        </is>
      </c>
      <c r="D24" s="626" t="inlineStr">
        <is>
          <t>CÔNG TY CỔ PHẦN TRUYỀN THÔNG HỎA THỔ</t>
        </is>
      </c>
      <c r="E24" s="627" t="inlineStr">
        <is>
          <t>Ip Man 3 (Diệp Vấn 3)</t>
        </is>
      </c>
      <c r="F24" s="627" t="inlineStr">
        <is>
          <t>Movies International</t>
        </is>
      </c>
      <c r="G24" s="155" t="n">
        <v>1</v>
      </c>
      <c r="H24" s="157" t="n">
        <v>3</v>
      </c>
      <c r="I24" s="154" t="n">
        <v>3</v>
      </c>
      <c r="J24" s="166" t="n">
        <v>45548</v>
      </c>
      <c r="K24" s="166" t="n">
        <v>46642</v>
      </c>
      <c r="L24" s="628" t="inlineStr">
        <is>
          <t>Phim còn hạn từ 2026</t>
        </is>
      </c>
      <c r="M24" s="629" t="n"/>
      <c r="N24" s="624" t="inlineStr">
        <is>
          <t>THE GIRL ON THE TRAIN (Cô gái trên tàu)</t>
        </is>
      </c>
      <c r="O24" s="65">
        <f>SUMIF('TK 15661.Bản quyền phim '!F:F,'KK6. Bổ sung'!D24,'TK 15661.Bản quyền phim '!X:X)</f>
        <v/>
      </c>
      <c r="P24" s="65">
        <f>SUMIF('TK 15661.Bản quyền phim '!F:F,'KK6. Bổ sung'!N24,'TK 15661.Bản quyền phim '!X:X)</f>
        <v/>
      </c>
      <c r="Q24" s="51" t="n"/>
      <c r="R24" s="21">
        <f>COUNTIF('TK 15661.Bản quyền phim '!F:F,'KK6. Bổ sung'!N24)</f>
        <v/>
      </c>
      <c r="S24" s="50">
        <f>Q24+R24</f>
        <v/>
      </c>
      <c r="T24" s="21" t="n"/>
      <c r="U24" s="21" t="n"/>
      <c r="V24" s="21" t="n"/>
      <c r="W24" s="21" t="n"/>
      <c r="X24" s="21" t="n"/>
      <c r="Y24" t="inlineStr">
        <is>
          <t>✗ Not Found</t>
        </is>
      </c>
    </row>
    <row r="25" hidden="1" ht="22.5" customHeight="1" s="578">
      <c r="A25" s="233" t="inlineStr">
        <is>
          <t>K+1MOV024135</t>
        </is>
      </c>
      <c r="B25" s="621" t="inlineStr">
        <is>
          <t>USD</t>
        </is>
      </c>
      <c r="C25" s="625" t="inlineStr">
        <is>
          <t>S0002438</t>
        </is>
      </c>
      <c r="D25" s="626" t="inlineStr">
        <is>
          <t>Paramount Pictures International Limited</t>
        </is>
      </c>
      <c r="E25" s="627" t="inlineStr">
        <is>
          <t>CRAWL</t>
        </is>
      </c>
      <c r="F25" s="627" t="inlineStr">
        <is>
          <t>Movies International</t>
        </is>
      </c>
      <c r="G25" s="155" t="n">
        <v>1</v>
      </c>
      <c r="H25" s="154" t="n">
        <v>2</v>
      </c>
      <c r="I25" s="154" t="n">
        <v>2</v>
      </c>
      <c r="J25" s="165" t="n">
        <v>45609</v>
      </c>
      <c r="K25" s="166" t="n">
        <v>46154</v>
      </c>
      <c r="L25" s="628" t="inlineStr">
        <is>
          <t>Phim còn hạn từ 2026</t>
        </is>
      </c>
      <c r="M25" s="629" t="n"/>
      <c r="N25" s="630" t="inlineStr">
        <is>
          <t>Triple Threat</t>
        </is>
      </c>
      <c r="O25" s="65">
        <f>SUMIF('TK 15661.Bản quyền phim '!F:F,'KK6. Bổ sung'!D25,'TK 15661.Bản quyền phim '!X:X)</f>
        <v/>
      </c>
      <c r="P25" s="65">
        <f>SUMIF('TK 15661.Bản quyền phim '!F:F,'KK6. Bổ sung'!N25,'TK 15661.Bản quyền phim '!X:X)</f>
        <v/>
      </c>
      <c r="Q25" s="51" t="n"/>
      <c r="R25" s="21">
        <f>COUNTIF('TK 15661.Bản quyền phim '!F:F,'KK6. Bổ sung'!N25)</f>
        <v/>
      </c>
      <c r="S25" s="50">
        <f>Q25+R25</f>
        <v/>
      </c>
      <c r="T25" s="21" t="n"/>
      <c r="U25" s="21" t="n"/>
      <c r="V25" s="21" t="n"/>
      <c r="W25" s="21" t="n"/>
      <c r="X25" s="21" t="n"/>
      <c r="Y25" t="inlineStr">
        <is>
          <t>✗ Not Found</t>
        </is>
      </c>
    </row>
    <row r="26" hidden="1" ht="22.5" customHeight="1" s="578">
      <c r="A26" s="233" t="inlineStr">
        <is>
          <t>K+2MOV024138</t>
        </is>
      </c>
      <c r="B26" s="625" t="inlineStr">
        <is>
          <t>USD</t>
        </is>
      </c>
      <c r="C26" s="625" t="inlineStr">
        <is>
          <t>S0002438</t>
        </is>
      </c>
      <c r="D26" s="16" t="inlineStr">
        <is>
          <t>Paramount Pictures International Limited</t>
        </is>
      </c>
      <c r="E26" s="15" t="inlineStr">
        <is>
          <t>GHOST IN THE SHELL (2017)</t>
        </is>
      </c>
      <c r="F26" s="14" t="inlineStr">
        <is>
          <t>Movies International</t>
        </is>
      </c>
      <c r="G26" s="155" t="n">
        <v>1</v>
      </c>
      <c r="H26" s="157" t="n">
        <v>2</v>
      </c>
      <c r="I26" s="159" t="n">
        <v>2</v>
      </c>
      <c r="J26" s="166" t="n">
        <v>45609</v>
      </c>
      <c r="K26" s="168" t="n">
        <v>46154</v>
      </c>
      <c r="L26" s="628" t="inlineStr">
        <is>
          <t>Phim còn hạn từ 2026</t>
        </is>
      </c>
      <c r="M26" s="629" t="n"/>
      <c r="N26" s="68" t="inlineStr">
        <is>
          <t>RECALLED (TRIỆU HỒI)</t>
        </is>
      </c>
      <c r="O26" s="65">
        <f>SUMIF('TK 15661.Bản quyền phim '!F:F,'KK6. Bổ sung'!D26,'TK 15661.Bản quyền phim '!X:X)</f>
        <v/>
      </c>
      <c r="P26" s="65">
        <f>SUMIF('TK 15661.Bản quyền phim '!F:F,'KK6. Bổ sung'!N26,'TK 15661.Bản quyền phim '!X:X)</f>
        <v/>
      </c>
      <c r="Q26" s="51" t="n"/>
      <c r="R26" s="21">
        <f>COUNTIF('TK 15661.Bản quyền phim '!F:F,'KK6. Bổ sung'!N26)</f>
        <v/>
      </c>
      <c r="S26" s="50">
        <f>Q26+R26</f>
        <v/>
      </c>
      <c r="T26" s="21" t="n"/>
      <c r="U26" s="21" t="n"/>
      <c r="V26" s="21" t="n"/>
      <c r="W26" s="21" t="n"/>
      <c r="X26" s="21" t="n"/>
      <c r="Y26" t="inlineStr">
        <is>
          <t>✗ Not Found</t>
        </is>
      </c>
    </row>
    <row r="27" hidden="1" ht="22.5" customHeight="1" s="578">
      <c r="A27" s="233" t="inlineStr">
        <is>
          <t>K+1MOV024140</t>
        </is>
      </c>
      <c r="B27" s="625" t="inlineStr">
        <is>
          <t>USD</t>
        </is>
      </c>
      <c r="C27" s="625" t="inlineStr">
        <is>
          <t>S0002438</t>
        </is>
      </c>
      <c r="D27" s="626" t="inlineStr">
        <is>
          <t>Paramount Pictures International Limited</t>
        </is>
      </c>
      <c r="E27" s="627" t="inlineStr">
        <is>
          <t>JACK RYAN: SHADOW RECRUIT</t>
        </is>
      </c>
      <c r="F27" s="621" t="inlineStr">
        <is>
          <t>Movies International</t>
        </is>
      </c>
      <c r="G27" s="155" t="n">
        <v>1</v>
      </c>
      <c r="H27" s="157" t="n">
        <v>2</v>
      </c>
      <c r="I27" s="154" t="n">
        <v>2</v>
      </c>
      <c r="J27" s="166" t="n">
        <v>45569</v>
      </c>
      <c r="K27" s="166" t="n">
        <v>46115</v>
      </c>
      <c r="L27" s="628" t="inlineStr">
        <is>
          <t>Phim còn hạn từ 2026</t>
        </is>
      </c>
      <c r="M27" s="629" t="n"/>
      <c r="N27" s="68" t="inlineStr">
        <is>
          <t>A DOG'S PURPOSE (Mục đích sống của một chú chó)</t>
        </is>
      </c>
      <c r="O27" s="65">
        <f>SUMIF('TK 15661.Bản quyền phim '!F:F,'KK6. Bổ sung'!D27,'TK 15661.Bản quyền phim '!X:X)</f>
        <v/>
      </c>
      <c r="P27" s="65">
        <f>SUMIF('TK 15661.Bản quyền phim '!F:F,'KK6. Bổ sung'!N27,'TK 15661.Bản quyền phim '!X:X)</f>
        <v/>
      </c>
      <c r="Q27" s="51" t="n"/>
      <c r="R27" s="21">
        <f>COUNTIF('TK 15661.Bản quyền phim '!F:F,'KK6. Bổ sung'!N27)</f>
        <v/>
      </c>
      <c r="S27" s="50">
        <f>Q27+R27</f>
        <v/>
      </c>
      <c r="T27" s="21" t="n"/>
      <c r="U27" s="21" t="n"/>
      <c r="V27" s="21" t="n"/>
      <c r="W27" s="21" t="n"/>
      <c r="X27" s="21" t="n"/>
      <c r="Y27" t="inlineStr">
        <is>
          <t>✗ Not Found</t>
        </is>
      </c>
    </row>
    <row r="28" hidden="1" ht="22.5" customHeight="1" s="578">
      <c r="A28" s="233" t="inlineStr">
        <is>
          <t>K+1MOV024141</t>
        </is>
      </c>
      <c r="B28" s="625" t="inlineStr">
        <is>
          <t>USD</t>
        </is>
      </c>
      <c r="C28" s="625" t="inlineStr">
        <is>
          <t>S0002438</t>
        </is>
      </c>
      <c r="D28" s="16" t="inlineStr">
        <is>
          <t>Paramount Pictures International Limited</t>
        </is>
      </c>
      <c r="E28" s="15" t="inlineStr">
        <is>
          <t>MISSION: IMPOSSIBLE</t>
        </is>
      </c>
      <c r="F28" s="627" t="inlineStr">
        <is>
          <t>Movies International</t>
        </is>
      </c>
      <c r="G28" s="155" t="n">
        <v>1</v>
      </c>
      <c r="H28" s="157" t="n">
        <v>2</v>
      </c>
      <c r="I28" s="159" t="n">
        <v>2</v>
      </c>
      <c r="J28" s="166" t="n">
        <v>45597</v>
      </c>
      <c r="K28" s="168" t="n">
        <v>46142</v>
      </c>
      <c r="L28" s="628" t="inlineStr">
        <is>
          <t>Phim còn hạn từ 2026</t>
        </is>
      </c>
      <c r="M28" s="629" t="n"/>
      <c r="N28" s="630" t="inlineStr">
        <is>
          <t>BURLESQUE</t>
        </is>
      </c>
      <c r="O28" s="65">
        <f>SUMIF('TK 15661.Bản quyền phim '!F:F,'KK6. Bổ sung'!D28,'TK 15661.Bản quyền phim '!X:X)</f>
        <v/>
      </c>
      <c r="P28" s="65">
        <f>SUMIF('TK 15661.Bản quyền phim '!F:F,'KK6. Bổ sung'!N28,'TK 15661.Bản quyền phim '!X:X)</f>
        <v/>
      </c>
      <c r="Q28" s="51" t="n"/>
      <c r="R28" s="21">
        <f>COUNTIF('TK 15661.Bản quyền phim '!F:F,'KK6. Bổ sung'!N28)</f>
        <v/>
      </c>
      <c r="S28" s="50">
        <f>Q28+R28</f>
        <v/>
      </c>
      <c r="T28" s="21" t="n"/>
      <c r="U28" s="21" t="n"/>
      <c r="V28" s="21" t="n"/>
      <c r="W28" s="21" t="n"/>
      <c r="X28" s="21" t="n"/>
      <c r="Y28" t="inlineStr">
        <is>
          <t>✗ Not Found</t>
        </is>
      </c>
    </row>
    <row r="29" hidden="1" ht="22.5" customHeight="1" s="578">
      <c r="A29" s="233" t="inlineStr">
        <is>
          <t>K+1MOV024142</t>
        </is>
      </c>
      <c r="B29" s="621" t="inlineStr">
        <is>
          <t>USD</t>
        </is>
      </c>
      <c r="C29" s="625" t="inlineStr">
        <is>
          <t>S0002438</t>
        </is>
      </c>
      <c r="D29" s="626" t="inlineStr">
        <is>
          <t>Paramount Pictures International Limited</t>
        </is>
      </c>
      <c r="E29" s="627" t="inlineStr">
        <is>
          <t>MISSION: IMPOSSIBLE - GHOST PROTOCOL</t>
        </is>
      </c>
      <c r="F29" s="627" t="inlineStr">
        <is>
          <t>Movies International</t>
        </is>
      </c>
      <c r="G29" s="155" t="n">
        <v>1</v>
      </c>
      <c r="H29" s="154" t="n">
        <v>2</v>
      </c>
      <c r="I29" s="154" t="n">
        <v>2</v>
      </c>
      <c r="J29" s="165" t="n">
        <v>45597</v>
      </c>
      <c r="K29" s="166" t="n">
        <v>46142</v>
      </c>
      <c r="L29" s="628" t="inlineStr">
        <is>
          <t>Phim còn hạn từ 2026</t>
        </is>
      </c>
      <c r="M29" s="629" t="n"/>
      <c r="N29" s="630" t="inlineStr">
        <is>
          <t>My Spy</t>
        </is>
      </c>
      <c r="O29" s="65">
        <f>SUMIF('TK 15661.Bản quyền phim '!F:F,'KK6. Bổ sung'!D29,'TK 15661.Bản quyền phim '!X:X)</f>
        <v/>
      </c>
      <c r="P29" s="65">
        <f>SUMIF('TK 15661.Bản quyền phim '!F:F,'KK6. Bổ sung'!N29,'TK 15661.Bản quyền phim '!X:X)</f>
        <v/>
      </c>
      <c r="Q29" s="51" t="n"/>
      <c r="R29" s="21">
        <f>COUNTIF('TK 15661.Bản quyền phim '!F:F,'KK6. Bổ sung'!N29)</f>
        <v/>
      </c>
      <c r="S29" s="50">
        <f>Q29+R29</f>
        <v/>
      </c>
      <c r="T29" s="21" t="n"/>
      <c r="U29" s="21" t="n"/>
      <c r="V29" s="21" t="n"/>
      <c r="W29" s="21" t="n"/>
      <c r="X29" s="21" t="n"/>
      <c r="Y29" t="inlineStr">
        <is>
          <t>✗ Not Found</t>
        </is>
      </c>
    </row>
    <row r="30" hidden="1" ht="22.5" customHeight="1" s="578">
      <c r="A30" s="233" t="inlineStr">
        <is>
          <t>K+1MOV024143</t>
        </is>
      </c>
      <c r="B30" s="631" t="inlineStr">
        <is>
          <t>USD</t>
        </is>
      </c>
      <c r="C30" s="625" t="inlineStr">
        <is>
          <t>S0002438</t>
        </is>
      </c>
      <c r="D30" s="16" t="inlineStr">
        <is>
          <t>Paramount Pictures International Limited</t>
        </is>
      </c>
      <c r="E30" s="15" t="inlineStr">
        <is>
          <t>MISSION: IMPOSSIBLE - ROGUE NATION</t>
        </is>
      </c>
      <c r="F30" s="14" t="inlineStr">
        <is>
          <t>Movies International</t>
        </is>
      </c>
      <c r="G30" s="163" t="n">
        <v>1</v>
      </c>
      <c r="H30" s="161" t="n">
        <v>2</v>
      </c>
      <c r="I30" s="158" t="n">
        <v>2</v>
      </c>
      <c r="J30" s="169" t="n">
        <v>45597</v>
      </c>
      <c r="K30" s="167" t="n">
        <v>46142</v>
      </c>
      <c r="L30" s="628" t="inlineStr">
        <is>
          <t>Phim còn hạn từ 2026</t>
        </is>
      </c>
      <c r="M30" s="629" t="n"/>
      <c r="N30" s="630" t="inlineStr">
        <is>
          <t>EMILY THE CRIMINAL</t>
        </is>
      </c>
      <c r="O30" s="65">
        <f>SUMIF('TK 15661.Bản quyền phim '!F:F,'KK6. Bổ sung'!D30,'TK 15661.Bản quyền phim '!X:X)</f>
        <v/>
      </c>
      <c r="P30" s="65">
        <f>SUMIF('TK 15661.Bản quyền phim '!F:F,'KK6. Bổ sung'!N30,'TK 15661.Bản quyền phim '!X:X)</f>
        <v/>
      </c>
      <c r="Q30" s="51" t="n"/>
      <c r="R30" s="21">
        <f>COUNTIF('TK 15661.Bản quyền phim '!F:F,'KK6. Bổ sung'!N30)</f>
        <v/>
      </c>
      <c r="S30" s="50">
        <f>Q30+R30</f>
        <v/>
      </c>
      <c r="T30" s="21" t="n"/>
      <c r="U30" s="21" t="n"/>
      <c r="V30" s="21" t="n"/>
      <c r="W30" s="21" t="n"/>
      <c r="X30" s="21" t="n"/>
      <c r="Y30" t="inlineStr">
        <is>
          <t>✗ Not Found</t>
        </is>
      </c>
    </row>
    <row r="31" hidden="1" ht="22.5" customHeight="1" s="578">
      <c r="A31" s="233" t="inlineStr">
        <is>
          <t>K+1MOV024144</t>
        </is>
      </c>
      <c r="B31" s="625" t="inlineStr">
        <is>
          <t>USD</t>
        </is>
      </c>
      <c r="C31" s="625" t="inlineStr">
        <is>
          <t>S0002438</t>
        </is>
      </c>
      <c r="D31" s="16" t="inlineStr">
        <is>
          <t>Paramount Pictures International Limited</t>
        </is>
      </c>
      <c r="E31" s="627" t="inlineStr">
        <is>
          <t>MISSION: IMPOSSIBLE II</t>
        </is>
      </c>
      <c r="F31" s="627" t="inlineStr">
        <is>
          <t>Movies International</t>
        </is>
      </c>
      <c r="G31" s="160" t="n">
        <v>1</v>
      </c>
      <c r="H31" s="154" t="n">
        <v>2</v>
      </c>
      <c r="I31" s="161" t="n">
        <v>2</v>
      </c>
      <c r="J31" s="169" t="n">
        <v>45597</v>
      </c>
      <c r="K31" s="169" t="n">
        <v>46142</v>
      </c>
      <c r="L31" s="628" t="inlineStr">
        <is>
          <t>Phim còn hạn từ 2026</t>
        </is>
      </c>
      <c r="M31" s="629" t="n"/>
      <c r="N31" s="68" t="inlineStr">
        <is>
          <t>A LONG WAY DOWN</t>
        </is>
      </c>
      <c r="O31" s="65">
        <f>SUMIF('TK 15661.Bản quyền phim '!F:F,'KK6. Bổ sung'!D31,'TK 15661.Bản quyền phim '!X:X)</f>
        <v/>
      </c>
      <c r="P31" s="65">
        <f>SUMIF('TK 15661.Bản quyền phim '!F:F,'KK6. Bổ sung'!N31,'TK 15661.Bản quyền phim '!X:X)</f>
        <v/>
      </c>
      <c r="Q31" s="51" t="n"/>
      <c r="R31" s="21">
        <f>COUNTIF('TK 15661.Bản quyền phim '!F:F,'KK6. Bổ sung'!N31)</f>
        <v/>
      </c>
      <c r="S31" s="50">
        <f>Q31+R31</f>
        <v/>
      </c>
      <c r="T31" s="21" t="n"/>
      <c r="U31" s="21" t="n"/>
      <c r="V31" s="21" t="n"/>
      <c r="W31" s="21" t="n"/>
      <c r="X31" s="21" t="n"/>
      <c r="Y31" t="inlineStr">
        <is>
          <t>✗ Not Found</t>
        </is>
      </c>
    </row>
    <row r="32" hidden="1" ht="22.5" customHeight="1" s="578">
      <c r="A32" s="233" t="inlineStr">
        <is>
          <t>K+1MOV024145</t>
        </is>
      </c>
      <c r="B32" s="625" t="inlineStr">
        <is>
          <t>USD</t>
        </is>
      </c>
      <c r="C32" s="13" t="inlineStr">
        <is>
          <t>S0002438</t>
        </is>
      </c>
      <c r="D32" s="16" t="inlineStr">
        <is>
          <t>Paramount Pictures International Limited</t>
        </is>
      </c>
      <c r="E32" s="15" t="inlineStr">
        <is>
          <t>MISSION: IMPOSSIBLE III</t>
        </is>
      </c>
      <c r="F32" s="14" t="inlineStr">
        <is>
          <t>Movies International</t>
        </is>
      </c>
      <c r="G32" s="160" t="n">
        <v>1</v>
      </c>
      <c r="H32" s="161" t="n">
        <v>2</v>
      </c>
      <c r="I32" s="158" t="n">
        <v>2</v>
      </c>
      <c r="J32" s="169" t="n">
        <v>45597</v>
      </c>
      <c r="K32" s="169" t="n">
        <v>46142</v>
      </c>
      <c r="L32" s="628" t="inlineStr">
        <is>
          <t>Phim còn hạn từ 2026</t>
        </is>
      </c>
      <c r="M32" s="629" t="n"/>
      <c r="N32" s="630" t="inlineStr">
        <is>
          <t>WITCH, THE</t>
        </is>
      </c>
      <c r="O32" s="65">
        <f>SUMIF('TK 15661.Bản quyền phim '!F:F,'KK6. Bổ sung'!D32,'TK 15661.Bản quyền phim '!X:X)</f>
        <v/>
      </c>
      <c r="P32" s="65">
        <f>SUMIF('TK 15661.Bản quyền phim '!F:F,'KK6. Bổ sung'!N32,'TK 15661.Bản quyền phim '!X:X)</f>
        <v/>
      </c>
      <c r="Q32" s="51" t="n"/>
      <c r="R32" s="21">
        <f>COUNTIF('TK 15661.Bản quyền phim '!F:F,'KK6. Bổ sung'!N32)</f>
        <v/>
      </c>
      <c r="S32" s="50">
        <f>Q32+R32</f>
        <v/>
      </c>
      <c r="T32" s="21" t="n"/>
      <c r="U32" s="21" t="n"/>
      <c r="V32" s="21" t="n"/>
      <c r="W32" s="21" t="n"/>
      <c r="X32" s="21" t="n"/>
      <c r="Y32" t="inlineStr">
        <is>
          <t>✗ Not Found</t>
        </is>
      </c>
    </row>
    <row r="33" hidden="1" ht="27.6" customHeight="1" s="578">
      <c r="A33" s="233" t="inlineStr">
        <is>
          <t>K+1MOV024149</t>
        </is>
      </c>
      <c r="B33" s="625" t="inlineStr">
        <is>
          <t>USD</t>
        </is>
      </c>
      <c r="C33" s="13" t="inlineStr">
        <is>
          <t>S0002438</t>
        </is>
      </c>
      <c r="D33" s="16" t="inlineStr">
        <is>
          <t>Paramount Pictures International Limited</t>
        </is>
      </c>
      <c r="E33" s="15" t="inlineStr">
        <is>
          <t>TERMINATOR GENISYS</t>
        </is>
      </c>
      <c r="F33" s="14" t="inlineStr">
        <is>
          <t>Movies International</t>
        </is>
      </c>
      <c r="G33" s="160" t="n">
        <v>1</v>
      </c>
      <c r="H33" s="161" t="n">
        <v>2</v>
      </c>
      <c r="I33" s="158" t="n">
        <v>2</v>
      </c>
      <c r="J33" s="169" t="n">
        <v>45569</v>
      </c>
      <c r="K33" s="167" t="n">
        <v>46115</v>
      </c>
      <c r="L33" s="628" t="inlineStr">
        <is>
          <t>Phim còn hạn từ 2026</t>
        </is>
      </c>
      <c r="M33" s="629" t="n"/>
      <c r="N33" s="630" t="inlineStr">
        <is>
          <t>AMBULANCE (2022)</t>
        </is>
      </c>
      <c r="O33" s="65">
        <f>SUMIF('TK 15661.Bản quyền phim '!F:F,'KK6. Bổ sung'!D33,'TK 15661.Bản quyền phim '!X:X)</f>
        <v/>
      </c>
      <c r="P33" s="65">
        <f>SUMIF('TK 15661.Bản quyền phim '!F:F,'KK6. Bổ sung'!N33,'TK 15661.Bản quyền phim '!X:X)</f>
        <v/>
      </c>
      <c r="Q33" s="51" t="n"/>
      <c r="R33" s="21">
        <f>COUNTIF('TK 15661.Bản quyền phim '!F:F,'KK6. Bổ sung'!N33)</f>
        <v/>
      </c>
      <c r="S33" s="50">
        <f>Q33+R33</f>
        <v/>
      </c>
      <c r="T33" s="21" t="n"/>
      <c r="U33" s="21" t="n"/>
      <c r="V33" s="21" t="n"/>
      <c r="W33" s="21" t="n"/>
      <c r="X33" s="21" t="n"/>
      <c r="Y33" t="inlineStr">
        <is>
          <t>✗ Not Found</t>
        </is>
      </c>
    </row>
    <row r="34" hidden="1" ht="22.5" customHeight="1" s="578">
      <c r="A34" s="233" t="inlineStr">
        <is>
          <t>K+1MOV024154</t>
        </is>
      </c>
      <c r="B34" s="621" t="inlineStr">
        <is>
          <t>USD</t>
        </is>
      </c>
      <c r="C34" s="625" t="inlineStr">
        <is>
          <t>S0002438</t>
        </is>
      </c>
      <c r="D34" s="626" t="inlineStr">
        <is>
          <t>Paramount Pictures International Limited</t>
        </is>
      </c>
      <c r="E34" s="627" t="inlineStr">
        <is>
          <t>TRANSFORMERS: THE LAST KNIGHT</t>
        </is>
      </c>
      <c r="F34" s="621" t="inlineStr">
        <is>
          <t>Movies International</t>
        </is>
      </c>
      <c r="G34" s="162" t="n">
        <v>1</v>
      </c>
      <c r="H34" s="157" t="n">
        <v>2</v>
      </c>
      <c r="I34" s="154" t="n">
        <v>2</v>
      </c>
      <c r="J34" s="166" t="n">
        <v>45583</v>
      </c>
      <c r="K34" s="166" t="n">
        <v>46129</v>
      </c>
      <c r="L34" s="628" t="inlineStr">
        <is>
          <t>Phim còn hạn từ 2026</t>
        </is>
      </c>
      <c r="M34" s="629" t="n"/>
      <c r="N34" s="630" t="inlineStr">
        <is>
          <t>Best Friend</t>
        </is>
      </c>
      <c r="O34" s="65">
        <f>SUMIF('TK 15661.Bản quyền phim '!F:F,'KK6. Bổ sung'!D34,'TK 15661.Bản quyền phim '!X:X)</f>
        <v/>
      </c>
      <c r="P34" s="65">
        <f>SUMIF('TK 15661.Bản quyền phim '!F:F,'KK6. Bổ sung'!N34,'TK 15661.Bản quyền phim '!X:X)</f>
        <v/>
      </c>
      <c r="Q34" s="51" t="n"/>
      <c r="R34" s="21">
        <f>COUNTIF('TK 15661.Bản quyền phim '!F:F,'KK6. Bổ sung'!N34)</f>
        <v/>
      </c>
      <c r="S34" s="50">
        <f>Q34+R34</f>
        <v/>
      </c>
      <c r="T34" s="21" t="n"/>
      <c r="U34" s="21" t="n"/>
      <c r="V34" s="21" t="n"/>
      <c r="W34" s="21" t="n"/>
      <c r="X34" s="21" t="n"/>
      <c r="Y34" t="inlineStr">
        <is>
          <t>✗ Not Found</t>
        </is>
      </c>
    </row>
    <row r="35" hidden="1" ht="22.5" customHeight="1" s="578">
      <c r="A35" s="233" t="inlineStr">
        <is>
          <t>K+2SER024216</t>
        </is>
      </c>
      <c r="B35" s="625" t="inlineStr">
        <is>
          <t>USD</t>
        </is>
      </c>
      <c r="C35" s="13" t="inlineStr">
        <is>
          <t>S0002432</t>
        </is>
      </c>
      <c r="D35" s="184" t="inlineStr">
        <is>
          <t>YOUKU INFORMATION TECHNOLOGY(Beijing) CO., LTD.</t>
        </is>
      </c>
      <c r="E35" s="15" t="inlineStr">
        <is>
          <t>WHO IS HE?</t>
        </is>
      </c>
      <c r="F35" s="627" t="inlineStr">
        <is>
          <t>Series Asian</t>
        </is>
      </c>
      <c r="G35" s="155" t="n">
        <v>24</v>
      </c>
      <c r="H35" s="157" t="n">
        <v>4</v>
      </c>
      <c r="I35" s="159" t="n">
        <v>96</v>
      </c>
      <c r="J35" s="166" t="n">
        <v>45614</v>
      </c>
      <c r="K35" s="168" t="n">
        <v>47074</v>
      </c>
      <c r="L35" s="628" t="inlineStr">
        <is>
          <t>Phim còn hạn từ 2026</t>
        </is>
      </c>
      <c r="M35" s="629" t="n"/>
      <c r="N35" s="68" t="inlineStr">
        <is>
          <t>AROUND THE WORLD IN 80 DAYS (KHỈ CON LON TON THẾ GIỚI)</t>
        </is>
      </c>
      <c r="O35" s="65">
        <f>SUMIF('TK 15661.Bản quyền phim '!F:F,'KK6. Bổ sung'!D35,'TK 15661.Bản quyền phim '!X:X)</f>
        <v/>
      </c>
      <c r="P35" s="65">
        <f>SUMIF('TK 15661.Bản quyền phim '!F:F,'KK6. Bổ sung'!N35,'TK 15661.Bản quyền phim '!X:X)</f>
        <v/>
      </c>
      <c r="Q35" s="51" t="n"/>
      <c r="R35" s="21">
        <f>COUNTIF('TK 15661.Bản quyền phim '!F:F,'KK6. Bổ sung'!N35)</f>
        <v/>
      </c>
      <c r="S35" s="50">
        <f>Q35+R35</f>
        <v/>
      </c>
      <c r="T35" s="21" t="n"/>
      <c r="U35" s="21" t="n"/>
      <c r="V35" s="21" t="n"/>
      <c r="W35" s="21" t="n"/>
      <c r="X35" s="21" t="n"/>
      <c r="Y35" t="inlineStr">
        <is>
          <t>✓ Found</t>
        </is>
      </c>
    </row>
    <row r="36" hidden="1" ht="22.5" customHeight="1" s="578">
      <c r="A36" s="233" t="inlineStr">
        <is>
          <t>K+2MOV024229</t>
        </is>
      </c>
      <c r="B36" s="12" t="inlineStr">
        <is>
          <t>VND</t>
        </is>
      </c>
      <c r="C36" s="625" t="inlineStr">
        <is>
          <t>S0002365</t>
        </is>
      </c>
      <c r="D36" s="626" t="inlineStr">
        <is>
          <t>CÔNG TY CỔ PHẦN TRUYỀN THÔNG HỎA THỔ</t>
        </is>
      </c>
      <c r="E36" s="622" t="inlineStr">
        <is>
          <t>Skin (Xóa bỏ hận thù)</t>
        </is>
      </c>
      <c r="F36" s="621" t="inlineStr">
        <is>
          <t>Movies International</t>
        </is>
      </c>
      <c r="G36" s="155" t="n">
        <v>1</v>
      </c>
      <c r="H36" s="157" t="n">
        <v>3</v>
      </c>
      <c r="I36" s="154" t="n">
        <v>3</v>
      </c>
      <c r="J36" s="166" t="n">
        <v>45637</v>
      </c>
      <c r="K36" s="166" t="n">
        <v>46731</v>
      </c>
      <c r="L36" s="628" t="inlineStr">
        <is>
          <t>Phim còn hạn từ 2026</t>
        </is>
      </c>
      <c r="M36" s="629" t="n"/>
      <c r="N36" s="624" t="inlineStr">
        <is>
          <t>Last princess</t>
        </is>
      </c>
      <c r="O36" s="65">
        <f>SUMIF('TK 15661.Bản quyền phim '!F:F,'KK6. Bổ sung'!D36,'TK 15661.Bản quyền phim '!X:X)</f>
        <v/>
      </c>
      <c r="P36" s="65">
        <f>SUMIF('TK 15661.Bản quyền phim '!F:F,'KK6. Bổ sung'!N36,'TK 15661.Bản quyền phim '!X:X)</f>
        <v/>
      </c>
      <c r="Q36" s="51" t="n"/>
      <c r="R36" s="21">
        <f>COUNTIF('TK 15661.Bản quyền phim '!F:F,'KK6. Bổ sung'!N36)</f>
        <v/>
      </c>
      <c r="S36" s="50">
        <f>Q36+R36</f>
        <v/>
      </c>
      <c r="T36" s="21" t="n"/>
      <c r="U36" s="21" t="n"/>
      <c r="V36" s="21" t="n"/>
      <c r="W36" s="21" t="n"/>
      <c r="X36" s="21" t="n"/>
      <c r="Y36" t="inlineStr">
        <is>
          <t>✗ Not Found</t>
        </is>
      </c>
    </row>
    <row r="37" hidden="1" ht="22.5" customHeight="1" s="578">
      <c r="A37" s="233" t="inlineStr">
        <is>
          <t>K+2MOV024230</t>
        </is>
      </c>
      <c r="B37" s="625" t="inlineStr">
        <is>
          <t>VND</t>
        </is>
      </c>
      <c r="C37" s="13" t="inlineStr">
        <is>
          <t>S0002365</t>
        </is>
      </c>
      <c r="D37" s="626" t="inlineStr">
        <is>
          <t>CÔNG TY CỔ PHẦN TRUYỀN THÔNG HỎA THỔ</t>
        </is>
      </c>
      <c r="E37" s="622" t="inlineStr">
        <is>
          <t>Extremely Wicked, Shockingly Evil and Vile (Kẻ cuồng sát biến thái)</t>
        </is>
      </c>
      <c r="F37" s="627" t="inlineStr">
        <is>
          <t>Movies International</t>
        </is>
      </c>
      <c r="G37" s="156" t="n">
        <v>1</v>
      </c>
      <c r="H37" s="157" t="n">
        <v>3</v>
      </c>
      <c r="I37" s="154" t="n">
        <v>3</v>
      </c>
      <c r="J37" s="170" t="n">
        <v>45637</v>
      </c>
      <c r="K37" s="166" t="n">
        <v>46731</v>
      </c>
      <c r="L37" s="628" t="inlineStr">
        <is>
          <t>Phim còn hạn từ 2026</t>
        </is>
      </c>
      <c r="M37" s="629" t="n"/>
      <c r="N37" s="68" t="inlineStr">
        <is>
          <t>Space Dogs: Return to Earth</t>
        </is>
      </c>
      <c r="O37" s="65">
        <f>SUMIF('TK 15661.Bản quyền phim '!F:F,'KK6. Bổ sung'!D37,'TK 15661.Bản quyền phim '!X:X)</f>
        <v/>
      </c>
      <c r="P37" s="65">
        <f>SUMIF('TK 15661.Bản quyền phim '!F:F,'KK6. Bổ sung'!N37,'TK 15661.Bản quyền phim '!X:X)</f>
        <v/>
      </c>
      <c r="Q37" s="51" t="n"/>
      <c r="R37" s="21">
        <f>COUNTIF('TK 15661.Bản quyền phim '!F:F,'KK6. Bổ sung'!N37)</f>
        <v/>
      </c>
      <c r="S37" s="50">
        <f>Q37+R37</f>
        <v/>
      </c>
      <c r="T37" s="21" t="n"/>
      <c r="U37" s="21" t="n"/>
      <c r="V37" s="21" t="n"/>
      <c r="W37" s="21" t="n"/>
      <c r="X37" s="21" t="n"/>
      <c r="Y37" t="inlineStr">
        <is>
          <t>✗ Not Found</t>
        </is>
      </c>
    </row>
    <row r="38" hidden="1" ht="22.5" customHeight="1" s="578">
      <c r="A38" s="233" t="inlineStr">
        <is>
          <t>K+1MOV025016</t>
        </is>
      </c>
      <c r="B38" s="625" t="inlineStr">
        <is>
          <t>VND</t>
        </is>
      </c>
      <c r="C38" s="625" t="inlineStr">
        <is>
          <t>S0002622</t>
        </is>
      </c>
      <c r="D38" s="626" t="inlineStr">
        <is>
          <t>CÔNG TY TNHH CÔNG NGHỆ VÀ GIẢI TRÍ TRUYỀN THÔNG SAO THIÊN KHÔI</t>
        </is>
      </c>
      <c r="E38" s="627" t="inlineStr">
        <is>
          <t>Anti -piracy-contract 15 movies STK 2025</t>
        </is>
      </c>
      <c r="F38" s="627" t="inlineStr">
        <is>
          <t>Movies International</t>
        </is>
      </c>
      <c r="G38" s="155" t="n">
        <v>1</v>
      </c>
      <c r="H38" s="154" t="n">
        <v>1</v>
      </c>
      <c r="I38" s="154" t="n">
        <v>1</v>
      </c>
      <c r="J38" s="165" t="n">
        <v>45665</v>
      </c>
      <c r="K38" s="166" t="n">
        <v>46029</v>
      </c>
      <c r="L38" s="628" t="inlineStr">
        <is>
          <t>Phim còn hạn từ 2026</t>
        </is>
      </c>
      <c r="M38" s="629" t="n"/>
      <c r="N38" s="630" t="inlineStr">
        <is>
          <t>The Ice Road</t>
        </is>
      </c>
      <c r="O38" s="65">
        <f>SUMIF('TK 15661.Bản quyền phim '!F:F,'KK6. Bổ sung'!D38,'TK 15661.Bản quyền phim '!X:X)</f>
        <v/>
      </c>
      <c r="P38" s="65">
        <f>SUMIF('TK 15661.Bản quyền phim '!F:F,'KK6. Bổ sung'!N38,'TK 15661.Bản quyền phim '!X:X)</f>
        <v/>
      </c>
      <c r="Q38" s="51" t="n"/>
      <c r="R38" s="21">
        <f>COUNTIF('TK 15661.Bản quyền phim '!F:F,'KK6. Bổ sung'!N38)</f>
        <v/>
      </c>
      <c r="S38" s="50">
        <f>Q38+R38</f>
        <v/>
      </c>
      <c r="T38" s="21" t="n"/>
      <c r="U38" s="21" t="n"/>
      <c r="V38" s="21" t="n"/>
      <c r="W38" s="21" t="n"/>
      <c r="X38" s="21" t="n"/>
      <c r="Y38" t="inlineStr">
        <is>
          <t>✗ Not Found</t>
        </is>
      </c>
    </row>
    <row r="39" hidden="1" ht="22.5" customHeight="1" s="578">
      <c r="A39" s="233" t="inlineStr">
        <is>
          <t>K+1MOV025017</t>
        </is>
      </c>
      <c r="B39" s="621" t="inlineStr">
        <is>
          <t>VND</t>
        </is>
      </c>
      <c r="C39" s="625" t="inlineStr">
        <is>
          <t>S0001804</t>
        </is>
      </c>
      <c r="D39" s="16" t="inlineStr">
        <is>
          <t>CÔNG TY TNHH TRUYỀN THÔNG ROSES</t>
        </is>
      </c>
      <c r="E39" s="213" t="inlineStr">
        <is>
          <t>Retribution</t>
        </is>
      </c>
      <c r="F39" s="627" t="inlineStr">
        <is>
          <t>Movies International</t>
        </is>
      </c>
      <c r="G39" s="160" t="n">
        <v>1</v>
      </c>
      <c r="H39" s="157" t="n">
        <v>3</v>
      </c>
      <c r="I39" s="158" t="n">
        <v>3</v>
      </c>
      <c r="J39" s="167" t="n">
        <v>45659</v>
      </c>
      <c r="K39" s="167" t="n">
        <v>46753</v>
      </c>
      <c r="L39" s="628" t="inlineStr">
        <is>
          <t>Phim còn hạn từ 2026</t>
        </is>
      </c>
      <c r="M39" s="629" t="n"/>
      <c r="N39" s="68" t="inlineStr">
        <is>
          <t>Talk To Me</t>
        </is>
      </c>
      <c r="O39" s="65">
        <f>SUMIF('TK 15661.Bản quyền phim '!F:F,'KK6. Bổ sung'!D39,'TK 15661.Bản quyền phim '!X:X)</f>
        <v/>
      </c>
      <c r="P39" s="65">
        <f>SUMIF('TK 15661.Bản quyền phim '!F:F,'KK6. Bổ sung'!N39,'TK 15661.Bản quyền phim '!X:X)</f>
        <v/>
      </c>
      <c r="Q39" s="51" t="n"/>
      <c r="R39" s="21">
        <f>COUNTIF('TK 15661.Bản quyền phim '!F:F,'KK6. Bổ sung'!N39)</f>
        <v/>
      </c>
      <c r="S39" s="50">
        <f>Q39+R39</f>
        <v/>
      </c>
      <c r="T39" s="21" t="n"/>
      <c r="U39" s="21" t="n"/>
      <c r="V39" s="21" t="n"/>
      <c r="W39" s="21" t="n"/>
      <c r="X39" s="21" t="n"/>
      <c r="Y39" t="inlineStr">
        <is>
          <t>✗ Not Found</t>
        </is>
      </c>
    </row>
    <row r="40" hidden="1" ht="22.5" customHeight="1" s="578">
      <c r="A40" s="233" t="inlineStr">
        <is>
          <t>K+1MOV025019</t>
        </is>
      </c>
      <c r="B40" s="621" t="inlineStr">
        <is>
          <t>VND</t>
        </is>
      </c>
      <c r="C40" s="625" t="inlineStr">
        <is>
          <t>S0001804</t>
        </is>
      </c>
      <c r="D40" s="626" t="inlineStr">
        <is>
          <t>CÔNG TY TNHH TRUYỀN THÔNG ROSES</t>
        </is>
      </c>
      <c r="E40" s="627" t="inlineStr">
        <is>
          <t>The Hunger Games: Ballad of Songbirds and Snakes</t>
        </is>
      </c>
      <c r="F40" s="621" t="inlineStr">
        <is>
          <t>Movies International</t>
        </is>
      </c>
      <c r="G40" s="162" t="n">
        <v>1</v>
      </c>
      <c r="H40" s="154" t="n">
        <v>3</v>
      </c>
      <c r="I40" s="154" t="n">
        <v>3</v>
      </c>
      <c r="J40" s="166" t="n">
        <v>45681</v>
      </c>
      <c r="K40" s="166" t="n">
        <v>46775</v>
      </c>
      <c r="L40" s="628" t="inlineStr">
        <is>
          <t>Phim còn hạn từ 2026</t>
        </is>
      </c>
      <c r="M40" s="629" t="n"/>
      <c r="N40" s="630" t="inlineStr">
        <is>
          <t>We Made A Beautiful Bouquet</t>
        </is>
      </c>
      <c r="O40" s="65">
        <f>SUMIF('TK 15661.Bản quyền phim '!F:F,'KK6. Bổ sung'!D40,'TK 15661.Bản quyền phim '!X:X)</f>
        <v/>
      </c>
      <c r="P40" s="65">
        <f>SUMIF('TK 15661.Bản quyền phim '!F:F,'KK6. Bổ sung'!N40,'TK 15661.Bản quyền phim '!X:X)</f>
        <v/>
      </c>
      <c r="Q40" s="51" t="n"/>
      <c r="R40" s="21">
        <f>COUNTIF('TK 15661.Bản quyền phim '!F:F,'KK6. Bổ sung'!N40)</f>
        <v/>
      </c>
      <c r="S40" s="50">
        <f>Q40+R40</f>
        <v/>
      </c>
      <c r="T40" s="21" t="n"/>
      <c r="U40" s="21" t="n"/>
      <c r="V40" s="21" t="n"/>
      <c r="W40" s="21" t="n"/>
      <c r="X40" s="21" t="n"/>
      <c r="Y40" t="inlineStr">
        <is>
          <t>✗ Not Found</t>
        </is>
      </c>
    </row>
    <row r="41" hidden="1" ht="22.5" customHeight="1" s="578">
      <c r="A41" s="233" t="inlineStr">
        <is>
          <t>K+1MOV025037</t>
        </is>
      </c>
      <c r="B41" s="632" t="inlineStr">
        <is>
          <t>VND</t>
        </is>
      </c>
      <c r="C41" s="13" t="inlineStr">
        <is>
          <t>S0001883</t>
        </is>
      </c>
      <c r="D41" s="16" t="inlineStr">
        <is>
          <t>Công Ty TNHH HÌNH ẢNH CON CHIM NHẠI</t>
        </is>
      </c>
      <c r="E41" s="15" t="inlineStr">
        <is>
          <t>Anti -piracy-contract 8 movies Mockingbird 2025</t>
        </is>
      </c>
      <c r="F41" s="627" t="inlineStr">
        <is>
          <t>Movies International</t>
        </is>
      </c>
      <c r="G41" s="156" t="n">
        <v>1</v>
      </c>
      <c r="H41" s="157" t="n">
        <v>1</v>
      </c>
      <c r="I41" s="158" t="n">
        <v>1</v>
      </c>
      <c r="J41" s="167" t="n">
        <v>45688</v>
      </c>
      <c r="K41" s="167" t="n">
        <v>46052</v>
      </c>
      <c r="L41" s="628" t="inlineStr">
        <is>
          <t>Phim còn hạn từ 2026</t>
        </is>
      </c>
      <c r="M41" s="629" t="n"/>
      <c r="N41" s="68" t="inlineStr">
        <is>
          <t>LITTLE WOMEN (2019)</t>
        </is>
      </c>
      <c r="O41" s="65">
        <f>SUMIF('TK 15661.Bản quyền phim '!F:F,'KK6. Bổ sung'!D41,'TK 15661.Bản quyền phim '!X:X)</f>
        <v/>
      </c>
      <c r="P41" s="65">
        <f>SUMIF('TK 15661.Bản quyền phim '!F:F,'KK6. Bổ sung'!N41,'TK 15661.Bản quyền phim '!X:X)</f>
        <v/>
      </c>
      <c r="Q41" s="51" t="n"/>
      <c r="R41" s="21">
        <f>COUNTIF('TK 15661.Bản quyền phim '!F:F,'KK6. Bổ sung'!N41)</f>
        <v/>
      </c>
      <c r="S41" s="50">
        <f>Q41+R41</f>
        <v/>
      </c>
      <c r="T41" s="21" t="n"/>
      <c r="U41" s="21" t="n"/>
      <c r="V41" s="21" t="n"/>
      <c r="W41" s="21" t="n"/>
      <c r="X41" s="21" t="n"/>
      <c r="Y41" t="inlineStr">
        <is>
          <t>✗ Not Found</t>
        </is>
      </c>
    </row>
    <row r="42" hidden="1" ht="22.5" customHeight="1" s="578">
      <c r="A42" s="233" t="inlineStr">
        <is>
          <t>K+1MOV025053</t>
        </is>
      </c>
      <c r="B42" s="625" t="inlineStr">
        <is>
          <t>VND</t>
        </is>
      </c>
      <c r="C42" s="625" t="inlineStr">
        <is>
          <t>S0001328</t>
        </is>
      </c>
      <c r="D42" s="16" t="inlineStr">
        <is>
          <t>Công ty TNHH Skyline Media</t>
        </is>
      </c>
      <c r="E42" s="15" t="inlineStr">
        <is>
          <t>ARTICLE 20</t>
        </is>
      </c>
      <c r="F42" s="14" t="inlineStr">
        <is>
          <t>Movies International</t>
        </is>
      </c>
      <c r="G42" s="160" t="n">
        <v>1</v>
      </c>
      <c r="H42" s="161" t="n">
        <v>3</v>
      </c>
      <c r="I42" s="158" t="n">
        <v>3</v>
      </c>
      <c r="J42" s="169" t="n">
        <v>45807</v>
      </c>
      <c r="K42" s="167" t="n">
        <v>46902</v>
      </c>
      <c r="L42" s="628" t="inlineStr">
        <is>
          <t>Phim còn hạn từ 2026</t>
        </is>
      </c>
      <c r="M42" s="629" t="inlineStr">
        <is>
          <t>MOV_ACT587</t>
        </is>
      </c>
      <c r="N42" s="630" t="inlineStr">
        <is>
          <t>RIDE ALONG</t>
        </is>
      </c>
      <c r="O42" s="65">
        <f>SUMIF('TK 15661.Bản quyền phim '!F:F,'KK6. Bổ sung'!D42,'TK 15661.Bản quyền phim '!X:X)</f>
        <v/>
      </c>
      <c r="P42" s="65">
        <f>SUMIF('TK 15661.Bản quyền phim '!F:F,'KK6. Bổ sung'!N42,'TK 15661.Bản quyền phim '!X:X)</f>
        <v/>
      </c>
      <c r="Q42" s="51" t="n"/>
      <c r="R42" s="21">
        <f>COUNTIF('TK 15661.Bản quyền phim '!F:F,'KK6. Bổ sung'!N42)</f>
        <v/>
      </c>
      <c r="S42" s="50">
        <f>Q42+R42</f>
        <v/>
      </c>
      <c r="T42" s="21" t="n"/>
      <c r="U42" s="21" t="n"/>
      <c r="V42" s="21" t="n"/>
      <c r="W42" s="21" t="n"/>
      <c r="X42" s="21" t="n"/>
      <c r="Y42" t="inlineStr">
        <is>
          <t>✗ Not Found</t>
        </is>
      </c>
    </row>
    <row r="43" ht="22.5" customHeight="1" s="578">
      <c r="A43" s="233" t="inlineStr">
        <is>
          <t>K+1DOC025186</t>
        </is>
      </c>
      <c r="B43" s="625" t="inlineStr">
        <is>
          <t>USD</t>
        </is>
      </c>
      <c r="C43" s="625" t="inlineStr">
        <is>
          <t>S0001082</t>
        </is>
      </c>
      <c r="D43" s="626" t="inlineStr">
        <is>
          <t>FCCE BV</t>
        </is>
      </c>
      <c r="E43" s="627" t="inlineStr">
        <is>
          <t>End Of Year Special 2025</t>
        </is>
      </c>
      <c r="F43" s="621" t="inlineStr">
        <is>
          <t>Doc-Art</t>
        </is>
      </c>
      <c r="G43" s="155" t="n">
        <v>1</v>
      </c>
      <c r="H43" s="154" t="n">
        <v>1</v>
      </c>
      <c r="I43" s="154" t="n">
        <v>1</v>
      </c>
      <c r="J43" s="165" t="n">
        <v>45806</v>
      </c>
      <c r="K43" s="166" t="n">
        <v>46170</v>
      </c>
      <c r="L43" s="628" t="inlineStr">
        <is>
          <t>Phim còn hạn từ 2026</t>
        </is>
      </c>
      <c r="M43" s="629" t="inlineStr">
        <is>
          <t>MOV_ROM_23__2697130</t>
        </is>
      </c>
      <c r="N43" s="630" t="inlineStr">
        <is>
          <t>Time Freak</t>
        </is>
      </c>
      <c r="O43" s="65">
        <f>SUMIF('TK 15661.Bản quyền phim '!F:F,'KK6. Bổ sung'!D43,'TK 15661.Bản quyền phim '!X:X)</f>
        <v/>
      </c>
      <c r="P43" s="65">
        <f>SUMIF('TK 15661.Bản quyền phim '!F:F,'KK6. Bổ sung'!N43,'TK 15661.Bản quyền phim '!X:X)</f>
        <v/>
      </c>
      <c r="Q43" s="51" t="n"/>
      <c r="R43" s="21">
        <f>COUNTIF('TK 15661.Bản quyền phim '!F:F,'KK6. Bổ sung'!N43)</f>
        <v/>
      </c>
      <c r="S43" s="50">
        <f>Q43+R43</f>
        <v/>
      </c>
      <c r="T43" s="21" t="n"/>
      <c r="U43" s="21" t="n"/>
      <c r="V43" s="21" t="n"/>
      <c r="W43" s="21" t="n"/>
      <c r="X43" s="21" t="n"/>
      <c r="Y43" t="inlineStr">
        <is>
          <t>✗ Not Found</t>
        </is>
      </c>
    </row>
    <row r="44" hidden="1" ht="22.5" customHeight="1" s="578">
      <c r="A44" s="233" t="inlineStr">
        <is>
          <t>K+2SER025189</t>
        </is>
      </c>
      <c r="B44" s="625" t="inlineStr">
        <is>
          <t>USD</t>
        </is>
      </c>
      <c r="C44" s="625" t="inlineStr">
        <is>
          <t>S0002419</t>
        </is>
      </c>
      <c r="D44" s="16" t="inlineStr">
        <is>
          <t>PCCW Vuclip (Singapore) Pte. Ltd.</t>
        </is>
      </c>
      <c r="E44" s="15" t="inlineStr">
        <is>
          <t>Love's ambition (Hãy để tôi tỏa sáng)</t>
        </is>
      </c>
      <c r="F44" s="14" t="inlineStr">
        <is>
          <t>Series Asian</t>
        </is>
      </c>
      <c r="G44" s="160" t="n">
        <v>32</v>
      </c>
      <c r="H44" s="161" t="n">
        <v>5</v>
      </c>
      <c r="I44" s="158" t="n">
        <v>160</v>
      </c>
      <c r="J44" s="169" t="n">
        <v>45926</v>
      </c>
      <c r="K44" s="167" t="n">
        <v>47751</v>
      </c>
      <c r="L44" s="628" t="inlineStr">
        <is>
          <t>Phim còn hạn từ 2026</t>
        </is>
      </c>
      <c r="M44" s="629" t="inlineStr">
        <is>
          <t>MOV_ACT_24__2715853</t>
        </is>
      </c>
      <c r="N44" s="68" t="inlineStr">
        <is>
          <t>Cloudy Mountain (Chiều Sâu Vô Hạn)</t>
        </is>
      </c>
      <c r="O44" s="65">
        <f>SUMIF('TK 15661.Bản quyền phim '!F:F,'KK6. Bổ sung'!D44,'TK 15661.Bản quyền phim '!X:X)</f>
        <v/>
      </c>
      <c r="P44" s="65">
        <f>SUMIF('TK 15661.Bản quyền phim '!F:F,'KK6. Bổ sung'!N44,'TK 15661.Bản quyền phim '!X:X)</f>
        <v/>
      </c>
      <c r="Q44" s="51" t="n"/>
      <c r="R44" s="21">
        <f>COUNTIF('TK 15661.Bản quyền phim '!F:F,'KK6. Bổ sung'!N44)</f>
        <v/>
      </c>
      <c r="S44" s="50">
        <f>Q44+R44</f>
        <v/>
      </c>
      <c r="T44" s="21" t="n"/>
      <c r="U44" s="21" t="n"/>
      <c r="V44" s="21" t="n"/>
      <c r="W44" s="21" t="n"/>
      <c r="X44" s="21" t="n"/>
      <c r="Y44" t="inlineStr">
        <is>
          <t>✗ Not Found</t>
        </is>
      </c>
    </row>
  </sheetData>
  <autoFilter ref="A6:S44">
    <filterColumn colId="5" hiddenButton="0" showButton="1">
      <filters>
        <filter val="Doc-Art"/>
      </filters>
    </filterColumn>
  </autoFilter>
  <mergeCells count="7">
    <mergeCell ref="S5:S6"/>
    <mergeCell ref="W5:W6"/>
    <mergeCell ref="T5:V5"/>
    <mergeCell ref="T2:X2"/>
    <mergeCell ref="T1:X1"/>
    <mergeCell ref="X5:X6"/>
    <mergeCell ref="N5:R5"/>
  </mergeCells>
  <conditionalFormatting sqref="D6:D38 D40:D44">
    <cfRule type="duplicateValues" priority="101" dxfId="32"/>
    <cfRule type="duplicateValues" priority="95" dxfId="0"/>
  </conditionalFormatting>
  <conditionalFormatting sqref="D39">
    <cfRule type="duplicateValues" priority="85" dxfId="32"/>
    <cfRule type="duplicateValues" priority="84" dxfId="0"/>
    <cfRule type="duplicateValues" priority="87" dxfId="0"/>
    <cfRule type="duplicateValues" priority="86" dxfId="0"/>
  </conditionalFormatting>
  <conditionalFormatting sqref="N7">
    <cfRule type="duplicateValues" priority="72" dxfId="0"/>
  </conditionalFormatting>
  <conditionalFormatting sqref="N8">
    <cfRule type="duplicateValues" priority="69" dxfId="0"/>
    <cfRule type="duplicateValues" priority="70" dxfId="0"/>
    <cfRule type="duplicateValues" priority="71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  <cfRule type="duplicateValues" priority="64" dxfId="0"/>
    <cfRule type="duplicateValues" priority="65" dxfId="0"/>
    <cfRule type="duplicateValues" priority="66" dxfId="0"/>
    <cfRule type="duplicateValues" priority="67" dxfId="0"/>
    <cfRule type="duplicateValues" priority="68" dxfId="0"/>
  </conditionalFormatting>
  <conditionalFormatting sqref="N13">
    <cfRule type="duplicateValues" priority="55" dxfId="0"/>
  </conditionalFormatting>
  <conditionalFormatting sqref="N15">
    <cfRule type="duplicateValues" priority="54" dxfId="0"/>
  </conditionalFormatting>
  <conditionalFormatting sqref="N17">
    <cfRule type="duplicateValues" priority="53" dxfId="0"/>
  </conditionalFormatting>
  <conditionalFormatting sqref="N20">
    <cfRule type="duplicateValues" priority="51" dxfId="0"/>
  </conditionalFormatting>
  <conditionalFormatting sqref="N23">
    <cfRule type="duplicateValues" priority="47" dxfId="0"/>
    <cfRule type="duplicateValues" priority="48" dxfId="32"/>
    <cfRule type="duplicateValues" priority="50" dxfId="0"/>
    <cfRule type="duplicateValues" priority="49" dxfId="0"/>
  </conditionalFormatting>
  <conditionalFormatting sqref="N24">
    <cfRule type="duplicateValues" priority="46" dxfId="0"/>
  </conditionalFormatting>
  <conditionalFormatting sqref="N36">
    <cfRule type="duplicateValues" priority="45" dxfId="0"/>
  </conditionalFormatting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BB183"/>
  <sheetViews>
    <sheetView zoomScale="70" zoomScaleNormal="70" workbookViewId="0">
      <pane xSplit="4" ySplit="6" topLeftCell="E7" activePane="bottomRight" state="frozen"/>
      <selection pane="topRight" activeCell="E1" sqref="E1"/>
      <selection pane="bottomLeft" activeCell="A4" sqref="A4"/>
      <selection pane="bottomRight" activeCell="AZ7" sqref="AZ7"/>
    </sheetView>
  </sheetViews>
  <sheetFormatPr baseColWidth="8" defaultColWidth="8.77734375" defaultRowHeight="13.2"/>
  <cols>
    <col width="8.77734375" bestFit="1" customWidth="1" style="546" min="1" max="1"/>
    <col outlineLevel="1" width="21.109375" customWidth="1" style="549" min="2" max="2"/>
    <col width="18.44140625" customWidth="1" style="558" min="3" max="3"/>
    <col width="18.33203125" customWidth="1" style="558" min="4" max="4"/>
    <col width="14" customWidth="1" style="558" min="5" max="5"/>
    <col width="20.44140625" customWidth="1" style="558" min="6" max="6"/>
    <col width="8.77734375" customWidth="1" style="558" min="7" max="7"/>
    <col width="13.21875" customWidth="1" style="558" min="8" max="8"/>
    <col hidden="1" width="8.77734375" customWidth="1" style="558" min="9" max="10"/>
    <col hidden="1" width="12.21875" customWidth="1" style="558" min="11" max="11"/>
    <col hidden="1" width="8.77734375" customWidth="1" style="558" min="12" max="12"/>
    <col hidden="1" outlineLevel="1" width="33.5546875" customWidth="1" style="558" min="13" max="13"/>
    <col hidden="1" outlineLevel="1" width="12.5546875" customWidth="1" style="558" min="14" max="14"/>
    <col hidden="1" outlineLevel="1" width="12.77734375" customWidth="1" style="558" min="15" max="15"/>
    <col hidden="1" outlineLevel="1" width="11.77734375" customWidth="1" style="558" min="16" max="16"/>
    <col hidden="1" outlineLevel="1" width="12" customWidth="1" style="558" min="17" max="17"/>
    <col hidden="1" outlineLevel="1" width="8.77734375" customWidth="1" style="558" min="18" max="18"/>
    <col hidden="1" outlineLevel="1" width="21.44140625" customWidth="1" style="558" min="19" max="19"/>
    <col hidden="1" outlineLevel="1" width="8.77734375" customWidth="1" style="558" min="20" max="28"/>
    <col collapsed="1" width="12.21875" customWidth="1" style="558" min="29" max="29"/>
    <col width="13.5546875" customWidth="1" style="558" min="30" max="30"/>
    <col hidden="1" outlineLevel="1" width="13.5546875" customWidth="1" style="558" min="31" max="31"/>
    <col hidden="1" outlineLevel="1" width="8.77734375" customWidth="1" style="558" min="32" max="32"/>
    <col hidden="1" outlineLevel="1" width="11.44140625" customWidth="1" style="558" min="33" max="33"/>
    <col hidden="1" outlineLevel="1" width="8.77734375" customWidth="1" style="558" min="34" max="34"/>
    <col hidden="1" outlineLevel="1" style="558" min="35" max="36"/>
    <col hidden="1" outlineLevel="1" width="15.5546875" customWidth="1" style="558" min="37" max="37"/>
    <col collapsed="1" width="16.88671875" customWidth="1" style="558" min="38" max="38"/>
    <col hidden="1" width="17.5546875" customWidth="1" style="546" min="39" max="39"/>
    <col hidden="1" width="12.44140625" customWidth="1" style="546" min="40" max="40"/>
    <col hidden="1" width="20.21875" customWidth="1" style="551" min="41" max="43"/>
    <col hidden="1" width="27" customWidth="1" style="546" min="44" max="44"/>
    <col hidden="1" width="20.21875" customWidth="1" style="546" min="45" max="45"/>
    <col hidden="1" width="15.6640625" customWidth="1" style="546" min="46" max="46"/>
    <col width="8.77734375" customWidth="1" style="546" min="47" max="47"/>
    <col width="13.21875" customWidth="1" style="546" min="48" max="48"/>
    <col width="14.21875" customWidth="1" style="546" min="49" max="49"/>
    <col width="24.88671875" customWidth="1" style="546" min="50" max="50"/>
    <col width="23.88671875" customWidth="1" style="546" min="51" max="51"/>
    <col width="8.77734375" customWidth="1" style="546" min="52" max="53"/>
    <col width="8.77734375" customWidth="1" style="546" min="54" max="16384"/>
  </cols>
  <sheetData>
    <row r="1">
      <c r="A1" s="187" t="inlineStr">
        <is>
          <t xml:space="preserve">CÔNG TY: </t>
        </is>
      </c>
      <c r="B1" s="188" t="inlineStr">
        <is>
          <t xml:space="preserve"> Công ty TNHH Truyền hình số vệ tinh Việt Nam</t>
        </is>
      </c>
      <c r="C1" s="357" t="n"/>
      <c r="J1" s="633" t="n"/>
      <c r="AK1" s="358" t="n"/>
      <c r="AO1" s="582" t="inlineStr">
        <is>
          <t xml:space="preserve">           Cộng Hòa Xã Hội Chủ Nghĩa Việt Nam</t>
        </is>
      </c>
      <c r="AU1" s="582" t="inlineStr">
        <is>
          <t xml:space="preserve">           Cộng Hòa Xã Hội Chủ Nghĩa Việt Nam</t>
        </is>
      </c>
    </row>
    <row r="2">
      <c r="A2" s="187" t="n"/>
      <c r="B2" s="546" t="n"/>
      <c r="J2" s="634" t="n"/>
      <c r="AK2" s="358" t="n"/>
      <c r="AO2" s="583" t="inlineStr">
        <is>
          <t xml:space="preserve">                  Độc Lập - Tự Do - Hạnh Phúc</t>
        </is>
      </c>
      <c r="AU2" s="583" t="inlineStr">
        <is>
          <t xml:space="preserve">                  Độc Lập - Tự Do - Hạnh Phúc</t>
        </is>
      </c>
    </row>
    <row r="3">
      <c r="A3" s="547" t="inlineStr">
        <is>
          <t>BÁO CÁO KIỂM KÊ BẢN QUYỀN SERIES</t>
        </is>
      </c>
    </row>
    <row r="4">
      <c r="A4" s="547" t="inlineStr">
        <is>
          <t>Thời điểm:….......giờ, ngày…....tháng.........năm 2026</t>
        </is>
      </c>
      <c r="AT4" s="559" t="inlineStr">
        <is>
          <t>Check</t>
        </is>
      </c>
    </row>
    <row r="5" ht="52.8" customHeight="1" s="578">
      <c r="A5" s="92" t="inlineStr">
        <is>
          <t>No.</t>
        </is>
      </c>
      <c r="B5" s="93" t="inlineStr">
        <is>
          <t>Clip code</t>
        </is>
      </c>
      <c r="C5" s="93" t="inlineStr">
        <is>
          <t>ENGLISH Title</t>
        </is>
      </c>
      <c r="D5" s="93" t="inlineStr">
        <is>
          <t>VIET Title</t>
        </is>
      </c>
      <c r="E5" s="93" t="inlineStr">
        <is>
          <t>Provider</t>
        </is>
      </c>
      <c r="F5" s="93" t="inlineStr">
        <is>
          <t>Contract number</t>
        </is>
      </c>
      <c r="G5" s="93" t="inlineStr">
        <is>
          <t>Origin</t>
        </is>
      </c>
      <c r="H5" s="93" t="inlineStr">
        <is>
          <t>Year of production</t>
        </is>
      </c>
      <c r="I5" s="93" t="inlineStr">
        <is>
          <t>No. of eps</t>
        </is>
      </c>
      <c r="J5" s="93" t="inlineStr">
        <is>
          <t>Duration
(minute)</t>
        </is>
      </c>
      <c r="K5" s="439" t="inlineStr">
        <is>
          <t>Duration ( Hour)</t>
        </is>
      </c>
      <c r="L5" s="439" t="inlineStr">
        <is>
          <t>No. of eps (after Cut)</t>
        </is>
      </c>
      <c r="M5" s="93" t="inlineStr">
        <is>
          <t>Genre</t>
        </is>
      </c>
      <c r="N5" s="93" t="inlineStr">
        <is>
          <t>Main Genre</t>
        </is>
      </c>
      <c r="O5" s="93" t="inlineStr">
        <is>
          <t>From (DTH)</t>
        </is>
      </c>
      <c r="P5" s="93" t="inlineStr">
        <is>
          <t>To (DTH)</t>
        </is>
      </c>
      <c r="Q5" s="191" t="inlineStr">
        <is>
          <t>VSTV's 1st airing date</t>
        </is>
      </c>
      <c r="R5" s="191" t="inlineStr">
        <is>
          <t>Channel</t>
        </is>
      </c>
      <c r="S5" s="191" t="inlineStr">
        <is>
          <t>Exclusive
(month)</t>
        </is>
      </c>
      <c r="T5" s="191" t="inlineStr">
        <is>
          <t>Sub-license</t>
        </is>
      </c>
      <c r="U5" s="191" t="inlineStr">
        <is>
          <t>OTT rights</t>
        </is>
      </c>
      <c r="V5" s="191" t="inlineStr">
        <is>
          <t>Catch-up</t>
        </is>
      </c>
      <c r="W5" s="635" t="inlineStr">
        <is>
          <t>SVOD</t>
        </is>
      </c>
      <c r="X5" s="300" t="inlineStr">
        <is>
          <t>FVOD</t>
        </is>
      </c>
      <c r="Y5" s="635" t="inlineStr">
        <is>
          <t>AVOD</t>
        </is>
      </c>
      <c r="Z5" s="635" t="inlineStr">
        <is>
          <t>TVOD</t>
        </is>
      </c>
      <c r="AA5" s="635" t="inlineStr">
        <is>
          <t>Internet 
Streaming</t>
        </is>
      </c>
      <c r="AB5" s="635" t="inlineStr">
        <is>
          <t>Internet 
Downloading</t>
        </is>
      </c>
      <c r="AC5" s="93" t="inlineStr">
        <is>
          <t>From (VOD)</t>
        </is>
      </c>
      <c r="AD5" s="93" t="inlineStr">
        <is>
          <t>To (VOD)</t>
        </is>
      </c>
      <c r="AE5" s="93" t="inlineStr">
        <is>
          <t>Runs No.</t>
        </is>
      </c>
      <c r="AF5" s="301" t="inlineStr">
        <is>
          <t>Broadcasted runs</t>
        </is>
      </c>
      <c r="AG5" s="636" t="inlineStr">
        <is>
          <t>Last broadcast date</t>
        </is>
      </c>
      <c r="AH5" s="302" t="inlineStr">
        <is>
          <t>Remain Run</t>
        </is>
      </c>
      <c r="AI5" s="637" t="inlineStr">
        <is>
          <t>HD Censorship</t>
        </is>
      </c>
      <c r="AJ5" s="635" t="inlineStr">
        <is>
          <t>LTO</t>
        </is>
      </c>
      <c r="AK5" s="303" t="inlineStr">
        <is>
          <t>Day And Date</t>
        </is>
      </c>
      <c r="AL5" s="638" t="inlineStr">
        <is>
          <t>Note</t>
        </is>
      </c>
      <c r="AM5" s="639" t="inlineStr">
        <is>
          <t>Tên trên file Kế toán</t>
        </is>
      </c>
      <c r="AN5" s="639" t="inlineStr">
        <is>
          <t>details kế toán</t>
        </is>
      </c>
      <c r="AO5" s="639" t="inlineStr">
        <is>
          <t>Giá trị còn lại (15661)</t>
        </is>
      </c>
      <c r="AP5" s="72" t="inlineStr">
        <is>
          <t>Check ref "242. BQ Phim VOD"</t>
        </is>
      </c>
      <c r="AQ5" s="72" t="inlineStr">
        <is>
          <t>Check ref "TK 15666. Phim SX"</t>
        </is>
      </c>
      <c r="AR5" s="72" t="inlineStr">
        <is>
          <t>Check ref "TK 15661. Bản quyền phim"</t>
        </is>
      </c>
      <c r="AS5" s="72" t="inlineStr">
        <is>
          <t>Phim Barter</t>
        </is>
      </c>
      <c r="AT5" s="556" t="n"/>
      <c r="AU5" s="585" t="inlineStr">
        <is>
          <t>SỐ LIỆU KIỂM KÊ</t>
        </is>
      </c>
      <c r="AV5" s="539" t="n"/>
      <c r="AW5" s="535" t="n"/>
      <c r="AX5" s="199" t="inlineStr">
        <is>
          <t>Giải trình chênh lệch</t>
        </is>
      </c>
      <c r="AY5" s="199" t="inlineStr">
        <is>
          <t>Đề xuất Phương án xử lý</t>
        </is>
      </c>
      <c r="BB5" s="387" t="n"/>
    </row>
    <row r="6" ht="26.4" customHeight="1" s="578">
      <c r="A6" s="92" t="n"/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439" t="n"/>
      <c r="L6" s="439" t="n"/>
      <c r="M6" s="93" t="n"/>
      <c r="N6" s="93" t="n"/>
      <c r="O6" s="93" t="n"/>
      <c r="P6" s="93" t="n"/>
      <c r="Q6" s="191" t="n"/>
      <c r="R6" s="191" t="n"/>
      <c r="S6" s="191" t="n"/>
      <c r="T6" s="191" t="n"/>
      <c r="U6" s="191" t="n"/>
      <c r="V6" s="191" t="n"/>
      <c r="W6" s="635" t="n"/>
      <c r="X6" s="300" t="n"/>
      <c r="Y6" s="635" t="n"/>
      <c r="Z6" s="635" t="n"/>
      <c r="AA6" s="635" t="n"/>
      <c r="AB6" s="635" t="n"/>
      <c r="AC6" s="93" t="n"/>
      <c r="AD6" s="93" t="n"/>
      <c r="AE6" s="93" t="n"/>
      <c r="AF6" s="301" t="n"/>
      <c r="AG6" s="636" t="n"/>
      <c r="AH6" s="302" t="n"/>
      <c r="AI6" s="640" t="n"/>
      <c r="AJ6" s="640" t="n"/>
      <c r="AK6" s="304" t="n"/>
      <c r="AL6" s="635" t="n"/>
      <c r="AM6" s="203" t="n"/>
      <c r="AN6" s="203" t="n"/>
      <c r="AO6" s="128" t="n"/>
      <c r="AP6" s="128">
        <f>COUNTIF(AP7:AP174,1)</f>
        <v/>
      </c>
      <c r="AQ6" s="128">
        <f>COUNTIF(AQ7:AQ174,1)</f>
        <v/>
      </c>
      <c r="AR6" s="128">
        <f>COUNTIF(AR7:AR174,1)</f>
        <v/>
      </c>
      <c r="AS6" s="203" t="n"/>
      <c r="AT6" s="203" t="n"/>
      <c r="AU6" s="200" t="inlineStr">
        <is>
          <t>Số lượng</t>
        </is>
      </c>
      <c r="AV6" s="200" t="inlineStr">
        <is>
          <t>From (VOD)</t>
        </is>
      </c>
      <c r="AW6" s="200" t="inlineStr">
        <is>
          <t>To (VOD)</t>
        </is>
      </c>
      <c r="AX6" s="199" t="inlineStr">
        <is>
          <t>Giải trình chênh lệch</t>
        </is>
      </c>
      <c r="AY6" s="199" t="inlineStr">
        <is>
          <t>Đề xuất Phương án xử lý</t>
        </is>
      </c>
      <c r="AZ6" s="365" t="inlineStr">
        <is>
          <t>Kết quả tìm</t>
        </is>
      </c>
      <c r="BA6" s="387" t="n"/>
    </row>
    <row r="7" ht="409.6" customHeight="1" s="578">
      <c r="A7" s="96" t="n">
        <v>1</v>
      </c>
      <c r="B7" s="97" t="inlineStr">
        <is>
          <t>Voice:
EP01 – SER_DRA_2656765
EP02 – SER_DRA_2656766
EP03 – SER_DRA_2656767
EP04 – SER_DRA_2656768
EP05 – SER_DRA_2656769
EP06 – SER_DRA_2656770
EP07 – SER_DRA_2656771
EP08 – SER_DRA_2656772
EP09 – SER_DRA_2656773
EP10 – SER_DRA_2656774
EP11 – SER_DRA_2656775
EP12 – SER_DRA_2656776
EP13 – SER_DRA_2656777
EP14 – SER_DRA_2656778
EP15 – SER_DRA_2656779
EP16 – SER_DRA_2656780
EP17 – SER_DRA_2656781
EP18 – SER_DRA_2656782
EP19 – SER_DRA_2656783
EP20 – SER_DRA_2656784
EP21 – SER_DRA_2656785
EP22 – SER_DRA_2656786
EP23 – SER_DRA_2656787
EP24 – SER_DRA_2656788
EP25 – SER_DRA_2656789
EP26 – SER_DRA_2656790
EP27 – SER_DRA_2656791
EP28 – SER_DRA_2656792
EP29 – SER_DRA_2656793
EP30 – SER_DRA_2656794
EP31 – SER_DRA_2656795
EP32 – SER_DRA_2656796
EP33 – SER_DRA_2656797
EP34 – SER_DRA_2656798
EP35 – SER_DRA_2656799
EP36 – SER_DRA_2656800
EP37 – SER_DRA_2656801
EP38 – SER_DRA_2656802
EP39 – SER_DRA_2656803
EP40 – SER_DRA_2656804
Sub: SER_DRA_21_2652587	LOVE IS TRUE, EP40 (VOD)
SER_DRA_21_2652586	LOVE IS TRUE, EP39 (VOD)
SER_DRA_21_2652585	LOVE IS TRUE, EP38 (VOD)
SER_DRA_21_2652584	LOVE IS TRUE, EP37 (VOD)
SER_DRA_21_2652581	LOVE IS TRUE, EP34 (VOD)
SER_DRA_21_2652583	LOVE IS TRUE, EP36 (VOD)
SER_DRA_21_2652582	LOVE IS TRUE, EP35 (VOD)
SER_DRA_21_2652580	LOVE IS TRUE, EP33 (VOD)
SER_DRA_21_2652579	LOVE IS TRUE, EP32 (VOD)
SER_DRA_21_2652578	LOVE IS TRUE, EP31 (VOD)
SER_DRA_21_2652577	LOVE IS TRUE, EP30 (VOD)
SER_DRA_21_2652576	LOVE IS TRUE, EP29 (VOD)
SER_DRA_21_2652575	LOVE IS TRUE, EP28 (VOD)
SER_DRA_21_2652574	LOVE IS TRUE, EP27 (VOD)
SER_DRA_21_2652572	LOVE IS TRUE, EP25 (VOD)
SER_DRA_21_2652573	LOVE IS TRUE, EP26 (VOD)
SER_DRA_21_2652571	LOVE IS TRUE, EP24 (VOD)
SER_DRA_21_2652569	LOVE IS TRUE, EP22 (VOD)
SER_DRA_21_2652570	LOVE IS TRUE, EP23 (VOD)
SER_DRA_21_2652568	LOVE IS TRUE, EP21 (VOD)
SER_DRA_21_2652567	LOVE IS TRUE, EP20 (VOD)
SER_DRA_21_2652565	LOVE IS TRUE, EP18 (VOD)
SER_DRA_21_2652566	LOVE IS TRUE, EP19 (VOD)
SER_DRA_21_2652564	LOVE IS TRUE, EP17 (VOD)
SER_DRA_21_2652563	LOVE IS TRUE, EP16 (VOD)
SER_DRA_21_2652562	LOVE IS TRUE, EP15 (VOD)
SER_DRA_21_2652561	LOVE IS TRUE, EP14 (VOD)
SER_DRA_21_2652560	LOVE IS TRUE, EP13 (VOD)
SER_DRA_21_2652558	LOVE IS TRUE, EP11 (VOD)
SER_DRA_21_2652559	LOVE IS TRUE, EP12 (VOD)
SER_DRA_21_2652557	LOVE IS TRUE, EP10 (VOD)
SER_DRA_21_2652555	LOVE IS TRUE, EP08 (VOD)
SER_DRA_21_2652556	LOVE IS TRUE, EP09 (VOD)
SER_DRA_21_2652554	LOVE IS TRUE, EP07 (VOD)
SER_DRA_21_2652553	LOVE IS TRUE, EP06 (VOD)
SER_DRA_21_2652551	LOVE IS TRUE, EP04 (VOD)
SER_DRA_21_2652552	LOVE IS TRUE, EP05 (VOD)
SER_DRA_21_2652550	LOVE IS TRUE, EP03 (VOD)
SER_DRA_21_2652549	LOVE IS TRUE, EP02 (VOD)
SER_DRA__2652548	LOVE IS TRUE, EP01 (VOD)</t>
        </is>
      </c>
      <c r="C7" s="590" t="inlineStr">
        <is>
          <t>LOVE IS TRUE</t>
        </is>
      </c>
      <c r="D7" s="590" t="inlineStr">
        <is>
          <t>THẬT LÒNG YÊU EM</t>
        </is>
      </c>
      <c r="E7" s="590" t="inlineStr">
        <is>
          <t>Hangzhou IX Media</t>
        </is>
      </c>
      <c r="F7" s="590" t="inlineStr">
        <is>
          <t>IX Media/Love is True</t>
        </is>
      </c>
      <c r="G7" s="590" t="inlineStr">
        <is>
          <t>China</t>
        </is>
      </c>
      <c r="H7" s="305" t="n">
        <v>2021</v>
      </c>
      <c r="I7" s="305" t="n">
        <v>40</v>
      </c>
      <c r="J7" s="305" t="n">
        <v>45</v>
      </c>
      <c r="K7" s="305">
        <f>(I7*J7)/60</f>
        <v/>
      </c>
      <c r="L7" s="305">
        <f>I7</f>
        <v/>
      </c>
      <c r="M7" s="590" t="inlineStr">
        <is>
          <t>Drama, Romance</t>
        </is>
      </c>
      <c r="N7" s="590" t="inlineStr">
        <is>
          <t>Romance</t>
        </is>
      </c>
      <c r="O7" s="590" t="n">
        <v>44394</v>
      </c>
      <c r="P7" s="208" t="n">
        <v>46219</v>
      </c>
      <c r="Q7" s="208" t="n">
        <v>44595</v>
      </c>
      <c r="R7" s="208" t="inlineStr">
        <is>
          <t>K+LIFE</t>
        </is>
      </c>
      <c r="S7" s="208" t="inlineStr">
        <is>
          <t xml:space="preserve">Exclusive All TV Rights and All VOD Rights during LP </t>
        </is>
      </c>
      <c r="T7" s="590" t="inlineStr">
        <is>
          <t>Yes</t>
        </is>
      </c>
      <c r="U7" s="590" t="inlineStr">
        <is>
          <t>Yes</t>
        </is>
      </c>
      <c r="V7" s="590" t="inlineStr">
        <is>
          <t>Yes</t>
        </is>
      </c>
      <c r="W7" s="590" t="inlineStr">
        <is>
          <t>Yes</t>
        </is>
      </c>
      <c r="X7" s="590" t="inlineStr">
        <is>
          <t>Yes</t>
        </is>
      </c>
      <c r="Y7" s="590" t="inlineStr">
        <is>
          <t>Yes</t>
        </is>
      </c>
      <c r="Z7" s="590" t="inlineStr">
        <is>
          <t>Yes</t>
        </is>
      </c>
      <c r="AA7" s="590" t="inlineStr">
        <is>
          <t>No</t>
        </is>
      </c>
      <c r="AB7" s="590" t="inlineStr">
        <is>
          <t>No</t>
        </is>
      </c>
      <c r="AC7" s="590" t="n">
        <v>44394</v>
      </c>
      <c r="AD7" s="208" t="n">
        <v>46219</v>
      </c>
      <c r="AE7" s="590" t="inlineStr">
        <is>
          <t>Unlimited</t>
        </is>
      </c>
      <c r="AF7" s="306" t="n">
        <v>3</v>
      </c>
      <c r="AG7" s="641" t="n">
        <v>44600</v>
      </c>
      <c r="AH7" s="590" t="inlineStr">
        <is>
          <t>Unlimited</t>
        </is>
      </c>
      <c r="AI7" s="642" t="inlineStr">
        <is>
          <t>Yes</t>
        </is>
      </c>
      <c r="AJ7" s="642" t="inlineStr">
        <is>
          <t>Yes</t>
        </is>
      </c>
      <c r="AK7" s="307" t="n"/>
      <c r="AL7" s="590" t="inlineStr">
        <is>
          <t>Phim còn hạn từ 2026</t>
        </is>
      </c>
      <c r="AM7" s="643" t="inlineStr">
        <is>
          <t>LOVE IS TRUE</t>
        </is>
      </c>
      <c r="AN7" s="203" t="n"/>
      <c r="AO7" s="128">
        <f>SUMIF('TK 15661.Bản quyền phim '!F:F,'KK2. Series'!C7,'TK 15661.Bản quyền phim '!K:K)</f>
        <v/>
      </c>
      <c r="AP7" s="128">
        <f>COUNTIF('242.BQ Phim VOD'!$C$5:$C$8,'KK2. Series'!AM7)</f>
        <v/>
      </c>
      <c r="AQ7" s="128">
        <f>COUNTIF('TK 15666. Phim SX'!$C$6:$C$13,'KK2. Series'!AM7)</f>
        <v/>
      </c>
      <c r="AR7" s="203">
        <f>COUNTIF('TK 15661.Bản quyền phim '!F:F,'KK2. Series'!AM7)</f>
        <v/>
      </c>
      <c r="AS7" s="203" t="n"/>
      <c r="AT7" s="366">
        <f>SUM(AP7:AS7)</f>
        <v/>
      </c>
      <c r="AU7" s="203" t="n"/>
      <c r="AV7" s="203" t="n"/>
      <c r="AW7" s="203" t="n"/>
      <c r="AX7" s="203" t="n"/>
      <c r="AY7" s="203" t="n"/>
      <c r="AZ7" s="387" t="inlineStr">
        <is>
          <t>✓ Found</t>
        </is>
      </c>
      <c r="BB7" s="387" t="n"/>
    </row>
    <row r="8" ht="409.6" customHeight="1" s="578">
      <c r="A8" s="96" t="n">
        <v>2</v>
      </c>
      <c r="B8" s="97" t="inlineStr">
        <is>
          <t>EP01 – SER_DRA_21_2646178
EP02 – SER_DRA_21_1615510795318_2646179
EP03 – SER_DRA_21_1615510795319_2646180
EP04 – SER_DRA_21_1615510795320_2646181
EP05 – SER_DRA_21_1615510795321_2646182
EP06 – SER_DRA_21_1615510795322_2646183
EP07 – SER_DRA_21_1615510795323_2646184
EP08 – SER_DRA_21_1615510795324_2646185
EP09 – SER_DRA_21_1615510795325_2646186
EP10 – SER_DRA_21_1615510795326_2646187
EP11 – SER_DRA_21_1615510795327_2646188
EP12 – SER_DRA_21_1615510795328_2646189
EP13 – SER_DRA_21_1615510795329_2646190
EP14 – SER_DRA_21_2647854
EP15 – SER_DRA_21_1615510795331_2646192
EP16 – SER_DRA_21_1615510795332_2646193
EP17 – SER_DRA_21_1615510795333_2646194
EP18 – SER_DRA_21_1615510795334_2646195
EP19 – SER_DRA_21_1615510795335_2646196
EP20 – SER_DRA_21_1615510795336_2646197
EP21 – SER_DRA_21_1615510795337_2646198
EP22 – SER_DRA_21_1615510795338_2646199
EP23 – SER_DRA_21_1615510795339_2646200</t>
        </is>
      </c>
      <c r="C8" s="590" t="inlineStr">
        <is>
          <t>Mother To Be</t>
        </is>
      </c>
      <c r="D8" s="590" t="inlineStr">
        <is>
          <t>Hành trang làm mẹ</t>
        </is>
      </c>
      <c r="E8" s="590" t="inlineStr">
        <is>
          <t>IX Media</t>
        </is>
      </c>
      <c r="F8" s="590" t="inlineStr">
        <is>
          <t>IX Media/Mother to be</t>
        </is>
      </c>
      <c r="G8" s="590" t="inlineStr">
        <is>
          <t>Taiwan</t>
        </is>
      </c>
      <c r="H8" s="305" t="n">
        <v>2020</v>
      </c>
      <c r="I8" s="305" t="n">
        <v>24</v>
      </c>
      <c r="J8" s="305" t="n">
        <v>45</v>
      </c>
      <c r="K8" s="305">
        <f>(I8*J8)/60</f>
        <v/>
      </c>
      <c r="L8" s="305">
        <f>I8</f>
        <v/>
      </c>
      <c r="M8" s="590" t="inlineStr">
        <is>
          <t>Romance x Drama x Family</t>
        </is>
      </c>
      <c r="N8" s="590" t="inlineStr">
        <is>
          <t>Drama</t>
        </is>
      </c>
      <c r="O8" s="590" t="n">
        <v>44286</v>
      </c>
      <c r="P8" s="590" t="n">
        <v>46111</v>
      </c>
      <c r="Q8" s="590" t="n">
        <v>44291</v>
      </c>
      <c r="R8" s="590" t="inlineStr">
        <is>
          <t>K+LIFE</t>
        </is>
      </c>
      <c r="S8" s="590" t="n"/>
      <c r="T8" s="590" t="inlineStr">
        <is>
          <t>Yes</t>
        </is>
      </c>
      <c r="U8" s="590" t="inlineStr">
        <is>
          <t>Yes</t>
        </is>
      </c>
      <c r="V8" s="590" t="inlineStr">
        <is>
          <t>Yes</t>
        </is>
      </c>
      <c r="W8" s="590" t="inlineStr">
        <is>
          <t>Yes</t>
        </is>
      </c>
      <c r="X8" s="590" t="inlineStr">
        <is>
          <t>Yes</t>
        </is>
      </c>
      <c r="Y8" s="590" t="inlineStr">
        <is>
          <t>Yes</t>
        </is>
      </c>
      <c r="Z8" s="590" t="inlineStr">
        <is>
          <t>Yes</t>
        </is>
      </c>
      <c r="AA8" s="590" t="inlineStr">
        <is>
          <t>No</t>
        </is>
      </c>
      <c r="AB8" s="590" t="inlineStr">
        <is>
          <t>No</t>
        </is>
      </c>
      <c r="AC8" s="590" t="n">
        <v>44286</v>
      </c>
      <c r="AD8" s="590" t="n">
        <v>46111</v>
      </c>
      <c r="AE8" s="590" t="inlineStr">
        <is>
          <t>Unlimited</t>
        </is>
      </c>
      <c r="AF8" s="306" t="n">
        <v>8</v>
      </c>
      <c r="AG8" s="641" t="n">
        <v>44703</v>
      </c>
      <c r="AH8" s="590" t="inlineStr">
        <is>
          <t>Unlimited</t>
        </is>
      </c>
      <c r="AI8" s="642" t="inlineStr">
        <is>
          <t>Yes</t>
        </is>
      </c>
      <c r="AJ8" s="642" t="inlineStr">
        <is>
          <t>Yes</t>
        </is>
      </c>
      <c r="AK8" s="307" t="n"/>
      <c r="AL8" s="590" t="inlineStr">
        <is>
          <t>Phim còn hạn từ 2026</t>
        </is>
      </c>
      <c r="AM8" s="643" t="inlineStr">
        <is>
          <t>Mother To Be</t>
        </is>
      </c>
      <c r="AN8" s="203" t="n"/>
      <c r="AO8" s="128">
        <f>SUMIF('TK 15661.Bản quyền phim '!F:F,'KK2. Series'!C8,'TK 15661.Bản quyền phim '!K:K)</f>
        <v/>
      </c>
      <c r="AP8" s="128">
        <f>COUNTIF('242.BQ Phim VOD'!$C$5:$C$8,'KK2. Series'!AM8)</f>
        <v/>
      </c>
      <c r="AQ8" s="128">
        <f>COUNTIF('TK 15666. Phim SX'!$C$6:$C$13,'KK2. Series'!AM8)</f>
        <v/>
      </c>
      <c r="AR8" s="203">
        <f>COUNTIF('TK 15661.Bản quyền phim '!F:F,'KK2. Series'!AM8)</f>
        <v/>
      </c>
      <c r="AS8" s="203" t="n"/>
      <c r="AT8" s="366">
        <f>SUM(AP8:AS8)</f>
        <v/>
      </c>
      <c r="AU8" s="203" t="n"/>
      <c r="AV8" s="203" t="n"/>
      <c r="AW8" s="203" t="n"/>
      <c r="AX8" s="203" t="n"/>
      <c r="AY8" s="203" t="n"/>
      <c r="AZ8" s="387" t="inlineStr">
        <is>
          <t>✓ Found</t>
        </is>
      </c>
      <c r="BB8" s="387" t="n"/>
    </row>
    <row r="9" ht="409.6" customHeight="1" s="578">
      <c r="A9" s="96" t="n">
        <v>3</v>
      </c>
      <c r="B9" s="97" t="inlineStr">
        <is>
          <t>EP01 – SER_HIS_2688539
EP02 – SER_HIS_2688540
EP03 – SER_HIS_2688541
EP04 – SER_HIS_2688542
EP05 – SER_HIS_2688543
EP06 – SER_HIS_2688544
EP07 – SER_HIS_2688545
EP08 – SER_HIS_2688546
EP09 – SER_HIS_2688547
EP10 – SER_HIS_2688548
EP11 – SER_HIS_2688549
EP12 – SER_HIS_2688550
EP13 – SER_HIS_2688551
EP14 – SER_HIS_2688552
EP15 – SER_HIS_2688553
EP16 – SER_HIS_2688554
EP17 – SER_HIS_2688555
EP18 – SER_HIS_2688556
EP19 – SER_HIS_2688557
EP20 – SER_HIS_2688558
EP21 – SER_HIS_2688559
EP22 – SER_HIS_2688560
EP23 – SER_HIS_2688561
EP24 – SER_HIS_2688562
EP25 – SER_HIS_2688563
EP26 – SER_HIS_2688564
EP27 – SER_HIS_2688565
EP28 – SER_HIS_2688566
EP29 – SER_HIS_2688567
EP30 – SER_HIS_2688568
EP31 – SER_HIS_2689763
EP32 – SER_HIS_2688570</t>
        </is>
      </c>
      <c r="C9" s="590" t="inlineStr">
        <is>
          <t>King of tears – Lee Bangwon</t>
        </is>
      </c>
      <c r="D9" s="590" t="inlineStr">
        <is>
          <t>Vương quyền đẫm máu</t>
        </is>
      </c>
      <c r="E9" s="590" t="inlineStr">
        <is>
          <t>King Content</t>
        </is>
      </c>
      <c r="F9" s="590" t="inlineStr">
        <is>
          <t>130/2022/HDBQ/VSTV-KC</t>
        </is>
      </c>
      <c r="G9" s="590" t="inlineStr">
        <is>
          <t>Korea</t>
        </is>
      </c>
      <c r="H9" s="305" t="n">
        <v>2021</v>
      </c>
      <c r="I9" s="305" t="n">
        <v>32</v>
      </c>
      <c r="J9" s="305" t="n">
        <v>45</v>
      </c>
      <c r="K9" s="449">
        <f>(I9*J9)/60</f>
        <v/>
      </c>
      <c r="L9" s="305">
        <f>I9</f>
        <v/>
      </c>
      <c r="M9" s="590" t="inlineStr">
        <is>
          <t>Costume, historical</t>
        </is>
      </c>
      <c r="N9" s="590" t="inlineStr">
        <is>
          <t>Drama</t>
        </is>
      </c>
      <c r="O9" s="208" t="n">
        <v>44971</v>
      </c>
      <c r="P9" s="208" t="n">
        <v>46066</v>
      </c>
      <c r="Q9" s="208" t="n">
        <v>44971</v>
      </c>
      <c r="R9" s="208" t="inlineStr">
        <is>
          <t>K+LIFE</t>
        </is>
      </c>
      <c r="S9" s="590" t="inlineStr">
        <is>
          <t xml:space="preserve">Exclusive All Pay TV Rights and
Non exclusive All VOD during LP </t>
        </is>
      </c>
      <c r="T9" s="590" t="inlineStr">
        <is>
          <t>Yes</t>
        </is>
      </c>
      <c r="U9" s="590" t="inlineStr">
        <is>
          <t>Yes</t>
        </is>
      </c>
      <c r="V9" s="590" t="inlineStr">
        <is>
          <t>Yes</t>
        </is>
      </c>
      <c r="W9" s="590" t="inlineStr">
        <is>
          <t>Yes</t>
        </is>
      </c>
      <c r="X9" s="590" t="inlineStr">
        <is>
          <t>Yes</t>
        </is>
      </c>
      <c r="Y9" s="590" t="inlineStr">
        <is>
          <t>Yes</t>
        </is>
      </c>
      <c r="Z9" s="590" t="inlineStr">
        <is>
          <t>Yes</t>
        </is>
      </c>
      <c r="AA9" s="590" t="inlineStr">
        <is>
          <t>Yes</t>
        </is>
      </c>
      <c r="AB9" s="590" t="inlineStr">
        <is>
          <t>Yes</t>
        </is>
      </c>
      <c r="AC9" s="208" t="n">
        <v>44971</v>
      </c>
      <c r="AD9" s="208" t="n">
        <v>46066</v>
      </c>
      <c r="AE9" s="590" t="inlineStr">
        <is>
          <t>Unlimited</t>
        </is>
      </c>
      <c r="AF9" s="306" t="n">
        <v>8</v>
      </c>
      <c r="AG9" s="641" t="n">
        <v>45738</v>
      </c>
      <c r="AH9" s="590" t="inlineStr">
        <is>
          <t>Unlimited</t>
        </is>
      </c>
      <c r="AI9" s="642" t="inlineStr">
        <is>
          <t>Yes</t>
        </is>
      </c>
      <c r="AJ9" s="642" t="inlineStr">
        <is>
          <t>Yes</t>
        </is>
      </c>
      <c r="AK9" s="307" t="n"/>
      <c r="AL9" s="590" t="inlineStr">
        <is>
          <t>Phim còn hạn từ 2026</t>
        </is>
      </c>
      <c r="AM9" s="203" t="inlineStr">
        <is>
          <t>King of tears - Lee Bangwon</t>
        </is>
      </c>
      <c r="AN9" s="203" t="n"/>
      <c r="AO9" s="128">
        <f>SUMIF('TK 15661.Bản quyền phim '!F:F,'KK2. Series'!C9,'TK 15661.Bản quyền phim '!K:K)</f>
        <v/>
      </c>
      <c r="AP9" s="128">
        <f>COUNTIF('242.BQ Phim VOD'!$C$5:$C$8,'KK2. Series'!AM9)</f>
        <v/>
      </c>
      <c r="AQ9" s="128">
        <f>COUNTIF('TK 15666. Phim SX'!$C$6:$C$13,'KK2. Series'!AM9)</f>
        <v/>
      </c>
      <c r="AR9" s="203">
        <f>COUNTIF('TK 15661.Bản quyền phim '!F:F,'KK2. Series'!AM9)</f>
        <v/>
      </c>
      <c r="AS9" s="203" t="n"/>
      <c r="AT9" s="366">
        <f>SUM(AP9:AS9)</f>
        <v/>
      </c>
      <c r="AU9" s="203" t="n"/>
      <c r="AV9" s="203" t="n"/>
      <c r="AW9" s="203" t="n"/>
      <c r="AX9" s="203" t="n"/>
      <c r="AY9" s="203" t="n"/>
      <c r="AZ9" s="387" t="inlineStr">
        <is>
          <t>✓ Found</t>
        </is>
      </c>
      <c r="BB9" s="387" t="n"/>
    </row>
    <row r="10" ht="409.6" customHeight="1" s="578">
      <c r="A10" s="96" t="n">
        <v>4</v>
      </c>
      <c r="B10" s="97" t="inlineStr">
        <is>
          <t>EP01 – SER_DRA_2693039
EP02 – SER_DRA_2693040
EP03 – SER_DRA_2693041
EP04 – SER_DRA_2693042
EP05 – SER_DRA_2693043
EP06 – SER_DRA_2693044
EP07 – SER_DRA_2693045
EP08 – SER_DRA_2693046
EP09 – SER_DRA_2693047
EP10 – SER_DRA_2693048
EP11 – SER_DRA_2693049
EP12 – SER_DRA_2693050
EP13 – SER_DRA_2693051
EP14 – SER_DRA_2693052
EP15 – SER_DRA_2693053
EP16 – SER_DRA_2693054
EP17 – SER_DRA_2693055
EP18 – SER_DRA_2693056
EP19 – SER_DRA_2693057
EP20 – SER_DRA_2693058
EP21 – SER_DRA_2693059
EP22 – SER_DRA_2693060
EP23 – SER_DRA_2693061
EP24 – SER_DRA_2693062
EP25 – SER_DRA_2693063
EP26 – SER_DRA_2693064
EP27 – SER_DRA_2693065
EP28 – SER_DRA_2693066
EP29 – SER_DRA_2693067
EP30 – SER_DRA_2693068
EP31 – SER_DRA_2693069
EP32 – SER_DRA_2693070
EP33 – SER_DRA_2693071
EP34 – SER_DRA_2693072
EP35 – SER_DRA_2693073
EP36 – SER_DRA_2693074
EP37 – SER_DRA_2693075
EP38 – SER_DRA_2693076</t>
        </is>
      </c>
      <c r="C10" s="590" t="inlineStr">
        <is>
          <t>Ordinary Greatness</t>
        </is>
      </c>
      <c r="D10" s="590" t="inlineStr">
        <is>
          <t>Cảnh sát vinh dự</t>
        </is>
      </c>
      <c r="E10" s="590" t="inlineStr">
        <is>
          <t>iQiYi</t>
        </is>
      </c>
      <c r="F10" s="590" t="inlineStr">
        <is>
          <t>46/2023/HDBQ/VSTV-IQIYI</t>
        </is>
      </c>
      <c r="G10" s="590" t="inlineStr">
        <is>
          <t>China</t>
        </is>
      </c>
      <c r="H10" s="305" t="n">
        <v>2022</v>
      </c>
      <c r="I10" s="305" t="n">
        <v>38</v>
      </c>
      <c r="J10" s="305" t="n">
        <v>45</v>
      </c>
      <c r="K10" s="305">
        <f>(I10*J10)/60</f>
        <v/>
      </c>
      <c r="L10" s="305">
        <f>I10</f>
        <v/>
      </c>
      <c r="M10" s="590" t="inlineStr">
        <is>
          <t>Drama, Youth, Action</t>
        </is>
      </c>
      <c r="N10" s="590" t="inlineStr">
        <is>
          <t>Drama</t>
        </is>
      </c>
      <c r="O10" s="208" t="n">
        <v>45041</v>
      </c>
      <c r="P10" s="208" t="n">
        <v>46501</v>
      </c>
      <c r="Q10" s="208" t="n">
        <v>45055</v>
      </c>
      <c r="R10" s="208" t="inlineStr">
        <is>
          <t>K+LIFE</t>
        </is>
      </c>
      <c r="S10" s="590" t="inlineStr">
        <is>
          <t>Exclusive all Pay TV rights; Non exclusive SVOD + TVOD rights</t>
        </is>
      </c>
      <c r="T10" s="590" t="inlineStr">
        <is>
          <t>No</t>
        </is>
      </c>
      <c r="U10" s="590" t="inlineStr">
        <is>
          <t>Yes</t>
        </is>
      </c>
      <c r="V10" s="590" t="inlineStr">
        <is>
          <t>Yes</t>
        </is>
      </c>
      <c r="W10" s="590" t="inlineStr">
        <is>
          <t>Yes</t>
        </is>
      </c>
      <c r="X10" s="590" t="inlineStr">
        <is>
          <t>No</t>
        </is>
      </c>
      <c r="Y10" s="590" t="inlineStr">
        <is>
          <t>No</t>
        </is>
      </c>
      <c r="Z10" s="590" t="inlineStr">
        <is>
          <t>Yes</t>
        </is>
      </c>
      <c r="AA10" s="590" t="inlineStr">
        <is>
          <t>No</t>
        </is>
      </c>
      <c r="AB10" s="590" t="inlineStr">
        <is>
          <t>No</t>
        </is>
      </c>
      <c r="AC10" s="208" t="n">
        <v>45041</v>
      </c>
      <c r="AD10" s="208" t="n">
        <v>46501</v>
      </c>
      <c r="AE10" s="590" t="inlineStr">
        <is>
          <t>Unlimited</t>
        </is>
      </c>
      <c r="AF10" s="306" t="n">
        <v>5</v>
      </c>
      <c r="AG10" s="641" t="n">
        <v>45059</v>
      </c>
      <c r="AH10" s="590" t="inlineStr">
        <is>
          <t>Unlimited</t>
        </is>
      </c>
      <c r="AI10" s="642" t="inlineStr">
        <is>
          <t>Yes</t>
        </is>
      </c>
      <c r="AJ10" s="642" t="inlineStr">
        <is>
          <t>Yes</t>
        </is>
      </c>
      <c r="AK10" s="307" t="n"/>
      <c r="AL10" s="590" t="inlineStr">
        <is>
          <t>Phim còn hạn từ 2026</t>
        </is>
      </c>
      <c r="AM10" s="595" t="inlineStr">
        <is>
          <t>Greatness Ordinary</t>
        </is>
      </c>
      <c r="AN10" s="203" t="n"/>
      <c r="AO10" s="128">
        <f>SUMIF('TK 15661.Bản quyền phim '!F:F,'KK2. Series'!C10,'TK 15661.Bản quyền phim '!K:K)</f>
        <v/>
      </c>
      <c r="AP10" s="128">
        <f>COUNTIF('242.BQ Phim VOD'!$C$5:$C$8,'KK2. Series'!AM10)</f>
        <v/>
      </c>
      <c r="AQ10" s="128">
        <f>COUNTIF('TK 15666. Phim SX'!$C$6:$C$13,'KK2. Series'!AM10)</f>
        <v/>
      </c>
      <c r="AR10" s="203">
        <f>COUNTIF('TK 15661.Bản quyền phim '!F:F,'KK2. Series'!AM10)</f>
        <v/>
      </c>
      <c r="AS10" s="203" t="n"/>
      <c r="AT10" s="366">
        <f>SUM(AP10:AS10)</f>
        <v/>
      </c>
      <c r="AU10" s="203" t="n"/>
      <c r="AV10" s="203" t="n"/>
      <c r="AW10" s="203" t="n"/>
      <c r="AX10" s="203" t="n"/>
      <c r="AY10" s="203" t="n"/>
      <c r="AZ10" s="387" t="inlineStr">
        <is>
          <t>✓ Found</t>
        </is>
      </c>
      <c r="BB10" s="387" t="n"/>
    </row>
    <row r="11" ht="409.6" customHeight="1" s="578">
      <c r="A11" s="96" t="n">
        <v>5</v>
      </c>
      <c r="B11" s="97" t="inlineStr">
        <is>
          <t>Voice:
EP01 – SER_ROM_2693823
EP02 – SER_ROM_2693829
EP03 – SER_ROM_2693830
EP04 – SER_ROM_2693831
EP05 – SER_ROM_2693832
EP06 – SER_ROM_2693833
EP07 – SER_ROM_2693834
EP08 – SER_ROM_2693835
EP09 – SER_ROM_2693836
EP10 – SER_ROM_2693837
EP11 – SER_ROM_2693838
EP12 – SER_ROM_2693839
EP13 – SER_ROM_2693840
EP14 – SER_ROM_2693841
EP15 – SER_ROM_2693842
EP16 – SER_ROM_2693843
EP17 – SER_ROM_2693844
EP18 – SER_ROM_2693845
EP19 – SER_ROM_2693846
EP20 – SER_ROM_2693847
EP21 – SER_ROM_2693848
EP22 – SER_ROM_2693849
EP23 – SER_ROM_2693850
EP24 – SER_ROM_2693851
EP25 – SER_ROM_2693852
EP26 – SER_ROM_2693853
EP27 – SER_ROM_2693854
Sub: SER_ROM_23_2693392	The secret romantic guesthouse, Ep18
SER_ROM_23_2693391	The secret romantic guesthouse, Ep17
SER_ROM_23_2693390	The secret romantic guesthouse, Ep16
SER_ROM_23_2693388	The secret romantic guesthouse, Ep14
SER_ROM_23_2693389	The secret romantic guesthouse, Ep15
SER_ROM_23_2693387	The secret romantic guesthouse, Ep13
SER_ROM_23_2693386	The secret romantic guesthouse, Ep12
SER_ROM_23_2693383	The secret romantic guesthouse, Ep09
SER_ROM_23_2693385	The secret romantic guesthouse, Ep11
SER_ROM_23_2693384	The secret romantic guesthouse, Ep10
SER_ROM_23_2693381	The secret romantic guesthouse, Ep07
SER_ROM_23_2693382	The secret romantic guesthouse, Ep08
SER_ROM_23_2693380	The secret romantic guesthouse, Ep06
SER_ROM_23_2693379	The secret romantic guesthouse, Ep05
SER_ROM_23_2693377	The secret romantic guesthouse, Ep03
SER_ROM_23_2693378	The secret romantic guesthouse, Ep04
SER_ROM_23_2693376	The secret romantic guesthouse, Ep02
SER_ROM_23__2693375	The secret romantic guesthouse, Ep01</t>
        </is>
      </c>
      <c r="C11" s="590" t="inlineStr">
        <is>
          <t>The Secret Romantic Guesthouse</t>
        </is>
      </c>
      <c r="D11" s="590" t="inlineStr">
        <is>
          <t>Quán trọ tình yêu</t>
        </is>
      </c>
      <c r="E11" s="644" t="inlineStr">
        <is>
          <t xml:space="preserve">PCCW VUCLIP </t>
        </is>
      </c>
      <c r="F11" s="590" t="inlineStr">
        <is>
          <t>PCCW VUCLIP/2023/HDBQ The Secret Romantic Guesthouse</t>
        </is>
      </c>
      <c r="G11" s="644" t="inlineStr">
        <is>
          <t>Korea</t>
        </is>
      </c>
      <c r="H11" s="305" t="n">
        <v>2023</v>
      </c>
      <c r="I11" s="305" t="n">
        <v>18</v>
      </c>
      <c r="J11" s="305" t="n">
        <v>70</v>
      </c>
      <c r="K11" s="449">
        <f>(I11*J11)/60</f>
        <v/>
      </c>
      <c r="L11" s="305" t="n">
        <v>26</v>
      </c>
      <c r="M11" s="644" t="inlineStr">
        <is>
          <t>Costume, historical</t>
        </is>
      </c>
      <c r="N11" s="590" t="inlineStr">
        <is>
          <t>Romance</t>
        </is>
      </c>
      <c r="O11" s="590" t="n">
        <v>45005</v>
      </c>
      <c r="P11" s="590" t="n">
        <v>46100</v>
      </c>
      <c r="Q11" s="208" t="n">
        <v>45065</v>
      </c>
      <c r="R11" s="590" t="inlineStr">
        <is>
          <t>K+LIFE</t>
        </is>
      </c>
      <c r="S11" s="590" t="inlineStr">
        <is>
          <t>Exclusive All TV Rights during LP and Exclusive All VOD rights for first 3 months</t>
        </is>
      </c>
      <c r="T11" s="590" t="inlineStr">
        <is>
          <t>Yes</t>
        </is>
      </c>
      <c r="U11" s="590" t="inlineStr">
        <is>
          <t>Yes</t>
        </is>
      </c>
      <c r="V11" s="590" t="inlineStr">
        <is>
          <t>Yes</t>
        </is>
      </c>
      <c r="W11" s="590" t="inlineStr">
        <is>
          <t>Yes</t>
        </is>
      </c>
      <c r="X11" s="590" t="inlineStr">
        <is>
          <t>Yes</t>
        </is>
      </c>
      <c r="Y11" s="590" t="inlineStr">
        <is>
          <t>Yes</t>
        </is>
      </c>
      <c r="Z11" s="590" t="inlineStr">
        <is>
          <t>Yes</t>
        </is>
      </c>
      <c r="AA11" s="590" t="inlineStr">
        <is>
          <t>Yes</t>
        </is>
      </c>
      <c r="AB11" s="590" t="inlineStr">
        <is>
          <t>Yes</t>
        </is>
      </c>
      <c r="AC11" s="590" t="n">
        <v>45005</v>
      </c>
      <c r="AD11" s="590" t="n">
        <v>46100</v>
      </c>
      <c r="AE11" s="97" t="n">
        <v>8</v>
      </c>
      <c r="AF11" s="306" t="n">
        <v>3</v>
      </c>
      <c r="AG11" s="641" t="n">
        <v>45071</v>
      </c>
      <c r="AH11" s="306">
        <f>AE11-AF11</f>
        <v/>
      </c>
      <c r="AI11" s="642" t="inlineStr">
        <is>
          <t>Yes</t>
        </is>
      </c>
      <c r="AJ11" s="642" t="inlineStr">
        <is>
          <t>Yes</t>
        </is>
      </c>
      <c r="AK11" s="307" t="inlineStr">
        <is>
          <t>Phim Song song</t>
        </is>
      </c>
      <c r="AL11" s="590" t="inlineStr">
        <is>
          <t>Phim còn hạn từ 2026</t>
        </is>
      </c>
      <c r="AM11" s="643" t="inlineStr">
        <is>
          <t>The Secret Romantic Guesthouse</t>
        </is>
      </c>
      <c r="AN11" s="203" t="n"/>
      <c r="AO11" s="128">
        <f>SUMIF('TK 15661.Bản quyền phim '!F:F,'KK2. Series'!C11,'TK 15661.Bản quyền phim '!K:K)</f>
        <v/>
      </c>
      <c r="AP11" s="128">
        <f>COUNTIF('242.BQ Phim VOD'!$C$5:$C$8,'KK2. Series'!AM11)</f>
        <v/>
      </c>
      <c r="AQ11" s="128">
        <f>COUNTIF('TK 15666. Phim SX'!$C$6:$C$13,'KK2. Series'!AM11)</f>
        <v/>
      </c>
      <c r="AR11" s="203">
        <f>COUNTIF('TK 15661.Bản quyền phim '!F:F,'KK2. Series'!AM11)</f>
        <v/>
      </c>
      <c r="AS11" s="203" t="n"/>
      <c r="AT11" s="366">
        <f>SUM(AP11:AS11)</f>
        <v/>
      </c>
      <c r="AU11" s="203" t="n"/>
      <c r="AV11" s="203" t="n"/>
      <c r="AW11" s="203" t="n"/>
      <c r="AX11" s="203" t="n"/>
      <c r="AY11" s="203" t="n"/>
      <c r="AZ11" s="387" t="inlineStr">
        <is>
          <t>✓ Found</t>
        </is>
      </c>
      <c r="BB11" s="387" t="n"/>
    </row>
    <row r="12" ht="409.6" customHeight="1" s="578">
      <c r="A12" s="96" t="n">
        <v>6</v>
      </c>
      <c r="B12" s="97" t="inlineStr">
        <is>
          <t>Voice:
EP01 – SER_FAN_23_2702437
EP02 – SER_FAN_23_2702438
EP03 – SER_FAN_23_2702439
EP04 – SER_FAN_23_2702440
EP05 – SER_FAN_23_2702441
EP06 – SER_FAN_23_2702442
EP07 – SER_FAN_23_2702443
EP08 – SER_FAN_23_2702444
EP09 – SER_FAN_23_2702445
EP10 – SER_FAN_23_2702446
EP11 – SER_FAN_23_2702447
EP12 – SER_FAN_23_2702448
EP13 – SER_FAN_23_2702449
EP14 – SER_FAN_23_2702450
EP15 – SER_FAN_23_2702451
EP16 – SER_FAN_23_2702452
EP17 – SER_FAN_23_2702453
EP18 – SER_FAN_23_2702454
EP19 – SER_FAN_23_2702455
EP20 – SER_FAN_23_2702456
EP21 – SER_FAN_23_2702457
EP22 – SER_FAN_23_2702458
EP23 – SER_FAN_23_2702459
EP24 – SER_FAN_23_2702460
EP25 – SER_FAN_23_2702461
Sub: SER_FAN_23_2699038	(KHÔNG DÙNG) Durian's Affair, Ep16
SER_FAN_23_2699037	(KHÔNG DÙNG) Durian's Affair, Ep15
SER_FAN_23_2699034	(KHÔNG DÙNG) Durian's Affair, Ep12
SER_FAN_23_2699035	(KHÔNG DÙNG) Durian's Affair, Ep13
SER_FAN_23_2699036	(KHÔNG DÙNG) Durian's Affair, Ep14
SER_FAN_23_2699032	(KHÔNG DÙNG) Durian's Affair, Ep10
SER_FAN_23_2699033	(KHÔNG DÙNG) Durian's Affair, Ep11
SER_FAN_23_2699030	(KHÔNG DÙNG) Durian's Affair, Ep08
SER_FAN_23_2699029	(KHÔNG DÙNG) Durian's Affair, Ep07
SER_FAN_23_2699026	(KHÔNG DÙNG) Durian's Affair, Ep04
SER_FAN_23_2699027	(KHÔNG DÙNG) Durian's Affair, Ep05
SER_FAN_23_2699028	(KHÔNG DÙNG) Durian's Affair, Ep06
SER_FAN_23_2699025	(KHÔNG DÙNG) Durian's Affair, Ep03
SER_FAN_23_2699024	(KHÔNG DÙNG) Durian's Affair, Ep02
SER_FAN_23__2699023	(KHÔNG DÙNG) Durian's Affair, Ep01</t>
        </is>
      </c>
      <c r="C12" s="108" t="inlineStr">
        <is>
          <t>Durian's Affair</t>
        </is>
      </c>
      <c r="D12" s="590" t="inlineStr">
        <is>
          <t>Phu nhân Du Ri An</t>
        </is>
      </c>
      <c r="E12" s="590" t="inlineStr">
        <is>
          <t>LIAN Contents</t>
        </is>
      </c>
      <c r="F12" s="590" t="inlineStr">
        <is>
          <t>90A/2023/HDBQ/VSTV_Lian Contents</t>
        </is>
      </c>
      <c r="G12" s="590" t="inlineStr">
        <is>
          <t>Korea</t>
        </is>
      </c>
      <c r="H12" s="305" t="n">
        <v>2023</v>
      </c>
      <c r="I12" s="305" t="n">
        <v>16</v>
      </c>
      <c r="J12" s="305" t="n">
        <v>70</v>
      </c>
      <c r="K12" s="449">
        <f>(I12*J12)/60</f>
        <v/>
      </c>
      <c r="L12" s="305" t="n">
        <v>25</v>
      </c>
      <c r="M12" s="590" t="inlineStr">
        <is>
          <t>Fantasy/ Melodrama/ Time Travel</t>
        </is>
      </c>
      <c r="N12" s="590" t="inlineStr">
        <is>
          <t>Drama</t>
        </is>
      </c>
      <c r="O12" s="208" t="n">
        <v>45101</v>
      </c>
      <c r="P12" s="208" t="n">
        <v>46561</v>
      </c>
      <c r="Q12" s="208" t="n">
        <v>45101</v>
      </c>
      <c r="R12" s="208" t="inlineStr">
        <is>
          <t>K+LIFE</t>
        </is>
      </c>
      <c r="S12" s="590" t="inlineStr">
        <is>
          <t>Exclusive All TV and All VOD Rights during LP.</t>
        </is>
      </c>
      <c r="T12" s="590" t="inlineStr">
        <is>
          <t>Yes</t>
        </is>
      </c>
      <c r="U12" s="590" t="inlineStr">
        <is>
          <t>Yes</t>
        </is>
      </c>
      <c r="V12" s="590" t="inlineStr">
        <is>
          <t>Yes</t>
        </is>
      </c>
      <c r="W12" s="590" t="inlineStr">
        <is>
          <t>Yes</t>
        </is>
      </c>
      <c r="X12" s="590" t="inlineStr">
        <is>
          <t>Yes</t>
        </is>
      </c>
      <c r="Y12" s="590" t="inlineStr">
        <is>
          <t>Yes</t>
        </is>
      </c>
      <c r="Z12" s="590" t="inlineStr">
        <is>
          <t>Yes</t>
        </is>
      </c>
      <c r="AA12" s="590" t="inlineStr">
        <is>
          <t>Yes</t>
        </is>
      </c>
      <c r="AB12" s="590" t="inlineStr">
        <is>
          <t>Yes</t>
        </is>
      </c>
      <c r="AC12" s="208" t="n">
        <v>45101</v>
      </c>
      <c r="AD12" s="208" t="n">
        <v>46561</v>
      </c>
      <c r="AE12" s="590" t="inlineStr">
        <is>
          <t>Unlimited</t>
        </is>
      </c>
      <c r="AF12" s="306" t="n">
        <v>1</v>
      </c>
      <c r="AG12" s="641" t="n">
        <v>45101</v>
      </c>
      <c r="AH12" s="590" t="inlineStr">
        <is>
          <t>Unlimited</t>
        </is>
      </c>
      <c r="AI12" s="642" t="inlineStr">
        <is>
          <t>Yes</t>
        </is>
      </c>
      <c r="AJ12" s="642" t="inlineStr">
        <is>
          <t>Yes</t>
        </is>
      </c>
      <c r="AK12" s="307" t="inlineStr">
        <is>
          <t>Phim Song song</t>
        </is>
      </c>
      <c r="AL12" s="590" t="inlineStr">
        <is>
          <t>Phim còn hạn từ 2026</t>
        </is>
      </c>
      <c r="AM12" s="595" t="inlineStr">
        <is>
          <t>Durian’s Affair</t>
        </is>
      </c>
      <c r="AN12" s="203" t="n"/>
      <c r="AO12" s="128">
        <f>SUMIF('TK 15661.Bản quyền phim '!F:F,'KK2. Series'!C12,'TK 15661.Bản quyền phim '!K:K)</f>
        <v/>
      </c>
      <c r="AP12" s="128">
        <f>COUNTIF('242.BQ Phim VOD'!$C$5:$C$8,'KK2. Series'!AM12)</f>
        <v/>
      </c>
      <c r="AQ12" s="128">
        <f>COUNTIF('TK 15666. Phim SX'!$C$6:$C$13,'KK2. Series'!AM12)</f>
        <v/>
      </c>
      <c r="AR12" s="203">
        <f>COUNTIF('TK 15661.Bản quyền phim '!F:F,'KK2. Series'!AM12)</f>
        <v/>
      </c>
      <c r="AS12" s="203" t="n"/>
      <c r="AT12" s="366">
        <f>SUM(AP12:AS12)</f>
        <v/>
      </c>
      <c r="AU12" s="203" t="n"/>
      <c r="AV12" s="203" t="n"/>
      <c r="AW12" s="203" t="n"/>
      <c r="AX12" s="203" t="n"/>
      <c r="AY12" s="203" t="n"/>
      <c r="AZ12" s="387" t="inlineStr">
        <is>
          <t>✓ Found</t>
        </is>
      </c>
      <c r="BB12" s="387" t="n"/>
    </row>
    <row r="13" ht="409.6" customHeight="1" s="578">
      <c r="A13" s="96" t="n">
        <v>7</v>
      </c>
      <c r="B13" s="97" t="inlineStr">
        <is>
          <t>EP01 – SER_THR_23_2695781
EP02 – SER_THR_23_2695782
EP03 – SER_THR_23_2695783
EP04 – SER_THR_23_2695784
EP05 – SER_THR_23_2695785
EP06 – SER_THR_23_2695786
EP07 – SER_THR_23_2695787
EP08 – SER_THR_23_2695788
EP09 – SER_THR_23_2695789
EP10 – SER_THR_23_2695790
EP11 – SER_THR_23_2695791
EP12 – SER_THR_23_2695792
EP13 – SER_THR_23_2695793
EP14 – SER_THR_23_2695794
EP15 – SER_THR_23_2695795
EP16 – SER_THR_23_2695796
EP17 – SER_THR_23_2695797
EP18 – SER_THR_23_2695798
EP19 – SER_THR_23_2695799
EP20 – SER_THR_23_2695800
EP21 – SER_THR_23_2695801
EP22 – SER_THR_23_2695802
EP23 – SER_THR_23_2695803
EP24 – SER_THR_23_2695804
EP25 – SER_THR_23_2695805
EP26 – SER_THR_23_2695806
EP27 – SER_THR_23_2695807
EP28 – SER_THR_23_2695808
EP29 – SER_THR_23_2695809
EP30 – SER_THR_23_2695810
EP31 – SER_THR_23_2695811
EP32 – SER_THR_23_2695812</t>
        </is>
      </c>
      <c r="C13" s="590" t="inlineStr">
        <is>
          <t>DAY AND NIGHT</t>
        </is>
      </c>
      <c r="D13" s="590" t="inlineStr">
        <is>
          <t>Bạch dạ truy hung</t>
        </is>
      </c>
      <c r="E13" s="590" t="inlineStr">
        <is>
          <t>YouKu</t>
        </is>
      </c>
      <c r="F13" s="590" t="inlineStr">
        <is>
          <t>73/2023/HDBQ/VSTV-Youku</t>
        </is>
      </c>
      <c r="G13" s="590" t="inlineStr">
        <is>
          <t>China</t>
        </is>
      </c>
      <c r="H13" s="305" t="n">
        <v>2017</v>
      </c>
      <c r="I13" s="305" t="n">
        <v>32</v>
      </c>
      <c r="J13" s="305" t="n">
        <v>45</v>
      </c>
      <c r="K13" s="305">
        <f>(I13*J13)/60</f>
        <v/>
      </c>
      <c r="L13" s="305">
        <f>I13</f>
        <v/>
      </c>
      <c r="M13" s="590" t="inlineStr">
        <is>
          <t>Crime, Thriller</t>
        </is>
      </c>
      <c r="N13" s="590" t="inlineStr">
        <is>
          <t>Crime, Thriller</t>
        </is>
      </c>
      <c r="O13" s="208" t="n">
        <v>45107</v>
      </c>
      <c r="P13" s="208" t="n">
        <v>46567</v>
      </c>
      <c r="Q13" s="208" t="n">
        <v>45110</v>
      </c>
      <c r="R13" s="208" t="inlineStr">
        <is>
          <t>K+LIFE</t>
        </is>
      </c>
      <c r="S13" s="590" t="inlineStr">
        <is>
          <t>Exclusive all Pay TV rights; Non exclusive all VOD rights</t>
        </is>
      </c>
      <c r="T13" s="590" t="inlineStr">
        <is>
          <t>No</t>
        </is>
      </c>
      <c r="U13" s="590" t="inlineStr">
        <is>
          <t>Yes</t>
        </is>
      </c>
      <c r="V13" s="590" t="inlineStr">
        <is>
          <t>Yes</t>
        </is>
      </c>
      <c r="W13" s="590" t="inlineStr">
        <is>
          <t>Yes</t>
        </is>
      </c>
      <c r="X13" s="590" t="inlineStr">
        <is>
          <t>No</t>
        </is>
      </c>
      <c r="Y13" s="590" t="inlineStr">
        <is>
          <t>No</t>
        </is>
      </c>
      <c r="Z13" s="590" t="inlineStr">
        <is>
          <t>Yes</t>
        </is>
      </c>
      <c r="AA13" s="590" t="inlineStr">
        <is>
          <t>No</t>
        </is>
      </c>
      <c r="AB13" s="590" t="inlineStr">
        <is>
          <t>No</t>
        </is>
      </c>
      <c r="AC13" s="208" t="n">
        <v>45107</v>
      </c>
      <c r="AD13" s="208" t="n">
        <v>46567</v>
      </c>
      <c r="AE13" s="590" t="inlineStr">
        <is>
          <t>Unlimited</t>
        </is>
      </c>
      <c r="AF13" s="306" t="n">
        <v>5</v>
      </c>
      <c r="AG13" s="641" t="n">
        <v>45115</v>
      </c>
      <c r="AH13" s="590" t="inlineStr">
        <is>
          <t>Unlimited</t>
        </is>
      </c>
      <c r="AI13" s="642" t="inlineStr">
        <is>
          <t>Yes</t>
        </is>
      </c>
      <c r="AJ13" s="642" t="inlineStr">
        <is>
          <t>Yes</t>
        </is>
      </c>
      <c r="AK13" s="307" t="n"/>
      <c r="AL13" s="590" t="inlineStr">
        <is>
          <t>Phim còn hạn từ 2026</t>
        </is>
      </c>
      <c r="AM13" s="643" t="inlineStr">
        <is>
          <t>DAY AND NIGHT</t>
        </is>
      </c>
      <c r="AN13" s="203" t="n"/>
      <c r="AO13" s="128">
        <f>SUMIF('TK 15661.Bản quyền phim '!F:F,'KK2. Series'!C13,'TK 15661.Bản quyền phim '!K:K)</f>
        <v/>
      </c>
      <c r="AP13" s="128">
        <f>COUNTIF('242.BQ Phim VOD'!$C$5:$C$8,'KK2. Series'!AM13)</f>
        <v/>
      </c>
      <c r="AQ13" s="128">
        <f>COUNTIF('TK 15666. Phim SX'!$C$6:$C$13,'KK2. Series'!AM13)</f>
        <v/>
      </c>
      <c r="AR13" s="203">
        <f>COUNTIF('TK 15661.Bản quyền phim '!F:F,'KK2. Series'!AM13)</f>
        <v/>
      </c>
      <c r="AS13" s="203" t="n"/>
      <c r="AT13" s="366">
        <f>SUM(AP13:AS13)</f>
        <v/>
      </c>
      <c r="AU13" s="203" t="n"/>
      <c r="AV13" s="203" t="n"/>
      <c r="AW13" s="203" t="n"/>
      <c r="AX13" s="203" t="n"/>
      <c r="AY13" s="203" t="n"/>
      <c r="AZ13" s="387" t="inlineStr">
        <is>
          <t>✓ Found</t>
        </is>
      </c>
      <c r="BB13" s="387" t="n"/>
    </row>
    <row r="14" ht="409.6" customHeight="1" s="578">
      <c r="A14" s="96" t="n">
        <v>8</v>
      </c>
      <c r="B14" s="97" t="inlineStr">
        <is>
          <t>EP01 – SER_COM_22_2687297
EP02 – SER_COM_22_2687298
EP03 – SER_COM_22_2687299
EP04 – SER_COM_22_2687300
EP05 – SER_COM_22_2687301
EP06 – SER_COM_22_2687359
EP07 – SER_COM_22_2687303
EP08 – SER_COM_22_2687304
EP09 – SER_COM_22_2687305
EP10 – SER_COM_22_2687306
EP11 – SER_COM_22_2687307
EP12 – SER_COM_22_2687308
EP13 – SER_COM_22_2687309
EP14 – SER_COM_22_2687310
EP15 – SER_COM_22_2687311
EP16 – SER_COM_22_2687312
EP17 – SER_COM_22_2687313
EP18 – SER_COM_22_2687314</t>
        </is>
      </c>
      <c r="C14" s="590" t="inlineStr">
        <is>
          <t>Good Job</t>
        </is>
      </c>
      <c r="D14" s="590" t="inlineStr">
        <is>
          <t>Đối tác hoàn hảo</t>
        </is>
      </c>
      <c r="E14" s="590" t="inlineStr">
        <is>
          <t>King Content</t>
        </is>
      </c>
      <c r="F14" s="590" t="inlineStr">
        <is>
          <t>130/2022/HDBQ/VSTV-KC</t>
        </is>
      </c>
      <c r="G14" s="590" t="inlineStr">
        <is>
          <t>Korea</t>
        </is>
      </c>
      <c r="H14" s="305" t="n">
        <v>2022</v>
      </c>
      <c r="I14" s="305" t="n">
        <v>18</v>
      </c>
      <c r="J14" s="305" t="n">
        <v>45</v>
      </c>
      <c r="K14" s="449">
        <f>(I14*J14)/60</f>
        <v/>
      </c>
      <c r="L14" s="305">
        <f>I14</f>
        <v/>
      </c>
      <c r="M14" s="590" t="inlineStr">
        <is>
          <t>Romance, comedy, investigates</t>
        </is>
      </c>
      <c r="N14" s="590" t="inlineStr">
        <is>
          <t>Romance</t>
        </is>
      </c>
      <c r="O14" s="208" t="n">
        <v>44945</v>
      </c>
      <c r="P14" s="208" t="n">
        <v>46040</v>
      </c>
      <c r="Q14" s="208" t="n">
        <v>44959</v>
      </c>
      <c r="R14" s="208" t="inlineStr">
        <is>
          <t>K+LIFE</t>
        </is>
      </c>
      <c r="S14" s="590" t="inlineStr">
        <is>
          <t xml:space="preserve">Exclusive All Pay TV Rights and
Non exclusive All VOD during LP </t>
        </is>
      </c>
      <c r="T14" s="590" t="inlineStr">
        <is>
          <t>Yes</t>
        </is>
      </c>
      <c r="U14" s="590" t="inlineStr">
        <is>
          <t>Yes</t>
        </is>
      </c>
      <c r="V14" s="590" t="inlineStr">
        <is>
          <t>Yes</t>
        </is>
      </c>
      <c r="W14" s="590" t="inlineStr">
        <is>
          <t>Yes</t>
        </is>
      </c>
      <c r="X14" s="590" t="inlineStr">
        <is>
          <t>Yes</t>
        </is>
      </c>
      <c r="Y14" s="590" t="inlineStr">
        <is>
          <t>Yes</t>
        </is>
      </c>
      <c r="Z14" s="590" t="inlineStr">
        <is>
          <t>Yes</t>
        </is>
      </c>
      <c r="AA14" s="590" t="inlineStr">
        <is>
          <t>Yes</t>
        </is>
      </c>
      <c r="AB14" s="590" t="inlineStr">
        <is>
          <t>Yes</t>
        </is>
      </c>
      <c r="AC14" s="208" t="n">
        <v>44945</v>
      </c>
      <c r="AD14" s="208" t="n">
        <v>46040</v>
      </c>
      <c r="AE14" s="590" t="inlineStr">
        <is>
          <t>Unlimited</t>
        </is>
      </c>
      <c r="AF14" s="306" t="n">
        <v>11</v>
      </c>
      <c r="AG14" s="641" t="n">
        <v>45714</v>
      </c>
      <c r="AH14" s="590" t="inlineStr">
        <is>
          <t>Unlimited</t>
        </is>
      </c>
      <c r="AI14" s="642" t="inlineStr">
        <is>
          <t>Yes</t>
        </is>
      </c>
      <c r="AJ14" s="642" t="inlineStr">
        <is>
          <t>Yes</t>
        </is>
      </c>
      <c r="AK14" s="307" t="n"/>
      <c r="AL14" s="590" t="inlineStr">
        <is>
          <t>Phim còn hạn từ 2026</t>
        </is>
      </c>
      <c r="AM14" s="643" t="inlineStr">
        <is>
          <t>Good Job</t>
        </is>
      </c>
      <c r="AN14" s="203" t="n"/>
      <c r="AO14" s="128">
        <f>SUMIF('TK 15661.Bản quyền phim '!F:F,'KK2. Series'!C14,'TK 15661.Bản quyền phim '!K:K)</f>
        <v/>
      </c>
      <c r="AP14" s="128">
        <f>COUNTIF('242.BQ Phim VOD'!$C$5:$C$8,'KK2. Series'!AM14)</f>
        <v/>
      </c>
      <c r="AQ14" s="128">
        <f>COUNTIF('TK 15666. Phim SX'!$C$6:$C$13,'KK2. Series'!AM14)</f>
        <v/>
      </c>
      <c r="AR14" s="203">
        <f>COUNTIF('TK 15661.Bản quyền phim '!F:F,'KK2. Series'!AM14)</f>
        <v/>
      </c>
      <c r="AS14" s="203" t="n"/>
      <c r="AT14" s="366">
        <f>SUM(AP14:AS14)</f>
        <v/>
      </c>
      <c r="AU14" s="203" t="n"/>
      <c r="AV14" s="203" t="n"/>
      <c r="AW14" s="203" t="n"/>
      <c r="AX14" s="203" t="n"/>
      <c r="AY14" s="203" t="n"/>
      <c r="AZ14" s="387" t="inlineStr">
        <is>
          <t>✓ Found</t>
        </is>
      </c>
      <c r="BB14" s="387" t="n"/>
    </row>
    <row r="15" ht="409.6" customHeight="1" s="578">
      <c r="A15" s="96" t="n">
        <v>9</v>
      </c>
      <c r="B15" s="97" t="inlineStr">
        <is>
          <t>Voice:
EP01 – SER_ROM_23_2702541
EP02 – SER_ROM_23_2702542
EP03 – SER_ROM_23_2702543
EP04 – SER_ROM_23_2702544
EP05 – SER_ROM_23_2702545
EP06 – SER_ROM_23_2702546
EP07 – SER_ROM_23_2702547
EP08 – SER_ROM_23_2702548
EP09 – SER_ROM_23_2702549
EP10 – SER_ROM_23_2702550
EP11 – SER_ROM_23_2702551
EP12 – SER_ROM_23_2702552
EP13 – SER_ROM_23_2702553
EP14 – SER_ROM_23_2702554
EP15 – SER_ROM_23_2702555
EP16 – SER_ROM_23_2702556
EP17 – SER_ROM_23_2702557
EP18 – SER_ROM_23_2702558
EP19 – SER_ROM_23_2702559
EP20 – SER_ROM_23_2702560
EP21 – SER_ROM_23_2702561
EP22 – SER_ROM_23_2702562
EP23 – SER_ROM_23_2702563
EP24 – SER_ROM_23_2702564
EP25 – SER_ROM_23_2702565
EP26 – SER_ROM_23_2702566
EP27 – SER_ROM_23_2702567
EP28 – SER_ROM_23_2702568
EP29 – SER_ROM_23_2702569
EP30 – SER_ROM_23_2702570
EP31 – SER_ROM_23_2702571
EP32 – SER_ROM_23_2702572
EP33 – SER_ROM_23_2702573
EP34 – SER_ROM_23_2702574
EP35 – SER_ROM_23_2702575
EP36 – SER_ROM_23_2702576
EP37 – SER_ROM_23_2702577
EP38 – SER_ROM_23_2702578
EP39 – SER_ROM_23_2702579
EP40 – SER_ROM_23_2702580
Sub:
SER_ROM_23_2699474	(SUB) Fireworks of my heart, Ep40
SER_ROM_23_2699473	(SUB) Fireworks of my heart, Ep39
SER_ROM_23_2699472	(SUB) Fireworks of my heart, Ep38
SER_ROM_23_2699471	(SUB) Fireworks of my heart, Ep37
SER_ROM_23_2699468	(SUB) Fireworks of my heart, Ep34
SER_ROM_23_2699470	(SUB) Fireworks of my heart, Ep36
SER_ROM_23_2699469	(SUB) Fireworks of my heart, Ep35
SER_ROM_23_2699466	(SUB) Fireworks of my heart, Ep32
SER_ROM_23_2699467	(SUB) Fireworks of my heart, Ep33
SER_ROM_23_2699464	(SUB) Fireworks of my heart, Ep30
SER_ROM_23_2699463	(SUB) Fireworks of my heart, Ep29
SER_ROM_23_2699465	(SUB) Fireworks of my heart, Ep31
SER_ROM_23_2699461	(SUB) Fireworks of my heart, Ep27
SER_ROM_23_2699462	(SUB) Fireworks of my heart, Ep28
SER_ROM_23_2699460	(SUB) Fireworks of my heart, Ep26
SER_ROM_23_2699459	(SUB) Fireworks of my heart, Ep25
SER_ROM_23_2699458	(SUB) Fireworks of my heart, Ep24
SER_ROM_23_2699455	(SUB) Fireworks of my heart, Ep21
SER_ROM_23_2699457	(SUB) Fireworks of my heart, Ep23
SER_ROM_23_2699456	(SUB) Fireworks of my heart, Ep22
SER_ROM_23_2699453	(SUB) Fireworks of my heart, Ep19
SER_ROM_23_2699454	(SUB) Fireworks of my heart, Ep20
SER_ROM_23_2699451	(SUB) Fireworks of my heart, Ep17
SER_ROM_23_2699452	(SUB) Fireworks of my heart, Ep18
SER_ROM_23_2699450	(SUB) Fireworks of my heart, Ep16
SER_ROM_23_2699449	(SUB) Fireworks of my heart, Ep15
SER_ROM_23_2699448	(SUB) Fireworks of my heart, Ep14
SER_ROM_23_2699446	(SUB) Fireworks of my heart, Ep12
SER_ROM_23_2699447	(SUB) Fireworks of my heart, Ep13
SER_ROM_23_2699445	(SUB) Fireworks of my heart, Ep11
SER_ROM_23_2699444	(SUB) Fireworks of my heart, Ep10
SER_ROM_23_2699443	(SUB) Fireworks of my heart, Ep09
SER_ROM_23_2699441	(SUB) Fireworks of my heart, Ep07
SER_ROM_23_2699442	(SUB) Fireworks of my heart, Ep08
SER_ROM_23_2699440	(SUB) Fireworks of my heart, Ep06
SER_ROM_23_2699439	(SUB) Fireworks of my heart, Ep05
SER_ROM_23_2699438	(SUB) Fireworks of my heart, Ep04
SER_ROM_23_2699437	(SUB) Fireworks of my heart, Ep03
SER_ROM_23_2699436	(SUB) Fireworks of my heart, Ep02
SER_ROM__2699435	(SUB) Fireworks of my heart, Ep01</t>
        </is>
      </c>
      <c r="C15" s="590" t="inlineStr">
        <is>
          <t>Fireworks of My Heart</t>
        </is>
      </c>
      <c r="D15" s="590" t="inlineStr">
        <is>
          <t>Khói lửa nhân gian của tôi</t>
        </is>
      </c>
      <c r="E15" s="590" t="inlineStr">
        <is>
          <t>Youhug Media</t>
        </is>
      </c>
      <c r="F15" s="590" t="inlineStr">
        <is>
          <t>95/2023/HDBQ/VSTV_Youhug media</t>
        </is>
      </c>
      <c r="G15" s="590" t="inlineStr">
        <is>
          <t>China</t>
        </is>
      </c>
      <c r="H15" s="305" t="n">
        <v>2023</v>
      </c>
      <c r="I15" s="305" t="n">
        <v>40</v>
      </c>
      <c r="J15" s="305" t="n">
        <v>45</v>
      </c>
      <c r="K15" s="305">
        <f>(I15*J15)/60</f>
        <v/>
      </c>
      <c r="L15" s="305">
        <f>I15</f>
        <v/>
      </c>
      <c r="M15" s="590" t="inlineStr">
        <is>
          <t>Action, Romance, Medical</t>
        </is>
      </c>
      <c r="N15" s="590" t="inlineStr">
        <is>
          <t>Romance</t>
        </is>
      </c>
      <c r="O15" s="208" t="n">
        <v>45110</v>
      </c>
      <c r="P15" s="208" t="n">
        <v>46936</v>
      </c>
      <c r="Q15" s="208" t="n">
        <v>45124</v>
      </c>
      <c r="R15" s="208" t="inlineStr">
        <is>
          <t>K+LIFE</t>
        </is>
      </c>
      <c r="S15" s="590" t="inlineStr">
        <is>
          <t>Exclusive All TV and All VOD Rights during LP.</t>
        </is>
      </c>
      <c r="T15" s="590" t="inlineStr">
        <is>
          <t>Yes</t>
        </is>
      </c>
      <c r="U15" s="590" t="inlineStr">
        <is>
          <t>Yes</t>
        </is>
      </c>
      <c r="V15" s="590" t="inlineStr">
        <is>
          <t>Yes</t>
        </is>
      </c>
      <c r="W15" s="590" t="inlineStr">
        <is>
          <t>Yes</t>
        </is>
      </c>
      <c r="X15" s="590" t="inlineStr">
        <is>
          <t>Yes</t>
        </is>
      </c>
      <c r="Y15" s="590" t="inlineStr">
        <is>
          <t>Yes</t>
        </is>
      </c>
      <c r="Z15" s="590" t="inlineStr">
        <is>
          <t>Yes</t>
        </is>
      </c>
      <c r="AA15" s="590" t="inlineStr">
        <is>
          <t>Yes</t>
        </is>
      </c>
      <c r="AB15" s="590" t="inlineStr">
        <is>
          <t>Yes</t>
        </is>
      </c>
      <c r="AC15" s="208" t="n">
        <v>45110</v>
      </c>
      <c r="AD15" s="208" t="n">
        <v>46936</v>
      </c>
      <c r="AE15" s="590" t="inlineStr">
        <is>
          <t>Unlimited</t>
        </is>
      </c>
      <c r="AF15" s="306" t="n">
        <v>4</v>
      </c>
      <c r="AG15" s="641" t="n">
        <v>45138</v>
      </c>
      <c r="AH15" s="590" t="inlineStr">
        <is>
          <t>Unlimited</t>
        </is>
      </c>
      <c r="AI15" s="642" t="inlineStr">
        <is>
          <t>Yes</t>
        </is>
      </c>
      <c r="AJ15" s="642" t="inlineStr">
        <is>
          <t>Yes</t>
        </is>
      </c>
      <c r="AK15" s="307" t="inlineStr">
        <is>
          <t>Phim Song song</t>
        </is>
      </c>
      <c r="AL15" s="590" t="inlineStr">
        <is>
          <t>Phim còn hạn từ 2026</t>
        </is>
      </c>
      <c r="AM15" s="595" t="inlineStr">
        <is>
          <t>My Fireworks on Earth/Fireworks of My Heart (Khói lửa nhân gian của tôi)</t>
        </is>
      </c>
      <c r="AN15" s="203" t="n"/>
      <c r="AO15" s="128">
        <f>SUMIF('TK 15661.Bản quyền phim '!F:F,'KK2. Series'!C15,'TK 15661.Bản quyền phim '!K:K)</f>
        <v/>
      </c>
      <c r="AP15" s="128">
        <f>COUNTIF('242.BQ Phim VOD'!$C$5:$C$8,'KK2. Series'!AM15)</f>
        <v/>
      </c>
      <c r="AQ15" s="128">
        <f>COUNTIF('TK 15666. Phim SX'!$C$6:$C$13,'KK2. Series'!AM15)</f>
        <v/>
      </c>
      <c r="AR15" s="203">
        <f>COUNTIF('TK 15661.Bản quyền phim '!F:F,'KK2. Series'!AM15)</f>
        <v/>
      </c>
      <c r="AS15" s="203" t="n"/>
      <c r="AT15" s="366">
        <f>SUM(AP15:AS15)</f>
        <v/>
      </c>
      <c r="AU15" s="203" t="n"/>
      <c r="AV15" s="203" t="n"/>
      <c r="AW15" s="203" t="n"/>
      <c r="AX15" s="203" t="n"/>
      <c r="AY15" s="203" t="n"/>
      <c r="AZ15" s="387" t="inlineStr">
        <is>
          <t>✓ Found</t>
        </is>
      </c>
      <c r="BB15" s="387" t="n"/>
    </row>
    <row r="16" ht="198" customHeight="1" s="578">
      <c r="A16" s="96" t="n">
        <v>10</v>
      </c>
      <c r="B16" s="97" t="inlineStr">
        <is>
          <t>EP01 – SER_COM_23_2699233
EP02 – SER_COM_23_2699234
EP03 – SER_COM_23_2699235
EP04 – SER_COM_23_2699236
EP05 – SER_COM_23_2699237</t>
        </is>
      </c>
      <c r="C16" s="590" t="inlineStr">
        <is>
          <t>Nemesis</t>
        </is>
      </c>
      <c r="D16" s="590" t="inlineStr">
        <is>
          <t>Biệt đội mỹ nhân báo thù</t>
        </is>
      </c>
      <c r="E16" s="108" t="inlineStr">
        <is>
          <t>KT StudioGenie</t>
        </is>
      </c>
      <c r="F16" s="590" t="inlineStr">
        <is>
          <t>KT StudioGenie/Nemesis Crime Puzzle</t>
        </is>
      </c>
      <c r="G16" s="108" t="inlineStr">
        <is>
          <t>Korea</t>
        </is>
      </c>
      <c r="H16" s="108" t="n">
        <v>2021</v>
      </c>
      <c r="I16" s="108" t="n">
        <v>3</v>
      </c>
      <c r="J16" s="108" t="n">
        <v>70</v>
      </c>
      <c r="K16" s="449">
        <f>(I16*J16)/60</f>
        <v/>
      </c>
      <c r="L16" s="305" t="n">
        <v>5</v>
      </c>
      <c r="M16" s="108" t="inlineStr">
        <is>
          <t>Comedy, Drama, Melodrama</t>
        </is>
      </c>
      <c r="N16" s="590" t="inlineStr">
        <is>
          <t>Comedy</t>
        </is>
      </c>
      <c r="O16" s="308" t="n">
        <v>45107</v>
      </c>
      <c r="P16" s="308" t="n">
        <v>46933</v>
      </c>
      <c r="Q16" s="590" t="n">
        <v>45143</v>
      </c>
      <c r="R16" s="590" t="inlineStr">
        <is>
          <t>K+LIFE</t>
        </is>
      </c>
      <c r="S16" s="108" t="inlineStr">
        <is>
          <t>Exclusive All TV and All VOD Rights during LP.</t>
        </is>
      </c>
      <c r="T16" s="108" t="inlineStr">
        <is>
          <t>No</t>
        </is>
      </c>
      <c r="U16" s="590" t="inlineStr">
        <is>
          <t>Yes</t>
        </is>
      </c>
      <c r="V16" s="590" t="inlineStr">
        <is>
          <t>Yes</t>
        </is>
      </c>
      <c r="W16" s="590" t="inlineStr">
        <is>
          <t>Yes</t>
        </is>
      </c>
      <c r="X16" s="590" t="inlineStr">
        <is>
          <t>Yes</t>
        </is>
      </c>
      <c r="Y16" s="590" t="inlineStr">
        <is>
          <t>Yes</t>
        </is>
      </c>
      <c r="Z16" s="590" t="inlineStr">
        <is>
          <t>Yes</t>
        </is>
      </c>
      <c r="AA16" s="590" t="inlineStr">
        <is>
          <t>Yes</t>
        </is>
      </c>
      <c r="AB16" s="590" t="inlineStr">
        <is>
          <t>Yes</t>
        </is>
      </c>
      <c r="AC16" s="308" t="n">
        <v>45107</v>
      </c>
      <c r="AD16" s="308" t="n">
        <v>46933</v>
      </c>
      <c r="AE16" s="108" t="inlineStr">
        <is>
          <t>Unlimited</t>
        </is>
      </c>
      <c r="AF16" s="306" t="n">
        <v>1</v>
      </c>
      <c r="AG16" s="641" t="n">
        <v>45143</v>
      </c>
      <c r="AH16" s="108" t="inlineStr">
        <is>
          <t>Unlimited</t>
        </is>
      </c>
      <c r="AI16" s="642" t="inlineStr">
        <is>
          <t>Yes</t>
        </is>
      </c>
      <c r="AJ16" s="642" t="inlineStr">
        <is>
          <t>Yes</t>
        </is>
      </c>
      <c r="AK16" s="307" t="n"/>
      <c r="AL16" s="590" t="inlineStr">
        <is>
          <t>Phim còn hạn từ 2026</t>
        </is>
      </c>
      <c r="AM16" s="643" t="inlineStr">
        <is>
          <t>Nemesis</t>
        </is>
      </c>
      <c r="AN16" s="203" t="n"/>
      <c r="AO16" s="128">
        <f>SUMIF('TK 15661.Bản quyền phim '!F:F,'KK2. Series'!C16,'TK 15661.Bản quyền phim '!K:K)</f>
        <v/>
      </c>
      <c r="AP16" s="128">
        <f>COUNTIF('242.BQ Phim VOD'!$C$5:$C$8,'KK2. Series'!AM16)</f>
        <v/>
      </c>
      <c r="AQ16" s="128">
        <f>COUNTIF('TK 15666. Phim SX'!$C$6:$C$13,'KK2. Series'!AM16)</f>
        <v/>
      </c>
      <c r="AR16" s="203">
        <f>COUNTIF('TK 15661.Bản quyền phim '!F:F,'KK2. Series'!AM16)</f>
        <v/>
      </c>
      <c r="AS16" s="203" t="n"/>
      <c r="AT16" s="366">
        <f>SUM(AP16:AS16)</f>
        <v/>
      </c>
      <c r="AU16" s="203" t="n"/>
      <c r="AV16" s="203" t="n"/>
      <c r="AW16" s="203" t="n"/>
      <c r="AX16" s="203" t="n"/>
      <c r="AY16" s="203" t="n"/>
      <c r="AZ16" s="387" t="inlineStr">
        <is>
          <t>✓ Found</t>
        </is>
      </c>
      <c r="BB16" s="387" t="n"/>
    </row>
    <row r="17" ht="409.6" customHeight="1" s="578">
      <c r="A17" s="96" t="n">
        <v>11</v>
      </c>
      <c r="B17" s="97" t="inlineStr">
        <is>
          <t>EP01 – SER_DRA_22_2686542
EP02 – SER_DRA_22_2686543
EP03 – SER_DRA_22_2686544
EP04 – SER_DRA_22_2691063
EP05 – SER_DRA_22_2686546
EP06 – SER_DRA_22_2686547
EP07 – SER_DRA_22_2686548
EP08 – SER_DRA_22_2686549
EP09 – SER_DRA_22_2686550
EP10 – SER_DRA_22_2691064
EP11 – SER_DRA_22_2686552
EP12 – SER_DRA_22_2691065
EP13 – SER_DRA_22_2686554
EP14 – SER_DRA_22_2686555
EP15 – SER_DRA_22_2686556
EP16 – SER_DRA_22_2686557
EP17 – SER_DRA_22_2686558
EP18 – SER_DRA_22_2686559
EP19 – SER_DRA_22_2686560
EP20 – SER_DRA_22_2686561
EP21 – SER_DRA_22_2686562
EP22 – SER_DRA_22_2686563
EP23 – SER_DRA_22_2686564
EP24 – SER_DRA_22_2686565
EP25 – SER_DRA_22_2686566
EP26 – SER_DRA_22_2686567</t>
        </is>
      </c>
      <c r="C17" s="590" t="inlineStr">
        <is>
          <t>Reborn Rich (VIU)</t>
        </is>
      </c>
      <c r="D17" s="590" t="inlineStr">
        <is>
          <t>Cậu út nhà tài phiệt</t>
        </is>
      </c>
      <c r="E17" s="590" t="inlineStr">
        <is>
          <t>Pro Partner</t>
        </is>
      </c>
      <c r="F17" s="590" t="inlineStr">
        <is>
          <t>55/2023/HDBQ/VSTV_Pro Partner</t>
        </is>
      </c>
      <c r="G17" s="590" t="inlineStr">
        <is>
          <t>Korea</t>
        </is>
      </c>
      <c r="H17" s="305" t="n">
        <v>2022</v>
      </c>
      <c r="I17" s="305" t="n">
        <v>26</v>
      </c>
      <c r="J17" s="305" t="n">
        <v>45</v>
      </c>
      <c r="K17" s="449">
        <f>(I17*J17)/60</f>
        <v/>
      </c>
      <c r="L17" s="305">
        <f>I17</f>
        <v/>
      </c>
      <c r="M17" s="590" t="inlineStr">
        <is>
          <t>Drama , Fantasy , Revenge</t>
        </is>
      </c>
      <c r="N17" s="590" t="inlineStr">
        <is>
          <t>Drama</t>
        </is>
      </c>
      <c r="O17" s="641" t="n">
        <v>45005</v>
      </c>
      <c r="P17" s="641" t="n">
        <v>46100</v>
      </c>
      <c r="Q17" s="208" t="n">
        <v>45019</v>
      </c>
      <c r="R17" s="208" t="inlineStr">
        <is>
          <t>K+LIFE</t>
        </is>
      </c>
      <c r="S17" s="590" t="inlineStr">
        <is>
          <t>Exclusive All TV Rights the first 9 months of LP
Non-exclusive with All Catch-up TV Rights; All VOD Rights during LP</t>
        </is>
      </c>
      <c r="T17" s="590" t="inlineStr">
        <is>
          <t>No</t>
        </is>
      </c>
      <c r="U17" s="590" t="inlineStr">
        <is>
          <t>Yes</t>
        </is>
      </c>
      <c r="V17" s="590" t="inlineStr">
        <is>
          <t>Yes</t>
        </is>
      </c>
      <c r="W17" s="590" t="inlineStr">
        <is>
          <t>Yes</t>
        </is>
      </c>
      <c r="X17" s="590" t="inlineStr">
        <is>
          <t>Yes</t>
        </is>
      </c>
      <c r="Y17" s="590" t="inlineStr">
        <is>
          <t>Yes</t>
        </is>
      </c>
      <c r="Z17" s="590" t="inlineStr">
        <is>
          <t>Yes</t>
        </is>
      </c>
      <c r="AA17" s="590" t="inlineStr">
        <is>
          <t>Yes</t>
        </is>
      </c>
      <c r="AB17" s="590" t="inlineStr">
        <is>
          <t>Yes</t>
        </is>
      </c>
      <c r="AC17" s="641" t="n">
        <v>45005</v>
      </c>
      <c r="AD17" s="641" t="n">
        <v>46100</v>
      </c>
      <c r="AE17" s="590" t="inlineStr">
        <is>
          <t>Unlimited</t>
        </is>
      </c>
      <c r="AF17" s="306" t="n">
        <v>8</v>
      </c>
      <c r="AG17" s="641" t="n">
        <v>45160</v>
      </c>
      <c r="AH17" s="590" t="inlineStr">
        <is>
          <t>Unlimited</t>
        </is>
      </c>
      <c r="AI17" s="642" t="inlineStr">
        <is>
          <t>Yes</t>
        </is>
      </c>
      <c r="AJ17" s="642" t="inlineStr">
        <is>
          <t>Yes</t>
        </is>
      </c>
      <c r="AK17" s="307" t="n"/>
      <c r="AL17" s="590" t="inlineStr">
        <is>
          <t>Phim còn hạn từ 2026</t>
        </is>
      </c>
      <c r="AM17" s="595" t="inlineStr">
        <is>
          <t>Reborn Rich (Cậu út nhà tài phiệt)</t>
        </is>
      </c>
      <c r="AN17" s="203" t="n"/>
      <c r="AO17" s="128">
        <f>SUMIF('TK 15661.Bản quyền phim '!F:F,'KK2. Series'!C17,'TK 15661.Bản quyền phim '!K:K)</f>
        <v/>
      </c>
      <c r="AP17" s="128">
        <f>COUNTIF('242.BQ Phim VOD'!$C$5:$C$8,'KK2. Series'!AM17)</f>
        <v/>
      </c>
      <c r="AQ17" s="128">
        <f>COUNTIF('TK 15666. Phim SX'!$C$6:$C$13,'KK2. Series'!AM17)</f>
        <v/>
      </c>
      <c r="AR17" s="203">
        <f>COUNTIF('TK 15661.Bản quyền phim '!F:F,'KK2. Series'!AM17)</f>
        <v/>
      </c>
      <c r="AS17" s="203" t="n"/>
      <c r="AT17" s="366">
        <f>SUM(AP17:AS17)</f>
        <v/>
      </c>
      <c r="AU17" s="203" t="n"/>
      <c r="AV17" s="203" t="n"/>
      <c r="AW17" s="203" t="n"/>
      <c r="AX17" s="203" t="n"/>
      <c r="AY17" s="203" t="n"/>
      <c r="AZ17" s="387" t="inlineStr">
        <is>
          <t>⚠ Partial (25/26 clips)</t>
        </is>
      </c>
      <c r="BB17" s="387" t="n"/>
    </row>
    <row r="18" ht="409.6" customHeight="1" s="578">
      <c r="A18" s="96" t="n">
        <v>12</v>
      </c>
      <c r="B18" s="97" t="inlineStr">
        <is>
          <t>Sub: 
SER_ROM_23_2697871	(Old) One day off, Ep08
SER_ROM_23_2697869	(Old) One day off, Ep06
SER_ROM_23_2697870	(Old) One day off, Ep07
SER_ROM_23_2697868	(Old) One day off, Ep05
SER_ROM_23_2697867	(Old) One day off, Ep04
SER_ROM_23_2697866	(Old) One day off, Ep03
SER_ROM_23_2697865	(Old) One day off, Ep02
SER_ROM_23__2697864	(Old) One day off, Ep01
Voice:
SER_ROM_23_2698231	One day off, Ep07
SER_ROM_23_2698232	One day off, Ep08
SER_ROM_23_2698228	One day off, Ep04
SER_ROM_23_2698229	One day off, Ep05
SER_ROM_23_2698230	One day off, Ep06
SER_ROM_23_2698227	One day off, Ep03
SER_ROM_23_2698226	One day off, Ep02
SER_ROM_23__2698225	One day off, Ep01</t>
        </is>
      </c>
      <c r="C18" s="108" t="inlineStr">
        <is>
          <t>One Day Off</t>
        </is>
      </c>
      <c r="D18" s="289" t="inlineStr">
        <is>
          <t>Nhật ký lãng du</t>
        </is>
      </c>
      <c r="E18" s="108" t="inlineStr">
        <is>
          <t>wavve</t>
        </is>
      </c>
      <c r="F18" s="590" t="inlineStr">
        <is>
          <t>90A/2023/HDBQ/VSTV_Wave</t>
        </is>
      </c>
      <c r="G18" s="108" t="inlineStr">
        <is>
          <t>Korea</t>
        </is>
      </c>
      <c r="H18" s="108" t="n">
        <v>2023</v>
      </c>
      <c r="I18" s="108" t="n">
        <v>8</v>
      </c>
      <c r="J18" s="108" t="n">
        <v>25</v>
      </c>
      <c r="K18" s="449">
        <f>(I18*J18)/60</f>
        <v/>
      </c>
      <c r="L18" s="305">
        <f>I18</f>
        <v/>
      </c>
      <c r="M18" s="108" t="inlineStr">
        <is>
          <t>Romance, Drama, Travel, Slice-of-life</t>
        </is>
      </c>
      <c r="N18" s="590" t="inlineStr">
        <is>
          <t>Drama</t>
        </is>
      </c>
      <c r="O18" s="308" t="n">
        <v>45070</v>
      </c>
      <c r="P18" s="308" t="n">
        <v>46530</v>
      </c>
      <c r="Q18" s="590" t="n">
        <v>45108</v>
      </c>
      <c r="R18" s="590" t="inlineStr">
        <is>
          <t>K+LIFE</t>
        </is>
      </c>
      <c r="S18" s="108" t="inlineStr">
        <is>
          <t>Exclusive All TV Rights during LP.
Exclusive All VOD during first year of LP. Non-exclusive All VOD Rights the remaining 3 years of LP</t>
        </is>
      </c>
      <c r="T18" s="108" t="inlineStr">
        <is>
          <t>Yes</t>
        </is>
      </c>
      <c r="U18" s="590" t="inlineStr">
        <is>
          <t>Yes</t>
        </is>
      </c>
      <c r="V18" s="590" t="inlineStr">
        <is>
          <t>Yes</t>
        </is>
      </c>
      <c r="W18" s="590" t="inlineStr">
        <is>
          <t>Yes</t>
        </is>
      </c>
      <c r="X18" s="590" t="inlineStr">
        <is>
          <t>Yes</t>
        </is>
      </c>
      <c r="Y18" s="590" t="inlineStr">
        <is>
          <t>Yes</t>
        </is>
      </c>
      <c r="Z18" s="590" t="inlineStr">
        <is>
          <t>Yes</t>
        </is>
      </c>
      <c r="AA18" s="590" t="inlineStr">
        <is>
          <t>Yes</t>
        </is>
      </c>
      <c r="AB18" s="590" t="inlineStr">
        <is>
          <t>Yes</t>
        </is>
      </c>
      <c r="AC18" s="308" t="n">
        <v>45070</v>
      </c>
      <c r="AD18" s="308" t="n">
        <v>46530</v>
      </c>
      <c r="AE18" s="108" t="inlineStr">
        <is>
          <t>Unlimited</t>
        </is>
      </c>
      <c r="AF18" s="306" t="n">
        <v>3</v>
      </c>
      <c r="AG18" s="641" t="n">
        <v>45202</v>
      </c>
      <c r="AH18" s="108" t="inlineStr">
        <is>
          <t>Unlimited</t>
        </is>
      </c>
      <c r="AI18" s="642" t="inlineStr">
        <is>
          <t>Yes</t>
        </is>
      </c>
      <c r="AJ18" s="642" t="inlineStr">
        <is>
          <t>Yes</t>
        </is>
      </c>
      <c r="AK18" s="307" t="inlineStr">
        <is>
          <t>Phim Song song</t>
        </is>
      </c>
      <c r="AL18" s="590" t="inlineStr">
        <is>
          <t>Phim còn hạn từ 2026</t>
        </is>
      </c>
      <c r="AM18" s="643" t="inlineStr">
        <is>
          <t>One Day Off</t>
        </is>
      </c>
      <c r="AN18" s="203" t="n"/>
      <c r="AO18" s="128">
        <f>SUMIF('TK 15661.Bản quyền phim '!F:F,'KK2. Series'!C18,'TK 15661.Bản quyền phim '!K:K)</f>
        <v/>
      </c>
      <c r="AP18" s="128">
        <f>COUNTIF('242.BQ Phim VOD'!$C$5:$C$8,'KK2. Series'!AM18)</f>
        <v/>
      </c>
      <c r="AQ18" s="128">
        <f>COUNTIF('TK 15666. Phim SX'!$C$6:$C$13,'KK2. Series'!AM18)</f>
        <v/>
      </c>
      <c r="AR18" s="203">
        <f>COUNTIF('TK 15661.Bản quyền phim '!F:F,'KK2. Series'!AM18)</f>
        <v/>
      </c>
      <c r="AS18" s="203" t="n"/>
      <c r="AT18" s="366">
        <f>SUM(AP18:AS18)</f>
        <v/>
      </c>
      <c r="AU18" s="203" t="n"/>
      <c r="AV18" s="203" t="n"/>
      <c r="AW18" s="203" t="n"/>
      <c r="AX18" s="203" t="n"/>
      <c r="AY18" s="203" t="n"/>
      <c r="AZ18" s="387" t="inlineStr">
        <is>
          <t>✓ Found</t>
        </is>
      </c>
      <c r="BB18" s="387" t="n"/>
    </row>
    <row r="19" ht="409.6" customHeight="1" s="578">
      <c r="A19" s="96" t="n">
        <v>13</v>
      </c>
      <c r="B19" s="97" t="inlineStr">
        <is>
          <t>Sub: SER_ROM_23_2706323	(SUB) Only For Love, Ep36
SER_ROM_23_2706322	(SUB) Only For Love, Ep35
SER_ROM_23_2706320	(SUB) Only For Love, Ep33
SER_ROM_23_2706321	(SUB) Only For Love, Ep34
SER_ROM_23_2706318	(SUB) Only For Love, Ep31
SER_ROM_23_2706319	(SUB) Only For Love, Ep32
SER_ROM_23_2706317	(SUB) Only For Love, Ep30
SER_ROM_23_2706314	(SUB) Only For Love, Ep27
SER_ROM_23_2706316	(SUB) Only For Love, Ep29
SER_ROM_23_2706315	(SUB) Only For Love, Ep28
SER_ROM_23_2706313	(SUB) Only For Love, Ep26
SER_ROM_23_2706312	(SUB) Only For Love, Ep25
SER_ROM_23_2706309	(SUB) Only For Love, Ep22
SER_ROM_23_2706310	(SUB) Only For Love, Ep23
SER_ROM_23_2706311	(SUB) Only For Love, Ep24
SER_ROM_23_2706308	(SUB) Only For Love, Ep21
SER_ROM_23_2706307	(SUB) Only For Love, Ep20
SER_ROM_23_2706306	(SUB) Only For Love, Ep19
SER_ROM_23_2706305	(SUB) Only For Love, Ep18
SER_ROM_23_2706304	(SUB) Only For Love, Ep17
SER_ROM_23_2706303	(SUB) Only For Love, Ep16
SER_ROM_23_2706302	(SUB) Only For Love, Ep15
SER_ROM_23_2706301	(SUB) Only For Love, Ep14
SER_ROM_23_2706300	(SUB) Only For Love, Ep13
SER_ROM_23_2706298	(SUB) Only For Love, Ep11
SER_ROM_23_2706299	(SUB) Only For Love, Ep12
SER_ROM_23_2706297	(SUB) Only For Love, Ep10
SER_ROM_23_2706296	(SUB) Only For Love, Ep09
SER_ROM_23_2706295	(SUB) Only For Love, Ep08
SER_ROM_23_2706293	(SUB) Only For Love, Ep06
SER_ROM_23_2706294	(SUB) Only For Love, Ep07
SER_ROM_23_2706292	(SUB) Only For Love, Ep05
SER_ROM_23_2706291	(SUB) Only For Love, Ep04
SER_ROM_23_2706290	(SUB) Only For Love, Ep03
SER_ROM_23_2706289	(SUB) Only For Love, Ep02
SER_ROM_23__2706288	(SUB) Only For Love, Ep01
Voice: 
SER_ROM_23_2707694	Only For Love, Ep34
SER_ROM_23_2707696	Only For Love, Ep36
SER_ROM_23_2707695	Only For Love, Ep35
SER_ROM_23_2707692	Only For Love, Ep32
SER_ROM_23_2707693	Only For Love, Ep33
SER_ROM_23_2707691	Only For Love, Ep31
SER_ROM_23_2707689	Only For Love, Ep29
SER_ROM_23_2707690	Only For Love, Ep30
SER_ROM_23_2707687	Only For Love, Ep27
SER_ROM_23_2707688	Only For Love, Ep28
SER_ROM_23_2707684	Only For Love, Ep24
SER_ROM_23_2707685	Only For Love, Ep25
SER_ROM_23_2707686	Only For Love, Ep26
SER_ROM_23_2707682	Only For Love, Ep22
SER_ROM_23_2707683	Only For Love, Ep23
SER_ROM_23_2707680	Only For Love, Ep20
SER_ROM_23_2707681	Only For Love, Ep21
SER_ROM_23_2707678	Only For Love, Ep18
SER_ROM_23_2707679	Only For Love, Ep19
SER_ROM_23_2707677	Only For Love, Ep17
SER_ROM_23_2707676	Only For Love, Ep16
SER_ROM_23_2707675	Only For Love, Ep15
SER_ROM_23_2707674	Only For Love, Ep14
SER_ROM_23_2707672	Only For Love, Ep12
SER_ROM_23_2707673	Only For Love, Ep13
SER_ROM_23_2707670	Only For Love, Ep10
SER_ROM_23_2707671	Only For Love, Ep11
SER_ROM_23_2707669	Only For Love, Ep09
SER_ROM_23_2707668	Only For Love, Ep08
SER_ROM_23_2707666	Only For Love, Ep06
SER_ROM_23_2707665	Only For Love, Ep05
SER_ROM_23_2707667	Only For Love, Ep07
SER_ROM_23_2707663	Only For Love, Ep03
SER_ROM_23_2707664	Only For Love, Ep04
SER_ROM_23_2707662	Only For Love, Ep02
SER_ROM_23_2707661	Only For Love, Ep01</t>
        </is>
      </c>
      <c r="C19" s="108" t="inlineStr">
        <is>
          <t>Only For Love</t>
        </is>
      </c>
      <c r="D19" s="590" t="inlineStr">
        <is>
          <t>Trêu nhầm yêu thật</t>
        </is>
      </c>
      <c r="E19" s="108" t="inlineStr">
        <is>
          <t>Huace Media</t>
        </is>
      </c>
      <c r="F19" s="590" t="inlineStr">
        <is>
          <t>Huace Media/Only For Love</t>
        </is>
      </c>
      <c r="G19" s="108" t="inlineStr">
        <is>
          <t>China</t>
        </is>
      </c>
      <c r="H19" s="108" t="n">
        <v>2023</v>
      </c>
      <c r="I19" s="108" t="n">
        <v>36</v>
      </c>
      <c r="J19" s="108" t="n">
        <v>45</v>
      </c>
      <c r="K19" s="305">
        <f>(I19*J19)/60</f>
        <v/>
      </c>
      <c r="L19" s="305">
        <f>I19</f>
        <v/>
      </c>
      <c r="M19" s="108" t="inlineStr">
        <is>
          <t>Romance, Drama, Comedy</t>
        </is>
      </c>
      <c r="N19" s="590" t="inlineStr">
        <is>
          <t>Romance</t>
        </is>
      </c>
      <c r="O19" s="308" t="n">
        <v>45231</v>
      </c>
      <c r="P19" s="308" t="n">
        <v>47057</v>
      </c>
      <c r="Q19" s="590" t="n">
        <v>45237</v>
      </c>
      <c r="R19" s="590" t="inlineStr">
        <is>
          <t>K+ACTION</t>
        </is>
      </c>
      <c r="S19" s="108" t="inlineStr">
        <is>
          <t>Exclusive All TV and All VOD Rights during LP.</t>
        </is>
      </c>
      <c r="T19" s="108" t="inlineStr">
        <is>
          <t>Yes</t>
        </is>
      </c>
      <c r="U19" s="590" t="inlineStr">
        <is>
          <t>Yes</t>
        </is>
      </c>
      <c r="V19" s="108" t="inlineStr">
        <is>
          <t>Yes</t>
        </is>
      </c>
      <c r="W19" s="108" t="inlineStr">
        <is>
          <t>Yes</t>
        </is>
      </c>
      <c r="X19" s="108" t="inlineStr">
        <is>
          <t>Yes</t>
        </is>
      </c>
      <c r="Y19" s="108" t="inlineStr">
        <is>
          <t>Yes</t>
        </is>
      </c>
      <c r="Z19" s="108" t="inlineStr">
        <is>
          <t>Yes</t>
        </is>
      </c>
      <c r="AA19" s="108" t="inlineStr">
        <is>
          <t>Yes</t>
        </is>
      </c>
      <c r="AB19" s="108" t="inlineStr">
        <is>
          <t>Yes</t>
        </is>
      </c>
      <c r="AC19" s="308" t="n">
        <v>45231</v>
      </c>
      <c r="AD19" s="308" t="n">
        <v>47057</v>
      </c>
      <c r="AE19" s="108" t="inlineStr">
        <is>
          <t>Unlimited</t>
        </is>
      </c>
      <c r="AF19" s="306" t="n">
        <v>3</v>
      </c>
      <c r="AG19" s="641" t="n">
        <v>45241</v>
      </c>
      <c r="AH19" s="309" t="n"/>
      <c r="AI19" s="642" t="inlineStr">
        <is>
          <t>Yes</t>
        </is>
      </c>
      <c r="AJ19" s="642" t="inlineStr">
        <is>
          <t>Yes</t>
        </is>
      </c>
      <c r="AK19" s="307" t="inlineStr">
        <is>
          <t>Phim Song song</t>
        </is>
      </c>
      <c r="AL19" s="590" t="inlineStr">
        <is>
          <t>Phim còn hạn từ 2026</t>
        </is>
      </c>
      <c r="AM19" s="595" t="inlineStr">
        <is>
          <t>ONLY FOR LOVE (TRÊU NHẦM YÊU THẬT)</t>
        </is>
      </c>
      <c r="AN19" s="203" t="n"/>
      <c r="AO19" s="128">
        <f>SUMIF('TK 15661.Bản quyền phim '!F:F,'KK2. Series'!C19,'TK 15661.Bản quyền phim '!K:K)</f>
        <v/>
      </c>
      <c r="AP19" s="128">
        <f>COUNTIF('242.BQ Phim VOD'!$C$5:$C$8,'KK2. Series'!AM19)</f>
        <v/>
      </c>
      <c r="AQ19" s="128">
        <f>COUNTIF('TK 15666. Phim SX'!$C$6:$C$13,'KK2. Series'!AM19)</f>
        <v/>
      </c>
      <c r="AR19" s="203">
        <f>COUNTIF('TK 15661.Bản quyền phim '!F:F,'KK2. Series'!AM19)</f>
        <v/>
      </c>
      <c r="AS19" s="203" t="n"/>
      <c r="AT19" s="366">
        <f>SUM(AP19:AS19)</f>
        <v/>
      </c>
      <c r="AU19" s="203" t="n"/>
      <c r="AV19" s="203" t="n"/>
      <c r="AW19" s="203" t="n"/>
      <c r="AX19" s="203" t="n"/>
      <c r="AY19" s="203" t="n"/>
      <c r="AZ19" s="387" t="inlineStr">
        <is>
          <t>✓ Found</t>
        </is>
      </c>
      <c r="BB19" s="387" t="n"/>
    </row>
    <row r="20" ht="237.6" customHeight="1" s="578">
      <c r="A20" s="96" t="n">
        <v>14</v>
      </c>
      <c r="B20" s="97" t="inlineStr">
        <is>
          <t>S01 EP01 – SER_DRA_22_2678186
S01 EP02 – SER_DRA_22_2678187
S01 EP03 – SER_DRA_22_2678188
S01 EP04 – SER_DRA_22_2678189
S01 EP05 – SER_DRA_22_2678190
S01 EP06 – SER_DRA_22_2678191
S01 EP07 – SER_DRA_22_2678192
S01 EP08 – SER_DRA_22_2678193
S01 EP09 – SER_DRA_22_2678194</t>
        </is>
      </c>
      <c r="C20" s="590" t="inlineStr">
        <is>
          <t>All Those Things We Never Said</t>
        </is>
      </c>
      <c r="D20" s="590" t="inlineStr">
        <is>
          <t>Mọi Điều Ta Chưa Nói</t>
        </is>
      </c>
      <c r="E20" s="590" t="inlineStr">
        <is>
          <t>Studio Canal TV</t>
        </is>
      </c>
      <c r="F20" s="590" t="inlineStr">
        <is>
          <t>Scale_SC+/All those things</t>
        </is>
      </c>
      <c r="G20" s="590" t="inlineStr">
        <is>
          <t>France</t>
        </is>
      </c>
      <c r="H20" s="305" t="n">
        <v>2022</v>
      </c>
      <c r="I20" s="305" t="n">
        <v>9</v>
      </c>
      <c r="J20" s="305" t="n">
        <v>30</v>
      </c>
      <c r="K20" s="305">
        <f>(I20*J20)/60</f>
        <v/>
      </c>
      <c r="L20" s="305">
        <f>I20</f>
        <v/>
      </c>
      <c r="M20" s="590" t="inlineStr">
        <is>
          <t>Romance Drama</t>
        </is>
      </c>
      <c r="N20" s="590" t="inlineStr">
        <is>
          <t>Drama</t>
        </is>
      </c>
      <c r="O20" s="208" t="n">
        <v>44886</v>
      </c>
      <c r="P20" s="208" t="n">
        <v>48538</v>
      </c>
      <c r="Q20" s="208" t="n">
        <v>44963</v>
      </c>
      <c r="R20" s="208" t="inlineStr">
        <is>
          <t>K+CINE</t>
        </is>
      </c>
      <c r="S20" s="590" t="inlineStr">
        <is>
          <t>Exclusive all rights</t>
        </is>
      </c>
      <c r="T20" s="590" t="inlineStr">
        <is>
          <t>Yes</t>
        </is>
      </c>
      <c r="U20" s="590" t="inlineStr">
        <is>
          <t>Yes</t>
        </is>
      </c>
      <c r="V20" s="590" t="inlineStr">
        <is>
          <t>Yes</t>
        </is>
      </c>
      <c r="W20" s="590" t="inlineStr">
        <is>
          <t>Yes</t>
        </is>
      </c>
      <c r="X20" s="590" t="inlineStr">
        <is>
          <t>Yes</t>
        </is>
      </c>
      <c r="Y20" s="590" t="inlineStr">
        <is>
          <t>Yes</t>
        </is>
      </c>
      <c r="Z20" s="590" t="inlineStr">
        <is>
          <t>Yes</t>
        </is>
      </c>
      <c r="AA20" s="590" t="inlineStr">
        <is>
          <t>Yes</t>
        </is>
      </c>
      <c r="AB20" s="590" t="inlineStr">
        <is>
          <t>Yes</t>
        </is>
      </c>
      <c r="AC20" s="208" t="n">
        <v>44886</v>
      </c>
      <c r="AD20" s="208" t="n">
        <v>48538</v>
      </c>
      <c r="AE20" s="590" t="inlineStr">
        <is>
          <t>Unlimited</t>
        </is>
      </c>
      <c r="AF20" s="306" t="n">
        <v>18</v>
      </c>
      <c r="AG20" s="641" t="n">
        <v>45789</v>
      </c>
      <c r="AH20" s="590" t="inlineStr">
        <is>
          <t>Unlimited</t>
        </is>
      </c>
      <c r="AI20" s="642" t="inlineStr">
        <is>
          <t>Yes</t>
        </is>
      </c>
      <c r="AJ20" s="642" t="inlineStr">
        <is>
          <t>Yes</t>
        </is>
      </c>
      <c r="AK20" s="307" t="n"/>
      <c r="AL20" s="590" t="inlineStr">
        <is>
          <t>Phim còn hạn từ 2026</t>
        </is>
      </c>
      <c r="AM20" s="595" t="inlineStr">
        <is>
          <t>All those things we never said - season 1</t>
        </is>
      </c>
      <c r="AN20" s="203" t="n"/>
      <c r="AO20" s="128">
        <f>SUMIF('TK 15661.Bản quyền phim '!F:F,'KK2. Series'!C20,'TK 15661.Bản quyền phim '!K:K)</f>
        <v/>
      </c>
      <c r="AP20" s="128">
        <f>COUNTIF('242.BQ Phim VOD'!$C$5:$C$8,'KK2. Series'!AM20)</f>
        <v/>
      </c>
      <c r="AQ20" s="128">
        <f>COUNTIF('TK 15666. Phim SX'!$C$6:$C$13,'KK2. Series'!AM20)</f>
        <v/>
      </c>
      <c r="AR20" s="203">
        <f>COUNTIF('TK 15661.Bản quyền phim '!F:F,'KK2. Series'!AM20)</f>
        <v/>
      </c>
      <c r="AS20" s="203" t="n"/>
      <c r="AT20" s="366">
        <f>SUM(AP20:AS20)</f>
        <v/>
      </c>
      <c r="AU20" s="203" t="n"/>
      <c r="AV20" s="203" t="n"/>
      <c r="AW20" s="203" t="n"/>
      <c r="AX20" s="203" t="n"/>
      <c r="AY20" s="203" t="n"/>
      <c r="AZ20" s="387" t="inlineStr">
        <is>
          <t>✓ Found</t>
        </is>
      </c>
      <c r="BB20" s="387" t="n"/>
    </row>
    <row r="21" ht="409.6" customHeight="1" s="578">
      <c r="A21" s="96" t="n">
        <v>15</v>
      </c>
      <c r="B21" s="97" t="inlineStr">
        <is>
          <t xml:space="preserve">Voice: SER_COS_24_2710320 A Journey to Love, Ep01
SER_COS_24_2710321 A Journey to Love, Ep02
SER_COS_24_2710322 A Journey to Love, Ep03
SER_COS_24_2710323 A Journey to Love, Ep04
SER_COS_24_2710324 A Journey to Love, Ep05
SER_COS_24_2710325 A Journey to Love, Ep06
SER_COS_24_2710326 A Journey to Love, Ep07
SER_COS_24_2710327 A Journey to Love, Ep08
SER_COS_24_2710328 A Journey to Love, Ep09
SER_COS_24_2710329 A Journey to Love, Ep10
SER_COS_24_2710330 A Journey to Love, Ep11
SER_COS_24_2710331 A Journey to Love, Ep12
SER_COS_24_2710332 A Journey to Love, Ep13
SER_COS_24_2710333 A Journey to Love, Ep14
SER_COS_24_2710334 A Journey to Love, Ep15
SER_COS_24_2710335 A Journey to Love, Ep16
SER_COS_24_2710336 A Journey to Love, Ep17
SER_COS_24_2710337 A Journey to Love, Ep18
SER_COS_24_2710338 A Journey to Love, Ep19
SER_COS_24_2710339 A Journey to Love, Ep20
SER_COS_24_2710340 A Journey to Love, Ep21
SER_COS_24_2710341 A Journey to Love, Ep22
SER_COS_24_2710342 A Journey to Love, Ep23
SER_COS_24_2710343 A Journey to Love, Ep24
SER_COS_24_2710344 A Journey to Love, Ep25
SER_COS_24_2710345 A Journey to Love, Ep26
SER_COS_24_2710346 A Journey to Love, Ep27
SER_COS_24_2710347 A Journey to Love, Ep28
SER_COS_24_2710348 A Journey to Love, Ep29
SER_COS_24_2710349 A Journey to Love, Ep30
SER_COS_24_2710350 A Journey to Love, Ep31
SER_COS_24_2710351 A Journey to Love, Ep32
SER_COS_24_2710352 A Journey to Love, Ep33
SER_COS_24_2710353 A Journey to Love, Ep34
SER_COS_24_2710354 A Journey to Love, Ep35
SER_COS_24_2710355 A Journey to Love, Ep36
SER_COS_24_2710356 A Journey to Love, Ep37
SER_COS_24_2710357 A Journey to Love, Ep38
SER_COS_24_2710358 A Journey to Love, Ep39
SER_COS_24_2710359 A Journey to Love, Ep40
sub: SER_COS_23_2709564 (SUB) A Journey to Love, Ep01
SER_COS_23_2709565 (SUB) A Journey to Love, Ep02
SER_COS_23_2709566 (SUB) A Journey to Love, Ep03
SER_COS_23_2709567 (SUB) A Journey to Love, Ep04
SER_COS_23_2709568 (SUB) A Journey to Love, Ep05
SER_COS_23_2709569 (SUB) A Journey to Love, Ep06
SER_COS_23_2709570 (SUB) A Journey to Love, Ep07
SER_COS_23_2709571 (SUB) A Journey to Love, Ep08
SER_COS_23_2709572 (SUB) A Journey to Love, Ep09
SER_COS_23_2709573 (SUB) A Journey to Love, Ep10
SER_COS_23_2709574 (SUB) A Journey to Love, Ep11
SER_COS_23_2709575 (SUB) A Journey to Love, Ep12
SER_COS_23_2709576 (SUB) A Journey to Love, Ep13
SER_COS_23_2709577 (SUB) A Journey to Love, Ep14
SER_COS_23_2709578 (SUB) A Journey to Love, Ep15
SER_COS_23_2709579 (SUB) A Journey to Love, Ep16
SER_COS_23_2709580 (SUB) A Journey to Love, Ep17
SER_COS_23_2709581 (SUB) A Journey to Love, Ep18
SER_COS_23_2709582 (SUB) A Journey to Love, Ep19
SER_COS_23_2709583 (SUB) A Journey to Love, Ep20
SER_COS_23_2709584 (SUB) A Journey to Love, Ep21
SER_COS_23_2709585 (SUB) A Journey to Love, Ep22
SER_COS_23_2709586 (SUB) A Journey to Love, Ep23
SER_COS_23_2709587 (SUB) A Journey to Love, Ep24
SER_COS_23_2709588 (SUB) A Journey to Love, Ep25
SER_COS_23_2709589 (SUB) A Journey to Love, Ep26
SER_COS_23_2709590 (SUB) A Journey to Love, Ep27
SER_COS_23_2709591 (SUB) A Journey to Love, Ep28
SER_COS_23_2709592 (SUB) A Journey to Love, Ep29
SER_COS_23_2709593 (SUB) A Journey to Love, Ep30
SER_COS_23_2709594 (SUB) A Journey to Love, Ep31
SER_COS_23_2709595 (SUB) A Journey to Love, Ep32
SER_COS_23_2709596 (SUB) A Journey to Love, Ep33
SER_COS_23_2709597 (SUB) A Journey to Love, Ep34
SER_COS_23_2709598 (SUB) A Journey to Love, Ep35
SER_COS_23_2709599 (SUB) A Journey to Love, Ep36
SER_COS_23_2709600 (SUB) A Journey to Love, Ep37
SER_COS_23_2709601 (SUB) A Journey to Love, Ep38
SER_COS_23_2709602 (SUB) A Journey to Love, Ep39
SER_COS_23_2709603 (SUB) A Journey to Love, Ep40
</t>
        </is>
      </c>
      <c r="C21" s="108" t="inlineStr">
        <is>
          <t>A Journey to Love</t>
        </is>
      </c>
      <c r="D21" s="590" t="inlineStr">
        <is>
          <t>Nhất Niệm Quan Sơn</t>
        </is>
      </c>
      <c r="E21" s="108" t="inlineStr">
        <is>
          <t>Linmon Media</t>
        </is>
      </c>
      <c r="F21" s="590" t="inlineStr">
        <is>
          <t>Linmon Media/ A journey to Love</t>
        </is>
      </c>
      <c r="G21" s="108" t="inlineStr">
        <is>
          <t>China</t>
        </is>
      </c>
      <c r="H21" s="108" t="n">
        <v>2023</v>
      </c>
      <c r="I21" s="108" t="n">
        <v>40</v>
      </c>
      <c r="J21" s="108" t="n">
        <v>45</v>
      </c>
      <c r="K21" s="305">
        <f>(I21*J21)/60</f>
        <v/>
      </c>
      <c r="L21" s="305">
        <f>I21</f>
        <v/>
      </c>
      <c r="M21" s="108" t="inlineStr">
        <is>
          <t>Romance, Wuxia, Drama, Political</t>
        </is>
      </c>
      <c r="N21" s="108" t="inlineStr">
        <is>
          <t>Action</t>
        </is>
      </c>
      <c r="O21" s="308" t="n">
        <v>45653</v>
      </c>
      <c r="P21" s="308" t="n">
        <v>47478</v>
      </c>
      <c r="Q21" s="590" t="n">
        <v>45313</v>
      </c>
      <c r="R21" s="590" t="inlineStr">
        <is>
          <t>K+ACTION</t>
        </is>
      </c>
      <c r="S21" s="108" t="n">
        <v>60</v>
      </c>
      <c r="T21" s="108" t="inlineStr">
        <is>
          <t>Yes</t>
        </is>
      </c>
      <c r="U21" s="590" t="inlineStr">
        <is>
          <t>Yes</t>
        </is>
      </c>
      <c r="V21" s="108" t="inlineStr">
        <is>
          <t>Yes</t>
        </is>
      </c>
      <c r="W21" s="108" t="inlineStr">
        <is>
          <t>Yes</t>
        </is>
      </c>
      <c r="X21" s="108" t="inlineStr">
        <is>
          <t>Yes</t>
        </is>
      </c>
      <c r="Y21" s="108" t="inlineStr">
        <is>
          <t>Yes</t>
        </is>
      </c>
      <c r="Z21" s="108" t="inlineStr">
        <is>
          <t>Yes</t>
        </is>
      </c>
      <c r="AA21" s="108" t="inlineStr">
        <is>
          <t>Yes</t>
        </is>
      </c>
      <c r="AB21" s="108" t="inlineStr">
        <is>
          <t>Yes</t>
        </is>
      </c>
      <c r="AC21" s="308" t="n">
        <v>45653</v>
      </c>
      <c r="AD21" s="308" t="n">
        <v>47478</v>
      </c>
      <c r="AE21" s="108" t="inlineStr">
        <is>
          <t>Unlimited run</t>
        </is>
      </c>
      <c r="AF21" s="306" t="n">
        <v>5</v>
      </c>
      <c r="AG21" s="641" t="n">
        <v>45597</v>
      </c>
      <c r="AH21" s="309" t="n"/>
      <c r="AI21" s="642" t="inlineStr">
        <is>
          <t>Yes</t>
        </is>
      </c>
      <c r="AJ21" s="642" t="inlineStr">
        <is>
          <t>Yes</t>
        </is>
      </c>
      <c r="AK21" s="307" t="n"/>
      <c r="AL21" s="590" t="inlineStr">
        <is>
          <t>Phim còn hạn từ 2026</t>
        </is>
      </c>
      <c r="AM21" s="203" t="inlineStr">
        <is>
          <t>A JOURNEY TO LOVE (Nhất niệm quan sơn)</t>
        </is>
      </c>
      <c r="AN21" s="203" t="n"/>
      <c r="AO21" s="128">
        <f>SUMIF('TK 15661.Bản quyền phim '!F:F,'KK2. Series'!C21,'TK 15661.Bản quyền phim '!K:K)</f>
        <v/>
      </c>
      <c r="AP21" s="128">
        <f>COUNTIF('242.BQ Phim VOD'!$C$5:$C$8,'KK2. Series'!AM21)</f>
        <v/>
      </c>
      <c r="AQ21" s="128">
        <f>COUNTIF('TK 15666. Phim SX'!$C$6:$C$13,'KK2. Series'!AM21)</f>
        <v/>
      </c>
      <c r="AR21" s="203">
        <f>COUNTIF('TK 15661.Bản quyền phim '!F:F,'KK2. Series'!AM21)</f>
        <v/>
      </c>
      <c r="AS21" s="203" t="n"/>
      <c r="AT21" s="366">
        <f>SUM(AP21:AS21)</f>
        <v/>
      </c>
      <c r="AU21" s="203" t="n"/>
      <c r="AV21" s="203" t="n"/>
      <c r="AW21" s="203" t="n"/>
      <c r="AX21" s="203" t="n"/>
      <c r="AY21" s="203" t="n"/>
      <c r="AZ21" s="387" t="inlineStr">
        <is>
          <t>✓ Found</t>
        </is>
      </c>
      <c r="BB21" s="387" t="n"/>
    </row>
    <row r="22" ht="409.6" customHeight="1" s="578">
      <c r="A22" s="96" t="n">
        <v>16</v>
      </c>
      <c r="B22" s="97" t="inlineStr">
        <is>
          <t>the legend of shen li – bản voice
SER_ROM_24_2716199 (VOICE) The Legend of Shen Li, Ep01
SER_ROM_24_2716200 (VOICE) The Legend of Shen Li, Ep02
SER_ROM_24_2716201 (VOICE) The Legend of Shen Li, Ep03
SER_ROM_24_2716202 (VOICE) The Legend of Shen Li, Ep04
SER_ROM_24_2716203 (VOICE) The Legend of Shen Li, Ep05
SER_ROM_24_2716204 (VOICE) The Legend of Shen Li, Ep06
SER_ROM_24_2716205 (VOICE) The Legend of Shen Li, Ep07
SER_ROM_24_2716206 (VOICE) The Legend of Shen Li, Ep08
SER_ROM_24_2716207 (VOICE) The Legend of Shen Li, Ep09
SER_ROM_24_2716208 (VOICE) The Legend of Shen Li, Ep10
SER_ROM_24_2716209 (VOICE) The Legend of Shen Li, Ep11
SER_ROM_24_2716210 (VOICE) The Legend of Shen Li, Ep12
SER_ROM_24_2716211 (VOICE) The Legend of Shen Li, Ep13
SER_ROM_24_2716212 (VOICE) The Legend of Shen Li, Ep14
SER_ROM_24_2716213 (VOICE) The Legend of Shen Li, Ep15
SER_ROM_24_2716214 (VOICE) The Legend of Shen Li, Ep16
SER_ROM_24_2716215 (VOICE) The Legend of Shen Li, Ep17
SER_ROM_24_2716216 (VOICE) The Legend of Shen Li, Ep18
SER_ROM_24_2716217 (VOICE) The Legend of Shen Li, Ep19
SER_ROM_24_2716218 (VOICE) The Legend of Shen Li, Ep20
SER_ROM_24_2716219 (VOICE) The Legend of Shen Li, Ep21
SER_ROM_24_2716220 (VOICE) The Legend of Shen Li, Ep22
SER_ROM_24_2716221 (VOICE) The Legend of Shen Li, Ep23
SER_ROM_24_2716222 (VOICE) The Legend of Shen Li, Ep24
SER_ROM_24_2716223 (VOICE) The Legend of Shen Li, Ep25
SER_ROM_24_2716224 (VOICE) The Legend of Shen Li, Ep26
SER_ROM_24_2716225 (VOICE) The Legend of Shen Li, Ep27
SER_ROM_24_2716226 (VOICE) The Legend of Shen Li, Ep28
SER_ROM_24_2716227 (VOICE) The Legend of Shen Li, Ep29
SER_ROM_24_2716228 (VOICE) The Legend of Shen Li, Ep30
SER_ROM_24_2716229 (VOICE) The Legend of Shen Li, Ep31
SER_ROM_24_2716230 (VOICE) The Legend of Shen Li, Ep32
SER_ROM_24_2716231 (VOICE) The Legend of Shen Li, Ep33
SER_ROM_24_2716232 (VOICE) The Legend of Shen Li, Ep34
SER_ROM_24_2716233 (VOICE) The Legend of Shen Li, Ep35
SER_ROM_24_2716234 (VOICE) The Legend of Shen Li, Ep36
SER_ROM_24_2716235 (VOICE) The Legend of Shen Li, Ep37
SER_ROM_24_2716236 (VOICE) The Legend of Shen Li, Ep38
SER_ROM_24_2716237 (VOICE) The Legend of Shen Li, Ep39
the legend of shen li – bản sub
SER_ROM_24_2713881 The Legend of Shen Li, Ep01
SER_ROM_24_2713882 The Legend of Shen Li, Ep02
SER_ROM_24_2713883 The Legend of Shen Li, Ep03
SER_ROM_24_2713884 The Legend of Shen Li, Ep04
SER_ROM_24_2713885 The Legend of Shen Li, Ep05
SER_ROM_24_2713886 The Legend of Shen Li, Ep06
SER_ROM_24_2713887 The Legend of Shen Li, Ep07
SER_ROM_24_2713888 The Legend of Shen Li, Ep08
SER_ROM_24_2713889 The Legend of Shen Li, Ep09
SER_ROM_24_2713890 The Legend of Shen Li, Ep10
SER_ROM_24_2713891 The Legend of Shen Li, Ep11
SER_ROM_24_2713892 The Legend of Shen Li, Ep12
SER_ROM_24_2713893 The Legend of Shen Li, Ep13
SER_ROM_24_2713894 The Legend of Shen Li, Ep14
SER_ROM_24_2713895 The Legend of Shen Li, Ep15
SER_ROM_24_2713896 The Legend of Shen Li, Ep16
SER_ROM_24_2713897 The Legend of Shen Li, Ep17
SER_ROM_24_2713898 The Legend of Shen Li, Ep18
SER_ROM_24_2713899 The Legend of Shen Li, Ep19
SER_ROM_24_2713900 The Legend of Shen Li, Ep20
SER_ROM_24_2713901 The Legend of Shen Li, Ep21
SER_ROM_24_2713902 The Legend of Shen Li, Ep22
SER_ROM_24_2713903 The Legend of Shen Li, Ep23
SER_ROM_24_2713904 The Legend of Shen Li, Ep24
SER_ROM_24_2713905 The Legend of Shen Li, Ep25
SER_ROM_24_2713906 The Legend of Shen Li, Ep26
SER_ROM_24_2713907 The Legend of Shen Li, Ep27
SER_ROM_24_2713908 The Legend of Shen Li, Ep28
SER_ROM_24_2713909 The Legend of Shen Li, Ep29
SER_ROM_24_2713910 The Legend of Shen Li, Ep30
SER_ROM_24_2713911 The Legend of Shen Li, Ep31
SER_ROM_24_2713912 The Legend of Shen Li, Ep32
SER_ROM_24_2713913 The Legend of Shen Li, Ep33
SER_ROM_24_2713914 The Legend of Shen Li, Ep34
SER_ROM_24_2713915 The Legend of Shen Li, Ep35
SER_ROM_24_2713916 The Legend of Shen Li, Ep36
SER_ROM_24_2713917 The Legend of Shen Li, Ep37
SER_ROM_24_2713918 The Legend of Shen Li, Ep38
SER_ROM_24_2713919 The Legend of Shen Li, Ep39</t>
        </is>
      </c>
      <c r="C22" s="290" t="inlineStr">
        <is>
          <t>Legend of Shen Li</t>
        </is>
      </c>
      <c r="D22" s="590" t="inlineStr">
        <is>
          <t>Dữ Phượng Hành</t>
        </is>
      </c>
      <c r="E22" s="290" t="inlineStr">
        <is>
          <t>NCM</t>
        </is>
      </c>
      <c r="F22" s="590" t="inlineStr">
        <is>
          <t>New Classic Media/HDBQ Legend of Shen Li</t>
        </is>
      </c>
      <c r="G22" s="290" t="inlineStr">
        <is>
          <t>China</t>
        </is>
      </c>
      <c r="H22" s="290" t="n">
        <v>2023</v>
      </c>
      <c r="I22" s="290" t="n">
        <v>39</v>
      </c>
      <c r="J22" s="290" t="n">
        <v>42</v>
      </c>
      <c r="K22" s="305">
        <f>(I22*J22)/60</f>
        <v/>
      </c>
      <c r="L22" s="305" t="n">
        <v>39</v>
      </c>
      <c r="M22" s="290" t="inlineStr">
        <is>
          <t>Custom, Xianxia, Romance</t>
        </is>
      </c>
      <c r="N22" s="590" t="inlineStr">
        <is>
          <t>Romance</t>
        </is>
      </c>
      <c r="O22" s="310" t="n">
        <v>45369</v>
      </c>
      <c r="P22" s="310" t="n">
        <v>47194</v>
      </c>
      <c r="Q22" s="310" t="n">
        <v>45369</v>
      </c>
      <c r="R22" s="590" t="inlineStr">
        <is>
          <t>K+ACTION</t>
        </is>
      </c>
      <c r="S22" s="311" t="n">
        <v>48</v>
      </c>
      <c r="T22" s="290" t="inlineStr">
        <is>
          <t>Yes</t>
        </is>
      </c>
      <c r="U22" s="590" t="inlineStr">
        <is>
          <t>Yes</t>
        </is>
      </c>
      <c r="V22" s="290" t="inlineStr">
        <is>
          <t>Yes</t>
        </is>
      </c>
      <c r="W22" s="290" t="inlineStr">
        <is>
          <t>Yes</t>
        </is>
      </c>
      <c r="X22" s="290" t="inlineStr">
        <is>
          <t>Yes</t>
        </is>
      </c>
      <c r="Y22" s="290" t="inlineStr">
        <is>
          <t>Yes</t>
        </is>
      </c>
      <c r="Z22" s="290" t="inlineStr">
        <is>
          <t>Yes</t>
        </is>
      </c>
      <c r="AA22" s="290" t="inlineStr">
        <is>
          <t>Yes</t>
        </is>
      </c>
      <c r="AB22" s="290" t="inlineStr">
        <is>
          <t>Yes</t>
        </is>
      </c>
      <c r="AC22" s="310" t="n">
        <v>45369</v>
      </c>
      <c r="AD22" s="310" t="n">
        <v>47194</v>
      </c>
      <c r="AE22" s="290" t="inlineStr">
        <is>
          <t xml:space="preserve">Unlimited run </t>
        </is>
      </c>
      <c r="AF22" s="306" t="n">
        <v>2</v>
      </c>
      <c r="AG22" s="641" t="n">
        <v>45370</v>
      </c>
      <c r="AH22" s="309" t="n"/>
      <c r="AI22" s="642" t="inlineStr">
        <is>
          <t>Yes</t>
        </is>
      </c>
      <c r="AJ22" s="642" t="inlineStr">
        <is>
          <t>Yes</t>
        </is>
      </c>
      <c r="AK22" s="307" t="inlineStr">
        <is>
          <t>Phim Song song</t>
        </is>
      </c>
      <c r="AL22" s="590" t="inlineStr">
        <is>
          <t>Phim còn hạn từ 2026</t>
        </is>
      </c>
      <c r="AM22" s="203" t="inlineStr">
        <is>
          <t>The Legend of Shen Li (Dữ phượng hành)</t>
        </is>
      </c>
      <c r="AN22" s="203" t="n"/>
      <c r="AO22" s="128">
        <f>SUMIF('TK 15661.Bản quyền phim '!F:F,'KK2. Series'!C22,'TK 15661.Bản quyền phim '!K:K)</f>
        <v/>
      </c>
      <c r="AP22" s="128">
        <f>COUNTIF('242.BQ Phim VOD'!$C$5:$C$8,'KK2. Series'!AM22)</f>
        <v/>
      </c>
      <c r="AQ22" s="128">
        <f>COUNTIF('TK 15666. Phim SX'!$C$6:$C$13,'KK2. Series'!AM22)</f>
        <v/>
      </c>
      <c r="AR22" s="203">
        <f>COUNTIF('TK 15661.Bản quyền phim '!F:F,'KK2. Series'!AM22)</f>
        <v/>
      </c>
      <c r="AS22" s="203" t="n"/>
      <c r="AT22" s="366">
        <f>SUM(AP22:AS22)</f>
        <v/>
      </c>
      <c r="AU22" s="203" t="n"/>
      <c r="AV22" s="203" t="n"/>
      <c r="AW22" s="203" t="n"/>
      <c r="AX22" s="203" t="n"/>
      <c r="AY22" s="203" t="n"/>
      <c r="AZ22" s="387" t="inlineStr">
        <is>
          <t>✓ Found</t>
        </is>
      </c>
      <c r="BB22" s="387" t="n"/>
    </row>
    <row r="23" ht="409.6" customHeight="1" s="578">
      <c r="A23" s="96" t="n">
        <v>17</v>
      </c>
      <c r="B23" s="97" t="inlineStr">
        <is>
          <t>EP01 – SER_HIS_22_2685963
EP02 – SER_HIS_22_2685964
EP03 – SER_HIS_22_2685965
EP04 – SER_HIS_22_2685966
EP05 – SER_HIS_22_2685967
EP06 – SER_HIS_22_2685968
EP07 – SER_HIS_22_2685969
EP08 – SER_HIS_22_2685970
EP09 – SER_HIS_22_2685971
EP10 – SER_HIS_22_2685972
EP11 – SER_HIS_22_2685973
EP12 – SER_HIS_22_2685974
EP13 – SER_HIS_22_2685975
EP14 – SER_HIS_22_2685976
EP15 – SER_HIS_22_2685977
EP16 – SER_HIS_22_2685978
EP17 – SER_HIS_22_2685979
EP18 – SER_HIS_22_2685980
EP19 – SER_HIS_22_2685981
EP20 – SER_HIS_22_2685982
EP21 – SER_HIS_22_2685983
EP22 – SER_HIS_22_2685984
EP23 – SER_HIS_22_2685985
EP24 – SER_HIS_22_2685986</t>
        </is>
      </c>
      <c r="C23" s="590" t="inlineStr">
        <is>
          <t>The Wind Blows from Longxi</t>
        </is>
      </c>
      <c r="D23" s="590" t="inlineStr">
        <is>
          <t>Phong khởi Lũng Tây</t>
        </is>
      </c>
      <c r="E23" s="590" t="inlineStr">
        <is>
          <t>TKL</t>
        </is>
      </c>
      <c r="F23" s="590" t="inlineStr">
        <is>
          <t>131/2022/HDBQ/VSTV_TKL</t>
        </is>
      </c>
      <c r="G23" s="590" t="inlineStr">
        <is>
          <t>China</t>
        </is>
      </c>
      <c r="H23" s="305" t="n">
        <v>2022</v>
      </c>
      <c r="I23" s="305" t="n">
        <v>24</v>
      </c>
      <c r="J23" s="305" t="n">
        <v>45</v>
      </c>
      <c r="K23" s="305">
        <f>(I23*J23)/60</f>
        <v/>
      </c>
      <c r="L23" s="305">
        <f>I23</f>
        <v/>
      </c>
      <c r="M23" s="590" t="inlineStr">
        <is>
          <t>Historical, Mystery, Crime, War</t>
        </is>
      </c>
      <c r="N23" s="590" t="inlineStr">
        <is>
          <t>Action, Adventure</t>
        </is>
      </c>
      <c r="O23" s="641" t="n">
        <v>44937</v>
      </c>
      <c r="P23" s="641" t="n">
        <v>46032</v>
      </c>
      <c r="Q23" s="208" t="n">
        <v>44937</v>
      </c>
      <c r="R23" s="208" t="inlineStr">
        <is>
          <t>K+LIFE</t>
        </is>
      </c>
      <c r="S23" s="590" t="inlineStr">
        <is>
          <t>Exclusive All TV Rights the first 6 months of LP
Non-exclusive with All Catch-up TV Rights; All VOD Rights during LP</t>
        </is>
      </c>
      <c r="T23" s="590" t="inlineStr">
        <is>
          <t>No</t>
        </is>
      </c>
      <c r="U23" s="590" t="inlineStr">
        <is>
          <t>Yes</t>
        </is>
      </c>
      <c r="V23" s="590" t="inlineStr">
        <is>
          <t>Yes</t>
        </is>
      </c>
      <c r="W23" s="590" t="inlineStr">
        <is>
          <t>Yes</t>
        </is>
      </c>
      <c r="X23" s="590" t="inlineStr">
        <is>
          <t>Yes</t>
        </is>
      </c>
      <c r="Y23" s="590" t="inlineStr">
        <is>
          <t>Yes</t>
        </is>
      </c>
      <c r="Z23" s="590" t="inlineStr">
        <is>
          <t>Yes</t>
        </is>
      </c>
      <c r="AA23" s="590" t="inlineStr">
        <is>
          <t>Yes</t>
        </is>
      </c>
      <c r="AB23" s="590" t="inlineStr">
        <is>
          <t>Yes</t>
        </is>
      </c>
      <c r="AC23" s="641" t="n">
        <v>44937</v>
      </c>
      <c r="AD23" s="641" t="n">
        <v>46032</v>
      </c>
      <c r="AE23" s="97" t="n">
        <v>6</v>
      </c>
      <c r="AF23" s="306" t="n">
        <v>4</v>
      </c>
      <c r="AG23" s="641" t="n">
        <v>45829</v>
      </c>
      <c r="AH23" s="306">
        <f>AE23-AF23</f>
        <v/>
      </c>
      <c r="AI23" s="642" t="inlineStr">
        <is>
          <t>Yes</t>
        </is>
      </c>
      <c r="AJ23" s="642" t="inlineStr">
        <is>
          <t>Yes</t>
        </is>
      </c>
      <c r="AK23" s="307" t="n"/>
      <c r="AL23" s="590" t="inlineStr">
        <is>
          <t>Phim còn hạn từ 2026</t>
        </is>
      </c>
      <c r="AM23" s="203" t="inlineStr">
        <is>
          <t>The Wind Blows From Long Xi (Phong khởi Lũng Tây)</t>
        </is>
      </c>
      <c r="AN23" s="203" t="n"/>
      <c r="AO23" s="128">
        <f>SUMIF('TK 15661.Bản quyền phim '!F:F,'KK2. Series'!C23,'TK 15661.Bản quyền phim '!K:K)</f>
        <v/>
      </c>
      <c r="AP23" s="128">
        <f>COUNTIF('242.BQ Phim VOD'!$C$5:$C$8,'KK2. Series'!AM23)</f>
        <v/>
      </c>
      <c r="AQ23" s="128">
        <f>COUNTIF('TK 15666. Phim SX'!$C$6:$C$13,'KK2. Series'!AM23)</f>
        <v/>
      </c>
      <c r="AR23" s="203">
        <f>COUNTIF('TK 15661.Bản quyền phim '!F:F,'KK2. Series'!AM23)</f>
        <v/>
      </c>
      <c r="AS23" s="203" t="n"/>
      <c r="AT23" s="366">
        <f>SUM(AP23:AS23)</f>
        <v/>
      </c>
      <c r="AU23" s="203" t="n"/>
      <c r="AV23" s="203" t="n"/>
      <c r="AW23" s="203" t="n"/>
      <c r="AX23" s="203" t="n"/>
      <c r="AY23" s="203" t="n"/>
      <c r="AZ23" s="387" t="inlineStr">
        <is>
          <t>✓ Found</t>
        </is>
      </c>
      <c r="BB23" s="387" t="n"/>
    </row>
    <row r="24" ht="409.6" customHeight="1" s="578">
      <c r="A24" s="96" t="n">
        <v>18</v>
      </c>
      <c r="B24" s="97" t="inlineStr">
        <is>
          <t>Night Has Come — bản Voice
EP01 – SER_THR_23_2710046
EP02 – SER_THR_23_2710047
EP03 – SER_THR_23_2710048
EP04 – SER_THR_23_2710049
EP05 – SER_THR_23_2710050
EP06 – SER_THR_23_2710051
EP07 – SER_THR_23_2710052
EP08 – SER_THR_23_2710053
EP09 – SER_THR_23_2710054
EP10 – SER_THR_23_2710055
EP11 – SER_THR_23_2710056
EP12 – SER_THR_23_2710057
Night Has Come — bản Sub
EP01 – SER_THR_23_2707998
EP02 – SER_THR_23_2707999
EP03 – SER_THR_23_2708000
EP04 – SER_THR_23_2708001
EP05 – SER_THR_23_2708002
EP06 – SER_THR_23_2708003
EP07 – SER_THR_23_2708004
EP08 – SER_THR_23_2708005
EP09 – SER_THR_23_2708006
EP10 – SER_THR_23_2708007
EP11 – SER_THR_23_2708008
EP12 – SER_THR_23_2708009</t>
        </is>
      </c>
      <c r="C24" s="108" t="inlineStr">
        <is>
          <t>Night Has Come</t>
        </is>
      </c>
      <c r="D24" s="108" t="inlineStr">
        <is>
          <t>Màn đêm kinh hoàng</t>
        </is>
      </c>
      <c r="E24" s="108" t="inlineStr">
        <is>
          <t>LG U+</t>
        </is>
      </c>
      <c r="F24" s="590" t="inlineStr">
        <is>
          <t>/Night Has Come</t>
        </is>
      </c>
      <c r="G24" s="108" t="inlineStr">
        <is>
          <t>Korea</t>
        </is>
      </c>
      <c r="H24" s="108" t="n">
        <v>2023</v>
      </c>
      <c r="I24" s="108" t="n">
        <v>12</v>
      </c>
      <c r="J24" s="108" t="n">
        <v>30</v>
      </c>
      <c r="K24" s="449">
        <f>(I24*J24)/60</f>
        <v/>
      </c>
      <c r="L24" s="305">
        <f>I24</f>
        <v/>
      </c>
      <c r="M24" s="108" t="inlineStr">
        <is>
          <t>Mystery, Thriller</t>
        </is>
      </c>
      <c r="N24" s="590" t="inlineStr">
        <is>
          <t>Crime, Thriller</t>
        </is>
      </c>
      <c r="O24" s="308" t="n">
        <v>45264</v>
      </c>
      <c r="P24" s="308" t="n">
        <v>46724</v>
      </c>
      <c r="Q24" s="590" t="n">
        <v>45264</v>
      </c>
      <c r="R24" s="590" t="inlineStr">
        <is>
          <t>K+ACTION</t>
        </is>
      </c>
      <c r="S24" s="108" t="inlineStr">
        <is>
          <t>Exclusive All TV and All VOD Rights during LP.</t>
        </is>
      </c>
      <c r="T24" s="108" t="inlineStr">
        <is>
          <t>Yes</t>
        </is>
      </c>
      <c r="U24" s="590" t="inlineStr">
        <is>
          <t>Yes</t>
        </is>
      </c>
      <c r="V24" s="108" t="inlineStr">
        <is>
          <t>Yes</t>
        </is>
      </c>
      <c r="W24" s="108" t="inlineStr">
        <is>
          <t>Yes</t>
        </is>
      </c>
      <c r="X24" s="108" t="inlineStr">
        <is>
          <t>Yes</t>
        </is>
      </c>
      <c r="Y24" s="108" t="inlineStr">
        <is>
          <t>Yes</t>
        </is>
      </c>
      <c r="Z24" s="108" t="inlineStr">
        <is>
          <t>Yes</t>
        </is>
      </c>
      <c r="AA24" s="108" t="inlineStr">
        <is>
          <t>Yes</t>
        </is>
      </c>
      <c r="AB24" s="108" t="inlineStr">
        <is>
          <t>Yes</t>
        </is>
      </c>
      <c r="AC24" s="308" t="n">
        <v>45264</v>
      </c>
      <c r="AD24" s="308" t="n">
        <v>46724</v>
      </c>
      <c r="AE24" s="108" t="inlineStr">
        <is>
          <t>Unlimited</t>
        </is>
      </c>
      <c r="AF24" s="306" t="n">
        <v>5</v>
      </c>
      <c r="AG24" s="641" t="n">
        <v>45799</v>
      </c>
      <c r="AH24" s="309" t="n"/>
      <c r="AI24" s="642" t="inlineStr">
        <is>
          <t>Yes</t>
        </is>
      </c>
      <c r="AJ24" s="642" t="inlineStr">
        <is>
          <t>Yes</t>
        </is>
      </c>
      <c r="AK24" s="307" t="inlineStr">
        <is>
          <t>Phim Song song</t>
        </is>
      </c>
      <c r="AL24" s="590" t="inlineStr">
        <is>
          <t>Phim còn hạn từ 2026</t>
        </is>
      </c>
      <c r="AM24" s="643" t="inlineStr">
        <is>
          <t>Night Has Come</t>
        </is>
      </c>
      <c r="AN24" s="203" t="n"/>
      <c r="AO24" s="128">
        <f>SUMIF('TK 15661.Bản quyền phim '!F:F,'KK2. Series'!C24,'TK 15661.Bản quyền phim '!K:K)</f>
        <v/>
      </c>
      <c r="AP24" s="128">
        <f>COUNTIF('242.BQ Phim VOD'!$C$5:$C$8,'KK2. Series'!AM24)</f>
        <v/>
      </c>
      <c r="AQ24" s="128">
        <f>COUNTIF('TK 15666. Phim SX'!$C$6:$C$13,'KK2. Series'!AM24)</f>
        <v/>
      </c>
      <c r="AR24" s="203">
        <f>COUNTIF('TK 15661.Bản quyền phim '!F:F,'KK2. Series'!AM24)</f>
        <v/>
      </c>
      <c r="AS24" s="203" t="n"/>
      <c r="AT24" s="366">
        <f>SUM(AP24:AS24)</f>
        <v/>
      </c>
      <c r="AU24" s="203" t="n"/>
      <c r="AV24" s="203" t="n"/>
      <c r="AW24" s="203" t="n"/>
      <c r="AX24" s="203" t="n"/>
      <c r="AY24" s="203" t="n"/>
      <c r="AZ24" s="387" t="inlineStr">
        <is>
          <t>✓ Found</t>
        </is>
      </c>
      <c r="BB24" s="387" t="n"/>
    </row>
    <row r="25" ht="409.6" customHeight="1" s="578">
      <c r="A25" s="96" t="n">
        <v>19</v>
      </c>
      <c r="B25" s="97" t="inlineStr">
        <is>
          <t>EP01 – SER_COS_22_2667367
EP02 – SER_COS_22_2667368
EP03 – SER_COS_22_2667369
EP04 – SER_COS_22_2667370
EP05 – SER_COS_22_2667371
EP06 – SER_COS_22_2667372
EP07 – SER_COS_22_2667373
EP08 – SER_COS_22_2667374
EP09 – SER_COS_22_2667375
EP10 – SER_COS_22_2667376
EP11 – SER_COS_22_2667377
EP12 – SER_COS_22_2667378
EP13 – SER_COS_22_2667379
EP14 – SER_COS_22_2667380
EP15 – SER_COS_22_2667381
EP16 – SER_COS_22_2667382
EP17 – SER_COS_22_2667383
EP18 – SER_COS_22_2667384
EP19 – SER_COS_22_2667385
EP20 – SER_COS_22_2667386
EP21 – SER_COS_22_2667387
EP22 – SER_COS_22_2667388
EP23 – SER_COS_22_2667389
EP24 – SER_COS_22_2667390
EP25 – SER_COS_22_2667391
EP26 – SER_COS_22_2667392
EP27 – SER_COS_22_2667393
EP28 – SER_COS_22_2667394
EP29 – SER_COS_22_2667395
EP30 – SER_COS_22_2667396
EP31 – SER_COS_22_2667397
EP32 – SER_COS_22_2667398
EP33 – SER_COS_22_2667399
EP34 – SER_COS_22_2667400
EP35 – SER_COS_22_2667401
EP36 – SER_COS_22_2667402
EP37 – SER_COS_22_2667403
EP38 – SER_COS_22_2667404
EP39 – SER_COS_22_2667405</t>
        </is>
      </c>
      <c r="C25" s="590" t="inlineStr">
        <is>
          <t>Luo Yang</t>
        </is>
      </c>
      <c r="D25" s="590" t="inlineStr">
        <is>
          <t>Lạc Dương</t>
        </is>
      </c>
      <c r="E25" s="590" t="inlineStr">
        <is>
          <t>iQiYi</t>
        </is>
      </c>
      <c r="F25" s="590" t="inlineStr">
        <is>
          <t>99/2023/HDBQ/VSTV-IQIYI</t>
        </is>
      </c>
      <c r="G25" s="590" t="inlineStr">
        <is>
          <t>China</t>
        </is>
      </c>
      <c r="H25" s="305" t="n">
        <v>2021</v>
      </c>
      <c r="I25" s="305" t="n">
        <v>39</v>
      </c>
      <c r="J25" s="305" t="n">
        <v>45</v>
      </c>
      <c r="K25" s="305">
        <f>(I25*J25)/60</f>
        <v/>
      </c>
      <c r="L25" s="305">
        <f>I25</f>
        <v/>
      </c>
      <c r="M25" s="590" t="inlineStr">
        <is>
          <t>Crime, Thriller</t>
        </is>
      </c>
      <c r="N25" s="590" t="inlineStr">
        <is>
          <t>Crime, Thriller</t>
        </is>
      </c>
      <c r="O25" s="208" t="n">
        <v>44638</v>
      </c>
      <c r="P25" s="590" t="n">
        <v>46098</v>
      </c>
      <c r="Q25" s="208" t="n">
        <v>44642</v>
      </c>
      <c r="R25" s="590" t="inlineStr">
        <is>
          <t>K+LIFE</t>
        </is>
      </c>
      <c r="S25" s="590" t="inlineStr">
        <is>
          <t>Exclusive all TV Rights
Non ex SVOD + TVOD</t>
        </is>
      </c>
      <c r="T25" s="590" t="inlineStr">
        <is>
          <t>No</t>
        </is>
      </c>
      <c r="U25" s="590" t="inlineStr">
        <is>
          <t>Yes</t>
        </is>
      </c>
      <c r="V25" s="590" t="inlineStr">
        <is>
          <t>Yes</t>
        </is>
      </c>
      <c r="W25" s="590" t="inlineStr">
        <is>
          <t>Yes</t>
        </is>
      </c>
      <c r="X25" s="590" t="inlineStr">
        <is>
          <t>Yes</t>
        </is>
      </c>
      <c r="Y25" s="590" t="inlineStr">
        <is>
          <t>Yes</t>
        </is>
      </c>
      <c r="Z25" s="590" t="inlineStr">
        <is>
          <t>Yes</t>
        </is>
      </c>
      <c r="AA25" s="590" t="inlineStr">
        <is>
          <t>No</t>
        </is>
      </c>
      <c r="AB25" s="590" t="inlineStr">
        <is>
          <t>No</t>
        </is>
      </c>
      <c r="AC25" s="208" t="n">
        <v>44638</v>
      </c>
      <c r="AD25" s="590" t="n">
        <v>46098</v>
      </c>
      <c r="AE25" s="590" t="inlineStr">
        <is>
          <t>Unlimited</t>
        </is>
      </c>
      <c r="AF25" s="306" t="n">
        <v>15</v>
      </c>
      <c r="AG25" s="641" t="n">
        <v>45602</v>
      </c>
      <c r="AH25" s="590" t="inlineStr">
        <is>
          <t>Unlimited</t>
        </is>
      </c>
      <c r="AI25" s="642" t="inlineStr">
        <is>
          <t>Yes</t>
        </is>
      </c>
      <c r="AJ25" s="642" t="inlineStr">
        <is>
          <t>Yes</t>
        </is>
      </c>
      <c r="AK25" s="307" t="n"/>
      <c r="AL25" s="590" t="inlineStr">
        <is>
          <t>Phim còn hạn từ 2026</t>
        </is>
      </c>
      <c r="AM25" s="203" t="inlineStr">
        <is>
          <t>Luo Yang (Lạc Dương)</t>
        </is>
      </c>
      <c r="AN25" s="203" t="n"/>
      <c r="AO25" s="128">
        <f>SUMIF('TK 15661.Bản quyền phim '!F:F,'KK2. Series'!C25,'TK 15661.Bản quyền phim '!K:K)</f>
        <v/>
      </c>
      <c r="AP25" s="128">
        <f>COUNTIF('242.BQ Phim VOD'!$C$5:$C$8,'KK2. Series'!AM25)</f>
        <v/>
      </c>
      <c r="AQ25" s="128">
        <f>COUNTIF('TK 15666. Phim SX'!$C$6:$C$13,'KK2. Series'!AM25)</f>
        <v/>
      </c>
      <c r="AR25" s="203">
        <f>COUNTIF('TK 15661.Bản quyền phim '!F:F,'KK2. Series'!AM25)</f>
        <v/>
      </c>
      <c r="AS25" s="203" t="n"/>
      <c r="AT25" s="366">
        <f>SUM(AP25:AS25)</f>
        <v/>
      </c>
      <c r="AU25" s="203" t="n"/>
      <c r="AV25" s="203" t="n"/>
      <c r="AW25" s="203" t="n"/>
      <c r="AX25" s="203" t="n"/>
      <c r="AY25" s="203" t="n"/>
      <c r="AZ25" s="387" t="inlineStr">
        <is>
          <t>✓ Found</t>
        </is>
      </c>
      <c r="BB25" s="387" t="n"/>
    </row>
    <row r="26" ht="409.6" customHeight="1" s="578">
      <c r="A26" s="96" t="n">
        <v>20</v>
      </c>
      <c r="B26" s="97" t="inlineStr">
        <is>
          <t>sub: EP01 – SER_FAN_23_2691051
EP02 – SER_FAN_23_2691052
EP03 – SER_FAN_23_2691053
EP04 – SER_FAN_23_2691054
EP05 – SER_FAN_23_2691055
EP06 – SER_FAN_23_2691056
EP07 – SER_FAN_23_2691057
EP08 – SER_FAN_23_2691058
EP09 – SER_FAN_23_2691059
EP10 – SER_FAN_23_2691060
EP11 – SER_FAN_23_2691061
EP12 – SER_FAN_23_2691062
Voice:
EP01 (edited) – SER_FAN_23_2694150
EP02 (edited) – SER_FAN_23_2694151
EP03 (edited) – SER_FAN_23_2694152
EP04 (edited) – SER_FAN_23_2694153
EP05 (edited) – SER_FAN_23_2694154
EP06 (edited) – SER_FAN_23_2694155
EP07 (edited) – SER_FAN_23_2694156
EP08 (edited) – SER_FAN_23_2694157
EP09 (edited) – SER_FAN_23_2694158
EP10 (edited) – SER_FAN_23_2694159
EP11 (edited) – SER_FAN_23_2694160
EP12 (edited) – SER_FAN_23_2694161
EP13 (edited) – SER_FAN_23_2694162
EP14 (edited) – SER_FAN_23_2694163
EP15 (edited) – SER_FAN_23_2694164
EP16 (edited) – SER_FAN_23_2694165
EP17 (edited) – SER_FAN_23_2694166
EP18 (edited) – SER_FAN_23_2694167</t>
        </is>
      </c>
      <c r="C26" s="590" t="inlineStr">
        <is>
          <t>Delivery Man</t>
        </is>
      </c>
      <c r="D26" s="590" t="inlineStr">
        <is>
          <t>Taxi ma quái</t>
        </is>
      </c>
      <c r="E26" s="590" t="inlineStr">
        <is>
          <t>PCCW VUCLIP</t>
        </is>
      </c>
      <c r="F26" s="590" t="inlineStr">
        <is>
          <t>PCCW VUCLIP/2023/HDBQ The Secret Romantic Guesthouse</t>
        </is>
      </c>
      <c r="G26" s="590" t="inlineStr">
        <is>
          <t>Korea</t>
        </is>
      </c>
      <c r="H26" s="305" t="n">
        <v>2022</v>
      </c>
      <c r="I26" s="305" t="n">
        <v>12</v>
      </c>
      <c r="J26" s="305" t="n">
        <v>70</v>
      </c>
      <c r="K26" s="449">
        <f>(I26*J26)/60</f>
        <v/>
      </c>
      <c r="L26" s="305" t="n">
        <v>18</v>
      </c>
      <c r="M26" s="590" t="inlineStr">
        <is>
          <t xml:space="preserve">Comedy, fantasy, supernatural </t>
        </is>
      </c>
      <c r="N26" s="590" t="inlineStr">
        <is>
          <t>Crime, Thriller</t>
        </is>
      </c>
      <c r="O26" s="208" t="n">
        <v>44986</v>
      </c>
      <c r="P26" s="208" t="n">
        <v>46446</v>
      </c>
      <c r="Q26" s="208" t="n">
        <v>44986</v>
      </c>
      <c r="R26" s="208" t="inlineStr">
        <is>
          <t>K+LIFE</t>
        </is>
      </c>
      <c r="S26" s="590" t="inlineStr">
        <is>
          <t>Exclusive All TV Rights during LP and Exclusive All VOD rights for first 4 months</t>
        </is>
      </c>
      <c r="T26" s="590" t="inlineStr">
        <is>
          <t>Yes</t>
        </is>
      </c>
      <c r="U26" s="590" t="inlineStr">
        <is>
          <t>Yes</t>
        </is>
      </c>
      <c r="V26" s="590" t="inlineStr">
        <is>
          <t>Yes</t>
        </is>
      </c>
      <c r="W26" s="590" t="inlineStr">
        <is>
          <t>Yes</t>
        </is>
      </c>
      <c r="X26" s="590" t="inlineStr">
        <is>
          <t>Yes</t>
        </is>
      </c>
      <c r="Y26" s="590" t="inlineStr">
        <is>
          <t>Yes</t>
        </is>
      </c>
      <c r="Z26" s="590" t="inlineStr">
        <is>
          <t>Yes</t>
        </is>
      </c>
      <c r="AA26" s="590" t="inlineStr">
        <is>
          <t>Yes</t>
        </is>
      </c>
      <c r="AB26" s="590" t="inlineStr">
        <is>
          <t>Yes</t>
        </is>
      </c>
      <c r="AC26" s="208" t="n">
        <v>44986</v>
      </c>
      <c r="AD26" s="208" t="n">
        <v>46446</v>
      </c>
      <c r="AE26" s="97" t="n">
        <v>8</v>
      </c>
      <c r="AF26" s="306" t="n">
        <v>8</v>
      </c>
      <c r="AG26" s="641" t="n">
        <v>45432</v>
      </c>
      <c r="AH26" s="306">
        <f>AE26-AF26</f>
        <v/>
      </c>
      <c r="AI26" s="642" t="inlineStr">
        <is>
          <t>Yes</t>
        </is>
      </c>
      <c r="AJ26" s="642" t="inlineStr">
        <is>
          <t>Yes</t>
        </is>
      </c>
      <c r="AK26" s="307" t="inlineStr">
        <is>
          <t>Phim Song song</t>
        </is>
      </c>
      <c r="AL26" s="590" t="inlineStr">
        <is>
          <t>Phim còn hạn từ 2026</t>
        </is>
      </c>
      <c r="AM26" s="643" t="inlineStr">
        <is>
          <t>Delivery Man</t>
        </is>
      </c>
      <c r="AN26" s="203" t="n"/>
      <c r="AO26" s="128">
        <f>SUMIF('TK 15661.Bản quyền phim '!F:F,'KK2. Series'!C26,'TK 15661.Bản quyền phim '!K:K)</f>
        <v/>
      </c>
      <c r="AP26" s="128">
        <f>COUNTIF('242.BQ Phim VOD'!$C$5:$C$8,'KK2. Series'!AM26)</f>
        <v/>
      </c>
      <c r="AQ26" s="128">
        <f>COUNTIF('TK 15666. Phim SX'!$C$6:$C$13,'KK2. Series'!AM26)</f>
        <v/>
      </c>
      <c r="AR26" s="203">
        <f>COUNTIF('TK 15661.Bản quyền phim '!F:F,'KK2. Series'!AM26)</f>
        <v/>
      </c>
      <c r="AS26" s="203" t="n"/>
      <c r="AT26" s="366">
        <f>SUM(AP26:AS26)</f>
        <v/>
      </c>
      <c r="AU26" s="203" t="n"/>
      <c r="AV26" s="203" t="n"/>
      <c r="AW26" s="203" t="n"/>
      <c r="AX26" s="203" t="n"/>
      <c r="AY26" s="203" t="n"/>
      <c r="AZ26" s="387" t="inlineStr">
        <is>
          <t>✓ Found</t>
        </is>
      </c>
      <c r="BB26" s="387" t="n"/>
    </row>
    <row r="27" ht="369.6" customHeight="1" s="578">
      <c r="A27" s="96" t="n">
        <v>21</v>
      </c>
      <c r="B27" s="97" t="inlineStr">
        <is>
          <t>EP01 – SER_COS_23_2698582
EP02 – SER_COS_23_2698583
EP03 – SER_COS_23_2698584
EP04 – SER_COS_23_2698585
EP05 – SER_COS_23_2698586
EP06 – SER_COS_23_2698587
EP07 – SER_COS_23_2698588
EP08 – SER_COS_23_2698589
EP09 – SER_COS_23_2698590
EP10 – SER_COS_23_2698591
EP11 – SER_COS_23_2698592
EP12 – SER_COS_23_2698593
EP13 – SER_COS_23_2698594
EP14 – SER_COS_23_2698595</t>
        </is>
      </c>
      <c r="C27" s="590" t="inlineStr">
        <is>
          <t>Under the Microscope</t>
        </is>
      </c>
      <c r="D27" s="590" t="inlineStr">
        <is>
          <t>Đại Minh dưới kính hiển vi</t>
        </is>
      </c>
      <c r="E27" s="590" t="inlineStr">
        <is>
          <t>iQiYi</t>
        </is>
      </c>
      <c r="F27" s="590" t="inlineStr">
        <is>
          <t>87/2023/HDBQ/VSTV-IQIYI</t>
        </is>
      </c>
      <c r="G27" s="590" t="inlineStr">
        <is>
          <t>China</t>
        </is>
      </c>
      <c r="H27" s="305" t="n">
        <v>2023</v>
      </c>
      <c r="I27" s="305" t="n">
        <v>14</v>
      </c>
      <c r="J27" s="305" t="n">
        <v>45</v>
      </c>
      <c r="K27" s="305">
        <f>(I27*J27)/60</f>
        <v/>
      </c>
      <c r="L27" s="305">
        <f>I27</f>
        <v/>
      </c>
      <c r="M27" s="590" t="inlineStr">
        <is>
          <t>Historical, Mystery, Crime</t>
        </is>
      </c>
      <c r="N27" s="590" t="inlineStr">
        <is>
          <t>Crime, Thriller</t>
        </is>
      </c>
      <c r="O27" s="208" t="n">
        <v>45108</v>
      </c>
      <c r="P27" s="208" t="n">
        <v>46569</v>
      </c>
      <c r="Q27" s="208" t="n">
        <v>45126</v>
      </c>
      <c r="R27" s="208" t="inlineStr">
        <is>
          <t>K+LIFE</t>
        </is>
      </c>
      <c r="S27" s="590" t="inlineStr">
        <is>
          <t>Exclusive all Pay TV Rights, Non exclusive all SVOD + TVOD rights during LP</t>
        </is>
      </c>
      <c r="T27" s="590" t="inlineStr">
        <is>
          <t>No</t>
        </is>
      </c>
      <c r="U27" s="590" t="inlineStr">
        <is>
          <t>Yes</t>
        </is>
      </c>
      <c r="V27" s="590" t="inlineStr">
        <is>
          <t>Yes</t>
        </is>
      </c>
      <c r="W27" s="590" t="inlineStr">
        <is>
          <t>Yes</t>
        </is>
      </c>
      <c r="X27" s="590" t="inlineStr">
        <is>
          <t>No</t>
        </is>
      </c>
      <c r="Y27" s="590" t="inlineStr">
        <is>
          <t>No</t>
        </is>
      </c>
      <c r="Z27" s="590" t="inlineStr">
        <is>
          <t>Yes</t>
        </is>
      </c>
      <c r="AA27" s="590" t="inlineStr">
        <is>
          <t>Yes</t>
        </is>
      </c>
      <c r="AB27" s="590" t="inlineStr">
        <is>
          <t>No</t>
        </is>
      </c>
      <c r="AC27" s="208" t="n">
        <v>45108</v>
      </c>
      <c r="AD27" s="208" t="n">
        <v>46569</v>
      </c>
      <c r="AE27" s="590" t="inlineStr">
        <is>
          <t>Unlimited</t>
        </is>
      </c>
      <c r="AF27" s="306" t="n">
        <v>7</v>
      </c>
      <c r="AG27" s="641" t="n">
        <v>45437</v>
      </c>
      <c r="AH27" s="590" t="inlineStr">
        <is>
          <t>Unlimited</t>
        </is>
      </c>
      <c r="AI27" s="642" t="inlineStr">
        <is>
          <t>Yes</t>
        </is>
      </c>
      <c r="AJ27" s="642" t="inlineStr">
        <is>
          <t>Yes</t>
        </is>
      </c>
      <c r="AK27" s="307" t="n"/>
      <c r="AL27" s="590" t="inlineStr">
        <is>
          <t>Phim còn hạn từ 2026</t>
        </is>
      </c>
      <c r="AM27" s="643" t="inlineStr">
        <is>
          <t>Under the Microscope</t>
        </is>
      </c>
      <c r="AN27" s="203" t="n"/>
      <c r="AO27" s="128">
        <f>SUMIF('TK 15661.Bản quyền phim '!F:F,'KK2. Series'!C27,'TK 15661.Bản quyền phim '!K:K)</f>
        <v/>
      </c>
      <c r="AP27" s="128">
        <f>COUNTIF('242.BQ Phim VOD'!$C$5:$C$8,'KK2. Series'!AM27)</f>
        <v/>
      </c>
      <c r="AQ27" s="128">
        <f>COUNTIF('TK 15666. Phim SX'!$C$6:$C$13,'KK2. Series'!AM27)</f>
        <v/>
      </c>
      <c r="AR27" s="203">
        <f>COUNTIF('TK 15661.Bản quyền phim '!F:F,'KK2. Series'!AM27)</f>
        <v/>
      </c>
      <c r="AS27" s="203" t="n"/>
      <c r="AT27" s="366">
        <f>SUM(AP27:AS27)</f>
        <v/>
      </c>
      <c r="AU27" s="203" t="n"/>
      <c r="AV27" s="203" t="n"/>
      <c r="AW27" s="203" t="n"/>
      <c r="AX27" s="203" t="n"/>
      <c r="AY27" s="203" t="n"/>
      <c r="AZ27" s="387" t="inlineStr">
        <is>
          <t>✓ Found</t>
        </is>
      </c>
      <c r="BB27" s="387" t="n"/>
    </row>
    <row r="28" ht="409.6" customHeight="1" s="578">
      <c r="A28" s="96" t="n">
        <v>22</v>
      </c>
      <c r="B28" s="97" t="inlineStr">
        <is>
          <t>EP01 – SER_ACT_22_2686518
EP02 – SER_ACT_22_2686519
EP03 – SER_ACT_22_2686520
EP04 – SER_ACT_22_2686521
EP05 – SER_ACT_22_2686522
EP06 – SER_ACT_22_2686523
EP07 – SER_ACT_22_2686524
EP08 – SER_ACT_22_2686525
EP09 – SER_ACT_22_2686526
EP10 – SER_ACT_22_2686527
EP11 – SER_ACT_22_2686528
EP12 – SER_ACT_22_2686529
EP13 – SER_ACT_22_2686530
EP14 – SER_ACT_22_2686531
EP15 – SER_ACT_22_2686532
EP16 – SER_ACT_22_2686533
EP17 – SER_ACT_22_2686534
EP18 – SER_ACT_22_2686535
EP19 – SER_ACT_22_2686536
EP20 – SER_ACT_22_2686537
EP21 – SER_ACT_22_2686538
EP22 – SER_ACT_22_2686539
EP23 – SER_ACT_22_2686540
EP24 – SER_ACT_22_2686541</t>
        </is>
      </c>
      <c r="C28" s="590" t="inlineStr">
        <is>
          <t>Are You Safe</t>
        </is>
      </c>
      <c r="D28" s="590" t="inlineStr">
        <is>
          <t>Bạn có an toàn</t>
        </is>
      </c>
      <c r="E28" s="590" t="inlineStr">
        <is>
          <t>Youhug Media</t>
        </is>
      </c>
      <c r="F28" s="590" t="inlineStr">
        <is>
          <t>132A/2022/HDBQ/VSTV_Youhug media</t>
        </is>
      </c>
      <c r="G28" s="590" t="inlineStr">
        <is>
          <t>China</t>
        </is>
      </c>
      <c r="H28" s="305" t="n">
        <v>2022</v>
      </c>
      <c r="I28" s="305" t="n">
        <v>24</v>
      </c>
      <c r="J28" s="305" t="n">
        <v>45</v>
      </c>
      <c r="K28" s="305">
        <f>(I28*J28)/60</f>
        <v/>
      </c>
      <c r="L28" s="305">
        <f>I28</f>
        <v/>
      </c>
      <c r="M28" s="590" t="inlineStr">
        <is>
          <t>Action, Suspense, Crime, Thriller, Drama</t>
        </is>
      </c>
      <c r="N28" s="590" t="inlineStr">
        <is>
          <t>Crime, Thriller</t>
        </is>
      </c>
      <c r="O28" s="641" t="n">
        <v>44971</v>
      </c>
      <c r="P28" s="641" t="n">
        <v>46796</v>
      </c>
      <c r="Q28" s="208" t="n">
        <v>44985</v>
      </c>
      <c r="R28" s="208" t="inlineStr">
        <is>
          <t>K+LIFE</t>
        </is>
      </c>
      <c r="S28" s="590" t="inlineStr">
        <is>
          <t>Exclusive All TV Rights and Non-exclusive with All Catch-up TV Rights; All VOD Rights during LP</t>
        </is>
      </c>
      <c r="T28" s="590" t="inlineStr">
        <is>
          <t>No</t>
        </is>
      </c>
      <c r="U28" s="590" t="inlineStr">
        <is>
          <t>Yes</t>
        </is>
      </c>
      <c r="V28" s="590" t="inlineStr">
        <is>
          <t>Yes</t>
        </is>
      </c>
      <c r="W28" s="590" t="inlineStr">
        <is>
          <t>Yes</t>
        </is>
      </c>
      <c r="X28" s="590" t="inlineStr">
        <is>
          <t>Yes</t>
        </is>
      </c>
      <c r="Y28" s="590" t="inlineStr">
        <is>
          <t>Yes</t>
        </is>
      </c>
      <c r="Z28" s="590" t="inlineStr">
        <is>
          <t>Yes</t>
        </is>
      </c>
      <c r="AA28" s="590" t="inlineStr">
        <is>
          <t>Yes</t>
        </is>
      </c>
      <c r="AB28" s="590" t="inlineStr">
        <is>
          <t>Yes</t>
        </is>
      </c>
      <c r="AC28" s="641" t="n">
        <v>44971</v>
      </c>
      <c r="AD28" s="641" t="n">
        <v>46796</v>
      </c>
      <c r="AE28" s="590" t="inlineStr">
        <is>
          <t>Unlimited</t>
        </is>
      </c>
      <c r="AF28" s="306" t="n">
        <v>8</v>
      </c>
      <c r="AG28" s="641" t="n">
        <v>45457</v>
      </c>
      <c r="AH28" s="590" t="inlineStr">
        <is>
          <t>Unlimited</t>
        </is>
      </c>
      <c r="AI28" s="642" t="inlineStr">
        <is>
          <t>Yes</t>
        </is>
      </c>
      <c r="AJ28" s="642" t="inlineStr">
        <is>
          <t>Yes</t>
        </is>
      </c>
      <c r="AK28" s="307" t="n"/>
      <c r="AL28" s="590" t="inlineStr">
        <is>
          <t>Phim còn hạn từ 2026</t>
        </is>
      </c>
      <c r="AM28" s="643" t="inlineStr">
        <is>
          <t>Are You Safe</t>
        </is>
      </c>
      <c r="AN28" s="203" t="n"/>
      <c r="AO28" s="128">
        <f>SUMIF('TK 15661.Bản quyền phim '!F:F,'KK2. Series'!C28,'TK 15661.Bản quyền phim '!K:K)</f>
        <v/>
      </c>
      <c r="AP28" s="128">
        <f>COUNTIF('242.BQ Phim VOD'!$C$5:$C$8,'KK2. Series'!AM28)</f>
        <v/>
      </c>
      <c r="AQ28" s="128">
        <f>COUNTIF('TK 15666. Phim SX'!$C$6:$C$13,'KK2. Series'!AM28)</f>
        <v/>
      </c>
      <c r="AR28" s="203">
        <f>COUNTIF('TK 15661.Bản quyền phim '!F:F,'KK2. Series'!AM28)</f>
        <v/>
      </c>
      <c r="AS28" s="203" t="n"/>
      <c r="AT28" s="366">
        <f>SUM(AP28:AS28)</f>
        <v/>
      </c>
      <c r="AU28" s="203" t="n"/>
      <c r="AV28" s="203" t="n"/>
      <c r="AW28" s="203" t="n"/>
      <c r="AX28" s="203" t="n"/>
      <c r="AY28" s="203" t="n"/>
      <c r="AZ28" s="387" t="inlineStr">
        <is>
          <t>✓ Found</t>
        </is>
      </c>
      <c r="BB28" s="387" t="n"/>
    </row>
    <row r="29" ht="409.6" customHeight="1" s="578">
      <c r="A29" s="96" t="n">
        <v>23</v>
      </c>
      <c r="B29" s="97" t="inlineStr">
        <is>
          <t>Voice: EP01 – SER_ACT_2696867
EP02 – SER_ACT_2696868
EP03 – SER_ACT_2696869
EP04 – SER_ACT_2696870
EP05 – SER_ACT_2696871
EP06 – SER_ACT_2696872
EP07 – SER_ACT_2696873
EP08 – SER_ACT_2696874
EP09 – SER_ACT_2696875
EP10 – SER_ACT_2696876
EP11 – SER_ACT_2696877
EP12 – SER_ACT_2696878
EP13 – SER_ACT_2696879
EP14 – SER_ACT_2696880
EP15 – SER_ACT_2696881
EP16 – SER_ACT_2696882
EP17 – SER_ACT_2696883
EP18 – SER_ACT_2696884
EP19 – SER_ACT_2696885
EP20 – SER_ACT_2696886
EP21 – SER_ACT_2696887
EP22 – SER_ACT_2696888
EP23 – SER_ACT_2696889
EP24 – SER_ACT_2696890
Sub: EP01 – SER_ACT_2690473
EP02 – SER_ACT_2690474
EP03 – SER_ACT_2690475
EP04 – SER_ACT_2690476
EP05 – SER_ACT_2690477
EP06 – SER_ACT_2690478
EP07 – SER_ACT_2690479
EP08 – SER_ACT_2690480
EP09 – SER_ACT_2690481
EP10 – SER_ACT_2690482
EP11 – SER_ACT_2690483
EP12 – SER_ACT_2690484
EP13 – SER_ACT_2690485
EP14 – SER_ACT_2690486
EP15 – SER_ACT_2690487
EP16 – SER_ACT_2690488</t>
        </is>
      </c>
      <c r="C29" s="590" t="inlineStr">
        <is>
          <t>Taxi Driver Season 2</t>
        </is>
      </c>
      <c r="D29" s="590" t="inlineStr">
        <is>
          <t>Ẩn danh 2</t>
        </is>
      </c>
      <c r="E29" s="590" t="inlineStr">
        <is>
          <t xml:space="preserve">PCCW VUCLIP </t>
        </is>
      </c>
      <c r="F29" s="590" t="inlineStr">
        <is>
          <t>PCCW VUCLIP/2023/HDBQ The Secret Romantic Guesthouse</t>
        </is>
      </c>
      <c r="G29" s="590" t="inlineStr">
        <is>
          <t>Korea</t>
        </is>
      </c>
      <c r="H29" s="305" t="n">
        <v>2022</v>
      </c>
      <c r="I29" s="305" t="n">
        <v>16</v>
      </c>
      <c r="J29" s="305" t="n">
        <v>70</v>
      </c>
      <c r="K29" s="449">
        <f>(I29*J29)/60</f>
        <v/>
      </c>
      <c r="L29" s="305" t="n">
        <v>24</v>
      </c>
      <c r="M29" s="590" t="inlineStr">
        <is>
          <t>Action, Crime</t>
        </is>
      </c>
      <c r="N29" s="590" t="inlineStr">
        <is>
          <t>Crime, Thriller</t>
        </is>
      </c>
      <c r="O29" s="208" t="n">
        <v>44974</v>
      </c>
      <c r="P29" s="208" t="n">
        <v>46434</v>
      </c>
      <c r="Q29" s="208" t="n">
        <v>44974</v>
      </c>
      <c r="R29" s="208" t="inlineStr">
        <is>
          <t>K+LIFE</t>
        </is>
      </c>
      <c r="S29" s="590" t="inlineStr">
        <is>
          <t>Exclusive All TV Rights during LP and Exclusive All VOD rights for first 4 months</t>
        </is>
      </c>
      <c r="T29" s="590" t="inlineStr">
        <is>
          <t>Yes</t>
        </is>
      </c>
      <c r="U29" s="590" t="inlineStr">
        <is>
          <t>Yes</t>
        </is>
      </c>
      <c r="V29" s="590" t="inlineStr">
        <is>
          <t>Yes</t>
        </is>
      </c>
      <c r="W29" s="590" t="inlineStr">
        <is>
          <t>Yes</t>
        </is>
      </c>
      <c r="X29" s="590" t="inlineStr">
        <is>
          <t>Yes</t>
        </is>
      </c>
      <c r="Y29" s="590" t="inlineStr">
        <is>
          <t>Yes</t>
        </is>
      </c>
      <c r="Z29" s="590" t="inlineStr">
        <is>
          <t>Yes</t>
        </is>
      </c>
      <c r="AA29" s="590" t="inlineStr">
        <is>
          <t>Yes</t>
        </is>
      </c>
      <c r="AB29" s="590" t="inlineStr">
        <is>
          <t>Yes</t>
        </is>
      </c>
      <c r="AC29" s="208" t="n">
        <v>44974</v>
      </c>
      <c r="AD29" s="208" t="n">
        <v>46434</v>
      </c>
      <c r="AE29" s="97" t="n">
        <v>8</v>
      </c>
      <c r="AF29" s="306" t="n">
        <v>3</v>
      </c>
      <c r="AG29" s="641" t="n">
        <v>45457</v>
      </c>
      <c r="AH29" s="306">
        <f>AE29-AF29</f>
        <v/>
      </c>
      <c r="AI29" s="642" t="inlineStr">
        <is>
          <t>Yes</t>
        </is>
      </c>
      <c r="AJ29" s="642" t="inlineStr">
        <is>
          <t>Yes</t>
        </is>
      </c>
      <c r="AK29" s="307" t="inlineStr">
        <is>
          <t>Phim Song song</t>
        </is>
      </c>
      <c r="AL29" s="590" t="inlineStr">
        <is>
          <t>Phim còn hạn từ 2026</t>
        </is>
      </c>
      <c r="AM29" s="643" t="inlineStr">
        <is>
          <t>Taxi Driver Season 2</t>
        </is>
      </c>
      <c r="AN29" s="203" t="n"/>
      <c r="AO29" s="128">
        <f>SUMIF('TK 15661.Bản quyền phim '!F:F,'KK2. Series'!C29,'TK 15661.Bản quyền phim '!K:K)</f>
        <v/>
      </c>
      <c r="AP29" s="128">
        <f>COUNTIF('242.BQ Phim VOD'!$C$5:$C$8,'KK2. Series'!AM29)</f>
        <v/>
      </c>
      <c r="AQ29" s="128">
        <f>COUNTIF('TK 15666. Phim SX'!$C$6:$C$13,'KK2. Series'!AM29)</f>
        <v/>
      </c>
      <c r="AR29" s="203">
        <f>COUNTIF('TK 15661.Bản quyền phim '!F:F,'KK2. Series'!AM29)</f>
        <v/>
      </c>
      <c r="AS29" s="203" t="n"/>
      <c r="AT29" s="366">
        <f>SUM(AP29:AS29)</f>
        <v/>
      </c>
      <c r="AU29" s="203" t="n"/>
      <c r="AV29" s="203" t="n"/>
      <c r="AW29" s="203" t="n"/>
      <c r="AX29" s="203" t="n"/>
      <c r="AY29" s="203" t="n"/>
      <c r="AZ29" s="387" t="inlineStr">
        <is>
          <t>⚠ Partial (38/40 clips)</t>
        </is>
      </c>
      <c r="BB29" s="387" t="n"/>
    </row>
    <row r="30" ht="409.6" customHeight="1" s="578">
      <c r="A30" s="96" t="n">
        <v>24</v>
      </c>
      <c r="B30" s="97" t="inlineStr">
        <is>
          <t>EP01 – SER_THR_23_2690901
EP02 – SER_THR_23_2690902
EP03 – SER_THR_23_2690903
EP04 – SER_THR_23_2690904
EP05 – SER_THR_23_2690905
EP06 – SER_THR_23_2690906
EP07 – SER_THR_23_2690907
EP08 – SER_THR_23_2690908
EP09 – SER_THR_23_2690909
EP10 – SER_THR_23_2690910
EP11 – SER_THR_23_2690911
EP12 – SER_THR_23_2690912
EP13 – SER_THR_23_2690913
EP14 – SER_THR_23_2690914
EP15 – SER_THR_23_2690915
EP16 – SER_THR_23_2690916
EP17 – SER_THR_23_2690917
EP18 – SER_THR_23_2690918
EP19 – SER_THR_23_2690919
EP20 – SER_THR_23_2690920
EP21 – SER_THR_23_2690921
EP22 – SER_THR_23_2690922
EP23 – SER_THR_23_2690923
EP24 – SER_THR_23_2690924
EP25 – SER_THR_23_2690925
EP26 – SER_THR_23_2690926
EP27 – SER_THR_23_2690927
EP28 – SER_THR_23_2690928
EP29 – SER_THR_23_2690929
EP30 – SER_THR_23_2690930
EP31 – SER_THR_23_2690931
EP32 – SER_THR_23_2690932
EP33 – SER_THR_23_2690933
EP34 – SER_THR_23_2690934
EP35 – SER_THR_23_2690935
EP36 – SER_THR_23_2690936</t>
        </is>
      </c>
      <c r="C30" s="590" t="inlineStr">
        <is>
          <t xml:space="preserve">Strange Tales of Tang Dynasty </t>
        </is>
      </c>
      <c r="D30" s="590" t="inlineStr">
        <is>
          <t>Đường Triều Quỷ Sự Lục</t>
        </is>
      </c>
      <c r="E30" s="644" t="inlineStr">
        <is>
          <t>HT</t>
        </is>
      </c>
      <c r="F30" s="590" t="inlineStr">
        <is>
          <t>59/2023/HDBQ/VSTV-HT</t>
        </is>
      </c>
      <c r="G30" s="644" t="inlineStr">
        <is>
          <t>China</t>
        </is>
      </c>
      <c r="H30" s="305" t="n">
        <v>2022</v>
      </c>
      <c r="I30" s="305" t="n">
        <v>36</v>
      </c>
      <c r="J30" s="305" t="n">
        <v>45</v>
      </c>
      <c r="K30" s="305">
        <f>(I30*J30)/60</f>
        <v/>
      </c>
      <c r="L30" s="305">
        <f>I30</f>
        <v/>
      </c>
      <c r="M30" s="644">
        <f>M29</f>
        <v/>
      </c>
      <c r="N30" s="590" t="inlineStr">
        <is>
          <t>Crime, Thriller</t>
        </is>
      </c>
      <c r="O30" s="590" t="n">
        <v>45015</v>
      </c>
      <c r="P30" s="590" t="n">
        <v>46110</v>
      </c>
      <c r="Q30" s="208" t="n">
        <v>45015</v>
      </c>
      <c r="R30" s="590" t="inlineStr">
        <is>
          <t>K+LIFE</t>
        </is>
      </c>
      <c r="S30" s="590" t="inlineStr">
        <is>
          <t xml:space="preserve">Exclusive All TV Rights for 6 months and
Non exclusive All SVOD and TVOD during LP </t>
        </is>
      </c>
      <c r="T30" s="590" t="inlineStr">
        <is>
          <t>No</t>
        </is>
      </c>
      <c r="U30" s="590" t="inlineStr">
        <is>
          <t>Yes</t>
        </is>
      </c>
      <c r="V30" s="590" t="inlineStr">
        <is>
          <t>Yes</t>
        </is>
      </c>
      <c r="W30" s="590" t="inlineStr">
        <is>
          <t>Yes</t>
        </is>
      </c>
      <c r="X30" s="590" t="inlineStr">
        <is>
          <t>No</t>
        </is>
      </c>
      <c r="Y30" s="590" t="inlineStr">
        <is>
          <t>No</t>
        </is>
      </c>
      <c r="Z30" s="590" t="inlineStr">
        <is>
          <t>Yes</t>
        </is>
      </c>
      <c r="AA30" s="590" t="inlineStr">
        <is>
          <t>No</t>
        </is>
      </c>
      <c r="AB30" s="590" t="inlineStr">
        <is>
          <t>No</t>
        </is>
      </c>
      <c r="AC30" s="590" t="n">
        <v>45015</v>
      </c>
      <c r="AD30" s="590" t="n">
        <v>46110</v>
      </c>
      <c r="AE30" s="97" t="n">
        <v>6</v>
      </c>
      <c r="AF30" s="306" t="n">
        <v>3</v>
      </c>
      <c r="AG30" s="641" t="n">
        <v>45459</v>
      </c>
      <c r="AH30" s="306">
        <f>AE30-AF30</f>
        <v/>
      </c>
      <c r="AI30" s="642" t="inlineStr">
        <is>
          <t>Yes</t>
        </is>
      </c>
      <c r="AJ30" s="642" t="inlineStr">
        <is>
          <t>Yes</t>
        </is>
      </c>
      <c r="AK30" s="307" t="n"/>
      <c r="AL30" s="590" t="inlineStr">
        <is>
          <t>Phim còn hạn từ 2026</t>
        </is>
      </c>
      <c r="AM30" s="203" t="inlineStr">
        <is>
          <t>Strange Tales of Tang Dynasty (Đường triều qủy sự lục)</t>
        </is>
      </c>
      <c r="AN30" s="203" t="inlineStr">
        <is>
          <t>Strange Tales of Tang Dynasty (Đường triều qủy sự lụ)</t>
        </is>
      </c>
      <c r="AO30" s="128">
        <f>SUMIF('TK 15661.Bản quyền phim '!F:F,'KK2. Series'!C30,'TK 15661.Bản quyền phim '!K:K)</f>
        <v/>
      </c>
      <c r="AP30" s="128">
        <f>COUNTIF('242.BQ Phim VOD'!$C$5:$C$8,'KK2. Series'!AM30)</f>
        <v/>
      </c>
      <c r="AQ30" s="128">
        <f>COUNTIF('TK 15666. Phim SX'!$C$6:$C$13,'KK2. Series'!AM30)</f>
        <v/>
      </c>
      <c r="AR30" s="203">
        <f>COUNTIF('TK 15661.Bản quyền phim '!F:F,'KK2. Series'!AM30)</f>
        <v/>
      </c>
      <c r="AS30" s="203" t="n"/>
      <c r="AT30" s="366">
        <f>SUM(AP30:AS30)</f>
        <v/>
      </c>
      <c r="AU30" s="203" t="n"/>
      <c r="AV30" s="203" t="n"/>
      <c r="AW30" s="203" t="n"/>
      <c r="AX30" s="203" t="n"/>
      <c r="AY30" s="203" t="n"/>
      <c r="AZ30" s="387" t="inlineStr">
        <is>
          <t>✓ Found</t>
        </is>
      </c>
      <c r="BB30" s="387" t="n"/>
    </row>
    <row r="31" ht="409.6" customHeight="1" s="578">
      <c r="A31" s="96" t="n">
        <v>25</v>
      </c>
      <c r="B31" s="97" t="inlineStr">
        <is>
          <t>EP01 – SER_DRA3497
EP02 – SER_DRA3498
EP03 – SER_DRA3499
EP04 – SER_DRA3500
EP05 – SER_DRA3501
EP06 – SER_DRA3502
EP07 – SER_DRA3503
EP08 – SER_DRA3504
EP09 – SER_DRA3505
EP10 – SER_DRA3506
EP11 – SER_DRA3507
EP12 – SER_DRA3508
EP13 – SER_DRA3509
EP14 – SER_DRA3510
EP15 – SER_DRA3511
EP16 – SER_DRA3512
EP17 – SER_DRA3513
EP18 – SER_DRA3514
EP19 – SER_DRA3515
EP20 – SER_DRA3516
EP21 – SER_DRA3517
EP22 – SER_DRA3518
EP23 – SER_DRA3519
EP24 – SER_DRA3520
EP25 – SER_DRA3521
EP26 – SER_DRA3522
EP27 – SER_DRA3523
EP28 – SER_DRA3524
EP29 – SER_DRA3525
EP30 – SER_DRA3526
EP31 – SER_DRA3527
EP32 – SER_DRA3528
EP33 – SER_DRA3529
EP34 – SER_DRA3530
EP35 – SER_DRA3531
EP36 – SER_DRA3532
EP37 – SER_DRA3533
EP38 – SER_DRA3534
EP39 – SER_DRA3535
EP40 – SER_DRA3536
EP41 – SER_DRA3537
EP42 – SER_DRA3538
EP43 – SER_DRA3539
EP44 – SER_DRA3540
EP45 – SER_DRA3541
EP46 – SER_DRA3542
EP47 – SER_DRA3543
EP48 – SER_DRA3544
EP49 – SER_DRA3545
EP50 – SER_DRA3546
EP51 – SER_DRA3547
EP52 – SER_DRA3548
EP53 – SER_DRA3549
EP54 – SER_DRA3550
EP55 – SER_DRA3551
EP56 – SER_DRA3552
EP57 – SER_DRA3553
EP58 – SER_DRA3554
EP59 – SER_DRA3555
EP60 – SER_DRA3556
EP61 – SER_DRA3557
EP62 – SER_DRA3558
EP63 – SER_DRA3559
EP64 – SER_DRA3560
EP65 – SER_DRA3561
EP66 – SER_DRA3562
EP67 – SER_DRA3563
EP68 – SER_DRA3564
EP69 – SER_DRA3565
EP70 – SER_DRA3566
EP71 – SER_DRA3567
EP72 – SER_DRA3568
EP73 – SER_DRA3569
EP74 – SER_DRA3570
EP75 – SER_DRA3571
EP76 – SER_DRA3572
EP77 – SER_DRA3573
EP78 – SER_DRA3574
EP79 – SER_DRA3575
EP80 – SER_DRA3576
EP81 – SER_DRA3577
EP82 – SER_DRA3578
EP83 – SER_DRA3579
EP84 – SER_DRA3580
EP85 – SER_DRA3581
EP86 – SER_DRA3582
EP87 – SER_DRA3583
EP88 – SER_DRA3584
EP89 – SER_DRA3585
EP90 – SER_DRA3586
EP91 – SER_DRA3587
EP92 – SER_DRA3588
EP93 – SER_DRA3589
EP94 – SER_DRA3590
EP95 – SER_DRA3591
EP96 – SER_DRA3592
EP97 – SER_DRA3593
EP98 – SER_DRA3594
EP99 – SER_DRA3595
EP100 – SER_DRA3596
EP101 – SER_DRA3597
EP102 – SER_DRA3598
EP103 – SER_DRA3599
EP104 – SER_DRA3600</t>
        </is>
      </c>
      <c r="C31" s="590" t="inlineStr">
        <is>
          <t>All about marriage</t>
        </is>
      </c>
      <c r="D31" s="590" t="inlineStr">
        <is>
          <t>Bí mật hôn nhân</t>
        </is>
      </c>
      <c r="E31" s="590" t="inlineStr">
        <is>
          <t>HT</t>
        </is>
      </c>
      <c r="F31" s="590" t="inlineStr">
        <is>
          <t>16/2023/HDBQ/VSTV-HT</t>
        </is>
      </c>
      <c r="G31" s="590" t="inlineStr">
        <is>
          <t>Thổ Nhĩ Kỳ</t>
        </is>
      </c>
      <c r="H31" s="305" t="n">
        <v>2021</v>
      </c>
      <c r="I31" s="305" t="n">
        <v>104</v>
      </c>
      <c r="J31" s="305" t="n">
        <v>45</v>
      </c>
      <c r="K31" s="305">
        <f>(I31*J31)/60</f>
        <v/>
      </c>
      <c r="L31" s="305">
        <f>I31</f>
        <v/>
      </c>
      <c r="M31" s="590" t="inlineStr">
        <is>
          <t>Drama</t>
        </is>
      </c>
      <c r="N31" s="590" t="inlineStr">
        <is>
          <t>Drama</t>
        </is>
      </c>
      <c r="O31" s="590" t="n"/>
      <c r="P31" s="590" t="inlineStr">
        <is>
          <t>VOD only</t>
        </is>
      </c>
      <c r="Q31" s="590" t="n">
        <v>45291</v>
      </c>
      <c r="R31" s="590" t="inlineStr">
        <is>
          <t>VOD only</t>
        </is>
      </c>
      <c r="S31" s="590" t="inlineStr">
        <is>
          <t>Non-exclusive VOD rights</t>
        </is>
      </c>
      <c r="T31" s="590" t="inlineStr">
        <is>
          <t>No</t>
        </is>
      </c>
      <c r="U31" s="590" t="inlineStr">
        <is>
          <t>Yes</t>
        </is>
      </c>
      <c r="V31" s="590" t="inlineStr">
        <is>
          <t>Yes</t>
        </is>
      </c>
      <c r="W31" s="590" t="inlineStr">
        <is>
          <t>Yes</t>
        </is>
      </c>
      <c r="X31" s="590" t="inlineStr">
        <is>
          <t>Yes</t>
        </is>
      </c>
      <c r="Y31" s="590" t="inlineStr">
        <is>
          <t>Yes</t>
        </is>
      </c>
      <c r="Z31" s="590" t="inlineStr">
        <is>
          <t>Yes</t>
        </is>
      </c>
      <c r="AA31" s="590" t="inlineStr">
        <is>
          <t>Yes</t>
        </is>
      </c>
      <c r="AB31" s="590" t="inlineStr">
        <is>
          <t>Yes</t>
        </is>
      </c>
      <c r="AC31" s="590" t="n">
        <v>45657</v>
      </c>
      <c r="AD31" s="590" t="n">
        <v>46386</v>
      </c>
      <c r="AE31" s="590" t="inlineStr">
        <is>
          <t>VOD only</t>
        </is>
      </c>
      <c r="AF31" s="306" t="n"/>
      <c r="AG31" s="641" t="n"/>
      <c r="AH31" s="590" t="inlineStr">
        <is>
          <t>VOD only</t>
        </is>
      </c>
      <c r="AI31" s="642" t="inlineStr">
        <is>
          <t>Yes</t>
        </is>
      </c>
      <c r="AJ31" s="642" t="inlineStr">
        <is>
          <t>Yes</t>
        </is>
      </c>
      <c r="AK31" s="307" t="n"/>
      <c r="AL31" s="590" t="inlineStr">
        <is>
          <t>Phim còn hạn từ 2026</t>
        </is>
      </c>
      <c r="AM31" s="203" t="n"/>
      <c r="AN31" s="203" t="n"/>
      <c r="AO31" s="128">
        <f>SUMIF('TK 15661.Bản quyền phim '!F:F,'KK2. Series'!C31,'TK 15661.Bản quyền phim '!K:K)</f>
        <v/>
      </c>
      <c r="AP31" s="128">
        <f>COUNTIF('242.BQ Phim VOD'!$C$5:$C$8,'KK2. Series'!AM31)</f>
        <v/>
      </c>
      <c r="AQ31" s="128">
        <f>COUNTIF('TK 15666. Phim SX'!$C$6:$C$13,'KK2. Series'!AM31)</f>
        <v/>
      </c>
      <c r="AR31" s="203">
        <f>COUNTIF('TK 15661.Bản quyền phim '!F:F,'KK2. Series'!AM31)</f>
        <v/>
      </c>
      <c r="AS31" s="203" t="n">
        <v>1</v>
      </c>
      <c r="AT31" s="366">
        <f>SUM(AP31:AS31)</f>
        <v/>
      </c>
      <c r="AU31" s="203" t="n"/>
      <c r="AV31" s="203" t="n"/>
      <c r="AW31" s="203" t="n"/>
      <c r="AX31" s="203" t="n"/>
      <c r="AY31" s="203" t="n"/>
      <c r="AZ31" s="387" t="inlineStr">
        <is>
          <t>✓ Found</t>
        </is>
      </c>
      <c r="BB31" s="387" t="n"/>
    </row>
    <row r="32" ht="409.6" customHeight="1" s="578">
      <c r="A32" s="96" t="n">
        <v>26</v>
      </c>
      <c r="B32" s="97" t="inlineStr">
        <is>
          <t>EP01 – SER_ROM_24_2714302
EP02 – SER_ROM_24_2714303
EP03 – SER_ROM_24_2714304
EP04 – SER_ROM_24_2714305
EP05 – SER_ROM_24_2714306
EP06 – SER_ROM_24_2714307
EP07 – SER_ROM_24_2714308
EP08 – SER_ROM_24_2714309
EP09 – SER_ROM_24_2714310
EP10 – SER_ROM_24_2714311
EP11 – SER_ROM_24_2714312
EP12 – SER_ROM_24_2714313
EP13 – SER_ROM_24_2714314
EP14 – SER_ROM_24_2714315
EP15 – SER_ROM_24_2714316
EP16 – SER_ROM_24_2714317
EP17 – SER_ROM_24_2714318
EP18 – SER_ROM_24_2714319
EP19 – SER_ROM_24_2714320
EP20 – SER_ROM_24_2714321
EP21 – SER_ROM_24_2714322
EP22 – SER_ROM_24_2714323
EP23 – SER_ROM_24_2714324
EP24 – SER_ROM_24_2714325
EP25 – SER_ROM_24_2714326
EP26 – SER_ROM_24_2714327
EP27 – SER_ROM_24_2714328
EP28 – SER_ROM_24_2714329
EP29 – SER_ROM_24_2714330
EP30 – SER_ROM_24_2714331
EP31 – SER_ROM_24_2714332
EP32 – SER_ROM_24_2714333
EP33 – SER_ROM_24_2714334
EP34 – SER_ROM_24_2714335
EP35 – SER_ROM_24_2714336
EP36 – SER_ROM_24_2714337
EP37 – SER_ROM_24_2714338
EP38 – SER_ROM_24_2714339
EP39 – SER_ROM_24_2714340
EP40 – SER_ROM_24_2714341
EP41 – SER_ROM_24_2714342
EP42 – SER_ROM_24_2714343
EP43 – SER_ROM_24_2714344
EP44 – SER_ROM_24_2714345
EP45 – SER_ROM_24_2714346
EP46 – SER_ROM_24_2714347
EP47 – SER_ROM_24_2714348
EP48 – SER_ROM_24_2714349
EP49 – SER_ROM_24_2714350
EP50 – SER_ROM_24_2714351
EP51 – SER_ROM_24_2714352
EP52 – SER_ROM_24_2714353
EP53 – SER_ROM_24_2714354
EP54 – SER_ROM_24_2714355
EP55 – SER_ROM_24_2714356
EP56 – SER_ROM_24_2714357
EP57 – SER_ROM_24_2714358
EP58 – SER_ROM_24_2714359
EP59 – SER_ROM_24_2714360
EP60 – SER_ROM_24_2714361
EP61 – SER_ROM_24_2714362
EP62 – SER_ROM_24_2714363
EP63 – SER_ROM_24_2714364
EP64 – SER_ROM_24_2714365
EP65 – SER_ROM_24_2714366
EP66 – SER_ROM_24_2714367
EP67 – SER_ROM_24_2714368
EP68 – SER_ROM_24_2714369
EP69 – SER_ROM_24_2714370
EP70 – SER_ROM_24_2714371
EP71 – SER_ROM_24_2714372
EP72 – SER_ROM_24_2714373
EP73 – SER_ROM_24_2714374
EP74 – SER_ROM_24_2714375
EP75 – SER_ROM_24_2714376
EP76 – SER_ROM_24_2714377
EP77 – SER_ROM_24_2714378
EP78 – SER_ROM_24_2714379
EP79 – SER_ROM_24_2714380
EP80 – SER_ROM_24_2714381</t>
        </is>
      </c>
      <c r="C32" s="590" t="inlineStr">
        <is>
          <t>The secret house</t>
        </is>
      </c>
      <c r="D32" s="590" t="inlineStr">
        <is>
          <t>Ngôi nhà bí mật</t>
        </is>
      </c>
      <c r="E32" s="590" t="inlineStr">
        <is>
          <t>HT</t>
        </is>
      </c>
      <c r="F32" s="590" t="inlineStr">
        <is>
          <t>16/2023/HDBQ/VSTV-HT</t>
        </is>
      </c>
      <c r="G32" s="590" t="inlineStr">
        <is>
          <t>Korea</t>
        </is>
      </c>
      <c r="H32" s="305" t="n">
        <v>2022</v>
      </c>
      <c r="I32" s="305" t="n">
        <v>80</v>
      </c>
      <c r="J32" s="305" t="n">
        <v>45</v>
      </c>
      <c r="K32" s="449">
        <f>(I32*J32)/60</f>
        <v/>
      </c>
      <c r="L32" s="305">
        <f>I32</f>
        <v/>
      </c>
      <c r="M32" s="590" t="inlineStr">
        <is>
          <t>Drama</t>
        </is>
      </c>
      <c r="N32" s="590" t="inlineStr">
        <is>
          <t>Drama</t>
        </is>
      </c>
      <c r="O32" s="590" t="n"/>
      <c r="P32" s="590" t="inlineStr">
        <is>
          <t>VOD only</t>
        </is>
      </c>
      <c r="Q32" s="590" t="n">
        <v>45657</v>
      </c>
      <c r="R32" s="590" t="inlineStr">
        <is>
          <t>VOD only</t>
        </is>
      </c>
      <c r="S32" s="590" t="inlineStr">
        <is>
          <t>Non-exclusive VOD rights</t>
        </is>
      </c>
      <c r="T32" s="590" t="inlineStr">
        <is>
          <t>No</t>
        </is>
      </c>
      <c r="U32" s="590" t="inlineStr">
        <is>
          <t>Yes</t>
        </is>
      </c>
      <c r="V32" s="590" t="inlineStr">
        <is>
          <t>Yes</t>
        </is>
      </c>
      <c r="W32" s="590" t="inlineStr">
        <is>
          <t>Yes</t>
        </is>
      </c>
      <c r="X32" s="590" t="inlineStr">
        <is>
          <t>Yes</t>
        </is>
      </c>
      <c r="Y32" s="590" t="inlineStr">
        <is>
          <t>Yes</t>
        </is>
      </c>
      <c r="Z32" s="590" t="inlineStr">
        <is>
          <t>Yes</t>
        </is>
      </c>
      <c r="AA32" s="590" t="inlineStr">
        <is>
          <t>Yes</t>
        </is>
      </c>
      <c r="AB32" s="590" t="inlineStr">
        <is>
          <t>Yes</t>
        </is>
      </c>
      <c r="AC32" s="590" t="n">
        <v>45657</v>
      </c>
      <c r="AD32" s="590" t="n">
        <v>46386</v>
      </c>
      <c r="AE32" s="590" t="inlineStr">
        <is>
          <t>VOD only</t>
        </is>
      </c>
      <c r="AF32" s="306" t="n"/>
      <c r="AG32" s="641" t="n"/>
      <c r="AH32" s="590" t="inlineStr">
        <is>
          <t>VOD only</t>
        </is>
      </c>
      <c r="AI32" s="642" t="inlineStr">
        <is>
          <t>Yes</t>
        </is>
      </c>
      <c r="AJ32" s="642" t="inlineStr">
        <is>
          <t>Yes</t>
        </is>
      </c>
      <c r="AK32" s="307" t="n"/>
      <c r="AL32" s="590" t="inlineStr">
        <is>
          <t>Phim còn hạn từ 2026</t>
        </is>
      </c>
      <c r="AM32" s="203" t="n"/>
      <c r="AN32" s="203" t="n"/>
      <c r="AO32" s="128">
        <f>SUMIF('TK 15661.Bản quyền phim '!F:F,'KK2. Series'!C32,'TK 15661.Bản quyền phim '!K:K)</f>
        <v/>
      </c>
      <c r="AP32" s="128">
        <f>COUNTIF('242.BQ Phim VOD'!$C$5:$C$8,'KK2. Series'!AM32)</f>
        <v/>
      </c>
      <c r="AQ32" s="128">
        <f>COUNTIF('TK 15666. Phim SX'!$C$6:$C$13,'KK2. Series'!AM32)</f>
        <v/>
      </c>
      <c r="AR32" s="203">
        <f>COUNTIF('TK 15661.Bản quyền phim '!F:F,'KK2. Series'!AM32)</f>
        <v/>
      </c>
      <c r="AS32" s="203" t="n">
        <v>1</v>
      </c>
      <c r="AT32" s="366">
        <f>SUM(AP32:AS32)</f>
        <v/>
      </c>
      <c r="AU32" s="203" t="n"/>
      <c r="AV32" s="203" t="n"/>
      <c r="AW32" s="203" t="n"/>
      <c r="AX32" s="203" t="n"/>
      <c r="AY32" s="203" t="n"/>
      <c r="AZ32" s="387" t="inlineStr">
        <is>
          <t>✓ Found</t>
        </is>
      </c>
      <c r="BB32" s="387" t="n"/>
    </row>
    <row r="33" ht="409.6" customHeight="1" s="578">
      <c r="A33" s="96" t="n">
        <v>27</v>
      </c>
      <c r="B33" s="97" t="inlineStr">
        <is>
          <t>EP01 – SER_DRA3603
EP02 – SER_DRA3604
EP03 – SER_DRA3605
EP04 – SER_DRA3606
EP05 – SER_DRA3607
EP06 – SER_DRA3608
EP07 – SER_DRA3609
EP08 – SER_DRA3610
EP09 – SER_DRA3611
EP10 – SER_DRA3612
EP11 – SER_DRA3613
EP12 – SER_DRA3614
EP13 – SER_DRA3615
EP14 – SER_DRA3616
EP15 – SER_DRA3617
EP16 – SER_DRA3618
EP17 – SER_DRA3619
EP18 – SER_DRA3620
EP19 – SER_DRA3621
EP20 – SER_DRA3622
EP21 – SER_DRA3623
EP22 – SER_DRA3624
EP23 – SER_DRA3625
EP24 – SER_DRA3626
EP25 – SER_DRA3627
EP26 – SER_DRA3628
EP27 – SER_DRA3629
EP28 – SER_DRA3630
EP29 – SER_DRA3631
EP30 – SER_DRA3632
EP31 – SER_DRA3633
EP32 – SER_DRA3634
EP33 – SER_DRA3635
EP34 – SER_DRA3636
EP35 – SER_DRA3637
EP36 – SER_DRA3638
EP37 – SER_DRA3639
EP38 – SER_DRA3640
EP39 – SER_DRA3641
EP40 – SER_DRA3642
EP41 – SER_DRA3643
EP42 – SER_DRA3644
EP43 – SER_DRA3645
EP44 – SER_DRA3646
EP45 – SER_DRA3647
EP46 – SER_DRA3648
EP47 – SER_DRA3649
EP48 – SER_DRA3650
EP49 – SER_DRA3651
EP50 – SER_DRA3652
EP51 – SER_DRA3653
EP52 – SER_DRA3654
EP53 – SER_DRA3655
EP54 – SER_DRA3656
EP55 – SER_DRA3657
EP56 – SER_DRA3658
EP57 – SER_DRA3659
EP58 – SER_DRA3660
EP59 – SER_DRA3661
EP60 – SER_DRA3662
EP61 – SER_DRA3663
EP62 – SER_DRA3664
EP63 – SER_DRA3665
EP64 – SER_DRA3666
EP65 – SER_DRA3667
EP66 – SER_DRA3668
EP67 – SER_DRA3669
EP68 – SER_DRA3670
EP69 – SER_DRA3671
EP70 – SER_DRA3672
EP71 – SER_DRA3673
EP72 – SER_DRA3674
EP73 – SER_DRA3675
EP74 – SER_DRA3676
EP75 – SER_DRA3677
EP76 – SER_DRA3678
EP77 – SER_DRA3679
EP78 – SER_DRA3680
EP79 – SER_DRA3681</t>
        </is>
      </c>
      <c r="C33" s="590" t="inlineStr">
        <is>
          <t>Game of witch</t>
        </is>
      </c>
      <c r="D33" s="590" t="inlineStr">
        <is>
          <t>Trò chơi phù thủy</t>
        </is>
      </c>
      <c r="E33" s="590" t="inlineStr">
        <is>
          <t>HT</t>
        </is>
      </c>
      <c r="F33" s="590" t="inlineStr">
        <is>
          <t>16/2023/HDBQ/VSTV-HT</t>
        </is>
      </c>
      <c r="G33" s="590" t="inlineStr">
        <is>
          <t>Korea</t>
        </is>
      </c>
      <c r="H33" s="305" t="n">
        <v>2022</v>
      </c>
      <c r="I33" s="305" t="n">
        <v>75</v>
      </c>
      <c r="J33" s="305" t="n">
        <v>45</v>
      </c>
      <c r="K33" s="449">
        <f>(I33*J33)/60</f>
        <v/>
      </c>
      <c r="L33" s="305">
        <f>I33</f>
        <v/>
      </c>
      <c r="M33" s="590" t="inlineStr">
        <is>
          <t>Drama</t>
        </is>
      </c>
      <c r="N33" s="590" t="inlineStr">
        <is>
          <t>Drama</t>
        </is>
      </c>
      <c r="O33" s="590" t="n"/>
      <c r="P33" s="590" t="inlineStr">
        <is>
          <t>VOD only</t>
        </is>
      </c>
      <c r="Q33" s="590" t="n">
        <v>45657</v>
      </c>
      <c r="R33" s="590" t="inlineStr">
        <is>
          <t>VOD only</t>
        </is>
      </c>
      <c r="S33" s="590" t="inlineStr">
        <is>
          <t>Non-exclusive VOD rights</t>
        </is>
      </c>
      <c r="T33" s="590" t="inlineStr">
        <is>
          <t>No</t>
        </is>
      </c>
      <c r="U33" s="590" t="inlineStr">
        <is>
          <t>Yes</t>
        </is>
      </c>
      <c r="V33" s="590" t="inlineStr">
        <is>
          <t>Yes</t>
        </is>
      </c>
      <c r="W33" s="590" t="inlineStr">
        <is>
          <t>Yes</t>
        </is>
      </c>
      <c r="X33" s="590" t="inlineStr">
        <is>
          <t>Yes</t>
        </is>
      </c>
      <c r="Y33" s="590" t="inlineStr">
        <is>
          <t>Yes</t>
        </is>
      </c>
      <c r="Z33" s="590" t="inlineStr">
        <is>
          <t>Yes</t>
        </is>
      </c>
      <c r="AA33" s="590" t="inlineStr">
        <is>
          <t>Yes</t>
        </is>
      </c>
      <c r="AB33" s="590" t="inlineStr">
        <is>
          <t>Yes</t>
        </is>
      </c>
      <c r="AC33" s="590" t="n">
        <v>45657</v>
      </c>
      <c r="AD33" s="590" t="n">
        <v>46386</v>
      </c>
      <c r="AE33" s="590" t="inlineStr">
        <is>
          <t>VOD only</t>
        </is>
      </c>
      <c r="AF33" s="306" t="n"/>
      <c r="AG33" s="641" t="n"/>
      <c r="AH33" s="590" t="inlineStr">
        <is>
          <t>VOD only</t>
        </is>
      </c>
      <c r="AI33" s="642" t="inlineStr">
        <is>
          <t>Yes</t>
        </is>
      </c>
      <c r="AJ33" s="642" t="inlineStr">
        <is>
          <t>Yes</t>
        </is>
      </c>
      <c r="AK33" s="307" t="n"/>
      <c r="AL33" s="590" t="inlineStr">
        <is>
          <t>Phim còn hạn từ 2026</t>
        </is>
      </c>
      <c r="AM33" s="203" t="n"/>
      <c r="AN33" s="203" t="n"/>
      <c r="AO33" s="128">
        <f>SUMIF('TK 15661.Bản quyền phim '!F:F,'KK2. Series'!C33,'TK 15661.Bản quyền phim '!K:K)</f>
        <v/>
      </c>
      <c r="AP33" s="128">
        <f>COUNTIF('242.BQ Phim VOD'!$C$5:$C$8,'KK2. Series'!AM33)</f>
        <v/>
      </c>
      <c r="AQ33" s="128">
        <f>COUNTIF('TK 15666. Phim SX'!$C$6:$C$13,'KK2. Series'!AM33)</f>
        <v/>
      </c>
      <c r="AR33" s="203">
        <f>COUNTIF('TK 15661.Bản quyền phim '!F:F,'KK2. Series'!AM33)</f>
        <v/>
      </c>
      <c r="AS33" s="203" t="n">
        <v>1</v>
      </c>
      <c r="AT33" s="366">
        <f>SUM(AP33:AS33)</f>
        <v/>
      </c>
      <c r="AU33" s="203" t="n"/>
      <c r="AV33" s="203" t="n"/>
      <c r="AW33" s="203" t="n"/>
      <c r="AX33" s="203" t="n"/>
      <c r="AY33" s="203" t="n"/>
      <c r="AZ33" s="387" t="inlineStr">
        <is>
          <t>✓ Found</t>
        </is>
      </c>
      <c r="BB33" s="387" t="n"/>
    </row>
    <row r="34" ht="409.6" customHeight="1" s="578">
      <c r="A34" s="96" t="n">
        <v>28</v>
      </c>
      <c r="B34" s="97" t="inlineStr">
        <is>
          <t>EP01 – SER_ROM2823
EP02 – SER_ROM2824
EP03 – SER_ROM2825
EP04 – SER_ROM2826
EP05 – SER_ROM2827
EP06 – SER_ROM2828
EP07 – SER_ROM2829
EP08 – SER_ROM2830
EP09 – SER_ROM2831
EP10 – SER_ROM2832
EP11 – SER_ROM2833
EP12 – SER_ROM2834
EP13 – SER_ROM2835
EP14 – SER_ROM2836
EP15 – SER_ROM2837
EP16 – SER_ROM2838
EP17 – SER_ROM2839
EP18 – SER_ROM2840
EP19 – SER_ROM2841
EP20 – SER_ROM2842
EP21 – SER_ROM2843
EP22 – SER_ROM2844
EP23 – SER_ROM2845
EP24 – SER_ROM2846
EP25 – SER_ROM2847
EP26 – SER_ROM2848
EP27 – SER_ROM2849
EP28 – SER_ROM2850
EP29 – SER_ROM2851
EP30 – SER_ROM2852
EP31 – SER_ROM2853
EP32 – SER_ROM2854
EP33 – SER_ROM2855
EP34 – SER_ROM2856
EP35 – SER_ROM2857
EP36 – SER_ROM2858
EP37 – SER_ROM2859
EP38 – SER_ROM2860
EP39 – SER_ROM2861
EP40 – SER_ROM2862
EP41 – SER_ROM2863
EP42 – SER_ROM2864
EP43 – SER_ROM2865
EP44 – SER_ROM2866
EP45 – SER_ROM2867
EP46 – SER_ROM2868
EP47 – SER_ROM2869
EP48 – SER_ROM2870
EP49 – SER_ROM2871
EP50 – SER_ROM2872
EP51 – SER_ROM2873
EP52 – SER_ROM2874
EP53 – SER_ROM2875
EP54 – SER_ROM2876
EP55 – SER_ROM2877
EP56 – SER_ROM2878
EP57 – SER_ROM2879
EP58 – SER_ROM2880
EP59 – SER_ROM2881
EP60 – SER_ROM2882
EP61 – SER_ROM2883
EP62 – SER_ROM2884
EP63 – SER_ROM2885
EP64 – SER_ROM2886
EP65 – SER_ROM2887
EP66 – SER_ROM2888
EP67 – SER_ROM2889
EP68 – SER_ROM2890
EP69 – SER_ROM2891
EP70 – SER_ROM2892
EP71 – SER_ROM2893
EP72 – SER_ROM2894
EP73 – SER_ROM2895
EP74 – SER_ROM2896
EP75 – SER_ROM2897
EP76 – SER_ROM2898
EP77 – SER_ROM2899
EP78 – SER_ROM2900
EP79 – SER_ROM2901
EP80 – SER_ROM2902
EP81 – SER_ROM2903
EP82 – SER_ROM2904
EP83 – SER_ROM2905</t>
        </is>
      </c>
      <c r="C34" s="590" t="inlineStr">
        <is>
          <t>Be my sunshine</t>
        </is>
      </c>
      <c r="D34" s="590" t="inlineStr">
        <is>
          <t>Hạnh phúc ban mai</t>
        </is>
      </c>
      <c r="E34" s="590" t="inlineStr">
        <is>
          <t>HT</t>
        </is>
      </c>
      <c r="F34" s="590" t="inlineStr">
        <is>
          <t>16/2023/HDBQ/VSTV-HT</t>
        </is>
      </c>
      <c r="G34" s="590" t="inlineStr">
        <is>
          <t>Thổ Nhĩ Kỳ</t>
        </is>
      </c>
      <c r="H34" s="305" t="n">
        <v>2021</v>
      </c>
      <c r="I34" s="305" t="n">
        <v>83</v>
      </c>
      <c r="J34" s="305" t="n">
        <v>45</v>
      </c>
      <c r="K34" s="305">
        <f>(I34*J34)/60</f>
        <v/>
      </c>
      <c r="L34" s="305">
        <f>I34</f>
        <v/>
      </c>
      <c r="M34" s="590" t="inlineStr">
        <is>
          <t>Drama</t>
        </is>
      </c>
      <c r="N34" s="590" t="inlineStr">
        <is>
          <t>Drama</t>
        </is>
      </c>
      <c r="O34" s="590" t="n"/>
      <c r="P34" s="590" t="inlineStr">
        <is>
          <t>VOD only</t>
        </is>
      </c>
      <c r="Q34" s="590" t="n">
        <v>45657</v>
      </c>
      <c r="R34" s="590" t="inlineStr">
        <is>
          <t>VOD only</t>
        </is>
      </c>
      <c r="S34" s="590" t="inlineStr">
        <is>
          <t>Non-exclusive VOD rights</t>
        </is>
      </c>
      <c r="T34" s="590" t="inlineStr">
        <is>
          <t>No</t>
        </is>
      </c>
      <c r="U34" s="590" t="inlineStr">
        <is>
          <t>Yes</t>
        </is>
      </c>
      <c r="V34" s="590" t="inlineStr">
        <is>
          <t>Yes</t>
        </is>
      </c>
      <c r="W34" s="590" t="inlineStr">
        <is>
          <t>Yes</t>
        </is>
      </c>
      <c r="X34" s="590" t="inlineStr">
        <is>
          <t>Yes</t>
        </is>
      </c>
      <c r="Y34" s="590" t="inlineStr">
        <is>
          <t>Yes</t>
        </is>
      </c>
      <c r="Z34" s="590" t="inlineStr">
        <is>
          <t>Yes</t>
        </is>
      </c>
      <c r="AA34" s="590" t="inlineStr">
        <is>
          <t>Yes</t>
        </is>
      </c>
      <c r="AB34" s="590" t="inlineStr">
        <is>
          <t>Yes</t>
        </is>
      </c>
      <c r="AC34" s="590" t="n">
        <v>45657</v>
      </c>
      <c r="AD34" s="590" t="n">
        <v>46386</v>
      </c>
      <c r="AE34" s="590" t="inlineStr">
        <is>
          <t>VOD only</t>
        </is>
      </c>
      <c r="AF34" s="306" t="n"/>
      <c r="AG34" s="641" t="n"/>
      <c r="AH34" s="590" t="inlineStr">
        <is>
          <t>VOD only</t>
        </is>
      </c>
      <c r="AI34" s="642" t="inlineStr">
        <is>
          <t>Yes</t>
        </is>
      </c>
      <c r="AJ34" s="642" t="inlineStr">
        <is>
          <t>Yes</t>
        </is>
      </c>
      <c r="AK34" s="307" t="n"/>
      <c r="AL34" s="590" t="inlineStr">
        <is>
          <t>Phim còn hạn từ 2026</t>
        </is>
      </c>
      <c r="AM34" s="203" t="n"/>
      <c r="AN34" s="203" t="n"/>
      <c r="AO34" s="128">
        <f>SUMIF('TK 15661.Bản quyền phim '!F:F,'KK2. Series'!C34,'TK 15661.Bản quyền phim '!K:K)</f>
        <v/>
      </c>
      <c r="AP34" s="128">
        <f>COUNTIF('242.BQ Phim VOD'!$C$5:$C$8,'KK2. Series'!AM34)</f>
        <v/>
      </c>
      <c r="AQ34" s="128">
        <f>COUNTIF('TK 15666. Phim SX'!$C$6:$C$13,'KK2. Series'!AM34)</f>
        <v/>
      </c>
      <c r="AR34" s="203">
        <f>COUNTIF('TK 15661.Bản quyền phim '!F:F,'KK2. Series'!AM34)</f>
        <v/>
      </c>
      <c r="AS34" s="203" t="n">
        <v>1</v>
      </c>
      <c r="AT34" s="366">
        <f>SUM(AP34:AS34)</f>
        <v/>
      </c>
      <c r="AU34" s="203" t="n"/>
      <c r="AV34" s="203" t="n"/>
      <c r="AW34" s="203" t="n"/>
      <c r="AX34" s="203" t="n"/>
      <c r="AY34" s="203" t="n"/>
      <c r="AZ34" s="387" t="inlineStr">
        <is>
          <t>✓ Found</t>
        </is>
      </c>
      <c r="BB34" s="387" t="n"/>
    </row>
    <row r="35" ht="409.6" customHeight="1" s="578">
      <c r="A35" s="96" t="n">
        <v>29</v>
      </c>
      <c r="B35" s="97" t="inlineStr">
        <is>
          <t>EP01 – SER_CRI_23_2708073
EP02 – SER_CRI_23_2708074
EP03 – SER_CRI_23_2708075
EP04 – SER_CRI_23_2708076
EP05 – SER_CRI_23_2708077
EP06 – SER_CRI_23_2708078
EP07 – SER_CRI_23_2708079
EP08 – SER_CRI_23_2708080
EP09 – SER_CRI_23_2708081
EP10 – SER_CRI_23_2708082
EP11 – SER_CRI_23_2708083
EP12 – SER_CRI_23_2708084
EP13 – SER_CRI_23_2708085
EP14 – SER_CRI_23_2708086
EP15 – SER_CRI_23_2708087
EP16 – SER_CRI_23_2708088
EP17 – SER_CRI_23_2708089
EP18 – SER_CRI_23_2708090
EP19 – SER_CRI_23_2708091
EP20 – SER_CRI_23_2708092
EP21 – SER_CRI_23_2708093
EP22 – SER_CRI_23_2708094
EP23 – SER_CRI_23_2708095
EP24 – SER_CRI_23_2708096
EP25 – SER_CRI_23_2708097
EP26 – SER_CRI_23_2708098
EP27 – SER_CRI_23_2708099
EP28 – SER_CRI_23_2708100
EP29 – SER_CRI_23_2708101
EP30 – SER_CRI_23_2708102
EP31 – SER_CRI_23_2708103
EP32 – SER_CRI_23_2708104
EP33 – SER_CRI_23_2708105
EP34 – SER_CRI_23_2708106
EP35 – SER_CRI_23_2708107
EP36 – SER_CRI_23_2708108
EP37 – SER_CRI_23_2708109
EP38 – SER_CRI_23_2708110
EP39 – SER_CRI_23_2708111
EP40 – SER_CRI_23_2708112
EP41 – SER_CRI_23_2708113
EP42 – SER_CRI_23_2708114
EP43 – SER_CRI_23_2708115
EP44 – SER_CRI_23_2708116
EP45 – SER_CRI_23_2708117
EP46 – SER_CRI_23_2708118
EP47 – SER_CRI_23_2708119
EP48 – SER_CRI_23_2708120
EP49 – SER_CRI_23_2708121
EP50 – SER_CRI_23_2708122
EP51 – SER_CRI_23_2708123
EP52 – SER_CRI_23_2708124
EP53 – SER_CRI_23_2708125
EP54 – SER_CRI_23_2708126
EP55 – SER_CRI_23_2708127
EP56 – SER_CRI_23_2708128
EP57 – SER_CRI_23_2708129
EP58 – SER_CRI_23_2708130
EP59 – SER_CRI_23_2708131
EP60 – SER_CRI_23_2708132
EP61 – SER_CRI_23_2708133
EP62 – SER_CRI_23_2708134
EP63 – SER_CRI_23_2708135
EP64 – SER_CRI_23_2708136
EP65 – SER_CRI_23_2708137
EP66 – SER_CRI_23_2708138
EP67 – SER_CRI_23_2708139
EP68 – SER_CRI_23_2708140
EP69 – SER_CRI_23_2708141
EP70 – SER_CRI_23_2708142
EP71 – SER_CRI_23_2708143
EP72 – SER_CRI_23_2708144
EP73 – SER_CRI_23_2708145
EP74 – SER_CRI_23_2708146
EP75 – SER_CRI_23_2708147
EP76 – SER_CRI_23_2708148
EP77 – SER_CRI_23_2708149
EP78 – SER_CRI_23_2708150
EP79 – SER_CRI_23_2708151
EP80 – SER_CRI_23_2708152
EP81 – SER_CRI_23_2708153
EP82 – SER_CRI_23_2708154
EP83 – SER_CRI_23_2708155
EP84 – SER_CRI_23_2708156
EP85 – SER_CRI_23_2708157
EP86 – SER_CRI_23_2708158
EP87 – SER_CRI_23_2708159
EP88 – SER_CRI_23_2708160
EP89 – SER_CRI_23_2708161
EP90 – SER_CRI_23_2708162
EP91 – SER_CRI_23_2708163
EP92 – SER_CRI_23_2708164
EP93 – SER_CRI_23_2708165</t>
        </is>
      </c>
      <c r="C35" s="108" t="inlineStr">
        <is>
          <t>Last summer</t>
        </is>
      </c>
      <c r="D35" s="590" t="inlineStr">
        <is>
          <t>Mùa hè đáng nhớ</t>
        </is>
      </c>
      <c r="E35" s="590" t="inlineStr">
        <is>
          <t>HT</t>
        </is>
      </c>
      <c r="F35" s="590" t="inlineStr">
        <is>
          <t>16/2023/HDBQ/VSTV-HT</t>
        </is>
      </c>
      <c r="G35" s="590" t="inlineStr">
        <is>
          <t>Thổ Nhĩ Kỳ</t>
        </is>
      </c>
      <c r="H35" s="305" t="n">
        <v>2021</v>
      </c>
      <c r="I35" s="305" t="n">
        <v>93</v>
      </c>
      <c r="J35" s="305" t="n">
        <v>45</v>
      </c>
      <c r="K35" s="305">
        <f>(I35*J35)/60</f>
        <v/>
      </c>
      <c r="L35" s="305">
        <f>I35</f>
        <v/>
      </c>
      <c r="M35" s="590" t="inlineStr">
        <is>
          <t>Drama</t>
        </is>
      </c>
      <c r="N35" s="590" t="inlineStr">
        <is>
          <t>Drama</t>
        </is>
      </c>
      <c r="O35" s="590" t="n"/>
      <c r="P35" s="590" t="inlineStr">
        <is>
          <t>VOD only</t>
        </is>
      </c>
      <c r="Q35" s="590" t="n">
        <v>45397</v>
      </c>
      <c r="R35" s="590" t="inlineStr">
        <is>
          <t>VOD only</t>
        </is>
      </c>
      <c r="S35" s="590" t="inlineStr">
        <is>
          <t>Non-exclusive VOD rights</t>
        </is>
      </c>
      <c r="T35" s="590" t="inlineStr">
        <is>
          <t>No</t>
        </is>
      </c>
      <c r="U35" s="590" t="inlineStr">
        <is>
          <t>Yes</t>
        </is>
      </c>
      <c r="V35" s="645" t="inlineStr">
        <is>
          <t>Yes</t>
        </is>
      </c>
      <c r="W35" s="590" t="inlineStr">
        <is>
          <t>Yes</t>
        </is>
      </c>
      <c r="X35" s="590" t="inlineStr">
        <is>
          <t>Yes</t>
        </is>
      </c>
      <c r="Y35" s="590" t="inlineStr">
        <is>
          <t>Yes</t>
        </is>
      </c>
      <c r="Z35" s="590" t="inlineStr">
        <is>
          <t>Yes</t>
        </is>
      </c>
      <c r="AA35" s="590" t="inlineStr">
        <is>
          <t>Yes</t>
        </is>
      </c>
      <c r="AB35" s="590" t="inlineStr">
        <is>
          <t>Yes</t>
        </is>
      </c>
      <c r="AC35" s="590" t="n">
        <v>45397</v>
      </c>
      <c r="AD35" s="590" t="n">
        <v>46126</v>
      </c>
      <c r="AE35" s="590" t="inlineStr">
        <is>
          <t>VOD only</t>
        </is>
      </c>
      <c r="AF35" s="306" t="n"/>
      <c r="AG35" s="641" t="n"/>
      <c r="AH35" s="590" t="inlineStr">
        <is>
          <t>VOD only</t>
        </is>
      </c>
      <c r="AI35" s="642" t="inlineStr">
        <is>
          <t>Yes</t>
        </is>
      </c>
      <c r="AJ35" s="642" t="inlineStr">
        <is>
          <t>Yes</t>
        </is>
      </c>
      <c r="AK35" s="307" t="n"/>
      <c r="AL35" s="590" t="inlineStr">
        <is>
          <t>Phim còn hạn từ 2026</t>
        </is>
      </c>
      <c r="AM35" s="203" t="n"/>
      <c r="AN35" s="203" t="n"/>
      <c r="AO35" s="128">
        <f>SUMIF('TK 15661.Bản quyền phim '!F:F,'KK2. Series'!C35,'TK 15661.Bản quyền phim '!K:K)</f>
        <v/>
      </c>
      <c r="AP35" s="128">
        <f>COUNTIF('242.BQ Phim VOD'!$C$5:$C$8,'KK2. Series'!AM35)</f>
        <v/>
      </c>
      <c r="AQ35" s="128">
        <f>COUNTIF('TK 15666. Phim SX'!$C$6:$C$13,'KK2. Series'!AM35)</f>
        <v/>
      </c>
      <c r="AR35" s="203">
        <f>COUNTIF('TK 15661.Bản quyền phim '!F:F,'KK2. Series'!AM35)</f>
        <v/>
      </c>
      <c r="AS35" s="203" t="n">
        <v>1</v>
      </c>
      <c r="AT35" s="366">
        <f>SUM(AP35:AS35)</f>
        <v/>
      </c>
      <c r="AU35" s="203" t="n"/>
      <c r="AV35" s="203" t="n"/>
      <c r="AW35" s="203" t="n"/>
      <c r="AX35" s="203" t="n"/>
      <c r="AY35" s="203" t="n"/>
      <c r="AZ35" s="387" t="inlineStr">
        <is>
          <t>✓ Found</t>
        </is>
      </c>
      <c r="BB35" s="387" t="n"/>
    </row>
    <row r="36" ht="211.2" customHeight="1" s="578">
      <c r="A36" s="96" t="n">
        <v>30</v>
      </c>
      <c r="B36" s="97" t="inlineStr">
        <is>
          <t>SER_ACT_23_2695771	B.R.I S1, Ep08
SER_ACT_23_2695770	B.R.I S1, Ep07
SER_ACT_23_2695769	B.R.I S1, Ep06
SER_ACT_23_2695768	B.R.I S1, Ep05
SER_ACT_23_2695767	B.R.I S1, Ep04
SER_ACT_23_2695766	B.R.I S1, Ep03
SER_ACT_23_2695765	B.R.I S1, Ep02
SER_ACT_23__2695764	B.R.I S1, Ep01</t>
        </is>
      </c>
      <c r="C36" s="590" t="inlineStr">
        <is>
          <t>B.R.I</t>
        </is>
      </c>
      <c r="D36" s="590" t="inlineStr">
        <is>
          <t>Đội đặc nhiệm B.R.I</t>
        </is>
      </c>
      <c r="E36" s="590" t="inlineStr">
        <is>
          <t>Studio Canal TV</t>
        </is>
      </c>
      <c r="F36" s="590" t="inlineStr">
        <is>
          <t>Scale_SC+/BRIGADE</t>
        </is>
      </c>
      <c r="G36" s="590" t="inlineStr">
        <is>
          <t>France</t>
        </is>
      </c>
      <c r="H36" s="305" t="n">
        <v>2023</v>
      </c>
      <c r="I36" s="305" t="n">
        <v>8</v>
      </c>
      <c r="J36" s="305" t="n">
        <v>60</v>
      </c>
      <c r="K36" s="305">
        <f>(I36*J36)/60</f>
        <v/>
      </c>
      <c r="L36" s="305">
        <f>I36</f>
        <v/>
      </c>
      <c r="M36" s="108" t="inlineStr">
        <is>
          <t>Crime</t>
        </is>
      </c>
      <c r="N36" s="590" t="inlineStr">
        <is>
          <t>Crime, Thriller</t>
        </is>
      </c>
      <c r="O36" s="208" t="n">
        <v>45096</v>
      </c>
      <c r="P36" s="208" t="n">
        <v>47652</v>
      </c>
      <c r="Q36" s="208" t="n">
        <v>45096</v>
      </c>
      <c r="R36" s="208" t="inlineStr">
        <is>
          <t>K+CINE</t>
        </is>
      </c>
      <c r="S36" s="590" t="inlineStr">
        <is>
          <t>Exlcusive all TV + VOD rights during LP</t>
        </is>
      </c>
      <c r="T36" s="590" t="inlineStr">
        <is>
          <t>No</t>
        </is>
      </c>
      <c r="U36" s="590" t="inlineStr">
        <is>
          <t>Yes</t>
        </is>
      </c>
      <c r="V36" s="590" t="inlineStr">
        <is>
          <t>Yes</t>
        </is>
      </c>
      <c r="W36" s="590" t="inlineStr">
        <is>
          <t>Yes</t>
        </is>
      </c>
      <c r="X36" s="590" t="inlineStr">
        <is>
          <t>Yes</t>
        </is>
      </c>
      <c r="Y36" s="590" t="inlineStr">
        <is>
          <t>Yes</t>
        </is>
      </c>
      <c r="Z36" s="590" t="inlineStr">
        <is>
          <t>Yes</t>
        </is>
      </c>
      <c r="AA36" s="590" t="inlineStr">
        <is>
          <t>Yes</t>
        </is>
      </c>
      <c r="AB36" s="590" t="inlineStr">
        <is>
          <t>No</t>
        </is>
      </c>
      <c r="AC36" s="208" t="n">
        <v>45096</v>
      </c>
      <c r="AD36" s="208" t="n">
        <v>47652</v>
      </c>
      <c r="AE36" s="590" t="inlineStr">
        <is>
          <t>Unlimited</t>
        </is>
      </c>
      <c r="AF36" s="306" t="n">
        <v>14</v>
      </c>
      <c r="AG36" s="641" t="n">
        <v>45463</v>
      </c>
      <c r="AH36" s="590" t="inlineStr">
        <is>
          <t>Unlimited</t>
        </is>
      </c>
      <c r="AI36" s="642" t="inlineStr">
        <is>
          <t>Yes</t>
        </is>
      </c>
      <c r="AJ36" s="642" t="inlineStr">
        <is>
          <t>Yes</t>
        </is>
      </c>
      <c r="AK36" s="307" t="n"/>
      <c r="AL36" s="590" t="inlineStr">
        <is>
          <t>Phim còn hạn từ 2026</t>
        </is>
      </c>
      <c r="AM36" s="203" t="inlineStr">
        <is>
          <t>B.R.I - Season 1</t>
        </is>
      </c>
      <c r="AN36" s="203" t="n"/>
      <c r="AO36" s="128">
        <f>SUMIF('TK 15661.Bản quyền phim '!F:F,'KK2. Series'!C36,'TK 15661.Bản quyền phim '!K:K)</f>
        <v/>
      </c>
      <c r="AP36" s="128">
        <f>COUNTIF('242.BQ Phim VOD'!$C$5:$C$8,'KK2. Series'!AM36)</f>
        <v/>
      </c>
      <c r="AQ36" s="128">
        <f>COUNTIF('TK 15666. Phim SX'!$C$6:$C$13,'KK2. Series'!AM36)</f>
        <v/>
      </c>
      <c r="AR36" s="203">
        <f>COUNTIF('TK 15661.Bản quyền phim '!F:F,'KK2. Series'!AM36)</f>
        <v/>
      </c>
      <c r="AS36" s="203" t="n"/>
      <c r="AT36" s="366">
        <f>SUM(AP36:AS36)</f>
        <v/>
      </c>
      <c r="AU36" s="203" t="n"/>
      <c r="AV36" s="203" t="n"/>
      <c r="AW36" s="203" t="n"/>
      <c r="AX36" s="203" t="n"/>
      <c r="AY36" s="203" t="n"/>
      <c r="AZ36" s="387" t="inlineStr">
        <is>
          <t>✓ Found</t>
        </is>
      </c>
      <c r="BB36" s="387" t="n"/>
    </row>
    <row r="37" ht="264" customHeight="1" s="578">
      <c r="A37" s="96" t="n">
        <v>31</v>
      </c>
      <c r="B37" s="97" t="inlineStr">
        <is>
          <t>SER_HOR_23_2691022	Crying forest, Ep10
SER_HOR_23_2691021	Crying forest, Ep09
SER_HOR_23_2691020	Crying forest, Ep08
SER_HOR_23_2691019	Crying forest, Ep07
SER_HOR_23_2691018	Crying forest, Ep06
SER_HOR_23_2691016	Crying forest, Ep04
SER_HOR_23_2691017	Crying forest, Ep05
SER_HOR_23_2691014	Crying forest, Ep02
SER_HOR_23_2691015	Crying forest, Ep03
SER_HOR_23__2691013	Crying forest, Ep01</t>
        </is>
      </c>
      <c r="C37" s="590" t="inlineStr">
        <is>
          <t xml:space="preserve">Crying Forest </t>
        </is>
      </c>
      <c r="D37" s="590" t="inlineStr">
        <is>
          <t>Bí ẩn rừng già</t>
        </is>
      </c>
      <c r="E37" s="590" t="inlineStr">
        <is>
          <t>Canal MM</t>
        </is>
      </c>
      <c r="F37" s="590" t="inlineStr">
        <is>
          <t>99/2023/HDBQ/VSTV-Canal MM</t>
        </is>
      </c>
      <c r="G37" s="590" t="inlineStr">
        <is>
          <t xml:space="preserve">Myanmar </t>
        </is>
      </c>
      <c r="H37" s="305" t="n">
        <v>2022</v>
      </c>
      <c r="I37" s="305" t="n">
        <v>10</v>
      </c>
      <c r="J37" s="305" t="n">
        <v>45</v>
      </c>
      <c r="K37" s="305">
        <f>(I37*J37)/60</f>
        <v/>
      </c>
      <c r="L37" s="305">
        <f>I37</f>
        <v/>
      </c>
      <c r="M37" s="590" t="inlineStr">
        <is>
          <t>Horror</t>
        </is>
      </c>
      <c r="N37" s="590" t="inlineStr">
        <is>
          <t>Horror</t>
        </is>
      </c>
      <c r="O37" s="208" t="n">
        <v>45017</v>
      </c>
      <c r="P37" s="208" t="n">
        <v>46843</v>
      </c>
      <c r="Q37" s="208" t="n">
        <v>45064</v>
      </c>
      <c r="R37" s="208" t="inlineStr">
        <is>
          <t>K+CINE</t>
        </is>
      </c>
      <c r="S37" s="590" t="inlineStr">
        <is>
          <t>Non-exclusive all TV rights and VOD rights</t>
        </is>
      </c>
      <c r="T37" s="590" t="inlineStr">
        <is>
          <t>No</t>
        </is>
      </c>
      <c r="U37" s="590" t="inlineStr">
        <is>
          <t>Yes</t>
        </is>
      </c>
      <c r="V37" s="590" t="inlineStr">
        <is>
          <t>Yes</t>
        </is>
      </c>
      <c r="W37" s="590" t="inlineStr">
        <is>
          <t>Yes</t>
        </is>
      </c>
      <c r="X37" s="590" t="inlineStr">
        <is>
          <t>Yes</t>
        </is>
      </c>
      <c r="Y37" s="590" t="inlineStr">
        <is>
          <t>Yes</t>
        </is>
      </c>
      <c r="Z37" s="590" t="inlineStr">
        <is>
          <t>Yes</t>
        </is>
      </c>
      <c r="AA37" s="590" t="inlineStr">
        <is>
          <t>Yes</t>
        </is>
      </c>
      <c r="AB37" s="590" t="inlineStr">
        <is>
          <t>Yes</t>
        </is>
      </c>
      <c r="AC37" s="208" t="n">
        <v>45017</v>
      </c>
      <c r="AD37" s="208" t="n">
        <v>46843</v>
      </c>
      <c r="AE37" s="590" t="inlineStr">
        <is>
          <t>Unlimited</t>
        </is>
      </c>
      <c r="AF37" s="306" t="n">
        <v>11</v>
      </c>
      <c r="AG37" s="641" t="n">
        <v>45622</v>
      </c>
      <c r="AH37" s="590" t="inlineStr">
        <is>
          <t>Unlimited</t>
        </is>
      </c>
      <c r="AI37" s="642" t="inlineStr">
        <is>
          <t>Yes</t>
        </is>
      </c>
      <c r="AJ37" s="642" t="inlineStr">
        <is>
          <t>Yes</t>
        </is>
      </c>
      <c r="AK37" s="307" t="n"/>
      <c r="AL37" s="590" t="inlineStr">
        <is>
          <t>Phim còn hạn từ 2026</t>
        </is>
      </c>
      <c r="AM37" s="203" t="inlineStr">
        <is>
          <t>Crying Forest</t>
        </is>
      </c>
      <c r="AN37" s="203" t="n"/>
      <c r="AO37" s="128">
        <f>SUMIF('TK 15661.Bản quyền phim '!F:F,'KK2. Series'!C37,'TK 15661.Bản quyền phim '!K:K)</f>
        <v/>
      </c>
      <c r="AP37" s="128">
        <f>COUNTIF('242.BQ Phim VOD'!$C$5:$C$8,'KK2. Series'!AM37)</f>
        <v/>
      </c>
      <c r="AQ37" s="128">
        <f>COUNTIF('TK 15666. Phim SX'!$C$6:$C$13,'KK2. Series'!AM37)</f>
        <v/>
      </c>
      <c r="AR37" s="203">
        <f>COUNTIF('TK 15661.Bản quyền phim '!F:F,'KK2. Series'!AM37)</f>
        <v/>
      </c>
      <c r="AS37" s="203" t="n"/>
      <c r="AT37" s="366">
        <f>SUM(AP37:AS37)</f>
        <v/>
      </c>
      <c r="AU37" s="203" t="n"/>
      <c r="AV37" s="203" t="n"/>
      <c r="AW37" s="203" t="n"/>
      <c r="AX37" s="203" t="n"/>
      <c r="AY37" s="203" t="n"/>
      <c r="AZ37" s="387" t="inlineStr">
        <is>
          <t>✓ Found</t>
        </is>
      </c>
      <c r="BB37" s="387" t="n"/>
    </row>
    <row r="38" ht="409.6" customHeight="1" s="578">
      <c r="A38" s="96" t="n">
        <v>32</v>
      </c>
      <c r="B38" s="97" t="inlineStr">
        <is>
          <t>SER_CRI_23_2707140	Of Money And Blood S1, Ep11
SER_CRI_23_2707141	Of Money And Blood S1, Ep12
SER_CRI_23_2707139	Of Money And Blood S1, Ep10
SER_CRI_23_2707138	Of Money And Blood S1, Ep09
SER_CRI_23_2707137	Of Money And Blood S1, Ep08
SER_CRI_23__2707136	Of Money And Blood S1, Ep07
SER_CRI_23_2707131	Of Money And Blood S1, Ep06
SER_CRI_23_2707130	Of Money And Blood S1, Ep05
SER_CRI_23_2707128	Of Money And Blood S1, Ep03
SER_CRI_23_2707129	Of Money And Blood S1, Ep04
SER_CRI_23_2707127	Of Money And Blood S1, Ep02
SER_CRI_23__2707126	Of Money And Blood S1, Ep01</t>
        </is>
      </c>
      <c r="C38" s="108" t="inlineStr">
        <is>
          <t xml:space="preserve">OF MONEY AND BLOOD – SEASON 1 </t>
        </is>
      </c>
      <c r="D38" s="590" t="inlineStr">
        <is>
          <t>Tiền và Máu</t>
        </is>
      </c>
      <c r="E38" s="108" t="inlineStr">
        <is>
          <t>Studio Canal TV</t>
        </is>
      </c>
      <c r="F38" s="590" t="inlineStr">
        <is>
          <t>Scale_SC+/Money and blood</t>
        </is>
      </c>
      <c r="G38" s="108" t="inlineStr">
        <is>
          <t>France</t>
        </is>
      </c>
      <c r="H38" s="108" t="n">
        <v>2023</v>
      </c>
      <c r="I38" s="108" t="n">
        <v>12</v>
      </c>
      <c r="J38" s="108" t="n">
        <v>45</v>
      </c>
      <c r="K38" s="305">
        <f>(I38*J38)/60</f>
        <v/>
      </c>
      <c r="L38" s="305">
        <f>I38</f>
        <v/>
      </c>
      <c r="M38" s="108" t="inlineStr">
        <is>
          <t>Crime, Drama</t>
        </is>
      </c>
      <c r="N38" s="111" t="inlineStr">
        <is>
          <t>Thriller</t>
        </is>
      </c>
      <c r="O38" s="308" t="n">
        <v>45291</v>
      </c>
      <c r="P38" s="308" t="n">
        <v>47847</v>
      </c>
      <c r="Q38" s="590" t="n">
        <v>45299</v>
      </c>
      <c r="R38" s="208" t="inlineStr">
        <is>
          <t>K+CINE</t>
        </is>
      </c>
      <c r="S38" s="108" t="inlineStr">
        <is>
          <t>Exlcusive all TV + VOD rights during LP</t>
        </is>
      </c>
      <c r="T38" s="590" t="inlineStr">
        <is>
          <t>No</t>
        </is>
      </c>
      <c r="U38" s="590" t="inlineStr">
        <is>
          <t>Yes</t>
        </is>
      </c>
      <c r="V38" s="108" t="inlineStr">
        <is>
          <t>Yes</t>
        </is>
      </c>
      <c r="W38" s="108" t="inlineStr">
        <is>
          <t>Yes</t>
        </is>
      </c>
      <c r="X38" s="108" t="inlineStr">
        <is>
          <t>Yes</t>
        </is>
      </c>
      <c r="Y38" s="108" t="inlineStr">
        <is>
          <t>Yes</t>
        </is>
      </c>
      <c r="Z38" s="108" t="inlineStr">
        <is>
          <t>Yes</t>
        </is>
      </c>
      <c r="AA38" s="108" t="inlineStr">
        <is>
          <t>Yes</t>
        </is>
      </c>
      <c r="AB38" s="108" t="inlineStr">
        <is>
          <t>No</t>
        </is>
      </c>
      <c r="AC38" s="308" t="n">
        <v>45291</v>
      </c>
      <c r="AD38" s="308" t="n">
        <v>47847</v>
      </c>
      <c r="AE38" s="108" t="inlineStr">
        <is>
          <t>Unlimited</t>
        </is>
      </c>
      <c r="AF38" s="306" t="n">
        <v>13</v>
      </c>
      <c r="AG38" s="641" t="n">
        <v>45727</v>
      </c>
      <c r="AH38" s="309" t="n"/>
      <c r="AI38" s="642" t="inlineStr">
        <is>
          <t>Yes</t>
        </is>
      </c>
      <c r="AJ38" s="642" t="inlineStr">
        <is>
          <t>Yes</t>
        </is>
      </c>
      <c r="AK38" s="307" t="n"/>
      <c r="AL38" s="590" t="inlineStr">
        <is>
          <t>Phim còn hạn từ 2026</t>
        </is>
      </c>
      <c r="AM38" s="203" t="inlineStr">
        <is>
          <t>OF MONEY AND BLOOD - SEASON 1</t>
        </is>
      </c>
      <c r="AN38" s="203" t="n"/>
      <c r="AO38" s="128">
        <f>SUMIF('TK 15661.Bản quyền phim '!F:F,'KK2. Series'!C38,'TK 15661.Bản quyền phim '!K:K)</f>
        <v/>
      </c>
      <c r="AP38" s="128">
        <f>COUNTIF('242.BQ Phim VOD'!$C$5:$C$8,'KK2. Series'!AM38)</f>
        <v/>
      </c>
      <c r="AQ38" s="128">
        <f>COUNTIF('TK 15666. Phim SX'!$C$6:$C$13,'KK2. Series'!AM38)</f>
        <v/>
      </c>
      <c r="AR38" s="203">
        <f>COUNTIF('TK 15661.Bản quyền phim '!F:F,'KK2. Series'!AM38)</f>
        <v/>
      </c>
      <c r="AS38" s="203" t="n"/>
      <c r="AT38" s="366">
        <f>SUM(AP38:AS38)</f>
        <v/>
      </c>
      <c r="AU38" s="203" t="n"/>
      <c r="AV38" s="203" t="n"/>
      <c r="AW38" s="203" t="n"/>
      <c r="AX38" s="203" t="n"/>
      <c r="AY38" s="203" t="n"/>
      <c r="AZ38" s="387" t="inlineStr">
        <is>
          <t>✓ Found</t>
        </is>
      </c>
      <c r="BB38" s="387" t="n"/>
    </row>
    <row r="39" ht="132" customHeight="1" s="578">
      <c r="A39" s="96" t="n">
        <v>33</v>
      </c>
      <c r="B39" s="97" t="inlineStr">
        <is>
          <t>SER_DRA2926	Good Partner, Ep05
SER_DRA2925	Good Partner, Ep04
SER_DRA2924	Good Partner, Ep03
SER_DRA2923	Good Partner, Ep02
SER_DRA2922	Good Partner, Ep01</t>
        </is>
      </c>
      <c r="C39" s="108" t="inlineStr">
        <is>
          <t>Good partner</t>
        </is>
      </c>
      <c r="D39" s="108" t="inlineStr">
        <is>
          <t>Cộng sự hoàn hảo</t>
        </is>
      </c>
      <c r="E39" s="108" t="inlineStr">
        <is>
          <t>Viu</t>
        </is>
      </c>
      <c r="F39" s="590" t="inlineStr">
        <is>
          <t xml:space="preserve">PCCW VUCLIP/2024/HDBQ Output deal </t>
        </is>
      </c>
      <c r="G39" s="108" t="inlineStr">
        <is>
          <t>Korea</t>
        </is>
      </c>
      <c r="H39" s="108" t="n">
        <v>2024</v>
      </c>
      <c r="I39" s="108" t="n">
        <v>16</v>
      </c>
      <c r="J39" s="108" t="n">
        <v>70</v>
      </c>
      <c r="K39" s="305">
        <f>(I39*J39)/60</f>
        <v/>
      </c>
      <c r="L39" s="305" t="n">
        <v>16</v>
      </c>
      <c r="M39" s="590" t="inlineStr">
        <is>
          <t>Law, Life, Drama</t>
        </is>
      </c>
      <c r="N39" s="108" t="inlineStr">
        <is>
          <t>Drama</t>
        </is>
      </c>
      <c r="O39" s="308" t="n">
        <v>45485</v>
      </c>
      <c r="P39" s="308" t="n">
        <v>46945</v>
      </c>
      <c r="Q39" s="590" t="n">
        <v>45485</v>
      </c>
      <c r="R39" s="590" t="inlineStr">
        <is>
          <t>K+CINE</t>
        </is>
      </c>
      <c r="S39" s="290" t="n">
        <v>48</v>
      </c>
      <c r="T39" s="108" t="inlineStr">
        <is>
          <t>Yes</t>
        </is>
      </c>
      <c r="U39" s="590" t="inlineStr">
        <is>
          <t>Yes</t>
        </is>
      </c>
      <c r="V39" s="590" t="inlineStr">
        <is>
          <t>No</t>
        </is>
      </c>
      <c r="W39" s="108" t="inlineStr">
        <is>
          <t>Yes</t>
        </is>
      </c>
      <c r="X39" s="108" t="inlineStr">
        <is>
          <t>Yes</t>
        </is>
      </c>
      <c r="Y39" s="108" t="inlineStr">
        <is>
          <t>Yes</t>
        </is>
      </c>
      <c r="Z39" s="108" t="inlineStr">
        <is>
          <t>Yes</t>
        </is>
      </c>
      <c r="AA39" s="108" t="inlineStr">
        <is>
          <t>Yes</t>
        </is>
      </c>
      <c r="AB39" s="108" t="inlineStr">
        <is>
          <t>Yes</t>
        </is>
      </c>
      <c r="AC39" s="310" t="n">
        <v>45485</v>
      </c>
      <c r="AD39" s="310" t="n">
        <v>46945</v>
      </c>
      <c r="AE39" s="108" t="inlineStr">
        <is>
          <t>Unlimited</t>
        </is>
      </c>
      <c r="AF39" s="306" t="n">
        <v>5</v>
      </c>
      <c r="AG39" s="641" t="n">
        <v>45765</v>
      </c>
      <c r="AH39" s="309" t="n"/>
      <c r="AI39" s="642" t="inlineStr">
        <is>
          <t>Yes</t>
        </is>
      </c>
      <c r="AJ39" s="642" t="inlineStr">
        <is>
          <t>Yes</t>
        </is>
      </c>
      <c r="AK39" s="307" t="inlineStr">
        <is>
          <t>Phim Song song</t>
        </is>
      </c>
      <c r="AL39" s="590" t="inlineStr">
        <is>
          <t>Phim còn hạn từ 2026</t>
        </is>
      </c>
      <c r="AM39" s="643" t="inlineStr">
        <is>
          <t>Good partner</t>
        </is>
      </c>
      <c r="AN39" s="203" t="n"/>
      <c r="AO39" s="128">
        <f>SUMIF('TK 15661.Bản quyền phim '!F:F,'KK2. Series'!C39,'TK 15661.Bản quyền phim '!K:K)</f>
        <v/>
      </c>
      <c r="AP39" s="128">
        <f>COUNTIF('242.BQ Phim VOD'!$C$5:$C$8,'KK2. Series'!AM39)</f>
        <v/>
      </c>
      <c r="AQ39" s="128">
        <f>COUNTIF('TK 15666. Phim SX'!$C$6:$C$13,'KK2. Series'!AM39)</f>
        <v/>
      </c>
      <c r="AR39" s="203">
        <f>COUNTIF('TK 15661.Bản quyền phim '!F:F,'KK2. Series'!AM39)</f>
        <v/>
      </c>
      <c r="AS39" s="203" t="n"/>
      <c r="AT39" s="366">
        <f>SUM(AP39:AS39)</f>
        <v/>
      </c>
      <c r="AU39" s="203" t="n"/>
      <c r="AV39" s="203" t="n"/>
      <c r="AW39" s="203" t="n"/>
      <c r="AX39" s="203" t="n"/>
      <c r="AY39" s="203" t="n"/>
      <c r="AZ39" s="387" t="inlineStr">
        <is>
          <t>✓ Found</t>
        </is>
      </c>
      <c r="BB39" s="387" t="n"/>
    </row>
    <row r="40" ht="409.6" customHeight="1" s="578">
      <c r="A40" s="96" t="n">
        <v>34</v>
      </c>
      <c r="B40" s="97" t="inlineStr">
        <is>
          <t>The Escape of the Seven: War for Survival – bản Voice
EP01 – SER_THR_23_2707603
EP02 – SER_THR_23_2707604
EP03 – SER_THR_23_2707605
EP04 – SER_THR_23_2707606
EP05 – SER_THR_23_2707607
EP06 – SER_THR_23_2707608
EP07 – SER_THR_23_2707609
EP08 – SER_THR_23_2707610
EP09 – SER_THR_23_2707611
EP10 – SER_THR_23_2707612
EP11 – SER_THR_23_2707613
EP12 – SER_THR_23_2707614
EP13 – SER_THR_23_2707615
EP14 – SER_THR_23_2707616
EP15 – SER_THR_23_2707617
EP16 – SER_THR_23_2707618
EP17 – SER_THR_23_2707619
EP18 – SER_THR_23_2707620
EP19 – SER_THR_23_2707621
EP20 – SER_THR_23_2707622
EP21 – SER_THR_23_2707623
EP22 – SER_THR_23_2707624
EP23 – SER_THR_23_2707625
EP24 – SER_THR_23_2707626
EP25 – SER_THR_23_2707627
EP26 – SER_THR_23_2707628
EP27 – SER_THR_23_2707629
EP28 – SER_THR_23_2707630
EP29 – SER_THR_23_2707631
EP30 – SER_THR_23_2707632
The Escape of the Seven: War for Survival S1 – bản Sub
EP01 – SER_THR_23_2703855
EP02 – SER_THR_23_2703856
EP03 – SER_THR_23_2703857
EP04 – SER_THR_23_2703858
EP05 – SER_THR_23_2703859
EP06 – SER_THR_23_2703860
EP07 – SER_THR_23_2703861
EP08 – SER_THR_23_2703862
EP09 – SER_THR_23_2703863
EP10 – SER_THR_23_2703864
EP11 – SER_THR_23_2703865
EP12 – SER_THR_23_2703866
EP13 – SER_THR_23_2703867
EP14 – SER_THR_23_2703868
EP15 – SER_THR_23_2703869
EP16 – SER_THR_23_2703870
EP17 – SER_THR_23_2703871</t>
        </is>
      </c>
      <c r="C40" s="108" t="inlineStr">
        <is>
          <t>The Escape of the Seven: War for Survival</t>
        </is>
      </c>
      <c r="D40" s="590" t="inlineStr">
        <is>
          <t>Cuộc chiến sinh tồn P1</t>
        </is>
      </c>
      <c r="E40" s="108" t="inlineStr">
        <is>
          <t xml:space="preserve">PCCW VUCLIP </t>
        </is>
      </c>
      <c r="F40" s="590" t="inlineStr">
        <is>
          <t xml:space="preserve">PCCW VUCLIP/2023/HDBQ E7 &amp; Match </t>
        </is>
      </c>
      <c r="G40" s="108" t="inlineStr">
        <is>
          <t>Korea</t>
        </is>
      </c>
      <c r="H40" s="108" t="n">
        <v>2023</v>
      </c>
      <c r="I40" s="108" t="n">
        <v>17</v>
      </c>
      <c r="J40" s="108" t="n">
        <v>70</v>
      </c>
      <c r="K40" s="449">
        <f>(I40*J40)/60</f>
        <v/>
      </c>
      <c r="L40" s="305" t="n">
        <v>30</v>
      </c>
      <c r="M40" s="108" t="inlineStr">
        <is>
          <t>Thriller, Mystery, Drama</t>
        </is>
      </c>
      <c r="N40" s="590" t="inlineStr">
        <is>
          <t>Crime, Thriller</t>
        </is>
      </c>
      <c r="O40" s="308" t="n">
        <v>45184</v>
      </c>
      <c r="P40" s="308" t="n">
        <v>46644</v>
      </c>
      <c r="Q40" s="590" t="n">
        <v>45184</v>
      </c>
      <c r="R40" s="590" t="inlineStr">
        <is>
          <t>K+CINE</t>
        </is>
      </c>
      <c r="S40" s="108" t="inlineStr">
        <is>
          <t>Exclusive All TV and All VOD Rights during LP.</t>
        </is>
      </c>
      <c r="T40" s="108" t="inlineStr">
        <is>
          <t>Yes</t>
        </is>
      </c>
      <c r="U40" s="590" t="inlineStr">
        <is>
          <t>Yes</t>
        </is>
      </c>
      <c r="V40" s="590" t="inlineStr">
        <is>
          <t>Yes</t>
        </is>
      </c>
      <c r="W40" s="590" t="inlineStr">
        <is>
          <t>Yes</t>
        </is>
      </c>
      <c r="X40" s="590" t="inlineStr">
        <is>
          <t>Yes</t>
        </is>
      </c>
      <c r="Y40" s="590" t="inlineStr">
        <is>
          <t>Yes</t>
        </is>
      </c>
      <c r="Z40" s="590" t="inlineStr">
        <is>
          <t>Yes</t>
        </is>
      </c>
      <c r="AA40" s="590" t="inlineStr">
        <is>
          <t>Yes</t>
        </is>
      </c>
      <c r="AB40" s="590" t="inlineStr">
        <is>
          <t>Yes</t>
        </is>
      </c>
      <c r="AC40" s="308" t="n">
        <v>45184</v>
      </c>
      <c r="AD40" s="308" t="n">
        <v>46644</v>
      </c>
      <c r="AE40" s="108" t="inlineStr">
        <is>
          <t>8 runs</t>
        </is>
      </c>
      <c r="AF40" s="306" t="n">
        <v>7</v>
      </c>
      <c r="AG40" s="641" t="n">
        <v>45784</v>
      </c>
      <c r="AH40" s="309" t="n"/>
      <c r="AI40" s="642" t="inlineStr">
        <is>
          <t>Yes</t>
        </is>
      </c>
      <c r="AJ40" s="642" t="inlineStr">
        <is>
          <t>Yes</t>
        </is>
      </c>
      <c r="AK40" s="307" t="inlineStr">
        <is>
          <t>Phim Song song</t>
        </is>
      </c>
      <c r="AL40" s="590" t="inlineStr">
        <is>
          <t>Phim còn hạn từ 2026</t>
        </is>
      </c>
      <c r="AM40" s="203" t="inlineStr">
        <is>
          <t>The Escape of the Seven</t>
        </is>
      </c>
      <c r="AN40" s="203" t="n"/>
      <c r="AO40" s="128">
        <f>SUMIF('TK 15661.Bản quyền phim '!F:F,'KK2. Series'!C40,'TK 15661.Bản quyền phim '!K:K)</f>
        <v/>
      </c>
      <c r="AP40" s="128">
        <f>COUNTIF('242.BQ Phim VOD'!$C$5:$C$8,'KK2. Series'!AM40)</f>
        <v/>
      </c>
      <c r="AQ40" s="128">
        <f>COUNTIF('TK 15666. Phim SX'!$C$6:$C$13,'KK2. Series'!AM40)</f>
        <v/>
      </c>
      <c r="AR40" s="203">
        <f>COUNTIF('TK 15661.Bản quyền phim '!F:F,'KK2. Series'!AM40)</f>
        <v/>
      </c>
      <c r="AS40" s="203" t="n"/>
      <c r="AT40" s="366">
        <f>SUM(AP40:AS40)</f>
        <v/>
      </c>
      <c r="AU40" s="203" t="n"/>
      <c r="AV40" s="203" t="n"/>
      <c r="AW40" s="203" t="n"/>
      <c r="AX40" s="203" t="n"/>
      <c r="AY40" s="203" t="n"/>
      <c r="AZ40" s="387" t="inlineStr">
        <is>
          <t>✓ Found</t>
        </is>
      </c>
      <c r="BB40" s="387" t="n"/>
    </row>
    <row r="41" ht="409.6" customHeight="1" s="578">
      <c r="A41" s="96" t="n">
        <v>35</v>
      </c>
      <c r="B41" s="97" t="inlineStr">
        <is>
          <t>EP01 – SER_CRI2253
EP02 – SER_CRI2254
EP03 – SER_CRI2255
EP04 – SER_CRI2256
EP05 – SER_CRI2257
EP06 – SER_CRI2258
EP07 – SER_CRI2259
EP08 – SER_CRI2260
EP09 – SER_CRI2261
EP10 – SER_CRI2262
EP11 – SER_CRI2263
EP12 – SER_CRI2264
EP13 – SER_CRI2265
EP14 – SER_CRI2266
EP15 – SER_CRI2267
EP16 – SER_CRI2268
EP17 – SER_CRI2269
EP18 – SER_CRI2270
EP19 – SER_CRI2271
EP20 – SER_CRI2272
EP21 – SER_CRI2273
EP22 – SER_CRI2274
EP23 – SER_CRI2275
EP24 – SER_CRI2276
EP25 – SER_CRI2277
EP26 – SER_CRI2278
EP27 – SER_CRI2279
EP28 – SER_CRI2280
EP29 – SER_CRI2281
EP30 – SER_CRI2282
EP31 – SER_CRI2283
EP32 – SER_CRI2284
EP33 – SER_CRI2285
EP34 – SER_CRI2286
EP35 – SER_CRI2287
EP36 – SER_CRI2288
EP37 – SER_CRI2289
EP38 – SER_CRI2290
EP39 – SER_CRI2291</t>
        </is>
      </c>
      <c r="C41" s="108" t="inlineStr">
        <is>
          <t>The Knockout</t>
        </is>
      </c>
      <c r="D41" s="590" t="inlineStr">
        <is>
          <t>Cuồng phong</t>
        </is>
      </c>
      <c r="E41" s="108" t="inlineStr">
        <is>
          <t>iQiYi</t>
        </is>
      </c>
      <c r="F41" s="590" t="inlineStr">
        <is>
          <t>32/2024/HDBQ/VSTV-IQIYI</t>
        </is>
      </c>
      <c r="G41" s="108" t="inlineStr">
        <is>
          <t>China</t>
        </is>
      </c>
      <c r="H41" s="108" t="n">
        <v>2022</v>
      </c>
      <c r="I41" s="108" t="n">
        <v>39</v>
      </c>
      <c r="J41" s="108" t="n">
        <v>45</v>
      </c>
      <c r="K41" s="305">
        <f>(I41*J41)/60</f>
        <v/>
      </c>
      <c r="L41" s="305" t="n">
        <v>39</v>
      </c>
      <c r="M41" s="108" t="inlineStr">
        <is>
          <t>Drama</t>
        </is>
      </c>
      <c r="N41" s="108" t="inlineStr">
        <is>
          <t>Drama</t>
        </is>
      </c>
      <c r="O41" s="308" t="n">
        <v>45446</v>
      </c>
      <c r="P41" s="308" t="n">
        <v>46906</v>
      </c>
      <c r="Q41" s="590" t="n">
        <v>45490</v>
      </c>
      <c r="R41" s="590" t="inlineStr">
        <is>
          <t>K+ACTION</t>
        </is>
      </c>
      <c r="S41" s="108" t="n">
        <v>12</v>
      </c>
      <c r="T41" s="108" t="inlineStr">
        <is>
          <t>No</t>
        </is>
      </c>
      <c r="U41" s="590" t="inlineStr">
        <is>
          <t>Yes</t>
        </is>
      </c>
      <c r="V41" s="108" t="inlineStr">
        <is>
          <t>Yes</t>
        </is>
      </c>
      <c r="W41" s="108" t="inlineStr">
        <is>
          <t>Yes</t>
        </is>
      </c>
      <c r="X41" s="108" t="inlineStr">
        <is>
          <t>No</t>
        </is>
      </c>
      <c r="Y41" s="108" t="inlineStr">
        <is>
          <t>Yes</t>
        </is>
      </c>
      <c r="Z41" s="108" t="inlineStr">
        <is>
          <t>No</t>
        </is>
      </c>
      <c r="AA41" s="108" t="inlineStr">
        <is>
          <t>No</t>
        </is>
      </c>
      <c r="AB41" s="108" t="inlineStr">
        <is>
          <t>Yes</t>
        </is>
      </c>
      <c r="AC41" s="308" t="n">
        <v>45446</v>
      </c>
      <c r="AD41" s="308" t="n">
        <v>46906</v>
      </c>
      <c r="AE41" s="108" t="inlineStr">
        <is>
          <t>Unlimited run</t>
        </is>
      </c>
      <c r="AF41" s="306" t="n">
        <v>3</v>
      </c>
      <c r="AG41" s="641" t="n">
        <v>45494</v>
      </c>
      <c r="AH41" s="309" t="n"/>
      <c r="AI41" s="642" t="inlineStr">
        <is>
          <t>Yes</t>
        </is>
      </c>
      <c r="AJ41" s="642" t="inlineStr">
        <is>
          <t>Yes</t>
        </is>
      </c>
      <c r="AK41" s="307" t="n"/>
      <c r="AL41" s="590" t="inlineStr">
        <is>
          <t>Phim còn hạn từ 2026</t>
        </is>
      </c>
      <c r="AM41" s="643" t="inlineStr">
        <is>
          <t>The Knockout</t>
        </is>
      </c>
      <c r="AN41" s="203" t="n"/>
      <c r="AO41" s="128">
        <f>SUMIF('TK 15661.Bản quyền phim '!F:F,'KK2. Series'!C41,'TK 15661.Bản quyền phim '!K:K)</f>
        <v/>
      </c>
      <c r="AP41" s="128">
        <f>COUNTIF('242.BQ Phim VOD'!$C$5:$C$8,'KK2. Series'!AM41)</f>
        <v/>
      </c>
      <c r="AQ41" s="128">
        <f>COUNTIF('TK 15666. Phim SX'!$C$6:$C$13,'KK2. Series'!AM41)</f>
        <v/>
      </c>
      <c r="AR41" s="203">
        <f>COUNTIF('TK 15661.Bản quyền phim '!F:F,'KK2. Series'!AM41)</f>
        <v/>
      </c>
      <c r="AS41" s="203" t="n"/>
      <c r="AT41" s="366">
        <f>SUM(AP41:AS41)</f>
        <v/>
      </c>
      <c r="AU41" s="203" t="n"/>
      <c r="AV41" s="203" t="n"/>
      <c r="AW41" s="203" t="n"/>
      <c r="AX41" s="203" t="n"/>
      <c r="AY41" s="203" t="n"/>
      <c r="AZ41" s="387" t="inlineStr">
        <is>
          <t>✓ Found</t>
        </is>
      </c>
      <c r="BB41" s="387" t="n"/>
    </row>
    <row r="42" ht="409.6" customHeight="1" s="578">
      <c r="A42" s="96" t="n">
        <v>36</v>
      </c>
      <c r="B42" s="97" t="inlineStr">
        <is>
          <t>EP01 – SER_DRA_23_2702525
EP02 – SER_DRA_23_2702526
EP03 – SER_DRA_23_2702527
EP04 – SER_DRA_23_2702528
EP05 – SER_DRA_23_2702529
EP06 – SER_DRA_23_2702530
EP07 – SER_DRA_23_2702531
EP08 – SER_DRA_23_2702532
EP09 – SER_DRA_23_2702533
EP10 – SER_DRA_23_2702534
EP11 – SER_DRA_23_2702535
EP12 – SER_DRA_23_2702536
EP13 – SER_DRA_23_2702537
EP14 – SER_DRA_23_2702538
EP15 – SER_DRA_23_2702539
EP16 – SER_DRA_23_2702540</t>
        </is>
      </c>
      <c r="C42" s="590" t="inlineStr">
        <is>
          <t>Miraculous Brothers</t>
        </is>
      </c>
      <c r="D42" s="590" t="inlineStr">
        <is>
          <t xml:space="preserve"> Huynh đệ kỳ tích</t>
        </is>
      </c>
      <c r="E42" s="590" t="inlineStr">
        <is>
          <t>SLL</t>
        </is>
      </c>
      <c r="F42" s="590" t="inlineStr">
        <is>
          <t>SLL/Miraculous Brothers</t>
        </is>
      </c>
      <c r="G42" s="590" t="inlineStr">
        <is>
          <t>Korea</t>
        </is>
      </c>
      <c r="H42" s="305" t="n">
        <v>2023</v>
      </c>
      <c r="I42" s="305" t="n">
        <v>16</v>
      </c>
      <c r="J42" s="305" t="n">
        <v>70</v>
      </c>
      <c r="K42" s="449">
        <f>(I42*J42)/60</f>
        <v/>
      </c>
      <c r="L42" s="305">
        <f>I42</f>
        <v/>
      </c>
      <c r="M42" s="590" t="inlineStr">
        <is>
          <t>Fantasy, Comedy, Mystery, Human , Investigation</t>
        </is>
      </c>
      <c r="N42" s="590" t="inlineStr">
        <is>
          <t>Crime, Thriller</t>
        </is>
      </c>
      <c r="O42" s="208" t="n">
        <v>45105</v>
      </c>
      <c r="P42" s="208" t="n">
        <v>46565</v>
      </c>
      <c r="Q42" s="208" t="n">
        <v>45105</v>
      </c>
      <c r="R42" s="590" t="inlineStr">
        <is>
          <t>K+ACTION</t>
        </is>
      </c>
      <c r="S42" s="590" t="inlineStr">
        <is>
          <t>Exclusive All TV Rights during LP.
Exclusive All VOD during first 6 months of LP. Non-exclusive All VOD Rights the remaining LP</t>
        </is>
      </c>
      <c r="T42" s="590" t="inlineStr">
        <is>
          <t>Yes</t>
        </is>
      </c>
      <c r="U42" s="590" t="inlineStr">
        <is>
          <t>Yes</t>
        </is>
      </c>
      <c r="V42" s="590" t="inlineStr">
        <is>
          <t>Yes</t>
        </is>
      </c>
      <c r="W42" s="590" t="inlineStr">
        <is>
          <t>Yes</t>
        </is>
      </c>
      <c r="X42" s="590" t="inlineStr">
        <is>
          <t>Yes</t>
        </is>
      </c>
      <c r="Y42" s="590" t="inlineStr">
        <is>
          <t>Yes</t>
        </is>
      </c>
      <c r="Z42" s="590" t="inlineStr">
        <is>
          <t>Yes</t>
        </is>
      </c>
      <c r="AA42" s="590" t="inlineStr">
        <is>
          <t>Yes</t>
        </is>
      </c>
      <c r="AB42" s="590" t="inlineStr">
        <is>
          <t>Yes</t>
        </is>
      </c>
      <c r="AC42" s="208" t="n">
        <v>45105</v>
      </c>
      <c r="AD42" s="208" t="n">
        <v>46565</v>
      </c>
      <c r="AE42" s="590" t="inlineStr">
        <is>
          <t>Unlimited</t>
        </is>
      </c>
      <c r="AF42" s="306" t="n">
        <v>9</v>
      </c>
      <c r="AG42" s="641" t="n">
        <v>45509</v>
      </c>
      <c r="AH42" s="590" t="inlineStr">
        <is>
          <t>Unlimited</t>
        </is>
      </c>
      <c r="AI42" s="642" t="inlineStr">
        <is>
          <t>Yes</t>
        </is>
      </c>
      <c r="AJ42" s="642" t="inlineStr">
        <is>
          <t>Yes</t>
        </is>
      </c>
      <c r="AK42" s="307" t="inlineStr">
        <is>
          <t>Phim Song song</t>
        </is>
      </c>
      <c r="AL42" s="590" t="inlineStr">
        <is>
          <t>Phim còn hạn từ 2026</t>
        </is>
      </c>
      <c r="AM42" s="643" t="inlineStr">
        <is>
          <t>Miraculous Brothers</t>
        </is>
      </c>
      <c r="AN42" s="203" t="n"/>
      <c r="AO42" s="128">
        <f>SUMIF('TK 15661.Bản quyền phim '!F:F,'KK2. Series'!C42,'TK 15661.Bản quyền phim '!K:K)</f>
        <v/>
      </c>
      <c r="AP42" s="128">
        <f>COUNTIF('242.BQ Phim VOD'!$C$5:$C$8,'KK2. Series'!AM42)</f>
        <v/>
      </c>
      <c r="AQ42" s="128">
        <f>COUNTIF('TK 15666. Phim SX'!$C$6:$C$13,'KK2. Series'!AM42)</f>
        <v/>
      </c>
      <c r="AR42" s="203">
        <f>COUNTIF('TK 15661.Bản quyền phim '!F:F,'KK2. Series'!AM42)</f>
        <v/>
      </c>
      <c r="AS42" s="203" t="n"/>
      <c r="AT42" s="366">
        <f>SUM(AP42:AS42)</f>
        <v/>
      </c>
      <c r="AU42" s="203" t="n"/>
      <c r="AV42" s="203" t="n"/>
      <c r="AW42" s="203" t="n"/>
      <c r="AX42" s="203" t="n"/>
      <c r="AY42" s="203" t="n"/>
      <c r="AZ42" s="387" t="inlineStr">
        <is>
          <t>✓ Found</t>
        </is>
      </c>
      <c r="BB42" s="387" t="n"/>
    </row>
    <row r="43" ht="211.2" customHeight="1" s="578">
      <c r="A43" s="96" t="n">
        <v>37</v>
      </c>
      <c r="B43" s="97" t="inlineStr">
        <is>
          <t>EP01 – SER_CRI_22_2677452
EP02 – SER_CRI_22_2677453
EP03 – SER_CRI_22_2677454
EP04 – SER_CRI_22_2677455
EP05 – SER_CRI_22_2677456
EP06 – SER_CRI_22_2677457
EP07 – SER_CRI_22_2677458
EP08 – SER_CRI_22_2677459</t>
        </is>
      </c>
      <c r="C43" s="590" t="inlineStr">
        <is>
          <t>Lake Pyar S1</t>
        </is>
      </c>
      <c r="D43" s="590" t="inlineStr">
        <is>
          <t>Nữ thanh tra  xinh đẹp</t>
        </is>
      </c>
      <c r="E43" s="590" t="inlineStr">
        <is>
          <t>Canal MM</t>
        </is>
      </c>
      <c r="F43" s="590" t="inlineStr">
        <is>
          <t>112/2022/HDBQ/VSTV-Canal MM</t>
        </is>
      </c>
      <c r="G43" s="590" t="inlineStr">
        <is>
          <t>Myanmar</t>
        </is>
      </c>
      <c r="H43" s="305" t="n">
        <v>2019</v>
      </c>
      <c r="I43" s="305" t="n">
        <v>8</v>
      </c>
      <c r="J43" s="305" t="n">
        <v>50</v>
      </c>
      <c r="K43" s="305">
        <f>(I43*J43)/60</f>
        <v/>
      </c>
      <c r="L43" s="305">
        <f>I43</f>
        <v/>
      </c>
      <c r="M43" s="590" t="inlineStr">
        <is>
          <t>Crime</t>
        </is>
      </c>
      <c r="N43" s="590" t="inlineStr">
        <is>
          <t>Crime, Thriller</t>
        </is>
      </c>
      <c r="O43" s="208" t="n">
        <v>44743</v>
      </c>
      <c r="P43" s="208" t="n">
        <v>46568</v>
      </c>
      <c r="Q43" s="208" t="n">
        <v>44802</v>
      </c>
      <c r="R43" s="208" t="inlineStr">
        <is>
          <t>K+CINE</t>
        </is>
      </c>
      <c r="S43" s="590" t="inlineStr">
        <is>
          <t xml:space="preserve">Non-Exclusive All TV Rights and All VOD Rights during LP </t>
        </is>
      </c>
      <c r="T43" s="590" t="inlineStr">
        <is>
          <t>No</t>
        </is>
      </c>
      <c r="U43" s="590" t="inlineStr">
        <is>
          <t>Yes</t>
        </is>
      </c>
      <c r="V43" s="590" t="inlineStr">
        <is>
          <t>Yes</t>
        </is>
      </c>
      <c r="W43" s="590" t="inlineStr">
        <is>
          <t>Yes</t>
        </is>
      </c>
      <c r="X43" s="590" t="inlineStr">
        <is>
          <t>Yes</t>
        </is>
      </c>
      <c r="Y43" s="590" t="inlineStr">
        <is>
          <t>Yes</t>
        </is>
      </c>
      <c r="Z43" s="590" t="inlineStr">
        <is>
          <t>Yes</t>
        </is>
      </c>
      <c r="AA43" s="590" t="inlineStr">
        <is>
          <t>Yes</t>
        </is>
      </c>
      <c r="AB43" s="590" t="inlineStr">
        <is>
          <t>Yes</t>
        </is>
      </c>
      <c r="AC43" s="208" t="n">
        <v>44743</v>
      </c>
      <c r="AD43" s="208" t="n">
        <v>46568</v>
      </c>
      <c r="AE43" s="590" t="inlineStr">
        <is>
          <t>Unlimited</t>
        </is>
      </c>
      <c r="AF43" s="306" t="n">
        <v>11</v>
      </c>
      <c r="AG43" s="641" t="n">
        <v>45513</v>
      </c>
      <c r="AH43" s="590" t="inlineStr">
        <is>
          <t>Unlimited</t>
        </is>
      </c>
      <c r="AI43" s="642" t="inlineStr">
        <is>
          <t>Yes</t>
        </is>
      </c>
      <c r="AJ43" s="642" t="inlineStr">
        <is>
          <t>Yes</t>
        </is>
      </c>
      <c r="AK43" s="307" t="n"/>
      <c r="AL43" s="590" t="inlineStr">
        <is>
          <t>Phim còn hạn từ 2026</t>
        </is>
      </c>
      <c r="AM43" s="643" t="inlineStr">
        <is>
          <t>Lake Pyar S1</t>
        </is>
      </c>
      <c r="AN43" s="203" t="n"/>
      <c r="AO43" s="128">
        <f>SUMIF('TK 15661.Bản quyền phim '!F:F,'KK2. Series'!C43,'TK 15661.Bản quyền phim '!K:K)</f>
        <v/>
      </c>
      <c r="AP43" s="128">
        <f>COUNTIF('242.BQ Phim VOD'!$C$5:$C$8,'KK2. Series'!AM43)</f>
        <v/>
      </c>
      <c r="AQ43" s="128">
        <f>COUNTIF('TK 15666. Phim SX'!$C$6:$C$13,'KK2. Series'!AM43)</f>
        <v/>
      </c>
      <c r="AR43" s="203">
        <f>COUNTIF('TK 15661.Bản quyền phim '!F:F,'KK2. Series'!AM43)</f>
        <v/>
      </c>
      <c r="AS43" s="203" t="n"/>
      <c r="AT43" s="366">
        <f>SUM(AP43:AS43)</f>
        <v/>
      </c>
      <c r="AU43" s="203" t="n"/>
      <c r="AV43" s="203" t="n"/>
      <c r="AW43" s="203" t="n"/>
      <c r="AX43" s="203" t="n"/>
      <c r="AY43" s="203" t="n"/>
      <c r="AZ43" s="387" t="inlineStr">
        <is>
          <t>✓ Found</t>
        </is>
      </c>
      <c r="BB43" s="387" t="n"/>
    </row>
    <row r="44" ht="409.6" customHeight="1" s="578">
      <c r="A44" s="96" t="n">
        <v>38</v>
      </c>
      <c r="B44" s="97" t="inlineStr">
        <is>
          <t>Perfect Family – bản Voice
EP01 – SER_THR561
EP02 – SER_THR562
EP03 – SER_THR563
EP04 – SER_THR564
EP05 – SER_THR565
EP06 – SER_THR566
EP07 – SER_THR567
EP08 – SER_THR568
EP09 – SER_THR569
EP10 – SER_THR570
EP11 – SER_THR571
EP12 – SER_THR572
EP13 – SER_THR573
EP14 – SER_THR574
EP15 – SER_THR575
EP16 – SER_THR576
EP17 – SER_THR577
EP18 – SER_THR578
Perfect Family – bản Sub
EP01 – SER_THR414
EP02 – SER_THR415
EP03 – SER_THR416
EP04 – SER_THR417
EP05 – SER_THR418
EP06 – SER_THR419
EP07 – SER_THR420
EP08 – SER_THR421
EP09 – SER_THR422
EP10 – SER_THR423
EP11 – SER_THR424
EP12 – SER_THR425</t>
        </is>
      </c>
      <c r="C44" s="108" t="inlineStr">
        <is>
          <t xml:space="preserve">Perfect Family </t>
        </is>
      </c>
      <c r="D44" s="108" t="inlineStr">
        <is>
          <t>Gia đình hoàn hảo</t>
        </is>
      </c>
      <c r="E44" s="108" t="inlineStr">
        <is>
          <t>Viu</t>
        </is>
      </c>
      <c r="F44" s="590" t="inlineStr">
        <is>
          <t xml:space="preserve">PCCW VUCLIP/2023/HDBQ E7 &amp; Match </t>
        </is>
      </c>
      <c r="G44" s="108" t="inlineStr">
        <is>
          <t>Korea</t>
        </is>
      </c>
      <c r="H44" s="108" t="n">
        <v>2024</v>
      </c>
      <c r="I44" s="108" t="n">
        <v>12</v>
      </c>
      <c r="J44" s="108" t="n">
        <v>70</v>
      </c>
      <c r="K44" s="305">
        <f>(I44*J44)/60</f>
        <v/>
      </c>
      <c r="L44" s="305" t="n">
        <v>18</v>
      </c>
      <c r="M44" s="108" t="inlineStr">
        <is>
          <t xml:space="preserve">Mystery </t>
        </is>
      </c>
      <c r="N44" s="111" t="inlineStr">
        <is>
          <t>Thriller</t>
        </is>
      </c>
      <c r="O44" s="308" t="n">
        <v>45518</v>
      </c>
      <c r="P44" s="308" t="n">
        <v>46978</v>
      </c>
      <c r="Q44" s="590" t="n">
        <v>45518</v>
      </c>
      <c r="R44" s="590" t="inlineStr">
        <is>
          <t>K+CINE</t>
        </is>
      </c>
      <c r="S44" s="590" t="n"/>
      <c r="T44" s="108" t="inlineStr">
        <is>
          <t>Yes</t>
        </is>
      </c>
      <c r="U44" s="590" t="inlineStr">
        <is>
          <t>Yes</t>
        </is>
      </c>
      <c r="V44" s="590" t="inlineStr">
        <is>
          <t>No</t>
        </is>
      </c>
      <c r="W44" s="108" t="inlineStr">
        <is>
          <t>Yes</t>
        </is>
      </c>
      <c r="X44" s="108" t="inlineStr">
        <is>
          <t>Yes</t>
        </is>
      </c>
      <c r="Y44" s="108" t="inlineStr">
        <is>
          <t>Yes</t>
        </is>
      </c>
      <c r="Z44" s="108" t="inlineStr">
        <is>
          <t>Yes</t>
        </is>
      </c>
      <c r="AA44" s="108" t="inlineStr">
        <is>
          <t>Yes</t>
        </is>
      </c>
      <c r="AB44" s="108" t="inlineStr">
        <is>
          <t>Yes</t>
        </is>
      </c>
      <c r="AC44" s="308" t="n">
        <v>45518</v>
      </c>
      <c r="AD44" s="308" t="n">
        <v>46978</v>
      </c>
      <c r="AE44" s="108" t="inlineStr">
        <is>
          <t>Unlimited run</t>
        </is>
      </c>
      <c r="AF44" s="306" t="n"/>
      <c r="AG44" s="641" t="n">
        <v>45519</v>
      </c>
      <c r="AH44" s="309" t="n"/>
      <c r="AI44" s="642" t="inlineStr">
        <is>
          <t>Yes</t>
        </is>
      </c>
      <c r="AJ44" s="642" t="inlineStr">
        <is>
          <t>Yes</t>
        </is>
      </c>
      <c r="AK44" s="307" t="inlineStr">
        <is>
          <t>Phim Song song</t>
        </is>
      </c>
      <c r="AL44" s="590" t="inlineStr">
        <is>
          <t>Phim còn hạn từ 2026</t>
        </is>
      </c>
      <c r="AM44" s="203" t="inlineStr">
        <is>
          <t>Perfect Family</t>
        </is>
      </c>
      <c r="AN44" s="203" t="n"/>
      <c r="AO44" s="128">
        <f>SUMIF('TK 15661.Bản quyền phim '!F:F,'KK2. Series'!C44,'TK 15661.Bản quyền phim '!K:K)</f>
        <v/>
      </c>
      <c r="AP44" s="128">
        <f>COUNTIF('242.BQ Phim VOD'!$C$5:$C$8,'KK2. Series'!AM44)</f>
        <v/>
      </c>
      <c r="AQ44" s="128">
        <f>COUNTIF('TK 15666. Phim SX'!$C$6:$C$13,'KK2. Series'!AM44)</f>
        <v/>
      </c>
      <c r="AR44" s="203">
        <f>COUNTIF('TK 15661.Bản quyền phim '!F:F,'KK2. Series'!AM44)</f>
        <v/>
      </c>
      <c r="AS44" s="203" t="n"/>
      <c r="AT44" s="366">
        <f>SUM(AP44:AS44)</f>
        <v/>
      </c>
      <c r="AU44" s="203" t="n"/>
      <c r="AV44" s="203" t="n"/>
      <c r="AW44" s="203" t="n"/>
      <c r="AX44" s="203" t="n"/>
      <c r="AY44" s="203" t="n"/>
      <c r="AZ44" s="387" t="inlineStr">
        <is>
          <t>✓ Found</t>
        </is>
      </c>
      <c r="BB44" s="387" t="n"/>
    </row>
    <row r="45" ht="409.6" customHeight="1" s="578">
      <c r="A45" s="96" t="n">
        <v>39</v>
      </c>
      <c r="B45" s="97" t="inlineStr">
        <is>
          <t>EP01 – SER_COS_23_2704414
EP02 – SER_COS_23_2704415
EP03 – SER_COS_23_2704416
EP04 – SER_COS_23_2704417
EP05 – SER_COS_23_2704418
EP06 – SER_COS_23_2704419
EP07 – SER_COS_23_2704420
EP08 – SER_COS_23_2704421
EP09 – SER_COS_23_2704422
EP10 – SER_COS_23_2704423
EP11 – SER_COS_23_2704424
EP12 – SER_COS_23_2704425
EP13 – SER_COS_23_2704426
EP14 – SER_COS_23_2704427
EP15 – SER_COS_23_2704428
EP16 – SER_COS_23_2704429
EP17 – SER_COS_23_2704430
EP18 – SER_COS_23_2704431
EP19 – SER_COS_23_2704432
EP20 – SER_COS_23_2704433
EP21 – SER_COS_23_2704434
EP22 – SER_COS_23_2704435
EP23 – SER_COS_23_2704436
EP24 – SER_COS_23_2704437
EP25 – SER_COS_23_2704438</t>
        </is>
      </c>
      <c r="C45" s="108" t="inlineStr">
        <is>
          <t>Faithful</t>
        </is>
      </c>
      <c r="D45" s="108" t="inlineStr">
        <is>
          <t>Cửu Nghĩa Nhân</t>
        </is>
      </c>
      <c r="E45" s="108" t="inlineStr">
        <is>
          <t>HT</t>
        </is>
      </c>
      <c r="F45" s="590" t="inlineStr">
        <is>
          <t>16/2023/HDBQ/VSTV-HT</t>
        </is>
      </c>
      <c r="G45" s="108" t="inlineStr">
        <is>
          <t>China</t>
        </is>
      </c>
      <c r="H45" s="108" t="n">
        <v>2023</v>
      </c>
      <c r="I45" s="108" t="n">
        <v>25</v>
      </c>
      <c r="J45" s="108" t="n">
        <v>45</v>
      </c>
      <c r="K45" s="305">
        <f>(I45*J45)/60</f>
        <v/>
      </c>
      <c r="L45" s="305">
        <f>I45</f>
        <v/>
      </c>
      <c r="M45" s="108" t="inlineStr">
        <is>
          <t>Costume, historical</t>
        </is>
      </c>
      <c r="N45" s="590" t="inlineStr">
        <is>
          <t>Crime, Thriller</t>
        </is>
      </c>
      <c r="O45" s="308" t="n">
        <v>45187</v>
      </c>
      <c r="P45" s="308" t="n">
        <v>46282</v>
      </c>
      <c r="Q45" s="590" t="n">
        <v>45188</v>
      </c>
      <c r="R45" s="590" t="inlineStr">
        <is>
          <t>K+ACTION</t>
        </is>
      </c>
      <c r="S45" s="108" t="inlineStr">
        <is>
          <t>Non-exclusive all  TV rights and VOD rights</t>
        </is>
      </c>
      <c r="T45" s="108" t="inlineStr">
        <is>
          <t>No</t>
        </is>
      </c>
      <c r="U45" s="590" t="inlineStr">
        <is>
          <t>Yes</t>
        </is>
      </c>
      <c r="V45" s="108" t="inlineStr">
        <is>
          <t>No</t>
        </is>
      </c>
      <c r="W45" s="108" t="inlineStr">
        <is>
          <t>Yes</t>
        </is>
      </c>
      <c r="X45" s="108" t="inlineStr">
        <is>
          <t>Yes</t>
        </is>
      </c>
      <c r="Y45" s="108" t="inlineStr">
        <is>
          <t>Yes</t>
        </is>
      </c>
      <c r="Z45" s="108" t="inlineStr">
        <is>
          <t>Yes</t>
        </is>
      </c>
      <c r="AA45" s="108" t="inlineStr">
        <is>
          <t>Yes</t>
        </is>
      </c>
      <c r="AB45" s="108" t="inlineStr">
        <is>
          <t>Yes</t>
        </is>
      </c>
      <c r="AC45" s="308" t="n">
        <v>45187</v>
      </c>
      <c r="AD45" s="308" t="n">
        <v>46282</v>
      </c>
      <c r="AE45" s="108" t="n">
        <v>6</v>
      </c>
      <c r="AF45" s="306" t="n">
        <v>2</v>
      </c>
      <c r="AG45" s="641" t="n">
        <v>45532</v>
      </c>
      <c r="AH45" s="309" t="n"/>
      <c r="AI45" s="642" t="inlineStr">
        <is>
          <t>Yes</t>
        </is>
      </c>
      <c r="AJ45" s="642" t="inlineStr">
        <is>
          <t>Yes</t>
        </is>
      </c>
      <c r="AK45" s="307" t="inlineStr">
        <is>
          <t>Phim Song song</t>
        </is>
      </c>
      <c r="AL45" s="590" t="inlineStr">
        <is>
          <t>Phim còn hạn từ 2026</t>
        </is>
      </c>
      <c r="AM45" s="203" t="n"/>
      <c r="AN45" s="203" t="n"/>
      <c r="AO45" s="128">
        <f>SUMIF('TK 15661.Bản quyền phim '!F:F,'KK2. Series'!C45,'TK 15661.Bản quyền phim '!K:K)</f>
        <v/>
      </c>
      <c r="AP45" s="128">
        <f>COUNTIF('242.BQ Phim VOD'!$C$5:$C$8,'KK2. Series'!AM45)</f>
        <v/>
      </c>
      <c r="AQ45" s="128">
        <f>COUNTIF('TK 15666. Phim SX'!$C$6:$C$13,'KK2. Series'!AM45)</f>
        <v/>
      </c>
      <c r="AR45" s="203">
        <f>COUNTIF('TK 15661.Bản quyền phim '!F:F,'KK2. Series'!AM45)</f>
        <v/>
      </c>
      <c r="AS45" s="203" t="n">
        <v>1</v>
      </c>
      <c r="AT45" s="366">
        <f>SUM(AP45:AS45)</f>
        <v/>
      </c>
      <c r="AU45" s="203" t="n"/>
      <c r="AV45" s="203" t="n"/>
      <c r="AW45" s="203" t="n"/>
      <c r="AX45" s="203" t="n"/>
      <c r="AY45" s="203" t="n"/>
      <c r="AZ45" s="387" t="inlineStr">
        <is>
          <t>✓ Found</t>
        </is>
      </c>
      <c r="BB45" s="387" t="n"/>
    </row>
    <row r="46" ht="396" customHeight="1" s="578">
      <c r="A46" s="96" t="n">
        <v>40</v>
      </c>
      <c r="B46" s="97" t="inlineStr">
        <is>
          <t>EP01 – SER_CRI_23_2699218
EP02 – SER_CRI_23_2699219
EP03 – SER_CRI_23_2699220
EP04 – SER_CRI_23_2699221
EP05 – SER_CRI_23_2699222
EP06 – SER_CRI_23_2699223
EP07 – SER_CRI_23_2699224
EP08 – SER_CRI_23_2699225
EP09 – SER_CRI_23_2699226
EP10 – SER_CRI_23_2699227
EP11 – SER_CRI_23_2699228
EP12 – SER_CRI_23_2699229
EP13 – SER_CRI_23_2699230
EP14 – SER_CRI_23_2699231
EP15 – SER_CRI_23_2699232</t>
        </is>
      </c>
      <c r="C46" s="590" t="inlineStr">
        <is>
          <t>Crime Puzzle</t>
        </is>
      </c>
      <c r="D46" s="590" t="inlineStr">
        <is>
          <t>Mảnh ghép tội phạm</t>
        </is>
      </c>
      <c r="E46" s="108" t="inlineStr">
        <is>
          <t>KT StudioGenie</t>
        </is>
      </c>
      <c r="F46" s="590" t="inlineStr">
        <is>
          <t>KT StudioGenie/Nemesis Crime Puzzle</t>
        </is>
      </c>
      <c r="G46" s="108" t="inlineStr">
        <is>
          <t>Korea</t>
        </is>
      </c>
      <c r="H46" s="108" t="n">
        <v>2021</v>
      </c>
      <c r="I46" s="108" t="n">
        <v>10</v>
      </c>
      <c r="J46" s="108" t="n">
        <v>70</v>
      </c>
      <c r="K46" s="449">
        <f>(I46*J46)/60</f>
        <v/>
      </c>
      <c r="L46" s="305" t="n">
        <v>14</v>
      </c>
      <c r="M46" s="108" t="inlineStr">
        <is>
          <t>Thriller, Mystery, Psychological, Crime</t>
        </is>
      </c>
      <c r="N46" s="590" t="inlineStr">
        <is>
          <t>Crime, Thriller</t>
        </is>
      </c>
      <c r="O46" s="308" t="n">
        <v>45107</v>
      </c>
      <c r="P46" s="308" t="n">
        <v>46933</v>
      </c>
      <c r="Q46" s="590" t="n">
        <v>45215</v>
      </c>
      <c r="R46" s="590" t="inlineStr">
        <is>
          <t>K+ACTION</t>
        </is>
      </c>
      <c r="S46" s="108" t="inlineStr">
        <is>
          <t>Exclusive All TV and All VOD Rights during LP.</t>
        </is>
      </c>
      <c r="T46" s="108" t="inlineStr">
        <is>
          <t>No</t>
        </is>
      </c>
      <c r="U46" s="590" t="inlineStr">
        <is>
          <t>Yes</t>
        </is>
      </c>
      <c r="V46" s="590" t="inlineStr">
        <is>
          <t>Yes</t>
        </is>
      </c>
      <c r="W46" s="590" t="inlineStr">
        <is>
          <t>Yes</t>
        </is>
      </c>
      <c r="X46" s="590" t="inlineStr">
        <is>
          <t>Yes</t>
        </is>
      </c>
      <c r="Y46" s="590" t="inlineStr">
        <is>
          <t>Yes</t>
        </is>
      </c>
      <c r="Z46" s="590" t="inlineStr">
        <is>
          <t>Yes</t>
        </is>
      </c>
      <c r="AA46" s="590" t="inlineStr">
        <is>
          <t>Yes</t>
        </is>
      </c>
      <c r="AB46" s="590" t="inlineStr">
        <is>
          <t>Yes</t>
        </is>
      </c>
      <c r="AC46" s="308" t="n">
        <v>45107</v>
      </c>
      <c r="AD46" s="308" t="n">
        <v>46933</v>
      </c>
      <c r="AE46" s="108" t="inlineStr">
        <is>
          <t>Unlimited</t>
        </is>
      </c>
      <c r="AF46" s="306" t="n">
        <v>8</v>
      </c>
      <c r="AG46" s="641" t="n">
        <v>45533</v>
      </c>
      <c r="AH46" s="108" t="inlineStr">
        <is>
          <t>Unlimited</t>
        </is>
      </c>
      <c r="AI46" s="642" t="inlineStr">
        <is>
          <t>Yes</t>
        </is>
      </c>
      <c r="AJ46" s="642" t="inlineStr">
        <is>
          <t>Yes</t>
        </is>
      </c>
      <c r="AK46" s="307" t="n"/>
      <c r="AL46" s="590" t="inlineStr">
        <is>
          <t>Phim còn hạn từ 2026</t>
        </is>
      </c>
      <c r="AM46" s="643" t="inlineStr">
        <is>
          <t>Crime Puzzle</t>
        </is>
      </c>
      <c r="AN46" s="203" t="n"/>
      <c r="AO46" s="128">
        <f>SUMIF('TK 15661.Bản quyền phim '!F:F,'KK2. Series'!C46,'TK 15661.Bản quyền phim '!K:K)</f>
        <v/>
      </c>
      <c r="AP46" s="128">
        <f>COUNTIF('242.BQ Phim VOD'!$C$5:$C$8,'KK2. Series'!AM46)</f>
        <v/>
      </c>
      <c r="AQ46" s="128">
        <f>COUNTIF('TK 15666. Phim SX'!$C$6:$C$13,'KK2. Series'!AM46)</f>
        <v/>
      </c>
      <c r="AR46" s="203">
        <f>COUNTIF('TK 15661.Bản quyền phim '!F:F,'KK2. Series'!AM46)</f>
        <v/>
      </c>
      <c r="AS46" s="203" t="n"/>
      <c r="AT46" s="366">
        <f>SUM(AP46:AS46)</f>
        <v/>
      </c>
      <c r="AU46" s="203" t="n"/>
      <c r="AV46" s="203" t="n"/>
      <c r="AW46" s="203" t="n"/>
      <c r="AX46" s="203" t="n"/>
      <c r="AY46" s="203" t="n"/>
      <c r="AZ46" s="387" t="inlineStr">
        <is>
          <t>✓ Found</t>
        </is>
      </c>
      <c r="BB46" s="387" t="n"/>
    </row>
    <row r="47" ht="211.2" customHeight="1" s="578">
      <c r="A47" s="96" t="n">
        <v>41</v>
      </c>
      <c r="B47" s="97" t="inlineStr">
        <is>
          <t>EP01 – SER_CRI_22_2678536
EP02 – SER_CRI_22_2678537
EP03 – SER_CRI_22_2678538
EP04 – SER_CRI_22_2678539
EP05 – SER_CRI_22_2678540
EP06 – SER_CRI_22_2678541
EP07 – SER_CRI_22_2678542
EP08 – SER_CRI_22_2678543</t>
        </is>
      </c>
      <c r="C47" s="590" t="inlineStr">
        <is>
          <t>Lake Pyar S2</t>
        </is>
      </c>
      <c r="D47" s="590" t="inlineStr">
        <is>
          <t>Nữ thanh tra  xinh đẹp</t>
        </is>
      </c>
      <c r="E47" s="590" t="inlineStr">
        <is>
          <t>Canal MM</t>
        </is>
      </c>
      <c r="F47" s="590" t="inlineStr">
        <is>
          <t>112/2022/HDBQ/VSTV-Canal MM</t>
        </is>
      </c>
      <c r="G47" s="590" t="inlineStr">
        <is>
          <t>Myanmar</t>
        </is>
      </c>
      <c r="H47" s="305" t="n">
        <v>2019</v>
      </c>
      <c r="I47" s="305" t="n">
        <v>8</v>
      </c>
      <c r="J47" s="305" t="n">
        <v>50</v>
      </c>
      <c r="K47" s="305">
        <f>(I47*J47)/60</f>
        <v/>
      </c>
      <c r="L47" s="305">
        <f>I47</f>
        <v/>
      </c>
      <c r="M47" s="590" t="inlineStr">
        <is>
          <t>Crime</t>
        </is>
      </c>
      <c r="N47" s="590" t="inlineStr">
        <is>
          <t>Crime, Thriller</t>
        </is>
      </c>
      <c r="O47" s="208" t="n">
        <v>44743</v>
      </c>
      <c r="P47" s="208" t="n">
        <v>46568</v>
      </c>
      <c r="Q47" s="208" t="n">
        <v>44830</v>
      </c>
      <c r="R47" s="208" t="inlineStr">
        <is>
          <t>K+CINE</t>
        </is>
      </c>
      <c r="S47" s="590" t="inlineStr">
        <is>
          <t xml:space="preserve">Non-Exclusive All TV Rights and All VOD Rights during LP </t>
        </is>
      </c>
      <c r="T47" s="590" t="inlineStr">
        <is>
          <t>No</t>
        </is>
      </c>
      <c r="U47" s="590" t="inlineStr">
        <is>
          <t>Yes</t>
        </is>
      </c>
      <c r="V47" s="590" t="inlineStr">
        <is>
          <t>Yes</t>
        </is>
      </c>
      <c r="W47" s="590" t="inlineStr">
        <is>
          <t>Yes</t>
        </is>
      </c>
      <c r="X47" s="590" t="inlineStr">
        <is>
          <t>Yes</t>
        </is>
      </c>
      <c r="Y47" s="590" t="inlineStr">
        <is>
          <t>Yes</t>
        </is>
      </c>
      <c r="Z47" s="590" t="inlineStr">
        <is>
          <t>Yes</t>
        </is>
      </c>
      <c r="AA47" s="590" t="inlineStr">
        <is>
          <t>Yes</t>
        </is>
      </c>
      <c r="AB47" s="590" t="inlineStr">
        <is>
          <t>Yes</t>
        </is>
      </c>
      <c r="AC47" s="208" t="n">
        <v>44743</v>
      </c>
      <c r="AD47" s="208" t="n">
        <v>46568</v>
      </c>
      <c r="AE47" s="590" t="inlineStr">
        <is>
          <t>Unlimited</t>
        </is>
      </c>
      <c r="AF47" s="306" t="n">
        <v>10</v>
      </c>
      <c r="AG47" s="641" t="n">
        <v>45545</v>
      </c>
      <c r="AH47" s="590" t="inlineStr">
        <is>
          <t>Unlimited</t>
        </is>
      </c>
      <c r="AI47" s="642" t="inlineStr">
        <is>
          <t>Yes</t>
        </is>
      </c>
      <c r="AJ47" s="642" t="inlineStr">
        <is>
          <t>Yes</t>
        </is>
      </c>
      <c r="AK47" s="307" t="n"/>
      <c r="AL47" s="590" t="inlineStr">
        <is>
          <t>Phim còn hạn từ 2026</t>
        </is>
      </c>
      <c r="AM47" s="643" t="inlineStr">
        <is>
          <t>Lake Pyar S2</t>
        </is>
      </c>
      <c r="AN47" s="203" t="n"/>
      <c r="AO47" s="128">
        <f>SUMIF('TK 15661.Bản quyền phim '!F:F,'KK2. Series'!C47,'TK 15661.Bản quyền phim '!K:K)</f>
        <v/>
      </c>
      <c r="AP47" s="128">
        <f>COUNTIF('242.BQ Phim VOD'!$C$5:$C$8,'KK2. Series'!AM47)</f>
        <v/>
      </c>
      <c r="AQ47" s="128">
        <f>COUNTIF('TK 15666. Phim SX'!$C$6:$C$13,'KK2. Series'!AM47)</f>
        <v/>
      </c>
      <c r="AR47" s="203">
        <f>COUNTIF('TK 15661.Bản quyền phim '!F:F,'KK2. Series'!AM47)</f>
        <v/>
      </c>
      <c r="AS47" s="203" t="n"/>
      <c r="AT47" s="366">
        <f>SUM(AP47:AS47)</f>
        <v/>
      </c>
      <c r="AU47" s="203" t="n"/>
      <c r="AV47" s="203" t="n"/>
      <c r="AW47" s="203" t="n"/>
      <c r="AX47" s="203" t="n"/>
      <c r="AY47" s="203" t="n"/>
      <c r="AZ47" s="387" t="inlineStr">
        <is>
          <t>✓ Found</t>
        </is>
      </c>
      <c r="BB47" s="387" t="n"/>
    </row>
    <row r="48" ht="409.6" customHeight="1" s="578">
      <c r="A48" s="96" t="n">
        <v>42</v>
      </c>
      <c r="B48" s="97" t="inlineStr">
        <is>
          <t>EP01 – SER_CRI_24_2710627
EP02 – SER_CRI_24_2710628
EP03 – SER_CRI_24_2710629
EP04 – SER_CRI_24_2710630
EP05 – SER_CRI_24_2710631
EP06 – SER_CRI_24_2710632
EP07 – SER_CRI_24_2710633
EP08 – SER_CRI_24_2710634
EP09 – SER_CRI_24_2710635
EP10 – SER_CRI_24_2710636
EP11 – SER_CRI_24_2710637
EP12 – SER_CRI_24_2710638
EP13 – SER_CRI_24_2710639
EP14 – SER_CRI_24_2710640
EP15 – SER_CRI_24_2710641
EP16 – SER_CRI_24_2710642
EP17 – SER_CRI_24_2710643
EP18 – SER_CRI_24_2710644
EP19 – SER_CRI_24_2710645
EP20 – SER_CRI_24_2710646
EP21 – SER_CRI_24_2710647
EP22 – SER_CRI_24_2710648
EP23 – SER_CRI_24_2710649
EP24 – SER_CRI_24_2710650
EP25 – SER_CRI_24_2710651
EP26 – SER_CRI_24_2710652
EP27 – SER_CRI_24_2710653
EP28 – SER_CRI_24_2710654
EP29 – SER_CRI_24_2710655
EP30 – SER_CRI_24_2710656
EP31 – SER_CRI_24_2710657</t>
        </is>
      </c>
      <c r="C48" s="108" t="inlineStr">
        <is>
          <t>The Mask</t>
        </is>
      </c>
      <c r="D48" s="590" t="inlineStr">
        <is>
          <t xml:space="preserve">Dã Bình Phàm: Điệp vụ sinh tử </t>
        </is>
      </c>
      <c r="E48" s="108" t="inlineStr">
        <is>
          <t>Y&amp;K</t>
        </is>
      </c>
      <c r="F48" s="590" t="inlineStr">
        <is>
          <t>10A/2024/HDBQ/VSTV-Y&amp;K</t>
        </is>
      </c>
      <c r="G48" s="108" t="inlineStr">
        <is>
          <t>China</t>
        </is>
      </c>
      <c r="H48" s="108" t="n">
        <v>2021</v>
      </c>
      <c r="I48" s="108" t="n">
        <v>31</v>
      </c>
      <c r="J48" s="108" t="n">
        <v>45</v>
      </c>
      <c r="K48" s="305">
        <f>(I48*J48)/60</f>
        <v/>
      </c>
      <c r="L48" s="305">
        <f>I48</f>
        <v/>
      </c>
      <c r="M48" s="108" t="inlineStr">
        <is>
          <t>Action, Investigation, Drama</t>
        </is>
      </c>
      <c r="N48" s="590" t="inlineStr">
        <is>
          <t>Action</t>
        </is>
      </c>
      <c r="O48" s="308" t="n">
        <v>45322</v>
      </c>
      <c r="P48" s="308" t="n">
        <v>46417</v>
      </c>
      <c r="Q48" s="590" t="n">
        <v>45422</v>
      </c>
      <c r="R48" s="590" t="inlineStr">
        <is>
          <t>K+ACTION</t>
        </is>
      </c>
      <c r="S48" s="108" t="inlineStr">
        <is>
          <t>9 months from 18 Mar'24</t>
        </is>
      </c>
      <c r="T48" s="108" t="inlineStr">
        <is>
          <t>No</t>
        </is>
      </c>
      <c r="U48" s="590" t="inlineStr">
        <is>
          <t>Yes</t>
        </is>
      </c>
      <c r="V48" s="108" t="inlineStr">
        <is>
          <t>Yes</t>
        </is>
      </c>
      <c r="W48" s="108" t="inlineStr">
        <is>
          <t>Yes</t>
        </is>
      </c>
      <c r="X48" s="108" t="inlineStr">
        <is>
          <t>Yes</t>
        </is>
      </c>
      <c r="Y48" s="108" t="inlineStr">
        <is>
          <t>Yes</t>
        </is>
      </c>
      <c r="Z48" s="108" t="inlineStr">
        <is>
          <t>Yes</t>
        </is>
      </c>
      <c r="AA48" s="590" t="inlineStr">
        <is>
          <t>No</t>
        </is>
      </c>
      <c r="AB48" s="590" t="inlineStr">
        <is>
          <t>No</t>
        </is>
      </c>
      <c r="AC48" s="308" t="n">
        <v>45322</v>
      </c>
      <c r="AD48" s="308" t="n">
        <v>46417</v>
      </c>
      <c r="AE48" s="108" t="inlineStr">
        <is>
          <t>Unlimited run</t>
        </is>
      </c>
      <c r="AF48" s="306" t="n">
        <v>10</v>
      </c>
      <c r="AG48" s="641" t="n">
        <v>45741</v>
      </c>
      <c r="AH48" s="309" t="n"/>
      <c r="AI48" s="642" t="inlineStr">
        <is>
          <t>Yes</t>
        </is>
      </c>
      <c r="AJ48" s="642" t="inlineStr">
        <is>
          <t>Yes</t>
        </is>
      </c>
      <c r="AK48" s="307" t="n"/>
      <c r="AL48" s="590" t="inlineStr">
        <is>
          <t>Phim còn hạn từ 2026</t>
        </is>
      </c>
      <c r="AM48" s="203" t="inlineStr">
        <is>
          <t>The Mask (Dã bình phàm: Điệp vụ sinh tử)</t>
        </is>
      </c>
      <c r="AN48" s="203" t="n"/>
      <c r="AO48" s="128">
        <f>SUMIF('TK 15661.Bản quyền phim '!F:F,'KK2. Series'!C48,'TK 15661.Bản quyền phim '!K:K)</f>
        <v/>
      </c>
      <c r="AP48" s="128">
        <f>COUNTIF('242.BQ Phim VOD'!$C$5:$C$8,'KK2. Series'!AM48)</f>
        <v/>
      </c>
      <c r="AQ48" s="128">
        <f>COUNTIF('TK 15666. Phim SX'!$C$6:$C$13,'KK2. Series'!AM48)</f>
        <v/>
      </c>
      <c r="AR48" s="203">
        <f>COUNTIF('TK 15661.Bản quyền phim '!F:F,'KK2. Series'!AM48)</f>
        <v/>
      </c>
      <c r="AS48" s="203" t="n"/>
      <c r="AT48" s="366">
        <f>SUM(AP48:AS48)</f>
        <v/>
      </c>
      <c r="AU48" s="203" t="n"/>
      <c r="AV48" s="203" t="n"/>
      <c r="AW48" s="203" t="n"/>
      <c r="AX48" s="203" t="n"/>
      <c r="AY48" s="203" t="n"/>
      <c r="AZ48" s="387" t="inlineStr">
        <is>
          <t>✓ Found</t>
        </is>
      </c>
      <c r="BB48" s="387" t="n"/>
    </row>
    <row r="49" ht="316.8" customHeight="1" s="578">
      <c r="A49" s="96" t="n">
        <v>43</v>
      </c>
      <c r="B49" s="97" t="inlineStr">
        <is>
          <t>EP01 – SER_THR364
EP02 – SER_THR365
EP03 – SER_THR366
EP04 – SER_THR367
EP05 – SER_THR368
EP06 – SER_THR369
EP07 – SER_THR370
EP08 – SER_THR371
EP09 – SER_THR372
EP10 – SER_THR373
EP11 – SER_THR374
EP12 – SER_THR375
EP13 – SER_THR376
EP14 – SER_THR377
EP15 – SER_THR378
EP16 – SER_THR379
EP17 – SER_THR380
EP18 – SER_THR381
EP19 – SER_THR382
EP20 – SER_THR383
EP21 – SER_THR384
EP22 – SER_THR385
EP23 – SER_THR386
EP24 – SER_THR387</t>
        </is>
      </c>
      <c r="C49" s="108" t="inlineStr">
        <is>
          <t>Chimera</t>
        </is>
      </c>
      <c r="D49" s="590" t="inlineStr">
        <is>
          <t>Quái vật Chimera</t>
        </is>
      </c>
      <c r="E49" s="108" t="inlineStr">
        <is>
          <t>CJ ENM</t>
        </is>
      </c>
      <c r="F49" s="590" t="inlineStr">
        <is>
          <t>CJ ENM/Blind Hapiness Chimera Missing</t>
        </is>
      </c>
      <c r="G49" s="108" t="inlineStr">
        <is>
          <t>Korea</t>
        </is>
      </c>
      <c r="H49" s="108" t="n">
        <v>2021</v>
      </c>
      <c r="I49" s="108" t="n">
        <v>16</v>
      </c>
      <c r="J49" s="108" t="n">
        <v>60</v>
      </c>
      <c r="K49" s="305">
        <f>(I49*J49)/60</f>
        <v/>
      </c>
      <c r="L49" s="305" t="n">
        <v>24</v>
      </c>
      <c r="M49" s="108" t="inlineStr">
        <is>
          <t>Thriller</t>
        </is>
      </c>
      <c r="N49" s="108" t="inlineStr">
        <is>
          <t>Thriller</t>
        </is>
      </c>
      <c r="O49" s="308" t="n">
        <v>45412</v>
      </c>
      <c r="P49" s="308" t="n">
        <v>46506</v>
      </c>
      <c r="Q49" s="590" t="n">
        <v>45545</v>
      </c>
      <c r="R49" s="590" t="inlineStr">
        <is>
          <t>K+ACTION</t>
        </is>
      </c>
      <c r="S49" s="108" t="inlineStr">
        <is>
          <t>Non exclusive</t>
        </is>
      </c>
      <c r="T49" s="108" t="inlineStr">
        <is>
          <t>No</t>
        </is>
      </c>
      <c r="U49" s="590" t="inlineStr">
        <is>
          <t>Yes</t>
        </is>
      </c>
      <c r="V49" s="108" t="inlineStr">
        <is>
          <t>Yes</t>
        </is>
      </c>
      <c r="W49" s="108" t="inlineStr">
        <is>
          <t>Yes</t>
        </is>
      </c>
      <c r="X49" s="108" t="inlineStr">
        <is>
          <t>Yes</t>
        </is>
      </c>
      <c r="Y49" s="108" t="inlineStr">
        <is>
          <t>Yes</t>
        </is>
      </c>
      <c r="Z49" s="108" t="inlineStr">
        <is>
          <t>Yes</t>
        </is>
      </c>
      <c r="AA49" s="108" t="inlineStr">
        <is>
          <t>Yes</t>
        </is>
      </c>
      <c r="AB49" s="108" t="inlineStr">
        <is>
          <t>No</t>
        </is>
      </c>
      <c r="AC49" s="308" t="n">
        <v>45412</v>
      </c>
      <c r="AD49" s="308" t="n">
        <v>46506</v>
      </c>
      <c r="AE49" s="108" t="inlineStr">
        <is>
          <t>Unlimited run</t>
        </is>
      </c>
      <c r="AF49" s="306" t="n">
        <v>4</v>
      </c>
      <c r="AG49" s="641" t="n">
        <v>45551</v>
      </c>
      <c r="AH49" s="309" t="n"/>
      <c r="AI49" s="642" t="inlineStr">
        <is>
          <t>Yes</t>
        </is>
      </c>
      <c r="AJ49" s="642" t="inlineStr">
        <is>
          <t>Yes</t>
        </is>
      </c>
      <c r="AK49" s="307" t="n"/>
      <c r="AL49" s="590" t="inlineStr">
        <is>
          <t>Phim còn hạn từ 2026</t>
        </is>
      </c>
      <c r="AM49" s="643" t="inlineStr">
        <is>
          <t>Chimera</t>
        </is>
      </c>
      <c r="AN49" s="203" t="n"/>
      <c r="AO49" s="128">
        <f>SUMIF('TK 15661.Bản quyền phim '!F:F,'KK2. Series'!C49,'TK 15661.Bản quyền phim '!K:K)</f>
        <v/>
      </c>
      <c r="AP49" s="128">
        <f>COUNTIF('242.BQ Phim VOD'!$C$5:$C$8,'KK2. Series'!AM49)</f>
        <v/>
      </c>
      <c r="AQ49" s="128">
        <f>COUNTIF('TK 15666. Phim SX'!$C$6:$C$13,'KK2. Series'!AM49)</f>
        <v/>
      </c>
      <c r="AR49" s="203">
        <f>COUNTIF('TK 15661.Bản quyền phim '!F:F,'KK2. Series'!AM49)</f>
        <v/>
      </c>
      <c r="AS49" s="203" t="n"/>
      <c r="AT49" s="366">
        <f>SUM(AP49:AS49)</f>
        <v/>
      </c>
      <c r="AU49" s="203" t="n"/>
      <c r="AV49" s="203" t="n"/>
      <c r="AW49" s="203" t="n"/>
      <c r="AX49" s="203" t="n"/>
      <c r="AY49" s="203" t="n"/>
      <c r="AZ49" s="387" t="inlineStr">
        <is>
          <t>✓ Found</t>
        </is>
      </c>
      <c r="BB49" s="387" t="n"/>
    </row>
    <row r="50" ht="409.6" customHeight="1" s="578">
      <c r="A50" s="96" t="n">
        <v>44</v>
      </c>
      <c r="B50" s="97" t="inlineStr">
        <is>
          <t>the matchmakers – bản Sub
EP01 – SER_COS_23_2706370
EP02 – SER_COS_23_2706371
EP03 – SER_COS_23_2706372
EP04 – SER_COS_23_2706373
EP05 – SER_COS_23_2706374
EP06 – SER_COS_23_2706375
EP07 – SER_COS_23_2706376
EP08 – SER_COS_23_2706377
EP09 – SER_COS_23_2706378
EP10 – SER_COS_23_2706379
EP11 – SER_COS_23_2706380
EP12 – SER_COS_23_2706381
EP13 – SER_COS_23_2706382
EP14 – SER_COS_23_2706383
EP15 – SER_COS_23_2706384
EP16 – SER_COS_23_2706385
the matchmakers – bản Voice
EP01 – SER_COS_23_2707633
EP02 – SER_COS_23_2707634
EP03 – SER_COS_23_2707635
EP04 – SER_COS_23_2707636
EP05 – SER_COS_23_2707637
EP06 – SER_COS_23_2707638
EP07 – SER_COS_23_2707639
EP08 – SER_COS_23_2707640
EP09 – SER_COS_23_2707641
EP10 – SER_COS_23_2707642
EP11 – SER_COS_23_2707643
EP12 – SER_COS_23_2707644
EP13 – SER_COS_23_2707645
EP14 – SER_COS_23_2707646
EP15 – SER_COS_23_2707647
EP16 – SER_COS_23_2707648
EP17 – SER_COS_23_2707649
EP18 – SER_COS_23_2707650
EP19 – SER_COS_23_2707651
EP20 – SER_COS_23_2707652
EP21 – SER_COS_23_2707653
EP22 – SER_COS_23_2707654
EP23 – SER_COS_23_2707655
EP24 – SER_COS_23_2707656</t>
        </is>
      </c>
      <c r="C50" s="108" t="inlineStr">
        <is>
          <t xml:space="preserve">The Matchmakers </t>
        </is>
      </c>
      <c r="D50" s="590" t="inlineStr">
        <is>
          <t>Hôn Lễ Đại Chiến</t>
        </is>
      </c>
      <c r="E50" s="108" t="inlineStr">
        <is>
          <t xml:space="preserve">PCCW VUCLIP </t>
        </is>
      </c>
      <c r="F50" s="590" t="inlineStr">
        <is>
          <t xml:space="preserve">PCCW VUCLIP/2023/HDBQ E7 &amp; Match </t>
        </is>
      </c>
      <c r="G50" s="108" t="inlineStr">
        <is>
          <t>Korea</t>
        </is>
      </c>
      <c r="H50" s="108" t="n">
        <v>2023</v>
      </c>
      <c r="I50" s="108" t="n">
        <v>16</v>
      </c>
      <c r="J50" s="108" t="n">
        <v>70</v>
      </c>
      <c r="K50" s="449">
        <f>(I50*J50)/60</f>
        <v/>
      </c>
      <c r="L50" s="305" t="n">
        <v>24</v>
      </c>
      <c r="M50" s="108" t="inlineStr">
        <is>
          <t>Historical, Romance, Comedy</t>
        </is>
      </c>
      <c r="N50" s="590" t="inlineStr">
        <is>
          <t>Romance</t>
        </is>
      </c>
      <c r="O50" s="308" t="n">
        <v>45229</v>
      </c>
      <c r="P50" s="308" t="n">
        <v>46689</v>
      </c>
      <c r="Q50" s="590" t="n">
        <v>45229</v>
      </c>
      <c r="R50" s="590" t="inlineStr">
        <is>
          <t>K+CINE</t>
        </is>
      </c>
      <c r="S50" s="108" t="inlineStr">
        <is>
          <t>Exclusive All TV and All VOD Rights during LP.</t>
        </is>
      </c>
      <c r="T50" s="108" t="inlineStr">
        <is>
          <t>Yes</t>
        </is>
      </c>
      <c r="U50" s="590" t="inlineStr">
        <is>
          <t>Yes</t>
        </is>
      </c>
      <c r="V50" s="108" t="inlineStr">
        <is>
          <t>Yes</t>
        </is>
      </c>
      <c r="W50" s="108" t="inlineStr">
        <is>
          <t>Yes</t>
        </is>
      </c>
      <c r="X50" s="108" t="inlineStr">
        <is>
          <t>Yes</t>
        </is>
      </c>
      <c r="Y50" s="108" t="inlineStr">
        <is>
          <t>Yes</t>
        </is>
      </c>
      <c r="Z50" s="108" t="inlineStr">
        <is>
          <t>Yes</t>
        </is>
      </c>
      <c r="AA50" s="108" t="inlineStr">
        <is>
          <t>Yes</t>
        </is>
      </c>
      <c r="AB50" s="108" t="inlineStr">
        <is>
          <t>Yes</t>
        </is>
      </c>
      <c r="AC50" s="308" t="n">
        <v>45229</v>
      </c>
      <c r="AD50" s="308" t="n">
        <v>46689</v>
      </c>
      <c r="AE50" s="108" t="inlineStr">
        <is>
          <t>8 runs</t>
        </is>
      </c>
      <c r="AF50" s="306" t="n"/>
      <c r="AG50" s="641" t="n"/>
      <c r="AH50" s="309" t="n"/>
      <c r="AI50" s="642" t="inlineStr">
        <is>
          <t>Yes</t>
        </is>
      </c>
      <c r="AJ50" s="642" t="inlineStr">
        <is>
          <t>Yes</t>
        </is>
      </c>
      <c r="AK50" s="307" t="inlineStr">
        <is>
          <t>Phim Song song</t>
        </is>
      </c>
      <c r="AL50" s="590" t="inlineStr">
        <is>
          <t>Phim còn hạn từ 2026</t>
        </is>
      </c>
      <c r="AM50" s="203" t="inlineStr">
        <is>
          <t>The Matchmakers</t>
        </is>
      </c>
      <c r="AN50" s="203" t="n"/>
      <c r="AO50" s="128">
        <f>SUMIF('TK 15661.Bản quyền phim '!F:F,'KK2. Series'!C50,'TK 15661.Bản quyền phim '!K:K)</f>
        <v/>
      </c>
      <c r="AP50" s="128">
        <f>COUNTIF('242.BQ Phim VOD'!$C$5:$C$8,'KK2. Series'!AM50)</f>
        <v/>
      </c>
      <c r="AQ50" s="128">
        <f>COUNTIF('TK 15666. Phim SX'!$C$6:$C$13,'KK2. Series'!AM50)</f>
        <v/>
      </c>
      <c r="AR50" s="203">
        <f>COUNTIF('TK 15661.Bản quyền phim '!F:F,'KK2. Series'!AM50)</f>
        <v/>
      </c>
      <c r="AS50" s="203" t="n"/>
      <c r="AT50" s="366">
        <f>SUM(AP50:AS50)</f>
        <v/>
      </c>
      <c r="AU50" s="203" t="n"/>
      <c r="AV50" s="203" t="n"/>
      <c r="AW50" s="203" t="n"/>
      <c r="AX50" s="203" t="n"/>
      <c r="AY50" s="203" t="n"/>
      <c r="AZ50" s="387" t="inlineStr">
        <is>
          <t>✓ Found</t>
        </is>
      </c>
      <c r="BB50" s="387" t="n"/>
    </row>
    <row r="51" ht="409.6" customHeight="1" s="578">
      <c r="A51" s="96" t="n">
        <v>45</v>
      </c>
      <c r="B51" s="97" t="inlineStr">
        <is>
          <t>EP01 – SER_ROM_24_2713503
EP02 – SER_ROM_24_2713504
EP03 – SER_ROM_24_2713505
EP04 – SER_ROM_24_2713506
EP05 – SER_ROM_24_2713507
EP06 – SER_ROM_24_2713508
EP07 – SER_ROM_24_2713509
EP08 – SER_ROM_24_2713510
EP09 – SER_ROM_24_2713511
EP10 – SER_ROM_24_2713512
EP11 – SER_ROM_24_2713513
EP12 – SER_ROM_24_2713514
EP13 – SER_ROM_24_2713515
EP14 – SER_ROM_24_2713516
EP15 – SER_ROM_24_2713517
EP16 – SER_ROM_24_2713518</t>
        </is>
      </c>
      <c r="C51" s="108" t="inlineStr">
        <is>
          <t>Now, We Are Breaking Up</t>
        </is>
      </c>
      <c r="D51" s="590" t="inlineStr">
        <is>
          <t>Giờ mình chia tay</t>
        </is>
      </c>
      <c r="E51" s="108" t="inlineStr">
        <is>
          <t>Viu</t>
        </is>
      </c>
      <c r="F51" s="590" t="inlineStr">
        <is>
          <t xml:space="preserve">PCCW VUCLIP/2024/HDBQ Output deal </t>
        </is>
      </c>
      <c r="G51" s="108" t="inlineStr">
        <is>
          <t>Korea</t>
        </is>
      </c>
      <c r="H51" s="289" t="n">
        <v>2021</v>
      </c>
      <c r="I51" s="108" t="n">
        <v>16</v>
      </c>
      <c r="J51" s="108" t="n">
        <v>70</v>
      </c>
      <c r="K51" s="449">
        <f>(I51*J51)/60</f>
        <v/>
      </c>
      <c r="L51" s="305" t="n">
        <v>16</v>
      </c>
      <c r="M51" s="108" t="inlineStr">
        <is>
          <t>Romance, Drama</t>
        </is>
      </c>
      <c r="N51" s="108" t="inlineStr">
        <is>
          <t>Romance, Drama</t>
        </is>
      </c>
      <c r="O51" s="590" t="n"/>
      <c r="P51" s="590" t="inlineStr">
        <is>
          <t>VOD only</t>
        </is>
      </c>
      <c r="Q51" s="590" t="n">
        <v>45474</v>
      </c>
      <c r="R51" s="590" t="n"/>
      <c r="S51" s="590" t="n"/>
      <c r="T51" s="108" t="inlineStr">
        <is>
          <t>No</t>
        </is>
      </c>
      <c r="U51" s="590" t="inlineStr">
        <is>
          <t>Yes</t>
        </is>
      </c>
      <c r="V51" s="590" t="inlineStr">
        <is>
          <t>No</t>
        </is>
      </c>
      <c r="W51" s="290" t="inlineStr">
        <is>
          <t>Yes</t>
        </is>
      </c>
      <c r="X51" s="290" t="inlineStr">
        <is>
          <t>Yes</t>
        </is>
      </c>
      <c r="Y51" s="290" t="inlineStr">
        <is>
          <t>Yes</t>
        </is>
      </c>
      <c r="Z51" s="290" t="inlineStr">
        <is>
          <t>Yes</t>
        </is>
      </c>
      <c r="AA51" s="290" t="inlineStr">
        <is>
          <t>Yes</t>
        </is>
      </c>
      <c r="AB51" s="290" t="inlineStr">
        <is>
          <t>Yes</t>
        </is>
      </c>
      <c r="AC51" s="308" t="n">
        <v>45474</v>
      </c>
      <c r="AD51" s="312" t="n">
        <v>46934</v>
      </c>
      <c r="AE51" s="590" t="n"/>
      <c r="AF51" s="306" t="n"/>
      <c r="AG51" s="641" t="n"/>
      <c r="AH51" s="309" t="n"/>
      <c r="AI51" s="642" t="inlineStr">
        <is>
          <t>Yes</t>
        </is>
      </c>
      <c r="AJ51" s="642" t="inlineStr">
        <is>
          <t>Yes</t>
        </is>
      </c>
      <c r="AK51" s="307" t="n"/>
      <c r="AL51" s="590" t="inlineStr">
        <is>
          <t>Phim còn hạn từ 2026</t>
        </is>
      </c>
      <c r="AM51" s="367" t="inlineStr">
        <is>
          <t>Tồn kho bản quyền: Gói series VOD từ PCCW (Viu)</t>
        </is>
      </c>
      <c r="AN51" s="203" t="n"/>
      <c r="AO51" s="128">
        <f>SUMIF('TK 15661.Bản quyền phim '!F:F,'KK2. Series'!C51,'TK 15661.Bản quyền phim '!K:K)</f>
        <v/>
      </c>
      <c r="AP51" s="128">
        <f>COUNTIF('242.BQ Phim VOD'!$C$5:$C$8,'KK2. Series'!AM51)</f>
        <v/>
      </c>
      <c r="AQ51" s="128">
        <f>COUNTIF('TK 15666. Phim SX'!$C$6:$C$13,'KK2. Series'!AM51)</f>
        <v/>
      </c>
      <c r="AR51" s="203">
        <f>COUNTIF('TK 15661.Bản quyền phim '!F:F,'KK2. Series'!AM51)</f>
        <v/>
      </c>
      <c r="AS51" s="203" t="n"/>
      <c r="AT51" s="366">
        <f>SUM(AP51:AS51)</f>
        <v/>
      </c>
      <c r="AU51" s="203" t="n"/>
      <c r="AV51" s="203" t="n"/>
      <c r="AW51" s="203" t="n"/>
      <c r="AX51" s="203" t="n"/>
      <c r="AY51" s="203" t="n"/>
      <c r="AZ51" s="387" t="inlineStr">
        <is>
          <t>✗ Not Found</t>
        </is>
      </c>
      <c r="BB51" s="387" t="n"/>
    </row>
    <row r="52" ht="409.6" customHeight="1" s="578">
      <c r="A52" s="96" t="n">
        <v>46</v>
      </c>
      <c r="B52" s="97" t="inlineStr">
        <is>
          <t>EP01 – SER_CRI_24_2713584
EP02 – SER_CRI_24_2713585
EP03 – SER_CRI_24_2713586
EP04 – SER_CRI_24_2713587
EP05 – SER_CRI_24_2713588
EP06 – SER_CRI_24_2713589
EP07 – SER_CRI_24_2713590
EP08 – SER_CRI_24_2713591
EP09 – SER_CRI_24_2713592
EP10 – SER_CRI_24_2713593
EP11 – SER_CRI_24_2713594
EP12 – SER_CRI_24_2713595
EP13 – SER_CRI_24_2713596
EP14 – SER_CRI_24_2713597
EP15 – SER_CRI_24_2713598
EP16 – SER_CRI_24_2713599</t>
        </is>
      </c>
      <c r="C52" s="108" t="inlineStr">
        <is>
          <t>Again My Life</t>
        </is>
      </c>
      <c r="D52" s="590" t="inlineStr">
        <is>
          <t>Công tố viên chuyển sinh</t>
        </is>
      </c>
      <c r="E52" s="108" t="inlineStr">
        <is>
          <t>Viu</t>
        </is>
      </c>
      <c r="F52" s="590" t="inlineStr">
        <is>
          <t xml:space="preserve">PCCW VUCLIP/2024/HDBQ Output deal </t>
        </is>
      </c>
      <c r="G52" s="108" t="inlineStr">
        <is>
          <t>Korea</t>
        </is>
      </c>
      <c r="H52" s="289" t="n">
        <v>2022</v>
      </c>
      <c r="I52" s="108" t="n">
        <v>16</v>
      </c>
      <c r="J52" s="108" t="n">
        <v>70</v>
      </c>
      <c r="K52" s="449">
        <f>(I52*J52)/60</f>
        <v/>
      </c>
      <c r="L52" s="305" t="n">
        <v>16</v>
      </c>
      <c r="M52" s="108" t="inlineStr">
        <is>
          <t>Mystery, Law, Drama, Fantasy</t>
        </is>
      </c>
      <c r="N52" s="108" t="inlineStr">
        <is>
          <t>Mystery, Law, Drama, Fantasy</t>
        </is>
      </c>
      <c r="O52" s="590" t="n"/>
      <c r="P52" s="590" t="inlineStr">
        <is>
          <t>VOD only</t>
        </is>
      </c>
      <c r="Q52" s="590" t="n">
        <v>45474</v>
      </c>
      <c r="R52" s="590" t="n"/>
      <c r="S52" s="590" t="n"/>
      <c r="T52" s="108" t="inlineStr">
        <is>
          <t>No</t>
        </is>
      </c>
      <c r="U52" s="590" t="inlineStr">
        <is>
          <t>Yes</t>
        </is>
      </c>
      <c r="V52" s="590" t="inlineStr">
        <is>
          <t>No</t>
        </is>
      </c>
      <c r="W52" s="290" t="inlineStr">
        <is>
          <t>Yes</t>
        </is>
      </c>
      <c r="X52" s="290" t="inlineStr">
        <is>
          <t>Yes</t>
        </is>
      </c>
      <c r="Y52" s="290" t="inlineStr">
        <is>
          <t>Yes</t>
        </is>
      </c>
      <c r="Z52" s="290" t="inlineStr">
        <is>
          <t>Yes</t>
        </is>
      </c>
      <c r="AA52" s="290" t="inlineStr">
        <is>
          <t>Yes</t>
        </is>
      </c>
      <c r="AB52" s="290" t="inlineStr">
        <is>
          <t>Yes</t>
        </is>
      </c>
      <c r="AC52" s="308" t="n">
        <v>45474</v>
      </c>
      <c r="AD52" s="308" t="n">
        <v>46934</v>
      </c>
      <c r="AE52" s="590" t="n"/>
      <c r="AF52" s="306" t="n"/>
      <c r="AG52" s="641" t="n"/>
      <c r="AH52" s="309" t="n"/>
      <c r="AI52" s="642" t="inlineStr">
        <is>
          <t>Yes</t>
        </is>
      </c>
      <c r="AJ52" s="642" t="inlineStr">
        <is>
          <t>Yes</t>
        </is>
      </c>
      <c r="AK52" s="307" t="n"/>
      <c r="AL52" s="590" t="inlineStr">
        <is>
          <t>Phim còn hạn từ 2026</t>
        </is>
      </c>
      <c r="AM52" s="367" t="inlineStr">
        <is>
          <t>Tồn kho bản quyền: Gói series VOD từ PCCW (Viu)</t>
        </is>
      </c>
      <c r="AN52" s="203" t="n"/>
      <c r="AO52" s="128">
        <f>SUMIF('TK 15661.Bản quyền phim '!F:F,'KK2. Series'!C52,'TK 15661.Bản quyền phim '!K:K)</f>
        <v/>
      </c>
      <c r="AP52" s="128">
        <f>COUNTIF('242.BQ Phim VOD'!$C$5:$C$8,'KK2. Series'!AM52)</f>
        <v/>
      </c>
      <c r="AQ52" s="128">
        <f>COUNTIF('TK 15666. Phim SX'!$C$6:$C$13,'KK2. Series'!AM52)</f>
        <v/>
      </c>
      <c r="AR52" s="203">
        <f>COUNTIF('TK 15661.Bản quyền phim '!F:F,'KK2. Series'!AM52)</f>
        <v/>
      </c>
      <c r="AS52" s="203" t="n"/>
      <c r="AT52" s="366">
        <f>SUM(AP52:AS52)</f>
        <v/>
      </c>
      <c r="AU52" s="203" t="n"/>
      <c r="AV52" s="203" t="n"/>
      <c r="AW52" s="203" t="n"/>
      <c r="AX52" s="203" t="n"/>
      <c r="AY52" s="203" t="n"/>
      <c r="AZ52" s="387" t="inlineStr">
        <is>
          <t>✓ Found</t>
        </is>
      </c>
      <c r="BB52" s="387" t="n"/>
    </row>
    <row r="53" ht="409.6" customHeight="1" s="578">
      <c r="A53" s="96" t="n">
        <v>47</v>
      </c>
      <c r="B53" s="97" t="inlineStr">
        <is>
          <t>EP01 – SER_COM_24_2714023
EP02 – SER_COM_24_2714024
EP03 – SER_COM_24_2714025
EP04 – SER_COM_24_2714026
EP05 – SER_COM_24_2714027
EP06 – SER_COM_24_2714028
EP07 – SER_COM_24_2714029
EP08 – SER_COM_24_2714030
EP09 – SER_COM_24_2714031
EP10 – SER_COM_24_2714032
EP11 – SER_COM_24_2714033
EP12 – SER_COM_24_2714034
EP13 – SER_COM_24_2714035
EP14 – SER_COM_24_2714036
EP15 – SER_COM_24_2714037
EP16 – SER_COM_24_2714038</t>
        </is>
      </c>
      <c r="C53" s="108" t="inlineStr">
        <is>
          <t>From Now On, Showtime!</t>
        </is>
      </c>
      <c r="D53" s="590" t="inlineStr">
        <is>
          <t>Diễn nào, ma ơi!</t>
        </is>
      </c>
      <c r="E53" s="108" t="inlineStr">
        <is>
          <t>Viu</t>
        </is>
      </c>
      <c r="F53" s="590" t="inlineStr">
        <is>
          <t xml:space="preserve">PCCW VUCLIP/2024/HDBQ Output deal </t>
        </is>
      </c>
      <c r="G53" s="108" t="inlineStr">
        <is>
          <t>Korea</t>
        </is>
      </c>
      <c r="H53" s="289" t="n">
        <v>2022</v>
      </c>
      <c r="I53" s="108" t="n">
        <v>16</v>
      </c>
      <c r="J53" s="108" t="n">
        <v>70</v>
      </c>
      <c r="K53" s="449">
        <f>(I53*J53)/60</f>
        <v/>
      </c>
      <c r="L53" s="305" t="n">
        <v>16</v>
      </c>
      <c r="M53" s="108" t="inlineStr">
        <is>
          <t>Comedy, Fantasy</t>
        </is>
      </c>
      <c r="N53" s="108" t="inlineStr">
        <is>
          <t>Comedy, Fantasy</t>
        </is>
      </c>
      <c r="O53" s="590" t="n"/>
      <c r="P53" s="590" t="inlineStr">
        <is>
          <t>VOD only</t>
        </is>
      </c>
      <c r="Q53" s="590" t="n">
        <v>45474</v>
      </c>
      <c r="R53" s="590" t="n"/>
      <c r="S53" s="590" t="n"/>
      <c r="T53" s="108" t="inlineStr">
        <is>
          <t>No</t>
        </is>
      </c>
      <c r="U53" s="590" t="inlineStr">
        <is>
          <t>Yes</t>
        </is>
      </c>
      <c r="V53" s="590" t="inlineStr">
        <is>
          <t>No</t>
        </is>
      </c>
      <c r="W53" s="290" t="inlineStr">
        <is>
          <t>Yes</t>
        </is>
      </c>
      <c r="X53" s="290" t="inlineStr">
        <is>
          <t>Yes</t>
        </is>
      </c>
      <c r="Y53" s="290" t="inlineStr">
        <is>
          <t>Yes</t>
        </is>
      </c>
      <c r="Z53" s="290" t="inlineStr">
        <is>
          <t>Yes</t>
        </is>
      </c>
      <c r="AA53" s="290" t="inlineStr">
        <is>
          <t>Yes</t>
        </is>
      </c>
      <c r="AB53" s="290" t="inlineStr">
        <is>
          <t>Yes</t>
        </is>
      </c>
      <c r="AC53" s="308" t="n">
        <v>45474</v>
      </c>
      <c r="AD53" s="308" t="n">
        <v>46934</v>
      </c>
      <c r="AE53" s="590" t="n"/>
      <c r="AF53" s="306" t="n"/>
      <c r="AG53" s="641" t="n"/>
      <c r="AH53" s="309" t="n"/>
      <c r="AI53" s="642" t="inlineStr">
        <is>
          <t>Yes</t>
        </is>
      </c>
      <c r="AJ53" s="642" t="inlineStr">
        <is>
          <t>Yes</t>
        </is>
      </c>
      <c r="AK53" s="307" t="n"/>
      <c r="AL53" s="590" t="inlineStr">
        <is>
          <t>Phim còn hạn từ 2026</t>
        </is>
      </c>
      <c r="AM53" s="367" t="inlineStr">
        <is>
          <t>Tồn kho bản quyền: Gói series VOD từ PCCW (Viu)</t>
        </is>
      </c>
      <c r="AN53" s="203" t="n"/>
      <c r="AO53" s="128">
        <f>SUMIF('TK 15661.Bản quyền phim '!F:F,'KK2. Series'!C53,'TK 15661.Bản quyền phim '!K:K)</f>
        <v/>
      </c>
      <c r="AP53" s="128">
        <f>COUNTIF('242.BQ Phim VOD'!$C$5:$C$8,'KK2. Series'!AM53)</f>
        <v/>
      </c>
      <c r="AQ53" s="128">
        <f>COUNTIF('TK 15666. Phim SX'!$C$6:$C$13,'KK2. Series'!AM53)</f>
        <v/>
      </c>
      <c r="AR53" s="203">
        <f>COUNTIF('TK 15661.Bản quyền phim '!F:F,'KK2. Series'!AM53)</f>
        <v/>
      </c>
      <c r="AS53" s="203" t="n"/>
      <c r="AT53" s="366">
        <f>SUM(AP53:AS53)</f>
        <v/>
      </c>
      <c r="AU53" s="203" t="n"/>
      <c r="AV53" s="203" t="n"/>
      <c r="AW53" s="203" t="n"/>
      <c r="AX53" s="203" t="n"/>
      <c r="AY53" s="203" t="n"/>
      <c r="AZ53" s="387" t="inlineStr">
        <is>
          <t>✗ Not Found</t>
        </is>
      </c>
      <c r="BB53" s="387" t="n"/>
    </row>
    <row r="54" ht="409.6" customHeight="1" s="578">
      <c r="A54" s="96" t="n">
        <v>48</v>
      </c>
      <c r="B54" s="97" t="inlineStr">
        <is>
          <t>SER_DRA_24_2714094	Why Her?, Ep16
SER_DRA_24_2714093	Why Her?, Ep15
SER_DRA_24_2714091	Why Her?, Ep13
SER_DRA_24_2714090	Why Her?, Ep12
SER_DRA_24_2714092	Why Her?, Ep14
SER_DRA_24_2714089	Why Her?, Ep11
SER_DRA_24_2714087	Why Her?, Ep09
SER_DRA_24_2714088	Why Her?, Ep10
SER_DRA_24_2714086	Why Her?, Ep08
SER_DRA_24_2714085	Why Her?, Ep07
SER_DRA_24_2714084	Why Her?, Ep06
SER_DRA_24_2714083	Why Her?, Ep05
SER_DRA_24_2714082	Why Her?, Ep04
SER_DRA_24_2714080	Why Her?, Ep02
SER_DRA_24_2714081	Why Her?, Ep03
SER_DRA_24__2714079	Why Her?, Ep01</t>
        </is>
      </c>
      <c r="C54" s="108" t="inlineStr">
        <is>
          <t>Why Her?</t>
        </is>
      </c>
      <c r="D54" s="590" t="inlineStr">
        <is>
          <t>Tại sao lại là Oh Soo Jae?</t>
        </is>
      </c>
      <c r="E54" s="108" t="inlineStr">
        <is>
          <t>Viu</t>
        </is>
      </c>
      <c r="F54" s="590" t="inlineStr">
        <is>
          <t xml:space="preserve">PCCW VUCLIP/2024/HDBQ Output deal </t>
        </is>
      </c>
      <c r="G54" s="108" t="inlineStr">
        <is>
          <t>Korea</t>
        </is>
      </c>
      <c r="H54" s="289" t="n">
        <v>2022</v>
      </c>
      <c r="I54" s="108" t="n">
        <v>16</v>
      </c>
      <c r="J54" s="108" t="n">
        <v>70</v>
      </c>
      <c r="K54" s="449">
        <f>(I54*J54)/60</f>
        <v/>
      </c>
      <c r="L54" s="305" t="n">
        <v>14</v>
      </c>
      <c r="M54" s="108" t="inlineStr">
        <is>
          <t>Mystery, law</t>
        </is>
      </c>
      <c r="N54" s="108" t="inlineStr">
        <is>
          <t>Mystery, law</t>
        </is>
      </c>
      <c r="O54" s="590" t="n"/>
      <c r="P54" s="590" t="inlineStr">
        <is>
          <t>VOD only</t>
        </is>
      </c>
      <c r="Q54" s="590" t="n">
        <v>45474</v>
      </c>
      <c r="R54" s="590" t="n"/>
      <c r="S54" s="590" t="n"/>
      <c r="T54" s="108" t="inlineStr">
        <is>
          <t>No</t>
        </is>
      </c>
      <c r="U54" s="590" t="inlineStr">
        <is>
          <t>Yes</t>
        </is>
      </c>
      <c r="V54" s="590" t="inlineStr">
        <is>
          <t>No</t>
        </is>
      </c>
      <c r="W54" s="290" t="inlineStr">
        <is>
          <t>Yes</t>
        </is>
      </c>
      <c r="X54" s="290" t="inlineStr">
        <is>
          <t>Yes</t>
        </is>
      </c>
      <c r="Y54" s="290" t="inlineStr">
        <is>
          <t>Yes</t>
        </is>
      </c>
      <c r="Z54" s="290" t="inlineStr">
        <is>
          <t>Yes</t>
        </is>
      </c>
      <c r="AA54" s="290" t="inlineStr">
        <is>
          <t>Yes</t>
        </is>
      </c>
      <c r="AB54" s="290" t="inlineStr">
        <is>
          <t>Yes</t>
        </is>
      </c>
      <c r="AC54" s="308" t="n">
        <v>45474</v>
      </c>
      <c r="AD54" s="308" t="n">
        <v>46934</v>
      </c>
      <c r="AE54" s="590" t="n"/>
      <c r="AF54" s="306" t="n"/>
      <c r="AG54" s="641" t="n"/>
      <c r="AH54" s="309" t="n"/>
      <c r="AI54" s="642" t="inlineStr">
        <is>
          <t>Yes</t>
        </is>
      </c>
      <c r="AJ54" s="642" t="inlineStr">
        <is>
          <t>Yes</t>
        </is>
      </c>
      <c r="AK54" s="307" t="n"/>
      <c r="AL54" s="590" t="inlineStr">
        <is>
          <t>Phim còn hạn từ 2026</t>
        </is>
      </c>
      <c r="AM54" s="367" t="inlineStr">
        <is>
          <t>Tồn kho bản quyền: Gói series VOD từ PCCW (Viu)</t>
        </is>
      </c>
      <c r="AN54" s="203" t="n"/>
      <c r="AO54" s="128">
        <f>SUMIF('TK 15661.Bản quyền phim '!F:F,'KK2. Series'!C54,'TK 15661.Bản quyền phim '!K:K)</f>
        <v/>
      </c>
      <c r="AP54" s="128">
        <f>COUNTIF('242.BQ Phim VOD'!$C$5:$C$8,'KK2. Series'!AM54)</f>
        <v/>
      </c>
      <c r="AQ54" s="128">
        <f>COUNTIF('TK 15666. Phim SX'!$C$6:$C$13,'KK2. Series'!AM54)</f>
        <v/>
      </c>
      <c r="AR54" s="203">
        <f>COUNTIF('TK 15661.Bản quyền phim '!F:F,'KK2. Series'!AM54)</f>
        <v/>
      </c>
      <c r="AS54" s="203" t="n"/>
      <c r="AT54" s="366">
        <f>SUM(AP54:AS54)</f>
        <v/>
      </c>
      <c r="AU54" s="203" t="n"/>
      <c r="AV54" s="203" t="n"/>
      <c r="AW54" s="203" t="n"/>
      <c r="AX54" s="203" t="n"/>
      <c r="AY54" s="203" t="n"/>
      <c r="AZ54" s="387" t="inlineStr">
        <is>
          <t>✓ Found</t>
        </is>
      </c>
      <c r="BB54" s="387" t="n"/>
    </row>
    <row r="55" ht="369.6" customHeight="1" s="578">
      <c r="A55" s="96" t="n">
        <v>49</v>
      </c>
      <c r="B55" s="97" t="inlineStr">
        <is>
          <t>EP01 – SER_DRA_24_2714095
EP02 – SER_DRA_24_2714096
EP03 – SER_DRA_24_2714097
EP04 – SER_DRA_24_2714098
EP05 – SER_DRA_24_2714099
EP06 – SER_DRA_24_2714100
EP07 – SER_DRA_24_2714101
EP08 – SER_DRA_24_2714102
EP09 – SER_DRA_24_2714103
EP10 – SER_DRA_24_2714104
EP11 – SER_DRA_24_2714105
EP12 – SER_DRA_24_2714106
EP13 – SER_DRA_24_2714107
EP14 – SER_DRA_24_2714108</t>
        </is>
      </c>
      <c r="C55" s="108" t="inlineStr">
        <is>
          <t>Woori the Virgin</t>
        </is>
      </c>
      <c r="D55" s="590" t="inlineStr">
        <is>
          <t>Trinh nữ Woori</t>
        </is>
      </c>
      <c r="E55" s="108" t="inlineStr">
        <is>
          <t>Viu</t>
        </is>
      </c>
      <c r="F55" s="590" t="inlineStr">
        <is>
          <t xml:space="preserve">PCCW VUCLIP/2024/HDBQ Output deal </t>
        </is>
      </c>
      <c r="G55" s="108" t="inlineStr">
        <is>
          <t>Korea</t>
        </is>
      </c>
      <c r="H55" s="289" t="n">
        <v>2022</v>
      </c>
      <c r="I55" s="108" t="n">
        <v>14</v>
      </c>
      <c r="J55" s="108" t="n">
        <v>70</v>
      </c>
      <c r="K55" s="449">
        <f>(I55*J55)/60</f>
        <v/>
      </c>
      <c r="L55" s="305" t="n">
        <v>14</v>
      </c>
      <c r="M55" s="108" t="inlineStr">
        <is>
          <t xml:space="preserve"> Comedy, Romance, Drama</t>
        </is>
      </c>
      <c r="N55" s="108" t="inlineStr">
        <is>
          <t xml:space="preserve"> Comedy, Romance, Drama</t>
        </is>
      </c>
      <c r="O55" s="590" t="n"/>
      <c r="P55" s="590" t="inlineStr">
        <is>
          <t>VOD only</t>
        </is>
      </c>
      <c r="Q55" s="590" t="n">
        <v>45444</v>
      </c>
      <c r="R55" s="590" t="n"/>
      <c r="S55" s="590" t="n"/>
      <c r="T55" s="108" t="inlineStr">
        <is>
          <t>No</t>
        </is>
      </c>
      <c r="U55" s="590" t="inlineStr">
        <is>
          <t>Yes</t>
        </is>
      </c>
      <c r="V55" s="590" t="inlineStr">
        <is>
          <t>No</t>
        </is>
      </c>
      <c r="W55" s="290" t="inlineStr">
        <is>
          <t>Yes</t>
        </is>
      </c>
      <c r="X55" s="290" t="inlineStr">
        <is>
          <t>Yes</t>
        </is>
      </c>
      <c r="Y55" s="290" t="inlineStr">
        <is>
          <t>Yes</t>
        </is>
      </c>
      <c r="Z55" s="290" t="inlineStr">
        <is>
          <t>Yes</t>
        </is>
      </c>
      <c r="AA55" s="290" t="inlineStr">
        <is>
          <t>Yes</t>
        </is>
      </c>
      <c r="AB55" s="290" t="inlineStr">
        <is>
          <t>Yes</t>
        </is>
      </c>
      <c r="AC55" s="308" t="n">
        <v>45444</v>
      </c>
      <c r="AD55" s="308" t="n">
        <v>46507</v>
      </c>
      <c r="AE55" s="590" t="n"/>
      <c r="AF55" s="306" t="n"/>
      <c r="AG55" s="641" t="n"/>
      <c r="AH55" s="309" t="n"/>
      <c r="AI55" s="642" t="inlineStr">
        <is>
          <t>Yes</t>
        </is>
      </c>
      <c r="AJ55" s="642" t="inlineStr">
        <is>
          <t>Yes</t>
        </is>
      </c>
      <c r="AK55" s="307" t="n"/>
      <c r="AL55" s="590" t="inlineStr">
        <is>
          <t>Phim còn hạn từ 2026</t>
        </is>
      </c>
      <c r="AM55" s="367" t="inlineStr">
        <is>
          <t>Tồn kho bản quyền: Gói series VOD từ PCCW (Viu)</t>
        </is>
      </c>
      <c r="AN55" s="203" t="n"/>
      <c r="AO55" s="128">
        <f>SUMIF('TK 15661.Bản quyền phim '!F:F,'KK2. Series'!C55,'TK 15661.Bản quyền phim '!K:K)</f>
        <v/>
      </c>
      <c r="AP55" s="128">
        <f>COUNTIF('242.BQ Phim VOD'!$C$5:$C$8,'KK2. Series'!AM55)</f>
        <v/>
      </c>
      <c r="AQ55" s="128">
        <f>COUNTIF('TK 15666. Phim SX'!$C$6:$C$13,'KK2. Series'!AM55)</f>
        <v/>
      </c>
      <c r="AR55" s="203">
        <f>COUNTIF('TK 15661.Bản quyền phim '!F:F,'KK2. Series'!AM55)</f>
        <v/>
      </c>
      <c r="AS55" s="203" t="n"/>
      <c r="AT55" s="366">
        <f>SUM(AP55:AS55)</f>
        <v/>
      </c>
      <c r="AU55" s="203" t="n"/>
      <c r="AV55" s="203" t="n"/>
      <c r="AW55" s="203" t="n"/>
      <c r="AX55" s="203" t="n"/>
      <c r="AY55" s="203" t="n"/>
      <c r="AZ55" s="387" t="inlineStr">
        <is>
          <t>✓ Found</t>
        </is>
      </c>
      <c r="BB55" s="387" t="n"/>
    </row>
    <row r="56" ht="369.6" customHeight="1" s="578">
      <c r="A56" s="96" t="n">
        <v>50</v>
      </c>
      <c r="B56" s="97" t="inlineStr">
        <is>
          <t>EP01 – SER_ROM_24_2714477
EP02 – SER_ROM_24_2714478
EP03 – SER_ROM_24_2714479
EP04 – SER_ROM_24_2714480
EP05 – SER_ROM_24_2714481
EP06 – SER_ROM_24_2714482
EP07 – SER_ROM_24_2714483
EP08 – SER_ROM_24_2714484
EP09 – SER_ROM_24_2714485
EP10 – SER_ROM_24_2714486
EP11 – SER_ROM_24_2714487
EP12 – SER_ROM_24_2714488
EP13 – SER_ROM_24_2714489
EP14 – SER_ROM_24_2714490</t>
        </is>
      </c>
      <c r="C56" s="108" t="inlineStr">
        <is>
          <t>Miracle</t>
        </is>
      </c>
      <c r="D56" s="590" t="inlineStr">
        <is>
          <t>Phép màu</t>
        </is>
      </c>
      <c r="E56" s="108" t="inlineStr">
        <is>
          <t>Viu</t>
        </is>
      </c>
      <c r="F56" s="590" t="inlineStr">
        <is>
          <t xml:space="preserve">PCCW VUCLIP/2024/HDBQ Output deal </t>
        </is>
      </c>
      <c r="G56" s="108" t="inlineStr">
        <is>
          <t>Korea</t>
        </is>
      </c>
      <c r="H56" s="289" t="n">
        <v>2022</v>
      </c>
      <c r="I56" s="108" t="n">
        <v>14</v>
      </c>
      <c r="J56" s="108" t="n">
        <v>40</v>
      </c>
      <c r="K56" s="449">
        <f>(I56*J56)/60</f>
        <v/>
      </c>
      <c r="L56" s="305" t="n">
        <v>14</v>
      </c>
      <c r="M56" s="108" t="inlineStr">
        <is>
          <t>Romance</t>
        </is>
      </c>
      <c r="N56" s="108" t="inlineStr">
        <is>
          <t>Romance</t>
        </is>
      </c>
      <c r="O56" s="590" t="n"/>
      <c r="P56" s="590" t="inlineStr">
        <is>
          <t>VOD only</t>
        </is>
      </c>
      <c r="Q56" s="590" t="n">
        <v>45474</v>
      </c>
      <c r="R56" s="590" t="n"/>
      <c r="S56" s="590" t="n"/>
      <c r="T56" s="108" t="inlineStr">
        <is>
          <t>No</t>
        </is>
      </c>
      <c r="U56" s="590" t="inlineStr">
        <is>
          <t>Yes</t>
        </is>
      </c>
      <c r="V56" s="590" t="inlineStr">
        <is>
          <t>No</t>
        </is>
      </c>
      <c r="W56" s="290" t="inlineStr">
        <is>
          <t>Yes</t>
        </is>
      </c>
      <c r="X56" s="290" t="inlineStr">
        <is>
          <t>Yes</t>
        </is>
      </c>
      <c r="Y56" s="290" t="inlineStr">
        <is>
          <t>Yes</t>
        </is>
      </c>
      <c r="Z56" s="290" t="inlineStr">
        <is>
          <t>Yes</t>
        </is>
      </c>
      <c r="AA56" s="290" t="inlineStr">
        <is>
          <t>Yes</t>
        </is>
      </c>
      <c r="AB56" s="290" t="inlineStr">
        <is>
          <t>Yes</t>
        </is>
      </c>
      <c r="AC56" s="308" t="n">
        <v>45474</v>
      </c>
      <c r="AD56" s="308" t="n">
        <v>46996</v>
      </c>
      <c r="AE56" s="590" t="n"/>
      <c r="AF56" s="306" t="n"/>
      <c r="AG56" s="641" t="n"/>
      <c r="AH56" s="309" t="n"/>
      <c r="AI56" s="642" t="inlineStr">
        <is>
          <t>Yes</t>
        </is>
      </c>
      <c r="AJ56" s="642" t="inlineStr">
        <is>
          <t>Yes</t>
        </is>
      </c>
      <c r="AK56" s="307" t="n"/>
      <c r="AL56" s="590" t="inlineStr">
        <is>
          <t>Phim còn hạn từ 2026</t>
        </is>
      </c>
      <c r="AM56" s="367" t="inlineStr">
        <is>
          <t>Tồn kho bản quyền: Gói series VOD từ PCCW (Viu)</t>
        </is>
      </c>
      <c r="AN56" s="203" t="n"/>
      <c r="AO56" s="128">
        <f>SUMIF('TK 15661.Bản quyền phim '!F:F,'KK2. Series'!C56,'TK 15661.Bản quyền phim '!K:K)</f>
        <v/>
      </c>
      <c r="AP56" s="128">
        <f>COUNTIF('242.BQ Phim VOD'!$C$5:$C$8,'KK2. Series'!AM56)</f>
        <v/>
      </c>
      <c r="AQ56" s="128">
        <f>COUNTIF('TK 15666. Phim SX'!$C$6:$C$13,'KK2. Series'!AM56)</f>
        <v/>
      </c>
      <c r="AR56" s="203">
        <f>COUNTIF('TK 15661.Bản quyền phim '!F:F,'KK2. Series'!AM56)</f>
        <v/>
      </c>
      <c r="AS56" s="203" t="n"/>
      <c r="AT56" s="366">
        <f>SUM(AP56:AS56)</f>
        <v/>
      </c>
      <c r="AU56" s="203" t="n"/>
      <c r="AV56" s="203" t="n"/>
      <c r="AW56" s="203" t="n"/>
      <c r="AX56" s="203" t="n"/>
      <c r="AY56" s="203" t="n"/>
      <c r="AZ56" s="387" t="inlineStr">
        <is>
          <t>✓ Found</t>
        </is>
      </c>
      <c r="BB56" s="387" t="n"/>
    </row>
    <row r="57" ht="409.6" customHeight="1" s="578">
      <c r="A57" s="96" t="n">
        <v>51</v>
      </c>
      <c r="B57" s="97" t="inlineStr">
        <is>
          <t>EP01 – SER_COM_24_2714491
EP02 – SER_COM_24_2714492
EP03 – SER_COM_24_2714493
EP04 – SER_COM_24_2714494
EP05 – SER_COM_24_2714495
EP06 – SER_COM_24_2714496
EP07 – SER_COM_24_2714497
EP08 – SER_COM_24_2714498
EP09 – SER_COM_24_2714499
EP10 – SER_COM_24_2714500
EP11 – SER_COM_24_2714501
EP12 – SER_COM_24_2714502
EP13 – SER_COM_24_2714503
EP14 – SER_COM_24_2714504
EP15 – SER_COM_24_2714505
EP16 – SER_COM_24_2714506</t>
        </is>
      </c>
      <c r="C57" s="108" t="inlineStr">
        <is>
          <t>Today’s Webtoon</t>
        </is>
      </c>
      <c r="D57" s="590" t="inlineStr">
        <is>
          <t>Webtoon đời tôi</t>
        </is>
      </c>
      <c r="E57" s="108" t="inlineStr">
        <is>
          <t>Viu</t>
        </is>
      </c>
      <c r="F57" s="590" t="inlineStr">
        <is>
          <t xml:space="preserve">PCCW VUCLIP/2024/HDBQ Output deal </t>
        </is>
      </c>
      <c r="G57" s="108" t="inlineStr">
        <is>
          <t>Korea</t>
        </is>
      </c>
      <c r="H57" s="289" t="n">
        <v>2022</v>
      </c>
      <c r="I57" s="108" t="n">
        <v>16</v>
      </c>
      <c r="J57" s="108" t="n">
        <v>70</v>
      </c>
      <c r="K57" s="449">
        <f>(I57*J57)/60</f>
        <v/>
      </c>
      <c r="L57" s="305" t="n">
        <v>16</v>
      </c>
      <c r="M57" s="108" t="inlineStr">
        <is>
          <t>Comedy, drama</t>
        </is>
      </c>
      <c r="N57" s="108" t="inlineStr">
        <is>
          <t>Comedy, drama</t>
        </is>
      </c>
      <c r="O57" s="590" t="n"/>
      <c r="P57" s="590" t="inlineStr">
        <is>
          <t>VOD only</t>
        </is>
      </c>
      <c r="Q57" s="590" t="n">
        <v>45474</v>
      </c>
      <c r="R57" s="590" t="n"/>
      <c r="S57" s="590" t="n"/>
      <c r="T57" s="108" t="inlineStr">
        <is>
          <t>No</t>
        </is>
      </c>
      <c r="U57" s="590" t="inlineStr">
        <is>
          <t>Yes</t>
        </is>
      </c>
      <c r="V57" s="590" t="inlineStr">
        <is>
          <t>No</t>
        </is>
      </c>
      <c r="W57" s="290" t="inlineStr">
        <is>
          <t>Yes</t>
        </is>
      </c>
      <c r="X57" s="290" t="inlineStr">
        <is>
          <t>Yes</t>
        </is>
      </c>
      <c r="Y57" s="290" t="inlineStr">
        <is>
          <t>Yes</t>
        </is>
      </c>
      <c r="Z57" s="290" t="inlineStr">
        <is>
          <t>Yes</t>
        </is>
      </c>
      <c r="AA57" s="290" t="inlineStr">
        <is>
          <t>Yes</t>
        </is>
      </c>
      <c r="AB57" s="290" t="inlineStr">
        <is>
          <t>Yes</t>
        </is>
      </c>
      <c r="AC57" s="308" t="n">
        <v>45474</v>
      </c>
      <c r="AD57" s="308" t="n">
        <v>47299</v>
      </c>
      <c r="AE57" s="590" t="n"/>
      <c r="AF57" s="306" t="n"/>
      <c r="AG57" s="641" t="n"/>
      <c r="AH57" s="309" t="n"/>
      <c r="AI57" s="642" t="inlineStr">
        <is>
          <t>Yes</t>
        </is>
      </c>
      <c r="AJ57" s="642" t="inlineStr">
        <is>
          <t>Yes</t>
        </is>
      </c>
      <c r="AK57" s="307" t="n"/>
      <c r="AL57" s="590" t="inlineStr">
        <is>
          <t>Phim còn hạn từ 2026</t>
        </is>
      </c>
      <c r="AM57" s="367" t="inlineStr">
        <is>
          <t>Tồn kho bản quyền: Gói series VOD từ PCCW (Viu)</t>
        </is>
      </c>
      <c r="AN57" s="203" t="n"/>
      <c r="AO57" s="128">
        <f>SUMIF('TK 15661.Bản quyền phim '!F:F,'KK2. Series'!C57,'TK 15661.Bản quyền phim '!K:K)</f>
        <v/>
      </c>
      <c r="AP57" s="128">
        <f>COUNTIF('242.BQ Phim VOD'!$C$5:$C$8,'KK2. Series'!AM57)</f>
        <v/>
      </c>
      <c r="AQ57" s="128">
        <f>COUNTIF('TK 15666. Phim SX'!$C$6:$C$13,'KK2. Series'!AM57)</f>
        <v/>
      </c>
      <c r="AR57" s="203">
        <f>COUNTIF('TK 15661.Bản quyền phim '!F:F,'KK2. Series'!AM57)</f>
        <v/>
      </c>
      <c r="AS57" s="203" t="n"/>
      <c r="AT57" s="366">
        <f>SUM(AP57:AS57)</f>
        <v/>
      </c>
      <c r="AU57" s="203" t="n"/>
      <c r="AV57" s="203" t="n"/>
      <c r="AW57" s="203" t="n"/>
      <c r="AX57" s="203" t="n"/>
      <c r="AY57" s="203" t="n"/>
      <c r="AZ57" s="387" t="inlineStr">
        <is>
          <t>✓ Found</t>
        </is>
      </c>
      <c r="BB57" s="387" t="n"/>
    </row>
    <row r="58" ht="409.6" customHeight="1" s="578">
      <c r="A58" s="96" t="n">
        <v>52</v>
      </c>
      <c r="B58" s="97" t="inlineStr">
        <is>
          <t>EP01 – SER_ROM_24_2714508
EP02 – SER_ROM_24_2714509
EP03 – SER_ROM_24_2714510
EP04 – SER_ROM_24_2714511
EP05 – SER_ROM_24_2714512
EP06 – SER_ROM_24_2714513
EP07 – SER_ROM_24_2714514
EP08 – SER_ROM_24_2714515
EP09 – SER_ROM_24_2714516
EP10 – SER_ROM_24_2714517
EP11 – SER_ROM_24_2714518
EP12 – SER_ROM_24_2714519
EP13 – SER_ROM_24_2714520
EP14 – SER_ROM_24_2714521
EP15 – SER_ROM_24_2714522
EP16 – SER_ROM_24_2714523</t>
        </is>
      </c>
      <c r="C58" s="108" t="inlineStr">
        <is>
          <t>If You Wish Upon Me</t>
        </is>
      </c>
      <c r="D58" s="590" t="inlineStr">
        <is>
          <t>Nói tôi nghe điều ước của bạn</t>
        </is>
      </c>
      <c r="E58" s="108" t="inlineStr">
        <is>
          <t>Viu</t>
        </is>
      </c>
      <c r="F58" s="590" t="inlineStr">
        <is>
          <t xml:space="preserve">PCCW VUCLIP/2024/HDBQ Output deal </t>
        </is>
      </c>
      <c r="G58" s="108" t="inlineStr">
        <is>
          <t>Korea</t>
        </is>
      </c>
      <c r="H58" s="289" t="n">
        <v>2022</v>
      </c>
      <c r="I58" s="108" t="n">
        <v>16</v>
      </c>
      <c r="J58" s="108" t="n">
        <v>70</v>
      </c>
      <c r="K58" s="449">
        <f>(I58*J58)/60</f>
        <v/>
      </c>
      <c r="L58" s="305" t="n">
        <v>16</v>
      </c>
      <c r="M58" s="108" t="inlineStr">
        <is>
          <t>Romance, life, drama</t>
        </is>
      </c>
      <c r="N58" s="108" t="inlineStr">
        <is>
          <t>Romance, life, drama</t>
        </is>
      </c>
      <c r="O58" s="590" t="n"/>
      <c r="P58" s="590" t="inlineStr">
        <is>
          <t>VOD only</t>
        </is>
      </c>
      <c r="Q58" s="590" t="n">
        <v>45474</v>
      </c>
      <c r="R58" s="590" t="n"/>
      <c r="S58" s="590" t="n"/>
      <c r="T58" s="108" t="inlineStr">
        <is>
          <t>No</t>
        </is>
      </c>
      <c r="U58" s="590" t="inlineStr">
        <is>
          <t>Yes</t>
        </is>
      </c>
      <c r="V58" s="590" t="inlineStr">
        <is>
          <t>No</t>
        </is>
      </c>
      <c r="W58" s="290" t="inlineStr">
        <is>
          <t>Yes</t>
        </is>
      </c>
      <c r="X58" s="290" t="inlineStr">
        <is>
          <t>Yes</t>
        </is>
      </c>
      <c r="Y58" s="290" t="inlineStr">
        <is>
          <t>Yes</t>
        </is>
      </c>
      <c r="Z58" s="290" t="inlineStr">
        <is>
          <t>Yes</t>
        </is>
      </c>
      <c r="AA58" s="290" t="inlineStr">
        <is>
          <t>Yes</t>
        </is>
      </c>
      <c r="AB58" s="290" t="inlineStr">
        <is>
          <t>Yes</t>
        </is>
      </c>
      <c r="AC58" s="308" t="n">
        <v>45474</v>
      </c>
      <c r="AD58" s="308" t="n">
        <v>46934</v>
      </c>
      <c r="AE58" s="590" t="n"/>
      <c r="AF58" s="306" t="n"/>
      <c r="AG58" s="641" t="n"/>
      <c r="AH58" s="309" t="n"/>
      <c r="AI58" s="642" t="inlineStr">
        <is>
          <t>Yes</t>
        </is>
      </c>
      <c r="AJ58" s="642" t="inlineStr">
        <is>
          <t>Yes</t>
        </is>
      </c>
      <c r="AK58" s="307" t="n"/>
      <c r="AL58" s="590" t="inlineStr">
        <is>
          <t>Phim còn hạn từ 2026</t>
        </is>
      </c>
      <c r="AM58" s="367" t="inlineStr">
        <is>
          <t>Tồn kho bản quyền: Gói series VOD từ PCCW (Viu)</t>
        </is>
      </c>
      <c r="AN58" s="203" t="n"/>
      <c r="AO58" s="128">
        <f>SUMIF('TK 15661.Bản quyền phim '!F:F,'KK2. Series'!C58,'TK 15661.Bản quyền phim '!K:K)</f>
        <v/>
      </c>
      <c r="AP58" s="128">
        <f>COUNTIF('242.BQ Phim VOD'!$C$5:$C$8,'KK2. Series'!AM58)</f>
        <v/>
      </c>
      <c r="AQ58" s="128">
        <f>COUNTIF('TK 15666. Phim SX'!$C$6:$C$13,'KK2. Series'!AM58)</f>
        <v/>
      </c>
      <c r="AR58" s="203">
        <f>COUNTIF('TK 15661.Bản quyền phim '!F:F,'KK2. Series'!AM58)</f>
        <v/>
      </c>
      <c r="AS58" s="203" t="n"/>
      <c r="AT58" s="366">
        <f>SUM(AP58:AS58)</f>
        <v/>
      </c>
      <c r="AU58" s="203" t="n"/>
      <c r="AV58" s="203" t="n"/>
      <c r="AW58" s="203" t="n"/>
      <c r="AX58" s="203" t="n"/>
      <c r="AY58" s="203" t="n"/>
      <c r="AZ58" s="387" t="inlineStr">
        <is>
          <t>✓ Found</t>
        </is>
      </c>
      <c r="BB58" s="387" t="n"/>
    </row>
    <row r="59" ht="409.6" customHeight="1" s="578">
      <c r="A59" s="96" t="n">
        <v>53</v>
      </c>
      <c r="B59" s="97" t="inlineStr">
        <is>
          <t>EP01 – SER_COM_24_2714857
EP02 – SER_COM_24_2714858
EP03 – SER_COM_24_2714859
EP04 – SER_COM_24_2714860
EP05 – SER_COM_24_2714861
EP06 – SER_COM_24_2714862
EP07 – SER_COM_24_2714863
EP08 – SER_COM_24_2714864
EP09 – SER_COM_24_2714865
EP10 – SER_COM_24_2714866
EP11 – SER_COM_24_2714867
EP12 – SER_COM_24_2714868
EP13 – SER_COM_24_2714869
EP14 – SER_COM_24_2714870
EP15 – SER_COM_24_2714871
EP16 – SER_COM_24_2714872</t>
        </is>
      </c>
      <c r="C59" s="108" t="inlineStr">
        <is>
          <t>The Law Café</t>
        </is>
      </c>
      <c r="D59" s="590" t="inlineStr">
        <is>
          <t>Tiệm café luật</t>
        </is>
      </c>
      <c r="E59" s="108" t="inlineStr">
        <is>
          <t>Viu</t>
        </is>
      </c>
      <c r="F59" s="590" t="inlineStr">
        <is>
          <t xml:space="preserve">PCCW VUCLIP/2024/HDBQ Output deal </t>
        </is>
      </c>
      <c r="G59" s="108" t="inlineStr">
        <is>
          <t>Korea</t>
        </is>
      </c>
      <c r="H59" s="289" t="n">
        <v>2022</v>
      </c>
      <c r="I59" s="108" t="n">
        <v>16</v>
      </c>
      <c r="J59" s="108" t="n">
        <v>70</v>
      </c>
      <c r="K59" s="449">
        <f>(I59*J59)/60</f>
        <v/>
      </c>
      <c r="L59" s="305" t="n">
        <v>16</v>
      </c>
      <c r="M59" s="108" t="inlineStr">
        <is>
          <t>Comedy, Romance</t>
        </is>
      </c>
      <c r="N59" s="108" t="inlineStr">
        <is>
          <t>Comedy, Romance</t>
        </is>
      </c>
      <c r="O59" s="590" t="n"/>
      <c r="P59" s="590" t="inlineStr">
        <is>
          <t>VOD only</t>
        </is>
      </c>
      <c r="Q59" s="590" t="n">
        <v>45474</v>
      </c>
      <c r="R59" s="590" t="n"/>
      <c r="S59" s="590" t="n"/>
      <c r="T59" s="108" t="inlineStr">
        <is>
          <t>No</t>
        </is>
      </c>
      <c r="U59" s="590" t="inlineStr">
        <is>
          <t>Yes</t>
        </is>
      </c>
      <c r="V59" s="590" t="inlineStr">
        <is>
          <t>No</t>
        </is>
      </c>
      <c r="W59" s="290" t="inlineStr">
        <is>
          <t>Yes</t>
        </is>
      </c>
      <c r="X59" s="290" t="inlineStr">
        <is>
          <t>Yes</t>
        </is>
      </c>
      <c r="Y59" s="290" t="inlineStr">
        <is>
          <t>Yes</t>
        </is>
      </c>
      <c r="Z59" s="290" t="inlineStr">
        <is>
          <t>Yes</t>
        </is>
      </c>
      <c r="AA59" s="290" t="inlineStr">
        <is>
          <t>Yes</t>
        </is>
      </c>
      <c r="AB59" s="290" t="inlineStr">
        <is>
          <t>Yes</t>
        </is>
      </c>
      <c r="AC59" s="308" t="n">
        <v>45474</v>
      </c>
      <c r="AD59" s="308" t="n">
        <v>46934</v>
      </c>
      <c r="AE59" s="590" t="n"/>
      <c r="AF59" s="306" t="n"/>
      <c r="AG59" s="641" t="n"/>
      <c r="AH59" s="309" t="n"/>
      <c r="AI59" s="642" t="inlineStr">
        <is>
          <t>Yes</t>
        </is>
      </c>
      <c r="AJ59" s="642" t="inlineStr">
        <is>
          <t>Yes</t>
        </is>
      </c>
      <c r="AK59" s="307" t="n"/>
      <c r="AL59" s="590" t="inlineStr">
        <is>
          <t>Phim còn hạn từ 2026</t>
        </is>
      </c>
      <c r="AM59" s="367" t="inlineStr">
        <is>
          <t>Tồn kho bản quyền: Gói series VOD từ PCCW (Viu)</t>
        </is>
      </c>
      <c r="AN59" s="203" t="n"/>
      <c r="AO59" s="128">
        <f>SUMIF('TK 15661.Bản quyền phim '!F:F,'KK2. Series'!C59,'TK 15661.Bản quyền phim '!K:K)</f>
        <v/>
      </c>
      <c r="AP59" s="128">
        <f>COUNTIF('242.BQ Phim VOD'!$C$5:$C$8,'KK2. Series'!AM59)</f>
        <v/>
      </c>
      <c r="AQ59" s="128">
        <f>COUNTIF('TK 15666. Phim SX'!$C$6:$C$13,'KK2. Series'!AM59)</f>
        <v/>
      </c>
      <c r="AR59" s="203">
        <f>COUNTIF('TK 15661.Bản quyền phim '!F:F,'KK2. Series'!AM59)</f>
        <v/>
      </c>
      <c r="AS59" s="203" t="n"/>
      <c r="AT59" s="366">
        <f>SUM(AP59:AS59)</f>
        <v/>
      </c>
      <c r="AU59" s="203" t="n"/>
      <c r="AV59" s="203" t="n"/>
      <c r="AW59" s="203" t="n"/>
      <c r="AX59" s="203" t="n"/>
      <c r="AY59" s="203" t="n"/>
      <c r="AZ59" s="387" t="inlineStr">
        <is>
          <t>✓ Found</t>
        </is>
      </c>
      <c r="BB59" s="387" t="n"/>
    </row>
    <row r="60" ht="409.6" customHeight="1" s="578">
      <c r="A60" s="96" t="n">
        <v>54</v>
      </c>
      <c r="B60" s="97" t="inlineStr">
        <is>
          <t>EP01 – SER_DRA_24_2714873
EP02 – SER_DRA_24_2714874
EP03 – SER_DRA_24_2714875
EP04 – SER_DRA_24_2714876
EP05 – SER_DRA_24_2714877
EP06 – SER_DRA_24_2714878
EP07 – SER_DRA_24_2714879
EP08 – SER_DRA_24_2714880
EP09 – SER_DRA_24_2714881
EP10 – SER_DRA_24_2714882
EP11 – SER_DRA_24_2714883
EP12 – SER_DRA_24_2714884
EP13 – SER_DRA_24_2714885
EP14 – SER_DRA_24_2714886
EP15 – SER_DRA_24_2714887
EP16 – SER_DRA_24_2714888</t>
        </is>
      </c>
      <c r="C60" s="108" t="inlineStr">
        <is>
          <t>The Empire</t>
        </is>
      </c>
      <c r="D60" s="590" t="inlineStr">
        <is>
          <t>Đế chế pháp luật</t>
        </is>
      </c>
      <c r="E60" s="108" t="inlineStr">
        <is>
          <t>Viu</t>
        </is>
      </c>
      <c r="F60" s="590" t="inlineStr">
        <is>
          <t xml:space="preserve">PCCW VUCLIP/2024/HDBQ Output deal </t>
        </is>
      </c>
      <c r="G60" s="108" t="inlineStr">
        <is>
          <t>Korea</t>
        </is>
      </c>
      <c r="H60" s="289" t="n">
        <v>2022</v>
      </c>
      <c r="I60" s="108" t="n">
        <v>16</v>
      </c>
      <c r="J60" s="108" t="n">
        <v>70</v>
      </c>
      <c r="K60" s="449">
        <f>(I60*J60)/60</f>
        <v/>
      </c>
      <c r="L60" s="305" t="n">
        <v>16</v>
      </c>
      <c r="M60" s="108" t="inlineStr">
        <is>
          <t>Law, Drama</t>
        </is>
      </c>
      <c r="N60" s="108" t="inlineStr">
        <is>
          <t>Law, Drama</t>
        </is>
      </c>
      <c r="O60" s="590" t="n"/>
      <c r="P60" s="590" t="inlineStr">
        <is>
          <t>VOD only</t>
        </is>
      </c>
      <c r="Q60" s="590" t="n">
        <v>45474</v>
      </c>
      <c r="R60" s="590" t="n"/>
      <c r="S60" s="590" t="n"/>
      <c r="T60" s="108" t="inlineStr">
        <is>
          <t>No</t>
        </is>
      </c>
      <c r="U60" s="590" t="inlineStr">
        <is>
          <t>Yes</t>
        </is>
      </c>
      <c r="V60" s="590" t="inlineStr">
        <is>
          <t>No</t>
        </is>
      </c>
      <c r="W60" s="290" t="inlineStr">
        <is>
          <t>Yes</t>
        </is>
      </c>
      <c r="X60" s="290" t="inlineStr">
        <is>
          <t>Yes</t>
        </is>
      </c>
      <c r="Y60" s="290" t="inlineStr">
        <is>
          <t>Yes</t>
        </is>
      </c>
      <c r="Z60" s="290" t="inlineStr">
        <is>
          <t>Yes</t>
        </is>
      </c>
      <c r="AA60" s="290" t="inlineStr">
        <is>
          <t>Yes</t>
        </is>
      </c>
      <c r="AB60" s="290" t="inlineStr">
        <is>
          <t>Yes</t>
        </is>
      </c>
      <c r="AC60" s="308" t="n">
        <v>45474</v>
      </c>
      <c r="AD60" s="308" t="n">
        <v>46934</v>
      </c>
      <c r="AE60" s="590" t="n"/>
      <c r="AF60" s="306" t="n"/>
      <c r="AG60" s="641" t="n"/>
      <c r="AH60" s="309" t="n"/>
      <c r="AI60" s="642" t="inlineStr">
        <is>
          <t>Yes</t>
        </is>
      </c>
      <c r="AJ60" s="642" t="inlineStr">
        <is>
          <t>Yes</t>
        </is>
      </c>
      <c r="AK60" s="307" t="n"/>
      <c r="AL60" s="590" t="inlineStr">
        <is>
          <t>Phim còn hạn từ 2026</t>
        </is>
      </c>
      <c r="AM60" s="367" t="inlineStr">
        <is>
          <t>Tồn kho bản quyền: Gói series VOD từ PCCW (Viu)</t>
        </is>
      </c>
      <c r="AN60" s="203" t="n"/>
      <c r="AO60" s="128">
        <f>SUMIF('TK 15661.Bản quyền phim '!F:F,'KK2. Series'!C60,'TK 15661.Bản quyền phim '!K:K)</f>
        <v/>
      </c>
      <c r="AP60" s="128">
        <f>COUNTIF('242.BQ Phim VOD'!$C$5:$C$8,'KK2. Series'!AM60)</f>
        <v/>
      </c>
      <c r="AQ60" s="128">
        <f>COUNTIF('TK 15666. Phim SX'!$C$6:$C$13,'KK2. Series'!AM60)</f>
        <v/>
      </c>
      <c r="AR60" s="203">
        <f>COUNTIF('TK 15661.Bản quyền phim '!F:F,'KK2. Series'!AM60)</f>
        <v/>
      </c>
      <c r="AS60" s="203" t="n"/>
      <c r="AT60" s="366">
        <f>SUM(AP60:AS60)</f>
        <v/>
      </c>
      <c r="AU60" s="203" t="n"/>
      <c r="AV60" s="203" t="n"/>
      <c r="AW60" s="203" t="n"/>
      <c r="AX60" s="203" t="n"/>
      <c r="AY60" s="203" t="n"/>
      <c r="AZ60" s="387" t="inlineStr">
        <is>
          <t>✓ Found</t>
        </is>
      </c>
      <c r="BB60" s="387" t="n"/>
    </row>
    <row r="61" ht="43.2" customHeight="1" s="578">
      <c r="A61" s="96" t="n">
        <v>55</v>
      </c>
      <c r="B61" s="114" t="inlineStr">
        <is>
          <t>MOV_ACT_24__2713582</t>
        </is>
      </c>
      <c r="C61" s="108" t="inlineStr">
        <is>
          <t>Taxi Driver 2 Special: Crime Story</t>
        </is>
      </c>
      <c r="D61" s="590" t="inlineStr">
        <is>
          <t>Ẩn danh 2: Câu chuyện vụ án</t>
        </is>
      </c>
      <c r="E61" s="108" t="inlineStr">
        <is>
          <t>Viu</t>
        </is>
      </c>
      <c r="F61" s="590" t="inlineStr">
        <is>
          <t xml:space="preserve">PCCW VUCLIP/2024/HDBQ Output deal </t>
        </is>
      </c>
      <c r="G61" s="108" t="inlineStr">
        <is>
          <t>Korea</t>
        </is>
      </c>
      <c r="H61" s="289" t="n">
        <v>2023</v>
      </c>
      <c r="I61" s="108" t="n">
        <v>1</v>
      </c>
      <c r="J61" s="108" t="n">
        <v>120</v>
      </c>
      <c r="K61" s="449">
        <f>(I61*J61)/60</f>
        <v/>
      </c>
      <c r="L61" s="305" t="n">
        <v>1</v>
      </c>
      <c r="M61" s="108" t="inlineStr">
        <is>
          <t>action</t>
        </is>
      </c>
      <c r="N61" s="108" t="inlineStr">
        <is>
          <t>action</t>
        </is>
      </c>
      <c r="O61" s="590" t="n"/>
      <c r="P61" s="590" t="inlineStr">
        <is>
          <t>VOD only</t>
        </is>
      </c>
      <c r="Q61" s="590" t="n">
        <v>45474</v>
      </c>
      <c r="R61" s="590" t="n"/>
      <c r="S61" s="590" t="n"/>
      <c r="T61" s="108" t="inlineStr">
        <is>
          <t>No</t>
        </is>
      </c>
      <c r="U61" s="590" t="inlineStr">
        <is>
          <t>Yes</t>
        </is>
      </c>
      <c r="V61" s="590" t="inlineStr">
        <is>
          <t>No</t>
        </is>
      </c>
      <c r="W61" s="290" t="inlineStr">
        <is>
          <t>Yes</t>
        </is>
      </c>
      <c r="X61" s="290" t="inlineStr">
        <is>
          <t>Yes</t>
        </is>
      </c>
      <c r="Y61" s="290" t="inlineStr">
        <is>
          <t>Yes</t>
        </is>
      </c>
      <c r="Z61" s="290" t="inlineStr">
        <is>
          <t>Yes</t>
        </is>
      </c>
      <c r="AA61" s="290" t="inlineStr">
        <is>
          <t>Yes</t>
        </is>
      </c>
      <c r="AB61" s="290" t="inlineStr">
        <is>
          <t>Yes</t>
        </is>
      </c>
      <c r="AC61" s="308" t="n">
        <v>45474</v>
      </c>
      <c r="AD61" s="308" t="n">
        <v>46934</v>
      </c>
      <c r="AE61" s="590" t="n"/>
      <c r="AF61" s="306" t="n"/>
      <c r="AG61" s="641" t="n"/>
      <c r="AH61" s="309" t="n"/>
      <c r="AI61" s="642" t="inlineStr">
        <is>
          <t>Yes</t>
        </is>
      </c>
      <c r="AJ61" s="642" t="inlineStr">
        <is>
          <t>Yes</t>
        </is>
      </c>
      <c r="AK61" s="307" t="n"/>
      <c r="AL61" s="590" t="inlineStr">
        <is>
          <t>Phim còn hạn từ 2026</t>
        </is>
      </c>
      <c r="AM61" s="367" t="inlineStr">
        <is>
          <t>Tồn kho bản quyền: Gói series VOD từ PCCW (Viu)</t>
        </is>
      </c>
      <c r="AN61" s="203" t="n"/>
      <c r="AO61" s="128">
        <f>SUMIF('TK 15661.Bản quyền phim '!F:F,'KK2. Series'!C61,'TK 15661.Bản quyền phim '!K:K)</f>
        <v/>
      </c>
      <c r="AP61" s="128">
        <f>COUNTIF('242.BQ Phim VOD'!$C$5:$C$8,'KK2. Series'!AM61)</f>
        <v/>
      </c>
      <c r="AQ61" s="128">
        <f>COUNTIF('TK 15666. Phim SX'!$C$6:$C$13,'KK2. Series'!AM61)</f>
        <v/>
      </c>
      <c r="AR61" s="203">
        <f>COUNTIF('TK 15661.Bản quyền phim '!F:F,'KK2. Series'!AM61)</f>
        <v/>
      </c>
      <c r="AS61" s="203" t="n"/>
      <c r="AT61" s="366">
        <f>SUM(AP61:AS61)</f>
        <v/>
      </c>
      <c r="AU61" s="203" t="n"/>
      <c r="AV61" s="203" t="n"/>
      <c r="AW61" s="203" t="n"/>
      <c r="AX61" s="203" t="n"/>
      <c r="AY61" s="203" t="n"/>
      <c r="AZ61" s="387" t="inlineStr">
        <is>
          <t>✓ Found</t>
        </is>
      </c>
      <c r="BB61" s="387" t="n"/>
    </row>
    <row r="62" ht="43.2" customHeight="1" s="578">
      <c r="A62" s="96" t="n">
        <v>56</v>
      </c>
      <c r="B62" s="114" t="inlineStr">
        <is>
          <t>MOV_K_T_24__2713583</t>
        </is>
      </c>
      <c r="C62" s="108" t="inlineStr">
        <is>
          <t>Taxi Driver 2 Special: Rainbow Crew</t>
        </is>
      </c>
      <c r="D62" s="590" t="inlineStr">
        <is>
          <t>Ẩn danh 2: Đội Cầu Vồng</t>
        </is>
      </c>
      <c r="E62" s="108" t="inlineStr">
        <is>
          <t>Viu</t>
        </is>
      </c>
      <c r="F62" s="590" t="inlineStr">
        <is>
          <t xml:space="preserve">PCCW VUCLIP/2024/HDBQ Output deal </t>
        </is>
      </c>
      <c r="G62" s="108" t="inlineStr">
        <is>
          <t>Korea</t>
        </is>
      </c>
      <c r="H62" s="289" t="n">
        <v>2023</v>
      </c>
      <c r="I62" s="108" t="n">
        <v>1</v>
      </c>
      <c r="J62" s="108" t="n">
        <v>90</v>
      </c>
      <c r="K62" s="449">
        <f>(I62*J62)/60</f>
        <v/>
      </c>
      <c r="L62" s="305" t="n">
        <v>1</v>
      </c>
      <c r="M62" s="108" t="inlineStr">
        <is>
          <t xml:space="preserve">Talkshow </t>
        </is>
      </c>
      <c r="N62" s="108" t="inlineStr">
        <is>
          <t xml:space="preserve">Talkshow </t>
        </is>
      </c>
      <c r="O62" s="590" t="n"/>
      <c r="P62" s="590" t="inlineStr">
        <is>
          <t>VOD only</t>
        </is>
      </c>
      <c r="Q62" s="590" t="n">
        <v>45474</v>
      </c>
      <c r="R62" s="590" t="n"/>
      <c r="S62" s="590" t="n"/>
      <c r="T62" s="108" t="inlineStr">
        <is>
          <t>No</t>
        </is>
      </c>
      <c r="U62" s="590" t="inlineStr">
        <is>
          <t>Yes</t>
        </is>
      </c>
      <c r="V62" s="590" t="inlineStr">
        <is>
          <t>No</t>
        </is>
      </c>
      <c r="W62" s="290" t="inlineStr">
        <is>
          <t>Yes</t>
        </is>
      </c>
      <c r="X62" s="290" t="inlineStr">
        <is>
          <t>Yes</t>
        </is>
      </c>
      <c r="Y62" s="290" t="inlineStr">
        <is>
          <t>Yes</t>
        </is>
      </c>
      <c r="Z62" s="290" t="inlineStr">
        <is>
          <t>Yes</t>
        </is>
      </c>
      <c r="AA62" s="290" t="inlineStr">
        <is>
          <t>Yes</t>
        </is>
      </c>
      <c r="AB62" s="290" t="inlineStr">
        <is>
          <t>Yes</t>
        </is>
      </c>
      <c r="AC62" s="308" t="n">
        <v>45474</v>
      </c>
      <c r="AD62" s="308" t="n">
        <v>46934</v>
      </c>
      <c r="AE62" s="590" t="n"/>
      <c r="AF62" s="306" t="n"/>
      <c r="AG62" s="641" t="n"/>
      <c r="AH62" s="309" t="n"/>
      <c r="AI62" s="642" t="inlineStr">
        <is>
          <t>Yes</t>
        </is>
      </c>
      <c r="AJ62" s="642" t="inlineStr">
        <is>
          <t>Yes</t>
        </is>
      </c>
      <c r="AK62" s="307" t="n"/>
      <c r="AL62" s="590" t="inlineStr">
        <is>
          <t>Phim còn hạn từ 2026</t>
        </is>
      </c>
      <c r="AM62" s="367" t="inlineStr">
        <is>
          <t>Tồn kho bản quyền: Gói series VOD từ PCCW (Viu)</t>
        </is>
      </c>
      <c r="AN62" s="203" t="n"/>
      <c r="AO62" s="128">
        <f>SUMIF('TK 15661.Bản quyền phim '!F:F,'KK2. Series'!C62,'TK 15661.Bản quyền phim '!K:K)</f>
        <v/>
      </c>
      <c r="AP62" s="128">
        <f>COUNTIF('242.BQ Phim VOD'!$C$5:$C$8,'KK2. Series'!AM62)</f>
        <v/>
      </c>
      <c r="AQ62" s="128">
        <f>COUNTIF('TK 15666. Phim SX'!$C$6:$C$13,'KK2. Series'!AM62)</f>
        <v/>
      </c>
      <c r="AR62" s="203">
        <f>COUNTIF('TK 15661.Bản quyền phim '!F:F,'KK2. Series'!AM62)</f>
        <v/>
      </c>
      <c r="AS62" s="203" t="n"/>
      <c r="AT62" s="366">
        <f>SUM(AP62:AS62)</f>
        <v/>
      </c>
      <c r="AU62" s="203" t="n"/>
      <c r="AV62" s="203" t="n"/>
      <c r="AW62" s="203" t="n"/>
      <c r="AX62" s="203" t="n"/>
      <c r="AY62" s="203" t="n"/>
      <c r="AZ62" s="387" t="inlineStr">
        <is>
          <t>✓ Found</t>
        </is>
      </c>
      <c r="BB62" s="387" t="n"/>
    </row>
    <row r="63" ht="409.6" customHeight="1" s="578">
      <c r="A63" s="96" t="n">
        <v>57</v>
      </c>
      <c r="B63" s="97" t="inlineStr">
        <is>
          <t>EP01 – SER_ROM_24_2714889
EP02 – SER_ROM_24_2714890
EP03 – SER_ROM_24_2714891
EP04 – SER_ROM_24_2714892
EP05 – SER_ROM_24_2714893
EP06 – SER_ROM_24_2714894
EP07 – SER_ROM_24_2714895
EP08 – SER_ROM_24_2714896
EP09 – SER_ROM_24_2714897
EP10 – SER_ROM_24_2714898
EP11 – SER_ROM_24_2714899
EP12 – SER_ROM_24_2714900
EP13 – SER_ROM_24_2714901
EP14 – SER_ROM_24_2714902
EP15 – SER_ROM_24_2714903
EP16 – SER_ROM_24_2714904</t>
        </is>
      </c>
      <c r="C63" s="108" t="inlineStr">
        <is>
          <t>My Perfect Stranger</t>
        </is>
      </c>
      <c r="D63" s="590" t="inlineStr">
        <is>
          <t>Người lạ hoàn hảo</t>
        </is>
      </c>
      <c r="E63" s="108" t="inlineStr">
        <is>
          <t>Viu</t>
        </is>
      </c>
      <c r="F63" s="590" t="inlineStr">
        <is>
          <t xml:space="preserve">PCCW VUCLIP/2024/HDBQ Output deal </t>
        </is>
      </c>
      <c r="G63" s="108" t="inlineStr">
        <is>
          <t>Korea</t>
        </is>
      </c>
      <c r="H63" s="289" t="n">
        <v>2023</v>
      </c>
      <c r="I63" s="108" t="n">
        <v>16</v>
      </c>
      <c r="J63" s="108" t="n">
        <v>70</v>
      </c>
      <c r="K63" s="449">
        <f>(I63*J63)/60</f>
        <v/>
      </c>
      <c r="L63" s="305" t="n">
        <v>16</v>
      </c>
      <c r="M63" s="108" t="inlineStr">
        <is>
          <t>Mystery, Romance, Drama</t>
        </is>
      </c>
      <c r="N63" s="108" t="inlineStr">
        <is>
          <t>Mystery, Romance, Drama</t>
        </is>
      </c>
      <c r="O63" s="590" t="n"/>
      <c r="P63" s="590" t="inlineStr">
        <is>
          <t>VOD only</t>
        </is>
      </c>
      <c r="Q63" s="590" t="n">
        <v>45474</v>
      </c>
      <c r="R63" s="590" t="n"/>
      <c r="S63" s="590" t="n"/>
      <c r="T63" s="108" t="inlineStr">
        <is>
          <t>No</t>
        </is>
      </c>
      <c r="U63" s="590" t="inlineStr">
        <is>
          <t>Yes</t>
        </is>
      </c>
      <c r="V63" s="590" t="inlineStr">
        <is>
          <t>No</t>
        </is>
      </c>
      <c r="W63" s="290" t="inlineStr">
        <is>
          <t>Yes</t>
        </is>
      </c>
      <c r="X63" s="290" t="inlineStr">
        <is>
          <t>Yes</t>
        </is>
      </c>
      <c r="Y63" s="290" t="inlineStr">
        <is>
          <t>Yes</t>
        </is>
      </c>
      <c r="Z63" s="290" t="inlineStr">
        <is>
          <t>Yes</t>
        </is>
      </c>
      <c r="AA63" s="290" t="inlineStr">
        <is>
          <t>Yes</t>
        </is>
      </c>
      <c r="AB63" s="290" t="inlineStr">
        <is>
          <t>Yes</t>
        </is>
      </c>
      <c r="AC63" s="308" t="n">
        <v>45474</v>
      </c>
      <c r="AD63" s="308" t="n">
        <v>46934</v>
      </c>
      <c r="AE63" s="590" t="n"/>
      <c r="AF63" s="306" t="n"/>
      <c r="AG63" s="641" t="n"/>
      <c r="AH63" s="309" t="n"/>
      <c r="AI63" s="642" t="inlineStr">
        <is>
          <t>Yes</t>
        </is>
      </c>
      <c r="AJ63" s="642" t="inlineStr">
        <is>
          <t>Yes</t>
        </is>
      </c>
      <c r="AK63" s="307" t="n"/>
      <c r="AL63" s="590" t="inlineStr">
        <is>
          <t>Phim còn hạn từ 2026</t>
        </is>
      </c>
      <c r="AM63" s="367" t="inlineStr">
        <is>
          <t>Tồn kho bản quyền: Gói series VOD từ PCCW (Viu)</t>
        </is>
      </c>
      <c r="AN63" s="203" t="n"/>
      <c r="AO63" s="128">
        <f>SUMIF('TK 15661.Bản quyền phim '!F:F,'KK2. Series'!C63,'TK 15661.Bản quyền phim '!K:K)</f>
        <v/>
      </c>
      <c r="AP63" s="128">
        <f>COUNTIF('242.BQ Phim VOD'!$C$5:$C$8,'KK2. Series'!AM63)</f>
        <v/>
      </c>
      <c r="AQ63" s="128">
        <f>COUNTIF('TK 15666. Phim SX'!$C$6:$C$13,'KK2. Series'!AM63)</f>
        <v/>
      </c>
      <c r="AR63" s="203">
        <f>COUNTIF('TK 15661.Bản quyền phim '!F:F,'KK2. Series'!AM63)</f>
        <v/>
      </c>
      <c r="AS63" s="203" t="n"/>
      <c r="AT63" s="366">
        <f>SUM(AP63:AS63)</f>
        <v/>
      </c>
      <c r="AU63" s="203" t="n"/>
      <c r="AV63" s="203" t="n"/>
      <c r="AW63" s="203" t="n"/>
      <c r="AX63" s="203" t="n"/>
      <c r="AY63" s="203" t="n"/>
      <c r="AZ63" s="387" t="inlineStr">
        <is>
          <t>✓ Found</t>
        </is>
      </c>
      <c r="BB63" s="387" t="n"/>
    </row>
    <row r="64" ht="369.6" customHeight="1" s="578">
      <c r="A64" s="96" t="n">
        <v>58</v>
      </c>
      <c r="B64" s="97" t="inlineStr">
        <is>
          <t>EP01 – SER_ROM_24_2715455
EP02 – SER_ROM_24_2715456
EP03 – SER_ROM_24_2715457
EP04 – SER_ROM_24_2715458
EP05 – SER_ROM_24_2715459
EP06 – SER_ROM_24_2715460
EP07 – SER_ROM_24_2715461
EP08 – SER_ROM_24_2715462
EP09 – SER_ROM_24_2715463
EP10 – SER_ROM_24_2715464
EP11 – SER_ROM_24_2715465
EP12 – SER_ROM_24_2715466
EP13 – SER_ROM_24_2715467
EP14 – SER_ROM_24_2715468</t>
        </is>
      </c>
      <c r="C64" s="108" t="inlineStr">
        <is>
          <t>A Good Day to be a Dog</t>
        </is>
      </c>
      <c r="D64" s="590" t="inlineStr">
        <is>
          <t>Ngày đẹp để trở thành cún</t>
        </is>
      </c>
      <c r="E64" s="108" t="inlineStr">
        <is>
          <t>Viu</t>
        </is>
      </c>
      <c r="F64" s="590" t="inlineStr">
        <is>
          <t xml:space="preserve">PCCW VUCLIP/2024/HDBQ Output deal </t>
        </is>
      </c>
      <c r="G64" s="108" t="inlineStr">
        <is>
          <t>Korea</t>
        </is>
      </c>
      <c r="H64" s="289" t="n">
        <v>2023</v>
      </c>
      <c r="I64" s="108" t="n">
        <v>14</v>
      </c>
      <c r="J64" s="108" t="n">
        <v>70</v>
      </c>
      <c r="K64" s="449">
        <f>(I64*J64)/60</f>
        <v/>
      </c>
      <c r="L64" s="305" t="n">
        <v>14</v>
      </c>
      <c r="M64" s="108" t="inlineStr">
        <is>
          <t>Romance, Drama, Fantasy, Supernatural</t>
        </is>
      </c>
      <c r="N64" s="108" t="inlineStr">
        <is>
          <t>Romance, Drama, Fantasy, Supernatural</t>
        </is>
      </c>
      <c r="O64" s="590" t="n"/>
      <c r="P64" s="590" t="inlineStr">
        <is>
          <t>VOD only</t>
        </is>
      </c>
      <c r="Q64" s="590" t="n">
        <v>45474</v>
      </c>
      <c r="R64" s="590" t="n"/>
      <c r="S64" s="590" t="n"/>
      <c r="T64" s="108" t="inlineStr">
        <is>
          <t>No</t>
        </is>
      </c>
      <c r="U64" s="590" t="inlineStr">
        <is>
          <t>Yes</t>
        </is>
      </c>
      <c r="V64" s="590" t="inlineStr">
        <is>
          <t>No</t>
        </is>
      </c>
      <c r="W64" s="290" t="inlineStr">
        <is>
          <t>Yes</t>
        </is>
      </c>
      <c r="X64" s="290" t="inlineStr">
        <is>
          <t>Yes</t>
        </is>
      </c>
      <c r="Y64" s="290" t="inlineStr">
        <is>
          <t>Yes</t>
        </is>
      </c>
      <c r="Z64" s="290" t="inlineStr">
        <is>
          <t>Yes</t>
        </is>
      </c>
      <c r="AA64" s="290" t="inlineStr">
        <is>
          <t>Yes</t>
        </is>
      </c>
      <c r="AB64" s="290" t="inlineStr">
        <is>
          <t>Yes</t>
        </is>
      </c>
      <c r="AC64" s="308" t="n">
        <v>45474</v>
      </c>
      <c r="AD64" s="308" t="n">
        <v>46934</v>
      </c>
      <c r="AE64" s="590" t="n"/>
      <c r="AF64" s="306" t="n"/>
      <c r="AG64" s="641" t="n"/>
      <c r="AH64" s="309" t="n"/>
      <c r="AI64" s="642" t="inlineStr">
        <is>
          <t>Yes</t>
        </is>
      </c>
      <c r="AJ64" s="642" t="inlineStr">
        <is>
          <t>Yes</t>
        </is>
      </c>
      <c r="AK64" s="307" t="n"/>
      <c r="AL64" s="590" t="inlineStr">
        <is>
          <t>Phim còn hạn từ 2026</t>
        </is>
      </c>
      <c r="AM64" s="367" t="inlineStr">
        <is>
          <t>Tồn kho bản quyền: Gói series VOD từ PCCW (Viu)</t>
        </is>
      </c>
      <c r="AN64" s="203" t="n"/>
      <c r="AO64" s="128">
        <f>SUMIF('TK 15661.Bản quyền phim '!F:F,'KK2. Series'!C64,'TK 15661.Bản quyền phim '!K:K)</f>
        <v/>
      </c>
      <c r="AP64" s="128">
        <f>COUNTIF('242.BQ Phim VOD'!$C$5:$C$8,'KK2. Series'!AM64)</f>
        <v/>
      </c>
      <c r="AQ64" s="128">
        <f>COUNTIF('TK 15666. Phim SX'!$C$6:$C$13,'KK2. Series'!AM64)</f>
        <v/>
      </c>
      <c r="AR64" s="203">
        <f>COUNTIF('TK 15661.Bản quyền phim '!F:F,'KK2. Series'!AM64)</f>
        <v/>
      </c>
      <c r="AS64" s="203" t="n"/>
      <c r="AT64" s="366">
        <f>SUM(AP64:AS64)</f>
        <v/>
      </c>
      <c r="AU64" s="203" t="n"/>
      <c r="AV64" s="203" t="n"/>
      <c r="AW64" s="203" t="n"/>
      <c r="AX64" s="203" t="n"/>
      <c r="AY64" s="203" t="n"/>
      <c r="AZ64" s="387" t="inlineStr">
        <is>
          <t>✓ Found</t>
        </is>
      </c>
      <c r="BB64" s="387" t="n"/>
    </row>
    <row r="65" ht="52.8" customHeight="1" s="578">
      <c r="A65" s="96" t="n">
        <v>59</v>
      </c>
      <c r="B65" s="114" t="inlineStr">
        <is>
          <t>SER_ROM_24_2715469</t>
        </is>
      </c>
      <c r="C65" s="108" t="inlineStr">
        <is>
          <t>A Good Day to be a Dog (Special Episode)</t>
        </is>
      </c>
      <c r="D65" s="590" t="inlineStr">
        <is>
          <t>Ngày đẹp để trở thành cún - Tập đặc biệt</t>
        </is>
      </c>
      <c r="E65" s="108" t="inlineStr">
        <is>
          <t>Viu</t>
        </is>
      </c>
      <c r="F65" s="590" t="inlineStr">
        <is>
          <t xml:space="preserve">PCCW VUCLIP/2024/HDBQ Output deal </t>
        </is>
      </c>
      <c r="G65" s="108" t="inlineStr">
        <is>
          <t>Korea</t>
        </is>
      </c>
      <c r="H65" s="289" t="n">
        <v>2023</v>
      </c>
      <c r="I65" s="108" t="n">
        <v>1</v>
      </c>
      <c r="J65" s="108" t="n">
        <v>80</v>
      </c>
      <c r="K65" s="449">
        <f>(I65*J65)/60</f>
        <v/>
      </c>
      <c r="L65" s="305" t="n">
        <v>1</v>
      </c>
      <c r="M65" s="108" t="inlineStr">
        <is>
          <t>Romance, Drama, Fantasy, Supernatural</t>
        </is>
      </c>
      <c r="N65" s="108" t="inlineStr">
        <is>
          <t>Romance, Drama, Fantasy, Supernatural</t>
        </is>
      </c>
      <c r="O65" s="590" t="n"/>
      <c r="P65" s="590" t="inlineStr">
        <is>
          <t>VOD only</t>
        </is>
      </c>
      <c r="Q65" s="590" t="n">
        <v>45474</v>
      </c>
      <c r="R65" s="590" t="n"/>
      <c r="S65" s="590" t="n"/>
      <c r="T65" s="108" t="inlineStr">
        <is>
          <t>No</t>
        </is>
      </c>
      <c r="U65" s="590" t="inlineStr">
        <is>
          <t>Yes</t>
        </is>
      </c>
      <c r="V65" s="590" t="inlineStr">
        <is>
          <t>No</t>
        </is>
      </c>
      <c r="W65" s="290" t="inlineStr">
        <is>
          <t>Yes</t>
        </is>
      </c>
      <c r="X65" s="290" t="inlineStr">
        <is>
          <t>Yes</t>
        </is>
      </c>
      <c r="Y65" s="290" t="inlineStr">
        <is>
          <t>Yes</t>
        </is>
      </c>
      <c r="Z65" s="290" t="inlineStr">
        <is>
          <t>Yes</t>
        </is>
      </c>
      <c r="AA65" s="290" t="inlineStr">
        <is>
          <t>Yes</t>
        </is>
      </c>
      <c r="AB65" s="290" t="inlineStr">
        <is>
          <t>Yes</t>
        </is>
      </c>
      <c r="AC65" s="308" t="n">
        <v>45474</v>
      </c>
      <c r="AD65" s="308" t="n">
        <v>46934</v>
      </c>
      <c r="AE65" s="590" t="n"/>
      <c r="AF65" s="306" t="n"/>
      <c r="AG65" s="641" t="n"/>
      <c r="AH65" s="309" t="n"/>
      <c r="AI65" s="642" t="inlineStr">
        <is>
          <t>Yes</t>
        </is>
      </c>
      <c r="AJ65" s="642" t="inlineStr">
        <is>
          <t>Yes</t>
        </is>
      </c>
      <c r="AK65" s="307" t="n"/>
      <c r="AL65" s="590" t="inlineStr">
        <is>
          <t>Phim còn hạn từ 2026</t>
        </is>
      </c>
      <c r="AM65" s="367" t="inlineStr">
        <is>
          <t>Tồn kho bản quyền: Gói series VOD từ PCCW (Viu)</t>
        </is>
      </c>
      <c r="AN65" s="203" t="n"/>
      <c r="AO65" s="128">
        <f>SUMIF('TK 15661.Bản quyền phim '!F:F,'KK2. Series'!C65,'TK 15661.Bản quyền phim '!K:K)</f>
        <v/>
      </c>
      <c r="AP65" s="128">
        <f>COUNTIF('242.BQ Phim VOD'!$C$5:$C$8,'KK2. Series'!AM65)</f>
        <v/>
      </c>
      <c r="AQ65" s="128">
        <f>COUNTIF('TK 15666. Phim SX'!$C$6:$C$13,'KK2. Series'!AM65)</f>
        <v/>
      </c>
      <c r="AR65" s="203">
        <f>COUNTIF('TK 15661.Bản quyền phim '!F:F,'KK2. Series'!AM65)</f>
        <v/>
      </c>
      <c r="AS65" s="203" t="n"/>
      <c r="AT65" s="366">
        <f>SUM(AP65:AS65)</f>
        <v/>
      </c>
      <c r="AU65" s="203" t="n"/>
      <c r="AV65" s="203" t="n"/>
      <c r="AW65" s="203" t="n"/>
      <c r="AX65" s="203" t="n"/>
      <c r="AY65" s="203" t="n"/>
      <c r="AZ65" s="387" t="inlineStr">
        <is>
          <t>✓ Found</t>
        </is>
      </c>
      <c r="BB65" s="387" t="n"/>
    </row>
    <row r="66" ht="369.6" customHeight="1" s="578">
      <c r="A66" s="96" t="n">
        <v>60</v>
      </c>
      <c r="B66" s="97" t="inlineStr">
        <is>
          <t>EP01 – SER_FAN_24_2715441
EP02 – SER_FAN_24_2715442
EP03 – SER_FAN_24_2715443
EP04 – SER_FAN_24_2715444
EP05 – SER_FAN_24_2715445
EP06 – SER_FAN_24_2715446
EP07 – SER_FAN_24_2715447
EP08 – SER_FAN_24_2715448
EP09 – SER_FAN_24_2715449
EP10 – SER_FAN_24_2715450
EP11 – SER_FAN_24_2715451
EP12 – SER_FAN_24_2715452
EP13 – SER_FAN_24_2715453
EP14 – SER_FAN_24_2715454</t>
        </is>
      </c>
      <c r="C66" s="108" t="inlineStr">
        <is>
          <t>Moon in the Day</t>
        </is>
      </c>
      <c r="D66" s="590" t="inlineStr">
        <is>
          <t>Trăng lên ban ngày</t>
        </is>
      </c>
      <c r="E66" s="108" t="inlineStr">
        <is>
          <t>Viu</t>
        </is>
      </c>
      <c r="F66" s="590" t="inlineStr">
        <is>
          <t xml:space="preserve">PCCW VUCLIP/2024/HDBQ Output deal </t>
        </is>
      </c>
      <c r="G66" s="108" t="inlineStr">
        <is>
          <t>Korea</t>
        </is>
      </c>
      <c r="H66" s="289" t="n">
        <v>2023</v>
      </c>
      <c r="I66" s="108" t="n">
        <v>14</v>
      </c>
      <c r="J66" s="108" t="n">
        <v>70</v>
      </c>
      <c r="K66" s="449">
        <f>(I66*J66)/60</f>
        <v/>
      </c>
      <c r="L66" s="305" t="n">
        <v>14</v>
      </c>
      <c r="M66" s="108" t="inlineStr">
        <is>
          <t>Thriller, Historical, Romance, Fantasy</t>
        </is>
      </c>
      <c r="N66" s="108" t="inlineStr">
        <is>
          <t>Thriller, Historical, Romance, Fantasy</t>
        </is>
      </c>
      <c r="O66" s="590" t="n"/>
      <c r="P66" s="590" t="inlineStr">
        <is>
          <t>VOD only</t>
        </is>
      </c>
      <c r="Q66" s="590" t="n">
        <v>45474</v>
      </c>
      <c r="R66" s="590" t="n"/>
      <c r="S66" s="590" t="n"/>
      <c r="T66" s="108" t="inlineStr">
        <is>
          <t>No</t>
        </is>
      </c>
      <c r="U66" s="590" t="inlineStr">
        <is>
          <t>Yes</t>
        </is>
      </c>
      <c r="V66" s="590" t="inlineStr">
        <is>
          <t>No</t>
        </is>
      </c>
      <c r="W66" s="290" t="inlineStr">
        <is>
          <t>Yes</t>
        </is>
      </c>
      <c r="X66" s="290" t="inlineStr">
        <is>
          <t>Yes</t>
        </is>
      </c>
      <c r="Y66" s="290" t="inlineStr">
        <is>
          <t>Yes</t>
        </is>
      </c>
      <c r="Z66" s="290" t="inlineStr">
        <is>
          <t>Yes</t>
        </is>
      </c>
      <c r="AA66" s="290" t="inlineStr">
        <is>
          <t>Yes</t>
        </is>
      </c>
      <c r="AB66" s="290" t="inlineStr">
        <is>
          <t>Yes</t>
        </is>
      </c>
      <c r="AC66" s="308" t="n">
        <v>45474</v>
      </c>
      <c r="AD66" s="308" t="n">
        <v>46934</v>
      </c>
      <c r="AE66" s="590" t="n"/>
      <c r="AF66" s="306" t="n"/>
      <c r="AG66" s="641" t="n"/>
      <c r="AH66" s="309" t="n"/>
      <c r="AI66" s="642" t="inlineStr">
        <is>
          <t>Yes</t>
        </is>
      </c>
      <c r="AJ66" s="642" t="inlineStr">
        <is>
          <t>Yes</t>
        </is>
      </c>
      <c r="AK66" s="307" t="n"/>
      <c r="AL66" s="590" t="inlineStr">
        <is>
          <t>Phim còn hạn từ 2026</t>
        </is>
      </c>
      <c r="AM66" s="367" t="inlineStr">
        <is>
          <t>Tồn kho bản quyền: Gói series VOD từ PCCW (Viu)</t>
        </is>
      </c>
      <c r="AN66" s="203" t="n"/>
      <c r="AO66" s="128">
        <f>SUMIF('TK 15661.Bản quyền phim '!F:F,'KK2. Series'!C66,'TK 15661.Bản quyền phim '!K:K)</f>
        <v/>
      </c>
      <c r="AP66" s="128">
        <f>COUNTIF('242.BQ Phim VOD'!$C$5:$C$8,'KK2. Series'!AM66)</f>
        <v/>
      </c>
      <c r="AQ66" s="128">
        <f>COUNTIF('TK 15666. Phim SX'!$C$6:$C$13,'KK2. Series'!AM66)</f>
        <v/>
      </c>
      <c r="AR66" s="203">
        <f>COUNTIF('TK 15661.Bản quyền phim '!F:F,'KK2. Series'!AM66)</f>
        <v/>
      </c>
      <c r="AS66" s="203" t="n"/>
      <c r="AT66" s="366">
        <f>SUM(AP66:AS66)</f>
        <v/>
      </c>
      <c r="AU66" s="203" t="n"/>
      <c r="AV66" s="203" t="n"/>
      <c r="AW66" s="203" t="n"/>
      <c r="AX66" s="203" t="n"/>
      <c r="AY66" s="203" t="n"/>
      <c r="AZ66" s="387" t="inlineStr">
        <is>
          <t>✓ Found</t>
        </is>
      </c>
      <c r="BB66" s="387" t="n"/>
    </row>
    <row r="67" ht="316.8" customHeight="1" s="578">
      <c r="A67" s="96" t="n">
        <v>61</v>
      </c>
      <c r="B67" s="97" t="inlineStr">
        <is>
          <t>EP01 – SER_ROM_24_2715854
EP02 – SER_ROM_24_2715855
EP03 – SER_ROM_24_2715856
EP04 – SER_ROM_24_2715857
EP05 – SER_ROM_24_2715858
EP06 – SER_ROM_24_2715859
EP07 – SER_ROM_24_2715860
EP08 – SER_ROM_24_2715861
EP09 – SER_ROM_24_2715862
EP10 – SER_ROM_24_2715863
EP11 – SER_ROM_24_2715864
EP12 – SER_ROM_24_2715865</t>
        </is>
      </c>
      <c r="C67" s="108" t="inlineStr">
        <is>
          <t>The Story of Park’s Marriage Contract</t>
        </is>
      </c>
      <c r="D67" s="590" t="inlineStr">
        <is>
          <t>Cô dâu xuyên không</t>
        </is>
      </c>
      <c r="E67" s="108" t="inlineStr">
        <is>
          <t>Viu</t>
        </is>
      </c>
      <c r="F67" s="590" t="inlineStr">
        <is>
          <t xml:space="preserve">PCCW VUCLIP/2024/HDBQ Output deal </t>
        </is>
      </c>
      <c r="G67" s="108" t="inlineStr">
        <is>
          <t>Korea</t>
        </is>
      </c>
      <c r="H67" s="289" t="n">
        <v>2023</v>
      </c>
      <c r="I67" s="108" t="n">
        <v>12</v>
      </c>
      <c r="J67" s="108" t="n">
        <v>70</v>
      </c>
      <c r="K67" s="449">
        <f>(I67*J67)/60</f>
        <v/>
      </c>
      <c r="L67" s="305" t="n">
        <v>12</v>
      </c>
      <c r="M67" s="108" t="inlineStr">
        <is>
          <t>Historical, Mystery, Romance, Fantasy</t>
        </is>
      </c>
      <c r="N67" s="108" t="inlineStr">
        <is>
          <t>Historical, Mystery, Romance, Fantasy</t>
        </is>
      </c>
      <c r="O67" s="590" t="n"/>
      <c r="P67" s="590" t="inlineStr">
        <is>
          <t>VOD only</t>
        </is>
      </c>
      <c r="Q67" s="590" t="n">
        <v>45474</v>
      </c>
      <c r="R67" s="590" t="n"/>
      <c r="S67" s="590" t="n"/>
      <c r="T67" s="108" t="inlineStr">
        <is>
          <t>No</t>
        </is>
      </c>
      <c r="U67" s="590" t="inlineStr">
        <is>
          <t>Yes</t>
        </is>
      </c>
      <c r="V67" s="590" t="inlineStr">
        <is>
          <t>No</t>
        </is>
      </c>
      <c r="W67" s="290" t="inlineStr">
        <is>
          <t>Yes</t>
        </is>
      </c>
      <c r="X67" s="290" t="inlineStr">
        <is>
          <t>Yes</t>
        </is>
      </c>
      <c r="Y67" s="290" t="inlineStr">
        <is>
          <t>Yes</t>
        </is>
      </c>
      <c r="Z67" s="290" t="inlineStr">
        <is>
          <t>Yes</t>
        </is>
      </c>
      <c r="AA67" s="290" t="inlineStr">
        <is>
          <t>Yes</t>
        </is>
      </c>
      <c r="AB67" s="290" t="inlineStr">
        <is>
          <t>Yes</t>
        </is>
      </c>
      <c r="AC67" s="308" t="n">
        <v>45474</v>
      </c>
      <c r="AD67" s="308" t="n">
        <v>46934</v>
      </c>
      <c r="AE67" s="590" t="n"/>
      <c r="AF67" s="306" t="n"/>
      <c r="AG67" s="641" t="n"/>
      <c r="AH67" s="309" t="n"/>
      <c r="AI67" s="642" t="inlineStr">
        <is>
          <t>Yes</t>
        </is>
      </c>
      <c r="AJ67" s="642" t="inlineStr">
        <is>
          <t>Yes</t>
        </is>
      </c>
      <c r="AK67" s="307" t="n"/>
      <c r="AL67" s="590" t="inlineStr">
        <is>
          <t>Phim còn hạn từ 2026</t>
        </is>
      </c>
      <c r="AM67" s="367" t="inlineStr">
        <is>
          <t>Tồn kho bản quyền: Gói series VOD từ PCCW (Viu)</t>
        </is>
      </c>
      <c r="AN67" s="203" t="n"/>
      <c r="AO67" s="128">
        <f>SUMIF('TK 15661.Bản quyền phim '!F:F,'KK2. Series'!C67,'TK 15661.Bản quyền phim '!K:K)</f>
        <v/>
      </c>
      <c r="AP67" s="128">
        <f>COUNTIF('242.BQ Phim VOD'!$C$5:$C$8,'KK2. Series'!AM67)</f>
        <v/>
      </c>
      <c r="AQ67" s="128">
        <f>COUNTIF('TK 15666. Phim SX'!$C$6:$C$13,'KK2. Series'!AM67)</f>
        <v/>
      </c>
      <c r="AR67" s="203">
        <f>COUNTIF('TK 15661.Bản quyền phim '!F:F,'KK2. Series'!AM67)</f>
        <v/>
      </c>
      <c r="AS67" s="203" t="n"/>
      <c r="AT67" s="366">
        <f>SUM(AP67:AS67)</f>
        <v/>
      </c>
      <c r="AU67" s="203" t="n"/>
      <c r="AV67" s="203" t="n"/>
      <c r="AW67" s="203" t="n"/>
      <c r="AX67" s="203" t="n"/>
      <c r="AY67" s="203" t="n"/>
      <c r="AZ67" s="387" t="inlineStr">
        <is>
          <t>✓ Found</t>
        </is>
      </c>
      <c r="BB67" s="387" t="n"/>
    </row>
    <row r="68" ht="409.6" customHeight="1" s="578">
      <c r="A68" s="96" t="n">
        <v>62</v>
      </c>
      <c r="B68" s="97" t="inlineStr">
        <is>
          <t>EP01 – SER_ROM_24_2716139
EP02 – SER_ROM_24_2716140
EP03 – SER_ROM_24_2716141
EP04 – SER_ROM_24_2716142
EP05 – SER_ROM_24_2716143
EP06 – SER_ROM_24_2716144
EP07 – SER_ROM_24_2716145
EP08 – SER_ROM_24_2716146
EP09 – SER_ROM_24_2716147
EP10 – SER_ROM_24_2716148
EP11 – SER_ROM_24_2716149
EP12 – SER_ROM_24_2716150
EP13 – SER_ROM_24_2716151
EP14 – SER_ROM_24_2716152
EP15 – SER_ROM_24_2716153
EP16 – SER_ROM_24_2716154</t>
        </is>
      </c>
      <c r="C68" s="108" t="inlineStr">
        <is>
          <t>My Coach</t>
        </is>
      </c>
      <c r="D68" s="590" t="inlineStr">
        <is>
          <t>Huấn luyện viên xinh đẹp</t>
        </is>
      </c>
      <c r="E68" s="108" t="inlineStr">
        <is>
          <t>Viu</t>
        </is>
      </c>
      <c r="F68" s="590" t="inlineStr">
        <is>
          <t xml:space="preserve">PCCW VUCLIP/2024/HDBQ Output deal </t>
        </is>
      </c>
      <c r="G68" s="108" t="inlineStr">
        <is>
          <t>Thailand</t>
        </is>
      </c>
      <c r="H68" s="289" t="n">
        <v>2022</v>
      </c>
      <c r="I68" s="108" t="n">
        <v>16</v>
      </c>
      <c r="J68" s="108" t="n">
        <v>45</v>
      </c>
      <c r="K68" s="305">
        <f>(I68*J68)/60</f>
        <v/>
      </c>
      <c r="L68" s="305" t="n">
        <v>16</v>
      </c>
      <c r="M68" s="108" t="inlineStr">
        <is>
          <t>Romance, Comedy, Sport</t>
        </is>
      </c>
      <c r="N68" s="108" t="inlineStr">
        <is>
          <t>Romance, Comedy, Sport</t>
        </is>
      </c>
      <c r="O68" s="590" t="n"/>
      <c r="P68" s="590" t="inlineStr">
        <is>
          <t>VOD only</t>
        </is>
      </c>
      <c r="Q68" s="590" t="n">
        <v>45474</v>
      </c>
      <c r="R68" s="590" t="n"/>
      <c r="S68" s="590" t="n"/>
      <c r="T68" s="108" t="inlineStr">
        <is>
          <t>No</t>
        </is>
      </c>
      <c r="U68" s="590" t="inlineStr">
        <is>
          <t>Yes</t>
        </is>
      </c>
      <c r="V68" s="590" t="inlineStr">
        <is>
          <t>No</t>
        </is>
      </c>
      <c r="W68" s="290" t="inlineStr">
        <is>
          <t>Yes</t>
        </is>
      </c>
      <c r="X68" s="290" t="inlineStr">
        <is>
          <t>Yes</t>
        </is>
      </c>
      <c r="Y68" s="290" t="inlineStr">
        <is>
          <t>Yes</t>
        </is>
      </c>
      <c r="Z68" s="290" t="inlineStr">
        <is>
          <t>Yes</t>
        </is>
      </c>
      <c r="AA68" s="290" t="inlineStr">
        <is>
          <t>Yes</t>
        </is>
      </c>
      <c r="AB68" s="290" t="inlineStr">
        <is>
          <t>Yes</t>
        </is>
      </c>
      <c r="AC68" s="308" t="n">
        <v>45474</v>
      </c>
      <c r="AD68" s="308" t="n">
        <v>46934</v>
      </c>
      <c r="AE68" s="590" t="n"/>
      <c r="AF68" s="306" t="n"/>
      <c r="AG68" s="641" t="n"/>
      <c r="AH68" s="309" t="n"/>
      <c r="AI68" s="642" t="inlineStr">
        <is>
          <t>Yes</t>
        </is>
      </c>
      <c r="AJ68" s="642" t="inlineStr">
        <is>
          <t>Yes</t>
        </is>
      </c>
      <c r="AK68" s="307" t="n"/>
      <c r="AL68" s="590" t="inlineStr">
        <is>
          <t>Phim còn hạn từ 2026</t>
        </is>
      </c>
      <c r="AM68" s="367" t="inlineStr">
        <is>
          <t>Tồn kho bản quyền: Gói series VOD từ PCCW (Viu)</t>
        </is>
      </c>
      <c r="AN68" s="203" t="n"/>
      <c r="AO68" s="128">
        <f>SUMIF('TK 15661.Bản quyền phim '!F:F,'KK2. Series'!C68,'TK 15661.Bản quyền phim '!K:K)</f>
        <v/>
      </c>
      <c r="AP68" s="128">
        <f>COUNTIF('242.BQ Phim VOD'!$C$5:$C$8,'KK2. Series'!AM68)</f>
        <v/>
      </c>
      <c r="AQ68" s="128">
        <f>COUNTIF('TK 15666. Phim SX'!$C$6:$C$13,'KK2. Series'!AM68)</f>
        <v/>
      </c>
      <c r="AR68" s="203">
        <f>COUNTIF('TK 15661.Bản quyền phim '!F:F,'KK2. Series'!AM68)</f>
        <v/>
      </c>
      <c r="AS68" s="203" t="n"/>
      <c r="AT68" s="366">
        <f>SUM(AP68:AS68)</f>
        <v/>
      </c>
      <c r="AU68" s="203" t="n"/>
      <c r="AV68" s="203" t="n"/>
      <c r="AW68" s="203" t="n"/>
      <c r="AX68" s="203" t="n"/>
      <c r="AY68" s="203" t="n"/>
      <c r="AZ68" s="387" t="inlineStr">
        <is>
          <t>✓ Found</t>
        </is>
      </c>
      <c r="BB68" s="387" t="n"/>
    </row>
    <row r="69" ht="316.8" customHeight="1" s="578">
      <c r="A69" s="96" t="n">
        <v>63</v>
      </c>
      <c r="B69" s="97" t="inlineStr">
        <is>
          <t>EP01 – SER_COM_24_2716111
EP02 – SER_COM_24_2716112
EP03 – SER_COM_24_2716113
EP04 – SER_COM_24_2716114
EP05 – SER_COM_24_2716115
EP06 – SER_COM_24_2716116
EP07 – SER_COM_24_2716117
EP08 – SER_COM_24_2716118
EP09 – SER_COM_24_2716119
EP10 – SER_COM_24_2716120
EP11 – SER_COM_24_2716121
EP12 – SER_COM_24_2716122</t>
        </is>
      </c>
      <c r="C69" s="108" t="inlineStr">
        <is>
          <t>Real Fake</t>
        </is>
      </c>
      <c r="D69" s="590" t="inlineStr">
        <is>
          <t>Kẻ lừa đảo chân chính</t>
        </is>
      </c>
      <c r="E69" s="108" t="inlineStr">
        <is>
          <t>Viu</t>
        </is>
      </c>
      <c r="F69" s="590" t="inlineStr">
        <is>
          <t xml:space="preserve">PCCW VUCLIP/2024/HDBQ Output deal </t>
        </is>
      </c>
      <c r="G69" s="108" t="inlineStr">
        <is>
          <t>Thailand</t>
        </is>
      </c>
      <c r="H69" s="289" t="n">
        <v>2022</v>
      </c>
      <c r="I69" s="108" t="n">
        <v>12</v>
      </c>
      <c r="J69" s="108" t="n">
        <v>45</v>
      </c>
      <c r="K69" s="305">
        <f>(I69*J69)/60</f>
        <v/>
      </c>
      <c r="L69" s="305" t="n">
        <v>12</v>
      </c>
      <c r="M69" s="108" t="inlineStr">
        <is>
          <t>Action,Romance,Comedy</t>
        </is>
      </c>
      <c r="N69" s="108" t="inlineStr">
        <is>
          <t>Action,Romance,Comedy</t>
        </is>
      </c>
      <c r="O69" s="590" t="n"/>
      <c r="P69" s="590" t="inlineStr">
        <is>
          <t>VOD only</t>
        </is>
      </c>
      <c r="Q69" s="590" t="n">
        <v>45474</v>
      </c>
      <c r="R69" s="590" t="n"/>
      <c r="S69" s="590" t="n"/>
      <c r="T69" s="108" t="inlineStr">
        <is>
          <t>No</t>
        </is>
      </c>
      <c r="U69" s="590" t="inlineStr">
        <is>
          <t>Yes</t>
        </is>
      </c>
      <c r="V69" s="590" t="inlineStr">
        <is>
          <t>No</t>
        </is>
      </c>
      <c r="W69" s="290" t="inlineStr">
        <is>
          <t>Yes</t>
        </is>
      </c>
      <c r="X69" s="290" t="inlineStr">
        <is>
          <t>Yes</t>
        </is>
      </c>
      <c r="Y69" s="290" t="inlineStr">
        <is>
          <t>Yes</t>
        </is>
      </c>
      <c r="Z69" s="290" t="inlineStr">
        <is>
          <t>Yes</t>
        </is>
      </c>
      <c r="AA69" s="290" t="inlineStr">
        <is>
          <t>Yes</t>
        </is>
      </c>
      <c r="AB69" s="290" t="inlineStr">
        <is>
          <t>Yes</t>
        </is>
      </c>
      <c r="AC69" s="308" t="n">
        <v>45474</v>
      </c>
      <c r="AD69" s="308" t="n">
        <v>46934</v>
      </c>
      <c r="AE69" s="590" t="n"/>
      <c r="AF69" s="306" t="n"/>
      <c r="AG69" s="641" t="n"/>
      <c r="AH69" s="309" t="n"/>
      <c r="AI69" s="642" t="inlineStr">
        <is>
          <t>Yes</t>
        </is>
      </c>
      <c r="AJ69" s="642" t="inlineStr">
        <is>
          <t>Yes</t>
        </is>
      </c>
      <c r="AK69" s="307" t="n"/>
      <c r="AL69" s="590" t="inlineStr">
        <is>
          <t>Phim còn hạn từ 2026</t>
        </is>
      </c>
      <c r="AM69" s="367" t="inlineStr">
        <is>
          <t>Tồn kho bản quyền: Gói series VOD từ PCCW (Viu)</t>
        </is>
      </c>
      <c r="AN69" s="203" t="n"/>
      <c r="AO69" s="128">
        <f>SUMIF('TK 15661.Bản quyền phim '!F:F,'KK2. Series'!C69,'TK 15661.Bản quyền phim '!K:K)</f>
        <v/>
      </c>
      <c r="AP69" s="128">
        <f>COUNTIF('242.BQ Phim VOD'!$C$5:$C$8,'KK2. Series'!AM69)</f>
        <v/>
      </c>
      <c r="AQ69" s="128">
        <f>COUNTIF('TK 15666. Phim SX'!$C$6:$C$13,'KK2. Series'!AM69)</f>
        <v/>
      </c>
      <c r="AR69" s="203">
        <f>COUNTIF('TK 15661.Bản quyền phim '!F:F,'KK2. Series'!AM69)</f>
        <v/>
      </c>
      <c r="AS69" s="203" t="n"/>
      <c r="AT69" s="366">
        <f>SUM(AP69:AS69)</f>
        <v/>
      </c>
      <c r="AU69" s="203" t="n"/>
      <c r="AV69" s="203" t="n"/>
      <c r="AW69" s="203" t="n"/>
      <c r="AX69" s="203" t="n"/>
      <c r="AY69" s="203" t="n"/>
      <c r="AZ69" s="387" t="inlineStr">
        <is>
          <t>✓ Found</t>
        </is>
      </c>
      <c r="BB69" s="387" t="n"/>
    </row>
    <row r="70" ht="409.6" customHeight="1" s="578">
      <c r="A70" s="96" t="n">
        <v>64</v>
      </c>
      <c r="B70" s="97" t="inlineStr">
        <is>
          <t>EP01 – SER_DRA_24_2716123
EP02 – SER_DRA_24_2716124
EP03 – SER_DRA_24_2716125
EP04 – SER_DRA_24_2716126
EP05 – SER_DRA_24_2716127
EP06 – SER_DRA_24_2716128
EP07 – SER_DRA_24_2716129
EP08 – SER_DRA_24_2716130
EP09 – SER_DRA_24_2716131
EP10 – SER_DRA_24_2716132
EP11 – SER_DRA_24_2716133
EP12 – SER_DRA_24_2716134
EP13 – SER_DRA_24_2716135
EP14 – SER_DRA_24_2716136
EP15 – SER_DRA_24_2716137
EP16 – SER_DRA_24_2716138</t>
        </is>
      </c>
      <c r="C70" s="108" t="inlineStr">
        <is>
          <t>Wannabe</t>
        </is>
      </c>
      <c r="D70" s="590" t="inlineStr">
        <is>
          <t>Mơ ước thanh xuân</t>
        </is>
      </c>
      <c r="E70" s="108" t="inlineStr">
        <is>
          <t>Viu</t>
        </is>
      </c>
      <c r="F70" s="590" t="inlineStr">
        <is>
          <t xml:space="preserve">PCCW VUCLIP/2024/HDBQ Output deal </t>
        </is>
      </c>
      <c r="G70" s="108" t="inlineStr">
        <is>
          <t>Thailand</t>
        </is>
      </c>
      <c r="H70" s="289" t="n">
        <v>2022</v>
      </c>
      <c r="I70" s="108" t="n">
        <v>16</v>
      </c>
      <c r="J70" s="108" t="n">
        <v>45</v>
      </c>
      <c r="K70" s="305">
        <f>(I70*J70)/60</f>
        <v/>
      </c>
      <c r="L70" s="305" t="n">
        <v>16</v>
      </c>
      <c r="M70" s="108" t="inlineStr">
        <is>
          <t>Coming of Age, Musical(Hip-Hop), Romance, Drama</t>
        </is>
      </c>
      <c r="N70" s="108" t="inlineStr">
        <is>
          <t>Coming of Age, Musical(Hip-Hop), Romance, Drama</t>
        </is>
      </c>
      <c r="O70" s="590" t="n"/>
      <c r="P70" s="590" t="inlineStr">
        <is>
          <t>VOD only</t>
        </is>
      </c>
      <c r="Q70" s="590" t="n">
        <v>45474</v>
      </c>
      <c r="R70" s="590" t="n"/>
      <c r="S70" s="590" t="n"/>
      <c r="T70" s="108" t="inlineStr">
        <is>
          <t>No</t>
        </is>
      </c>
      <c r="U70" s="590" t="inlineStr">
        <is>
          <t>Yes</t>
        </is>
      </c>
      <c r="V70" s="590" t="inlineStr">
        <is>
          <t>No</t>
        </is>
      </c>
      <c r="W70" s="290" t="inlineStr">
        <is>
          <t>Yes</t>
        </is>
      </c>
      <c r="X70" s="290" t="inlineStr">
        <is>
          <t>Yes</t>
        </is>
      </c>
      <c r="Y70" s="290" t="inlineStr">
        <is>
          <t>Yes</t>
        </is>
      </c>
      <c r="Z70" s="290" t="inlineStr">
        <is>
          <t>Yes</t>
        </is>
      </c>
      <c r="AA70" s="290" t="inlineStr">
        <is>
          <t>Yes</t>
        </is>
      </c>
      <c r="AB70" s="290" t="inlineStr">
        <is>
          <t>Yes</t>
        </is>
      </c>
      <c r="AC70" s="308" t="n">
        <v>45474</v>
      </c>
      <c r="AD70" s="308" t="n">
        <v>46934</v>
      </c>
      <c r="AE70" s="590" t="n"/>
      <c r="AF70" s="306" t="n"/>
      <c r="AG70" s="641" t="n"/>
      <c r="AH70" s="309" t="n"/>
      <c r="AI70" s="642" t="inlineStr">
        <is>
          <t>Yes</t>
        </is>
      </c>
      <c r="AJ70" s="642" t="inlineStr">
        <is>
          <t>Yes</t>
        </is>
      </c>
      <c r="AK70" s="307" t="n"/>
      <c r="AL70" s="590" t="inlineStr">
        <is>
          <t>Phim còn hạn từ 2026</t>
        </is>
      </c>
      <c r="AM70" s="367" t="inlineStr">
        <is>
          <t>Tồn kho bản quyền: Gói series VOD từ PCCW (Viu)</t>
        </is>
      </c>
      <c r="AN70" s="203" t="n"/>
      <c r="AO70" s="128">
        <f>SUMIF('TK 15661.Bản quyền phim '!F:F,'KK2. Series'!C70,'TK 15661.Bản quyền phim '!K:K)</f>
        <v/>
      </c>
      <c r="AP70" s="128">
        <f>COUNTIF('242.BQ Phim VOD'!$C$5:$C$8,'KK2. Series'!AM70)</f>
        <v/>
      </c>
      <c r="AQ70" s="128">
        <f>COUNTIF('TK 15666. Phim SX'!$C$6:$C$13,'KK2. Series'!AM70)</f>
        <v/>
      </c>
      <c r="AR70" s="203">
        <f>COUNTIF('TK 15661.Bản quyền phim '!F:F,'KK2. Series'!AM70)</f>
        <v/>
      </c>
      <c r="AS70" s="203" t="n"/>
      <c r="AT70" s="366">
        <f>SUM(AP70:AS70)</f>
        <v/>
      </c>
      <c r="AU70" s="203" t="n"/>
      <c r="AV70" s="203" t="n"/>
      <c r="AW70" s="203" t="n"/>
      <c r="AX70" s="203" t="n"/>
      <c r="AY70" s="203" t="n"/>
      <c r="AZ70" s="387" t="inlineStr">
        <is>
          <t>✓ Found</t>
        </is>
      </c>
      <c r="BB70" s="387" t="n"/>
    </row>
    <row r="71" ht="158.4" customHeight="1" s="578">
      <c r="A71" s="96" t="n">
        <v>65</v>
      </c>
      <c r="B71" s="97" t="inlineStr">
        <is>
          <t>EP01 – SER_ROM2265
EP02 – SER_ROM2266
EP03 – SER_ROM2267
EP04 – SER_ROM2268
EP05 – SER_ROM2269
EP06 – SER_ROM2270
EP07 – SER_ROM2271
EP08 – SER_ROM2272
EP09 – SER_ROM2273
EP10 – SER_ROM2274
EP11 – SER_ROM2275
EP12 – SER_ROM2276</t>
        </is>
      </c>
      <c r="C71" s="108" t="inlineStr">
        <is>
          <t>Return Man</t>
        </is>
      </c>
      <c r="D71" s="590" t="inlineStr">
        <is>
          <t>Tìm lại trái tim</t>
        </is>
      </c>
      <c r="E71" s="108" t="inlineStr">
        <is>
          <t>Viu</t>
        </is>
      </c>
      <c r="F71" s="590" t="inlineStr">
        <is>
          <t xml:space="preserve">PCCW VUCLIP/2024/HDBQ Output deal </t>
        </is>
      </c>
      <c r="G71" s="108" t="inlineStr">
        <is>
          <t>Thailand</t>
        </is>
      </c>
      <c r="H71" s="289" t="n">
        <v>2023</v>
      </c>
      <c r="I71" s="108" t="n">
        <v>12</v>
      </c>
      <c r="J71" s="108" t="n">
        <v>45</v>
      </c>
      <c r="K71" s="305">
        <f>(I71*J71)/60</f>
        <v/>
      </c>
      <c r="L71" s="305" t="n">
        <v>12</v>
      </c>
      <c r="M71" s="108" t="inlineStr">
        <is>
          <t>Romantic Comedy, Crime</t>
        </is>
      </c>
      <c r="N71" s="108" t="inlineStr">
        <is>
          <t>Romantic Comedy, Crime</t>
        </is>
      </c>
      <c r="O71" s="590" t="n"/>
      <c r="P71" s="590" t="inlineStr">
        <is>
          <t>VOD only</t>
        </is>
      </c>
      <c r="Q71" s="590" t="n">
        <v>45474</v>
      </c>
      <c r="R71" s="590" t="n"/>
      <c r="S71" s="590" t="n"/>
      <c r="T71" s="108" t="inlineStr">
        <is>
          <t>No</t>
        </is>
      </c>
      <c r="U71" s="590" t="inlineStr">
        <is>
          <t>Yes</t>
        </is>
      </c>
      <c r="V71" s="590" t="inlineStr">
        <is>
          <t>No</t>
        </is>
      </c>
      <c r="W71" s="290" t="inlineStr">
        <is>
          <t>Yes</t>
        </is>
      </c>
      <c r="X71" s="290" t="inlineStr">
        <is>
          <t>Yes</t>
        </is>
      </c>
      <c r="Y71" s="290" t="inlineStr">
        <is>
          <t>Yes</t>
        </is>
      </c>
      <c r="Z71" s="290" t="inlineStr">
        <is>
          <t>Yes</t>
        </is>
      </c>
      <c r="AA71" s="290" t="inlineStr">
        <is>
          <t>Yes</t>
        </is>
      </c>
      <c r="AB71" s="290" t="inlineStr">
        <is>
          <t>Yes</t>
        </is>
      </c>
      <c r="AC71" s="308" t="n">
        <v>45474</v>
      </c>
      <c r="AD71" s="308" t="n">
        <v>46934</v>
      </c>
      <c r="AE71" s="590" t="n"/>
      <c r="AF71" s="306" t="n"/>
      <c r="AG71" s="641" t="n"/>
      <c r="AH71" s="309" t="n"/>
      <c r="AI71" s="642" t="inlineStr">
        <is>
          <t>Yes</t>
        </is>
      </c>
      <c r="AJ71" s="642" t="inlineStr">
        <is>
          <t>Yes</t>
        </is>
      </c>
      <c r="AK71" s="307" t="n"/>
      <c r="AL71" s="590" t="inlineStr">
        <is>
          <t>Phim còn hạn từ 2026</t>
        </is>
      </c>
      <c r="AM71" s="367" t="inlineStr">
        <is>
          <t>Tồn kho bản quyền: Gói series VOD từ PCCW (Viu)</t>
        </is>
      </c>
      <c r="AN71" s="203" t="n"/>
      <c r="AO71" s="128">
        <f>SUMIF('TK 15661.Bản quyền phim '!F:F,'KK2. Series'!C71,'TK 15661.Bản quyền phim '!K:K)</f>
        <v/>
      </c>
      <c r="AP71" s="128">
        <f>COUNTIF('242.BQ Phim VOD'!$C$5:$C$8,'KK2. Series'!AM71)</f>
        <v/>
      </c>
      <c r="AQ71" s="128">
        <f>COUNTIF('TK 15666. Phim SX'!$C$6:$C$13,'KK2. Series'!AM71)</f>
        <v/>
      </c>
      <c r="AR71" s="203">
        <f>COUNTIF('TK 15661.Bản quyền phim '!F:F,'KK2. Series'!AM71)</f>
        <v/>
      </c>
      <c r="AS71" s="203" t="n"/>
      <c r="AT71" s="366">
        <f>SUM(AP71:AS71)</f>
        <v/>
      </c>
      <c r="AU71" s="203" t="n"/>
      <c r="AV71" s="203" t="n"/>
      <c r="AW71" s="203" t="n"/>
      <c r="AX71" s="203" t="n"/>
      <c r="AY71" s="203" t="n"/>
      <c r="AZ71" s="387" t="inlineStr">
        <is>
          <t>✓ Found</t>
        </is>
      </c>
      <c r="BB71" s="387" t="n"/>
    </row>
    <row r="72" ht="409.6" customHeight="1" s="578">
      <c r="A72" s="96" t="n">
        <v>66</v>
      </c>
      <c r="B72" s="97" t="inlineStr">
        <is>
          <t>EP01 – SER_DRA_24_2716279
EP02 – SER_DRA_24_2716280
EP03 – SER_DRA_24_2716281
EP04 – SER_DRA_24_2716282
EP05 – SER_DRA_24_2716283
EP06 – SER_DRA_24_2716284
EP07 – SER_DRA_24_2716285
EP08 – SER_DRA_24_2716286
EP09 – SER_DRA_24_2716287
EP10 – SER_DRA_24_2716288
EP11 – SER_DRA_24_2716289
EP12 – SER_DRA_24_2716290
EP13 – SER_DRA_24_2716291
EP14 – SER_DRA_24_2716292
EP15 – SER_DRA_24_2716293
EP16 – SER_DRA_24_2716294</t>
        </is>
      </c>
      <c r="C72" s="108" t="inlineStr">
        <is>
          <t>Get Rich</t>
        </is>
      </c>
      <c r="D72" s="590" t="inlineStr">
        <is>
          <t>Cuộc chiến học bổng</t>
        </is>
      </c>
      <c r="E72" s="108" t="inlineStr">
        <is>
          <t>Viu</t>
        </is>
      </c>
      <c r="F72" s="590" t="inlineStr">
        <is>
          <t xml:space="preserve">PCCW VUCLIP/2024/HDBQ Output deal </t>
        </is>
      </c>
      <c r="G72" s="108" t="inlineStr">
        <is>
          <t>Thailand</t>
        </is>
      </c>
      <c r="H72" s="289" t="n">
        <v>2023</v>
      </c>
      <c r="I72" s="108" t="n">
        <v>16</v>
      </c>
      <c r="J72" s="108" t="n">
        <v>45</v>
      </c>
      <c r="K72" s="305">
        <f>(I72*J72)/60</f>
        <v/>
      </c>
      <c r="L72" s="305" t="n">
        <v>16</v>
      </c>
      <c r="M72" s="108" t="inlineStr">
        <is>
          <t>Drama, Romantic, Coming of Age</t>
        </is>
      </c>
      <c r="N72" s="108" t="inlineStr">
        <is>
          <t>Drama, Romantic, Coming of Age</t>
        </is>
      </c>
      <c r="O72" s="590" t="n"/>
      <c r="P72" s="590" t="inlineStr">
        <is>
          <t>VOD only</t>
        </is>
      </c>
      <c r="Q72" s="590" t="n">
        <v>45474</v>
      </c>
      <c r="R72" s="590" t="n"/>
      <c r="S72" s="590" t="n"/>
      <c r="T72" s="108" t="inlineStr">
        <is>
          <t>No</t>
        </is>
      </c>
      <c r="U72" s="590" t="inlineStr">
        <is>
          <t>Yes</t>
        </is>
      </c>
      <c r="V72" s="590" t="inlineStr">
        <is>
          <t>No</t>
        </is>
      </c>
      <c r="W72" s="290" t="inlineStr">
        <is>
          <t>Yes</t>
        </is>
      </c>
      <c r="X72" s="290" t="inlineStr">
        <is>
          <t>Yes</t>
        </is>
      </c>
      <c r="Y72" s="290" t="inlineStr">
        <is>
          <t>Yes</t>
        </is>
      </c>
      <c r="Z72" s="290" t="inlineStr">
        <is>
          <t>Yes</t>
        </is>
      </c>
      <c r="AA72" s="290" t="inlineStr">
        <is>
          <t>Yes</t>
        </is>
      </c>
      <c r="AB72" s="290" t="inlineStr">
        <is>
          <t>Yes</t>
        </is>
      </c>
      <c r="AC72" s="308" t="n">
        <v>45474</v>
      </c>
      <c r="AD72" s="308" t="n">
        <v>46934</v>
      </c>
      <c r="AE72" s="590" t="n"/>
      <c r="AF72" s="306" t="n"/>
      <c r="AG72" s="641" t="n"/>
      <c r="AH72" s="309" t="n"/>
      <c r="AI72" s="642" t="inlineStr">
        <is>
          <t>Yes</t>
        </is>
      </c>
      <c r="AJ72" s="642" t="inlineStr">
        <is>
          <t>Yes</t>
        </is>
      </c>
      <c r="AK72" s="307" t="n"/>
      <c r="AL72" s="590" t="inlineStr">
        <is>
          <t>Phim còn hạn từ 2026</t>
        </is>
      </c>
      <c r="AM72" s="367" t="inlineStr">
        <is>
          <t>Tồn kho bản quyền: Gói series VOD từ PCCW (Viu)</t>
        </is>
      </c>
      <c r="AN72" s="203" t="n"/>
      <c r="AO72" s="128">
        <f>SUMIF('TK 15661.Bản quyền phim '!F:F,'KK2. Series'!C72,'TK 15661.Bản quyền phim '!K:K)</f>
        <v/>
      </c>
      <c r="AP72" s="128">
        <f>COUNTIF('242.BQ Phim VOD'!$C$5:$C$8,'KK2. Series'!AM72)</f>
        <v/>
      </c>
      <c r="AQ72" s="128">
        <f>COUNTIF('TK 15666. Phim SX'!$C$6:$C$13,'KK2. Series'!AM72)</f>
        <v/>
      </c>
      <c r="AR72" s="203">
        <f>COUNTIF('TK 15661.Bản quyền phim '!F:F,'KK2. Series'!AM72)</f>
        <v/>
      </c>
      <c r="AS72" s="203" t="n"/>
      <c r="AT72" s="366">
        <f>SUM(AP72:AS72)</f>
        <v/>
      </c>
      <c r="AU72" s="203" t="n"/>
      <c r="AV72" s="203" t="n"/>
      <c r="AW72" s="203" t="n"/>
      <c r="AX72" s="203" t="n"/>
      <c r="AY72" s="203" t="n"/>
      <c r="AZ72" s="387" t="inlineStr">
        <is>
          <t>✓ Found</t>
        </is>
      </c>
      <c r="BB72" s="387" t="n"/>
    </row>
    <row r="73" ht="184.8" customHeight="1" s="578">
      <c r="A73" s="96" t="n">
        <v>67</v>
      </c>
      <c r="B73" s="97" t="inlineStr">
        <is>
          <t>EP01 – SER_THR322
EP02 – SER_THR323
EP03 – SER_THR324
EP04 – SER_THR325
EP05 – SER_THR326
EP06 – SER_THR327
EP07 – SER_THR328
EP08 – SER_THR329
EP09 – SER_THR330
EP10 – SER_THR331
EP11 – SER_THR332
EP12 – SER_THR333
EP13 – SER_THR334
EP14 – SER_THR335</t>
        </is>
      </c>
      <c r="C73" s="108" t="inlineStr">
        <is>
          <t>The Shadow</t>
        </is>
      </c>
      <c r="D73" s="590" t="inlineStr">
        <is>
          <t>Bóng đè</t>
        </is>
      </c>
      <c r="E73" s="108" t="inlineStr">
        <is>
          <t>Viu</t>
        </is>
      </c>
      <c r="F73" s="590" t="inlineStr">
        <is>
          <t xml:space="preserve">PCCW VUCLIP/2024/HDBQ Output deal </t>
        </is>
      </c>
      <c r="G73" s="108" t="inlineStr">
        <is>
          <t>Thailand</t>
        </is>
      </c>
      <c r="H73" s="289" t="n">
        <v>2023</v>
      </c>
      <c r="I73" s="108" t="n">
        <v>14</v>
      </c>
      <c r="J73" s="108" t="n">
        <v>45</v>
      </c>
      <c r="K73" s="305">
        <f>(I73*J73)/60</f>
        <v/>
      </c>
      <c r="L73" s="305" t="n">
        <v>14</v>
      </c>
      <c r="M73" s="108" t="inlineStr">
        <is>
          <t>Drama, Suspense, Thriller</t>
        </is>
      </c>
      <c r="N73" s="108" t="inlineStr">
        <is>
          <t>Drama, Suspense, Thriller</t>
        </is>
      </c>
      <c r="O73" s="590" t="n"/>
      <c r="P73" s="590" t="inlineStr">
        <is>
          <t>VOD only</t>
        </is>
      </c>
      <c r="Q73" s="590" t="n">
        <v>45474</v>
      </c>
      <c r="R73" s="590" t="n"/>
      <c r="S73" s="590" t="n"/>
      <c r="T73" s="108" t="inlineStr">
        <is>
          <t>No</t>
        </is>
      </c>
      <c r="U73" s="590" t="inlineStr">
        <is>
          <t>Yes</t>
        </is>
      </c>
      <c r="V73" s="590" t="inlineStr">
        <is>
          <t>No</t>
        </is>
      </c>
      <c r="W73" s="290" t="inlineStr">
        <is>
          <t>Yes</t>
        </is>
      </c>
      <c r="X73" s="290" t="inlineStr">
        <is>
          <t>Yes</t>
        </is>
      </c>
      <c r="Y73" s="290" t="inlineStr">
        <is>
          <t>Yes</t>
        </is>
      </c>
      <c r="Z73" s="290" t="inlineStr">
        <is>
          <t>Yes</t>
        </is>
      </c>
      <c r="AA73" s="290" t="inlineStr">
        <is>
          <t>Yes</t>
        </is>
      </c>
      <c r="AB73" s="290" t="inlineStr">
        <is>
          <t>Yes</t>
        </is>
      </c>
      <c r="AC73" s="308" t="n">
        <v>45474</v>
      </c>
      <c r="AD73" s="308" t="n">
        <v>46934</v>
      </c>
      <c r="AE73" s="590" t="n"/>
      <c r="AF73" s="306" t="n"/>
      <c r="AG73" s="641" t="n"/>
      <c r="AH73" s="309" t="n"/>
      <c r="AI73" s="642" t="inlineStr">
        <is>
          <t>Yes</t>
        </is>
      </c>
      <c r="AJ73" s="642" t="inlineStr">
        <is>
          <t>Yes</t>
        </is>
      </c>
      <c r="AK73" s="307" t="n"/>
      <c r="AL73" s="590" t="inlineStr">
        <is>
          <t>Phim còn hạn từ 2026</t>
        </is>
      </c>
      <c r="AM73" s="367" t="inlineStr">
        <is>
          <t>Tồn kho bản quyền: Gói series VOD từ PCCW (Viu)</t>
        </is>
      </c>
      <c r="AN73" s="203" t="n"/>
      <c r="AO73" s="128">
        <f>SUMIF('TK 15661.Bản quyền phim '!F:F,'KK2. Series'!C73,'TK 15661.Bản quyền phim '!K:K)</f>
        <v/>
      </c>
      <c r="AP73" s="128">
        <f>COUNTIF('242.BQ Phim VOD'!$C$5:$C$8,'KK2. Series'!AM73)</f>
        <v/>
      </c>
      <c r="AQ73" s="128">
        <f>COUNTIF('TK 15666. Phim SX'!$C$6:$C$13,'KK2. Series'!AM73)</f>
        <v/>
      </c>
      <c r="AR73" s="203">
        <f>COUNTIF('TK 15661.Bản quyền phim '!F:F,'KK2. Series'!AM73)</f>
        <v/>
      </c>
      <c r="AS73" s="203" t="n"/>
      <c r="AT73" s="366">
        <f>SUM(AP73:AS73)</f>
        <v/>
      </c>
      <c r="AU73" s="203" t="n"/>
      <c r="AV73" s="203" t="n"/>
      <c r="AW73" s="203" t="n"/>
      <c r="AX73" s="203" t="n"/>
      <c r="AY73" s="203" t="n"/>
      <c r="AZ73" s="387" t="inlineStr">
        <is>
          <t>✓ Found</t>
        </is>
      </c>
      <c r="BB73" s="387" t="n"/>
    </row>
    <row r="74" ht="79.2" customHeight="1" s="578">
      <c r="A74" s="96" t="n">
        <v>68</v>
      </c>
      <c r="B74" s="97" t="inlineStr">
        <is>
          <t>EP01 – SER_ROM2258
EP02 – SER_ROM2259
EP03 – SER_ROM2260
EP04 – SER_ROM2261
EP05 – SER_ROM2262
EP06 – SER_ROM2263</t>
        </is>
      </c>
      <c r="C74" s="108" t="inlineStr">
        <is>
          <t>Love Me Again</t>
        </is>
      </c>
      <c r="D74" s="590" t="inlineStr">
        <is>
          <t>Yêu em lần nữa</t>
        </is>
      </c>
      <c r="E74" s="108" t="inlineStr">
        <is>
          <t>Viu</t>
        </is>
      </c>
      <c r="F74" s="590" t="inlineStr">
        <is>
          <t xml:space="preserve">PCCW VUCLIP/2024/HDBQ Output deal </t>
        </is>
      </c>
      <c r="G74" s="108" t="inlineStr">
        <is>
          <t>Thailand</t>
        </is>
      </c>
      <c r="H74" s="289" t="n">
        <v>2023</v>
      </c>
      <c r="I74" s="108" t="n">
        <v>6</v>
      </c>
      <c r="J74" s="108" t="n">
        <v>45</v>
      </c>
      <c r="K74" s="305">
        <f>(I74*J74)/60</f>
        <v/>
      </c>
      <c r="L74" s="305" t="n">
        <v>6</v>
      </c>
      <c r="M74" s="108" t="inlineStr">
        <is>
          <t>Music, Comedy, Romance, Supernatural</t>
        </is>
      </c>
      <c r="N74" s="108" t="inlineStr">
        <is>
          <t>Music, Comedy, Romance, Supernatural</t>
        </is>
      </c>
      <c r="O74" s="590" t="n"/>
      <c r="P74" s="590" t="inlineStr">
        <is>
          <t>VOD only</t>
        </is>
      </c>
      <c r="Q74" s="590" t="n">
        <v>45474</v>
      </c>
      <c r="R74" s="590" t="n"/>
      <c r="S74" s="590" t="n"/>
      <c r="T74" s="108" t="inlineStr">
        <is>
          <t>No</t>
        </is>
      </c>
      <c r="U74" s="590" t="inlineStr">
        <is>
          <t>Yes</t>
        </is>
      </c>
      <c r="V74" s="590" t="inlineStr">
        <is>
          <t>No</t>
        </is>
      </c>
      <c r="W74" s="290" t="inlineStr">
        <is>
          <t>Yes</t>
        </is>
      </c>
      <c r="X74" s="290" t="inlineStr">
        <is>
          <t>Yes</t>
        </is>
      </c>
      <c r="Y74" s="290" t="inlineStr">
        <is>
          <t>Yes</t>
        </is>
      </c>
      <c r="Z74" s="290" t="inlineStr">
        <is>
          <t>Yes</t>
        </is>
      </c>
      <c r="AA74" s="290" t="inlineStr">
        <is>
          <t>Yes</t>
        </is>
      </c>
      <c r="AB74" s="290" t="inlineStr">
        <is>
          <t>Yes</t>
        </is>
      </c>
      <c r="AC74" s="308" t="n">
        <v>45474</v>
      </c>
      <c r="AD74" s="308" t="n">
        <v>46934</v>
      </c>
      <c r="AE74" s="590" t="n"/>
      <c r="AF74" s="306" t="n"/>
      <c r="AG74" s="641" t="n"/>
      <c r="AH74" s="309" t="n"/>
      <c r="AI74" s="642" t="inlineStr">
        <is>
          <t>Yes</t>
        </is>
      </c>
      <c r="AJ74" s="642" t="inlineStr">
        <is>
          <t>Yes</t>
        </is>
      </c>
      <c r="AK74" s="307" t="n"/>
      <c r="AL74" s="590" t="inlineStr">
        <is>
          <t>Phim còn hạn từ 2026</t>
        </is>
      </c>
      <c r="AM74" s="367" t="inlineStr">
        <is>
          <t>Tồn kho bản quyền: Gói series VOD từ PCCW (Viu)</t>
        </is>
      </c>
      <c r="AN74" s="203" t="n"/>
      <c r="AO74" s="128">
        <f>SUMIF('TK 15661.Bản quyền phim '!F:F,'KK2. Series'!C74,'TK 15661.Bản quyền phim '!K:K)</f>
        <v/>
      </c>
      <c r="AP74" s="128">
        <f>COUNTIF('242.BQ Phim VOD'!$C$5:$C$8,'KK2. Series'!AM74)</f>
        <v/>
      </c>
      <c r="AQ74" s="128">
        <f>COUNTIF('TK 15666. Phim SX'!$C$6:$C$13,'KK2. Series'!AM74)</f>
        <v/>
      </c>
      <c r="AR74" s="203">
        <f>COUNTIF('TK 15661.Bản quyền phim '!F:F,'KK2. Series'!AM74)</f>
        <v/>
      </c>
      <c r="AS74" s="203" t="n"/>
      <c r="AT74" s="366">
        <f>SUM(AP74:AS74)</f>
        <v/>
      </c>
      <c r="AU74" s="203" t="n"/>
      <c r="AV74" s="203" t="n"/>
      <c r="AW74" s="203" t="n"/>
      <c r="AX74" s="203" t="n"/>
      <c r="AY74" s="203" t="n"/>
      <c r="AZ74" s="387" t="inlineStr">
        <is>
          <t>✓ Found</t>
        </is>
      </c>
      <c r="BB74" s="387" t="n"/>
    </row>
    <row r="75" ht="171.6" customHeight="1" s="578">
      <c r="A75" s="96" t="n">
        <v>69</v>
      </c>
      <c r="B75" s="97" t="inlineStr">
        <is>
          <t>EP01 – SER_ROM2277
EP02 – SER_ROM2278
EP03 – SER_ROM2279
EP04 – SER_ROM2280
EP05 – SER_ROM2281
EP06 – SER_ROM2282
EP07 – SER_ROM2283
EP08 – SER_ROM2284
EP09 – SER_ROM2285
EP10 – SER_ROM2286
EP11 – SER_ROM2287
EP12 – SER_ROM2288
EP13 – SER_ROM2289</t>
        </is>
      </c>
      <c r="C75" s="108" t="inlineStr">
        <is>
          <t>Assalamualaikum Calon Imam Season 1</t>
        </is>
      </c>
      <c r="D75" s="590" t="inlineStr">
        <is>
          <t>Bất ngờ tìm được tình yêu P1</t>
        </is>
      </c>
      <c r="E75" s="108" t="inlineStr">
        <is>
          <t>Viu</t>
        </is>
      </c>
      <c r="F75" s="590" t="inlineStr">
        <is>
          <t xml:space="preserve">PCCW VUCLIP/2024/HDBQ Output deal </t>
        </is>
      </c>
      <c r="G75" s="108" t="inlineStr">
        <is>
          <t>Indonesia</t>
        </is>
      </c>
      <c r="H75" s="289" t="n">
        <v>2019</v>
      </c>
      <c r="I75" s="108" t="n">
        <v>13</v>
      </c>
      <c r="J75" s="108" t="n">
        <v>45</v>
      </c>
      <c r="K75" s="305">
        <f>(I75*J75)/60</f>
        <v/>
      </c>
      <c r="L75" s="305" t="n">
        <v>13</v>
      </c>
      <c r="M75" s="108" t="inlineStr">
        <is>
          <t>Romantic Drama</t>
        </is>
      </c>
      <c r="N75" s="108" t="inlineStr">
        <is>
          <t>Romantic Drama</t>
        </is>
      </c>
      <c r="O75" s="590" t="n"/>
      <c r="P75" s="590" t="inlineStr">
        <is>
          <t>VOD only</t>
        </is>
      </c>
      <c r="Q75" s="590" t="n">
        <v>45474</v>
      </c>
      <c r="R75" s="590" t="n"/>
      <c r="S75" s="590" t="n"/>
      <c r="T75" s="108" t="inlineStr">
        <is>
          <t>No</t>
        </is>
      </c>
      <c r="U75" s="590" t="inlineStr">
        <is>
          <t>Yes</t>
        </is>
      </c>
      <c r="V75" s="590" t="inlineStr">
        <is>
          <t>No</t>
        </is>
      </c>
      <c r="W75" s="290" t="inlineStr">
        <is>
          <t>Yes</t>
        </is>
      </c>
      <c r="X75" s="290" t="inlineStr">
        <is>
          <t>Yes</t>
        </is>
      </c>
      <c r="Y75" s="290" t="inlineStr">
        <is>
          <t>Yes</t>
        </is>
      </c>
      <c r="Z75" s="290" t="inlineStr">
        <is>
          <t>Yes</t>
        </is>
      </c>
      <c r="AA75" s="290" t="inlineStr">
        <is>
          <t>Yes</t>
        </is>
      </c>
      <c r="AB75" s="290" t="inlineStr">
        <is>
          <t>Yes</t>
        </is>
      </c>
      <c r="AC75" s="308" t="n">
        <v>45474</v>
      </c>
      <c r="AD75" s="308" t="n">
        <v>46934</v>
      </c>
      <c r="AE75" s="590" t="n"/>
      <c r="AF75" s="306" t="n"/>
      <c r="AG75" s="641" t="n"/>
      <c r="AH75" s="309" t="n"/>
      <c r="AI75" s="642" t="inlineStr">
        <is>
          <t>Yes</t>
        </is>
      </c>
      <c r="AJ75" s="642" t="inlineStr">
        <is>
          <t>Yes</t>
        </is>
      </c>
      <c r="AK75" s="307" t="n"/>
      <c r="AL75" s="590" t="inlineStr">
        <is>
          <t>Phim còn hạn từ 2026</t>
        </is>
      </c>
      <c r="AM75" s="367" t="inlineStr">
        <is>
          <t>Tồn kho bản quyền: Gói series VOD từ PCCW (Viu)</t>
        </is>
      </c>
      <c r="AN75" s="203" t="n"/>
      <c r="AO75" s="128">
        <f>SUMIF('TK 15661.Bản quyền phim '!F:F,'KK2. Series'!C75,'TK 15661.Bản quyền phim '!K:K)</f>
        <v/>
      </c>
      <c r="AP75" s="128">
        <f>COUNTIF('242.BQ Phim VOD'!$C$5:$C$8,'KK2. Series'!AM75)</f>
        <v/>
      </c>
      <c r="AQ75" s="128">
        <f>COUNTIF('TK 15666. Phim SX'!$C$6:$C$13,'KK2. Series'!AM75)</f>
        <v/>
      </c>
      <c r="AR75" s="203">
        <f>COUNTIF('TK 15661.Bản quyền phim '!F:F,'KK2. Series'!AM75)</f>
        <v/>
      </c>
      <c r="AS75" s="203" t="n"/>
      <c r="AT75" s="366">
        <f>SUM(AP75:AS75)</f>
        <v/>
      </c>
      <c r="AU75" s="203" t="n"/>
      <c r="AV75" s="203" t="n"/>
      <c r="AW75" s="203" t="n"/>
      <c r="AX75" s="203" t="n"/>
      <c r="AY75" s="203" t="n"/>
      <c r="AZ75" s="387" t="inlineStr">
        <is>
          <t>✓ Found</t>
        </is>
      </c>
      <c r="BB75" s="387" t="n"/>
    </row>
    <row r="76" ht="132" customHeight="1" s="578">
      <c r="A76" s="96" t="n">
        <v>70</v>
      </c>
      <c r="B76" s="97" t="inlineStr">
        <is>
          <t>EP01 – SER_ROM2300
EP02 – SER_ROM2301
EP03 – SER_ROM2302
EP04 – SER_ROM2303
EP05 – SER_ROM2304
EP06 – SER_ROM2305
EP07 – SER_ROM2306
EP08 – SER_ROM2307
EP09 – SER_ROM2308
EP10 – SER_ROM2309</t>
        </is>
      </c>
      <c r="C76" s="108" t="inlineStr">
        <is>
          <t>Assalamualaikum Calon Imam Season 2</t>
        </is>
      </c>
      <c r="D76" s="590" t="inlineStr">
        <is>
          <t>Bất ngờ tìm được tình yêu P2</t>
        </is>
      </c>
      <c r="E76" s="108" t="inlineStr">
        <is>
          <t>Viu</t>
        </is>
      </c>
      <c r="F76" s="590" t="inlineStr">
        <is>
          <t xml:space="preserve">PCCW VUCLIP/2024/HDBQ Output deal </t>
        </is>
      </c>
      <c r="G76" s="108" t="inlineStr">
        <is>
          <t>Indonesia</t>
        </is>
      </c>
      <c r="H76" s="289" t="n">
        <v>2022</v>
      </c>
      <c r="I76" s="108" t="n">
        <v>10</v>
      </c>
      <c r="J76" s="108" t="n">
        <v>45</v>
      </c>
      <c r="K76" s="305">
        <f>(I76*J76)/60</f>
        <v/>
      </c>
      <c r="L76" s="305" t="n">
        <v>10</v>
      </c>
      <c r="M76" s="108" t="inlineStr">
        <is>
          <t>Romantic Drama</t>
        </is>
      </c>
      <c r="N76" s="108" t="inlineStr">
        <is>
          <t>Romantic Drama</t>
        </is>
      </c>
      <c r="O76" s="590" t="n"/>
      <c r="P76" s="590" t="inlineStr">
        <is>
          <t>VOD only</t>
        </is>
      </c>
      <c r="Q76" s="590" t="n">
        <v>45474</v>
      </c>
      <c r="R76" s="590" t="n"/>
      <c r="S76" s="590" t="n"/>
      <c r="T76" s="108" t="inlineStr">
        <is>
          <t>No</t>
        </is>
      </c>
      <c r="U76" s="590" t="inlineStr">
        <is>
          <t>Yes</t>
        </is>
      </c>
      <c r="V76" s="590" t="inlineStr">
        <is>
          <t>No</t>
        </is>
      </c>
      <c r="W76" s="290" t="inlineStr">
        <is>
          <t>Yes</t>
        </is>
      </c>
      <c r="X76" s="290" t="inlineStr">
        <is>
          <t>Yes</t>
        </is>
      </c>
      <c r="Y76" s="290" t="inlineStr">
        <is>
          <t>Yes</t>
        </is>
      </c>
      <c r="Z76" s="290" t="inlineStr">
        <is>
          <t>Yes</t>
        </is>
      </c>
      <c r="AA76" s="290" t="inlineStr">
        <is>
          <t>Yes</t>
        </is>
      </c>
      <c r="AB76" s="290" t="inlineStr">
        <is>
          <t>Yes</t>
        </is>
      </c>
      <c r="AC76" s="308" t="n">
        <v>45474</v>
      </c>
      <c r="AD76" s="308" t="n">
        <v>46934</v>
      </c>
      <c r="AE76" s="590" t="n"/>
      <c r="AF76" s="306" t="n"/>
      <c r="AG76" s="641" t="n"/>
      <c r="AH76" s="309" t="n"/>
      <c r="AI76" s="642" t="inlineStr">
        <is>
          <t>Yes</t>
        </is>
      </c>
      <c r="AJ76" s="642" t="inlineStr">
        <is>
          <t>Yes</t>
        </is>
      </c>
      <c r="AK76" s="307" t="n"/>
      <c r="AL76" s="590" t="inlineStr">
        <is>
          <t>Phim còn hạn từ 2026</t>
        </is>
      </c>
      <c r="AM76" s="367" t="inlineStr">
        <is>
          <t>Tồn kho bản quyền: Gói series VOD từ PCCW (Viu)</t>
        </is>
      </c>
      <c r="AN76" s="203" t="n"/>
      <c r="AO76" s="128">
        <f>SUMIF('TK 15661.Bản quyền phim '!F:F,'KK2. Series'!C76,'TK 15661.Bản quyền phim '!K:K)</f>
        <v/>
      </c>
      <c r="AP76" s="128">
        <f>COUNTIF('242.BQ Phim VOD'!$C$5:$C$8,'KK2. Series'!AM76)</f>
        <v/>
      </c>
      <c r="AQ76" s="128">
        <f>COUNTIF('TK 15666. Phim SX'!$C$6:$C$13,'KK2. Series'!AM76)</f>
        <v/>
      </c>
      <c r="AR76" s="203">
        <f>COUNTIF('TK 15661.Bản quyền phim '!F:F,'KK2. Series'!AM76)</f>
        <v/>
      </c>
      <c r="AS76" s="203" t="n"/>
      <c r="AT76" s="366">
        <f>SUM(AP76:AS76)</f>
        <v/>
      </c>
      <c r="AU76" s="203" t="n"/>
      <c r="AV76" s="203" t="n"/>
      <c r="AW76" s="203" t="n"/>
      <c r="AX76" s="203" t="n"/>
      <c r="AY76" s="203" t="n"/>
      <c r="AZ76" s="387" t="inlineStr">
        <is>
          <t>✓ Found</t>
        </is>
      </c>
      <c r="BB76" s="387" t="n"/>
    </row>
    <row r="77" ht="132" customHeight="1" s="578">
      <c r="A77" s="96" t="n">
        <v>71</v>
      </c>
      <c r="B77" s="97" t="inlineStr">
        <is>
          <t>EP01 – SER_ROM2290
EP02 – SER_ROM2291
EP03 – SER_ROM2292
EP04 – SER_ROM2293
EP05 – SER_ROM2294
EP06 – SER_ROM2295
EP07 – SER_ROM2296
EP08 – SER_ROM2297
EP09 – SER_ROM2298
EP10 – SER_ROM2299</t>
        </is>
      </c>
      <c r="C77" s="108" t="inlineStr">
        <is>
          <t>Bad Boys Vs Crazy Girls</t>
        </is>
      </c>
      <c r="D77" s="590" t="inlineStr">
        <is>
          <t>Trai xấu và gái hư</t>
        </is>
      </c>
      <c r="E77" s="108" t="inlineStr">
        <is>
          <t>Viu</t>
        </is>
      </c>
      <c r="F77" s="590" t="inlineStr">
        <is>
          <t xml:space="preserve">PCCW VUCLIP/2024/HDBQ Output deal </t>
        </is>
      </c>
      <c r="G77" s="108" t="inlineStr">
        <is>
          <t>Indonesia</t>
        </is>
      </c>
      <c r="H77" s="289" t="n">
        <v>2022</v>
      </c>
      <c r="I77" s="108" t="n">
        <v>10</v>
      </c>
      <c r="J77" s="108" t="n">
        <v>45</v>
      </c>
      <c r="K77" s="305">
        <f>(I77*J77)/60</f>
        <v/>
      </c>
      <c r="L77" s="305" t="n">
        <v>10</v>
      </c>
      <c r="M77" s="108" t="inlineStr">
        <is>
          <t>Romance,Comedy</t>
        </is>
      </c>
      <c r="N77" s="108" t="inlineStr">
        <is>
          <t>Romance,Comedy</t>
        </is>
      </c>
      <c r="O77" s="590" t="n"/>
      <c r="P77" s="590" t="inlineStr">
        <is>
          <t>VOD only</t>
        </is>
      </c>
      <c r="Q77" s="590" t="n">
        <v>45474</v>
      </c>
      <c r="R77" s="590" t="n"/>
      <c r="S77" s="590" t="n"/>
      <c r="T77" s="108" t="inlineStr">
        <is>
          <t>No</t>
        </is>
      </c>
      <c r="U77" s="590" t="inlineStr">
        <is>
          <t>Yes</t>
        </is>
      </c>
      <c r="V77" s="590" t="inlineStr">
        <is>
          <t>No</t>
        </is>
      </c>
      <c r="W77" s="290" t="inlineStr">
        <is>
          <t>Yes</t>
        </is>
      </c>
      <c r="X77" s="290" t="inlineStr">
        <is>
          <t>Yes</t>
        </is>
      </c>
      <c r="Y77" s="290" t="inlineStr">
        <is>
          <t>Yes</t>
        </is>
      </c>
      <c r="Z77" s="290" t="inlineStr">
        <is>
          <t>Yes</t>
        </is>
      </c>
      <c r="AA77" s="290" t="inlineStr">
        <is>
          <t>Yes</t>
        </is>
      </c>
      <c r="AB77" s="290" t="inlineStr">
        <is>
          <t>Yes</t>
        </is>
      </c>
      <c r="AC77" s="308" t="n">
        <v>45474</v>
      </c>
      <c r="AD77" s="308" t="n">
        <v>46934</v>
      </c>
      <c r="AE77" s="590" t="n"/>
      <c r="AF77" s="306" t="n"/>
      <c r="AG77" s="641" t="n"/>
      <c r="AH77" s="309" t="n"/>
      <c r="AI77" s="642" t="inlineStr">
        <is>
          <t>Yes</t>
        </is>
      </c>
      <c r="AJ77" s="642" t="inlineStr">
        <is>
          <t>Yes</t>
        </is>
      </c>
      <c r="AK77" s="307" t="n"/>
      <c r="AL77" s="590" t="inlineStr">
        <is>
          <t>Phim còn hạn từ 2026</t>
        </is>
      </c>
      <c r="AM77" s="367" t="inlineStr">
        <is>
          <t>Tồn kho bản quyền: Gói series VOD từ PCCW (Viu)</t>
        </is>
      </c>
      <c r="AN77" s="203" t="n"/>
      <c r="AO77" s="128">
        <f>SUMIF('TK 15661.Bản quyền phim '!F:F,'KK2. Series'!C77,'TK 15661.Bản quyền phim '!K:K)</f>
        <v/>
      </c>
      <c r="AP77" s="128">
        <f>COUNTIF('242.BQ Phim VOD'!$C$5:$C$8,'KK2. Series'!AM77)</f>
        <v/>
      </c>
      <c r="AQ77" s="128">
        <f>COUNTIF('TK 15666. Phim SX'!$C$6:$C$13,'KK2. Series'!AM77)</f>
        <v/>
      </c>
      <c r="AR77" s="203">
        <f>COUNTIF('TK 15661.Bản quyền phim '!F:F,'KK2. Series'!AM77)</f>
        <v/>
      </c>
      <c r="AS77" s="203" t="n"/>
      <c r="AT77" s="366">
        <f>SUM(AP77:AS77)</f>
        <v/>
      </c>
      <c r="AU77" s="203" t="n"/>
      <c r="AV77" s="203" t="n"/>
      <c r="AW77" s="203" t="n"/>
      <c r="AX77" s="203" t="n"/>
      <c r="AY77" s="203" t="n"/>
      <c r="AZ77" s="387" t="inlineStr">
        <is>
          <t>✓ Found</t>
        </is>
      </c>
      <c r="BB77" s="387" t="n"/>
    </row>
    <row r="78" ht="132" customHeight="1" s="578">
      <c r="A78" s="96" t="n">
        <v>72</v>
      </c>
      <c r="B78" s="97" t="inlineStr">
        <is>
          <t>EP01 – SER_COM589
EP02 – SER_COM590
EP03 – SER_COM591
EP04 – SER_COM592
EP05 – SER_COM593
EP06 – SER_COM594
EP07 – SER_COM595
EP08 – SER_COM596
EP09 – SER_COM597
EP10 – SER_COM598</t>
        </is>
      </c>
      <c r="C78" s="108" t="inlineStr">
        <is>
          <t>Star Stealer</t>
        </is>
      </c>
      <c r="D78" s="590" t="inlineStr">
        <is>
          <t>Đội trộm siêu sao</t>
        </is>
      </c>
      <c r="E78" s="108" t="inlineStr">
        <is>
          <t>Viu</t>
        </is>
      </c>
      <c r="F78" s="590" t="inlineStr">
        <is>
          <t xml:space="preserve">PCCW VUCLIP/2024/HDBQ Output deal </t>
        </is>
      </c>
      <c r="G78" s="108" t="inlineStr">
        <is>
          <t>Indonesia</t>
        </is>
      </c>
      <c r="H78" s="289" t="n">
        <v>2020</v>
      </c>
      <c r="I78" s="108" t="n">
        <v>10</v>
      </c>
      <c r="J78" s="108" t="n">
        <v>30</v>
      </c>
      <c r="K78" s="305">
        <f>(I78*J78)/60</f>
        <v/>
      </c>
      <c r="L78" s="305" t="n">
        <v>10</v>
      </c>
      <c r="M78" s="108" t="inlineStr">
        <is>
          <t>Drama,Comedy</t>
        </is>
      </c>
      <c r="N78" s="108" t="inlineStr">
        <is>
          <t>Drama,Comedy</t>
        </is>
      </c>
      <c r="O78" s="590" t="n"/>
      <c r="P78" s="590" t="inlineStr">
        <is>
          <t>VOD only</t>
        </is>
      </c>
      <c r="Q78" s="590" t="n">
        <v>45474</v>
      </c>
      <c r="R78" s="590" t="n"/>
      <c r="S78" s="590" t="n"/>
      <c r="T78" s="108" t="inlineStr">
        <is>
          <t>No</t>
        </is>
      </c>
      <c r="U78" s="590" t="inlineStr">
        <is>
          <t>Yes</t>
        </is>
      </c>
      <c r="V78" s="590" t="inlineStr">
        <is>
          <t>No</t>
        </is>
      </c>
      <c r="W78" s="290" t="inlineStr">
        <is>
          <t>Yes</t>
        </is>
      </c>
      <c r="X78" s="290" t="inlineStr">
        <is>
          <t>Yes</t>
        </is>
      </c>
      <c r="Y78" s="290" t="inlineStr">
        <is>
          <t>Yes</t>
        </is>
      </c>
      <c r="Z78" s="290" t="inlineStr">
        <is>
          <t>Yes</t>
        </is>
      </c>
      <c r="AA78" s="290" t="inlineStr">
        <is>
          <t>Yes</t>
        </is>
      </c>
      <c r="AB78" s="290" t="inlineStr">
        <is>
          <t>Yes</t>
        </is>
      </c>
      <c r="AC78" s="308" t="n">
        <v>45474</v>
      </c>
      <c r="AD78" s="308" t="n">
        <v>46934</v>
      </c>
      <c r="AE78" s="590" t="n"/>
      <c r="AF78" s="306" t="n"/>
      <c r="AG78" s="641" t="n"/>
      <c r="AH78" s="309" t="n"/>
      <c r="AI78" s="642" t="inlineStr">
        <is>
          <t>Yes</t>
        </is>
      </c>
      <c r="AJ78" s="642" t="inlineStr">
        <is>
          <t>Yes</t>
        </is>
      </c>
      <c r="AK78" s="307" t="n"/>
      <c r="AL78" s="590" t="inlineStr">
        <is>
          <t>Phim còn hạn từ 2026</t>
        </is>
      </c>
      <c r="AM78" s="367" t="inlineStr">
        <is>
          <t>Tồn kho bản quyền: Gói series VOD từ PCCW (Viu)</t>
        </is>
      </c>
      <c r="AN78" s="203" t="n"/>
      <c r="AO78" s="128">
        <f>SUMIF('TK 15661.Bản quyền phim '!F:F,'KK2. Series'!C78,'TK 15661.Bản quyền phim '!K:K)</f>
        <v/>
      </c>
      <c r="AP78" s="128">
        <f>COUNTIF('242.BQ Phim VOD'!$C$5:$C$8,'KK2. Series'!AM78)</f>
        <v/>
      </c>
      <c r="AQ78" s="128">
        <f>COUNTIF('TK 15666. Phim SX'!$C$6:$C$13,'KK2. Series'!AM78)</f>
        <v/>
      </c>
      <c r="AR78" s="203">
        <f>COUNTIF('TK 15661.Bản quyền phim '!F:F,'KK2. Series'!AM78)</f>
        <v/>
      </c>
      <c r="AS78" s="203" t="n"/>
      <c r="AT78" s="366">
        <f>SUM(AP78:AS78)</f>
        <v/>
      </c>
      <c r="AU78" s="203" t="n"/>
      <c r="AV78" s="203" t="n"/>
      <c r="AW78" s="203" t="n"/>
      <c r="AX78" s="203" t="n"/>
      <c r="AY78" s="203" t="n"/>
      <c r="AZ78" s="387" t="inlineStr">
        <is>
          <t>✓ Found</t>
        </is>
      </c>
      <c r="BB78" s="387" t="n"/>
    </row>
    <row r="79" ht="171.6" customHeight="1" s="578">
      <c r="A79" s="96" t="n">
        <v>73</v>
      </c>
      <c r="B79" s="97" t="inlineStr">
        <is>
          <t>EP01 – SER_ROM2310
EP02 – SER_ROM2311
EP03 – SER_ROM2312
EP04 – SER_ROM2313
EP05 – SER_ROM2314
EP06 – SER_ROM2315
EP07 – SER_ROM2316
EP08 – SER_ROM2317
EP09 – SER_ROM2318
EP10 – SER_ROM2319
EP11 – SER_ROM2320
EP12 – SER_ROM2321
EP13 – SER_ROM2322</t>
        </is>
      </c>
      <c r="C79" s="108" t="inlineStr">
        <is>
          <t>Switch</t>
        </is>
      </c>
      <c r="D79" s="590" t="inlineStr">
        <is>
          <t>Sự hoán đổi huyền diệu</t>
        </is>
      </c>
      <c r="E79" s="108" t="inlineStr">
        <is>
          <t>Viu</t>
        </is>
      </c>
      <c r="F79" s="590" t="inlineStr">
        <is>
          <t xml:space="preserve">PCCW VUCLIP/2024/HDBQ Output deal </t>
        </is>
      </c>
      <c r="G79" s="108" t="inlineStr">
        <is>
          <t>Indonesia</t>
        </is>
      </c>
      <c r="H79" s="289" t="n">
        <v>2017</v>
      </c>
      <c r="I79" s="108" t="n">
        <v>13</v>
      </c>
      <c r="J79" s="108" t="n">
        <v>30</v>
      </c>
      <c r="K79" s="305">
        <f>(I79*J79)/60</f>
        <v/>
      </c>
      <c r="L79" s="305" t="n">
        <v>13</v>
      </c>
      <c r="M79" s="108" t="inlineStr">
        <is>
          <t>Romantic Drama</t>
        </is>
      </c>
      <c r="N79" s="108" t="inlineStr">
        <is>
          <t>Romantic Drama</t>
        </is>
      </c>
      <c r="O79" s="590" t="n"/>
      <c r="P79" s="590" t="inlineStr">
        <is>
          <t>VOD only</t>
        </is>
      </c>
      <c r="Q79" s="590" t="n">
        <v>45474</v>
      </c>
      <c r="R79" s="590" t="n"/>
      <c r="S79" s="590" t="n"/>
      <c r="T79" s="108" t="inlineStr">
        <is>
          <t>No</t>
        </is>
      </c>
      <c r="U79" s="590" t="inlineStr">
        <is>
          <t>Yes</t>
        </is>
      </c>
      <c r="V79" s="590" t="inlineStr">
        <is>
          <t>No</t>
        </is>
      </c>
      <c r="W79" s="290" t="inlineStr">
        <is>
          <t>Yes</t>
        </is>
      </c>
      <c r="X79" s="290" t="inlineStr">
        <is>
          <t>Yes</t>
        </is>
      </c>
      <c r="Y79" s="290" t="inlineStr">
        <is>
          <t>Yes</t>
        </is>
      </c>
      <c r="Z79" s="290" t="inlineStr">
        <is>
          <t>Yes</t>
        </is>
      </c>
      <c r="AA79" s="290" t="inlineStr">
        <is>
          <t>Yes</t>
        </is>
      </c>
      <c r="AB79" s="290" t="inlineStr">
        <is>
          <t>Yes</t>
        </is>
      </c>
      <c r="AC79" s="308" t="n">
        <v>45474</v>
      </c>
      <c r="AD79" s="308" t="n">
        <v>46934</v>
      </c>
      <c r="AE79" s="590" t="n"/>
      <c r="AF79" s="306" t="n"/>
      <c r="AG79" s="641" t="n"/>
      <c r="AH79" s="309" t="n"/>
      <c r="AI79" s="642" t="inlineStr">
        <is>
          <t>Yes</t>
        </is>
      </c>
      <c r="AJ79" s="642" t="inlineStr">
        <is>
          <t>Yes</t>
        </is>
      </c>
      <c r="AK79" s="307" t="n"/>
      <c r="AL79" s="590" t="inlineStr">
        <is>
          <t>Phim còn hạn từ 2026</t>
        </is>
      </c>
      <c r="AM79" s="367" t="inlineStr">
        <is>
          <t>Tồn kho bản quyền: Gói series VOD từ PCCW (Viu)</t>
        </is>
      </c>
      <c r="AN79" s="203" t="n"/>
      <c r="AO79" s="128">
        <f>SUMIF('TK 15661.Bản quyền phim '!F:F,'KK2. Series'!C79,'TK 15661.Bản quyền phim '!K:K)</f>
        <v/>
      </c>
      <c r="AP79" s="128">
        <f>COUNTIF('242.BQ Phim VOD'!$C$5:$C$8,'KK2. Series'!AM79)</f>
        <v/>
      </c>
      <c r="AQ79" s="128">
        <f>COUNTIF('TK 15666. Phim SX'!$C$6:$C$13,'KK2. Series'!AM79)</f>
        <v/>
      </c>
      <c r="AR79" s="203">
        <f>COUNTIF('TK 15661.Bản quyền phim '!F:F,'KK2. Series'!AM79)</f>
        <v/>
      </c>
      <c r="AS79" s="203" t="n"/>
      <c r="AT79" s="366">
        <f>SUM(AP79:AS79)</f>
        <v/>
      </c>
      <c r="AU79" s="203" t="n"/>
      <c r="AV79" s="203" t="n"/>
      <c r="AW79" s="203" t="n"/>
      <c r="AX79" s="203" t="n"/>
      <c r="AY79" s="203" t="n"/>
      <c r="AZ79" s="387" t="inlineStr">
        <is>
          <t>✓ Found</t>
        </is>
      </c>
      <c r="BB79" s="387" t="n"/>
    </row>
    <row r="80" ht="211.2" customHeight="1" s="578">
      <c r="A80" s="96" t="n">
        <v>74</v>
      </c>
      <c r="B80" s="97" t="inlineStr">
        <is>
          <t>EP01 – SER_CRI_24_2712184
EP02 – SER_CRI_24_2712185
EP03 – SER_CRI_24_2712186
EP04 – SER_CRI_24_2712187
EP05 – SER_CRI_24_2712188
EP06 – SER_CRI_24_2712189
EP07 – SER_CRI_24_2712190
EP08 – SER_CRI_24_2712191</t>
        </is>
      </c>
      <c r="C80" s="108" t="inlineStr">
        <is>
          <t>GANGS OF LONDON S2</t>
        </is>
      </c>
      <c r="D80" s="590" t="inlineStr">
        <is>
          <t>Băng đảng London - Mùa 2</t>
        </is>
      </c>
      <c r="E80" s="108" t="inlineStr">
        <is>
          <t>NBC Universal</t>
        </is>
      </c>
      <c r="F80" s="97" t="inlineStr">
        <is>
          <t>5049540-2/161434-3</t>
        </is>
      </c>
      <c r="G80" s="108" t="inlineStr">
        <is>
          <t>US</t>
        </is>
      </c>
      <c r="H80" s="108" t="n">
        <v>2020</v>
      </c>
      <c r="I80" s="108" t="n">
        <v>8</v>
      </c>
      <c r="J80" s="108" t="n">
        <v>60</v>
      </c>
      <c r="K80" s="305">
        <f>(I80*J80)/60</f>
        <v/>
      </c>
      <c r="L80" s="305" t="n">
        <v>8</v>
      </c>
      <c r="M80" s="108" t="inlineStr">
        <is>
          <t>Crime, Action, Drama</t>
        </is>
      </c>
      <c r="N80" s="108" t="inlineStr">
        <is>
          <t>Action</t>
        </is>
      </c>
      <c r="O80" s="308" t="n">
        <v>45383</v>
      </c>
      <c r="P80" s="308" t="n">
        <v>46112</v>
      </c>
      <c r="Q80" s="590" t="n">
        <v>45397</v>
      </c>
      <c r="R80" s="590" t="inlineStr">
        <is>
          <t>K+CINE</t>
        </is>
      </c>
      <c r="S80" s="108" t="inlineStr">
        <is>
          <t>12 months Pay TV, nonexclusive VOD</t>
        </is>
      </c>
      <c r="T80" s="290" t="inlineStr">
        <is>
          <t>No</t>
        </is>
      </c>
      <c r="U80" s="590" t="inlineStr">
        <is>
          <t>Yes</t>
        </is>
      </c>
      <c r="V80" s="290" t="inlineStr">
        <is>
          <t>Yes</t>
        </is>
      </c>
      <c r="W80" s="290" t="inlineStr">
        <is>
          <t>Yes</t>
        </is>
      </c>
      <c r="X80" s="590" t="inlineStr">
        <is>
          <t>No</t>
        </is>
      </c>
      <c r="Y80" s="590" t="inlineStr">
        <is>
          <t>No</t>
        </is>
      </c>
      <c r="Z80" s="590" t="inlineStr">
        <is>
          <t>No</t>
        </is>
      </c>
      <c r="AA80" s="590" t="inlineStr">
        <is>
          <t>No</t>
        </is>
      </c>
      <c r="AB80" s="590" t="inlineStr">
        <is>
          <t>Yes</t>
        </is>
      </c>
      <c r="AC80" s="308" t="n">
        <v>45383</v>
      </c>
      <c r="AD80" s="308" t="n">
        <v>46112</v>
      </c>
      <c r="AE80" s="108" t="n">
        <v>6</v>
      </c>
      <c r="AF80" s="306" t="n">
        <v>1</v>
      </c>
      <c r="AG80" s="641" t="n">
        <v>45402</v>
      </c>
      <c r="AH80" s="309" t="n"/>
      <c r="AI80" s="642" t="inlineStr">
        <is>
          <t>Yes</t>
        </is>
      </c>
      <c r="AJ80" s="642" t="inlineStr">
        <is>
          <t>Yes</t>
        </is>
      </c>
      <c r="AK80" s="307" t="n"/>
      <c r="AL80" s="590" t="inlineStr">
        <is>
          <t>Phim còn hạn từ 2026</t>
        </is>
      </c>
      <c r="AM80" s="203" t="inlineStr">
        <is>
          <t>GANGS OF LONDON season 2</t>
        </is>
      </c>
      <c r="AN80" s="203" t="n"/>
      <c r="AO80" s="128">
        <f>SUMIF('TK 15661.Bản quyền phim '!F:F,'KK2. Series'!C80,'TK 15661.Bản quyền phim '!K:K)</f>
        <v/>
      </c>
      <c r="AP80" s="128">
        <f>COUNTIF('242.BQ Phim VOD'!$C$5:$C$8,'KK2. Series'!AM80)</f>
        <v/>
      </c>
      <c r="AQ80" s="128">
        <f>COUNTIF('TK 15666. Phim SX'!$C$6:$C$13,'KK2. Series'!AM80)</f>
        <v/>
      </c>
      <c r="AR80" s="203">
        <f>COUNTIF('TK 15661.Bản quyền phim '!F:F,'KK2. Series'!AM80)</f>
        <v/>
      </c>
      <c r="AS80" s="203" t="n"/>
      <c r="AT80" s="366">
        <f>SUM(AP80:AS80)</f>
        <v/>
      </c>
      <c r="AU80" s="203" t="n"/>
      <c r="AV80" s="203" t="n"/>
      <c r="AW80" s="203" t="n"/>
      <c r="AX80" s="203" t="n"/>
      <c r="AY80" s="203" t="n"/>
      <c r="AZ80" s="387" t="inlineStr">
        <is>
          <t>⚠ Partial (7/8 clips)</t>
        </is>
      </c>
      <c r="BB80" s="387" t="n"/>
    </row>
    <row r="81" ht="409.6" customHeight="1" s="578">
      <c r="A81" s="96" t="n">
        <v>75</v>
      </c>
      <c r="B81" s="97" t="inlineStr">
        <is>
          <t>EP01 – SER_ROM_23__2708824 
EP02 – SER_ROM_23_2708825
EP03 – SER_ROM_23_2708826
EP04 – SER_ROM_23_2708827
EP05 – SER_ROM_23_2708828
EP06 – SER_ROM_23_2708829
EP07 – SER_ROM_23_2708830
EP08 – SER_ROM_23_2708831
EP09 – SER_ROM_23_2708832
EP10 – SER_ROM_23_2708833
EP11 – SER_ROM_23_2708834
EP12 – SER_ROM_23_2708835
EP13 – SER_ROM_23_2708836
EP14 – SER_ROM_23_2708837
EP15 – SER_ROM_23_2708838
EP16 – SER_ROM_23_2708839
EP17 – SER_ROM_23_2708840
EP18 – SER_ROM_23_2708841
EP19 – SER_ROM_23_2708842
EP20 – SER_ROM_23_2708843
EP21 – SER_ROM_23_2708844
EP22 – SER_ROM_23_2708845
EP23 – SER_ROM_23_2708846
EP24 – SER_ROM_23_2708847
EP25 – SER_ROM_23_2708848
EP26 – SER_ROM_23_2708849
EP27 – SER_ROM_23_2708850
EP28 – SER_ROM_23_2708851
EP29 – SER_ROM_23_2708852
EP30 – SER_ROM_23_2708853
EP31 – SER_ROM_23_2708854
EP32 – SER_ROM_23_2708855
EP33 – SER_ROM_23_2708856</t>
        </is>
      </c>
      <c r="C81" s="108" t="inlineStr">
        <is>
          <t>Love Me, Love My Voice</t>
        </is>
      </c>
      <c r="D81" s="108" t="inlineStr">
        <is>
          <t>Rất nhớ, rất nhớ anh</t>
        </is>
      </c>
      <c r="E81" s="108" t="inlineStr">
        <is>
          <t>TKL</t>
        </is>
      </c>
      <c r="F81" s="590" t="inlineStr">
        <is>
          <t>160A/2023/HDBQ/VSTV_TKL</t>
        </is>
      </c>
      <c r="G81" s="108" t="inlineStr">
        <is>
          <t>China</t>
        </is>
      </c>
      <c r="H81" s="108" t="n">
        <v>2023</v>
      </c>
      <c r="I81" s="108" t="n">
        <v>33</v>
      </c>
      <c r="J81" s="108" t="n">
        <v>45</v>
      </c>
      <c r="K81" s="305">
        <f>(I81*J81)/60</f>
        <v/>
      </c>
      <c r="L81" s="305">
        <f>I81</f>
        <v/>
      </c>
      <c r="M81" s="108" t="inlineStr">
        <is>
          <t>Romance, Drama, Comedy</t>
        </is>
      </c>
      <c r="N81" s="590" t="inlineStr">
        <is>
          <t>Romance</t>
        </is>
      </c>
      <c r="O81" s="646" t="n"/>
      <c r="P81" s="590" t="inlineStr">
        <is>
          <t>VOD only</t>
        </is>
      </c>
      <c r="Q81" s="590" t="n">
        <v>45284</v>
      </c>
      <c r="R81" s="590" t="inlineStr">
        <is>
          <t>VOD only</t>
        </is>
      </c>
      <c r="S81" s="590" t="n"/>
      <c r="T81" s="590" t="inlineStr">
        <is>
          <t>No</t>
        </is>
      </c>
      <c r="U81" s="590" t="inlineStr">
        <is>
          <t>Yes</t>
        </is>
      </c>
      <c r="V81" s="590" t="inlineStr">
        <is>
          <t>No</t>
        </is>
      </c>
      <c r="W81" s="590" t="inlineStr">
        <is>
          <t>Yes</t>
        </is>
      </c>
      <c r="X81" s="590" t="inlineStr">
        <is>
          <t>Yes</t>
        </is>
      </c>
      <c r="Y81" s="590" t="inlineStr">
        <is>
          <t>Yes</t>
        </is>
      </c>
      <c r="Z81" s="590" t="inlineStr">
        <is>
          <t>Yes</t>
        </is>
      </c>
      <c r="AA81" s="590" t="inlineStr">
        <is>
          <t>Yes</t>
        </is>
      </c>
      <c r="AB81" s="590" t="inlineStr">
        <is>
          <t>Yes</t>
        </is>
      </c>
      <c r="AC81" s="308" t="n">
        <v>45260</v>
      </c>
      <c r="AD81" s="308" t="n">
        <v>46355</v>
      </c>
      <c r="AE81" s="108" t="n"/>
      <c r="AF81" s="306" t="n"/>
      <c r="AG81" s="641" t="n"/>
      <c r="AH81" s="309" t="n"/>
      <c r="AI81" s="642" t="inlineStr">
        <is>
          <t>Yes</t>
        </is>
      </c>
      <c r="AJ81" s="642" t="inlineStr">
        <is>
          <t>Yes</t>
        </is>
      </c>
      <c r="AK81" s="307" t="inlineStr">
        <is>
          <t>Phim Song song</t>
        </is>
      </c>
      <c r="AL81" s="590" t="inlineStr">
        <is>
          <t>Phim còn hạn từ 2026</t>
        </is>
      </c>
      <c r="AM81" s="367" t="inlineStr">
        <is>
          <t>Bản quyền VOD 36 tháng phim "Love me, love my voice" theo HĐ số 160A/2023/HDBQ/VSTV-TKL</t>
        </is>
      </c>
      <c r="AN81" s="203" t="n"/>
      <c r="AO81" s="128">
        <f>SUMIF('TK 15661.Bản quyền phim '!F:F,'KK2. Series'!C81,'TK 15661.Bản quyền phim '!K:K)</f>
        <v/>
      </c>
      <c r="AP81" s="128">
        <f>COUNTIF('242.BQ Phim VOD'!$C$5:$C$8,'KK2. Series'!AM81)</f>
        <v/>
      </c>
      <c r="AQ81" s="128">
        <f>COUNTIF('TK 15666. Phim SX'!$C$6:$C$13,'KK2. Series'!AM81)</f>
        <v/>
      </c>
      <c r="AR81" s="203">
        <f>COUNTIF('TK 15661.Bản quyền phim '!F:F,'KK2. Series'!AM81)</f>
        <v/>
      </c>
      <c r="AS81" s="203" t="n"/>
      <c r="AT81" s="366">
        <f>SUM(AP81:AS81)</f>
        <v/>
      </c>
      <c r="AU81" s="203" t="n"/>
      <c r="AV81" s="203" t="n"/>
      <c r="AW81" s="203" t="n"/>
      <c r="AX81" s="203" t="n"/>
      <c r="AY81" s="203" t="n"/>
      <c r="AZ81" s="387" t="inlineStr">
        <is>
          <t>✗ Not Found</t>
        </is>
      </c>
      <c r="BB81" s="387" t="n"/>
    </row>
    <row r="82" ht="409.6" customHeight="1" s="578">
      <c r="A82" s="96" t="n">
        <v>76</v>
      </c>
      <c r="B82" s="97" t="inlineStr">
        <is>
          <t>queen of divorce – bản Sub – EP01→EP12
EP01 – SER_DRA_24_2711807
EP02 – SER_DRA_24_2711808
EP03 – SER_DRA_24_2711809
EP04 – SER_DRA_24_2711810
EP05 – SER_DRA_24_2711811
EP06 – SER_DRA_24_2711812
EP07 – SER_DRA_24_2711813
EP08 – SER_DRA_24_2711814
EP09 – SER_DRA_24_2711815
EP10 – SER_DRA_24_2711816
EP11 – SER_DRA_24_2711817
EP12 – SER_DRA_24_2711818
queen of divorce – bản voice – EP01→EP18
EP01 – SER_DRA_24_2716181
EP02 – SER_DRA_24_2716182
EP03 – SER_DRA_24_2716183
EP04 – SER_DRA_24_2716184
EP05 – SER_DRA_24_2716185
EP06 – SER_DRA_24_2716186
EP07 – SER_DRA_24_2716187
EP08 – SER_DRA_24_2716188
EP09 – SER_DRA_24_2716189
EP10 – SER_DRA_24_2716190
EP11 – SER_DRA_24_2716191
EP12 – SER_DRA_24_2716192
EP13 – SER_DRA_24_2716193
EP14 – SER_DRA_24_2716194
EP15 – SER_DRA_24_2716195
EP16 – SER_DRA_24_2716196
EP17 – SER_DRA_24_2716197
EP18 – SER_DRA_24_2716198</t>
        </is>
      </c>
      <c r="C82" s="108" t="inlineStr">
        <is>
          <t>Queen of Divorce</t>
        </is>
      </c>
      <c r="D82" s="590" t="inlineStr">
        <is>
          <t>Nữ hoàng ly hôn</t>
        </is>
      </c>
      <c r="E82" s="290" t="inlineStr">
        <is>
          <t>Viu</t>
        </is>
      </c>
      <c r="F82" s="590" t="inlineStr">
        <is>
          <t xml:space="preserve">PCCW VUCLIP/2024/HDBQ Output deal </t>
        </is>
      </c>
      <c r="G82" s="290" t="inlineStr">
        <is>
          <t>Korea</t>
        </is>
      </c>
      <c r="H82" s="290" t="n">
        <v>2024</v>
      </c>
      <c r="I82" s="290" t="n">
        <v>12</v>
      </c>
      <c r="J82" s="290" t="n">
        <v>70</v>
      </c>
      <c r="K82" s="449">
        <f>(I82*J82)/60</f>
        <v/>
      </c>
      <c r="L82" s="305" t="n">
        <v>18</v>
      </c>
      <c r="M82" s="290" t="inlineStr">
        <is>
          <t>Modern, drama</t>
        </is>
      </c>
      <c r="N82" s="590" t="inlineStr">
        <is>
          <t>Drama</t>
        </is>
      </c>
      <c r="O82" s="310" t="n">
        <v>45322</v>
      </c>
      <c r="P82" s="310" t="n">
        <v>46782</v>
      </c>
      <c r="Q82" s="310" t="n">
        <v>45322</v>
      </c>
      <c r="R82" s="590" t="inlineStr">
        <is>
          <t>K+ACTION</t>
        </is>
      </c>
      <c r="S82" s="311" t="n">
        <v>48</v>
      </c>
      <c r="T82" s="290" t="inlineStr">
        <is>
          <t>Yes</t>
        </is>
      </c>
      <c r="U82" s="590" t="inlineStr">
        <is>
          <t>Yes</t>
        </is>
      </c>
      <c r="V82" s="290" t="inlineStr">
        <is>
          <t>Yes</t>
        </is>
      </c>
      <c r="W82" s="290" t="inlineStr">
        <is>
          <t>Yes</t>
        </is>
      </c>
      <c r="X82" s="290" t="inlineStr">
        <is>
          <t>Yes</t>
        </is>
      </c>
      <c r="Y82" s="290" t="inlineStr">
        <is>
          <t>Yes</t>
        </is>
      </c>
      <c r="Z82" s="290" t="inlineStr">
        <is>
          <t>Yes</t>
        </is>
      </c>
      <c r="AA82" s="290" t="inlineStr">
        <is>
          <t>Yes</t>
        </is>
      </c>
      <c r="AB82" s="290" t="inlineStr">
        <is>
          <t>Yes</t>
        </is>
      </c>
      <c r="AC82" s="310" t="n">
        <v>45322</v>
      </c>
      <c r="AD82" s="310" t="n">
        <v>46782</v>
      </c>
      <c r="AE82" s="290" t="inlineStr">
        <is>
          <t xml:space="preserve">Unlimited run </t>
        </is>
      </c>
      <c r="AF82" s="306" t="n"/>
      <c r="AG82" s="641" t="n"/>
      <c r="AH82" s="309" t="n"/>
      <c r="AI82" s="642" t="inlineStr">
        <is>
          <t>Yes</t>
        </is>
      </c>
      <c r="AJ82" s="642" t="inlineStr">
        <is>
          <t>Yes</t>
        </is>
      </c>
      <c r="AK82" s="307" t="inlineStr">
        <is>
          <t>Phim Song song</t>
        </is>
      </c>
      <c r="AL82" s="590" t="inlineStr">
        <is>
          <t>Phim còn hạn từ 2026</t>
        </is>
      </c>
      <c r="AM82" s="203" t="inlineStr">
        <is>
          <t>Queen of Divorce (Nữ hoàng ly hôn)</t>
        </is>
      </c>
      <c r="AN82" s="203" t="n"/>
      <c r="AO82" s="128">
        <f>SUMIF('TK 15661.Bản quyền phim '!F:F,'KK2. Series'!C82,'TK 15661.Bản quyền phim '!K:K)</f>
        <v/>
      </c>
      <c r="AP82" s="128">
        <f>COUNTIF('242.BQ Phim VOD'!$C$5:$C$8,'KK2. Series'!AM82)</f>
        <v/>
      </c>
      <c r="AQ82" s="128">
        <f>COUNTIF('TK 15666. Phim SX'!$C$6:$C$13,'KK2. Series'!AM82)</f>
        <v/>
      </c>
      <c r="AR82" s="203">
        <f>COUNTIF('TK 15661.Bản quyền phim '!F:F,'KK2. Series'!AM82)</f>
        <v/>
      </c>
      <c r="AS82" s="203" t="n"/>
      <c r="AT82" s="366">
        <f>SUM(AP82:AS82)</f>
        <v/>
      </c>
      <c r="AU82" s="203" t="n"/>
      <c r="AV82" s="203" t="n"/>
      <c r="AW82" s="203" t="n"/>
      <c r="AX82" s="203" t="n"/>
      <c r="AY82" s="203" t="n"/>
      <c r="AZ82" s="387" t="inlineStr">
        <is>
          <t>✓ Found</t>
        </is>
      </c>
      <c r="BB82" s="387" t="n"/>
    </row>
    <row r="83" ht="409.6" customHeight="1" s="578">
      <c r="A83" s="96" t="n">
        <v>77</v>
      </c>
      <c r="B83" s="97" t="inlineStr">
        <is>
          <t>the escape of the seven: resurrection – bản Sub – EP01→EP16
EP01 – SER_THR_24_2714792
EP02 – SER_THR_24_2714793
EP03 – SER_THR_24_2714794
EP04 – SER_THR_24_2714795
EP05 – SER_THR_24_2714796
EP06 – SER_THR_24_2714797
EP07 – SER_THR_24_2714798
EP08 – SER_THR_24_2714799
EP09 – SER_THR_24_2714800
EP10 – SER_THR_24_2714801
EP11 – SER_THR_24_2714802
EP12 – SER_THR_24_2714803
EP13 – SER_THR_24_2714804
EP14 – SER_THR_24_2714805
EP15 – SER_THR_24_2714806
EP16 – SER_THR_24_2714807
the escape of the seven: resurrection – bản Voice – EP01→EP24
EP01 – SER_THR340
EP02 – SER_THR341
EP03 – SER_THR342
EP04 – SER_THR343
EP05 – SER_THR344
EP06 – SER_THR345
EP07 – SER_THR346
EP08 – SER_THR347
EP09 – SER_THR348
EP10 – SER_THR349
EP11 – SER_THR350
EP12 – SER_THR351
EP13 – SER_THR352
EP14 – SER_THR353
EP15 – SER_THR354
EP16 – SER_THR355
EP17 – SER_THR356
EP18 – SER_THR357
EP19 – SER_THR358
EP20 – SER_THR359
EP21 – SER_THR360
EP22 – SER_THR361
EP23 – SER_THR362
EP24 – SER_THR363</t>
        </is>
      </c>
      <c r="C83" s="108" t="inlineStr">
        <is>
          <t>The Escape of the Seven: Resurrection</t>
        </is>
      </c>
      <c r="D83" s="590" t="inlineStr">
        <is>
          <t>Cuộc chiến sinh tồn P2: Hồi sinh</t>
        </is>
      </c>
      <c r="E83" s="290" t="inlineStr">
        <is>
          <t>Viu</t>
        </is>
      </c>
      <c r="F83" s="590" t="inlineStr">
        <is>
          <t xml:space="preserve">PCCW VUCLIP/2024/HDBQ Output deal </t>
        </is>
      </c>
      <c r="G83" s="290" t="inlineStr">
        <is>
          <t>Korea</t>
        </is>
      </c>
      <c r="H83" s="290" t="n">
        <v>2024</v>
      </c>
      <c r="I83" s="290" t="n">
        <v>16</v>
      </c>
      <c r="J83" s="290" t="n">
        <v>70</v>
      </c>
      <c r="K83" s="449">
        <f>(I83*J83)/60</f>
        <v/>
      </c>
      <c r="L83" s="305" t="n">
        <v>24</v>
      </c>
      <c r="M83" s="290" t="inlineStr">
        <is>
          <t>Modern, thriller</t>
        </is>
      </c>
      <c r="N83" s="590" t="inlineStr">
        <is>
          <t>Thriller</t>
        </is>
      </c>
      <c r="O83" s="313" t="n">
        <v>45380</v>
      </c>
      <c r="P83" s="314" t="n">
        <v>46840</v>
      </c>
      <c r="Q83" s="310" t="n">
        <v>45380</v>
      </c>
      <c r="R83" s="590" t="inlineStr">
        <is>
          <t>K+CINE</t>
        </is>
      </c>
      <c r="S83" s="311" t="n">
        <v>48</v>
      </c>
      <c r="T83" s="290" t="inlineStr">
        <is>
          <t>Yes</t>
        </is>
      </c>
      <c r="U83" s="590" t="inlineStr">
        <is>
          <t>Yes</t>
        </is>
      </c>
      <c r="V83" s="290" t="inlineStr">
        <is>
          <t>Yes</t>
        </is>
      </c>
      <c r="W83" s="290" t="inlineStr">
        <is>
          <t>Yes</t>
        </is>
      </c>
      <c r="X83" s="290" t="inlineStr">
        <is>
          <t>Yes</t>
        </is>
      </c>
      <c r="Y83" s="290" t="inlineStr">
        <is>
          <t>Yes</t>
        </is>
      </c>
      <c r="Z83" s="290" t="inlineStr">
        <is>
          <t>Yes</t>
        </is>
      </c>
      <c r="AA83" s="290" t="inlineStr">
        <is>
          <t>Yes</t>
        </is>
      </c>
      <c r="AB83" s="290" t="inlineStr">
        <is>
          <t>Yes</t>
        </is>
      </c>
      <c r="AC83" s="313" t="n">
        <v>45380</v>
      </c>
      <c r="AD83" s="314" t="n">
        <v>46840</v>
      </c>
      <c r="AE83" s="315" t="inlineStr">
        <is>
          <t xml:space="preserve">Unlimited run </t>
        </is>
      </c>
      <c r="AF83" s="306" t="n"/>
      <c r="AG83" s="641" t="n"/>
      <c r="AH83" s="309" t="n"/>
      <c r="AI83" s="642" t="inlineStr">
        <is>
          <t>Yes</t>
        </is>
      </c>
      <c r="AJ83" s="642" t="inlineStr">
        <is>
          <t>Yes</t>
        </is>
      </c>
      <c r="AK83" s="307" t="inlineStr">
        <is>
          <t>Phim Song song</t>
        </is>
      </c>
      <c r="AL83" s="590" t="inlineStr">
        <is>
          <t>Phim còn hạn từ 2026</t>
        </is>
      </c>
      <c r="AM83" s="643" t="inlineStr">
        <is>
          <t>The Escape Of The Seven: Resurrection</t>
        </is>
      </c>
      <c r="AN83" s="203" t="n"/>
      <c r="AO83" s="128">
        <f>SUMIF('TK 15661.Bản quyền phim '!F:F,'KK2. Series'!C83,'TK 15661.Bản quyền phim '!K:K)</f>
        <v/>
      </c>
      <c r="AP83" s="128">
        <f>COUNTIF('242.BQ Phim VOD'!$C$5:$C$8,'KK2. Series'!AM83)</f>
        <v/>
      </c>
      <c r="AQ83" s="128">
        <f>COUNTIF('TK 15666. Phim SX'!$C$6:$C$13,'KK2. Series'!AM83)</f>
        <v/>
      </c>
      <c r="AR83" s="203">
        <f>COUNTIF('TK 15661.Bản quyền phim '!F:F,'KK2. Series'!AM83)</f>
        <v/>
      </c>
      <c r="AS83" s="203" t="n"/>
      <c r="AT83" s="366">
        <f>SUM(AP83:AS83)</f>
        <v/>
      </c>
      <c r="AU83" s="203" t="n"/>
      <c r="AV83" s="203" t="n"/>
      <c r="AW83" s="203" t="n"/>
      <c r="AX83" s="203" t="n"/>
      <c r="AY83" s="203" t="n"/>
      <c r="AZ83" s="387" t="inlineStr">
        <is>
          <t>✓ Found</t>
        </is>
      </c>
      <c r="BB83" s="387" t="n"/>
    </row>
    <row r="84" ht="409.6" customHeight="1" s="578">
      <c r="A84" s="96" t="n">
        <v>78</v>
      </c>
      <c r="B84" s="97" t="inlineStr">
        <is>
          <t>EP01 – SER_ROM2480
EP02 – SER_ROM2481
EP03 – SER_ROM2482
EP04 – SER_ROM2483
EP05 – SER_ROM2484
EP06 – SER_ROM2485
EP07 – SER_ROM2486
EP08 – SER_ROM2487
EP09 – SER_ROM2488
EP10 – SER_ROM2489
EP11 – SER_ROM2490
EP12 – SER_ROM2491
EP13 – SER_ROM2492
EP14 – SER_ROM2493
EP15 – SER_ROM2494
EP16 – SER_ROM2495
EP17 – SER_ROM2496
EP18 – SER_ROM2497
EP19 – SER_ROM2498
EP20 – SER_ROM2499
EP21 – SER_ROM2500
EP22 – SER_ROM2501
EP23 – SER_ROM2502
EP24 – SER_ROM2503
EP25 – SER_ROM2504
EP26 – SER_ROM2505
EP27 – SER_ROM2506
EP28 – SER_ROM2507
EP29 – SER_ROM2508
EP30 – SER_ROM2509
EP31 – SER_ROM2510
EP32 – SER_ROM2511
EP33 – SER_ROM2512
EP34 – SER_ROM2513
EP35 – SER_ROM2514
EP36 – SER_ROM2515
EP37 – SER_ROM2516
EP38 – SER_ROM2517
EP39 – SER_ROM2518
EP40 – SER_ROM2519</t>
        </is>
      </c>
      <c r="C84" s="108" t="inlineStr">
        <is>
          <t>Meet Yourself</t>
        </is>
      </c>
      <c r="D84" s="590" t="inlineStr">
        <is>
          <t>Đi đến nơi có gió</t>
        </is>
      </c>
      <c r="E84" s="108" t="inlineStr">
        <is>
          <t>Huace Media</t>
        </is>
      </c>
      <c r="F84" s="590" t="inlineStr">
        <is>
          <t>Huace Media/Meet Yourself</t>
        </is>
      </c>
      <c r="G84" s="108" t="inlineStr">
        <is>
          <t>China</t>
        </is>
      </c>
      <c r="H84" s="108" t="n">
        <v>2023</v>
      </c>
      <c r="I84" s="108" t="n">
        <v>40</v>
      </c>
      <c r="J84" s="108" t="n">
        <v>45</v>
      </c>
      <c r="K84" s="305">
        <f>(I84*J84)/60</f>
        <v/>
      </c>
      <c r="L84" s="305" t="n">
        <v>40</v>
      </c>
      <c r="M84" s="108" t="inlineStr">
        <is>
          <t>Romance, Life, Drama</t>
        </is>
      </c>
      <c r="N84" s="108" t="inlineStr">
        <is>
          <t>Romance, Life, Drama</t>
        </is>
      </c>
      <c r="O84" s="590" t="n"/>
      <c r="P84" s="590" t="inlineStr">
        <is>
          <t>VOD only</t>
        </is>
      </c>
      <c r="Q84" s="590" t="n">
        <v>45505</v>
      </c>
      <c r="R84" s="590" t="n"/>
      <c r="S84" s="590" t="n"/>
      <c r="T84" s="108" t="inlineStr">
        <is>
          <t>No</t>
        </is>
      </c>
      <c r="U84" s="590" t="inlineStr">
        <is>
          <t>Yes</t>
        </is>
      </c>
      <c r="V84" s="590" t="inlineStr">
        <is>
          <t>No</t>
        </is>
      </c>
      <c r="W84" s="290" t="inlineStr">
        <is>
          <t>Yes</t>
        </is>
      </c>
      <c r="X84" s="290" t="inlineStr">
        <is>
          <t>Yes</t>
        </is>
      </c>
      <c r="Y84" s="290" t="inlineStr">
        <is>
          <t>Yes</t>
        </is>
      </c>
      <c r="Z84" s="290" t="inlineStr">
        <is>
          <t>Yes</t>
        </is>
      </c>
      <c r="AA84" s="290" t="inlineStr">
        <is>
          <t>Yes</t>
        </is>
      </c>
      <c r="AB84" s="290" t="inlineStr">
        <is>
          <t>Yes</t>
        </is>
      </c>
      <c r="AC84" s="308" t="n">
        <v>45505</v>
      </c>
      <c r="AD84" s="308" t="n">
        <v>46965</v>
      </c>
      <c r="AE84" s="108" t="inlineStr">
        <is>
          <t>Unlimited</t>
        </is>
      </c>
      <c r="AF84" s="306" t="n"/>
      <c r="AG84" s="641" t="n"/>
      <c r="AH84" s="309" t="n"/>
      <c r="AI84" s="642" t="inlineStr">
        <is>
          <t>Yes</t>
        </is>
      </c>
      <c r="AJ84" s="642" t="inlineStr">
        <is>
          <t>Yes</t>
        </is>
      </c>
      <c r="AK84" s="307" t="n"/>
      <c r="AL84" s="590" t="inlineStr">
        <is>
          <t>Phim còn hạn từ 2026</t>
        </is>
      </c>
      <c r="AM84" s="367" t="inlineStr">
        <is>
          <t>Bản quyền phim “Meet yourself” - VOD (01/08/2024 -&gt; 31/07/2028)</t>
        </is>
      </c>
      <c r="AN84" s="203" t="n"/>
      <c r="AO84" s="128">
        <f>SUMIF('TK 15661.Bản quyền phim '!F:F,'KK2. Series'!C84,'TK 15661.Bản quyền phim '!K:K)</f>
        <v/>
      </c>
      <c r="AP84" s="128">
        <f>COUNTIF('242.BQ Phim VOD'!$C$5:$C$8,'KK2. Series'!AM84)</f>
        <v/>
      </c>
      <c r="AQ84" s="128">
        <f>COUNTIF('TK 15666. Phim SX'!$C$6:$C$13,'KK2. Series'!AM84)</f>
        <v/>
      </c>
      <c r="AR84" s="203">
        <f>COUNTIF('TK 15661.Bản quyền phim '!F:F,'KK2. Series'!AM84)</f>
        <v/>
      </c>
      <c r="AS84" s="203" t="n"/>
      <c r="AT84" s="366">
        <f>SUM(AP84:AS84)</f>
        <v/>
      </c>
      <c r="AU84" s="203" t="n"/>
      <c r="AV84" s="203" t="n"/>
      <c r="AW84" s="203" t="n"/>
      <c r="AX84" s="203" t="n"/>
      <c r="AY84" s="203" t="n"/>
      <c r="AZ84" s="387" t="inlineStr">
        <is>
          <t>✓ Found</t>
        </is>
      </c>
      <c r="BB84" s="387" t="n"/>
    </row>
    <row r="85" ht="409.6" customHeight="1" s="578">
      <c r="A85" s="96" t="n">
        <v>79</v>
      </c>
      <c r="B85" s="97" t="inlineStr">
        <is>
          <t>EP01 – SER_ROM2543
EP02 – SER_ROM2544
EP03 – SER_ROM2545
EP04 – SER_ROM2546
EP05 – SER_ROM2547
EP06 – SER_ROM2548
EP07 – SER_ROM2549
EP08 – SER_ROM2550
EP09 – SER_ROM2551
EP10 – SER_ROM2552
EP11 – SER_ROM2553
EP12 – SER_ROM2554
EP13 – SER_ROM2555
EP14 – SER_ROM2556
EP15 – SER_ROM2557
EP16 – SER_ROM2558
EP17 – SER_ROM2559
EP18 – SER_ROM2560
EP19 – SER_ROM2561
EP20 – SER_ROM2562
EP21 – SER_ROM2563
EP22 – SER_ROM2564
EP23 – SER_ROM2565
EP24 – SER_ROM2566
EP25 – SER_ROM2567
EP26 – SER_ROM2568
EP27 – SER_ROM2569
EP28 – SER_ROM2570
EP29 – SER_ROM2571
EP30 – SER_ROM2572
EP31 – SER_ROM2573
EP32 – SER_ROM2574
EP33 – SER_ROM2575
EP34 – SER_ROM2576
EP35 – SER_ROM2577
EP36 – SER_ROM2578
EP37 – SER_ROM2579
EP38 – SER_ROM2580</t>
        </is>
      </c>
      <c r="C85" s="108" t="inlineStr">
        <is>
          <t>Castle in the Time</t>
        </is>
      </c>
      <c r="D85" s="590" t="inlineStr">
        <is>
          <t>Tòa thành thời gian</t>
        </is>
      </c>
      <c r="E85" s="108" t="inlineStr">
        <is>
          <t>Cappu Films</t>
        </is>
      </c>
      <c r="F85" s="590" t="inlineStr">
        <is>
          <t>V20240827</t>
        </is>
      </c>
      <c r="G85" s="108" t="inlineStr">
        <is>
          <t>China</t>
        </is>
      </c>
      <c r="H85" s="108" t="n">
        <v>2016</v>
      </c>
      <c r="I85" s="108" t="n">
        <v>38</v>
      </c>
      <c r="J85" s="108" t="n">
        <v>45</v>
      </c>
      <c r="K85" s="305">
        <f>(I85*J85)/60</f>
        <v/>
      </c>
      <c r="L85" s="305" t="n">
        <v>40</v>
      </c>
      <c r="M85" s="108" t="inlineStr">
        <is>
          <t>Comedy, Romance</t>
        </is>
      </c>
      <c r="N85" s="108" t="inlineStr">
        <is>
          <t>Romance</t>
        </is>
      </c>
      <c r="O85" s="308" t="n">
        <v>45545</v>
      </c>
      <c r="P85" s="308" t="n">
        <v>47462</v>
      </c>
      <c r="Q85" s="590" t="n">
        <v>45570</v>
      </c>
      <c r="R85" s="590" t="inlineStr">
        <is>
          <t>app K+</t>
        </is>
      </c>
      <c r="S85" s="108" t="n">
        <v>60</v>
      </c>
      <c r="T85" s="108" t="inlineStr">
        <is>
          <t>Yes</t>
        </is>
      </c>
      <c r="U85" s="590" t="inlineStr">
        <is>
          <t>Yes</t>
        </is>
      </c>
      <c r="V85" s="590" t="inlineStr">
        <is>
          <t>No</t>
        </is>
      </c>
      <c r="W85" s="290" t="inlineStr">
        <is>
          <t>Yes</t>
        </is>
      </c>
      <c r="X85" s="290" t="inlineStr">
        <is>
          <t>Yes</t>
        </is>
      </c>
      <c r="Y85" s="290" t="inlineStr">
        <is>
          <t>Yes</t>
        </is>
      </c>
      <c r="Z85" s="290" t="inlineStr">
        <is>
          <t>Yes</t>
        </is>
      </c>
      <c r="AA85" s="290" t="inlineStr">
        <is>
          <t>Yes</t>
        </is>
      </c>
      <c r="AB85" s="290" t="inlineStr">
        <is>
          <t>Yes</t>
        </is>
      </c>
      <c r="AC85" s="308" t="n">
        <v>45545</v>
      </c>
      <c r="AD85" s="308" t="n">
        <v>47462</v>
      </c>
      <c r="AE85" s="108" t="inlineStr">
        <is>
          <t>Unlimited</t>
        </is>
      </c>
      <c r="AF85" s="306" t="n"/>
      <c r="AG85" s="641" t="n"/>
      <c r="AH85" s="309" t="n"/>
      <c r="AI85" s="642" t="inlineStr">
        <is>
          <t>Yes</t>
        </is>
      </c>
      <c r="AJ85" s="642" t="inlineStr">
        <is>
          <t>Yes</t>
        </is>
      </c>
      <c r="AK85" s="307" t="n"/>
      <c r="AL85" s="590" t="inlineStr">
        <is>
          <t>Phim còn hạn từ 2026</t>
        </is>
      </c>
      <c r="AM85" s="643" t="inlineStr">
        <is>
          <t>Castle in the Time</t>
        </is>
      </c>
      <c r="AN85" s="203" t="n"/>
      <c r="AO85" s="128">
        <f>SUMIF('TK 15661.Bản quyền phim '!F:F,'KK2. Series'!C85,'TK 15661.Bản quyền phim '!K:K)</f>
        <v/>
      </c>
      <c r="AP85" s="128">
        <f>COUNTIF('242.BQ Phim VOD'!$C$5:$C$8,'KK2. Series'!AM85)</f>
        <v/>
      </c>
      <c r="AQ85" s="128">
        <f>COUNTIF('TK 15666. Phim SX'!$C$6:$C$13,'KK2. Series'!AM85)</f>
        <v/>
      </c>
      <c r="AR85" s="203">
        <f>COUNTIF('TK 15661.Bản quyền phim '!F:F,'KK2. Series'!AM85)</f>
        <v/>
      </c>
      <c r="AS85" s="203" t="n"/>
      <c r="AT85" s="366">
        <f>SUM(AP85:AS85)</f>
        <v/>
      </c>
      <c r="AU85" s="203" t="n"/>
      <c r="AV85" s="203" t="n"/>
      <c r="AW85" s="203" t="n"/>
      <c r="AX85" s="203" t="n"/>
      <c r="AY85" s="203" t="n"/>
      <c r="AZ85" s="387" t="inlineStr">
        <is>
          <t>✓ Found</t>
        </is>
      </c>
      <c r="BB85" s="387" t="n"/>
    </row>
    <row r="86" ht="409.6" customHeight="1" s="578">
      <c r="A86" s="96" t="n">
        <v>80</v>
      </c>
      <c r="B86" s="97" t="inlineStr">
        <is>
          <t>the tale of rose – bản Sub – EP01→EP38
EP01 – SER_ROM2366
EP02 – SER_ROM2367
EP03 – SER_ROM2368
EP04 – SER_ROM2369
EP05 – SER_ROM2370
EP06 – SER_ROM2371
EP07 – SER_ROM2372
EP08 – SER_ROM2373
EP09 – SER_ROM2374
EP10 – SER_ROM2375
EP11 – SER_ROM2377
EP12 – SER_ROM2376
EP13 – SER_ROM2378
EP14 – SER_ROM2379
EP15 – SER_ROM2380
EP16 – SER_ROM2381
EP17 – SER_ROM2382
EP18 – SER_ROM2383
EP19 – SER_ROM2384
EP20 – SER_ROM2385
EP21 – SER_ROM2386
EP22 – SER_ROM2387
EP23 – SER_ROM2388
EP24 – SER_ROM2389
EP25 – SER_ROM2390
EP26 – SER_ROM2391
EP27 – SER_ROM2392
EP28 – SER_ROM2393
EP29 – SER_ROM2394
EP30 – SER_ROM2395
EP31 – SER_ROM2396
EP32 – SER_ROM2397
EP33 – SER_ROM2398
EP34 – SER_ROM2399
EP35 – SER_ROM2400
EP36 – SER_ROM2401
EP37 – SER_ROM2402
EP38 – SER_ROM2403
the tale of rose – bản Voice – EP01→EP38
EP01 – SER_ROM2432
EP02 – SER_ROM2433
EP03 – SER_ROM2434
EP04 – SER_ROM2435
EP05 – SER_ROM2436
EP06 – SER_ROM2437
EP07 – SER_ROM2438
EP08 – SER_ROM2439
EP09 – SER_ROM2440
EP10 – SER_ROM2441
EP11 – SER_ROM2442
EP12 – SER_ROM2443
EP13 – SER_ROM2444
EP14 – SER_ROM2445
EP15 – SER_ROM2446
EP16 – SER_ROM2447
EP17 – SER_ROM2448
EP18 – SER_ROM2449
EP19 – SER_ROM2450
EP20 – SER_ROM2451
EP21 – SER_ROM2452
EP22 – SER_ROM2453
EP23 – SER_ROM2454
EP24 – SER_ROM2455
EP25 – SER_ROM2456
EP26 – SER_ROM2457
EP27 – SER_ROM2458
EP28 – SER_ROM2459
EP29 – SER_ROM2460
EP30 – SER_ROM2461
EP31 – SER_ROM2462
EP32 – SER_ROM2463
EP33 – SER_ROM2464
EP34 – SER_ROM2465
EP35 – SER_ROM2466
EP36 – SER_ROM2467
EP37 – SER_ROM2468
EP38 – SER_ROM2469</t>
        </is>
      </c>
      <c r="C86" s="108" t="inlineStr">
        <is>
          <t>The Tale of Rose</t>
        </is>
      </c>
      <c r="D86" s="108" t="inlineStr">
        <is>
          <t>Câu Chuyện Hoa Hồng</t>
        </is>
      </c>
      <c r="E86" s="111" t="inlineStr">
        <is>
          <t xml:space="preserve">NCM </t>
        </is>
      </c>
      <c r="F86" s="590" t="inlineStr">
        <is>
          <t>New Classic Media/HDBQ The tale of Rose</t>
        </is>
      </c>
      <c r="G86" s="108" t="inlineStr">
        <is>
          <t>China</t>
        </is>
      </c>
      <c r="H86" s="108" t="n">
        <v>2024</v>
      </c>
      <c r="I86" s="108" t="n">
        <v>38</v>
      </c>
      <c r="J86" s="108" t="n">
        <v>45</v>
      </c>
      <c r="K86" s="305">
        <f>(I86*J86)/60</f>
        <v/>
      </c>
      <c r="L86" s="305" t="n">
        <v>38</v>
      </c>
      <c r="M86" s="108" t="inlineStr">
        <is>
          <t>Romance, Life</t>
        </is>
      </c>
      <c r="N86" s="108" t="inlineStr">
        <is>
          <t>Romance</t>
        </is>
      </c>
      <c r="O86" s="308" t="n">
        <v>45451</v>
      </c>
      <c r="P86" s="308" t="n">
        <v>47276</v>
      </c>
      <c r="Q86" s="590" t="n">
        <v>45451</v>
      </c>
      <c r="R86" s="590" t="inlineStr">
        <is>
          <t>K+ACTION</t>
        </is>
      </c>
      <c r="S86" s="290" t="n">
        <v>60</v>
      </c>
      <c r="T86" s="108" t="inlineStr">
        <is>
          <t>Yes</t>
        </is>
      </c>
      <c r="U86" s="590" t="inlineStr">
        <is>
          <t>Yes</t>
        </is>
      </c>
      <c r="V86" s="590" t="inlineStr">
        <is>
          <t>No</t>
        </is>
      </c>
      <c r="W86" s="108" t="inlineStr">
        <is>
          <t>Yes</t>
        </is>
      </c>
      <c r="X86" s="108" t="inlineStr">
        <is>
          <t>Yes</t>
        </is>
      </c>
      <c r="Y86" s="108" t="inlineStr">
        <is>
          <t>Yes</t>
        </is>
      </c>
      <c r="Z86" s="108" t="inlineStr">
        <is>
          <t>Yes</t>
        </is>
      </c>
      <c r="AA86" s="108" t="inlineStr">
        <is>
          <t>Yes</t>
        </is>
      </c>
      <c r="AB86" s="108" t="inlineStr">
        <is>
          <t>Yes</t>
        </is>
      </c>
      <c r="AC86" s="308" t="n">
        <v>45451</v>
      </c>
      <c r="AD86" s="308" t="n">
        <v>47276</v>
      </c>
      <c r="AE86" s="108" t="inlineStr">
        <is>
          <t>Unlimited</t>
        </is>
      </c>
      <c r="AF86" s="306" t="n"/>
      <c r="AG86" s="641" t="n"/>
      <c r="AH86" s="309" t="n"/>
      <c r="AI86" s="642" t="inlineStr">
        <is>
          <t>Yes</t>
        </is>
      </c>
      <c r="AJ86" s="642" t="inlineStr">
        <is>
          <t>Yes</t>
        </is>
      </c>
      <c r="AK86" s="307" t="inlineStr">
        <is>
          <t>Phim Song song</t>
        </is>
      </c>
      <c r="AL86" s="590" t="inlineStr">
        <is>
          <t>Phim còn hạn từ 2026</t>
        </is>
      </c>
      <c r="AM86" s="203" t="inlineStr">
        <is>
          <t>The tale of Rose (Câu chuyện Hoa Hồng)</t>
        </is>
      </c>
      <c r="AN86" s="203" t="n"/>
      <c r="AO86" s="128">
        <f>SUMIF('TK 15661.Bản quyền phim '!F:F,'KK2. Series'!C86,'TK 15661.Bản quyền phim '!K:K)</f>
        <v/>
      </c>
      <c r="AP86" s="128">
        <f>COUNTIF('242.BQ Phim VOD'!$C$5:$C$8,'KK2. Series'!AM86)</f>
        <v/>
      </c>
      <c r="AQ86" s="128">
        <f>COUNTIF('TK 15666. Phim SX'!$C$6:$C$13,'KK2. Series'!AM86)</f>
        <v/>
      </c>
      <c r="AR86" s="203">
        <f>COUNTIF('TK 15661.Bản quyền phim '!F:F,'KK2. Series'!AM86)</f>
        <v/>
      </c>
      <c r="AS86" s="203" t="n"/>
      <c r="AT86" s="366">
        <f>SUM(AP86:AS86)</f>
        <v/>
      </c>
      <c r="AU86" s="203" t="n"/>
      <c r="AV86" s="203" t="n"/>
      <c r="AW86" s="203" t="n"/>
      <c r="AX86" s="203" t="n"/>
      <c r="AY86" s="203" t="n"/>
      <c r="AZ86" s="387" t="inlineStr">
        <is>
          <t>✓ Found</t>
        </is>
      </c>
      <c r="BB86" s="387" t="n"/>
    </row>
    <row r="87" ht="409.6" customHeight="1" s="578">
      <c r="A87" s="96" t="n">
        <v>81</v>
      </c>
      <c r="B87" s="97" t="inlineStr">
        <is>
          <t>the legend of heroes: hot blooded – bản Sub – EP01→EP30
EP01 – SER_COS700
EP02 – SER_COS701
EP03 – SER_COS702
EP04 – SER_COS703
EP05 – SER_COS704
EP06 – SER_COS705
EP07 – SER_COS706
EP08 – SER_COS707
EP09 – SER_COS708
EP10 – SER_COS709
EP11 – SER_COS710
EP12 – SER_COS711
EP13 – SER_COS712
EP14 – SER_COS713
EP15 – SER_COS714
EP16 – SER_COS715
EP17 – SER_COS716
EP18 – SER_COS717
EP19 – SER_COS718
EP20 – SER_COS719
EP21 – SER_COS720
EP22 – SER_COS721
EP23 – SER_COS722
EP24 – SER_COS723
EP25 – SER_COS724
EP26 – SER_COS725
EP27 – SER_COS726
EP28 – SER_COS727
EP29 – SER_COS728
EP30 – SER_COS729
the legend of heroes: hot blooded – bản Voice – EP01→EP30
EP01 – SER_COS730
EP02 – SER_COS731
EP03 – SER_COS732
EP04 – SER_COS733
EP05 – SER_COS734
EP06 – SER_COS735
EP07 – SER_COS736
EP08 – SER_COS737
EP09 – SER_COS738
EP10 – SER_COS739
EP11 – SER_COS740
EP12 – SER_COS741
EP13 – SER_COS742
EP14 – SER_COS743
EP15 – SER_COS744
EP16 – SER_COS745
EP17 – SER_COS746
EP18 – SER_COS747
EP19 – SER_COS748
EP20 – SER_COS749
EP21 – SER_COS750
EP22 – SER_COS751
EP23 – SER_COS752
EP24 – SER_COS753
EP25 – SER_COS754
EP26 – SER_COS755
EP27 – SER_COS756
EP28 – SER_COS757
EP29 – SER_COS758
EP30 – SER_COS759</t>
        </is>
      </c>
      <c r="C87" s="108" t="inlineStr">
        <is>
          <t>The Legend of Heroes: Hot Blooded</t>
        </is>
      </c>
      <c r="D87" s="108" t="inlineStr">
        <is>
          <t>Thế giới võ hiệp Kim Dung: Thiết Huyết Đan Tâm</t>
        </is>
      </c>
      <c r="E87" s="590" t="inlineStr">
        <is>
          <t>Youhug</t>
        </is>
      </c>
      <c r="F87" s="590" t="inlineStr">
        <is>
          <t>47/2024/HDBQ/VSTV-Youhug Media</t>
        </is>
      </c>
      <c r="G87" s="108" t="inlineStr">
        <is>
          <t>China</t>
        </is>
      </c>
      <c r="H87" s="108" t="n">
        <v>2024</v>
      </c>
      <c r="I87" s="108" t="n">
        <v>30</v>
      </c>
      <c r="J87" s="108" t="n">
        <v>45</v>
      </c>
      <c r="K87" s="305">
        <f>(I87*J87)/60</f>
        <v/>
      </c>
      <c r="L87" s="305" t="n">
        <v>38</v>
      </c>
      <c r="M87" s="590" t="inlineStr">
        <is>
          <t>Martial Arts, Historical, Adventure, Action</t>
        </is>
      </c>
      <c r="N87" s="590" t="inlineStr">
        <is>
          <t>Action</t>
        </is>
      </c>
      <c r="O87" s="308" t="n">
        <v>45460</v>
      </c>
      <c r="P87" s="308" t="n">
        <v>47285</v>
      </c>
      <c r="Q87" s="590" t="n">
        <v>45451</v>
      </c>
      <c r="R87" s="590" t="inlineStr">
        <is>
          <t>K+ACTION</t>
        </is>
      </c>
      <c r="S87" s="290" t="n">
        <v>60</v>
      </c>
      <c r="T87" s="108" t="inlineStr">
        <is>
          <t>Yes</t>
        </is>
      </c>
      <c r="U87" s="590" t="inlineStr">
        <is>
          <t>Yes</t>
        </is>
      </c>
      <c r="V87" s="108" t="inlineStr">
        <is>
          <t>Yes</t>
        </is>
      </c>
      <c r="W87" s="108" t="inlineStr">
        <is>
          <t>Yes</t>
        </is>
      </c>
      <c r="X87" s="108" t="inlineStr">
        <is>
          <t>Yes</t>
        </is>
      </c>
      <c r="Y87" s="108" t="inlineStr">
        <is>
          <t>Yes</t>
        </is>
      </c>
      <c r="Z87" s="108" t="inlineStr">
        <is>
          <t>Yes</t>
        </is>
      </c>
      <c r="AA87" s="108" t="inlineStr">
        <is>
          <t>Yes</t>
        </is>
      </c>
      <c r="AB87" s="108" t="inlineStr">
        <is>
          <t>Yes</t>
        </is>
      </c>
      <c r="AC87" s="308" t="n">
        <v>45460</v>
      </c>
      <c r="AD87" s="308" t="n">
        <v>47285</v>
      </c>
      <c r="AE87" s="108" t="inlineStr">
        <is>
          <t>Unlimited</t>
        </is>
      </c>
      <c r="AF87" s="306" t="n">
        <v>10</v>
      </c>
      <c r="AG87" s="641" t="n">
        <v>45831</v>
      </c>
      <c r="AH87" s="309" t="n"/>
      <c r="AI87" s="642" t="inlineStr">
        <is>
          <t>Yes</t>
        </is>
      </c>
      <c r="AJ87" s="642" t="inlineStr">
        <is>
          <t>Yes</t>
        </is>
      </c>
      <c r="AK87" s="307" t="inlineStr">
        <is>
          <t>Phim Song song</t>
        </is>
      </c>
      <c r="AL87" s="590" t="inlineStr">
        <is>
          <t>Phim còn hạn từ 2026</t>
        </is>
      </c>
      <c r="AM87" s="595" t="inlineStr">
        <is>
          <t>The Legend of Heroes - Hot Blooded (Thiết Huyết Đan Tâm)</t>
        </is>
      </c>
      <c r="AN87" s="203" t="n"/>
      <c r="AO87" s="128">
        <f>SUMIF('TK 15661.Bản quyền phim '!F:F,'KK2. Series'!C87,'TK 15661.Bản quyền phim '!K:K)</f>
        <v/>
      </c>
      <c r="AP87" s="128">
        <f>COUNTIF('242.BQ Phim VOD'!$C$5:$C$8,'KK2. Series'!AM87)</f>
        <v/>
      </c>
      <c r="AQ87" s="128">
        <f>COUNTIF('TK 15666. Phim SX'!$C$6:$C$13,'KK2. Series'!AM87)</f>
        <v/>
      </c>
      <c r="AR87" s="203">
        <f>COUNTIF('TK 15661.Bản quyền phim '!F:F,'KK2. Series'!AM87)</f>
        <v/>
      </c>
      <c r="AS87" s="203" t="n"/>
      <c r="AT87" s="366">
        <f>SUM(AP87:AS87)</f>
        <v/>
      </c>
      <c r="AU87" s="203" t="n"/>
      <c r="AV87" s="203" t="n"/>
      <c r="AW87" s="203" t="n"/>
      <c r="AX87" s="203" t="n"/>
      <c r="AY87" s="203" t="n"/>
      <c r="AZ87" s="387" t="inlineStr">
        <is>
          <t>✓ Found</t>
        </is>
      </c>
      <c r="BB87" s="387" t="n"/>
    </row>
    <row r="88" ht="409.6" customHeight="1" s="578">
      <c r="A88" s="96" t="n">
        <v>82</v>
      </c>
      <c r="B88" s="97" t="inlineStr">
        <is>
          <t>The Rebound
SER_ROM2410 - The Rebound, Ep01
SER_ROM2411 - The Rebound, Ep02
SER_ROM2412 - The Rebound, Ep03
SER_ROM2413 - The Rebound, Ep04
SER_ROM2414 - The Rebound, Ep05
SER_ROM2415 - The Rebound, Ep06
SER_ROM2416 - The Rebound, Ep07
SER_ROM2417 - The Rebound, Ep08
SER_ROM2418 - The Rebound, Ep09
SER_ROM2419 - The Rebound, Ep10
SER_ROM2420 - The Rebound, Ep11
SER_ROM2421 - The Rebound, Ep12</t>
        </is>
      </c>
      <c r="C88" s="108" t="inlineStr">
        <is>
          <t xml:space="preserve">The Rebound </t>
        </is>
      </c>
      <c r="D88" s="111" t="inlineStr">
        <is>
          <t>Trận Bóng Này Cho Anh</t>
        </is>
      </c>
      <c r="E88" s="111" t="inlineStr">
        <is>
          <t xml:space="preserve">Viu </t>
        </is>
      </c>
      <c r="F88" s="590" t="inlineStr">
        <is>
          <t xml:space="preserve">PCCW VUCLIP/2024/HDBQ Output deal </t>
        </is>
      </c>
      <c r="G88" s="642" t="inlineStr">
        <is>
          <t>Thailand</t>
        </is>
      </c>
      <c r="H88" s="111" t="n">
        <v>2024</v>
      </c>
      <c r="I88" s="111" t="n">
        <v>12</v>
      </c>
      <c r="J88" s="111" t="n">
        <v>45</v>
      </c>
      <c r="K88" s="316">
        <f>(I88*J88)/60</f>
        <v/>
      </c>
      <c r="L88" s="305" t="n">
        <v>12</v>
      </c>
      <c r="M88" s="642" t="inlineStr">
        <is>
          <t>Romance, Sport, Boy love</t>
        </is>
      </c>
      <c r="N88" s="642" t="inlineStr">
        <is>
          <t>Romance, Sport, Boy love</t>
        </is>
      </c>
      <c r="O88" s="642" t="n"/>
      <c r="P88" s="590" t="inlineStr">
        <is>
          <t>VOD only</t>
        </is>
      </c>
      <c r="Q88" s="590" t="n">
        <v>45469</v>
      </c>
      <c r="R88" s="642" t="n"/>
      <c r="S88" s="642" t="n"/>
      <c r="T88" s="111" t="inlineStr">
        <is>
          <t>No</t>
        </is>
      </c>
      <c r="U88" s="590" t="inlineStr">
        <is>
          <t>Yes</t>
        </is>
      </c>
      <c r="V88" s="642" t="inlineStr">
        <is>
          <t>No</t>
        </is>
      </c>
      <c r="W88" s="111" t="inlineStr">
        <is>
          <t>Yes</t>
        </is>
      </c>
      <c r="X88" s="111" t="inlineStr">
        <is>
          <t>Yes</t>
        </is>
      </c>
      <c r="Y88" s="111" t="inlineStr">
        <is>
          <t>Yes</t>
        </is>
      </c>
      <c r="Z88" s="111" t="inlineStr">
        <is>
          <t>Yes</t>
        </is>
      </c>
      <c r="AA88" s="111" t="inlineStr">
        <is>
          <t>Yes</t>
        </is>
      </c>
      <c r="AB88" s="111" t="inlineStr">
        <is>
          <t>Yes</t>
        </is>
      </c>
      <c r="AC88" s="317" t="n">
        <v>45469</v>
      </c>
      <c r="AD88" s="317" t="n">
        <v>46929</v>
      </c>
      <c r="AE88" s="111" t="inlineStr">
        <is>
          <t>Unlimited</t>
        </is>
      </c>
      <c r="AF88" s="307" t="n"/>
      <c r="AG88" s="647" t="n"/>
      <c r="AH88" s="318" t="n"/>
      <c r="AI88" s="642" t="inlineStr">
        <is>
          <t>Yes</t>
        </is>
      </c>
      <c r="AJ88" s="642" t="inlineStr">
        <is>
          <t>Yes</t>
        </is>
      </c>
      <c r="AK88" s="307" t="inlineStr">
        <is>
          <t>Phim Song song</t>
        </is>
      </c>
      <c r="AL88" s="590" t="inlineStr">
        <is>
          <t>Phim còn hạn từ 2026</t>
        </is>
      </c>
      <c r="AM88" s="367" t="inlineStr">
        <is>
          <t>Tồn kho bản quyền: Gói series VOD từ PCCW (Viu)</t>
        </is>
      </c>
      <c r="AN88" s="203" t="n"/>
      <c r="AO88" s="128">
        <f>SUMIF('TK 15661.Bản quyền phim '!F:F,'KK2. Series'!C88,'TK 15661.Bản quyền phim '!K:K)</f>
        <v/>
      </c>
      <c r="AP88" s="128">
        <f>COUNTIF('242.BQ Phim VOD'!$C$5:$C$8,'KK2. Series'!AM88)</f>
        <v/>
      </c>
      <c r="AQ88" s="128">
        <f>COUNTIF('TK 15666. Phim SX'!$C$6:$C$13,'KK2. Series'!AM88)</f>
        <v/>
      </c>
      <c r="AR88" s="203">
        <f>COUNTIF('TK 15661.Bản quyền phim '!F:F,'KK2. Series'!AM88)</f>
        <v/>
      </c>
      <c r="AS88" s="203" t="n"/>
      <c r="AT88" s="366">
        <f>SUM(AP88:AS88)</f>
        <v/>
      </c>
      <c r="AU88" s="203" t="n"/>
      <c r="AV88" s="203" t="n"/>
      <c r="AW88" s="203" t="n"/>
      <c r="AX88" s="203" t="n"/>
      <c r="AY88" s="203" t="n"/>
      <c r="AZ88" s="387" t="inlineStr">
        <is>
          <t>✓ Found</t>
        </is>
      </c>
      <c r="BB88" s="387" t="n"/>
    </row>
    <row r="89" ht="409.6" customHeight="1" s="578">
      <c r="A89" s="96" t="n">
        <v>83</v>
      </c>
      <c r="B89" s="97" t="inlineStr">
        <is>
          <t>Blind
SER_THR390 - Blind, Ep01
SER_THR391 - Blind, Ep02
SER_THR392 - Blind, Ep03
SER_THR393 - Blind, Ep04
SER_THR394 - Blind, Ep05
SER_THR395 - Blind, Ep06
SER_THR396 - Blind, Ep07
SER_THR397 - Blind, Ep08
SER_THR398 - Blind, Ep09
SER_THR399 - Blind, Ep10
SER_THR400 - Blind, Ep11
SER_THR401 - Blind, Ep12
SER_THR402 - Blind, Ep13
SER_THR403 - Blind, Ep14
SER_THR404 - Blind, Ep15
SER_THR405 - Blind, Ep16
SER_THR406 - Blind, Ep17
SER_THR407 - Blind, Ep18
SER_THR408 - Blind, Ep19
SER_THR409 - Blind, Ep20
SER_THR410 - Blind, Ep21
SER_THR411 - Blind, Ep22
SER_THR412 - Blind, Ep23
SER_THR413 - Blind, Ep24</t>
        </is>
      </c>
      <c r="C89" s="108" t="inlineStr">
        <is>
          <t>Blind</t>
        </is>
      </c>
      <c r="D89" s="642" t="inlineStr">
        <is>
          <t>Tội ác vô hình</t>
        </is>
      </c>
      <c r="E89" s="111" t="inlineStr">
        <is>
          <t>CJ ENM</t>
        </is>
      </c>
      <c r="F89" s="590" t="inlineStr">
        <is>
          <t>CJ ENM/Blind Hapiness Chimera Missing</t>
        </is>
      </c>
      <c r="G89" s="111" t="inlineStr">
        <is>
          <t>Korea</t>
        </is>
      </c>
      <c r="H89" s="111" t="n">
        <v>2022</v>
      </c>
      <c r="I89" s="111" t="n">
        <v>16</v>
      </c>
      <c r="J89" s="111" t="n">
        <v>60</v>
      </c>
      <c r="K89" s="316">
        <f>(I89*J89)/60</f>
        <v/>
      </c>
      <c r="L89" s="305" t="n">
        <v>24</v>
      </c>
      <c r="M89" s="111" t="inlineStr">
        <is>
          <t>Thriller, Mystery</t>
        </is>
      </c>
      <c r="N89" s="111" t="inlineStr">
        <is>
          <t>Thriller</t>
        </is>
      </c>
      <c r="O89" s="319" t="n">
        <v>45499</v>
      </c>
      <c r="P89" s="319" t="n">
        <v>46593</v>
      </c>
      <c r="Q89" s="642" t="n">
        <v>45579</v>
      </c>
      <c r="R89" s="642" t="inlineStr">
        <is>
          <t>K+ACTION</t>
        </is>
      </c>
      <c r="S89" s="111" t="inlineStr">
        <is>
          <t>Non exclusive</t>
        </is>
      </c>
      <c r="T89" s="111" t="inlineStr">
        <is>
          <t>No</t>
        </is>
      </c>
      <c r="U89" s="590" t="inlineStr">
        <is>
          <t>Yes</t>
        </is>
      </c>
      <c r="V89" s="111" t="inlineStr">
        <is>
          <t>Yes</t>
        </is>
      </c>
      <c r="W89" s="111" t="inlineStr">
        <is>
          <t>Yes</t>
        </is>
      </c>
      <c r="X89" s="111" t="inlineStr">
        <is>
          <t>Yes</t>
        </is>
      </c>
      <c r="Y89" s="111" t="inlineStr">
        <is>
          <t>Yes</t>
        </is>
      </c>
      <c r="Z89" s="111" t="inlineStr">
        <is>
          <t>Yes</t>
        </is>
      </c>
      <c r="AA89" s="111" t="inlineStr">
        <is>
          <t>Yes</t>
        </is>
      </c>
      <c r="AB89" s="111" t="inlineStr">
        <is>
          <t>No</t>
        </is>
      </c>
      <c r="AC89" s="319" t="n">
        <v>45499</v>
      </c>
      <c r="AD89" s="319" t="n">
        <v>46593</v>
      </c>
      <c r="AE89" s="111" t="inlineStr">
        <is>
          <t>Unlimited run</t>
        </is>
      </c>
      <c r="AF89" s="307" t="n">
        <v>4</v>
      </c>
      <c r="AG89" s="647" t="n">
        <v>45586</v>
      </c>
      <c r="AH89" s="318" t="n"/>
      <c r="AI89" s="642" t="inlineStr">
        <is>
          <t>Yes</t>
        </is>
      </c>
      <c r="AJ89" s="642" t="inlineStr">
        <is>
          <t>Yes</t>
        </is>
      </c>
      <c r="AK89" s="307" t="n"/>
      <c r="AL89" s="590" t="inlineStr">
        <is>
          <t>Phim còn hạn từ 2026</t>
        </is>
      </c>
      <c r="AM89" s="643" t="inlineStr">
        <is>
          <t>Blind</t>
        </is>
      </c>
      <c r="AN89" s="203" t="n"/>
      <c r="AO89" s="128">
        <f>SUMIF('TK 15661.Bản quyền phim '!F:F,'KK2. Series'!C89,'TK 15661.Bản quyền phim '!K:K)</f>
        <v/>
      </c>
      <c r="AP89" s="128">
        <f>COUNTIF('242.BQ Phim VOD'!$C$5:$C$8,'KK2. Series'!AM89)</f>
        <v/>
      </c>
      <c r="AQ89" s="128">
        <f>COUNTIF('TK 15666. Phim SX'!$C$6:$C$13,'KK2. Series'!AM89)</f>
        <v/>
      </c>
      <c r="AR89" s="203">
        <f>COUNTIF('TK 15661.Bản quyền phim '!F:F,'KK2. Series'!AM89)</f>
        <v/>
      </c>
      <c r="AS89" s="203" t="n"/>
      <c r="AT89" s="366">
        <f>SUM(AP89:AS89)</f>
        <v/>
      </c>
      <c r="AU89" s="203" t="n"/>
      <c r="AV89" s="203" t="n"/>
      <c r="AW89" s="203" t="n"/>
      <c r="AX89" s="203" t="n"/>
      <c r="AY89" s="203" t="n"/>
      <c r="AZ89" s="387" t="inlineStr">
        <is>
          <t>✓ Found</t>
        </is>
      </c>
      <c r="BB89" s="387" t="n"/>
    </row>
    <row r="90" ht="409.6" customHeight="1" s="578">
      <c r="A90" s="96" t="n">
        <v>84</v>
      </c>
      <c r="B90" s="97" t="inlineStr">
        <is>
          <t>SER_ACT1476 - Happiness, Ep01
SER_ACT1477 - Happiness, Ep02
SER_ACT1478 - Happiness, Ep03
SER_ACT1479 - Happiness, Ep04
SER_ACT1480 - Happiness, Ep05
SER_ACT1481 - Happiness, Ep06
SER_ACT1482 - Happiness, Ep07
SER_ACT1483 - Happiness, Ep08
SER_ACT1484 - Happiness, Ep09
SER_ACT1485 - Happiness, Ep10
SER_ACT1486 - Happiness, Ep11
SER_ACT1487 - Happiness, Ep12
SER_ACT1488 - Happiness, Ep13
SER_ACT1489 - Happiness, Ep14
SER_ACT1490 - Happiness, Ep15
SER_ACT1491 - Happiness, Ep16
SER_ACT1492 - Happiness, Ep17
SER_ACT1493 - Happiness, Ep18</t>
        </is>
      </c>
      <c r="C90" s="108" t="inlineStr">
        <is>
          <t>Happiness</t>
        </is>
      </c>
      <c r="D90" s="642" t="inlineStr">
        <is>
          <t>Chung cư có độc</t>
        </is>
      </c>
      <c r="E90" s="111" t="inlineStr">
        <is>
          <t>CJ ENM</t>
        </is>
      </c>
      <c r="F90" s="590" t="inlineStr">
        <is>
          <t>CJ ENM/Blind Hapiness Chimera Missing</t>
        </is>
      </c>
      <c r="G90" s="111" t="inlineStr">
        <is>
          <t>Korea</t>
        </is>
      </c>
      <c r="H90" s="111" t="n">
        <v>2021</v>
      </c>
      <c r="I90" s="111" t="n">
        <v>12</v>
      </c>
      <c r="J90" s="111" t="n">
        <v>60</v>
      </c>
      <c r="K90" s="316">
        <f>(I90*J90)/60</f>
        <v/>
      </c>
      <c r="L90" s="305" t="n">
        <v>18</v>
      </c>
      <c r="M90" s="111" t="inlineStr">
        <is>
          <t>Thriller</t>
        </is>
      </c>
      <c r="N90" s="111" t="inlineStr">
        <is>
          <t>Thriller</t>
        </is>
      </c>
      <c r="O90" s="319" t="n">
        <v>45533</v>
      </c>
      <c r="P90" s="319" t="n">
        <v>46627</v>
      </c>
      <c r="Q90" s="642" t="n">
        <v>45614</v>
      </c>
      <c r="R90" s="590" t="inlineStr">
        <is>
          <t>K+ACTION</t>
        </is>
      </c>
      <c r="S90" s="111" t="inlineStr">
        <is>
          <t>Non exclusive</t>
        </is>
      </c>
      <c r="T90" s="111" t="inlineStr">
        <is>
          <t>No</t>
        </is>
      </c>
      <c r="U90" s="590" t="inlineStr">
        <is>
          <t>Yes</t>
        </is>
      </c>
      <c r="V90" s="111" t="inlineStr">
        <is>
          <t>Yes</t>
        </is>
      </c>
      <c r="W90" s="111" t="inlineStr">
        <is>
          <t>Yes</t>
        </is>
      </c>
      <c r="X90" s="111" t="inlineStr">
        <is>
          <t>Yes</t>
        </is>
      </c>
      <c r="Y90" s="111" t="inlineStr">
        <is>
          <t>Yes</t>
        </is>
      </c>
      <c r="Z90" s="111" t="inlineStr">
        <is>
          <t>Yes</t>
        </is>
      </c>
      <c r="AA90" s="111" t="inlineStr">
        <is>
          <t>Yes</t>
        </is>
      </c>
      <c r="AB90" s="111" t="inlineStr">
        <is>
          <t>No</t>
        </is>
      </c>
      <c r="AC90" s="319" t="n">
        <v>45533</v>
      </c>
      <c r="AD90" s="319" t="n">
        <v>46627</v>
      </c>
      <c r="AE90" s="111" t="inlineStr">
        <is>
          <t>Unlimited run</t>
        </is>
      </c>
      <c r="AF90" s="307" t="n">
        <v>5</v>
      </c>
      <c r="AG90" s="647" t="n">
        <v>45620</v>
      </c>
      <c r="AH90" s="318" t="n"/>
      <c r="AI90" s="642" t="inlineStr">
        <is>
          <t>Yes</t>
        </is>
      </c>
      <c r="AJ90" s="642" t="inlineStr">
        <is>
          <t>Yes</t>
        </is>
      </c>
      <c r="AK90" s="307" t="n"/>
      <c r="AL90" s="590" t="inlineStr">
        <is>
          <t>Phim còn hạn từ 2026</t>
        </is>
      </c>
      <c r="AM90" s="643" t="inlineStr">
        <is>
          <t>Happiness</t>
        </is>
      </c>
      <c r="AN90" s="203" t="n"/>
      <c r="AO90" s="128">
        <f>SUMIF('TK 15661.Bản quyền phim '!F:F,'KK2. Series'!C90,'TK 15661.Bản quyền phim '!K:K)</f>
        <v/>
      </c>
      <c r="AP90" s="128">
        <f>COUNTIF('242.BQ Phim VOD'!$C$5:$C$8,'KK2. Series'!AM90)</f>
        <v/>
      </c>
      <c r="AQ90" s="128">
        <f>COUNTIF('TK 15666. Phim SX'!$C$6:$C$13,'KK2. Series'!AM90)</f>
        <v/>
      </c>
      <c r="AR90" s="203">
        <f>COUNTIF('TK 15661.Bản quyền phim '!F:F,'KK2. Series'!AM90)</f>
        <v/>
      </c>
      <c r="AS90" s="203" t="n"/>
      <c r="AT90" s="366">
        <f>SUM(AP90:AS90)</f>
        <v/>
      </c>
      <c r="AU90" s="203" t="n"/>
      <c r="AV90" s="203" t="n"/>
      <c r="AW90" s="203" t="n"/>
      <c r="AX90" s="203" t="n"/>
      <c r="AY90" s="203" t="n"/>
      <c r="AZ90" s="387" t="inlineStr">
        <is>
          <t>✓ Found</t>
        </is>
      </c>
      <c r="BB90" s="387" t="n"/>
    </row>
    <row r="91" ht="409.6" customHeight="1" s="578">
      <c r="A91" s="96" t="n">
        <v>85</v>
      </c>
      <c r="B91" s="115" t="inlineStr">
        <is>
          <t>Missing: The Other Side – EP01→EP18
EP01 – SER_THR472
EP02 – SER_THR490
EP03 – SER_THR491
EP04 – SER_THR492
EP05 – SER_THR493
EP06 – SER_THR494
EP07 – SER_THR495
EP08 – SER_THR496
EP09 – SER_THR497
EP10 – SER_THR498
EP11 – SER_THR499
EP12 – SER_THR500
EP13 – SER_THR501
EP14 – SER_THR502
EP15 – SER_THR503
EP16 – SER_THR504
EP17 – SER_THR505
EP18 – SER_THR506</t>
        </is>
      </c>
      <c r="C91" s="298" t="inlineStr">
        <is>
          <t>Missing: The Other Side</t>
        </is>
      </c>
      <c r="D91" s="646" t="inlineStr">
        <is>
          <t>Mất tích: Thế giới bên kia</t>
        </is>
      </c>
      <c r="E91" s="117" t="inlineStr">
        <is>
          <t>CJ ENM</t>
        </is>
      </c>
      <c r="F91" s="590" t="inlineStr">
        <is>
          <t>CJ ENM/Blind Hapiness Chimera Missing</t>
        </is>
      </c>
      <c r="G91" s="117" t="inlineStr">
        <is>
          <t>Korea</t>
        </is>
      </c>
      <c r="H91" s="117" t="n">
        <v>2020</v>
      </c>
      <c r="I91" s="117" t="n">
        <v>12</v>
      </c>
      <c r="J91" s="117" t="n">
        <v>70</v>
      </c>
      <c r="K91" s="316">
        <f>(I91*J91)/60</f>
        <v/>
      </c>
      <c r="L91" s="305" t="n">
        <v>18</v>
      </c>
      <c r="M91" s="117" t="inlineStr">
        <is>
          <t>Thriller, Mystery, Supernatural</t>
        </is>
      </c>
      <c r="N91" s="117" t="inlineStr">
        <is>
          <t>Thriller, Mystery, Supernatural</t>
        </is>
      </c>
      <c r="O91" s="320" t="n">
        <v>45593</v>
      </c>
      <c r="P91" s="320" t="n">
        <v>46687</v>
      </c>
      <c r="Q91" s="642" t="n">
        <v>45672</v>
      </c>
      <c r="R91" s="590" t="inlineStr">
        <is>
          <t>K+ACTION</t>
        </is>
      </c>
      <c r="S91" s="117" t="inlineStr">
        <is>
          <t>Non exclusive</t>
        </is>
      </c>
      <c r="T91" s="117" t="inlineStr">
        <is>
          <t>No</t>
        </is>
      </c>
      <c r="U91" s="590" t="inlineStr">
        <is>
          <t>Yes</t>
        </is>
      </c>
      <c r="V91" s="117" t="inlineStr">
        <is>
          <t>Yes</t>
        </is>
      </c>
      <c r="W91" s="117" t="inlineStr">
        <is>
          <t>Yes</t>
        </is>
      </c>
      <c r="X91" s="117" t="inlineStr">
        <is>
          <t>Yes</t>
        </is>
      </c>
      <c r="Y91" s="117" t="inlineStr">
        <is>
          <t>Yes</t>
        </is>
      </c>
      <c r="Z91" s="117" t="inlineStr">
        <is>
          <t>Yes</t>
        </is>
      </c>
      <c r="AA91" s="117" t="inlineStr">
        <is>
          <t>Yes</t>
        </is>
      </c>
      <c r="AB91" s="117" t="inlineStr">
        <is>
          <t>No</t>
        </is>
      </c>
      <c r="AC91" s="320" t="n">
        <v>45593</v>
      </c>
      <c r="AD91" s="320" t="n">
        <v>46687</v>
      </c>
      <c r="AE91" s="117" t="inlineStr">
        <is>
          <t>Unlimited run</t>
        </is>
      </c>
      <c r="AF91" s="321" t="n"/>
      <c r="AG91" s="648" t="n"/>
      <c r="AH91" s="322" t="n"/>
      <c r="AI91" s="642" t="inlineStr">
        <is>
          <t>Yes</t>
        </is>
      </c>
      <c r="AJ91" s="642" t="inlineStr">
        <is>
          <t>Yes</t>
        </is>
      </c>
      <c r="AK91" s="307" t="n"/>
      <c r="AL91" s="590" t="inlineStr">
        <is>
          <t>Phim còn hạn từ 2026</t>
        </is>
      </c>
      <c r="AM91" s="643" t="inlineStr">
        <is>
          <t>Missing: The Other Side</t>
        </is>
      </c>
      <c r="AN91" s="203" t="n"/>
      <c r="AO91" s="128">
        <f>SUMIF('TK 15661.Bản quyền phim '!F:F,'KK2. Series'!C91,'TK 15661.Bản quyền phim '!K:K)</f>
        <v/>
      </c>
      <c r="AP91" s="128">
        <f>COUNTIF('242.BQ Phim VOD'!$C$5:$C$8,'KK2. Series'!AM91)</f>
        <v/>
      </c>
      <c r="AQ91" s="128">
        <f>COUNTIF('TK 15666. Phim SX'!$C$6:$C$13,'KK2. Series'!AM91)</f>
        <v/>
      </c>
      <c r="AR91" s="203">
        <f>COUNTIF('TK 15661.Bản quyền phim '!F:F,'KK2. Series'!AM91)</f>
        <v/>
      </c>
      <c r="AS91" s="203" t="n"/>
      <c r="AT91" s="366">
        <f>SUM(AP91:AS91)</f>
        <v/>
      </c>
      <c r="AU91" s="203" t="n"/>
      <c r="AV91" s="203" t="n"/>
      <c r="AW91" s="203" t="n"/>
      <c r="AX91" s="203" t="n"/>
      <c r="AY91" s="203" t="n"/>
      <c r="AZ91" s="387" t="inlineStr">
        <is>
          <t>✓ Found</t>
        </is>
      </c>
      <c r="BB91" s="387" t="n"/>
    </row>
    <row r="92" ht="409.6" customHeight="1" s="578">
      <c r="A92" s="96" t="n">
        <v>86</v>
      </c>
      <c r="B92" s="97" t="inlineStr">
        <is>
          <t>SER_COS_23_2695254 - Love like the Galaxy, Ep01
SER_COS_23_2695255 - Love like the Galaxy, Ep02
SER_COS_23_2695256 - Love like the Galaxy, Ep03
SER_COS_23_2695257 - Love like the Galaxy, Ep04
SER_COS_23_2695260 - Love like the Galaxy, Ep05
SER_COS_23_2695258 - Love like the Galaxy, Ep06
SER_COS_23_2695259 - Love like the Galaxy, Ep07
SER_COS_23_2695261 - Love like the Galaxy, Ep08
SER_COS_23_2695262 - Love like the Galaxy, Ep09
SER_COS_23_2695263 - Love like the Galaxy, Ep10
SER_COS_23_2695264 - Love like the Galaxy, Ep11
SER_COS_23_2695265 - Love like the Galaxy, Ep12
SER_COS_23_2695268 - Love like the Galaxy, Ep13
SER_COS_23_2695267 - Love like the Galaxy, Ep14
SER_COS_23_2695266 - Love like the Galaxy, Ep15
SER_COS_23_2695269 - Love like the Galaxy, Ep16
SER_COS_23_2695270 - Love like the Galaxy, Ep17
SER_COS_23_2695271 - Love like the Galaxy, Ep18
SER_COS_23_2695272 - Love like the Galaxy, Ep19
SER_COS_23_2695273 - Love like the Galaxy, Ep20
SER_COS_23_2695274 - Love like the Galaxy, Ep21
SER_COS_23_2695276 - Love like the Galaxy, Ep22
SER_COS_23_2695275 - Love like the Galaxy, Ep23
SER_COS_23_2695277 - Love like the Galaxy, Ep24
SER_COS_23_2695278 - Love like the Galaxy, Ep25
SER_COS_23_2695279 - Love like the Galaxy, Ep26
SER_COS_23_2695280 - Love like the Galaxy, Ep27
SER_COS_23_2695281 - Love like the Galaxy, Ep28
SER_COS_23_2695282 - Love like the Galaxy, Ep29
SER_COS_23_2695283 - Love like the Galaxy, Ep30
SER_COS_23_2695284 - Love like the Galaxy, Ep31
SER_COS_23_2695285 - Love like the Galaxy, Ep32
SER_COS_23_2695286 - Love like the Galaxy, Ep33
SER_COS_23_2695287 - Love like the Galaxy, Ep34
SER_COS_23_2695288 - Love like the Galaxy, Ep35
SER_COS_23_2695289 - Love like the Galaxy, Ep36
SER_COS_23_2695290 - Love like the Galaxy, Ep37
SER_COS_23_2695291 - Love like the Galaxy, Ep38
SER_COS_23_2695292 - Love like the Galaxy, Ep39
SER_COS_23_2695293 - Love like the Galaxy, Ep40
SER_COS_23_2695294 - Love like the Galaxy, Ep41
SER_COS_23_2695295 - Love like the Galaxy, Ep42
SER_COS_23_2695296 - Love like the Galaxy, Ep43
SER_COS_23_2695297 - Love like the Galaxy, Ep44
SER_COS_23_2695298 - Love like the Galaxy, Ep45
SER_COS_23_2695299 - Love like the Galaxy, Ep46
SER_COS_23_2695300 - Love like the Galaxy, Ep47
SER_COS_23_2695301 - Love like the Galaxy, Ep48
SER_COS_23_2695303 - Love like the Galaxy, Ep49
SER_COS_23_2695302 - Love like the Galaxy, Ep50
SER_COS_23_2695304 - Love like the Galaxy, Ep51
SER_COS_23_2695305 - Love like the Galaxy, Ep52
SER_COS_23_2695306 - Love like the Galaxy, Ep53
SER_COS_23_2695307 - Love like the Galaxy, Ep54
SER_COS_23_2695308 - Love like the Galaxy, Ep55
SER_COS_23_2695309 - Love like the Galaxy, Ep56</t>
        </is>
      </c>
      <c r="C92" s="108" t="inlineStr">
        <is>
          <t>Love like the Galaxy</t>
        </is>
      </c>
      <c r="D92" s="590" t="inlineStr">
        <is>
          <t>Tinh hán xán lạn</t>
        </is>
      </c>
      <c r="E92" s="108" t="inlineStr">
        <is>
          <t>HT</t>
        </is>
      </c>
      <c r="F92" s="590" t="inlineStr">
        <is>
          <t>Bản sửa đổi số 1 của HD 16/2023/HDBQ/VSTV-HT</t>
        </is>
      </c>
      <c r="G92" s="108" t="inlineStr">
        <is>
          <t>China</t>
        </is>
      </c>
      <c r="H92" s="108" t="n">
        <v>2022</v>
      </c>
      <c r="I92" s="323" t="n">
        <v>56</v>
      </c>
      <c r="J92" s="108" t="n">
        <v>45</v>
      </c>
      <c r="K92" s="305">
        <f>(I92*J92)/60</f>
        <v/>
      </c>
      <c r="L92" s="305" t="n">
        <v>56</v>
      </c>
      <c r="M92" s="108" t="inlineStr">
        <is>
          <t>Drama, Costume</t>
        </is>
      </c>
      <c r="N92" s="649" t="inlineStr">
        <is>
          <t>Romance</t>
        </is>
      </c>
      <c r="O92" s="642" t="n"/>
      <c r="P92" s="590" t="inlineStr">
        <is>
          <t>VOD only</t>
        </is>
      </c>
      <c r="Q92" s="642" t="n">
        <v>45138</v>
      </c>
      <c r="R92" s="642" t="n"/>
      <c r="S92" s="642" t="n"/>
      <c r="T92" s="111" t="inlineStr">
        <is>
          <t>No</t>
        </is>
      </c>
      <c r="U92" s="590" t="inlineStr">
        <is>
          <t>Yes</t>
        </is>
      </c>
      <c r="V92" s="111" t="inlineStr">
        <is>
          <t>Yes</t>
        </is>
      </c>
      <c r="W92" s="111" t="inlineStr">
        <is>
          <t>Yes</t>
        </is>
      </c>
      <c r="X92" s="111" t="inlineStr">
        <is>
          <t>Yes</t>
        </is>
      </c>
      <c r="Y92" s="111" t="inlineStr">
        <is>
          <t>Yes</t>
        </is>
      </c>
      <c r="Z92" s="111" t="inlineStr">
        <is>
          <t>Yes</t>
        </is>
      </c>
      <c r="AA92" s="111" t="inlineStr">
        <is>
          <t>Yes</t>
        </is>
      </c>
      <c r="AB92" s="111" t="inlineStr">
        <is>
          <t>Yes</t>
        </is>
      </c>
      <c r="AC92" s="319" t="n">
        <v>45869</v>
      </c>
      <c r="AD92" s="319" t="n">
        <v>46585</v>
      </c>
      <c r="AE92" s="642" t="n"/>
      <c r="AF92" s="307" t="n"/>
      <c r="AG92" s="647" t="n"/>
      <c r="AH92" s="318" t="n"/>
      <c r="AI92" s="642" t="inlineStr">
        <is>
          <t>Yes</t>
        </is>
      </c>
      <c r="AJ92" s="642" t="inlineStr">
        <is>
          <t>Yes</t>
        </is>
      </c>
      <c r="AK92" s="307" t="n"/>
      <c r="AL92" s="590" t="inlineStr">
        <is>
          <t>Phim còn hạn từ 2026</t>
        </is>
      </c>
      <c r="AM92" s="203" t="n"/>
      <c r="AN92" s="203" t="n"/>
      <c r="AO92" s="128">
        <f>SUMIF('TK 15661.Bản quyền phim '!F:F,'KK2. Series'!C92,'TK 15661.Bản quyền phim '!K:K)</f>
        <v/>
      </c>
      <c r="AP92" s="128">
        <f>COUNTIF('242.BQ Phim VOD'!$C$5:$C$8,'KK2. Series'!AM92)</f>
        <v/>
      </c>
      <c r="AQ92" s="128">
        <f>COUNTIF('TK 15666. Phim SX'!$C$6:$C$13,'KK2. Series'!AM92)</f>
        <v/>
      </c>
      <c r="AR92" s="203">
        <f>COUNTIF('TK 15661.Bản quyền phim '!F:F,'KK2. Series'!AM92)</f>
        <v/>
      </c>
      <c r="AS92" s="203" t="n">
        <v>1</v>
      </c>
      <c r="AT92" s="366">
        <f>SUM(AP92:AS92)</f>
        <v/>
      </c>
      <c r="AU92" s="203" t="n"/>
      <c r="AV92" s="203" t="n"/>
      <c r="AW92" s="203" t="n"/>
      <c r="AX92" s="203" t="n"/>
      <c r="AY92" s="203" t="n"/>
      <c r="AZ92" s="387" t="inlineStr">
        <is>
          <t>✓ Found</t>
        </is>
      </c>
      <c r="BB92" s="387" t="n"/>
    </row>
    <row r="93" ht="409.6" customHeight="1" s="578">
      <c r="A93" s="96" t="n">
        <v>87</v>
      </c>
      <c r="B93" s="97" t="inlineStr">
        <is>
          <t>SER_ROM_23_2695214 - She and her perfect husband, Ep01
SER_ROM_23_2695216 - She and her perfect husband, Ep02
SER_ROM_23_2695215 - She and her perfect husband, Ep03
SER_ROM_23_2695217 - She and her perfect husband, Ep04
SER_ROM_23_2695218 - She and her perfect husband, Ep05
SER_ROM_23_2695221 - She and her perfect husband, Ep06
SER_ROM_23_2695219 - She and her perfect husband, Ep07
SER_ROM_23_2695220 - She and her perfect husband, Ep08
SER_ROM_23_2695223 - She and her perfect husband, Ep09
SER_ROM_23_2695222 - She and her perfect husband, Ep10
SER_ROM_23_2695225 - She and her perfect husband, Ep11
SER_ROM_23_2695224 - She and her perfect husband, Ep12
SER_ROM_23_2695227 - She and her perfect husband, Ep13
SER_ROM_23_2695226 - She and her perfect husband, Ep14
SER_ROM_23_2695229 - She and her perfect husband, Ep15
SER_ROM_23_2695230 - She and her perfect husband, Ep16
SER_ROM_23_2695231 - She and her perfect husband, Ep17
SER_ROM_23_2695232 - She and her perfect husband, Ep18
SER_ROM_23_2695233 - She and her perfect husband, Ep19
SER_ROM_23_2695234 - She and her perfect husband, Ep20
SER_ROM_23_2695235 - She and her perfect husband, Ep21
SER_ROM_23_2695236 - She and her perfect husband, Ep22
SER_ROM_23_2695237 - She and her perfect husband, Ep23
SER_ROM_23_2695238 - She and her perfect husband, Ep24
SER_ROM_23_2695239 - She and her perfect husband, Ep25
SER_ROM_23_2695240 - She and her perfect husband, Ep26
SER_ROM_23_2695241 - She and her perfect husband, Ep27
SER_ROM_23_2695242 - She and her perfect husband, Ep28
SER_ROM_23_2695243 - She and her perfect husband, Ep29
SER_ROM_23_2695245 - She and her perfect husband, Ep30
SER_ROM_23_2695244 - She and her perfect husband, Ep31
SER_ROM_23_2695246 - She and her perfect husband, Ep32
SER_ROM_23_2695247 - She and her perfect husband, Ep33
SER_ROM_23_2695248 - She and her perfect husband, Ep34
SER_ROM_23_2695250 - She and her perfect husband, Ep35
SER_ROM_23_2695249 - She and her perfect husband, Ep36
SER_ROM_23_2695251 - She and her perfect husband, Ep37
SER_ROM_23_2695252 - She and her perfect husband, Ep38
SER_ROM_23_2695253 - She and her perfect husband, Ep39
SER_ROM_23_2695254 - She and her perfect husband, Ep40</t>
        </is>
      </c>
      <c r="C93" s="108" t="inlineStr">
        <is>
          <t>She and her perfect husband</t>
        </is>
      </c>
      <c r="D93" s="590" t="inlineStr">
        <is>
          <t>Định luật tình yêu 80/20</t>
        </is>
      </c>
      <c r="E93" s="108" t="inlineStr">
        <is>
          <t>HT</t>
        </is>
      </c>
      <c r="F93" s="590" t="inlineStr">
        <is>
          <t>Bản sửa đổi số 1 của HD 16/2023/HDBQ/VSTV-HT</t>
        </is>
      </c>
      <c r="G93" s="108" t="inlineStr">
        <is>
          <t>China</t>
        </is>
      </c>
      <c r="H93" s="108" t="n">
        <v>2022</v>
      </c>
      <c r="I93" s="323" t="n">
        <v>40</v>
      </c>
      <c r="J93" s="108" t="n">
        <v>45</v>
      </c>
      <c r="K93" s="305">
        <f>(I93*J93)/60</f>
        <v/>
      </c>
      <c r="L93" s="305">
        <f>I93</f>
        <v/>
      </c>
      <c r="M93" s="108" t="inlineStr">
        <is>
          <t>Modern, drama, romance</t>
        </is>
      </c>
      <c r="N93" s="650" t="inlineStr">
        <is>
          <t>Romance</t>
        </is>
      </c>
      <c r="O93" s="646" t="n"/>
      <c r="P93" s="590" t="inlineStr">
        <is>
          <t>VOD only</t>
        </is>
      </c>
      <c r="Q93" s="642" t="n">
        <v>45260</v>
      </c>
      <c r="R93" s="646" t="n"/>
      <c r="S93" s="646" t="n"/>
      <c r="T93" s="117" t="inlineStr">
        <is>
          <t>No</t>
        </is>
      </c>
      <c r="U93" s="590" t="inlineStr">
        <is>
          <t>Yes</t>
        </is>
      </c>
      <c r="V93" s="117" t="inlineStr">
        <is>
          <t>Yes</t>
        </is>
      </c>
      <c r="W93" s="117" t="inlineStr">
        <is>
          <t>Yes</t>
        </is>
      </c>
      <c r="X93" s="117" t="inlineStr">
        <is>
          <t>Yes</t>
        </is>
      </c>
      <c r="Y93" s="117" t="inlineStr">
        <is>
          <t>Yes</t>
        </is>
      </c>
      <c r="Z93" s="117" t="inlineStr">
        <is>
          <t>Yes</t>
        </is>
      </c>
      <c r="AA93" s="117" t="inlineStr">
        <is>
          <t>Yes</t>
        </is>
      </c>
      <c r="AB93" s="117" t="inlineStr">
        <is>
          <t>Yes</t>
        </is>
      </c>
      <c r="AC93" s="320" t="n">
        <v>45991</v>
      </c>
      <c r="AD93" s="320" t="n">
        <v>46718</v>
      </c>
      <c r="AE93" s="646" t="n"/>
      <c r="AF93" s="321" t="n"/>
      <c r="AG93" s="648" t="n"/>
      <c r="AH93" s="322" t="n"/>
      <c r="AI93" s="642" t="inlineStr">
        <is>
          <t>Yes</t>
        </is>
      </c>
      <c r="AJ93" s="642" t="inlineStr">
        <is>
          <t>Yes</t>
        </is>
      </c>
      <c r="AK93" s="307" t="n"/>
      <c r="AL93" s="590" t="inlineStr">
        <is>
          <t>Phim còn hạn từ 2026</t>
        </is>
      </c>
      <c r="AM93" s="203" t="n"/>
      <c r="AN93" s="203" t="n"/>
      <c r="AO93" s="128">
        <f>SUMIF('TK 15661.Bản quyền phim '!F:F,'KK2. Series'!C93,'TK 15661.Bản quyền phim '!K:K)</f>
        <v/>
      </c>
      <c r="AP93" s="128">
        <f>COUNTIF('242.BQ Phim VOD'!$C$5:$C$8,'KK2. Series'!AM93)</f>
        <v/>
      </c>
      <c r="AQ93" s="128">
        <f>COUNTIF('TK 15666. Phim SX'!$C$6:$C$13,'KK2. Series'!AM93)</f>
        <v/>
      </c>
      <c r="AR93" s="203">
        <f>COUNTIF('TK 15661.Bản quyền phim '!F:F,'KK2. Series'!AM93)</f>
        <v/>
      </c>
      <c r="AS93" s="203" t="n">
        <v>1</v>
      </c>
      <c r="AT93" s="366">
        <f>SUM(AP93:AS93)</f>
        <v/>
      </c>
      <c r="AU93" s="203" t="n"/>
      <c r="AV93" s="203" t="n"/>
      <c r="AW93" s="203" t="n"/>
      <c r="AX93" s="203" t="n"/>
      <c r="AY93" s="203" t="n"/>
      <c r="AZ93" s="387" t="inlineStr">
        <is>
          <t>✓ Found</t>
        </is>
      </c>
      <c r="BB93" s="387" t="n"/>
    </row>
    <row r="94" ht="409.6" customHeight="1" s="578">
      <c r="A94" s="96" t="n">
        <v>88</v>
      </c>
      <c r="B94" s="97" t="inlineStr">
        <is>
          <t>Cinderella at 2am – Bản Sub (EP01→EP10)
SER_ROM2531 - Cinderella at 2am, Ep01
SER_ROM2532 - Cinderella at 2am, Ep02
SER_ROM2533 - Cinderella at 2am, Ep03
SER_ROM2534 - Cinderella at 2am, Ep04
SER_ROM2535 - Cinderella at 2am, Ep05
SER_ROM2536 - Cinderella at 2am, Ep06
SER_ROM2537 - Cinderella at 2am, Ep07
SER_ROM2538 - Cinderella at 2am, Ep08
SER_ROM2539 - Cinderella at 2am, Ep09
SER_ROM2540 - Cinderella at 2am, Ep10
Cinderella at 2am – Bản Voice (EP01→EP15)
SER_ROM2771 - (VOICE) Cinderella at 2am, Ep01
SER_ROM2772 - (VOICE) Cinderella at 2am, Ep02
SER_ROM2773 - (VOICE) Cinderella at 2am, Ep03
SER_ROM2774 - (VOICE) Cinderella at 2am, Ep04
SER_ROM2775 - (VOICE) Cinderella at 2am, Ep05
SER_ROM2776 - (VOICE) Cinderella at 2am, Ep06
SER_ROM2777 - (VOICE) Cinderella at 2am, Ep07
SER_ROM2778 - (VOICE) Cinderella at 2am, Ep08
SER_ROM2779 - (VOICE) Cinderella at 2am, Ep09
SER_ROM2780 - (VOICE) Cinderella at 2am, Ep10
SER_ROM2781 - (VOICE) Cinderella at 2am, Ep11
SER_ROM2782 - (VOICE) Cinderella at 2am, Ep12
SER_ROM2783 - (VOICE) Cinderella at 2am, Ep13
SER_ROM2784 - (VOICE) Cinderella at 2am, Ep14
SER_ROM2785 - (VOICE) Cinderella at 2am, Ep15</t>
        </is>
      </c>
      <c r="C94" s="108" t="inlineStr">
        <is>
          <t>Cinderella at 2am</t>
        </is>
      </c>
      <c r="D94" s="590" t="inlineStr">
        <is>
          <t>Lọ lem 2 giờ sáng</t>
        </is>
      </c>
      <c r="E94" s="108" t="inlineStr">
        <is>
          <t>Viu</t>
        </is>
      </c>
      <c r="F94" s="590" t="inlineStr">
        <is>
          <t xml:space="preserve">PCCW VUCLIP/2024/HDBQ Output deal </t>
        </is>
      </c>
      <c r="G94" s="108" t="inlineStr">
        <is>
          <t>Korea</t>
        </is>
      </c>
      <c r="H94" s="108" t="n">
        <v>2024</v>
      </c>
      <c r="I94" s="108" t="n">
        <v>10</v>
      </c>
      <c r="J94" s="108" t="n">
        <v>70</v>
      </c>
      <c r="K94" s="305">
        <f>(I94*J94)/60</f>
        <v/>
      </c>
      <c r="L94" s="305" t="n">
        <v>15</v>
      </c>
      <c r="M94" s="108" t="inlineStr">
        <is>
          <t xml:space="preserve">Comedy, Romance </t>
        </is>
      </c>
      <c r="N94" s="291" t="inlineStr">
        <is>
          <t>Romance</t>
        </is>
      </c>
      <c r="O94" s="308" t="n">
        <v>45528</v>
      </c>
      <c r="P94" s="308" t="n">
        <v>46988</v>
      </c>
      <c r="Q94" s="590" t="n">
        <v>45528</v>
      </c>
      <c r="R94" s="590" t="inlineStr">
        <is>
          <t>K+CINE</t>
        </is>
      </c>
      <c r="S94" s="108" t="n">
        <v>48</v>
      </c>
      <c r="T94" s="108" t="inlineStr">
        <is>
          <t>Yes</t>
        </is>
      </c>
      <c r="U94" s="590" t="inlineStr">
        <is>
          <t>Yes</t>
        </is>
      </c>
      <c r="V94" s="108" t="inlineStr">
        <is>
          <t>Yes</t>
        </is>
      </c>
      <c r="W94" s="108" t="inlineStr">
        <is>
          <t>Yes</t>
        </is>
      </c>
      <c r="X94" s="108" t="inlineStr">
        <is>
          <t>Yes</t>
        </is>
      </c>
      <c r="Y94" s="108" t="inlineStr">
        <is>
          <t>Yes</t>
        </is>
      </c>
      <c r="Z94" s="108" t="inlineStr">
        <is>
          <t>Yes</t>
        </is>
      </c>
      <c r="AA94" s="108" t="inlineStr">
        <is>
          <t>Yes</t>
        </is>
      </c>
      <c r="AB94" s="108" t="inlineStr">
        <is>
          <t>Yes</t>
        </is>
      </c>
      <c r="AC94" s="308" t="n">
        <v>45528</v>
      </c>
      <c r="AD94" s="308" t="n">
        <v>46988</v>
      </c>
      <c r="AE94" s="108" t="inlineStr">
        <is>
          <t>Unlimited run</t>
        </is>
      </c>
      <c r="AF94" s="306" t="n"/>
      <c r="AG94" s="641" t="n"/>
      <c r="AH94" s="309" t="n"/>
      <c r="AI94" s="642" t="inlineStr">
        <is>
          <t>Yes</t>
        </is>
      </c>
      <c r="AJ94" s="642" t="inlineStr">
        <is>
          <t>Yes</t>
        </is>
      </c>
      <c r="AK94" s="307" t="inlineStr">
        <is>
          <t>Phim Song song</t>
        </is>
      </c>
      <c r="AL94" s="590" t="inlineStr">
        <is>
          <t>Phim còn hạn từ 2026</t>
        </is>
      </c>
      <c r="AM94" s="643" t="inlineStr">
        <is>
          <t>Cinderella at 2am</t>
        </is>
      </c>
      <c r="AN94" s="203" t="n"/>
      <c r="AO94" s="128">
        <f>SUMIF('TK 15661.Bản quyền phim '!F:F,'KK2. Series'!C94,'TK 15661.Bản quyền phim '!K:K)</f>
        <v/>
      </c>
      <c r="AP94" s="128">
        <f>COUNTIF('242.BQ Phim VOD'!$C$5:$C$8,'KK2. Series'!AM94)</f>
        <v/>
      </c>
      <c r="AQ94" s="128">
        <f>COUNTIF('TK 15666. Phim SX'!$C$6:$C$13,'KK2. Series'!AM94)</f>
        <v/>
      </c>
      <c r="AR94" s="203">
        <f>COUNTIF('TK 15661.Bản quyền phim '!F:F,'KK2. Series'!AM94)</f>
        <v/>
      </c>
      <c r="AS94" s="203" t="n"/>
      <c r="AT94" s="366">
        <f>SUM(AP94:AS94)</f>
        <v/>
      </c>
      <c r="AU94" s="203" t="n"/>
      <c r="AV94" s="203" t="n"/>
      <c r="AW94" s="203" t="n"/>
      <c r="AX94" s="203" t="n"/>
      <c r="AY94" s="203" t="n"/>
      <c r="AZ94" s="387" t="inlineStr">
        <is>
          <t>✓ Found</t>
        </is>
      </c>
      <c r="BB94" s="387" t="n"/>
    </row>
    <row r="95" ht="409.6" customHeight="1" s="578">
      <c r="A95" s="96" t="n">
        <v>89</v>
      </c>
      <c r="B95" s="97" t="inlineStr">
        <is>
          <t>SER_HOR29 - Urban Horror, Ep01
SER_HOR30 - Urban Horror, Ep02
SER_HOR31 - Urban Horror, Ep03
SER_HOR32 - Urban Horror, Ep04
SER_HOR33 - Urban Horror, Ep05
SER_HOR34 - Urban Horror, Ep06
SER_HOR35 - Urban Horror, Ep07
SER_HOR36 - Urban Horror, Ep08
SER_HOR37 - Urban Horror, Ep09
SER_HOR38 - Urban Horror, Ep10
SER_HOR39 - Urban Horror, Ep11
SER_HOR40 - Urban Horror, Ep12
SER_HOR41 - Urban Horror, Ep13
SER_HOR42 - Urban Horror, Ep14
SER_HOR43 - Urban Horror, Ep15
SER_HOR44 - Urban Horror, Ep16
SER_HOR45 - Urban Horror, Ep17
SER_HOR46 - Urban Horror, Ep18
SER_HOR47 - Urban Horror, Ep19
SER_HOR48 - Urban Horror, Ep20
SER_HOR49 - Urban Horror, Ep21
SER_HOR50 - Urban Horror, Ep22
SER_HOR51 - Urban Horror, Ep23
SER_HOR52 - Urban Horror, Ep24
SER_HOR53 - Urban Horror, Ep25
SER_HOR54 - Urban Horror, Ep26
SER_HOR55 - Urban Horror, Ep27
SER_HOR56 - Urban Horror, Ep28
SER_HOR57 - Urban Horror, Ep29
SER_HOR58 - Urban Horror, Ep30
SER_HOR59 - Urban Horror, Ep31
SER_HOR60 - Urban Horror, Ep32
SER_HOR61 - Urban Horror, Ep33
SER_HOR62 - Urban Horror, Ep34</t>
        </is>
      </c>
      <c r="C95" s="108" t="inlineStr">
        <is>
          <t>Urban Horror</t>
        </is>
      </c>
      <c r="D95" s="590" t="inlineStr">
        <is>
          <t>Chuyện kinh hoàng đô thị</t>
        </is>
      </c>
      <c r="E95" s="108" t="inlineStr">
        <is>
          <t>AsiaPlay</t>
        </is>
      </c>
      <c r="F95" s="590" t="inlineStr">
        <is>
          <t>110/2024/HDBQ/VSTV-AsiaPlay</t>
        </is>
      </c>
      <c r="G95" s="590" t="inlineStr">
        <is>
          <t>Taiwan</t>
        </is>
      </c>
      <c r="H95" s="108" t="n">
        <v>2024</v>
      </c>
      <c r="I95" s="108" t="n">
        <v>34</v>
      </c>
      <c r="J95" s="108" t="n">
        <v>10</v>
      </c>
      <c r="K95" s="305">
        <f>(I95*J95)/60</f>
        <v/>
      </c>
      <c r="L95" s="305">
        <f>I95</f>
        <v/>
      </c>
      <c r="M95" s="108" t="inlineStr">
        <is>
          <t>Horror</t>
        </is>
      </c>
      <c r="N95" s="651" t="inlineStr">
        <is>
          <t>Horror</t>
        </is>
      </c>
      <c r="O95" s="320" t="n">
        <v>45585</v>
      </c>
      <c r="P95" s="324" t="n">
        <v>47410</v>
      </c>
      <c r="Q95" s="590" t="n">
        <v>45595</v>
      </c>
      <c r="R95" s="590" t="inlineStr">
        <is>
          <t>K+ACTION</t>
        </is>
      </c>
      <c r="S95" s="108" t="n">
        <v>60</v>
      </c>
      <c r="T95" s="108" t="inlineStr">
        <is>
          <t>Yes</t>
        </is>
      </c>
      <c r="U95" s="590" t="inlineStr">
        <is>
          <t>Yes</t>
        </is>
      </c>
      <c r="V95" s="108" t="inlineStr">
        <is>
          <t>Yes</t>
        </is>
      </c>
      <c r="W95" s="108" t="inlineStr">
        <is>
          <t>Yes</t>
        </is>
      </c>
      <c r="X95" s="108" t="inlineStr">
        <is>
          <t>Yes</t>
        </is>
      </c>
      <c r="Y95" s="108" t="inlineStr">
        <is>
          <t>Yes</t>
        </is>
      </c>
      <c r="Z95" s="108" t="inlineStr">
        <is>
          <t>Yes</t>
        </is>
      </c>
      <c r="AA95" s="108" t="inlineStr">
        <is>
          <t>Yes</t>
        </is>
      </c>
      <c r="AB95" s="108" t="inlineStr">
        <is>
          <t>Yes</t>
        </is>
      </c>
      <c r="AC95" s="320" t="n">
        <v>45585</v>
      </c>
      <c r="AD95" s="324" t="n">
        <v>47410</v>
      </c>
      <c r="AE95" s="108" t="inlineStr">
        <is>
          <t>Unlimited run</t>
        </is>
      </c>
      <c r="AF95" s="306" t="n"/>
      <c r="AG95" s="641" t="n"/>
      <c r="AH95" s="309" t="n"/>
      <c r="AI95" s="642" t="inlineStr">
        <is>
          <t>Yes</t>
        </is>
      </c>
      <c r="AJ95" s="642" t="inlineStr">
        <is>
          <t>Yes</t>
        </is>
      </c>
      <c r="AK95" s="307" t="n"/>
      <c r="AL95" s="590" t="inlineStr">
        <is>
          <t>Phim còn hạn từ 2026</t>
        </is>
      </c>
      <c r="AM95" s="643" t="inlineStr">
        <is>
          <t>Urban Horror</t>
        </is>
      </c>
      <c r="AN95" s="203" t="n"/>
      <c r="AO95" s="128">
        <f>SUMIF('TK 15661.Bản quyền phim '!F:F,'KK2. Series'!C95,'TK 15661.Bản quyền phim '!K:K)</f>
        <v/>
      </c>
      <c r="AP95" s="128">
        <f>COUNTIF('242.BQ Phim VOD'!$C$5:$C$8,'KK2. Series'!AM95)</f>
        <v/>
      </c>
      <c r="AQ95" s="128">
        <f>COUNTIF('TK 15666. Phim SX'!$C$6:$C$13,'KK2. Series'!AM95)</f>
        <v/>
      </c>
      <c r="AR95" s="203">
        <f>COUNTIF('TK 15661.Bản quyền phim '!F:F,'KK2. Series'!AM95)</f>
        <v/>
      </c>
      <c r="AS95" s="203" t="n"/>
      <c r="AT95" s="366">
        <f>SUM(AP95:AS95)</f>
        <v/>
      </c>
      <c r="AU95" s="203" t="n"/>
      <c r="AV95" s="203" t="n"/>
      <c r="AW95" s="203" t="n"/>
      <c r="AX95" s="203" t="n"/>
      <c r="AY95" s="203" t="n"/>
      <c r="AZ95" s="387" t="inlineStr">
        <is>
          <t>✓ Found</t>
        </is>
      </c>
      <c r="BB95" s="387" t="n"/>
    </row>
    <row r="96" ht="211.2" customHeight="1" s="578">
      <c r="A96" s="96" t="n">
        <v>90</v>
      </c>
      <c r="B96" s="97" t="inlineStr">
        <is>
          <t>SER_ACT1496 - Paris has fallen, Ep01
SER_ACT1497 - Paris has fallen, Ep02
SER_ACT1498 - Paris has fallen, Ep03
SER_ACT1499 - Paris has fallen, Ep04
SER_ACT1500 - Paris has fallen, Ep05
SER_ACT1501 - Paris has fallen, Ep06
SER_ACT1502 - Paris has fallen, Ep07
SER_ACT1503 - Paris has fallen, Ep08</t>
        </is>
      </c>
      <c r="C96" s="108" t="inlineStr">
        <is>
          <t>PARIS HAS FALLEN</t>
        </is>
      </c>
      <c r="D96" s="590" t="inlineStr">
        <is>
          <t>Paris thất thủ</t>
        </is>
      </c>
      <c r="E96" s="108" t="inlineStr">
        <is>
          <t>Studio Canal (SCALE)</t>
        </is>
      </c>
      <c r="F96" s="590" t="inlineStr">
        <is>
          <t>Scale_SC+/Paris has fallen</t>
        </is>
      </c>
      <c r="G96" s="108" t="inlineStr">
        <is>
          <t>FRANCE</t>
        </is>
      </c>
      <c r="H96" s="108" t="n">
        <v>2024</v>
      </c>
      <c r="I96" s="108" t="n">
        <v>8</v>
      </c>
      <c r="J96" s="108" t="n">
        <v>60</v>
      </c>
      <c r="K96" s="305">
        <f>(I96*J96)/60</f>
        <v/>
      </c>
      <c r="L96" s="305">
        <f>I96</f>
        <v/>
      </c>
      <c r="M96" s="108" t="inlineStr">
        <is>
          <t>ACTION, CRIME</t>
        </is>
      </c>
      <c r="N96" s="652" t="inlineStr">
        <is>
          <t>Crime, Thriller</t>
        </is>
      </c>
      <c r="O96" s="325" t="n">
        <v>45638</v>
      </c>
      <c r="P96" s="325" t="n">
        <v>48193</v>
      </c>
      <c r="Q96" s="590" t="n">
        <v>45629</v>
      </c>
      <c r="R96" s="590" t="inlineStr">
        <is>
          <t>K+CINE</t>
        </is>
      </c>
      <c r="S96" s="614" t="n"/>
      <c r="T96" s="298" t="inlineStr">
        <is>
          <t>No</t>
        </is>
      </c>
      <c r="U96" s="590" t="inlineStr">
        <is>
          <t>Yes</t>
        </is>
      </c>
      <c r="V96" s="298" t="inlineStr">
        <is>
          <t>Yes</t>
        </is>
      </c>
      <c r="W96" s="298" t="inlineStr">
        <is>
          <t>Yes</t>
        </is>
      </c>
      <c r="X96" s="298" t="inlineStr">
        <is>
          <t>Yes</t>
        </is>
      </c>
      <c r="Y96" s="298" t="inlineStr">
        <is>
          <t>Yes</t>
        </is>
      </c>
      <c r="Z96" s="298" t="inlineStr">
        <is>
          <t>Yes</t>
        </is>
      </c>
      <c r="AA96" s="298" t="inlineStr">
        <is>
          <t>Yes</t>
        </is>
      </c>
      <c r="AB96" s="298" t="inlineStr">
        <is>
          <t>Yes</t>
        </is>
      </c>
      <c r="AC96" s="325" t="n">
        <v>45638</v>
      </c>
      <c r="AD96" s="325" t="n">
        <v>48193</v>
      </c>
      <c r="AE96" s="298" t="inlineStr">
        <is>
          <t>Unlimited run</t>
        </is>
      </c>
      <c r="AF96" s="326" t="n"/>
      <c r="AG96" s="653" t="n"/>
      <c r="AH96" s="327" t="n"/>
      <c r="AI96" s="642" t="inlineStr">
        <is>
          <t>Yes</t>
        </is>
      </c>
      <c r="AJ96" s="642" t="inlineStr">
        <is>
          <t>Yes</t>
        </is>
      </c>
      <c r="AK96" s="307" t="n"/>
      <c r="AL96" s="590" t="inlineStr">
        <is>
          <t>Phim còn hạn từ 2026</t>
        </is>
      </c>
      <c r="AM96" s="203" t="inlineStr">
        <is>
          <t>PARIS HAS FALLEN – SEASON 1</t>
        </is>
      </c>
      <c r="AN96" s="203" t="n"/>
      <c r="AO96" s="128">
        <f>SUMIF('TK 15661.Bản quyền phim '!F:F,'KK2. Series'!C96,'TK 15661.Bản quyền phim '!K:K)</f>
        <v/>
      </c>
      <c r="AP96" s="128">
        <f>COUNTIF('242.BQ Phim VOD'!$C$5:$C$8,'KK2. Series'!AM96)</f>
        <v/>
      </c>
      <c r="AQ96" s="128">
        <f>COUNTIF('TK 15666. Phim SX'!$C$6:$C$13,'KK2. Series'!AM96)</f>
        <v/>
      </c>
      <c r="AR96" s="203">
        <f>COUNTIF('TK 15661.Bản quyền phim '!F:F,'KK2. Series'!AM96)</f>
        <v/>
      </c>
      <c r="AS96" s="203" t="n"/>
      <c r="AT96" s="366">
        <f>SUM(AP96:AS96)</f>
        <v/>
      </c>
      <c r="AU96" s="203" t="n"/>
      <c r="AV96" s="203" t="n"/>
      <c r="AW96" s="203" t="n"/>
      <c r="AX96" s="203" t="n"/>
      <c r="AY96" s="203" t="n"/>
      <c r="AZ96" s="387" t="inlineStr">
        <is>
          <t>✓ Found</t>
        </is>
      </c>
      <c r="BB96" s="387" t="n"/>
    </row>
    <row r="97" ht="409.6" customHeight="1" s="578">
      <c r="A97" s="96" t="n">
        <v>91</v>
      </c>
      <c r="B97" s="97" t="inlineStr">
        <is>
          <t>SER_ROM2671 - Find me in your memory, Ep01
SER_ROM2672 - Find me in your memory, Ep02
SER_ROM2673 - Find me in your memory, Ep03
SER_ROM2674 - Find me in your memory, Ep04
SER_ROM2675 - Find me in your memory, Ep05
SER_ROM2676 - Find me in your memory, Ep06
SER_ROM2677 - Find me in your memory, Ep07
SER_ROM2678 - Find me in your memory, Ep08
SER_ROM2679 - Find me in your memory, Ep09
SER_ROM2680 - Find me in your memory, Ep10
SER_ROM2681 - Find me in your memory, Ep11
SER_ROM2682 - Find me in your memory, Ep12
SER_ROM2683 - Find me in your memory, Ep13
SER_ROM2684 - Find me in your memory, Ep14
SER_ROM2685 - Find me in your memory, Ep15
SER_ROM2686 - Find me in your memory, Ep16
SER_ROM2687 - Find me in your memory, Ep17
SER_ROM2688 - Find me in your memory, Ep18
SER_ROM2689 - Find me in your memory, Ep19
SER_ROM2690 - Find me in your memory, Ep20
SER_ROM2691 - Find me in your memory, Ep21
SER_ROM2692 - Find me in your memory, Ep22
SER_ROM2693 - Find me in your memory, Ep23
SER_ROM2694 - Find me in your memory, Ep24
SER_ROM2695 - Find me in your memory, Ep25
SER_ROM2696 - Find me in your memory, Ep26
SER_ROM2697 - Find me in your memory, Ep27
SER_ROM2698 - Find me in your memory, Ep28
SER_ROM2699 - Find me in your memory, Ep29
SER_ROM2700 - Find me in your memory, Ep30
SER_ROM2701 - Find me in your memory, Ep31
SER_ROM2702 - Find me in your memory, Ep32</t>
        </is>
      </c>
      <c r="C97" s="108" t="inlineStr">
        <is>
          <t>Find me in your memory</t>
        </is>
      </c>
      <c r="D97" s="289" t="inlineStr">
        <is>
          <t>Tìm em trong ký ức</t>
        </is>
      </c>
      <c r="E97" s="108" t="inlineStr">
        <is>
          <t>HT</t>
        </is>
      </c>
      <c r="F97" s="642" t="inlineStr">
        <is>
          <t>124/2024/HDBQ/VSTV-HT</t>
        </is>
      </c>
      <c r="G97" s="108" t="inlineStr">
        <is>
          <t>Korea</t>
        </is>
      </c>
      <c r="H97" s="108" t="n">
        <v>2020</v>
      </c>
      <c r="I97" s="289" t="n">
        <v>32</v>
      </c>
      <c r="J97" s="289" t="n">
        <v>35</v>
      </c>
      <c r="K97" s="305">
        <f>(I97*J97)/60</f>
        <v/>
      </c>
      <c r="L97" s="305">
        <f>I97</f>
        <v/>
      </c>
      <c r="M97" s="289" t="inlineStr">
        <is>
          <t>Tâm lý tình cảm</t>
        </is>
      </c>
      <c r="N97" s="649" t="inlineStr">
        <is>
          <t>Romance</t>
        </is>
      </c>
      <c r="O97" s="642" t="n"/>
      <c r="P97" s="590" t="inlineStr">
        <is>
          <t>VOD only</t>
        </is>
      </c>
      <c r="Q97" s="590" t="n">
        <v>45566</v>
      </c>
      <c r="R97" s="642" t="n"/>
      <c r="S97" s="642" t="n"/>
      <c r="T97" s="590" t="inlineStr">
        <is>
          <t>No</t>
        </is>
      </c>
      <c r="U97" s="590" t="inlineStr">
        <is>
          <t>Yes</t>
        </is>
      </c>
      <c r="V97" s="590" t="inlineStr">
        <is>
          <t>No</t>
        </is>
      </c>
      <c r="W97" s="111" t="inlineStr">
        <is>
          <t>Yes</t>
        </is>
      </c>
      <c r="X97" s="111" t="inlineStr">
        <is>
          <t>Yes</t>
        </is>
      </c>
      <c r="Y97" s="111" t="inlineStr">
        <is>
          <t>Yes</t>
        </is>
      </c>
      <c r="Z97" s="111" t="inlineStr">
        <is>
          <t>Yes</t>
        </is>
      </c>
      <c r="AA97" s="111" t="inlineStr">
        <is>
          <t>Yes</t>
        </is>
      </c>
      <c r="AB97" s="111" t="inlineStr">
        <is>
          <t>Yes</t>
        </is>
      </c>
      <c r="AC97" s="319" t="n">
        <v>45566</v>
      </c>
      <c r="AD97" s="319" t="n">
        <v>46295</v>
      </c>
      <c r="AE97" s="642" t="n"/>
      <c r="AF97" s="307" t="n"/>
      <c r="AG97" s="647" t="n"/>
      <c r="AH97" s="318" t="n"/>
      <c r="AI97" s="642" t="inlineStr">
        <is>
          <t>Yes</t>
        </is>
      </c>
      <c r="AJ97" s="642" t="inlineStr">
        <is>
          <t>Yes</t>
        </is>
      </c>
      <c r="AK97" s="307" t="n"/>
      <c r="AL97" s="590" t="inlineStr">
        <is>
          <t>Phim còn hạn từ 2026</t>
        </is>
      </c>
      <c r="AM97" s="203" t="n"/>
      <c r="AN97" s="203" t="n"/>
      <c r="AO97" s="128">
        <f>SUMIF('TK 15661.Bản quyền phim '!F:F,'KK2. Series'!C97,'TK 15661.Bản quyền phim '!K:K)</f>
        <v/>
      </c>
      <c r="AP97" s="128">
        <f>COUNTIF('242.BQ Phim VOD'!$C$5:$C$8,'KK2. Series'!AM97)</f>
        <v/>
      </c>
      <c r="AQ97" s="128">
        <f>COUNTIF('TK 15666. Phim SX'!$C$6:$C$13,'KK2. Series'!AM97)</f>
        <v/>
      </c>
      <c r="AR97" s="203">
        <f>COUNTIF('TK 15661.Bản quyền phim '!F:F,'KK2. Series'!AM97)</f>
        <v/>
      </c>
      <c r="AS97" s="203" t="n">
        <v>1</v>
      </c>
      <c r="AT97" s="366">
        <f>SUM(AP97:AS97)</f>
        <v/>
      </c>
      <c r="AU97" s="203" t="n"/>
      <c r="AV97" s="203" t="n"/>
      <c r="AW97" s="203" t="n"/>
      <c r="AX97" s="203" t="n"/>
      <c r="AY97" s="203" t="n"/>
      <c r="AZ97" s="387" t="inlineStr">
        <is>
          <t>✓ Found</t>
        </is>
      </c>
      <c r="BB97" s="387" t="n"/>
    </row>
    <row r="98" ht="409.6" customHeight="1" s="578">
      <c r="A98" s="96" t="n">
        <v>92</v>
      </c>
      <c r="B98" s="97" t="inlineStr">
        <is>
          <t>SER_DRA2986 - The king in love, Ep01
SER_DRA2987 - The king in love, Ep02
SER_DRA2988 - The king in love, Ep03
SER_DRA2989 - The king in love, Ep04
SER_DRA2990 - The king in love, Ep05
SER_DRA2991 - The king in love, Ep06
SER_DRA2992 - The king in love, Ep07
SER_DRA2993 - The king in love, Ep08
SER_DRA2994 - The king in love, Ep09
SER_DRA2995 - The king in love, Ep10
SER_DRA2996 - The king in love, Ep11
SER_DRA2997 - The king in love, Ep12
SER_DRA2998 - The king in love, Ep13
SER_DRA2999 - The king in love, Ep14
SER_DRA3000 - The king in love, Ep15
SER_DRA3001 - The king in love, Ep16
SER_DRA3002 - The king in love, Ep17
SER_DRA3003 - The king in love, Ep18
SER_DRA3004 - The king in love, Ep19
SER_DRA3005 - The king in love, Ep20</t>
        </is>
      </c>
      <c r="C98" s="108" t="inlineStr">
        <is>
          <t>The king in love</t>
        </is>
      </c>
      <c r="D98" s="289" t="inlineStr">
        <is>
          <t>Khi nhà vua yêu</t>
        </is>
      </c>
      <c r="E98" s="108" t="inlineStr">
        <is>
          <t>HT</t>
        </is>
      </c>
      <c r="F98" s="642" t="inlineStr">
        <is>
          <t>124/2024/HDBQ/VSTV-HT</t>
        </is>
      </c>
      <c r="G98" s="108" t="inlineStr">
        <is>
          <t>Korea</t>
        </is>
      </c>
      <c r="H98" s="108" t="n">
        <v>2017</v>
      </c>
      <c r="I98" s="289" t="n">
        <v>20</v>
      </c>
      <c r="J98" s="289" t="n">
        <v>70</v>
      </c>
      <c r="K98" s="305">
        <f>(I98*J98)/60</f>
        <v/>
      </c>
      <c r="L98" s="305">
        <f>I98</f>
        <v/>
      </c>
      <c r="M98" s="289" t="inlineStr">
        <is>
          <t>Cổ trang</t>
        </is>
      </c>
      <c r="N98" s="649" t="inlineStr">
        <is>
          <t xml:space="preserve">Others </t>
        </is>
      </c>
      <c r="O98" s="642" t="n"/>
      <c r="P98" s="590" t="inlineStr">
        <is>
          <t>VOD only</t>
        </is>
      </c>
      <c r="Q98" s="590" t="n">
        <v>45566</v>
      </c>
      <c r="R98" s="642" t="n"/>
      <c r="S98" s="642" t="n"/>
      <c r="T98" s="590" t="inlineStr">
        <is>
          <t>No</t>
        </is>
      </c>
      <c r="U98" s="590" t="inlineStr">
        <is>
          <t>Yes</t>
        </is>
      </c>
      <c r="V98" s="590" t="inlineStr">
        <is>
          <t>No</t>
        </is>
      </c>
      <c r="W98" s="111" t="inlineStr">
        <is>
          <t>Yes</t>
        </is>
      </c>
      <c r="X98" s="111" t="inlineStr">
        <is>
          <t>Yes</t>
        </is>
      </c>
      <c r="Y98" s="111" t="inlineStr">
        <is>
          <t>Yes</t>
        </is>
      </c>
      <c r="Z98" s="111" t="inlineStr">
        <is>
          <t>Yes</t>
        </is>
      </c>
      <c r="AA98" s="111" t="inlineStr">
        <is>
          <t>Yes</t>
        </is>
      </c>
      <c r="AB98" s="111" t="inlineStr">
        <is>
          <t>Yes</t>
        </is>
      </c>
      <c r="AC98" s="319" t="n">
        <v>45566</v>
      </c>
      <c r="AD98" s="319" t="n">
        <v>46295</v>
      </c>
      <c r="AE98" s="642" t="n"/>
      <c r="AF98" s="307" t="n"/>
      <c r="AG98" s="647" t="n"/>
      <c r="AH98" s="318" t="n"/>
      <c r="AI98" s="642" t="inlineStr">
        <is>
          <t>Yes</t>
        </is>
      </c>
      <c r="AJ98" s="642" t="inlineStr">
        <is>
          <t>Yes</t>
        </is>
      </c>
      <c r="AK98" s="307" t="n"/>
      <c r="AL98" s="590" t="inlineStr">
        <is>
          <t>Phim còn hạn từ 2026</t>
        </is>
      </c>
      <c r="AM98" s="203" t="n"/>
      <c r="AN98" s="203" t="n"/>
      <c r="AO98" s="128">
        <f>SUMIF('TK 15661.Bản quyền phim '!F:F,'KK2. Series'!C98,'TK 15661.Bản quyền phim '!K:K)</f>
        <v/>
      </c>
      <c r="AP98" s="128">
        <f>COUNTIF('242.BQ Phim VOD'!$C$5:$C$8,'KK2. Series'!AM98)</f>
        <v/>
      </c>
      <c r="AQ98" s="128">
        <f>COUNTIF('TK 15666. Phim SX'!$C$6:$C$13,'KK2. Series'!AM98)</f>
        <v/>
      </c>
      <c r="AR98" s="203">
        <f>COUNTIF('TK 15661.Bản quyền phim '!F:F,'KK2. Series'!AM98)</f>
        <v/>
      </c>
      <c r="AS98" s="203" t="n">
        <v>1</v>
      </c>
      <c r="AT98" s="366">
        <f>SUM(AP98:AS98)</f>
        <v/>
      </c>
      <c r="AU98" s="203" t="n"/>
      <c r="AV98" s="203" t="n"/>
      <c r="AW98" s="203" t="n"/>
      <c r="AX98" s="203" t="n"/>
      <c r="AY98" s="203" t="n"/>
      <c r="AZ98" s="387" t="inlineStr">
        <is>
          <t>✓ Found</t>
        </is>
      </c>
      <c r="BB98" s="387" t="n"/>
    </row>
    <row r="99" ht="409.6" customHeight="1" s="578">
      <c r="A99" s="96" t="n">
        <v>93</v>
      </c>
      <c r="B99" s="97" t="inlineStr">
        <is>
          <t>SER_THR440 - The Game Towards Zero, Ep01
SER_THR441 - The Game Towards Zero, Ep02
SER_THR442 - The Game Towards Zero, Ep03
SER_THR443 - The Game Towards Zero, Ep04
SER_THR444 - The Game Towards Zero, Ep05
SER_THR445 - The Game Towards Zero, Ep06
SER_THR446 - The Game Towards Zero, Ep07
SER_THR447 - The Game Towards Zero, Ep08
SER_THR448 - The Game Towards Zero, Ep09
SER_THR449 - The Game Towards Zero, Ep10
SER_THR450 - The Game Towards Zero, Ep11
SER_THR451 - The Game Towards Zero, Ep12
SER_THR452 - The Game Towards Zero, Ep13
SER_THR453 - The Game Towards Zero, Ep14
SER_THR454 - The Game Towards Zero, Ep15
SER_THR455 - The Game Towards Zero, Ep16
SER_THR456 - The Game Towards Zero, Ep17
SER_THR457 - The Game Towards Zero, Ep18
SER_THR458 - The Game Towards Zero, Ep19
SER_THR459 - The Game Towards Zero, Ep20
SER_THR460 - The Game Towards Zero, Ep21
SER_THR461 - The Game Towards Zero, Ep22
SER_THR462 - The Game Towards Zero, Ep23
SER_THR463 - The Game Towards Zero, Ep24
SER_THR464 - The Game Towards Zero, Ep25
SER_THR465 - The Game Towards Zero, Ep26
SER_THR466 - The Game Towards Zero, Ep27
SER_THR467 - The Game Towards Zero, Ep28
SER_THR468 - The Game Towards Zero, Ep29
SER_THR469 - The Game Towards Zero, Ep30
SER_THR470 - The Game Towards Zero, Ep31
SER_THR471 - The Game Towards Zero, Ep32</t>
        </is>
      </c>
      <c r="C99" s="108" t="inlineStr">
        <is>
          <t>The game towards zero</t>
        </is>
      </c>
      <c r="D99" s="289" t="inlineStr">
        <is>
          <t>Tiên tri thần thám</t>
        </is>
      </c>
      <c r="E99" s="108" t="inlineStr">
        <is>
          <t>HT</t>
        </is>
      </c>
      <c r="F99" s="642" t="inlineStr">
        <is>
          <t>124/2024/HDBQ/VSTV-HT</t>
        </is>
      </c>
      <c r="G99" s="108" t="inlineStr">
        <is>
          <t>Korea</t>
        </is>
      </c>
      <c r="H99" s="108" t="n">
        <v>2020</v>
      </c>
      <c r="I99" s="289" t="n">
        <v>32</v>
      </c>
      <c r="J99" s="289" t="n">
        <v>35</v>
      </c>
      <c r="K99" s="305">
        <f>(I99*J99)/60</f>
        <v/>
      </c>
      <c r="L99" s="305">
        <f>I99</f>
        <v/>
      </c>
      <c r="M99" s="289" t="inlineStr">
        <is>
          <t>Phá án</t>
        </is>
      </c>
      <c r="N99" s="649" t="inlineStr">
        <is>
          <t>Crime, Thriller</t>
        </is>
      </c>
      <c r="O99" s="642" t="n"/>
      <c r="P99" s="590" t="inlineStr">
        <is>
          <t>VOD only</t>
        </is>
      </c>
      <c r="Q99" s="590" t="n">
        <v>45566</v>
      </c>
      <c r="R99" s="642" t="n"/>
      <c r="S99" s="642" t="n"/>
      <c r="T99" s="590" t="inlineStr">
        <is>
          <t>No</t>
        </is>
      </c>
      <c r="U99" s="590" t="inlineStr">
        <is>
          <t>Yes</t>
        </is>
      </c>
      <c r="V99" s="590" t="inlineStr">
        <is>
          <t>No</t>
        </is>
      </c>
      <c r="W99" s="111" t="inlineStr">
        <is>
          <t>Yes</t>
        </is>
      </c>
      <c r="X99" s="111" t="inlineStr">
        <is>
          <t>Yes</t>
        </is>
      </c>
      <c r="Y99" s="111" t="inlineStr">
        <is>
          <t>Yes</t>
        </is>
      </c>
      <c r="Z99" s="111" t="inlineStr">
        <is>
          <t>Yes</t>
        </is>
      </c>
      <c r="AA99" s="111" t="inlineStr">
        <is>
          <t>Yes</t>
        </is>
      </c>
      <c r="AB99" s="111" t="inlineStr">
        <is>
          <t>Yes</t>
        </is>
      </c>
      <c r="AC99" s="319" t="n">
        <v>45566</v>
      </c>
      <c r="AD99" s="319" t="n">
        <v>46295</v>
      </c>
      <c r="AE99" s="642" t="n"/>
      <c r="AF99" s="307" t="n"/>
      <c r="AG99" s="647" t="n"/>
      <c r="AH99" s="318" t="n"/>
      <c r="AI99" s="642" t="inlineStr">
        <is>
          <t>Yes</t>
        </is>
      </c>
      <c r="AJ99" s="642" t="inlineStr">
        <is>
          <t>Yes</t>
        </is>
      </c>
      <c r="AK99" s="307" t="n"/>
      <c r="AL99" s="590" t="inlineStr">
        <is>
          <t>Phim còn hạn từ 2026</t>
        </is>
      </c>
      <c r="AM99" s="203" t="n"/>
      <c r="AN99" s="203" t="n"/>
      <c r="AO99" s="128">
        <f>SUMIF('TK 15661.Bản quyền phim '!F:F,'KK2. Series'!C99,'TK 15661.Bản quyền phim '!K:K)</f>
        <v/>
      </c>
      <c r="AP99" s="128">
        <f>COUNTIF('242.BQ Phim VOD'!$C$5:$C$8,'KK2. Series'!AM99)</f>
        <v/>
      </c>
      <c r="AQ99" s="128">
        <f>COUNTIF('TK 15666. Phim SX'!$C$6:$C$13,'KK2. Series'!AM99)</f>
        <v/>
      </c>
      <c r="AR99" s="203">
        <f>COUNTIF('TK 15661.Bản quyền phim '!F:F,'KK2. Series'!AM99)</f>
        <v/>
      </c>
      <c r="AS99" s="203" t="n">
        <v>1</v>
      </c>
      <c r="AT99" s="366">
        <f>SUM(AP99:AS99)</f>
        <v/>
      </c>
      <c r="AU99" s="203" t="n"/>
      <c r="AV99" s="203" t="n"/>
      <c r="AW99" s="203" t="n"/>
      <c r="AX99" s="203" t="n"/>
      <c r="AY99" s="203" t="n"/>
      <c r="AZ99" s="387" t="inlineStr">
        <is>
          <t>✓ Found</t>
        </is>
      </c>
      <c r="BB99" s="387" t="n"/>
    </row>
    <row r="100" ht="409.6" customHeight="1" s="578">
      <c r="A100" s="96" t="n">
        <v>94</v>
      </c>
      <c r="B100" s="97" t="inlineStr">
        <is>
          <t>SER_COM609 - I am Not A Robot, Ep01
SER_COM610 - I am Not A Robot, Ep02
SER_COM611 - I am Not A Robot, Ep03
SER_COM612 - I am Not A Robot, Ep04
SER_COM613 - I am Not A Robot, Ep05
SER_COM614 - I am Not A Robot, Ep06
SER_COM615 - I am Not A Robot, Ep07
SER_COM616 - I am Not A Robot, Ep08
SER_COM617 - I am Not A Robot, Ep09
SER_COM618 - I am Not A Robot, Ep10
SER_COM619 - I am Not A Robot, Ep11
SER_COM620 - I am Not A Robot, Ep12
SER_COM621 - I am Not A Robot, Ep13
SER_COM622 - I am Not A Robot, Ep14
SER_COM623 - I am Not A Robot, Ep15
SER_COM624 - I am Not A Robot, Ep16
SER_COM625 - I am Not A Robot, Ep17
SER_COM626 - I am Not A Robot, Ep18
SER_COM627 - I am Not A Robot, Ep19
SER_COM628 - I am Not A Robot, Ep20
SER_COM629 - I am Not A Robot, Ep21
SER_COM630 - I am Not A Robot, Ep22
SER_COM631 - I am Not A Robot, Ep23
SER_COM632 - I am Not A Robot, Ep24
SER_COM633 - I am Not A Robot, Ep25
SER_COM634 - I am Not A Robot, Ep26
SER_COM635 - I am Not A Robot, Ep27
SER_COM636 - I am Not A Robot, Ep28
SER_COM637 - I am Not A Robot, Ep29
SER_COM638 - I am Not A Robot, Ep30
SER_COM639 - I am Not A Robot, Ep31
SER_COM640 - I am Not A Robot, Ep32</t>
        </is>
      </c>
      <c r="C100" s="108" t="inlineStr">
        <is>
          <t>I am not A Robot</t>
        </is>
      </c>
      <c r="D100" s="289" t="inlineStr">
        <is>
          <t>Tôi không phải Robot</t>
        </is>
      </c>
      <c r="E100" s="108" t="inlineStr">
        <is>
          <t>HT</t>
        </is>
      </c>
      <c r="F100" s="642" t="inlineStr">
        <is>
          <t>124/2024/HDBQ/VSTV-HT</t>
        </is>
      </c>
      <c r="G100" s="108" t="inlineStr">
        <is>
          <t>Korea</t>
        </is>
      </c>
      <c r="H100" s="108" t="n">
        <v>2017</v>
      </c>
      <c r="I100" s="289" t="n">
        <v>32</v>
      </c>
      <c r="J100" s="289" t="n">
        <v>35</v>
      </c>
      <c r="K100" s="305">
        <f>(I100*J100)/60</f>
        <v/>
      </c>
      <c r="L100" s="305">
        <f>I100</f>
        <v/>
      </c>
      <c r="M100" s="289" t="inlineStr">
        <is>
          <t>Tâm lý tình cảm</t>
        </is>
      </c>
      <c r="N100" s="649" t="inlineStr">
        <is>
          <t>Drama</t>
        </is>
      </c>
      <c r="O100" s="642" t="n"/>
      <c r="P100" s="590" t="inlineStr">
        <is>
          <t>VOD only</t>
        </is>
      </c>
      <c r="Q100" s="590" t="n">
        <v>45566</v>
      </c>
      <c r="R100" s="642" t="n"/>
      <c r="S100" s="642" t="n"/>
      <c r="T100" s="590" t="inlineStr">
        <is>
          <t>No</t>
        </is>
      </c>
      <c r="U100" s="590" t="inlineStr">
        <is>
          <t>Yes</t>
        </is>
      </c>
      <c r="V100" s="590" t="inlineStr">
        <is>
          <t>No</t>
        </is>
      </c>
      <c r="W100" s="111" t="inlineStr">
        <is>
          <t>Yes</t>
        </is>
      </c>
      <c r="X100" s="111" t="inlineStr">
        <is>
          <t>Yes</t>
        </is>
      </c>
      <c r="Y100" s="111" t="inlineStr">
        <is>
          <t>Yes</t>
        </is>
      </c>
      <c r="Z100" s="111" t="inlineStr">
        <is>
          <t>Yes</t>
        </is>
      </c>
      <c r="AA100" s="111" t="inlineStr">
        <is>
          <t>Yes</t>
        </is>
      </c>
      <c r="AB100" s="111" t="inlineStr">
        <is>
          <t>Yes</t>
        </is>
      </c>
      <c r="AC100" s="319" t="n">
        <v>45566</v>
      </c>
      <c r="AD100" s="319" t="n">
        <v>46295</v>
      </c>
      <c r="AE100" s="642" t="n"/>
      <c r="AF100" s="307" t="n"/>
      <c r="AG100" s="647" t="n"/>
      <c r="AH100" s="318" t="n"/>
      <c r="AI100" s="642" t="inlineStr">
        <is>
          <t>Yes</t>
        </is>
      </c>
      <c r="AJ100" s="642" t="inlineStr">
        <is>
          <t>Yes</t>
        </is>
      </c>
      <c r="AK100" s="307" t="n"/>
      <c r="AL100" s="590" t="inlineStr">
        <is>
          <t>Phim còn hạn từ 2026</t>
        </is>
      </c>
      <c r="AM100" s="203" t="n"/>
      <c r="AN100" s="203" t="n"/>
      <c r="AO100" s="128">
        <f>SUMIF('TK 15661.Bản quyền phim '!F:F,'KK2. Series'!C100,'TK 15661.Bản quyền phim '!K:K)</f>
        <v/>
      </c>
      <c r="AP100" s="128">
        <f>COUNTIF('242.BQ Phim VOD'!$C$5:$C$8,'KK2. Series'!AM100)</f>
        <v/>
      </c>
      <c r="AQ100" s="128">
        <f>COUNTIF('TK 15666. Phim SX'!$C$6:$C$13,'KK2. Series'!AM100)</f>
        <v/>
      </c>
      <c r="AR100" s="203">
        <f>COUNTIF('TK 15661.Bản quyền phim '!F:F,'KK2. Series'!AM100)</f>
        <v/>
      </c>
      <c r="AS100" s="203" t="n">
        <v>1</v>
      </c>
      <c r="AT100" s="366">
        <f>SUM(AP100:AS100)</f>
        <v/>
      </c>
      <c r="AU100" s="203" t="n"/>
      <c r="AV100" s="203" t="n"/>
      <c r="AW100" s="203" t="n"/>
      <c r="AX100" s="203" t="n"/>
      <c r="AY100" s="203" t="n"/>
      <c r="AZ100" s="387" t="inlineStr">
        <is>
          <t>✓ Found</t>
        </is>
      </c>
      <c r="BB100" s="387" t="n"/>
    </row>
    <row r="101" ht="409.6" customHeight="1" s="578">
      <c r="A101" s="96" t="n">
        <v>95</v>
      </c>
      <c r="B101" s="97" t="inlineStr">
        <is>
          <t>SER_DRA3006 - Hospital ship, Ep01
SER_DRA3007 - Hospital ship, Ep02
SER_DRA3008 - Hospital ship, Ep03
SER_DRA3009 - Hospital ship, Ep04
SER_DRA3010 - Hospital ship, Ep05
SER_DRA3011 - Hospital ship, Ep06
SER_DRA3012 - Hospital ship, Ep07
SER_DRA3013 - Hospital ship, Ep08
SER_DRA3014 - Hospital ship, Ep09
SER_DRA3015 - Hospital ship, Ep10
SER_DRA3016 - Hospital ship, Ep11
SER_DRA3017 - Hospital ship, Ep12
SER_DRA3018 - Hospital ship, Ep13
SER_DRA3019 - Hospital ship, Ep14
SER_DRA3020 - Hospital ship, Ep15
SER_DRA3021 - Hospital ship, Ep16
SER_DRA3022 - Hospital ship, Ep17
SER_DRA3023 - Hospital ship, Ep18
SER_DRA3024 - Hospital ship, Ep19
SER_DRA3025 - Hospital ship, Ep20
SER_DRA3026 - Hospital ship, Ep21
SER_DRA3027 - Hospital ship, Ep22
SER_DRA3028 - Hospital ship, Ep23
SER_DRA3029 - Hospital ship, Ep24
SER_DRA3030 - Hospital ship, Ep25
SER_DRA3031 - Hospital ship, Ep26
SER_DRA3032 - Hospital ship, Ep27
SER_DRA3033 - Hospital ship, Ep28
SER_DRA3034 - Hospital ship, Ep29
SER_DRA3035 - Hospital ship, Ep30
SER_DRA3036 - Hospital ship, Ep31
SER_DRA3037 - Hospital ship, Ep32
SER_DRA3038 - Hospital ship, Ep33
SER_DRA3039 - Hospital ship, Ep34
SER_DRA3040 - Hospital ship, Ep35
SER_DRA3041 - Hospital ship, Ep36
SER_DRA3042 - Hospital ship, Ep37
SER_DRA3043 - Hospital ship, Ep38
SER_DRA3044 - Hospital ship, Ep39
SER_DRA3045 - Hospital ship, Ep40</t>
        </is>
      </c>
      <c r="C101" s="108" t="inlineStr">
        <is>
          <t>Hospital Ship</t>
        </is>
      </c>
      <c r="D101" s="289" t="inlineStr">
        <is>
          <t>Con tàu y đức</t>
        </is>
      </c>
      <c r="E101" s="108" t="inlineStr">
        <is>
          <t>HT</t>
        </is>
      </c>
      <c r="F101" s="642" t="inlineStr">
        <is>
          <t>124/2024/HDBQ/VSTV-HT</t>
        </is>
      </c>
      <c r="G101" s="108" t="inlineStr">
        <is>
          <t>Korea</t>
        </is>
      </c>
      <c r="H101" s="108" t="n">
        <v>2017</v>
      </c>
      <c r="I101" s="289" t="n">
        <v>40</v>
      </c>
      <c r="J101" s="289" t="n">
        <v>35</v>
      </c>
      <c r="K101" s="305">
        <f>(I101*J101)/60</f>
        <v/>
      </c>
      <c r="L101" s="305">
        <f>I101</f>
        <v/>
      </c>
      <c r="M101" s="289" t="inlineStr">
        <is>
          <t>Y khoa</t>
        </is>
      </c>
      <c r="N101" s="649" t="inlineStr">
        <is>
          <t>Drama</t>
        </is>
      </c>
      <c r="O101" s="642" t="n"/>
      <c r="P101" s="590" t="inlineStr">
        <is>
          <t>VOD only</t>
        </is>
      </c>
      <c r="Q101" s="590" t="n">
        <v>45566</v>
      </c>
      <c r="R101" s="642" t="n"/>
      <c r="S101" s="642" t="n"/>
      <c r="T101" s="590" t="inlineStr">
        <is>
          <t>No</t>
        </is>
      </c>
      <c r="U101" s="590" t="inlineStr">
        <is>
          <t>Yes</t>
        </is>
      </c>
      <c r="V101" s="590" t="inlineStr">
        <is>
          <t>No</t>
        </is>
      </c>
      <c r="W101" s="111" t="inlineStr">
        <is>
          <t>Yes</t>
        </is>
      </c>
      <c r="X101" s="111" t="inlineStr">
        <is>
          <t>Yes</t>
        </is>
      </c>
      <c r="Y101" s="111" t="inlineStr">
        <is>
          <t>Yes</t>
        </is>
      </c>
      <c r="Z101" s="111" t="inlineStr">
        <is>
          <t>Yes</t>
        </is>
      </c>
      <c r="AA101" s="111" t="inlineStr">
        <is>
          <t>Yes</t>
        </is>
      </c>
      <c r="AB101" s="111" t="inlineStr">
        <is>
          <t>Yes</t>
        </is>
      </c>
      <c r="AC101" s="319" t="n">
        <v>45566</v>
      </c>
      <c r="AD101" s="319" t="n">
        <v>46295</v>
      </c>
      <c r="AE101" s="642" t="n"/>
      <c r="AF101" s="307" t="n"/>
      <c r="AG101" s="647" t="n"/>
      <c r="AH101" s="318" t="n"/>
      <c r="AI101" s="642" t="inlineStr">
        <is>
          <t>Yes</t>
        </is>
      </c>
      <c r="AJ101" s="642" t="inlineStr">
        <is>
          <t>Yes</t>
        </is>
      </c>
      <c r="AK101" s="307" t="n"/>
      <c r="AL101" s="590" t="inlineStr">
        <is>
          <t>Phim còn hạn từ 2026</t>
        </is>
      </c>
      <c r="AM101" s="203" t="n"/>
      <c r="AN101" s="203" t="n"/>
      <c r="AO101" s="128">
        <f>SUMIF('TK 15661.Bản quyền phim '!F:F,'KK2. Series'!C101,'TK 15661.Bản quyền phim '!K:K)</f>
        <v/>
      </c>
      <c r="AP101" s="128">
        <f>COUNTIF('242.BQ Phim VOD'!$C$5:$C$8,'KK2. Series'!AM101)</f>
        <v/>
      </c>
      <c r="AQ101" s="128">
        <f>COUNTIF('TK 15666. Phim SX'!$C$6:$C$13,'KK2. Series'!AM101)</f>
        <v/>
      </c>
      <c r="AR101" s="203">
        <f>COUNTIF('TK 15661.Bản quyền phim '!F:F,'KK2. Series'!AM101)</f>
        <v/>
      </c>
      <c r="AS101" s="203" t="n">
        <v>1</v>
      </c>
      <c r="AT101" s="366">
        <f>SUM(AP101:AS101)</f>
        <v/>
      </c>
      <c r="AU101" s="203" t="n"/>
      <c r="AV101" s="203" t="n"/>
      <c r="AW101" s="203" t="n"/>
      <c r="AX101" s="203" t="n"/>
      <c r="AY101" s="203" t="n"/>
      <c r="AZ101" s="387" t="inlineStr">
        <is>
          <t>✓ Found</t>
        </is>
      </c>
      <c r="BB101" s="387" t="n"/>
    </row>
    <row r="102" ht="409.6" customHeight="1" s="578">
      <c r="A102" s="96" t="n">
        <v>96</v>
      </c>
      <c r="B102" s="97" t="inlineStr">
        <is>
          <t>SER_ROM2639 - Extra-ordinary Haru, Ep01
SER_ROM2640 - Extra-ordinary Haru, Ep02
SER_ROM2641 - Extra-ordinary Haru, Ep03
SER_ROM2642 - Extra-ordinary Haru, Ep04
SER_ROM2643 - Extra-ordinary Haru, Ep05
SER_ROM2644 - Extra-ordinary Haru, Ep06
SER_ROM2645 - Extra-ordinary Haru, Ep07
SER_ROM2646 - Extra-ordinary Haru, Ep08
SER_ROM2647 - Extra-ordinary Haru, Ep09
SER_ROM2648 - Extra-ordinary Haru, Ep10
SER_ROM2649 - Extra-ordinary Haru, Ep11
SER_ROM2650 - Extra-ordinary Haru, Ep12
SER_ROM2651 - Extra-ordinary Haru, Ep13
SER_ROM2652 - Extra-ordinary Haru, Ep14
SER_ROM2653 - Extra-ordinary Haru, Ep15
SER_ROM2654 - Extra-ordinary Haru, Ep16
SER_ROM2655 - Extra-ordinary Haru, Ep17
SER_ROM2656 - Extra-ordinary Haru, Ep18
SER_ROM2657 - Extra-ordinary Haru, Ep19
SER_ROM2658 - Extra-ordinary Haru, Ep20
SER_ROM2659 - Extra-ordinary Haru, Ep21
SER_ROM2660 - Extra-ordinary Haru, Ep22
SER_ROM2661 - Extra-ordinary Haru, Ep23
SER_ROM2662 - Extra-ordinary Haru, Ep24
SER_ROM2663 - Extra-ordinary Haru, Ep25
SER_ROM2664 - Extra-ordinary Haru, Ep26
SER_ROM2665 - Extra-ordinary Haru, Ep27
SER_ROM2666 - Extra-ordinary Haru, Ep28
SER_ROM2667 - Extra-ordinary Haru, Ep29
SER_ROM2668 - Extra-ordinary Haru, Ep30
SER_ROM2669 - Extra-ordinary Haru, Ep31
SER_ROM2670 - Extra-ordinary Haru, Ep32</t>
        </is>
      </c>
      <c r="C102" s="108" t="inlineStr">
        <is>
          <t>Extra-ordinary haru</t>
        </is>
      </c>
      <c r="D102" s="289" t="inlineStr">
        <is>
          <t>Vô tình tìm thấy Haru</t>
        </is>
      </c>
      <c r="E102" s="108" t="inlineStr">
        <is>
          <t>HT</t>
        </is>
      </c>
      <c r="F102" s="642" t="inlineStr">
        <is>
          <t>124/2024/HDBQ/VSTV-HT</t>
        </is>
      </c>
      <c r="G102" s="108" t="inlineStr">
        <is>
          <t>Korea</t>
        </is>
      </c>
      <c r="H102" s="108" t="n">
        <v>2019</v>
      </c>
      <c r="I102" s="289" t="n">
        <v>32</v>
      </c>
      <c r="J102" s="289" t="n">
        <v>35</v>
      </c>
      <c r="K102" s="305">
        <f>(I102*J102)/60</f>
        <v/>
      </c>
      <c r="L102" s="305">
        <f>I102</f>
        <v/>
      </c>
      <c r="M102" s="289" t="inlineStr">
        <is>
          <t>Hiện đại</t>
        </is>
      </c>
      <c r="N102" s="649" t="inlineStr">
        <is>
          <t>Drama</t>
        </is>
      </c>
      <c r="O102" s="642" t="n"/>
      <c r="P102" s="590" t="inlineStr">
        <is>
          <t>VOD only</t>
        </is>
      </c>
      <c r="Q102" s="590" t="n">
        <v>45566</v>
      </c>
      <c r="R102" s="642" t="n"/>
      <c r="S102" s="642" t="n"/>
      <c r="T102" s="590" t="inlineStr">
        <is>
          <t>No</t>
        </is>
      </c>
      <c r="U102" s="590" t="inlineStr">
        <is>
          <t>Yes</t>
        </is>
      </c>
      <c r="V102" s="590" t="inlineStr">
        <is>
          <t>No</t>
        </is>
      </c>
      <c r="W102" s="111" t="inlineStr">
        <is>
          <t>Yes</t>
        </is>
      </c>
      <c r="X102" s="111" t="inlineStr">
        <is>
          <t>Yes</t>
        </is>
      </c>
      <c r="Y102" s="111" t="inlineStr">
        <is>
          <t>Yes</t>
        </is>
      </c>
      <c r="Z102" s="111" t="inlineStr">
        <is>
          <t>Yes</t>
        </is>
      </c>
      <c r="AA102" s="111" t="inlineStr">
        <is>
          <t>Yes</t>
        </is>
      </c>
      <c r="AB102" s="111" t="inlineStr">
        <is>
          <t>Yes</t>
        </is>
      </c>
      <c r="AC102" s="319" t="n">
        <v>45566</v>
      </c>
      <c r="AD102" s="319" t="n">
        <v>46295</v>
      </c>
      <c r="AE102" s="642" t="n"/>
      <c r="AF102" s="307" t="n"/>
      <c r="AG102" s="647" t="n"/>
      <c r="AH102" s="318" t="n"/>
      <c r="AI102" s="642" t="inlineStr">
        <is>
          <t>Yes</t>
        </is>
      </c>
      <c r="AJ102" s="642" t="inlineStr">
        <is>
          <t>Yes</t>
        </is>
      </c>
      <c r="AK102" s="307" t="n"/>
      <c r="AL102" s="590" t="inlineStr">
        <is>
          <t>Phim còn hạn từ 2026</t>
        </is>
      </c>
      <c r="AM102" s="203" t="n"/>
      <c r="AN102" s="203" t="n"/>
      <c r="AO102" s="128">
        <f>SUMIF('TK 15661.Bản quyền phim '!F:F,'KK2. Series'!C102,'TK 15661.Bản quyền phim '!K:K)</f>
        <v/>
      </c>
      <c r="AP102" s="128">
        <f>COUNTIF('242.BQ Phim VOD'!$C$5:$C$8,'KK2. Series'!AM102)</f>
        <v/>
      </c>
      <c r="AQ102" s="128">
        <f>COUNTIF('TK 15666. Phim SX'!$C$6:$C$13,'KK2. Series'!AM102)</f>
        <v/>
      </c>
      <c r="AR102" s="203">
        <f>COUNTIF('TK 15661.Bản quyền phim '!F:F,'KK2. Series'!AM102)</f>
        <v/>
      </c>
      <c r="AS102" s="203" t="n">
        <v>1</v>
      </c>
      <c r="AT102" s="366">
        <f>SUM(AP102:AS102)</f>
        <v/>
      </c>
      <c r="AU102" s="203" t="n"/>
      <c r="AV102" s="203" t="n"/>
      <c r="AW102" s="203" t="n"/>
      <c r="AX102" s="203" t="n"/>
      <c r="AY102" s="203" t="n"/>
      <c r="AZ102" s="387" t="inlineStr">
        <is>
          <t>✓ Found</t>
        </is>
      </c>
      <c r="BB102" s="387" t="n"/>
    </row>
    <row r="103" ht="409.6" customHeight="1" s="578">
      <c r="A103" s="96" t="n">
        <v>97</v>
      </c>
      <c r="B103" s="97" t="inlineStr">
        <is>
          <t>SER_DRA3244 - The Emperor: Owner of the Mask, Ep01
SER_DRA3245 - The Emperor: Owner of the Mask, Ep02
SER_DRA3246 - The Emperor: Owner of the Mask, Ep03
SER_DRA3247 - The Emperor: Owner of the Mask, Ep04
SER_DRA3248 - The Emperor: Owner of the Mask, Ep05
SER_DRA3249 - The Emperor: Owner of the Mask, Ep06
SER_DRA3250 - The Emperor: Owner of the Mask, Ep07
SER_DRA3251 - The Emperor: Owner of the Mask, Ep08
SER_DRA3252 - The Emperor: Owner of the Mask, Ep09
SER_DRA3253 - The Emperor: Owner of the Mask, Ep10
SER_DRA3254 - The Emperor: Owner of the Mask, Ep11
SER_DRA3255 - The Emperor: Owner of the Mask, Ep12
SER_DRA3256 - The Emperor: Owner of the Mask, Ep13
SER_DRA3257 - The Emperor: Owner of the Mask, Ep14
SER_DRA3258 - The Emperor: Owner of the Mask, Ep15
SER_DRA3259 - The Emperor: Owner of the Mask, Ep16
SER_DRA3260 - The Emperor: Owner of the Mask, Ep17
SER_DRA3261 - The Emperor: Owner of the Mask, Ep18
SER_DRA3262 - The Emperor: Owner of the Mask, Ep19
SER_DRA3263 - The Emperor: Owner of the Mask, Ep20
SER_DRA3264 - The Emperor: Owner of the Mask, Ep21
SER_DRA3265 - The Emperor: Owner of the Mask, Ep22
SER_DRA3266 - The Emperor: Owner of the Mask, Ep23
SER_DRA3267 - The Emperor: Owner of the Mask, Ep24
SER_DRA3268 - The Emperor: Owner of the Mask, Ep25
SER_DRA3269 - The Emperor: Owner of the Mask, Ep26
SER_DRA3270 - The Emperor: Owner of the Mask, Ep27
SER_DRA3271 - The Emperor: Owner of the Mask, Ep28
SER_DRA3272 - The Emperor: Owner of the Mask, Ep29
SER_DRA3273 - The Emperor: Owner of the Mask, Ep30
SER_DRA3274 - The Emperor: Owner of the Mask, Ep31
SER_DRA3275 - The Emperor: Owner of the Mask, Ep32
SER_DRA3276 - The Emperor: Owner of the Mask, Ep33
SER_DRA3277 - The Emperor: Owner of the Mask, Ep34
SER_DRA3278 - The Emperor: Owner of the Mask, Ep35
SER_DRA3279 - The Emperor: Owner of the Mask, Ep36
SER_DRA3280 - The Emperor: Owner of the Mask, Ep37
SER_DRA3281 - The Emperor: Owner of the Mask, Ep38
SER_DRA3282 - The Emperor: Owner of the Mask, Ep39
SER_DRA3283 - The Emperor: Owner of the Mask, Ep40</t>
        </is>
      </c>
      <c r="C103" s="108" t="inlineStr">
        <is>
          <t>The Emperor: Owner of the Mask</t>
        </is>
      </c>
      <c r="D103" s="289" t="inlineStr">
        <is>
          <t>Mặt nạ quân chủ</t>
        </is>
      </c>
      <c r="E103" s="108" t="inlineStr">
        <is>
          <t>HT</t>
        </is>
      </c>
      <c r="F103" s="642" t="inlineStr">
        <is>
          <t>124/2024/HDBQ/VSTV-HT</t>
        </is>
      </c>
      <c r="G103" s="108" t="inlineStr">
        <is>
          <t>Korea</t>
        </is>
      </c>
      <c r="H103" s="108" t="n">
        <v>2017</v>
      </c>
      <c r="I103" s="289" t="n">
        <v>40</v>
      </c>
      <c r="J103" s="289" t="n">
        <v>35</v>
      </c>
      <c r="K103" s="305">
        <f>(I103*J103)/60</f>
        <v/>
      </c>
      <c r="L103" s="305">
        <f>I103</f>
        <v/>
      </c>
      <c r="M103" s="289" t="inlineStr">
        <is>
          <t>Cổ trang</t>
        </is>
      </c>
      <c r="N103" s="649" t="inlineStr">
        <is>
          <t xml:space="preserve">Others </t>
        </is>
      </c>
      <c r="O103" s="642" t="n"/>
      <c r="P103" s="590" t="inlineStr">
        <is>
          <t>VOD only</t>
        </is>
      </c>
      <c r="Q103" s="590" t="n">
        <v>45566</v>
      </c>
      <c r="R103" s="642" t="n"/>
      <c r="S103" s="642" t="n"/>
      <c r="T103" s="590" t="inlineStr">
        <is>
          <t>No</t>
        </is>
      </c>
      <c r="U103" s="590" t="inlineStr">
        <is>
          <t>Yes</t>
        </is>
      </c>
      <c r="V103" s="590" t="inlineStr">
        <is>
          <t>No</t>
        </is>
      </c>
      <c r="W103" s="111" t="inlineStr">
        <is>
          <t>Yes</t>
        </is>
      </c>
      <c r="X103" s="111" t="inlineStr">
        <is>
          <t>Yes</t>
        </is>
      </c>
      <c r="Y103" s="111" t="inlineStr">
        <is>
          <t>Yes</t>
        </is>
      </c>
      <c r="Z103" s="111" t="inlineStr">
        <is>
          <t>Yes</t>
        </is>
      </c>
      <c r="AA103" s="111" t="inlineStr">
        <is>
          <t>Yes</t>
        </is>
      </c>
      <c r="AB103" s="111" t="inlineStr">
        <is>
          <t>Yes</t>
        </is>
      </c>
      <c r="AC103" s="319" t="n">
        <v>45566</v>
      </c>
      <c r="AD103" s="319" t="n">
        <v>46295</v>
      </c>
      <c r="AE103" s="642" t="n"/>
      <c r="AF103" s="307" t="n"/>
      <c r="AG103" s="647" t="n"/>
      <c r="AH103" s="318" t="n"/>
      <c r="AI103" s="642" t="inlineStr">
        <is>
          <t>Yes</t>
        </is>
      </c>
      <c r="AJ103" s="642" t="inlineStr">
        <is>
          <t>Yes</t>
        </is>
      </c>
      <c r="AK103" s="307" t="n"/>
      <c r="AL103" s="590" t="inlineStr">
        <is>
          <t>Phim còn hạn từ 2026</t>
        </is>
      </c>
      <c r="AM103" s="203" t="n"/>
      <c r="AN103" s="203" t="n"/>
      <c r="AO103" s="128">
        <f>SUMIF('TK 15661.Bản quyền phim '!F:F,'KK2. Series'!C103,'TK 15661.Bản quyền phim '!K:K)</f>
        <v/>
      </c>
      <c r="AP103" s="128">
        <f>COUNTIF('242.BQ Phim VOD'!$C$5:$C$8,'KK2. Series'!AM103)</f>
        <v/>
      </c>
      <c r="AQ103" s="128">
        <f>COUNTIF('TK 15666. Phim SX'!$C$6:$C$13,'KK2. Series'!AM103)</f>
        <v/>
      </c>
      <c r="AR103" s="203">
        <f>COUNTIF('TK 15661.Bản quyền phim '!F:F,'KK2. Series'!AM103)</f>
        <v/>
      </c>
      <c r="AS103" s="203" t="n">
        <v>1</v>
      </c>
      <c r="AT103" s="366">
        <f>SUM(AP103:AS103)</f>
        <v/>
      </c>
      <c r="AU103" s="203" t="n"/>
      <c r="AV103" s="203" t="n"/>
      <c r="AW103" s="203" t="n"/>
      <c r="AX103" s="203" t="n"/>
      <c r="AY103" s="203" t="n"/>
      <c r="AZ103" s="387" t="inlineStr">
        <is>
          <t>✓ Found</t>
        </is>
      </c>
      <c r="BB103" s="387" t="n"/>
    </row>
    <row r="104" ht="409.6" customHeight="1" s="578">
      <c r="A104" s="96" t="n">
        <v>98</v>
      </c>
      <c r="B104" s="97" t="inlineStr">
        <is>
          <t>SER_COM641 - Never twice, Ep01
SER_COM642 - Never twice, Ep02
SER_COM643 - Never twice, Ep03
SER_COM644 - Never twice, Ep04
SER_COM645 - Never twice, Ep05
SER_COM646 - Never twice, Ep06
SER_COM647 - Never twice, Ep07
SER_COM648 - Never twice, Ep08
SER_COM649 - Never twice, Ep09
SER_COM650 - Never twice, Ep10
SER_COM651 - Never twice, Ep11
SER_COM652 - Never twice, Ep12
SER_COM653 - Never twice, Ep13
SER_COM654 - Never twice, Ep14
SER_COM655 - Never twice, Ep15
SER_COM656 - Never twice, Ep16
SER_COM657 - Never twice, Ep17
SER_COM658 - Never twice, Ep18
SER_COM659 - Never twice, Ep19
SER_COM660 - Never twice, Ep20
SER_COM661 - Never twice, Ep21
SER_COM662 - Never twice, Ep22
SER_COM663 - Never twice, Ep23
SER_COM664 - Never twice, Ep24
SER_COM665 - Never twice, Ep25
SER_COM666 - Never twice, Ep26
SER_COM667 - Never twice, Ep27
SER_COM668 - Never twice, Ep28
SER_COM669 - Never twice, Ep29
SER_COM670 - Never twice, Ep30
SER_COM671 - Never twice, Ep31
SER_COM672 - Never twice, Ep32
SER_COM673 - Never twice, Ep33
SER_COM674 - Never twice, Ep34
SER_COM675 - Never twice, Ep35
SER_COM676 - Never twice, Ep36</t>
        </is>
      </c>
      <c r="C104" s="108" t="inlineStr">
        <is>
          <t>Never twice</t>
        </is>
      </c>
      <c r="D104" s="289" t="inlineStr">
        <is>
          <t>Không có lần 2</t>
        </is>
      </c>
      <c r="E104" s="108" t="inlineStr">
        <is>
          <t>HT</t>
        </is>
      </c>
      <c r="F104" s="642" t="inlineStr">
        <is>
          <t>124/2024/HDBQ/VSTV-HT</t>
        </is>
      </c>
      <c r="G104" s="108" t="inlineStr">
        <is>
          <t>Korea</t>
        </is>
      </c>
      <c r="H104" s="108" t="n">
        <v>2019</v>
      </c>
      <c r="I104" s="289" t="n">
        <v>36</v>
      </c>
      <c r="J104" s="289" t="n">
        <v>70</v>
      </c>
      <c r="K104" s="305">
        <f>(I104*J104)/60</f>
        <v/>
      </c>
      <c r="L104" s="305">
        <f>I104</f>
        <v/>
      </c>
      <c r="M104" s="289" t="inlineStr">
        <is>
          <t>Tâm lý xã hội</t>
        </is>
      </c>
      <c r="N104" s="649" t="inlineStr">
        <is>
          <t>Drama</t>
        </is>
      </c>
      <c r="O104" s="642" t="n"/>
      <c r="P104" s="590" t="inlineStr">
        <is>
          <t>VOD only</t>
        </is>
      </c>
      <c r="Q104" s="590" t="n">
        <v>45566</v>
      </c>
      <c r="R104" s="642" t="n"/>
      <c r="S104" s="642" t="n"/>
      <c r="T104" s="590" t="inlineStr">
        <is>
          <t>No</t>
        </is>
      </c>
      <c r="U104" s="590" t="inlineStr">
        <is>
          <t>Yes</t>
        </is>
      </c>
      <c r="V104" s="590" t="inlineStr">
        <is>
          <t>No</t>
        </is>
      </c>
      <c r="W104" s="111" t="inlineStr">
        <is>
          <t>Yes</t>
        </is>
      </c>
      <c r="X104" s="111" t="inlineStr">
        <is>
          <t>Yes</t>
        </is>
      </c>
      <c r="Y104" s="111" t="inlineStr">
        <is>
          <t>Yes</t>
        </is>
      </c>
      <c r="Z104" s="111" t="inlineStr">
        <is>
          <t>Yes</t>
        </is>
      </c>
      <c r="AA104" s="111" t="inlineStr">
        <is>
          <t>Yes</t>
        </is>
      </c>
      <c r="AB104" s="111" t="inlineStr">
        <is>
          <t>Yes</t>
        </is>
      </c>
      <c r="AC104" s="319" t="n">
        <v>45566</v>
      </c>
      <c r="AD104" s="319" t="n">
        <v>46295</v>
      </c>
      <c r="AE104" s="642" t="n"/>
      <c r="AF104" s="307" t="n"/>
      <c r="AG104" s="647" t="n"/>
      <c r="AH104" s="318" t="n"/>
      <c r="AI104" s="642" t="inlineStr">
        <is>
          <t>Yes</t>
        </is>
      </c>
      <c r="AJ104" s="642" t="inlineStr">
        <is>
          <t>Yes</t>
        </is>
      </c>
      <c r="AK104" s="307" t="n"/>
      <c r="AL104" s="590" t="inlineStr">
        <is>
          <t>Phim còn hạn từ 2026</t>
        </is>
      </c>
      <c r="AM104" s="203" t="n"/>
      <c r="AN104" s="203" t="n"/>
      <c r="AO104" s="128">
        <f>SUMIF('TK 15661.Bản quyền phim '!F:F,'KK2. Series'!C104,'TK 15661.Bản quyền phim '!K:K)</f>
        <v/>
      </c>
      <c r="AP104" s="128">
        <f>COUNTIF('242.BQ Phim VOD'!$C$5:$C$8,'KK2. Series'!AM104)</f>
        <v/>
      </c>
      <c r="AQ104" s="128">
        <f>COUNTIF('TK 15666. Phim SX'!$C$6:$C$13,'KK2. Series'!AM104)</f>
        <v/>
      </c>
      <c r="AR104" s="203">
        <f>COUNTIF('TK 15661.Bản quyền phim '!F:F,'KK2. Series'!AM104)</f>
        <v/>
      </c>
      <c r="AS104" s="203" t="n">
        <v>1</v>
      </c>
      <c r="AT104" s="366">
        <f>SUM(AP104:AS104)</f>
        <v/>
      </c>
      <c r="AU104" s="203" t="n"/>
      <c r="AV104" s="203" t="n"/>
      <c r="AW104" s="203" t="n"/>
      <c r="AX104" s="203" t="n"/>
      <c r="AY104" s="203" t="n"/>
      <c r="AZ104" s="387" t="inlineStr">
        <is>
          <t>✓ Found</t>
        </is>
      </c>
      <c r="BB104" s="387" t="n"/>
    </row>
    <row r="105" ht="409.6" customHeight="1" s="578">
      <c r="A105" s="96" t="n">
        <v>99</v>
      </c>
      <c r="B105" s="97" t="inlineStr">
        <is>
          <t>SER_DRA3046 - The All-Round Wife, Ep01
SER_DRA3047 - The All-Round Wife, Ep02
SER_DRA3048 - The All-Round Wife, Ep03
SER_DRA3049 - The All-Round Wife, Ep04
SER_DRA3050 - The All-Round Wife, Ep05
SER_DRA3051 - The All-Round Wife, Ep06
SER_DRA3052 - The All-Round Wife, Ep07
SER_DRA3053 - The All-Round Wife, Ep08
SER_DRA3054 - The All-Round Wife, Ep09
SER_DRA3055 - The All-Round Wife, Ep10
SER_DRA3056 - The All-Round Wife, Ep11
SER_DRA3057 - The All-Round Wife, Ep12
SER_DRA3058 - The All-Round Wife, Ep13
SER_DRA3059 - The All-Round Wife, Ep14
SER_DRA3060 - The All-Round Wife, Ep15
SER_DRA3061 - The All-Round Wife, Ep16
SER_DRA3062 - The All-Round Wife, Ep17
SER_DRA3063 - The All-Round Wife, Ep18
SER_DRA3064 - The All-Round Wife, Ep19
SER_DRA3065 - The All-Round Wife, Ep20
SER_DRA3066 - The All-Round Wife, Ep21
SER_DRA3067 - The All-Round Wife, Ep22
SER_DRA3068 - The All-Round Wife, Ep23
SER_DRA3069 - The All-Round Wife, Ep24
SER_DRA3070 - The All-Round Wife, Ep25
SER_DRA3071 - The All-Round Wife, Ep26
SER_DRA3072 - The All-Round Wife, Ep27
SER_DRA3073 - The All-Round Wife, Ep28
SER_DRA3074 - The All-Round Wife, Ep29
SER_DRA3075 - The All-Round Wife, Ep30
SER_DRA3076 - The All-Round Wife, Ep31
SER_DRA3077 - The All-Round Wife, Ep32
SER_DRA3078 - The All-Round Wife, Ep33
SER_DRA3079 - The All-Round Wife, Ep34
SER_DRA3080 - The All-Round Wife, Ep35
SER_DRA3081 - The All-Round Wife, Ep36
SER_DRA3082 - The All-Round Wife, Ep37
SER_DRA3083 - The All-Round Wife, Ep38
SER_DRA3084 - The All-Round Wife, Ep39
SER_DRA3085 - The All-Round Wife, Ep40
SER_DRA3086 - The All-Round Wife, Ep41
SER_DRA3087 - The All-Round Wife, Ep42
SER_DRA3088 - The All-Round Wife, Ep43
SER_DRA3089 - The All-Round Wife, Ep44
SER_DRA3090 - The All-Round Wife, Ep45
SER_DRA3091 - The All-Round Wife, Ep46
SER_DRA3092 - The All-Round Wife, Ep47
SER_DRA3093 - The All-Round Wife, Ep48
SER_DRA3094 - The All-Round Wife, Ep49
SER_DRA3095 - The All-Round Wife, Ep50
SER_DRA3096 - The All-Round Wife, Ep51
SER_DRA3097 - The All-Round Wife, Ep52
SER_DRA3098 - The All-Round Wife, Ep53
SER_DRA3099 - The All-Round Wife, Ep54
SER_DRA3100 - The All-Round Wife, Ep55
SER_DRA3101 - The All-Round Wife, Ep56
SER_DRA3102 - The All-Round Wife, Ep57
SER_DRA3103 - The All-Round Wife, Ep58
SER_DRA3104 - The All-Round Wife, Ep59
SER_DRA3105 - The All-Round Wife, Ep60
SER_DRA3106 - The All-Round Wife, Ep61
SER_DRA3107 - The All-Round Wife, Ep62
SER_DRA3108 - The All-Round Wife, Ep63
SER_DRA3109 - The All-Round Wife, Ep64
SER_DRA3110 - The All-Round Wife, Ep65
SER_DRA3111 - The All-Round Wife, Ep66
SER_DRA3112 - The All-Round Wife, Ep67
SER_DRA3113 - The All-Round Wife, Ep68
SER_DRA3114 - The All-Round Wife, Ep69
SER_DRA3115 - The All-Round Wife, Ep70
SER_DRA3116 - The All-Round Wife, Ep71
SER_DRA3117 - The All-Round Wife, Ep72
SER_DRA3118 - The All-Round Wife, Ep73
SER_DRA3119 - The All-Round Wife, Ep74
SER_DRA3120 - The All-Round Wife, Ep75
SER_DRA3121 - The All-Round Wife, Ep76
SER_DRA3122 - The All-Round Wife, Ep77
SER_DRA3123 - The All-Round Wife, Ep78
SER_DRA3124 - The All-Round Wife, Ep79
SER_DRA3125 - The All-Round Wife, Ep80
SER_DRA3126 - The All-Round Wife, Ep81
SER_DRA3127 - The All-Round Wife, Ep82
SER_DRA3128 - The All-Round Wife, Ep83
SER_DRA3129 - The All-Round Wife, Ep84
SER_DRA3130 - The All-Round Wife, Ep85
SER_DRA3131 - The All-Round Wife, Ep86
SER_DRA3132 - The All-Round Wife, Ep87
SER_DRA3133 - The All-Round Wife, Ep88
SER_DRA3134 - The All-Round Wife, Ep89
SER_DRA3135 - The All-Round Wife, Ep90
SER_DRA3136 - The All-Round Wife, Ep91
SER_DRA3137 - The All-Round Wife, Ep92
SER_DRA3138 - The All-Round Wife, Ep93
SER_DRA3139 - The All-Round Wife, Ep94
SER_DRA3140 - The All-Round Wife, Ep95
SER_DRA3141 - The All-Round Wife, Ep96
SER_DRA3142 - The All-Round Wife, Ep97
SER_DRA3143 - The All-Round Wife, Ep98
SER_DRA3144 - The All-Round Wife, Ep99
SER_DRA3145 - The All-Round Wife, Ep100
SER_DRA3146 - The All-Round Wife, Ep101
SER_DRA3147 - The All-Round Wife, Ep102
SER_DRA3148 - The All-Round Wife, Ep103
SER_DRA3149 - The All-Round Wife, Ep104
SER_DRA3150 - The All-Round Wife, Ep105
SER_DRA3151 - The All-Round Wife, Ep106
SER_DRA3152 - The All-Round Wife, Ep107
SER_DRA3153 - The All-Round Wife, Ep108
SER_DRA3154 - The All-Round Wife, Ep109
SER_DRA3155 - The All-Round Wife, Ep110
SER_DRA3156 - The All-Round Wife, Ep111
SER_DRA3157 - The All-Round Wife, Ep112
SER_DRA3158 - The All-Round Wife, Ep113
SER_DRA3159 - The All-Round Wife, Ep114
SER_DRA3160 - The All-Round Wife, Ep115
SER_DRA3161 - The All-Round Wife, Ep116
SER_DRA3162 - The All-Round Wife, Ep117
SER_DRA3163 - The All-Round Wife, Ep118
SER_DRA3164 - The All-Round Wife, Ep119
SER_DRA3165 - The All-Round Wife, Ep120
SER_DRA3166 - The All-Round Wife, Ep121
SER_DRA3167 - The All-Round Wife, Ep122</t>
        </is>
      </c>
      <c r="C105" s="289" t="inlineStr">
        <is>
          <t>The All-Round Wife</t>
        </is>
      </c>
      <c r="D105" s="289" t="inlineStr">
        <is>
          <t>Người vợ hoàn hảo</t>
        </is>
      </c>
      <c r="E105" s="108" t="inlineStr">
        <is>
          <t>HT</t>
        </is>
      </c>
      <c r="F105" s="642" t="inlineStr">
        <is>
          <t>124/2024/HDBQ/VSTV-HT</t>
        </is>
      </c>
      <c r="G105" s="108" t="inlineStr">
        <is>
          <t>Korea</t>
        </is>
      </c>
      <c r="H105" s="108" t="n">
        <v>2022</v>
      </c>
      <c r="I105" s="289" t="n">
        <v>122</v>
      </c>
      <c r="J105" s="289" t="n">
        <v>35</v>
      </c>
      <c r="K105" s="305">
        <f>(I105*J105)/60</f>
        <v/>
      </c>
      <c r="L105" s="305">
        <f>I105</f>
        <v/>
      </c>
      <c r="M105" s="289" t="inlineStr">
        <is>
          <t>Tâm lý xã hội</t>
        </is>
      </c>
      <c r="N105" s="649" t="inlineStr">
        <is>
          <t>Drama</t>
        </is>
      </c>
      <c r="O105" s="642" t="n"/>
      <c r="P105" s="590" t="inlineStr">
        <is>
          <t>VOD only</t>
        </is>
      </c>
      <c r="Q105" s="590" t="n">
        <v>45566</v>
      </c>
      <c r="R105" s="642" t="n"/>
      <c r="S105" s="642" t="n"/>
      <c r="T105" s="590" t="inlineStr">
        <is>
          <t>No</t>
        </is>
      </c>
      <c r="U105" s="590" t="inlineStr">
        <is>
          <t>Yes</t>
        </is>
      </c>
      <c r="V105" s="590" t="inlineStr">
        <is>
          <t>No</t>
        </is>
      </c>
      <c r="W105" s="111" t="inlineStr">
        <is>
          <t>Yes</t>
        </is>
      </c>
      <c r="X105" s="111" t="inlineStr">
        <is>
          <t>Yes</t>
        </is>
      </c>
      <c r="Y105" s="111" t="inlineStr">
        <is>
          <t>Yes</t>
        </is>
      </c>
      <c r="Z105" s="111" t="inlineStr">
        <is>
          <t>Yes</t>
        </is>
      </c>
      <c r="AA105" s="111" t="inlineStr">
        <is>
          <t>Yes</t>
        </is>
      </c>
      <c r="AB105" s="111" t="inlineStr">
        <is>
          <t>Yes</t>
        </is>
      </c>
      <c r="AC105" s="319" t="n">
        <v>45566</v>
      </c>
      <c r="AD105" s="319" t="n">
        <v>46295</v>
      </c>
      <c r="AE105" s="642" t="n"/>
      <c r="AF105" s="307" t="n"/>
      <c r="AG105" s="647" t="n"/>
      <c r="AH105" s="318" t="n"/>
      <c r="AI105" s="642" t="inlineStr">
        <is>
          <t>Yes</t>
        </is>
      </c>
      <c r="AJ105" s="642" t="inlineStr">
        <is>
          <t>Yes</t>
        </is>
      </c>
      <c r="AK105" s="307" t="n"/>
      <c r="AL105" s="590" t="inlineStr">
        <is>
          <t>Phim còn hạn từ 2026</t>
        </is>
      </c>
      <c r="AM105" s="203" t="n"/>
      <c r="AN105" s="203" t="n"/>
      <c r="AO105" s="128">
        <f>SUMIF('TK 15661.Bản quyền phim '!F:F,'KK2. Series'!C105,'TK 15661.Bản quyền phim '!K:K)</f>
        <v/>
      </c>
      <c r="AP105" s="128">
        <f>COUNTIF('242.BQ Phim VOD'!$C$5:$C$8,'KK2. Series'!AM105)</f>
        <v/>
      </c>
      <c r="AQ105" s="128">
        <f>COUNTIF('TK 15666. Phim SX'!$C$6:$C$13,'KK2. Series'!AM105)</f>
        <v/>
      </c>
      <c r="AR105" s="203">
        <f>COUNTIF('TK 15661.Bản quyền phim '!F:F,'KK2. Series'!AM105)</f>
        <v/>
      </c>
      <c r="AS105" s="203" t="n">
        <v>1</v>
      </c>
      <c r="AT105" s="366">
        <f>SUM(AP105:AS105)</f>
        <v/>
      </c>
      <c r="AU105" s="203" t="n"/>
      <c r="AV105" s="203" t="n"/>
      <c r="AW105" s="203" t="n"/>
      <c r="AX105" s="203" t="n"/>
      <c r="AY105" s="203" t="n"/>
      <c r="AZ105" s="387" t="inlineStr">
        <is>
          <t>✓ Found</t>
        </is>
      </c>
      <c r="BB105" s="387" t="n"/>
    </row>
    <row r="106" ht="409.6" customHeight="1" s="578">
      <c r="A106" s="96" t="n">
        <v>100</v>
      </c>
      <c r="B106" s="97" t="inlineStr">
        <is>
          <t>SER_DRA3186 - Golden garden, Ep01
SER_DRA3187 - Golden garden, Ep02
SER_DRA3188 - Golden garden, Ep03
SER_DRA3189 - Golden garden, Ep04
SER_DRA3190 - Golden garden, Ep05
SER_DRA3191 - Golden garden, Ep06
SER_DRA3192 - Golden garden, Ep07
SER_DRA3193 - Golden garden, Ep08
SER_DRA3194 - Golden garden, Ep09
SER_DRA3195 - Golden garden, Ep10
SER_DRA3196 - Golden garden, Ep11
SER_DRA3197 - Golden garden, Ep12
SER_DRA3198 - Golden garden, Ep13
SER_DRA3199 - Golden garden, Ep14
SER_DRA3200 - Golden garden, Ep15
SER_DRA3201 - Golden garden, Ep16
SER_DRA3202 - Golden garden, Ep17
SER_DRA3203 - Golden garden, Ep18
SER_DRA3204 - Golden garden, Ep19
SER_DRA3205 - Golden garden, Ep20
SER_DRA3206 - Golden garden, Ep21
SER_DRA3207 - Golden garden, Ep22
SER_DRA3208 - Golden garden, Ep23
SER_DRA3209 - Golden garden, Ep24
SER_DRA3210 - Golden garden, Ep25
SER_DRA3211 - Golden garden, Ep26
SER_DRA3212 - Golden garden, Ep27
SER_DRA3213 - Golden garden, Ep28
SER_DRA3214 - Golden garden, Ep29
SER_DRA3215 - Golden garden, Ep30</t>
        </is>
      </c>
      <c r="C106" s="108" t="inlineStr">
        <is>
          <t>Golden garden</t>
        </is>
      </c>
      <c r="D106" s="108" t="inlineStr">
        <is>
          <t>Khu vườn hoàng kim</t>
        </is>
      </c>
      <c r="E106" s="108" t="inlineStr">
        <is>
          <t>HT</t>
        </is>
      </c>
      <c r="F106" s="642" t="inlineStr">
        <is>
          <t>124/2024/HDBQ/VSTV-HT</t>
        </is>
      </c>
      <c r="G106" s="108" t="inlineStr">
        <is>
          <t>Korea</t>
        </is>
      </c>
      <c r="H106" s="108" t="n">
        <v>2019</v>
      </c>
      <c r="I106" s="108" t="n">
        <v>30</v>
      </c>
      <c r="J106" s="108" t="n">
        <v>70</v>
      </c>
      <c r="K106" s="305">
        <f>(I106*J106)/60</f>
        <v/>
      </c>
      <c r="L106" s="305">
        <f>I106</f>
        <v/>
      </c>
      <c r="M106" s="108" t="inlineStr">
        <is>
          <t>Tâm lý xã hội</t>
        </is>
      </c>
      <c r="N106" s="649" t="inlineStr">
        <is>
          <t>Drama</t>
        </is>
      </c>
      <c r="O106" s="642" t="n"/>
      <c r="P106" s="590" t="inlineStr">
        <is>
          <t>VOD only</t>
        </is>
      </c>
      <c r="Q106" s="590" t="n">
        <v>45566</v>
      </c>
      <c r="R106" s="642" t="n"/>
      <c r="S106" s="642" t="n"/>
      <c r="T106" s="590" t="inlineStr">
        <is>
          <t>No</t>
        </is>
      </c>
      <c r="U106" s="590" t="inlineStr">
        <is>
          <t>Yes</t>
        </is>
      </c>
      <c r="V106" s="590" t="inlineStr">
        <is>
          <t>No</t>
        </is>
      </c>
      <c r="W106" s="111" t="inlineStr">
        <is>
          <t>Yes</t>
        </is>
      </c>
      <c r="X106" s="111" t="inlineStr">
        <is>
          <t>Yes</t>
        </is>
      </c>
      <c r="Y106" s="111" t="inlineStr">
        <is>
          <t>Yes</t>
        </is>
      </c>
      <c r="Z106" s="111" t="inlineStr">
        <is>
          <t>Yes</t>
        </is>
      </c>
      <c r="AA106" s="111" t="inlineStr">
        <is>
          <t>Yes</t>
        </is>
      </c>
      <c r="AB106" s="111" t="inlineStr">
        <is>
          <t>Yes</t>
        </is>
      </c>
      <c r="AC106" s="319" t="n">
        <v>45566</v>
      </c>
      <c r="AD106" s="319" t="n">
        <v>46387</v>
      </c>
      <c r="AE106" s="642" t="n"/>
      <c r="AF106" s="307" t="n"/>
      <c r="AG106" s="647" t="n"/>
      <c r="AH106" s="318" t="n"/>
      <c r="AI106" s="642" t="inlineStr">
        <is>
          <t>Yes</t>
        </is>
      </c>
      <c r="AJ106" s="642" t="inlineStr">
        <is>
          <t>Yes</t>
        </is>
      </c>
      <c r="AK106" s="307" t="n"/>
      <c r="AL106" s="590" t="inlineStr">
        <is>
          <t>Phim còn hạn từ 2026</t>
        </is>
      </c>
      <c r="AM106" s="203" t="n"/>
      <c r="AN106" s="203" t="n"/>
      <c r="AO106" s="128">
        <f>SUMIF('TK 15661.Bản quyền phim '!F:F,'KK2. Series'!C106,'TK 15661.Bản quyền phim '!K:K)</f>
        <v/>
      </c>
      <c r="AP106" s="128">
        <f>COUNTIF('242.BQ Phim VOD'!$C$5:$C$8,'KK2. Series'!AM106)</f>
        <v/>
      </c>
      <c r="AQ106" s="128">
        <f>COUNTIF('TK 15666. Phim SX'!$C$6:$C$13,'KK2. Series'!AM106)</f>
        <v/>
      </c>
      <c r="AR106" s="203">
        <f>COUNTIF('TK 15661.Bản quyền phim '!F:F,'KK2. Series'!AM106)</f>
        <v/>
      </c>
      <c r="AS106" s="203" t="n">
        <v>1</v>
      </c>
      <c r="AT106" s="366">
        <f>SUM(AP106:AS106)</f>
        <v/>
      </c>
      <c r="AU106" s="203" t="n"/>
      <c r="AV106" s="203" t="n"/>
      <c r="AW106" s="203" t="n"/>
      <c r="AX106" s="203" t="n"/>
      <c r="AY106" s="203" t="n"/>
      <c r="AZ106" s="387" t="inlineStr">
        <is>
          <t>✓ Found</t>
        </is>
      </c>
      <c r="BB106" s="387" t="n"/>
    </row>
    <row r="107" ht="409.6" customHeight="1" s="578">
      <c r="A107" s="96" t="n">
        <v>101</v>
      </c>
      <c r="B107" s="97" t="inlineStr">
        <is>
          <t>Mã Băng,Tập Phim
SER_THR509,"The good thieves, EP01"
SER_THR510,"The good thieves, EP02"
SER_THR511,"The good thieves, EP03"
SER_THR512,"The good thieves, EP04"
SER_THR513,"The good thieves, EP05"
SER_THR514,"The good thieves, EP06"
SER_THR515,"The good thieves, EP07"
SER_THR516,"The good thieves, EP08"
SER_THR517,"The good thieves, EP09"
SER_THR518,"The good thieves, EP10"
SER_THR519,"The good thieves, EP11"
SER_THR520,"The good thieves, EP12"
SER_THR521,"The good thieves, EP13"
SER_THR522,"The good thieves, EP14"
SER_THR523,"The good thieves, EP15"
SER_THR524,"The good thieves, EP16"
SER_THR525,"The good thieves, EP17"
SER_THR526,"The good thieves, EP18"
SER_THR527,"The good thieves, EP19"
SER_THR528,"The good thieves, EP20"
SER_THR529,"The good thieves, EP21"
SER_THR530,"The good thieves, EP22"
SER_THR531,"The good thieves, EP23"
SER_THR532,"The good thieves, EP24"
SER_THR533,"The good thieves, EP25"
SER_THR534,"The good thieves, EP26"
SER_THR535,"The good thieves, EP27"
SER_THR536,"The good thieves, EP28"
SER_THR537,"The good thieves, EP29"
SER_THR538,"The good thieves, EP30"
SER_THR539,"The good thieves, EP31"
SER_THR540,"The good thieves, EP32"
SER_THR541,"The good thieves, EP33"
SER_THR542,"The good thieves, EP34"
SER_THR543,"The good thieves, EP35"
SER_THR544,"The good thieves, EP36"
SER_THR545,"The good thieves, EP37"
SER_THR546,"The good thieves, EP38"
SER_THR547,"The good thieves, EP39"
SER_THR548,"The good thieves, EP40"
SER_THR549,"The good thieves, EP41"
SER_THR550,"The good thieves, EP42"
SER_THR551,"The good thieves, EP43"
SER_THR552,"The good thieves, EP44"
SER_THR553,"The good thieves, EP45"
SER_THR554,"The good thieves, EP46"
SER_THR555,"The good thieves, EP47"
SER_THR556,"The good thieves, EP48"
SER_THR557,"The good thieves, EP49"
SER_THR558,"The good thieves, EP50"</t>
        </is>
      </c>
      <c r="C107" s="108" t="inlineStr">
        <is>
          <t>The good thieves</t>
        </is>
      </c>
      <c r="D107" s="108" t="inlineStr">
        <is>
          <t>Trộm tốt trộm xấu</t>
        </is>
      </c>
      <c r="E107" s="108" t="inlineStr">
        <is>
          <t>HT</t>
        </is>
      </c>
      <c r="F107" s="642" t="inlineStr">
        <is>
          <t>124/2024/HDBQ/VSTV-HT</t>
        </is>
      </c>
      <c r="G107" s="108" t="inlineStr">
        <is>
          <t>Korea</t>
        </is>
      </c>
      <c r="H107" s="108" t="n">
        <v>2017</v>
      </c>
      <c r="I107" s="108" t="n">
        <v>50</v>
      </c>
      <c r="J107" s="108" t="n">
        <v>70</v>
      </c>
      <c r="K107" s="305">
        <f>(I107*J107)/60</f>
        <v/>
      </c>
      <c r="L107" s="305">
        <f>I107</f>
        <v/>
      </c>
      <c r="M107" s="108" t="inlineStr">
        <is>
          <t>Tâm lỹ xã hội</t>
        </is>
      </c>
      <c r="N107" s="649" t="inlineStr">
        <is>
          <t>Drama</t>
        </is>
      </c>
      <c r="O107" s="642" t="n"/>
      <c r="P107" s="590" t="inlineStr">
        <is>
          <t>VOD only</t>
        </is>
      </c>
      <c r="Q107" s="590" t="n">
        <v>45566</v>
      </c>
      <c r="R107" s="642" t="n"/>
      <c r="S107" s="642" t="n"/>
      <c r="T107" s="590" t="inlineStr">
        <is>
          <t>No</t>
        </is>
      </c>
      <c r="U107" s="590" t="inlineStr">
        <is>
          <t>Yes</t>
        </is>
      </c>
      <c r="V107" s="590" t="inlineStr">
        <is>
          <t>No</t>
        </is>
      </c>
      <c r="W107" s="111" t="inlineStr">
        <is>
          <t>Yes</t>
        </is>
      </c>
      <c r="X107" s="111" t="inlineStr">
        <is>
          <t>Yes</t>
        </is>
      </c>
      <c r="Y107" s="111" t="inlineStr">
        <is>
          <t>Yes</t>
        </is>
      </c>
      <c r="Z107" s="111" t="inlineStr">
        <is>
          <t>Yes</t>
        </is>
      </c>
      <c r="AA107" s="111" t="inlineStr">
        <is>
          <t>Yes</t>
        </is>
      </c>
      <c r="AB107" s="111" t="inlineStr">
        <is>
          <t>Yes</t>
        </is>
      </c>
      <c r="AC107" s="319" t="n">
        <v>45566</v>
      </c>
      <c r="AD107" s="319" t="n">
        <v>46387</v>
      </c>
      <c r="AE107" s="642" t="n"/>
      <c r="AF107" s="307" t="n"/>
      <c r="AG107" s="647" t="n"/>
      <c r="AH107" s="318" t="n"/>
      <c r="AI107" s="642" t="inlineStr">
        <is>
          <t>Yes</t>
        </is>
      </c>
      <c r="AJ107" s="642" t="inlineStr">
        <is>
          <t>Yes</t>
        </is>
      </c>
      <c r="AK107" s="307" t="n"/>
      <c r="AL107" s="590" t="inlineStr">
        <is>
          <t>Phim còn hạn từ 2026</t>
        </is>
      </c>
      <c r="AM107" s="203" t="n"/>
      <c r="AN107" s="203" t="n"/>
      <c r="AO107" s="128">
        <f>SUMIF('TK 15661.Bản quyền phim '!F:F,'KK2. Series'!C107,'TK 15661.Bản quyền phim '!K:K)</f>
        <v/>
      </c>
      <c r="AP107" s="128">
        <f>COUNTIF('242.BQ Phim VOD'!$C$5:$C$8,'KK2. Series'!AM107)</f>
        <v/>
      </c>
      <c r="AQ107" s="128">
        <f>COUNTIF('TK 15666. Phim SX'!$C$6:$C$13,'KK2. Series'!AM107)</f>
        <v/>
      </c>
      <c r="AR107" s="203">
        <f>COUNTIF('TK 15661.Bản quyền phim '!F:F,'KK2. Series'!AM107)</f>
        <v/>
      </c>
      <c r="AS107" s="203" t="n">
        <v>1</v>
      </c>
      <c r="AT107" s="366">
        <f>SUM(AP107:AS107)</f>
        <v/>
      </c>
      <c r="AU107" s="203" t="n"/>
      <c r="AV107" s="203" t="n"/>
      <c r="AW107" s="203" t="n"/>
      <c r="AX107" s="203" t="n"/>
      <c r="AY107" s="203" t="n"/>
      <c r="AZ107" s="387" t="inlineStr">
        <is>
          <t>✓ Found</t>
        </is>
      </c>
      <c r="BB107" s="387" t="n"/>
    </row>
    <row r="108" ht="211.2" customHeight="1" s="578">
      <c r="A108" s="96" t="n">
        <v>102</v>
      </c>
      <c r="B108" s="97" t="inlineStr">
        <is>
          <t>EP01 – SER_DRA3168
EP02 – SER_DRA3169
EP03 – SER_DRA3170
EP04 – SER_DRA3171
EP05 – SER_DRA3172
EP06 – SER_DRA3173
EP07 – SER_DRA3174
EP08 – SER_DRA3175
EP09 – SER_DRA3176
EP10 – SER_DRA3177
EP11 – SER_DRA3178
EP12 – SER_DRA3179
EP13 – SER_DRA3180
EP14 – SER_DRA3181
EP15 – SER_DRA3182
EP16 – SER_DRA3183</t>
        </is>
      </c>
      <c r="C108" s="108" t="inlineStr">
        <is>
          <t>Hold me tight</t>
        </is>
      </c>
      <c r="D108" s="289" t="inlineStr">
        <is>
          <t>Ôm em thật chặt</t>
        </is>
      </c>
      <c r="E108" s="108" t="inlineStr">
        <is>
          <t>HT</t>
        </is>
      </c>
      <c r="F108" s="642" t="inlineStr">
        <is>
          <t>124/2024/HDBQ/VSTV-HT</t>
        </is>
      </c>
      <c r="G108" s="108" t="inlineStr">
        <is>
          <t>Korea</t>
        </is>
      </c>
      <c r="H108" s="108" t="n">
        <v>2018</v>
      </c>
      <c r="I108" s="289" t="n">
        <v>16</v>
      </c>
      <c r="J108" s="289" t="n">
        <v>70</v>
      </c>
      <c r="K108" s="305">
        <f>(I108*J108)/60</f>
        <v/>
      </c>
      <c r="L108" s="305">
        <f>I108</f>
        <v/>
      </c>
      <c r="M108" s="289" t="inlineStr">
        <is>
          <t>Tâm lý xã hội</t>
        </is>
      </c>
      <c r="N108" s="649" t="inlineStr">
        <is>
          <t>Romance</t>
        </is>
      </c>
      <c r="O108" s="642" t="n"/>
      <c r="P108" s="590" t="inlineStr">
        <is>
          <t>VOD only</t>
        </is>
      </c>
      <c r="Q108" s="590" t="n">
        <v>45566</v>
      </c>
      <c r="R108" s="642" t="n"/>
      <c r="S108" s="642" t="n"/>
      <c r="T108" s="590" t="inlineStr">
        <is>
          <t>No</t>
        </is>
      </c>
      <c r="U108" s="590" t="inlineStr">
        <is>
          <t>Yes</t>
        </is>
      </c>
      <c r="V108" s="590" t="inlineStr">
        <is>
          <t>No</t>
        </is>
      </c>
      <c r="W108" s="111" t="inlineStr">
        <is>
          <t>Yes</t>
        </is>
      </c>
      <c r="X108" s="111" t="inlineStr">
        <is>
          <t>Yes</t>
        </is>
      </c>
      <c r="Y108" s="111" t="inlineStr">
        <is>
          <t>Yes</t>
        </is>
      </c>
      <c r="Z108" s="111" t="inlineStr">
        <is>
          <t>Yes</t>
        </is>
      </c>
      <c r="AA108" s="111" t="inlineStr">
        <is>
          <t>Yes</t>
        </is>
      </c>
      <c r="AB108" s="111" t="inlineStr">
        <is>
          <t>Yes</t>
        </is>
      </c>
      <c r="AC108" s="319" t="n">
        <v>45566</v>
      </c>
      <c r="AD108" s="319" t="n">
        <v>46387</v>
      </c>
      <c r="AE108" s="642" t="n"/>
      <c r="AF108" s="307" t="n"/>
      <c r="AG108" s="647" t="n"/>
      <c r="AH108" s="318" t="n"/>
      <c r="AI108" s="642" t="inlineStr">
        <is>
          <t>Yes</t>
        </is>
      </c>
      <c r="AJ108" s="642" t="inlineStr">
        <is>
          <t>Yes</t>
        </is>
      </c>
      <c r="AK108" s="307" t="n"/>
      <c r="AL108" s="590" t="inlineStr">
        <is>
          <t>Phim còn hạn từ 2026</t>
        </is>
      </c>
      <c r="AM108" s="203" t="n"/>
      <c r="AN108" s="203" t="n"/>
      <c r="AO108" s="128">
        <f>SUMIF('TK 15661.Bản quyền phim '!F:F,'KK2. Series'!C108,'TK 15661.Bản quyền phim '!K:K)</f>
        <v/>
      </c>
      <c r="AP108" s="128">
        <f>COUNTIF('242.BQ Phim VOD'!$C$5:$C$8,'KK2. Series'!AM108)</f>
        <v/>
      </c>
      <c r="AQ108" s="128">
        <f>COUNTIF('TK 15666. Phim SX'!$C$6:$C$13,'KK2. Series'!AM108)</f>
        <v/>
      </c>
      <c r="AR108" s="203">
        <f>COUNTIF('TK 15661.Bản quyền phim '!F:F,'KK2. Series'!AM108)</f>
        <v/>
      </c>
      <c r="AS108" s="203" t="n">
        <v>1</v>
      </c>
      <c r="AT108" s="366">
        <f>SUM(AP108:AS108)</f>
        <v/>
      </c>
      <c r="AU108" s="203" t="n"/>
      <c r="AV108" s="203" t="n"/>
      <c r="AW108" s="203" t="n"/>
      <c r="AX108" s="203" t="n"/>
      <c r="AY108" s="203" t="n"/>
      <c r="AZ108" s="387" t="inlineStr">
        <is>
          <t>✓ Found</t>
        </is>
      </c>
      <c r="BB108" s="387" t="n"/>
    </row>
    <row r="109" ht="409.6" customHeight="1" s="578">
      <c r="A109" s="96" t="n">
        <v>103</v>
      </c>
      <c r="B109" s="97" t="inlineStr">
        <is>
          <t>EP01 – SER_HIS_21_2646774
EP02 – SER_HIS_21_1616123846345_2646775
EP03 – SER_HIS_21_1616123846346_2646776
EP04 – SER_HIS_21_1616123846347_2646777
EP05 – SER_HIS_21_1616123846348_2646778
EP06 – SER_HIS_21_1616122554714_2646714
EP07 – SER_HIS_21_1616122554715_2646715
EP08 – SER_HIS_21_1616122554716_2646716
EP09 – SER_HIS_21_1616122554717_2646717
EP10 – SER_HIS_21_1616122554718_2646718
EP11 – SER_HIS_21_1616122554719_2646719
EP12 – SER_HIS_21_1616122554720_2646720
EP13 – SER_HIS_21_1616122554721_2646721
EP14 – SER_HIS_21_1616122554722_2646722
EP15 – SER_HIS_21_1616122554723_2646723
EP16 – SER_HIS_21_1616122554724_2646724
EP17 – SER_HIS_21_1616122554725_2646725
EP18 – SER_HIS_21_1616122554726_2646726
EP19 – SER_HIS_21_1616122554727_2646727
EP20 – SER_HIS_21_1616122554728_2646728
EP21 – SER_HIS_21_1616122554729_2646729
EP22 – SER_HIS_21_1616122554730_2646730
EP23 – SER_HIS_21_1616122554731_2646731
EP24 – SER_HIS_21_1616122554732_2646732
EP25 – SER_HIS_21_1616122554733_2646733
EP26 – SER_HIS_21_1616122554734_2646734
EP27 – SER_HIS_21_1616122554735_2646735
EP28 – SER_HIS_21_1616122554736_2646736
EP29 – SER_HIS_21_1616122554737_2646737
EP30 – SER_HIS_21_1616122554738_2646738
EP31 – SER_HIS_21_1616122554739_2646739
EP32 – SER_HIS_21_1616122554740_2646740
EP33 – SER_HIS_21_1616122554741_2646741
EP34 – SER_HIS_21_1616122554742_2646742
EP35 – SER_HIS_21_1616122554743_2646743
EP36 – SER_HIS_21_1616122554744_2646744
EP37 – SER_HIS_21_2646745
EP38 – SER_HIS_21_1616122554746_2646746
EP39 – SER_HIS_21_1616122554747_2646747
EP40 – SER_HIS_21_1616122554748_2646748
EP41 – SER_HIS_21_1616122554749_2646749
EP42 – SER_HIS_21_1616122554750_2646750
EP43 – SER_HIS_21_1616122554751_2646751
EP44 – SER_HIS_21_1616122554752_2646752
EP45 – SER_HIS_21_1616122554753_2646753
EP46 – SER_HIS_21_1616122554754_2646754
EP47 – SER_HIS_21_1616122554755_2646755
EP48 – SER_HIS_21_1616122554756_2646756
EP49 – SER_HIS_21_1616122554757_2646757
EP50 – SER_HIS_21_1616122554758_2646758
EP51 – SER_HIS_21_1616122554759_2646759
EP52 – SER_HIS_21_1616122554760_2646760
EP53 – SER_HIS_21_1616122554761_2646761
EP54 – SER_HIS_21_1616122554762_2646762
EP55 – SER_HIS_21_1616122554763_2646763
EP56 – SER_HIS_21_1616122554764_2646764
EP57 – SER_HIS_21_1616122554765_2646765
EP58 – SER_HIS_21_1616122554766_2646766
EP59 – SER_HIS_21_1616122554767_2646767
EP60 – SER_HIS_21_1619059955301_2648709
EP61 – SER_HIS_21_1616122554769_2646769</t>
        </is>
      </c>
      <c r="C109" s="108" t="inlineStr">
        <is>
          <t>Place of Devotion</t>
        </is>
      </c>
      <c r="D109" s="108" t="inlineStr">
        <is>
          <t>Đại tống cung từ</t>
        </is>
      </c>
      <c r="E109" s="108" t="inlineStr">
        <is>
          <t>HT</t>
        </is>
      </c>
      <c r="F109" s="642" t="inlineStr">
        <is>
          <t>124/2024/HDBQ/VSTV-HT</t>
        </is>
      </c>
      <c r="G109" s="590" t="inlineStr">
        <is>
          <t>China</t>
        </is>
      </c>
      <c r="H109" s="108" t="n">
        <v>2021</v>
      </c>
      <c r="I109" s="108" t="n">
        <v>61</v>
      </c>
      <c r="J109" s="108" t="n">
        <v>45</v>
      </c>
      <c r="K109" s="305">
        <f>(I109*J109)/60</f>
        <v/>
      </c>
      <c r="L109" s="305">
        <f>I109</f>
        <v/>
      </c>
      <c r="M109" s="108" t="inlineStr">
        <is>
          <t>Cổ trang</t>
        </is>
      </c>
      <c r="N109" s="649" t="inlineStr">
        <is>
          <t xml:space="preserve">Others </t>
        </is>
      </c>
      <c r="O109" s="642" t="n"/>
      <c r="P109" s="590" t="inlineStr">
        <is>
          <t>VOD only</t>
        </is>
      </c>
      <c r="Q109" s="590" t="n">
        <v>44307</v>
      </c>
      <c r="R109" s="642" t="n"/>
      <c r="S109" s="642" t="n"/>
      <c r="T109" s="590" t="inlineStr">
        <is>
          <t>No</t>
        </is>
      </c>
      <c r="U109" s="590" t="inlineStr">
        <is>
          <t>Yes</t>
        </is>
      </c>
      <c r="V109" s="590" t="inlineStr">
        <is>
          <t>No</t>
        </is>
      </c>
      <c r="W109" s="111" t="inlineStr">
        <is>
          <t>Yes</t>
        </is>
      </c>
      <c r="X109" s="111" t="inlineStr">
        <is>
          <t>Yes</t>
        </is>
      </c>
      <c r="Y109" s="111" t="inlineStr">
        <is>
          <t>Yes</t>
        </is>
      </c>
      <c r="Z109" s="111" t="inlineStr">
        <is>
          <t>Yes</t>
        </is>
      </c>
      <c r="AA109" s="111" t="inlineStr">
        <is>
          <t>Yes</t>
        </is>
      </c>
      <c r="AB109" s="111" t="inlineStr">
        <is>
          <t>Yes</t>
        </is>
      </c>
      <c r="AC109" s="319" t="n">
        <v>45566</v>
      </c>
      <c r="AD109" s="319" t="n">
        <v>46100</v>
      </c>
      <c r="AE109" s="642" t="n"/>
      <c r="AF109" s="307" t="n"/>
      <c r="AG109" s="647" t="n"/>
      <c r="AH109" s="318" t="n"/>
      <c r="AI109" s="642" t="inlineStr">
        <is>
          <t>Yes</t>
        </is>
      </c>
      <c r="AJ109" s="642" t="inlineStr">
        <is>
          <t>Yes</t>
        </is>
      </c>
      <c r="AK109" s="307" t="n"/>
      <c r="AL109" s="590" t="inlineStr">
        <is>
          <t>Phim còn hạn từ 2026</t>
        </is>
      </c>
      <c r="AM109" s="203" t="n"/>
      <c r="AN109" s="203" t="n"/>
      <c r="AO109" s="128">
        <f>SUMIF('TK 15661.Bản quyền phim '!F:F,'KK2. Series'!C109,'TK 15661.Bản quyền phim '!K:K)</f>
        <v/>
      </c>
      <c r="AP109" s="128">
        <f>COUNTIF('242.BQ Phim VOD'!$C$5:$C$8,'KK2. Series'!AM109)</f>
        <v/>
      </c>
      <c r="AQ109" s="128">
        <f>COUNTIF('TK 15666. Phim SX'!$C$6:$C$13,'KK2. Series'!AM109)</f>
        <v/>
      </c>
      <c r="AR109" s="203">
        <f>COUNTIF('TK 15661.Bản quyền phim '!F:F,'KK2. Series'!AM109)</f>
        <v/>
      </c>
      <c r="AS109" s="203" t="n">
        <v>1</v>
      </c>
      <c r="AT109" s="366">
        <f>SUM(AP109:AS109)</f>
        <v/>
      </c>
      <c r="AU109" s="203" t="n"/>
      <c r="AV109" s="203" t="n"/>
      <c r="AW109" s="203" t="n"/>
      <c r="AX109" s="203" t="n"/>
      <c r="AY109" s="203" t="n"/>
      <c r="AZ109" s="387" t="inlineStr">
        <is>
          <t>✓ Found</t>
        </is>
      </c>
      <c r="BB109" s="387" t="n"/>
    </row>
    <row r="110" ht="105.6" customHeight="1" s="578">
      <c r="A110" s="96" t="n">
        <v>104</v>
      </c>
      <c r="B110" s="97" t="inlineStr">
        <is>
          <t>EP01 – SER_THR428
EP02 – SER_THR429
EP03 – SER_THR430
EP04 – SER_THR431
EP05 – SER_THR432
EP06 – SER_THR433
EP07 – SER_THR434
EP08 – SER_THR435</t>
        </is>
      </c>
      <c r="C110" s="108" t="inlineStr">
        <is>
          <t xml:space="preserve">The Secret </t>
        </is>
      </c>
      <c r="D110" s="108" t="inlineStr">
        <is>
          <t xml:space="preserve"> Bí mật giảng đường</t>
        </is>
      </c>
      <c r="E110" s="108" t="inlineStr">
        <is>
          <t>Viu</t>
        </is>
      </c>
      <c r="F110" s="590" t="inlineStr">
        <is>
          <t xml:space="preserve">PCCW VUCLIP/2024/HDBQ Output deal </t>
        </is>
      </c>
      <c r="G110" s="590" t="inlineStr">
        <is>
          <t>Malaysia</t>
        </is>
      </c>
      <c r="H110" s="108" t="n">
        <v>2019</v>
      </c>
      <c r="I110" s="108" t="n">
        <v>8</v>
      </c>
      <c r="J110" s="108" t="n">
        <v>60</v>
      </c>
      <c r="K110" s="305">
        <f>(I110*J110)/60</f>
        <v/>
      </c>
      <c r="L110" s="305">
        <f>I110</f>
        <v/>
      </c>
      <c r="M110" s="108" t="inlineStr">
        <is>
          <t>Drama</t>
        </is>
      </c>
      <c r="N110" s="649" t="inlineStr">
        <is>
          <t>Drama</t>
        </is>
      </c>
      <c r="O110" s="642" t="n"/>
      <c r="P110" s="590" t="inlineStr">
        <is>
          <t>VOD only</t>
        </is>
      </c>
      <c r="Q110" s="590" t="n">
        <v>45547</v>
      </c>
      <c r="R110" s="642" t="n"/>
      <c r="S110" s="642" t="n"/>
      <c r="T110" s="590" t="inlineStr">
        <is>
          <t>No</t>
        </is>
      </c>
      <c r="U110" s="590" t="inlineStr">
        <is>
          <t>Yes</t>
        </is>
      </c>
      <c r="V110" s="590" t="inlineStr">
        <is>
          <t>No</t>
        </is>
      </c>
      <c r="W110" s="111" t="inlineStr">
        <is>
          <t>Yes</t>
        </is>
      </c>
      <c r="X110" s="111" t="inlineStr">
        <is>
          <t>Yes</t>
        </is>
      </c>
      <c r="Y110" s="111" t="inlineStr">
        <is>
          <t>Yes</t>
        </is>
      </c>
      <c r="Z110" s="111" t="inlineStr">
        <is>
          <t>Yes</t>
        </is>
      </c>
      <c r="AA110" s="111" t="inlineStr">
        <is>
          <t>Yes</t>
        </is>
      </c>
      <c r="AB110" s="111" t="inlineStr">
        <is>
          <t>Yes</t>
        </is>
      </c>
      <c r="AC110" s="319" t="n">
        <v>45526</v>
      </c>
      <c r="AD110" s="208" t="inlineStr">
        <is>
          <t xml:space="preserve"> 21-Aug-2028</t>
        </is>
      </c>
      <c r="AE110" s="642" t="n"/>
      <c r="AF110" s="307" t="n"/>
      <c r="AG110" s="647" t="n"/>
      <c r="AH110" s="318" t="n"/>
      <c r="AI110" s="642" t="inlineStr">
        <is>
          <t>Yes</t>
        </is>
      </c>
      <c r="AJ110" s="642" t="inlineStr">
        <is>
          <t>Yes</t>
        </is>
      </c>
      <c r="AK110" s="307" t="inlineStr">
        <is>
          <t>Phim Song song</t>
        </is>
      </c>
      <c r="AL110" s="590" t="inlineStr">
        <is>
          <t>Phim còn hạn từ 2026</t>
        </is>
      </c>
      <c r="AM110" s="367" t="inlineStr">
        <is>
          <t>Tồn kho bản quyền: Gói series VOD từ PCCW (Viu)</t>
        </is>
      </c>
      <c r="AN110" s="203" t="n"/>
      <c r="AO110" s="128">
        <f>SUMIF('TK 15661.Bản quyền phim '!F:F,'KK2. Series'!C110,'TK 15661.Bản quyền phim '!K:K)</f>
        <v/>
      </c>
      <c r="AP110" s="128">
        <f>COUNTIF('242.BQ Phim VOD'!$C$5:$C$8,'KK2. Series'!AM110)</f>
        <v/>
      </c>
      <c r="AQ110" s="128">
        <f>COUNTIF('TK 15666. Phim SX'!$C$6:$C$13,'KK2. Series'!AM110)</f>
        <v/>
      </c>
      <c r="AR110" s="203">
        <f>COUNTIF('TK 15661.Bản quyền phim '!F:F,'KK2. Series'!AM110)</f>
        <v/>
      </c>
      <c r="AS110" s="203" t="n"/>
      <c r="AT110" s="366">
        <f>SUM(AP110:AS110)</f>
        <v/>
      </c>
      <c r="AU110" s="203" t="n"/>
      <c r="AV110" s="203" t="n"/>
      <c r="AW110" s="203" t="n"/>
      <c r="AX110" s="203" t="n"/>
      <c r="AY110" s="203" t="n"/>
      <c r="AZ110" s="387" t="inlineStr">
        <is>
          <t>✓ Found</t>
        </is>
      </c>
      <c r="BB110" s="387" t="n"/>
    </row>
    <row r="111" ht="303.6" customHeight="1" s="578">
      <c r="A111" s="96" t="n">
        <v>105</v>
      </c>
      <c r="B111" s="97" t="inlineStr">
        <is>
          <t>what comes after love – bản Sub – EP01→EP06
EP01 – SER_ROM2703
EP02 – SER_ROM2704
EP03 – SER_ROM2705
EP04 – SER_ROM2706
EP05 – SER_ROM2707
EP06 – SER_ROM2708
what comes after love – bản Voice – EP01→EP09
EP01 – SER_ROM2908
EP02 – SER_ROM2909
EP03 – SER_ROM2910
EP04 – SER_ROM2911
EP05 – SER_ROM2912
EP06 – SER_ROM2913
EP07 – SER_ROM2914
EP08 – SER_ROM2915
EP09 – SER_ROM2916</t>
        </is>
      </c>
      <c r="C111" s="108" t="inlineStr">
        <is>
          <t>What Comes After Love</t>
        </is>
      </c>
      <c r="D111" s="108" t="inlineStr">
        <is>
          <t xml:space="preserve"> Câu chuyện sau chia tay</t>
        </is>
      </c>
      <c r="E111" s="108" t="inlineStr">
        <is>
          <t>Viu</t>
        </is>
      </c>
      <c r="F111" s="590" t="inlineStr">
        <is>
          <t xml:space="preserve">PCCW VUCLIP/2024/HDBQ Output deal </t>
        </is>
      </c>
      <c r="G111" s="108" t="inlineStr">
        <is>
          <t>Korea</t>
        </is>
      </c>
      <c r="H111" s="108" t="n">
        <v>2024</v>
      </c>
      <c r="I111" s="108" t="n">
        <v>6</v>
      </c>
      <c r="J111" s="108" t="n">
        <v>70</v>
      </c>
      <c r="K111" s="305">
        <f>(I111*J111)/60</f>
        <v/>
      </c>
      <c r="L111" s="305" t="n">
        <v>9</v>
      </c>
      <c r="M111" s="108" t="inlineStr">
        <is>
          <t>Drama, romance</t>
        </is>
      </c>
      <c r="N111" s="649" t="inlineStr">
        <is>
          <t>Romance</t>
        </is>
      </c>
      <c r="O111" s="320" t="n">
        <v>45562</v>
      </c>
      <c r="P111" s="320" t="n">
        <v>47022</v>
      </c>
      <c r="Q111" s="646" t="n">
        <v>45562</v>
      </c>
      <c r="R111" s="646" t="inlineStr">
        <is>
          <t>K+CINE</t>
        </is>
      </c>
      <c r="S111" s="117" t="n">
        <v>48</v>
      </c>
      <c r="T111" s="646" t="inlineStr">
        <is>
          <t>Yes</t>
        </is>
      </c>
      <c r="U111" s="590" t="inlineStr">
        <is>
          <t>Yes</t>
        </is>
      </c>
      <c r="V111" s="117" t="inlineStr">
        <is>
          <t>Yes</t>
        </is>
      </c>
      <c r="W111" s="117" t="inlineStr">
        <is>
          <t>Yes</t>
        </is>
      </c>
      <c r="X111" s="117" t="inlineStr">
        <is>
          <t>Yes</t>
        </is>
      </c>
      <c r="Y111" s="117" t="inlineStr">
        <is>
          <t>Yes</t>
        </is>
      </c>
      <c r="Z111" s="117" t="inlineStr">
        <is>
          <t>Yes</t>
        </is>
      </c>
      <c r="AA111" s="117" t="inlineStr">
        <is>
          <t>Yes</t>
        </is>
      </c>
      <c r="AB111" s="117" t="inlineStr">
        <is>
          <t>Yes</t>
        </is>
      </c>
      <c r="AC111" s="320" t="n">
        <v>45562</v>
      </c>
      <c r="AD111" s="320" t="n">
        <v>47022</v>
      </c>
      <c r="AE111" s="117" t="inlineStr">
        <is>
          <t>Unlimited</t>
        </is>
      </c>
      <c r="AF111" s="321" t="n"/>
      <c r="AG111" s="648" t="n"/>
      <c r="AH111" s="322" t="n"/>
      <c r="AI111" s="642" t="inlineStr">
        <is>
          <t>Yes</t>
        </is>
      </c>
      <c r="AJ111" s="642" t="inlineStr">
        <is>
          <t>Yes</t>
        </is>
      </c>
      <c r="AK111" s="307" t="inlineStr">
        <is>
          <t>Phim Song song</t>
        </is>
      </c>
      <c r="AL111" s="590" t="inlineStr">
        <is>
          <t>Phim còn hạn từ 2026</t>
        </is>
      </c>
      <c r="AM111" s="643" t="inlineStr">
        <is>
          <t>What Comes After Love</t>
        </is>
      </c>
      <c r="AN111" s="203" t="n"/>
      <c r="AO111" s="128">
        <f>SUMIF('TK 15661.Bản quyền phim '!F:F,'KK2. Series'!C111,'TK 15661.Bản quyền phim '!K:K)</f>
        <v/>
      </c>
      <c r="AP111" s="128">
        <f>COUNTIF('242.BQ Phim VOD'!$C$5:$C$8,'KK2. Series'!AM111)</f>
        <v/>
      </c>
      <c r="AQ111" s="128">
        <f>COUNTIF('TK 15666. Phim SX'!$C$6:$C$13,'KK2. Series'!AM111)</f>
        <v/>
      </c>
      <c r="AR111" s="203">
        <f>COUNTIF('TK 15661.Bản quyền phim '!F:F,'KK2. Series'!AM111)</f>
        <v/>
      </c>
      <c r="AS111" s="203" t="n"/>
      <c r="AT111" s="366">
        <f>SUM(AP111:AS111)</f>
        <v/>
      </c>
      <c r="AU111" s="203" t="n"/>
      <c r="AV111" s="203" t="n"/>
      <c r="AW111" s="203" t="n"/>
      <c r="AX111" s="203" t="n"/>
      <c r="AY111" s="203" t="n"/>
      <c r="AZ111" s="387" t="inlineStr">
        <is>
          <t>✓ Found</t>
        </is>
      </c>
      <c r="BB111" s="387" t="n"/>
    </row>
    <row r="112" ht="409.6" customHeight="1" s="578">
      <c r="A112" s="96" t="n">
        <v>106</v>
      </c>
      <c r="B112" s="97" t="inlineStr">
        <is>
          <t>family by choice – bản Sub – EP01→EP16
EP01 – SER_COM677
EP02 – SER_COM678
EP03 – SER_COM679
EP04 – SER_COM680
EP05 – SER_COM681
EP06 – SER_COM682
EP07 – SER_COM683
EP08 – SER_COM684
EP09 – SER_COM685
EP10 – SER_COM686
EP11 – SER_COM687
EP12 – SER_COM688
EP13 – SER_COM689
EP14 – SER_COM690
EP15 – SER_COM691
EP16 – SER_COM692
family by choice – bản Voice – EP01→EP24
EP01 – SER_COM701
EP02 – SER_COM702
EP03 – SER_COM703
EP04 – SER_COM704
EP05 – SER_COM705
EP06 – SER_COM706
EP07 – SER_COM707
EP08 – SER_COM708
EP09 – SER_COM709
EP10 – SER_COM710
EP11 – SER_COM711
EP12 – SER_COM712
EP13 – SER_COM713
EP14 – SER_COM714
EP15 – SER_COM715
EP16 – SER_COM716
EP17 – SER_COM717
EP18 – SER_COM718
EP19 – SER_COM719
EP20 – SER_COM720
EP21 – SER_COM721
EP22 – SER_COM722
EP23 – SER_COM723
EP24 – SER_COM724</t>
        </is>
      </c>
      <c r="C112" s="108" t="inlineStr">
        <is>
          <t>Family by Choice</t>
        </is>
      </c>
      <c r="D112" s="108" t="inlineStr">
        <is>
          <t xml:space="preserve"> Chọn làm người một nhà</t>
        </is>
      </c>
      <c r="E112" s="108" t="inlineStr">
        <is>
          <t>Viu</t>
        </is>
      </c>
      <c r="F112" s="590" t="inlineStr">
        <is>
          <t xml:space="preserve">PCCW VUCLIP/2024/HDBQ Output deal </t>
        </is>
      </c>
      <c r="G112" s="108" t="inlineStr">
        <is>
          <t>Korea</t>
        </is>
      </c>
      <c r="H112" s="108" t="n">
        <v>2024</v>
      </c>
      <c r="I112" s="108" t="n">
        <v>16</v>
      </c>
      <c r="J112" s="108" t="n">
        <v>70</v>
      </c>
      <c r="K112" s="305">
        <f>(I112*J112)/60</f>
        <v/>
      </c>
      <c r="L112" s="305" t="n">
        <v>24</v>
      </c>
      <c r="M112" s="108" t="inlineStr">
        <is>
          <t>Drama, romance, family</t>
        </is>
      </c>
      <c r="N112" s="651" t="inlineStr">
        <is>
          <t>Drama</t>
        </is>
      </c>
      <c r="O112" s="319" t="n">
        <v>45574</v>
      </c>
      <c r="P112" s="319" t="n">
        <v>47034</v>
      </c>
      <c r="Q112" s="642" t="n">
        <v>45574</v>
      </c>
      <c r="R112" s="642" t="inlineStr">
        <is>
          <t>K+CINE</t>
        </is>
      </c>
      <c r="S112" s="111" t="n">
        <v>48</v>
      </c>
      <c r="T112" s="642" t="inlineStr">
        <is>
          <t>Yes</t>
        </is>
      </c>
      <c r="U112" s="590" t="inlineStr">
        <is>
          <t>Yes</t>
        </is>
      </c>
      <c r="V112" s="111" t="inlineStr">
        <is>
          <t>Yes</t>
        </is>
      </c>
      <c r="W112" s="111" t="inlineStr">
        <is>
          <t>Yes</t>
        </is>
      </c>
      <c r="X112" s="111" t="inlineStr">
        <is>
          <t>Yes</t>
        </is>
      </c>
      <c r="Y112" s="111" t="inlineStr">
        <is>
          <t>Yes</t>
        </is>
      </c>
      <c r="Z112" s="111" t="inlineStr">
        <is>
          <t>Yes</t>
        </is>
      </c>
      <c r="AA112" s="111" t="inlineStr">
        <is>
          <t>Yes</t>
        </is>
      </c>
      <c r="AB112" s="111" t="inlineStr">
        <is>
          <t>Yes</t>
        </is>
      </c>
      <c r="AC112" s="319" t="n">
        <v>45574</v>
      </c>
      <c r="AD112" s="319" t="n">
        <v>47034</v>
      </c>
      <c r="AE112" s="111" t="inlineStr">
        <is>
          <t>Unlimited</t>
        </is>
      </c>
      <c r="AF112" s="307" t="n">
        <v>3</v>
      </c>
      <c r="AG112" s="647" t="n">
        <v>45575</v>
      </c>
      <c r="AH112" s="318" t="n"/>
      <c r="AI112" s="642" t="inlineStr">
        <is>
          <t>Yes</t>
        </is>
      </c>
      <c r="AJ112" s="642" t="inlineStr">
        <is>
          <t>Yes</t>
        </is>
      </c>
      <c r="AK112" s="307" t="inlineStr">
        <is>
          <t>Phim Song song</t>
        </is>
      </c>
      <c r="AL112" s="590" t="inlineStr">
        <is>
          <t>Phim còn hạn từ 2026</t>
        </is>
      </c>
      <c r="AM112" s="643" t="inlineStr">
        <is>
          <t>Family by Choice</t>
        </is>
      </c>
      <c r="AN112" s="203" t="n"/>
      <c r="AO112" s="128">
        <f>SUMIF('TK 15661.Bản quyền phim '!F:F,'KK2. Series'!C112,'TK 15661.Bản quyền phim '!K:K)</f>
        <v/>
      </c>
      <c r="AP112" s="128">
        <f>COUNTIF('242.BQ Phim VOD'!$C$5:$C$8,'KK2. Series'!AM112)</f>
        <v/>
      </c>
      <c r="AQ112" s="128">
        <f>COUNTIF('TK 15666. Phim SX'!$C$6:$C$13,'KK2. Series'!AM112)</f>
        <v/>
      </c>
      <c r="AR112" s="203">
        <f>COUNTIF('TK 15661.Bản quyền phim '!F:F,'KK2. Series'!AM112)</f>
        <v/>
      </c>
      <c r="AS112" s="203" t="n"/>
      <c r="AT112" s="366">
        <f>SUM(AP112:AS112)</f>
        <v/>
      </c>
      <c r="AU112" s="203" t="n"/>
      <c r="AV112" s="203" t="n"/>
      <c r="AW112" s="203" t="n"/>
      <c r="AX112" s="203" t="n"/>
      <c r="AY112" s="203" t="n"/>
      <c r="AZ112" s="387" t="inlineStr">
        <is>
          <t>✓ Found</t>
        </is>
      </c>
      <c r="BB112" s="387" t="n"/>
    </row>
    <row r="113" ht="409.6" customHeight="1" s="578">
      <c r="A113" s="96" t="n">
        <v>107</v>
      </c>
      <c r="B113" s="97" t="inlineStr">
        <is>
          <t>in between – bản Sub – EP01→EP27
EP01 – SER_ROM2581
EP02 – SER_ROM2582
EP03 – SER_ROM2583
EP04 – SER_ROM2584
EP05 – SER_ROM2585
EP06 – SER_ROM2586
EP07 – SER_ROM2587
EP08 – SER_ROM2588
EP09 – SER_ROM2589
EP10 – SER_ROM2590
EP11 – SER_ROM2591
EP12 – SER_ROM2592
EP13 – SER_ROM2593
EP14 – SER_ROM2594
EP15 – SER_ROM2595
EP16 – SER_ROM2596
EP17 – SER_ROM2597
EP18 – SER_ROM2598
EP19 – SER_ROM2599
EP20 – SER_ROM2600
EP21 – SER_ROM2601
EP22 – SER_ROM2602
EP23 – SER_ROM2603
EP24 – SER_ROM2604
EP25 – SER_ROM2605
EP26 – SER_ROM2606
EP27 – SER_ROM2607
in between – bản Voice – EP01→EP27
EP01 – SER_ROM2612
EP02 – SER_ROM2613
EP03 – SER_ROM2614
EP04 – SER_ROM2615
EP05 – SER_ROM2616
EP06 – SER_ROM2617
EP07 – SER_ROM2618
EP08 – SER_ROM2619
EP09 – SER_ROM2620
EP10 – SER_ROM2621
EP11 – SER_ROM2622
EP12 – SER_ROM2623
EP13 – SER_ROM2624
EP14 – SER_ROM2625
EP15 – SER_ROM2626
EP16 – SER_ROM2627
EP17 – SER_ROM2628
EP18 – SER_ROM2629
EP19 – SER_ROM2630
EP20 – SER_ROM2631
EP21 – SER_ROM2632
EP22 – SER_ROM2633
EP23 – SER_ROM2634
EP24 – SER_ROM2635
EP25 – SER_ROM2636
EP26 – SER_ROM2637
EP27 – SER_ROM2638</t>
        </is>
      </c>
      <c r="C113" s="108" t="inlineStr">
        <is>
          <t>In Between</t>
        </is>
      </c>
      <c r="D113" s="590" t="inlineStr">
        <is>
          <t>Nửa thân quen, nửa xa lạ</t>
        </is>
      </c>
      <c r="E113" s="590" t="inlineStr">
        <is>
          <t>Linmon</t>
        </is>
      </c>
      <c r="F113" s="642" t="inlineStr">
        <is>
          <t>Linmon Media/In between</t>
        </is>
      </c>
      <c r="G113" s="108" t="inlineStr">
        <is>
          <t>China</t>
        </is>
      </c>
      <c r="H113" s="108" t="n">
        <v>2024</v>
      </c>
      <c r="I113" s="108" t="n">
        <v>27</v>
      </c>
      <c r="J113" s="108" t="n">
        <v>45</v>
      </c>
      <c r="K113" s="305">
        <f>(I113*J113)/60</f>
        <v/>
      </c>
      <c r="L113" s="305">
        <f>I113</f>
        <v/>
      </c>
      <c r="M113" s="108" t="inlineStr">
        <is>
          <t>Romance, Life</t>
        </is>
      </c>
      <c r="N113" s="649" t="inlineStr">
        <is>
          <t>Romance</t>
        </is>
      </c>
      <c r="O113" s="319" t="n">
        <v>45554</v>
      </c>
      <c r="P113" s="319" t="n">
        <v>47379</v>
      </c>
      <c r="Q113" s="642" t="n">
        <v>45554</v>
      </c>
      <c r="R113" s="642" t="inlineStr">
        <is>
          <t>K+ACTION</t>
        </is>
      </c>
      <c r="S113" s="642" t="n"/>
      <c r="T113" s="111" t="inlineStr">
        <is>
          <t>Yes</t>
        </is>
      </c>
      <c r="U113" s="590" t="inlineStr">
        <is>
          <t>Yes</t>
        </is>
      </c>
      <c r="V113" s="111" t="inlineStr">
        <is>
          <t>Yes</t>
        </is>
      </c>
      <c r="W113" s="111" t="inlineStr">
        <is>
          <t>Yes</t>
        </is>
      </c>
      <c r="X113" s="111" t="inlineStr">
        <is>
          <t>Yes</t>
        </is>
      </c>
      <c r="Y113" s="111" t="inlineStr">
        <is>
          <t>Yes</t>
        </is>
      </c>
      <c r="Z113" s="111" t="inlineStr">
        <is>
          <t>Yes</t>
        </is>
      </c>
      <c r="AA113" s="111" t="inlineStr">
        <is>
          <t>Yes</t>
        </is>
      </c>
      <c r="AB113" s="111" t="inlineStr">
        <is>
          <t>Yes</t>
        </is>
      </c>
      <c r="AC113" s="319" t="n">
        <v>45554</v>
      </c>
      <c r="AD113" s="319" t="n">
        <v>47379</v>
      </c>
      <c r="AE113" s="111" t="inlineStr">
        <is>
          <t>Unlimited</t>
        </is>
      </c>
      <c r="AF113" s="307" t="n"/>
      <c r="AG113" s="647" t="n"/>
      <c r="AH113" s="318" t="n"/>
      <c r="AI113" s="642" t="inlineStr">
        <is>
          <t>Yes</t>
        </is>
      </c>
      <c r="AJ113" s="642" t="inlineStr">
        <is>
          <t>Yes</t>
        </is>
      </c>
      <c r="AK113" s="307" t="inlineStr">
        <is>
          <t>Phim Song song</t>
        </is>
      </c>
      <c r="AL113" s="590" t="inlineStr">
        <is>
          <t>Phim còn hạn từ 2026</t>
        </is>
      </c>
      <c r="AM113" s="203" t="inlineStr">
        <is>
          <t>IN BETWEEN (Nửa thân quen, nửa xa lạ)</t>
        </is>
      </c>
      <c r="AN113" s="203" t="n"/>
      <c r="AO113" s="128">
        <f>SUMIF('TK 15661.Bản quyền phim '!F:F,'KK2. Series'!C113,'TK 15661.Bản quyền phim '!K:K)</f>
        <v/>
      </c>
      <c r="AP113" s="128">
        <f>COUNTIF('242.BQ Phim VOD'!$C$5:$C$8,'KK2. Series'!AM113)</f>
        <v/>
      </c>
      <c r="AQ113" s="128">
        <f>COUNTIF('TK 15666. Phim SX'!$C$6:$C$13,'KK2. Series'!AM113)</f>
        <v/>
      </c>
      <c r="AR113" s="203">
        <f>COUNTIF('TK 15661.Bản quyền phim '!F:F,'KK2. Series'!AM113)</f>
        <v/>
      </c>
      <c r="AS113" s="203" t="n"/>
      <c r="AT113" s="366">
        <f>SUM(AP113:AS113)</f>
        <v/>
      </c>
      <c r="AU113" s="203" t="n"/>
      <c r="AV113" s="203" t="n"/>
      <c r="AW113" s="203" t="n"/>
      <c r="AX113" s="203" t="n"/>
      <c r="AY113" s="203" t="n"/>
      <c r="AZ113" s="387" t="inlineStr">
        <is>
          <t>✗ Not Found</t>
        </is>
      </c>
      <c r="BB113" s="387" t="n"/>
    </row>
    <row r="114" ht="79.2" customHeight="1" s="578">
      <c r="A114" s="96" t="n">
        <v>108</v>
      </c>
      <c r="B114" s="97" t="inlineStr">
        <is>
          <t>EP01 – SER_ROM2803
EP02 – SER_ROM2804
EP03 – SER_ROM2805
EP04 – SER_ROM2806
EP05 – SER_ROM2807
EP06 – SER_ROM2808</t>
        </is>
      </c>
      <c r="C114" s="108" t="inlineStr">
        <is>
          <t>Secret Ingredient</t>
        </is>
      </c>
      <c r="D114" s="590" t="inlineStr">
        <is>
          <t>Hương vị bí mật</t>
        </is>
      </c>
      <c r="E114" s="108" t="inlineStr">
        <is>
          <t>Viu</t>
        </is>
      </c>
      <c r="F114" s="590" t="inlineStr">
        <is>
          <t xml:space="preserve">PCCW VUCLIP/2024/HDBQ Output deal </t>
        </is>
      </c>
      <c r="G114" s="108" t="inlineStr">
        <is>
          <t>Philippine</t>
        </is>
      </c>
      <c r="H114" s="108" t="n">
        <v>2024</v>
      </c>
      <c r="I114" s="108" t="n">
        <v>6</v>
      </c>
      <c r="J114" s="108" t="n">
        <v>30</v>
      </c>
      <c r="K114" s="305">
        <f>(I114*J114)/60</f>
        <v/>
      </c>
      <c r="L114" s="305">
        <f>I114</f>
        <v/>
      </c>
      <c r="M114" s="108" t="inlineStr">
        <is>
          <t xml:space="preserve">Romance </t>
        </is>
      </c>
      <c r="N114" s="649" t="inlineStr">
        <is>
          <t>Romance</t>
        </is>
      </c>
      <c r="O114" s="642" t="n"/>
      <c r="P114" s="590" t="inlineStr">
        <is>
          <t>VOD only</t>
        </is>
      </c>
      <c r="Q114" s="642" t="n"/>
      <c r="R114" s="642" t="n"/>
      <c r="S114" s="642" t="n"/>
      <c r="T114" s="111" t="inlineStr">
        <is>
          <t>No</t>
        </is>
      </c>
      <c r="U114" s="590" t="inlineStr">
        <is>
          <t>Yes</t>
        </is>
      </c>
      <c r="V114" s="111" t="inlineStr">
        <is>
          <t>Yes</t>
        </is>
      </c>
      <c r="W114" s="111" t="inlineStr">
        <is>
          <t>Yes</t>
        </is>
      </c>
      <c r="X114" s="111" t="inlineStr">
        <is>
          <t>Yes</t>
        </is>
      </c>
      <c r="Y114" s="111" t="inlineStr">
        <is>
          <t>Yes</t>
        </is>
      </c>
      <c r="Z114" s="111" t="inlineStr">
        <is>
          <t>Yes</t>
        </is>
      </c>
      <c r="AA114" s="111" t="inlineStr">
        <is>
          <t>Yes</t>
        </is>
      </c>
      <c r="AB114" s="111" t="inlineStr">
        <is>
          <t>Yes</t>
        </is>
      </c>
      <c r="AC114" s="319" t="n">
        <v>45611</v>
      </c>
      <c r="AD114" s="319" t="n">
        <v>47071</v>
      </c>
      <c r="AE114" s="642" t="n"/>
      <c r="AF114" s="307" t="n"/>
      <c r="AG114" s="647" t="n"/>
      <c r="AH114" s="318" t="n"/>
      <c r="AI114" s="642" t="inlineStr">
        <is>
          <t>Yes</t>
        </is>
      </c>
      <c r="AJ114" s="642" t="inlineStr">
        <is>
          <t>Yes</t>
        </is>
      </c>
      <c r="AK114" s="307" t="n"/>
      <c r="AL114" s="590" t="inlineStr">
        <is>
          <t>Phim còn hạn từ 2026</t>
        </is>
      </c>
      <c r="AM114" s="367" t="inlineStr">
        <is>
          <t>Tồn kho bản quyền: Gói series VOD từ PCCW (Viu)</t>
        </is>
      </c>
      <c r="AN114" s="203" t="n"/>
      <c r="AO114" s="128">
        <f>SUMIF('TK 15661.Bản quyền phim '!F:F,'KK2. Series'!C114,'TK 15661.Bản quyền phim '!K:K)</f>
        <v/>
      </c>
      <c r="AP114" s="128">
        <f>COUNTIF('242.BQ Phim VOD'!$C$5:$C$8,'KK2. Series'!AM114)</f>
        <v/>
      </c>
      <c r="AQ114" s="128">
        <f>COUNTIF('TK 15666. Phim SX'!$C$6:$C$13,'KK2. Series'!AM114)</f>
        <v/>
      </c>
      <c r="AR114" s="203">
        <f>COUNTIF('TK 15661.Bản quyền phim '!F:F,'KK2. Series'!AM114)</f>
        <v/>
      </c>
      <c r="AS114" s="203" t="n"/>
      <c r="AT114" s="366">
        <f>SUM(AP114:AS114)</f>
        <v/>
      </c>
      <c r="AU114" s="203" t="n"/>
      <c r="AV114" s="203" t="n"/>
      <c r="AW114" s="203" t="n"/>
      <c r="AX114" s="203" t="n"/>
      <c r="AY114" s="203" t="n"/>
      <c r="AZ114" s="387" t="inlineStr">
        <is>
          <t>✓ Found</t>
        </is>
      </c>
      <c r="BB114" s="387" t="n"/>
    </row>
    <row r="115" ht="198" customHeight="1" s="578">
      <c r="A115" s="96" t="n">
        <v>109</v>
      </c>
      <c r="B115" s="97" t="inlineStr">
        <is>
          <t>EP01 – SER_ROM2788
EP02 – SER_ROM2789
EP03 – SER_ROM2790
EP04 – SER_ROM2791
EP05 – SER_ROM2792
EP06 – SER_ROM2793
EP07 – SER_ROM2794
EP08 – SER_ROM2795
EP09 – SER_ROM2796
EP10 – SER_ROM2797
EP11 – SER_ROM2798
EP12 – SER_ROM2799
EP13 – SER_ROM2800
EP14 – SER_ROM2801
EP15 – SER_ROM2802</t>
        </is>
      </c>
      <c r="C115" s="108" t="inlineStr">
        <is>
          <t xml:space="preserve">Business Proposal </t>
        </is>
      </c>
      <c r="D115" s="590" t="inlineStr">
        <is>
          <t>Hẹn hò công sở</t>
        </is>
      </c>
      <c r="E115" s="108" t="inlineStr">
        <is>
          <t>Viu</t>
        </is>
      </c>
      <c r="F115" s="590" t="inlineStr">
        <is>
          <t xml:space="preserve">PCCW VUCLIP/2024/HDBQ Output deal </t>
        </is>
      </c>
      <c r="G115" s="108" t="inlineStr">
        <is>
          <t>Hongkong</t>
        </is>
      </c>
      <c r="H115" s="108" t="n">
        <v>2023</v>
      </c>
      <c r="I115" s="108" t="n">
        <v>15</v>
      </c>
      <c r="J115" s="108" t="n">
        <v>45</v>
      </c>
      <c r="K115" s="305">
        <f>(I115*J115)/60</f>
        <v/>
      </c>
      <c r="L115" s="305">
        <f>I115</f>
        <v/>
      </c>
      <c r="M115" s="108" t="inlineStr">
        <is>
          <t xml:space="preserve">Romance </t>
        </is>
      </c>
      <c r="N115" s="649" t="inlineStr">
        <is>
          <t>Romance</t>
        </is>
      </c>
      <c r="O115" s="646" t="n"/>
      <c r="P115" s="590" t="inlineStr">
        <is>
          <t>VOD only</t>
        </is>
      </c>
      <c r="Q115" s="646" t="n"/>
      <c r="R115" s="646" t="n"/>
      <c r="S115" s="646" t="n"/>
      <c r="T115" s="117" t="inlineStr">
        <is>
          <t>No</t>
        </is>
      </c>
      <c r="U115" s="590" t="inlineStr">
        <is>
          <t>Yes</t>
        </is>
      </c>
      <c r="V115" s="117" t="inlineStr">
        <is>
          <t>Yes</t>
        </is>
      </c>
      <c r="W115" s="117" t="inlineStr">
        <is>
          <t>Yes</t>
        </is>
      </c>
      <c r="X115" s="117" t="inlineStr">
        <is>
          <t>Yes</t>
        </is>
      </c>
      <c r="Y115" s="117" t="inlineStr">
        <is>
          <t>Yes</t>
        </is>
      </c>
      <c r="Z115" s="117" t="inlineStr">
        <is>
          <t>Yes</t>
        </is>
      </c>
      <c r="AA115" s="117" t="inlineStr">
        <is>
          <t>Yes</t>
        </is>
      </c>
      <c r="AB115" s="117" t="inlineStr">
        <is>
          <t>Yes</t>
        </is>
      </c>
      <c r="AC115" s="320" t="n">
        <v>45611</v>
      </c>
      <c r="AD115" s="320" t="n">
        <v>46340</v>
      </c>
      <c r="AE115" s="646" t="n"/>
      <c r="AF115" s="321" t="n"/>
      <c r="AG115" s="648" t="n"/>
      <c r="AH115" s="322" t="n"/>
      <c r="AI115" s="642" t="inlineStr">
        <is>
          <t>Yes</t>
        </is>
      </c>
      <c r="AJ115" s="642" t="inlineStr">
        <is>
          <t>Yes</t>
        </is>
      </c>
      <c r="AK115" s="307" t="n"/>
      <c r="AL115" s="590" t="inlineStr">
        <is>
          <t>Phim còn hạn từ 2026</t>
        </is>
      </c>
      <c r="AM115" s="367" t="inlineStr">
        <is>
          <t>Tồn kho bản quyền: Gói series VOD từ PCCW (Viu)</t>
        </is>
      </c>
      <c r="AN115" s="203" t="n"/>
      <c r="AO115" s="128">
        <f>SUMIF('TK 15661.Bản quyền phim '!F:F,'KK2. Series'!C115,'TK 15661.Bản quyền phim '!K:K)</f>
        <v/>
      </c>
      <c r="AP115" s="128">
        <f>COUNTIF('242.BQ Phim VOD'!$C$5:$C$8,'KK2. Series'!AM115)</f>
        <v/>
      </c>
      <c r="AQ115" s="128">
        <f>COUNTIF('TK 15666. Phim SX'!$C$6:$C$13,'KK2. Series'!AM115)</f>
        <v/>
      </c>
      <c r="AR115" s="203">
        <f>COUNTIF('TK 15661.Bản quyền phim '!F:F,'KK2. Series'!AM115)</f>
        <v/>
      </c>
      <c r="AS115" s="203" t="n"/>
      <c r="AT115" s="366">
        <f>SUM(AP115:AS115)</f>
        <v/>
      </c>
      <c r="AU115" s="203" t="n"/>
      <c r="AV115" s="203" t="n"/>
      <c r="AW115" s="203" t="n"/>
      <c r="AX115" s="203" t="n"/>
      <c r="AY115" s="203" t="n"/>
      <c r="AZ115" s="387" t="inlineStr">
        <is>
          <t>✓ Found</t>
        </is>
      </c>
      <c r="BB115" s="387" t="n"/>
    </row>
    <row r="116" ht="409.6" customHeight="1" s="578">
      <c r="A116" s="96" t="n">
        <v>110</v>
      </c>
      <c r="B116" s="97" t="inlineStr">
        <is>
          <t>brewing love – bản Sub – EP01→EP12
EP01 – SER_ROM2809
EP02 – SER_ROM2810
EP03 – SER_ROM2811
EP04 – SER_ROM2812
EP05 – SER_ROM2813
EP06 – SER_ROM2814
EP07 – SER_ROM2815
EP08 – SER_ROM2816
EP09 – SER_ROM2817
EP10 – SER_ROM2818
EP11 – SER_ROM2819
EP12 – SER_ROM2820
brewing love – bản Voice – EP01→EP18
EP01 – SER_ROM2943
EP02 – SER_ROM2944
EP03 – SER_ROM2945
EP04 – SER_ROM2946
EP05 – SER_ROM2947
EP06 – SER_ROM2948
EP07 – SER_ROM2949
EP08 – SER_ROM2950
EP09 – SER_ROM2951
EP10 – SER_ROM2952
EP11 – SER_ROM2953
EP12 – SER_ROM2954
EP13 – SER_ROM2955
EP14 – SER_ROM2956
EP15 – SER_ROM2957
EP16 – SER_ROM2958
EP17 – SER_ROM2959
EP18 – SER_ROM2960</t>
        </is>
      </c>
      <c r="C116" s="108" t="inlineStr">
        <is>
          <t>Brewing Love</t>
        </is>
      </c>
      <c r="D116" s="590" t="inlineStr">
        <is>
          <t>Men say tình yêu</t>
        </is>
      </c>
      <c r="E116" s="108" t="inlineStr">
        <is>
          <t xml:space="preserve">Viu </t>
        </is>
      </c>
      <c r="F116" s="590" t="inlineStr">
        <is>
          <t xml:space="preserve">PCCW VUCLIP/2024/HDBQ Output deal </t>
        </is>
      </c>
      <c r="G116" s="108" t="inlineStr">
        <is>
          <t>Korea</t>
        </is>
      </c>
      <c r="H116" s="108" t="n">
        <v>2024</v>
      </c>
      <c r="I116" s="108" t="n">
        <v>12</v>
      </c>
      <c r="J116" s="108" t="n">
        <v>70</v>
      </c>
      <c r="K116" s="305">
        <f>(I116*J116)/60</f>
        <v/>
      </c>
      <c r="L116" s="305" t="n">
        <v>18</v>
      </c>
      <c r="M116" s="108" t="inlineStr">
        <is>
          <t xml:space="preserve">Comedy, romance </t>
        </is>
      </c>
      <c r="N116" s="649" t="inlineStr">
        <is>
          <t>Romance</t>
        </is>
      </c>
      <c r="O116" s="320" t="n">
        <v>45600</v>
      </c>
      <c r="P116" s="320" t="n">
        <v>47060</v>
      </c>
      <c r="Q116" s="320" t="n">
        <v>45600</v>
      </c>
      <c r="R116" s="646" t="inlineStr">
        <is>
          <t>K+CINE</t>
        </is>
      </c>
      <c r="S116" s="117" t="n">
        <v>48</v>
      </c>
      <c r="T116" s="117" t="inlineStr">
        <is>
          <t>Yes</t>
        </is>
      </c>
      <c r="U116" s="590" t="inlineStr">
        <is>
          <t>Yes</t>
        </is>
      </c>
      <c r="V116" s="117" t="inlineStr">
        <is>
          <t>Yes</t>
        </is>
      </c>
      <c r="W116" s="117" t="inlineStr">
        <is>
          <t>Yes</t>
        </is>
      </c>
      <c r="X116" s="117" t="inlineStr">
        <is>
          <t>Yes</t>
        </is>
      </c>
      <c r="Y116" s="117" t="inlineStr">
        <is>
          <t>Yes</t>
        </is>
      </c>
      <c r="Z116" s="117" t="inlineStr">
        <is>
          <t>Yes</t>
        </is>
      </c>
      <c r="AA116" s="117" t="inlineStr">
        <is>
          <t>Yes</t>
        </is>
      </c>
      <c r="AB116" s="328" t="inlineStr">
        <is>
          <t>Yes</t>
        </is>
      </c>
      <c r="AC116" s="308" t="n">
        <v>45600</v>
      </c>
      <c r="AD116" s="308" t="n">
        <v>47060</v>
      </c>
      <c r="AE116" s="108" t="inlineStr">
        <is>
          <t>Unlimited</t>
        </is>
      </c>
      <c r="AF116" s="329" t="n"/>
      <c r="AG116" s="648" t="n"/>
      <c r="AH116" s="322" t="n"/>
      <c r="AI116" s="642" t="inlineStr">
        <is>
          <t>Yes</t>
        </is>
      </c>
      <c r="AJ116" s="642" t="inlineStr">
        <is>
          <t>Yes</t>
        </is>
      </c>
      <c r="AK116" s="307" t="inlineStr">
        <is>
          <t>Phim Song song</t>
        </is>
      </c>
      <c r="AL116" s="590" t="inlineStr">
        <is>
          <t>Phim còn hạn từ 2026</t>
        </is>
      </c>
      <c r="AM116" s="643" t="inlineStr">
        <is>
          <t>Brewing Love</t>
        </is>
      </c>
      <c r="AN116" s="203" t="n"/>
      <c r="AO116" s="128">
        <f>SUMIF('TK 15661.Bản quyền phim '!F:F,'KK2. Series'!C116,'TK 15661.Bản quyền phim '!K:K)</f>
        <v/>
      </c>
      <c r="AP116" s="128">
        <f>COUNTIF('242.BQ Phim VOD'!$C$5:$C$8,'KK2. Series'!AM116)</f>
        <v/>
      </c>
      <c r="AQ116" s="128">
        <f>COUNTIF('TK 15666. Phim SX'!$C$6:$C$13,'KK2. Series'!AM116)</f>
        <v/>
      </c>
      <c r="AR116" s="203">
        <f>COUNTIF('TK 15661.Bản quyền phim '!F:F,'KK2. Series'!AM116)</f>
        <v/>
      </c>
      <c r="AS116" s="203" t="n"/>
      <c r="AT116" s="366">
        <f>SUM(AP116:AS116)</f>
        <v/>
      </c>
      <c r="AU116" s="203" t="n"/>
      <c r="AV116" s="203" t="n"/>
      <c r="AW116" s="203" t="n"/>
      <c r="AX116" s="203" t="n"/>
      <c r="AY116" s="203" t="n"/>
      <c r="AZ116" s="387" t="inlineStr">
        <is>
          <t>✓ Found</t>
        </is>
      </c>
      <c r="BB116" s="387" t="n"/>
    </row>
    <row r="117" ht="409.6" customHeight="1" s="578">
      <c r="A117" s="96" t="n">
        <v>111</v>
      </c>
      <c r="B117" s="97" t="inlineStr">
        <is>
          <t>EP01 – SER_HIS520
EP02 – SER_HIS521
EP03 – SER_HIS522
EP04 – SER_HIS523
EP05 – SER_HIS524
EP06 – SER_HIS525
EP07 – SER_HIS526
EP08 – SER_HIS527
EP09 – SER_HIS528
EP10 – SER_HIS529
EP11 – SER_HIS530
EP12 – SER_HIS531
EP13 – SER_HIS532
EP14 – SER_HIS533
EP15 – SER_HIS534
EP16 – SER_HIS535
EP17 – SER_HIS536
EP18 – SER_HIS537
EP19 – SER_HIS538
EP20 – SER_HIS539
EP21 – SER_HIS540
EP22 – SER_HIS541
EP23 – SER_HIS542
EP24 – SER_HIS543
EP25 – SER_HIS544
EP26 – SER_HIS545
EP27 – SER_HIS546
EP28 – SER_HIS547
EP29 – SER_HIS548
EP30 – SER_HIS549
EP31 – SER_HIS550
EP32 – SER_HIS551
EP33 – SER_HIS552
EP34 – SER_HIS553
EP35 – SER_HIS554
EP36 – SER_HIS555
EP37 – SER_HIS556
EP38 – SER_HIS557
EP39 – SER_HIS558
EP40 – SER_HIS559
EP41 – SER_HIS560
EP42 – SER_HIS561
EP43 – SER_HIS562
EP44 – SER_HIS563
EP45 – SER_HIS564
EP46 – SER_HIS565
EP47 – SER_HIS566
EP48 – SER_HIS567
EP49 – SER_HIS568
EP50 – SER_HIS569
EP51 – SER_HIS570</t>
        </is>
      </c>
      <c r="C117" s="108" t="inlineStr">
        <is>
          <t>Empress Ki</t>
        </is>
      </c>
      <c r="D117" s="590" t="inlineStr">
        <is>
          <t>Hoàng hậu Ki</t>
        </is>
      </c>
      <c r="E117" s="108" t="inlineStr">
        <is>
          <t>HT</t>
        </is>
      </c>
      <c r="F117" s="642" t="inlineStr">
        <is>
          <t>124/2024/HDBQ/VSTV-HT</t>
        </is>
      </c>
      <c r="G117" s="108" t="inlineStr">
        <is>
          <t>Korea</t>
        </is>
      </c>
      <c r="H117" s="108" t="n">
        <v>2013</v>
      </c>
      <c r="I117" s="108" t="n">
        <v>51</v>
      </c>
      <c r="J117" s="108" t="n">
        <v>70</v>
      </c>
      <c r="K117" s="305">
        <f>(I117*J117)/60</f>
        <v/>
      </c>
      <c r="L117" s="305">
        <f>I117</f>
        <v/>
      </c>
      <c r="M117" s="108" t="inlineStr">
        <is>
          <t>Drama</t>
        </is>
      </c>
      <c r="N117" s="649" t="inlineStr">
        <is>
          <t xml:space="preserve">Others </t>
        </is>
      </c>
      <c r="O117" s="642" t="n"/>
      <c r="P117" s="590" t="inlineStr">
        <is>
          <t>VOD only</t>
        </is>
      </c>
      <c r="Q117" s="642" t="n"/>
      <c r="R117" s="642" t="n"/>
      <c r="S117" s="642" t="n"/>
      <c r="T117" s="111" t="inlineStr">
        <is>
          <t>No</t>
        </is>
      </c>
      <c r="U117" s="590" t="inlineStr">
        <is>
          <t>Yes</t>
        </is>
      </c>
      <c r="V117" s="590" t="inlineStr">
        <is>
          <t>No</t>
        </is>
      </c>
      <c r="W117" s="111" t="inlineStr">
        <is>
          <t>Yes</t>
        </is>
      </c>
      <c r="X117" s="111" t="inlineStr">
        <is>
          <t>Yes</t>
        </is>
      </c>
      <c r="Y117" s="111" t="inlineStr">
        <is>
          <t>Yes</t>
        </is>
      </c>
      <c r="Z117" s="111" t="inlineStr">
        <is>
          <t>Yes</t>
        </is>
      </c>
      <c r="AA117" s="111" t="inlineStr">
        <is>
          <t>Yes</t>
        </is>
      </c>
      <c r="AB117" s="111" t="inlineStr">
        <is>
          <t>Yes</t>
        </is>
      </c>
      <c r="AC117" s="330" t="n">
        <v>45731</v>
      </c>
      <c r="AD117" s="330" t="n">
        <v>46460</v>
      </c>
      <c r="AE117" s="654" t="n"/>
      <c r="AF117" s="307" t="n"/>
      <c r="AG117" s="647" t="n"/>
      <c r="AH117" s="318" t="n"/>
      <c r="AI117" s="642" t="inlineStr">
        <is>
          <t>Yes</t>
        </is>
      </c>
      <c r="AJ117" s="642" t="inlineStr">
        <is>
          <t>Yes</t>
        </is>
      </c>
      <c r="AK117" s="307" t="n"/>
      <c r="AL117" s="590" t="inlineStr">
        <is>
          <t>Phim còn hạn từ 2026</t>
        </is>
      </c>
      <c r="AM117" s="203" t="n"/>
      <c r="AN117" s="203" t="n"/>
      <c r="AO117" s="128">
        <f>SUMIF('TK 15661.Bản quyền phim '!F:F,'KK2. Series'!C117,'TK 15661.Bản quyền phim '!K:K)</f>
        <v/>
      </c>
      <c r="AP117" s="128">
        <f>COUNTIF('242.BQ Phim VOD'!$C$5:$C$8,'KK2. Series'!AM117)</f>
        <v/>
      </c>
      <c r="AQ117" s="128">
        <f>COUNTIF('TK 15666. Phim SX'!$C$6:$C$13,'KK2. Series'!AM117)</f>
        <v/>
      </c>
      <c r="AR117" s="203">
        <f>COUNTIF('TK 15661.Bản quyền phim '!F:F,'KK2. Series'!AM117)</f>
        <v/>
      </c>
      <c r="AS117" s="203" t="n">
        <v>1</v>
      </c>
      <c r="AT117" s="366">
        <f>SUM(AP117:AS117)</f>
        <v/>
      </c>
      <c r="AU117" s="203" t="n"/>
      <c r="AV117" s="203" t="n"/>
      <c r="AW117" s="203" t="n"/>
      <c r="AX117" s="203" t="n"/>
      <c r="AY117" s="203" t="n"/>
      <c r="AZ117" s="387" t="inlineStr">
        <is>
          <t>✓ Found</t>
        </is>
      </c>
      <c r="BB117" s="387" t="n"/>
    </row>
    <row r="118" ht="316.8" customHeight="1" s="578">
      <c r="A118" s="96" t="n">
        <v>112</v>
      </c>
      <c r="B118" s="97" t="inlineStr">
        <is>
          <t>EP01 – SER_DRA3219
EP02 – SER_DRA3220
EP03 – SER_DRA3221
EP04 – SER_DRA3222
EP05 – SER_DRA3223
EP06 – SER_DRA3224
EP07 – SER_DRA3225
EP08 – SER_DRA3226
EP09 – SER_DRA3227
EP10 – SER_DRA3228
EP11 – SER_DRA3229
EP12 – SER_DRA3230
EP13 – SER_DRA3231
EP14 – SER_DRA3232
EP15 – SER_DRA3233
EP16 – SER_DRA3234
EP17 – SER_DRA3235
EP18 – SER_DRA3236
EP19 – SER_DRA3237
EP20 – SER_DRA3238
EP21 – SER_DRA3239
EP22 – SER_DRA3240
EP23 – SER_DRA3241
EP24 – SER_DRA3242</t>
        </is>
      </c>
      <c r="C118" s="289" t="inlineStr">
        <is>
          <t>Mama</t>
        </is>
      </c>
      <c r="D118" s="590" t="inlineStr">
        <is>
          <t>Tình mẹ</t>
        </is>
      </c>
      <c r="E118" s="108" t="inlineStr">
        <is>
          <t>HT</t>
        </is>
      </c>
      <c r="F118" s="642" t="inlineStr">
        <is>
          <t>124/2024/HDBQ/VSTV-HT</t>
        </is>
      </c>
      <c r="G118" s="108" t="inlineStr">
        <is>
          <t>Korea</t>
        </is>
      </c>
      <c r="H118" s="289" t="n">
        <v>2014</v>
      </c>
      <c r="I118" s="289" t="n">
        <v>24</v>
      </c>
      <c r="J118" s="289" t="n">
        <v>70</v>
      </c>
      <c r="K118" s="305">
        <f>(I118*J118)/60</f>
        <v/>
      </c>
      <c r="L118" s="305">
        <f>I118</f>
        <v/>
      </c>
      <c r="M118" s="108" t="inlineStr">
        <is>
          <t>Drama</t>
        </is>
      </c>
      <c r="N118" s="649" t="inlineStr">
        <is>
          <t>Drama</t>
        </is>
      </c>
      <c r="O118" s="642" t="n"/>
      <c r="P118" s="590" t="inlineStr">
        <is>
          <t>VOD only</t>
        </is>
      </c>
      <c r="Q118" s="642" t="n"/>
      <c r="R118" s="642" t="n"/>
      <c r="S118" s="642" t="n"/>
      <c r="T118" s="111" t="inlineStr">
        <is>
          <t>No</t>
        </is>
      </c>
      <c r="U118" s="590" t="inlineStr">
        <is>
          <t>Yes</t>
        </is>
      </c>
      <c r="V118" s="590" t="inlineStr">
        <is>
          <t>No</t>
        </is>
      </c>
      <c r="W118" s="111" t="inlineStr">
        <is>
          <t>Yes</t>
        </is>
      </c>
      <c r="X118" s="111" t="inlineStr">
        <is>
          <t>Yes</t>
        </is>
      </c>
      <c r="Y118" s="111" t="inlineStr">
        <is>
          <t>Yes</t>
        </is>
      </c>
      <c r="Z118" s="111" t="inlineStr">
        <is>
          <t>Yes</t>
        </is>
      </c>
      <c r="AA118" s="111" t="inlineStr">
        <is>
          <t>Yes</t>
        </is>
      </c>
      <c r="AB118" s="111" t="inlineStr">
        <is>
          <t>Yes</t>
        </is>
      </c>
      <c r="AC118" s="331" t="n">
        <v>45658</v>
      </c>
      <c r="AD118" s="331" t="n">
        <v>46387</v>
      </c>
      <c r="AE118" s="642" t="n"/>
      <c r="AF118" s="307" t="n"/>
      <c r="AG118" s="647" t="n"/>
      <c r="AH118" s="318" t="n"/>
      <c r="AI118" s="642" t="inlineStr">
        <is>
          <t>Yes</t>
        </is>
      </c>
      <c r="AJ118" s="642" t="inlineStr">
        <is>
          <t>Yes</t>
        </is>
      </c>
      <c r="AK118" s="307" t="n"/>
      <c r="AL118" s="590" t="inlineStr">
        <is>
          <t>Phim còn hạn từ 2026</t>
        </is>
      </c>
      <c r="AM118" s="203" t="n"/>
      <c r="AN118" s="203" t="n"/>
      <c r="AO118" s="128">
        <f>SUMIF('TK 15661.Bản quyền phim '!F:F,'KK2. Series'!C118,'TK 15661.Bản quyền phim '!K:K)</f>
        <v/>
      </c>
      <c r="AP118" s="128">
        <f>COUNTIF('242.BQ Phim VOD'!$C$5:$C$8,'KK2. Series'!AM118)</f>
        <v/>
      </c>
      <c r="AQ118" s="128">
        <f>COUNTIF('TK 15666. Phim SX'!$C$6:$C$13,'KK2. Series'!AM118)</f>
        <v/>
      </c>
      <c r="AR118" s="203">
        <f>COUNTIF('TK 15661.Bản quyền phim '!F:F,'KK2. Series'!AM118)</f>
        <v/>
      </c>
      <c r="AS118" s="203" t="n">
        <v>1</v>
      </c>
      <c r="AT118" s="366">
        <f>SUM(AP118:AS118)</f>
        <v/>
      </c>
      <c r="AU118" s="203" t="n"/>
      <c r="AV118" s="203" t="n"/>
      <c r="AW118" s="203" t="n"/>
      <c r="AX118" s="203" t="n"/>
      <c r="AY118" s="203" t="n"/>
      <c r="AZ118" s="387" t="inlineStr">
        <is>
          <t>✓ Found</t>
        </is>
      </c>
      <c r="BB118" s="387" t="n"/>
    </row>
    <row r="119" ht="409.6" customHeight="1" s="578">
      <c r="A119" s="96" t="n">
        <v>113</v>
      </c>
      <c r="B119" s="97" t="inlineStr">
        <is>
          <t>EP01 – SER_ROM2715
EP02 – SER_ROM2716
EP03 – SER_ROM2717
EP04 – SER_ROM2718
EP05 – SER_ROM2719
EP06 – SER_ROM2720
EP07 – SER_ROM2721
EP08 – SER_ROM2722
EP09 – SER_ROM2723
EP10 – SER_ROM2724
EP11 – SER_ROM2725
EP12 – SER_ROM2726
EP13 – SER_ROM2727
EP14 – SER_ROM2728
EP15 – SER_ROM2729
EP16 – SER_ROM2730
EP17 – SER_ROM2731
EP18 – SER_ROM2732
EP19 – SER_ROM2733
EP20 – SER_ROM2734
EP21 – SER_ROM2735
EP22 – SER_ROM2736
EP23 – SER_ROM2737
EP24 – SER_ROM2738
EP25 – SER_ROM2739
EP26 – SER_ROM2740
EP27 – SER_ROM2741
EP28 – SER_ROM2742
EP29 – SER_ROM2743
EP30 – SER_ROM2744
EP31 – SER_ROM2745
EP32 – SER_ROM2746
EP33 – SER_ROM2747
EP34 – SER_ROM2748
EP35 – SER_ROM2749
EP36 – SER_ROM2750
EP37 – SER_ROM2751
EP38 – SER_ROM2752
EP39 – SER_ROM2753
EP40 – SER_ROM2754
EP41 – SER_ROM2755
EP42 – SER_ROM2756
EP43 – SER_ROM2757
EP44 – SER_ROM2758
EP45 – SER_ROM2759
EP46 – SER_ROM2760
EP47 – SER_ROM2761
EP48 – SER_ROM2762
EP49 – SER_ROM2763
EP50 – SER_ROM2764
EP51 – SER_ROM2765
EP52 – SER_ROM2766</t>
        </is>
      </c>
      <c r="C119" s="289" t="inlineStr">
        <is>
          <t>Rosy lovers</t>
        </is>
      </c>
      <c r="D119" s="590" t="inlineStr">
        <is>
          <t>Tình hồng</t>
        </is>
      </c>
      <c r="E119" s="108" t="inlineStr">
        <is>
          <t>HT</t>
        </is>
      </c>
      <c r="F119" s="642" t="inlineStr">
        <is>
          <t>124/2024/HDBQ/VSTV-HT</t>
        </is>
      </c>
      <c r="G119" s="108" t="inlineStr">
        <is>
          <t>Korea</t>
        </is>
      </c>
      <c r="H119" s="289" t="n">
        <v>2014</v>
      </c>
      <c r="I119" s="289" t="n">
        <v>52</v>
      </c>
      <c r="J119" s="289" t="n">
        <v>70</v>
      </c>
      <c r="K119" s="305">
        <f>(I119*J119)/60</f>
        <v/>
      </c>
      <c r="L119" s="305">
        <f>I119</f>
        <v/>
      </c>
      <c r="M119" s="108" t="inlineStr">
        <is>
          <t>Drama</t>
        </is>
      </c>
      <c r="N119" s="649" t="inlineStr">
        <is>
          <t>Romance</t>
        </is>
      </c>
      <c r="O119" s="642" t="n"/>
      <c r="P119" s="590" t="inlineStr">
        <is>
          <t>VOD only</t>
        </is>
      </c>
      <c r="Q119" s="642" t="n"/>
      <c r="R119" s="642" t="n"/>
      <c r="S119" s="642" t="n"/>
      <c r="T119" s="111" t="inlineStr">
        <is>
          <t>No</t>
        </is>
      </c>
      <c r="U119" s="590" t="inlineStr">
        <is>
          <t>Yes</t>
        </is>
      </c>
      <c r="V119" s="590" t="inlineStr">
        <is>
          <t>No</t>
        </is>
      </c>
      <c r="W119" s="111" t="inlineStr">
        <is>
          <t>Yes</t>
        </is>
      </c>
      <c r="X119" s="111" t="inlineStr">
        <is>
          <t>Yes</t>
        </is>
      </c>
      <c r="Y119" s="111" t="inlineStr">
        <is>
          <t>Yes</t>
        </is>
      </c>
      <c r="Z119" s="111" t="inlineStr">
        <is>
          <t>Yes</t>
        </is>
      </c>
      <c r="AA119" s="111" t="inlineStr">
        <is>
          <t>Yes</t>
        </is>
      </c>
      <c r="AB119" s="111" t="inlineStr">
        <is>
          <t>Yes</t>
        </is>
      </c>
      <c r="AC119" s="331" t="n">
        <v>45658</v>
      </c>
      <c r="AD119" s="331" t="n">
        <v>46387</v>
      </c>
      <c r="AE119" s="642" t="n"/>
      <c r="AF119" s="307" t="n"/>
      <c r="AG119" s="647" t="n"/>
      <c r="AH119" s="318" t="n"/>
      <c r="AI119" s="642" t="inlineStr">
        <is>
          <t>Yes</t>
        </is>
      </c>
      <c r="AJ119" s="642" t="inlineStr">
        <is>
          <t>Yes</t>
        </is>
      </c>
      <c r="AK119" s="307" t="n"/>
      <c r="AL119" s="590" t="inlineStr">
        <is>
          <t>Phim còn hạn từ 2026</t>
        </is>
      </c>
      <c r="AM119" s="203" t="n"/>
      <c r="AN119" s="203" t="n"/>
      <c r="AO119" s="128">
        <f>SUMIF('TK 15661.Bản quyền phim '!F:F,'KK2. Series'!C119,'TK 15661.Bản quyền phim '!K:K)</f>
        <v/>
      </c>
      <c r="AP119" s="128">
        <f>COUNTIF('242.BQ Phim VOD'!$C$5:$C$8,'KK2. Series'!AM119)</f>
        <v/>
      </c>
      <c r="AQ119" s="128">
        <f>COUNTIF('TK 15666. Phim SX'!$C$6:$C$13,'KK2. Series'!AM119)</f>
        <v/>
      </c>
      <c r="AR119" s="203">
        <f>COUNTIF('TK 15661.Bản quyền phim '!F:F,'KK2. Series'!AM119)</f>
        <v/>
      </c>
      <c r="AS119" s="203" t="n">
        <v>1</v>
      </c>
      <c r="AT119" s="366">
        <f>SUM(AP119:AS119)</f>
        <v/>
      </c>
      <c r="AU119" s="203" t="n"/>
      <c r="AV119" s="203" t="n"/>
      <c r="AW119" s="203" t="n"/>
      <c r="AX119" s="203" t="n"/>
      <c r="AY119" s="203" t="n"/>
      <c r="AZ119" s="387" t="inlineStr">
        <is>
          <t>✓ Found</t>
        </is>
      </c>
      <c r="BB119" s="387" t="n"/>
    </row>
    <row r="120" ht="409.6" customHeight="1" s="578">
      <c r="A120" s="96" t="n">
        <v>114</v>
      </c>
      <c r="B120" s="97" t="inlineStr">
        <is>
          <t>a dream of splendor – bản Sub – EP01→EP40
EP01 – SER_ROM3005
EP02 – SER_ROM3006
EP03 – SER_ROM3007
EP04 – SER_ROM3008
EP05 – SER_ROM3009
EP06 – SER_ROM3010
EP07 – SER_ROM3011
EP08 – SER_ROM3012
EP09 – SER_ROM3013
EP10 – SER_ROM3014
EP11 – SER_ROM3015
EP12 – SER_ROM3016
EP13 – SER_ROM3017
EP14 – SER_ROM3018
EP15 – SER_ROM3019
EP16 – SER_ROM3020
EP17 – SER_ROM3021
EP18 – SER_ROM3022
EP19 – SER_ROM3023
EP20 – SER_ROM3024
EP21 – SER_ROM3025
EP22 – SER_ROM3026
EP23 – SER_ROM3027
EP24 – SER_ROM3028
EP25 – SER_ROM3029
EP26 – SER_ROM3030
EP27 – SER_ROM3031
EP28 – SER_ROM3032
EP29 – SER_ROM3033
EP30 – SER_ROM3034
EP31 – SER_ROM3035
EP32 – SER_ROM3036
EP33 – SER_ROM3037
EP34 – SER_ROM3038
EP35 – SER_ROM3039
EP36 – SER_ROM3040
EP37 – SER_ROM3041
EP38 – SER_ROM3042
EP39 – SER_ROM3043
EP40 – SER_ROM3044
a dream of splendor – bản Voice – EP01→EP40
EP01 – SER_ROM2963
EP02 – SER_ROM2964
EP03 – SER_ROM2965
EP04 – SER_ROM2966
EP05 – SER_ROM2967
EP06 – SER_ROM2968
EP07 – SER_ROM2969
EP08 – SER_ROM2970
EP09 – SER_ROM2971
EP10 – SER_ROM2972
EP11 – SER_ROM2973
EP12 – SER_ROM2974
EP13 – SER_ROM2975
EP14 – SER_ROM2976
EP15 – SER_ROM2977
EP16 – SER_ROM2978
EP17 – SER_ROM2979
EP18 – SER_ROM2980
EP19 – SER_ROM2981
EP20 – SER_ROM2982
EP21 – SER_ROM2983
EP22 – SER_ROM2984
EP23 – SER_ROM2985
EP24 – SER_ROM2986
EP25 – SER_ROM2987
EP26 – SER_ROM2988
EP27 – SER_ROM2989
EP28 – SER_ROM2990
EP29 – SER_ROM2991
EP30 – SER_ROM2992
EP31 – SER_ROM2993
EP32 – SER_ROM2994
EP33 – SER_ROM2995
EP34 – SER_ROM2996
EP35 – SER_ROM2997
EP36 – SER_ROM2998
EP37 – SER_ROM2999
EP38 – SER_ROM3000
EP39 – SER_ROM3001
EP40 – SER_ROM3002</t>
        </is>
      </c>
      <c r="C120" s="108" t="inlineStr">
        <is>
          <t>A Dream of Splendor</t>
        </is>
      </c>
      <c r="D120" s="590" t="inlineStr">
        <is>
          <t>Mộng hoa lục</t>
        </is>
      </c>
      <c r="E120" s="590" t="inlineStr">
        <is>
          <t>TKL</t>
        </is>
      </c>
      <c r="F120" s="590" t="inlineStr">
        <is>
          <t>131/2024/HDBQ/VSTV_TKL</t>
        </is>
      </c>
      <c r="G120" s="108" t="inlineStr">
        <is>
          <t>China</t>
        </is>
      </c>
      <c r="H120" s="108" t="n">
        <v>2022</v>
      </c>
      <c r="I120" s="108" t="n">
        <v>40</v>
      </c>
      <c r="J120" s="108" t="n">
        <v>45</v>
      </c>
      <c r="K120" s="305">
        <f>(I120*J120)/60</f>
        <v/>
      </c>
      <c r="L120" s="305">
        <f>I120</f>
        <v/>
      </c>
      <c r="M120" s="108" t="inlineStr">
        <is>
          <t>Historical, Romance</t>
        </is>
      </c>
      <c r="N120" s="649" t="inlineStr">
        <is>
          <t>Romance</t>
        </is>
      </c>
      <c r="O120" s="646" t="n"/>
      <c r="P120" s="614" t="inlineStr">
        <is>
          <t>VOD only</t>
        </is>
      </c>
      <c r="Q120" s="642" t="n"/>
      <c r="R120" s="642" t="n"/>
      <c r="S120" s="642" t="n"/>
      <c r="T120" s="111" t="inlineStr">
        <is>
          <t>No</t>
        </is>
      </c>
      <c r="U120" s="590" t="inlineStr">
        <is>
          <t>Yes</t>
        </is>
      </c>
      <c r="V120" s="111" t="inlineStr">
        <is>
          <t>No</t>
        </is>
      </c>
      <c r="W120" s="111" t="inlineStr">
        <is>
          <t>Yes</t>
        </is>
      </c>
      <c r="X120" s="111" t="inlineStr">
        <is>
          <t>Yes</t>
        </is>
      </c>
      <c r="Y120" s="111" t="inlineStr">
        <is>
          <t>Yes</t>
        </is>
      </c>
      <c r="Z120" s="111" t="inlineStr">
        <is>
          <t>Yes</t>
        </is>
      </c>
      <c r="AA120" s="111" t="inlineStr">
        <is>
          <t>Yes</t>
        </is>
      </c>
      <c r="AB120" s="111" t="inlineStr">
        <is>
          <t>Yes</t>
        </is>
      </c>
      <c r="AC120" s="320" t="n">
        <v>45641</v>
      </c>
      <c r="AD120" s="320" t="n">
        <v>46554</v>
      </c>
      <c r="AE120" s="117" t="n"/>
      <c r="AF120" s="307" t="n"/>
      <c r="AG120" s="647" t="n"/>
      <c r="AH120" s="318" t="n"/>
      <c r="AI120" s="642" t="inlineStr">
        <is>
          <t>Yes</t>
        </is>
      </c>
      <c r="AJ120" s="642" t="inlineStr">
        <is>
          <t>Yes</t>
        </is>
      </c>
      <c r="AK120" s="307" t="n"/>
      <c r="AL120" s="590" t="inlineStr">
        <is>
          <t>Phim còn hạn từ 2026</t>
        </is>
      </c>
      <c r="AM120" s="367" t="inlineStr">
        <is>
          <t>Tồn kho bản quyền: Mộng Hoa Lục (A Dream of Splendor)  (VOD) - Phân bổ từ 15/03/2025 -&gt; 16/06/2027</t>
        </is>
      </c>
      <c r="AN120" s="203" t="n"/>
      <c r="AO120" s="128">
        <f>SUMIF('TK 15661.Bản quyền phim '!F:F,'KK2. Series'!C120,'TK 15661.Bản quyền phim '!K:K)</f>
        <v/>
      </c>
      <c r="AP120" s="128">
        <f>COUNTIF('242.BQ Phim VOD'!$C$5:$C$8,'KK2. Series'!AM120)</f>
        <v/>
      </c>
      <c r="AQ120" s="128">
        <f>COUNTIF('TK 15666. Phim SX'!$C$6:$C$13,'KK2. Series'!AM120)</f>
        <v/>
      </c>
      <c r="AR120" s="203">
        <f>COUNTIF('TK 15661.Bản quyền phim '!F:F,'KK2. Series'!AM120)</f>
        <v/>
      </c>
      <c r="AS120" s="203" t="n"/>
      <c r="AT120" s="366">
        <f>SUM(AP120:AS120)</f>
        <v/>
      </c>
      <c r="AU120" s="203" t="n"/>
      <c r="AV120" s="203" t="n"/>
      <c r="AW120" s="203" t="n"/>
      <c r="AX120" s="203" t="n"/>
      <c r="AY120" s="203" t="n"/>
      <c r="AZ120" s="387" t="inlineStr">
        <is>
          <t>✓ Found</t>
        </is>
      </c>
      <c r="BB120" s="387" t="n"/>
    </row>
    <row r="121" ht="409.6" customHeight="1" s="578">
      <c r="A121" s="96" t="n">
        <v>115</v>
      </c>
      <c r="B121" s="97" t="inlineStr">
        <is>
          <t>guardians of the dafeng – bản Sub – EP01→EP40
EP01 – SER_FAN93
EP02 – SER_FAN94
EP03 – SER_FAN95
EP04 – SER_FAN96
EP05 – SER_FAN97
EP06 – SER_FAN98
EP07 – SER_FAN99
EP08 – SER_FAN100
EP09 – SER_FAN101
EP10 – SER_FAN102
EP11 – SER_FAN103
EP12 – SER_FAN104
EP13 – SER_FAN105
EP14 – SER_FAN106
EP15 – SER_FAN107
EP16 – SER_FAN108
EP17 – SER_FAN109
EP18 – SER_FAN110
EP19 – SER_FAN111
EP20 – SER_FAN112
EP21 – SER_FAN113
EP22 – SER_FAN114
EP23 – SER_FAN115
EP24 – SER_FAN116
EP25 – SER_FAN117
EP26 – SER_FAN118
EP27 – SER_FAN119
EP28 – SER_FAN120
EP29 – SER_FAN121
EP30 – SER_FAN122
EP31 – SER_FAN123
EP32 – SER_FAN124
EP33 – SER_FAN125
EP34 – SER_FAN126
EP35 – SER_FAN127
EP36 – SER_FAN128
EP37 – SER_FAN129
EP38 – SER_FAN130
EP39 – SER_FAN131
EP40 – SER_FAN132
guardians of the dafeng – bản Voice – EP01→EP40
EP01 – SER_FAN137
EP02 – SER_FAN138
EP03 – SER_FAN139
EP04 – SER_FAN140
EP05 – SER_FAN141
EP06 – SER_FAN142
EP07 – SER_FAN143
EP08 – SER_FAN144
EP09 – SER_FAN145
EP10 – SER_FAN146
EP11 – SER_FAN147
EP12 – SER_FAN148
EP13 – SER_FAN149
EP14 – SER_FAN150
EP15 – SER_FAN151
EP16 – SER_FAN152
EP17 – SER_FAN153
EP18 – SER_FAN154
EP19 – SER_FAN155
EP20 – SER_FAN156
EP21 – SER_FAN157
EP22 – SER_FAN158
EP23 – SER_FAN159
EP24 – SER_FAN160
EP25 – SER_FAN161
EP26 – SER_FAN162
EP27 – SER_FAN163
EP28 – SER_FAN164
EP29 – SER_FAN165
EP30 – SER_FAN166
EP31 – SER_FAN167
EP32 – SER_FAN168
EP33 – SER_FAN169
EP34 – SER_FAN170
EP35 – SER_FAN171
EP36 – SER_FAN172
EP37 – SER_FAN173
EP38 – SER_FAN174
EP39 – SER_FAN175
EP40 – SER_FAN176</t>
        </is>
      </c>
      <c r="C121" s="108" t="inlineStr">
        <is>
          <t>Guardians of the Dafeng</t>
        </is>
      </c>
      <c r="D121" s="590" t="inlineStr">
        <is>
          <t>Đại Phụng Đả Canh Nhân</t>
        </is>
      </c>
      <c r="E121" s="108" t="inlineStr">
        <is>
          <t xml:space="preserve">NCM </t>
        </is>
      </c>
      <c r="F121" s="590" t="inlineStr">
        <is>
          <t>New Classic Media/HDBQ Dafeng</t>
        </is>
      </c>
      <c r="G121" s="108" t="inlineStr">
        <is>
          <t xml:space="preserve">China </t>
        </is>
      </c>
      <c r="H121" s="108" t="n">
        <v>2024</v>
      </c>
      <c r="I121" s="108" t="n">
        <v>40</v>
      </c>
      <c r="J121" s="108" t="n">
        <v>45</v>
      </c>
      <c r="K121" s="305">
        <f>(I121*J121)/60</f>
        <v/>
      </c>
      <c r="L121" s="305">
        <f>I121</f>
        <v/>
      </c>
      <c r="M121" s="108" t="inlineStr">
        <is>
          <t xml:space="preserve">Wuxia, Comedy </t>
        </is>
      </c>
      <c r="N121" s="649" t="inlineStr">
        <is>
          <t xml:space="preserve">Others </t>
        </is>
      </c>
      <c r="O121" s="319" t="n">
        <v>45654</v>
      </c>
      <c r="P121" s="319" t="n">
        <v>47479</v>
      </c>
      <c r="Q121" s="649" t="n"/>
      <c r="R121" s="642" t="n"/>
      <c r="S121" s="642" t="n"/>
      <c r="T121" s="111" t="inlineStr">
        <is>
          <t>Yes</t>
        </is>
      </c>
      <c r="U121" s="590" t="inlineStr">
        <is>
          <t>Yes</t>
        </is>
      </c>
      <c r="V121" s="111" t="inlineStr">
        <is>
          <t>Yes</t>
        </is>
      </c>
      <c r="W121" s="111" t="inlineStr">
        <is>
          <t>Yes</t>
        </is>
      </c>
      <c r="X121" s="111" t="inlineStr">
        <is>
          <t>Yes</t>
        </is>
      </c>
      <c r="Y121" s="111" t="inlineStr">
        <is>
          <t>Yes</t>
        </is>
      </c>
      <c r="Z121" s="111" t="inlineStr">
        <is>
          <t>Yes</t>
        </is>
      </c>
      <c r="AA121" s="111" t="inlineStr">
        <is>
          <t>Yes</t>
        </is>
      </c>
      <c r="AB121" s="332" t="inlineStr">
        <is>
          <t>Yes</t>
        </is>
      </c>
      <c r="AC121" s="308" t="n">
        <v>45654</v>
      </c>
      <c r="AD121" s="308" t="n">
        <v>47479</v>
      </c>
      <c r="AE121" s="108" t="inlineStr">
        <is>
          <t>Unlimited</t>
        </is>
      </c>
      <c r="AF121" s="333" t="n"/>
      <c r="AG121" s="647" t="n"/>
      <c r="AH121" s="318" t="n"/>
      <c r="AI121" s="642" t="inlineStr">
        <is>
          <t>Yes</t>
        </is>
      </c>
      <c r="AJ121" s="642" t="inlineStr">
        <is>
          <t>Yes</t>
        </is>
      </c>
      <c r="AK121" s="307" t="inlineStr">
        <is>
          <t>Phim Song song</t>
        </is>
      </c>
      <c r="AL121" s="590" t="inlineStr">
        <is>
          <t>Phim còn hạn từ 2026</t>
        </is>
      </c>
      <c r="AM121" s="203" t="inlineStr">
        <is>
          <t>The Guardians of Dafeng (Đại phụng đả canh nhân)</t>
        </is>
      </c>
      <c r="AN121" s="203" t="n"/>
      <c r="AO121" s="128">
        <f>SUMIF('TK 15661.Bản quyền phim '!F:F,'KK2. Series'!C121,'TK 15661.Bản quyền phim '!K:K)</f>
        <v/>
      </c>
      <c r="AP121" s="128">
        <f>COUNTIF('242.BQ Phim VOD'!$C$5:$C$8,'KK2. Series'!AM121)</f>
        <v/>
      </c>
      <c r="AQ121" s="128">
        <f>COUNTIF('TK 15666. Phim SX'!$C$6:$C$13,'KK2. Series'!AM121)</f>
        <v/>
      </c>
      <c r="AR121" s="203">
        <f>COUNTIF('TK 15661.Bản quyền phim '!F:F,'KK2. Series'!AM121)</f>
        <v/>
      </c>
      <c r="AS121" s="203" t="n"/>
      <c r="AT121" s="366">
        <f>SUM(AP121:AS121)</f>
        <v/>
      </c>
      <c r="AU121" s="203" t="n"/>
      <c r="AV121" s="203" t="n"/>
      <c r="AW121" s="203" t="n"/>
      <c r="AX121" s="203" t="n"/>
      <c r="AY121" s="203" t="n"/>
      <c r="AZ121" s="387" t="inlineStr">
        <is>
          <t>✓ Found</t>
        </is>
      </c>
      <c r="BB121" s="387" t="n"/>
    </row>
    <row r="122" ht="409.6" customHeight="1" s="578">
      <c r="A122" s="96" t="n">
        <v>116</v>
      </c>
      <c r="B122" s="97" t="inlineStr">
        <is>
          <t>EP01 – SER_THR585
EP02 – SER_THR586
EP03 – SER_THR587
EP04 – SER_THR588
EP05 – SER_THR589
EP06 – SER_THR590
EP07 – SER_THR591
EP08 – SER_THR592
EP09 – SER_THR593
EP10 – SER_THR594
EP11 – SER_THR595
EP12 – SER_THR596
EP13 – SER_THR597
EP14 – SER_THR598
EP15 – SER_THR599
EP16 – SER_THR600
EP17 – SER_THR601
EP18 – SER_THR602
EP19 – SER_THR603
EP20 – SER_THR604
EP21 – SER_THR605
EP22 – SER_THR606
EP23 – SER_THR607
EP24 – SER_THR608
EP25 – SER_THR609
EP26 – SER_THR610
EP27 – SER_THR611
EP28 – SER_THR612
EP29 – SER_THR613
EP30 – SER_THR614
EP31 – SER_THR615
EP32 – SER_THR616</t>
        </is>
      </c>
      <c r="C122" s="108" t="inlineStr">
        <is>
          <t>The First Shot</t>
        </is>
      </c>
      <c r="D122" s="590" t="inlineStr">
        <is>
          <t>Tuyết mê cung</t>
        </is>
      </c>
      <c r="E122" s="108" t="inlineStr">
        <is>
          <t>YOUKU</t>
        </is>
      </c>
      <c r="F122" s="590" t="inlineStr">
        <is>
          <t>21/2025/HDBQ/VSTV-Youku</t>
        </is>
      </c>
      <c r="G122" s="108" t="inlineStr">
        <is>
          <t xml:space="preserve">China </t>
        </is>
      </c>
      <c r="H122" s="108" t="n">
        <v>2024</v>
      </c>
      <c r="I122" s="108" t="n">
        <v>32</v>
      </c>
      <c r="J122" s="108" t="n">
        <v>40</v>
      </c>
      <c r="K122" s="305">
        <f>(I122*J122)/60</f>
        <v/>
      </c>
      <c r="L122" s="305">
        <f>I122</f>
        <v/>
      </c>
      <c r="M122" s="108" t="inlineStr">
        <is>
          <t>Thriller, Mystery</t>
        </is>
      </c>
      <c r="N122" s="649" t="inlineStr">
        <is>
          <t>Crime, Thriller</t>
        </is>
      </c>
      <c r="O122" s="319" t="n">
        <v>45698</v>
      </c>
      <c r="P122" s="319" t="n">
        <v>46792</v>
      </c>
      <c r="Q122" s="649" t="n"/>
      <c r="R122" s="590" t="inlineStr">
        <is>
          <t>K+ACTION</t>
        </is>
      </c>
      <c r="S122" s="111" t="n">
        <v>48</v>
      </c>
      <c r="T122" s="111" t="inlineStr">
        <is>
          <t>Yes</t>
        </is>
      </c>
      <c r="U122" s="590" t="inlineStr">
        <is>
          <t>Yes</t>
        </is>
      </c>
      <c r="V122" s="111" t="inlineStr">
        <is>
          <t>Yes</t>
        </is>
      </c>
      <c r="W122" s="111" t="inlineStr">
        <is>
          <t>Yes</t>
        </is>
      </c>
      <c r="X122" s="111" t="inlineStr">
        <is>
          <t>Yes</t>
        </is>
      </c>
      <c r="Y122" s="111" t="inlineStr">
        <is>
          <t>Yes</t>
        </is>
      </c>
      <c r="Z122" s="111" t="inlineStr">
        <is>
          <t>Yes</t>
        </is>
      </c>
      <c r="AA122" s="111" t="inlineStr">
        <is>
          <t>Yes</t>
        </is>
      </c>
      <c r="AB122" s="111" t="inlineStr">
        <is>
          <t>Yes</t>
        </is>
      </c>
      <c r="AC122" s="334" t="n">
        <v>45698</v>
      </c>
      <c r="AD122" s="334" t="n">
        <v>46792</v>
      </c>
      <c r="AE122" s="299" t="inlineStr">
        <is>
          <t>Unlimited</t>
        </is>
      </c>
      <c r="AF122" s="307" t="n">
        <v>4</v>
      </c>
      <c r="AG122" s="647" t="n">
        <v>45747</v>
      </c>
      <c r="AH122" s="318" t="n"/>
      <c r="AI122" s="642" t="inlineStr">
        <is>
          <t>Yes</t>
        </is>
      </c>
      <c r="AJ122" s="642" t="inlineStr">
        <is>
          <t>Yes</t>
        </is>
      </c>
      <c r="AK122" s="307" t="n"/>
      <c r="AL122" s="590" t="inlineStr">
        <is>
          <t>Phim còn hạn từ 2026</t>
        </is>
      </c>
      <c r="AM122" s="643" t="inlineStr">
        <is>
          <t>The First Shot</t>
        </is>
      </c>
      <c r="AN122" s="203" t="n"/>
      <c r="AO122" s="128">
        <f>SUMIF('TK 15661.Bản quyền phim '!F:F,'KK2. Series'!C122,'TK 15661.Bản quyền phim '!K:K)</f>
        <v/>
      </c>
      <c r="AP122" s="128">
        <f>COUNTIF('242.BQ Phim VOD'!$C$5:$C$8,'KK2. Series'!AM122)</f>
        <v/>
      </c>
      <c r="AQ122" s="128">
        <f>COUNTIF('TK 15666. Phim SX'!$C$6:$C$13,'KK2. Series'!AM122)</f>
        <v/>
      </c>
      <c r="AR122" s="203">
        <f>COUNTIF('TK 15661.Bản quyền phim '!F:F,'KK2. Series'!AM122)</f>
        <v/>
      </c>
      <c r="AS122" s="203" t="n"/>
      <c r="AT122" s="366">
        <f>SUM(AP122:AS122)</f>
        <v/>
      </c>
      <c r="AU122" s="203" t="n"/>
      <c r="AV122" s="203" t="n"/>
      <c r="AW122" s="203" t="n"/>
      <c r="AX122" s="203" t="n"/>
      <c r="AY122" s="203" t="n"/>
      <c r="AZ122" s="387" t="inlineStr">
        <is>
          <t>✓ Found</t>
        </is>
      </c>
      <c r="BB122" s="387" t="n"/>
    </row>
    <row r="123" ht="409.6" customHeight="1" s="578">
      <c r="A123" s="96" t="n">
        <v>117</v>
      </c>
      <c r="B123" s="97" t="inlineStr">
        <is>
          <t>flourished peony – bản Sub – EP01→EP32
EP01 – SER_ROM3049
EP02 – SER_ROM3050
EP03 – SER_ROM3051
EP04 – SER_ROM3052
EP05 – SER_ROM3053
EP06 – SER_ROM3054
EP07 – SER_ROM3055
EP08 – SER_ROM3056
EP09 – SER_ROM3057
EP10 – SER_ROM3058
EP11 – SER_ROM3059
EP12 – SER_ROM3060
EP13 – SER_ROM3061
EP14 – SER_ROM3062
EP15 – SER_ROM3063
EP16 – SER_ROM3064
EP17 – SER_ROM3065
EP18 – SER_ROM3066
EP19 – SER_ROM3067
EP20 – SER_ROM3068
EP21 – SER_ROM3069
EP22 – SER_ROM3070
EP23 – SER_ROM3071
EP24 – SER_ROM3072
EP25 – SER_ROM3073
EP26 – SER_ROM3074
EP27 – SER_ROM3075
EP28 – SER_ROM3076
EP29 – SER_ROM3077
EP30 – SER_ROM3078
EP31 – SER_ROM3079
EP32 – SER_ROM3080
flourished peony – bản Voice – EP01→EP32
EP01 – SER_ROM3081
EP02 – SER_ROM3082
EP03 – SER_ROM3083
EP04 – SER_ROM3084
EP05 – SER_ROM3085
EP06 – SER_ROM3086
EP07 – SER_ROM3087
EP08 – SER_ROM3088
EP09 – SER_ROM3089
EP10 – SER_ROM3090
EP11 – SER_ROM3091
EP12 – SER_ROM3092
EP13 – SER_ROM3093
EP14 – SER_ROM3094
EP15 – SER_ROM3095
EP16 – SER_ROM3096
EP17 – SER_ROM3097
EP18 – SER_ROM3098
EP19 – SER_ROM3099
EP20 – SER_ROM3100
EP21 – SER_ROM3101
EP22 – SER_ROM3102
EP23 – SER_ROM3103
EP24 – SER_ROM3104
EP25 – SER_ROM3105
EP26 – SER_ROM3106
EP27 – SER_ROM3107
EP28 – SER_ROM3108
EP29 – SER_ROM3109
EP30 – SER_ROM3110
EP31 – SER_ROM3111
EP32 – SER_ROM3112</t>
        </is>
      </c>
      <c r="C123" s="108" t="inlineStr">
        <is>
          <t>Flourished Peony</t>
        </is>
      </c>
      <c r="D123" s="590" t="inlineStr">
        <is>
          <t>Quốc Sắc Phương Hoa</t>
        </is>
      </c>
      <c r="E123" s="108" t="inlineStr">
        <is>
          <t>Huace Media</t>
        </is>
      </c>
      <c r="F123" s="590" t="inlineStr">
        <is>
          <t>Huace Media/Flourished Peony</t>
        </is>
      </c>
      <c r="G123" s="108" t="inlineStr">
        <is>
          <t>China</t>
        </is>
      </c>
      <c r="H123" s="108" t="n">
        <v>2024</v>
      </c>
      <c r="I123" s="108" t="n">
        <v>32</v>
      </c>
      <c r="J123" s="108" t="n">
        <v>45</v>
      </c>
      <c r="K123" s="305">
        <f>(I123*J123)/60</f>
        <v/>
      </c>
      <c r="L123" s="305">
        <f>I123</f>
        <v/>
      </c>
      <c r="M123" s="108" t="inlineStr">
        <is>
          <t>Historical, Business, Romance</t>
        </is>
      </c>
      <c r="N123" s="650" t="inlineStr">
        <is>
          <t>Romance</t>
        </is>
      </c>
      <c r="O123" s="319" t="n">
        <v>45665</v>
      </c>
      <c r="P123" s="319" t="n">
        <v>47490</v>
      </c>
      <c r="Q123" s="650" t="n"/>
      <c r="R123" s="646" t="n"/>
      <c r="S123" s="117" t="n">
        <v>60</v>
      </c>
      <c r="T123" s="117" t="inlineStr">
        <is>
          <t>Yes</t>
        </is>
      </c>
      <c r="U123" s="590" t="inlineStr">
        <is>
          <t>Yes</t>
        </is>
      </c>
      <c r="V123" s="117" t="inlineStr">
        <is>
          <t>Yes</t>
        </is>
      </c>
      <c r="W123" s="117" t="inlineStr">
        <is>
          <t>Yes</t>
        </is>
      </c>
      <c r="X123" s="117" t="inlineStr">
        <is>
          <t>Yes</t>
        </is>
      </c>
      <c r="Y123" s="117" t="inlineStr">
        <is>
          <t>Yes</t>
        </is>
      </c>
      <c r="Z123" s="117" t="inlineStr">
        <is>
          <t>Yes</t>
        </is>
      </c>
      <c r="AA123" s="117" t="inlineStr">
        <is>
          <t>Yes</t>
        </is>
      </c>
      <c r="AB123" s="117" t="inlineStr">
        <is>
          <t>Yes</t>
        </is>
      </c>
      <c r="AC123" s="320" t="n">
        <v>45665</v>
      </c>
      <c r="AD123" s="320" t="n">
        <v>47490</v>
      </c>
      <c r="AE123" s="117" t="inlineStr">
        <is>
          <t>Unlimited</t>
        </is>
      </c>
      <c r="AF123" s="321" t="n"/>
      <c r="AG123" s="648" t="n"/>
      <c r="AH123" s="322" t="n"/>
      <c r="AI123" s="642" t="inlineStr">
        <is>
          <t>Yes</t>
        </is>
      </c>
      <c r="AJ123" s="642" t="inlineStr">
        <is>
          <t>Yes</t>
        </is>
      </c>
      <c r="AK123" s="307" t="inlineStr">
        <is>
          <t>Phim Song song</t>
        </is>
      </c>
      <c r="AL123" s="590" t="inlineStr">
        <is>
          <t>Phim còn hạn từ 2026</t>
        </is>
      </c>
      <c r="AM123" s="203" t="inlineStr">
        <is>
          <t>Flourished Peony (QUỐC SẮC PHƯƠNG HOA)</t>
        </is>
      </c>
      <c r="AN123" s="203" t="n"/>
      <c r="AO123" s="128">
        <f>SUMIF('TK 15661.Bản quyền phim '!F:F,'KK2. Series'!C123,'TK 15661.Bản quyền phim '!K:K)</f>
        <v/>
      </c>
      <c r="AP123" s="128">
        <f>COUNTIF('242.BQ Phim VOD'!$C$5:$C$8,'KK2. Series'!AM123)</f>
        <v/>
      </c>
      <c r="AQ123" s="128">
        <f>COUNTIF('TK 15666. Phim SX'!$C$6:$C$13,'KK2. Series'!AM123)</f>
        <v/>
      </c>
      <c r="AR123" s="203">
        <f>COUNTIF('TK 15661.Bản quyền phim '!F:F,'KK2. Series'!AM123)</f>
        <v/>
      </c>
      <c r="AS123" s="203" t="n"/>
      <c r="AT123" s="366">
        <f>SUM(AP123:AS123)</f>
        <v/>
      </c>
      <c r="AU123" s="203" t="n"/>
      <c r="AV123" s="203" t="n"/>
      <c r="AW123" s="203" t="n"/>
      <c r="AX123" s="203" t="n"/>
      <c r="AY123" s="203" t="n"/>
      <c r="AZ123" s="387" t="inlineStr">
        <is>
          <t>✓ Found</t>
        </is>
      </c>
      <c r="BB123" s="387" t="n"/>
    </row>
    <row r="124" ht="409.6" customHeight="1" s="578">
      <c r="A124" s="96" t="n">
        <v>118</v>
      </c>
      <c r="B124" s="97" t="inlineStr">
        <is>
          <t>EP01 – SER_DRA2946
EP02 – SER_DRA2947
EP03 – SER_DRA2948
EP04 – SER_DRA2949
EP05 – SER_DRA2950
EP06 – SER_DRA2951
EP07 – SER_DRA2952
EP08 – SER_DRA2953
EP09 – SER_DRA2954
EP10 – SER_DRA2955
EP11 – SER_DRA2956
EP12 – SER_DRA2957
EP13 – SER_DRA2958
EP14 – SER_DRA2959
EP15 – SER_DRA2960
EP16 – SER_DRA2961
EP17 – SER_DRA2962
EP18 – SER_DRA2963
EP19 – SER_DRA2964
EP20 – SER_DRA2965
EP21 – SER_DRA2966
EP22 – SER_DRA2967
EP23 – SER_DRA2968
EP24 – SER_DRA2969
EP25 – SER_DRA2970
EP26 – SER_DRA2971
EP27 – SER_DRA2972
EP28 – SER_DRA2973
EP29 – SER_DRA2974
EP30 – SER_DRA2975
EP31 – SER_DRA2976
EP32 – SER_DRA2977
EP33 – SER_DRA2978
EP34 – SER_DRA2979
EP35 – SER_DRA2980
EP36 – SER_DRA2981
EP37 – SER_DRA2982
EP38 – SER_DRA2983
EP39 – SER_DRA2984
EP40 – SER_DRA2985</t>
        </is>
      </c>
      <c r="C124" s="289" t="inlineStr">
        <is>
          <t>Game of wisdom</t>
        </is>
      </c>
      <c r="D124" s="590" t="inlineStr">
        <is>
          <t>Trò chơi thương trường</t>
        </is>
      </c>
      <c r="E124" s="289" t="inlineStr">
        <is>
          <t>HT</t>
        </is>
      </c>
      <c r="F124" s="642" t="inlineStr">
        <is>
          <t>124/2024/HDBQ/VSTV-HT</t>
        </is>
      </c>
      <c r="G124" s="289" t="inlineStr">
        <is>
          <t>China</t>
        </is>
      </c>
      <c r="H124" s="289" t="n">
        <v>2023</v>
      </c>
      <c r="I124" s="289" t="n">
        <v>40</v>
      </c>
      <c r="J124" s="289" t="n">
        <v>45</v>
      </c>
      <c r="K124" s="305">
        <f>(I124*J124)/60</f>
        <v/>
      </c>
      <c r="L124" s="305">
        <f>I124</f>
        <v/>
      </c>
      <c r="M124" s="289" t="inlineStr">
        <is>
          <t>Drama</t>
        </is>
      </c>
      <c r="N124" s="649" t="inlineStr">
        <is>
          <t>Drama</t>
        </is>
      </c>
      <c r="O124" s="654" t="n"/>
      <c r="P124" s="655" t="inlineStr">
        <is>
          <t>VOD only</t>
        </is>
      </c>
      <c r="Q124" s="642" t="n"/>
      <c r="R124" s="642" t="n"/>
      <c r="S124" s="642" t="n"/>
      <c r="T124" s="111" t="inlineStr">
        <is>
          <t>No</t>
        </is>
      </c>
      <c r="U124" s="590" t="inlineStr">
        <is>
          <t>Yes</t>
        </is>
      </c>
      <c r="V124" s="111" t="inlineStr">
        <is>
          <t>No</t>
        </is>
      </c>
      <c r="W124" s="111" t="inlineStr">
        <is>
          <t>Yes</t>
        </is>
      </c>
      <c r="X124" s="111" t="inlineStr">
        <is>
          <t>Yes</t>
        </is>
      </c>
      <c r="Y124" s="111" t="inlineStr">
        <is>
          <t>Yes</t>
        </is>
      </c>
      <c r="Z124" s="111" t="inlineStr">
        <is>
          <t>Yes</t>
        </is>
      </c>
      <c r="AA124" s="111" t="inlineStr">
        <is>
          <t>Yes</t>
        </is>
      </c>
      <c r="AB124" s="111" t="inlineStr">
        <is>
          <t>Yes</t>
        </is>
      </c>
      <c r="AC124" s="331" t="n">
        <v>45658</v>
      </c>
      <c r="AD124" s="331" t="n">
        <v>46387</v>
      </c>
      <c r="AE124" s="642" t="n"/>
      <c r="AF124" s="307" t="n"/>
      <c r="AG124" s="647" t="n"/>
      <c r="AH124" s="318" t="n"/>
      <c r="AI124" s="642" t="inlineStr">
        <is>
          <t>Yes</t>
        </is>
      </c>
      <c r="AJ124" s="642" t="inlineStr">
        <is>
          <t>Yes</t>
        </is>
      </c>
      <c r="AK124" s="307" t="n"/>
      <c r="AL124" s="590" t="inlineStr">
        <is>
          <t>Phim còn hạn từ 2026</t>
        </is>
      </c>
      <c r="AM124" s="203" t="n"/>
      <c r="AN124" s="203" t="n"/>
      <c r="AO124" s="128">
        <f>SUMIF('TK 15661.Bản quyền phim '!F:F,'KK2. Series'!C124,'TK 15661.Bản quyền phim '!K:K)</f>
        <v/>
      </c>
      <c r="AP124" s="128">
        <f>COUNTIF('242.BQ Phim VOD'!$C$5:$C$8,'KK2. Series'!AM124)</f>
        <v/>
      </c>
      <c r="AQ124" s="128">
        <f>COUNTIF('TK 15666. Phim SX'!$C$6:$C$13,'KK2. Series'!AM124)</f>
        <v/>
      </c>
      <c r="AR124" s="203">
        <f>COUNTIF('TK 15661.Bản quyền phim '!F:F,'KK2. Series'!AM124)</f>
        <v/>
      </c>
      <c r="AS124" s="203" t="n">
        <v>1</v>
      </c>
      <c r="AT124" s="366">
        <f>SUM(AP124:AS124)</f>
        <v/>
      </c>
      <c r="AU124" s="203" t="n"/>
      <c r="AV124" s="203" t="n"/>
      <c r="AW124" s="203" t="n"/>
      <c r="AX124" s="203" t="n"/>
      <c r="AY124" s="203" t="n"/>
      <c r="AZ124" s="387" t="inlineStr">
        <is>
          <t>✓ Found</t>
        </is>
      </c>
      <c r="BB124" s="387" t="n"/>
    </row>
    <row r="125" ht="264" customHeight="1" s="578">
      <c r="A125" s="96" t="n">
        <v>119</v>
      </c>
      <c r="B125" s="97" t="inlineStr">
        <is>
          <t>EP01 – SER_ROM2921
EP02 – SER_ROM2922
EP03 – SER_ROM2923
EP04 – SER_ROM2924
EP05 – SER_ROM2925
EP06 – SER_ROM2926
EP07 – SER_ROM2927
EP08 – SER_ROM2928
EP09 – SER_ROM2929
EP10 – SER_ROM2930
EP11 – SER_ROM2931
EP12 – SER_ROM2932
EP13 – SER_ROM2933
EP14 – SER_ROM2934
EP15 – SER_ROM2935
EP16 – SER_ROM2936
EP17 – SER_ROM2937
EP18 – SER_ROM2938
EP19 – SER_ROM2939
EP20 – SER_ROM2940</t>
        </is>
      </c>
      <c r="C125" s="289" t="inlineStr">
        <is>
          <t>Kill me, Heal Me</t>
        </is>
      </c>
      <c r="D125" s="590" t="inlineStr">
        <is>
          <t>Tìm lại chính mình</t>
        </is>
      </c>
      <c r="E125" s="289" t="inlineStr">
        <is>
          <t>HT</t>
        </is>
      </c>
      <c r="F125" s="642" t="inlineStr">
        <is>
          <t>124/2024/HDBQ/VSTV-HT</t>
        </is>
      </c>
      <c r="G125" s="289" t="inlineStr">
        <is>
          <t>Korea</t>
        </is>
      </c>
      <c r="H125" s="289" t="n">
        <v>2015</v>
      </c>
      <c r="I125" s="289" t="n">
        <v>20</v>
      </c>
      <c r="J125" s="289" t="n">
        <v>70</v>
      </c>
      <c r="K125" s="305">
        <f>(I125*J125)/60</f>
        <v/>
      </c>
      <c r="L125" s="305">
        <f>I125</f>
        <v/>
      </c>
      <c r="M125" s="289" t="inlineStr">
        <is>
          <t>Drama</t>
        </is>
      </c>
      <c r="N125" s="649" t="inlineStr">
        <is>
          <t>Romance</t>
        </is>
      </c>
      <c r="O125" s="642" t="n"/>
      <c r="P125" s="590" t="inlineStr">
        <is>
          <t>VOD only</t>
        </is>
      </c>
      <c r="Q125" s="642" t="n"/>
      <c r="R125" s="642" t="n"/>
      <c r="S125" s="642" t="n"/>
      <c r="T125" s="111" t="inlineStr">
        <is>
          <t>No</t>
        </is>
      </c>
      <c r="U125" s="590" t="inlineStr">
        <is>
          <t>Yes</t>
        </is>
      </c>
      <c r="V125" s="111" t="inlineStr">
        <is>
          <t>No</t>
        </is>
      </c>
      <c r="W125" s="111" t="inlineStr">
        <is>
          <t>Yes</t>
        </is>
      </c>
      <c r="X125" s="111" t="inlineStr">
        <is>
          <t>Yes</t>
        </is>
      </c>
      <c r="Y125" s="111" t="inlineStr">
        <is>
          <t>Yes</t>
        </is>
      </c>
      <c r="Z125" s="111" t="inlineStr">
        <is>
          <t>Yes</t>
        </is>
      </c>
      <c r="AA125" s="111" t="inlineStr">
        <is>
          <t>Yes</t>
        </is>
      </c>
      <c r="AB125" s="111" t="inlineStr">
        <is>
          <t>Yes</t>
        </is>
      </c>
      <c r="AC125" s="331" t="n">
        <v>45658</v>
      </c>
      <c r="AD125" s="331" t="n">
        <v>46387</v>
      </c>
      <c r="AE125" s="642" t="n"/>
      <c r="AF125" s="307" t="n"/>
      <c r="AG125" s="647" t="n"/>
      <c r="AH125" s="318" t="n"/>
      <c r="AI125" s="642" t="inlineStr">
        <is>
          <t>Yes</t>
        </is>
      </c>
      <c r="AJ125" s="642" t="inlineStr">
        <is>
          <t>Yes</t>
        </is>
      </c>
      <c r="AK125" s="307" t="n"/>
      <c r="AL125" s="590" t="inlineStr">
        <is>
          <t>Phim còn hạn từ 2026</t>
        </is>
      </c>
      <c r="AM125" s="203" t="n"/>
      <c r="AN125" s="203" t="n"/>
      <c r="AO125" s="128">
        <f>SUMIF('TK 15661.Bản quyền phim '!F:F,'KK2. Series'!C125,'TK 15661.Bản quyền phim '!K:K)</f>
        <v/>
      </c>
      <c r="AP125" s="128">
        <f>COUNTIF('242.BQ Phim VOD'!$C$5:$C$8,'KK2. Series'!AM125)</f>
        <v/>
      </c>
      <c r="AQ125" s="128">
        <f>COUNTIF('TK 15666. Phim SX'!$C$6:$C$13,'KK2. Series'!AM125)</f>
        <v/>
      </c>
      <c r="AR125" s="203">
        <f>COUNTIF('TK 15661.Bản quyền phim '!F:F,'KK2. Series'!AM125)</f>
        <v/>
      </c>
      <c r="AS125" s="203" t="n">
        <v>1</v>
      </c>
      <c r="AT125" s="366">
        <f>SUM(AP125:AS125)</f>
        <v/>
      </c>
      <c r="AU125" s="203" t="n"/>
      <c r="AV125" s="203" t="n"/>
      <c r="AW125" s="203" t="n"/>
      <c r="AX125" s="203" t="n"/>
      <c r="AY125" s="203" t="n"/>
      <c r="AZ125" s="387" t="inlineStr">
        <is>
          <t>✗ Not Found</t>
        </is>
      </c>
      <c r="BB125" s="387" t="n"/>
    </row>
    <row r="126" ht="409.6" customHeight="1" s="578">
      <c r="A126" s="96" t="n">
        <v>120</v>
      </c>
      <c r="B126" s="97" t="inlineStr">
        <is>
          <t>EP01 – SER_DRA3974
EP02 – SER_DRA3975
EP03 – SER_DRA3976
EP04 – SER_DRA3977
EP05 – SER_DRA3978
EP06 – SER_DRA3979
EP07 – SER_DRA3980
EP08 – SER_DRA3981
EP09 – SER_DRA3982
EP10 – SER_DRA3983
EP11 – SER_DRA3984
EP12 – SER_DRA3985
EP13 – SER_DRA3986
EP14 – SER_DRA3987
EP15 – SER_DRA3988
EP16 – SER_DRA3989
EP17 – SER_DRA3990
EP18 – SER_DRA3991
EP19 – SER_DRA3992
EP20 – SER_DRA3993
EP21 – SER_DRA3994
EP22 – SER_DRA3995
EP23 – SER_DRA3996
EP24 – SER_DRA3997
EP25 – SER_DRA3998
EP26 – SER_DRA3999
EP27 – SER_DRA4000
EP28 – SER_DRA4001
EP29 – SER_DRA4002
EP30 – SER_DRA4003
EP31 – SER_DRA4004
EP32 – SER_DRA4005
EP33 – SER_DRA4006
EP34 – SER_DRA4007
EP35 – SER_DRA4008
EP36 – SER_DRA4009
EP37 – SER_DRA4010
EP38 – SER_DRA4011
EP39 – SER_DRA4012
EP40 – SER_DRA4013
EP41 – SER_DRA4014
EP42 – SER_DRA4015
EP43 – SER_DRA4016
EP44 – SER_DRA4017
EP45 – SER_DRA4018
EP46 – SER_DRA4019
EP47 – SER_DRA4020
EP48 – SER_DRA4021
EP49 – SER_DRA4022
EP50 – SER_DRA4023</t>
        </is>
      </c>
      <c r="C126" s="289" t="inlineStr">
        <is>
          <t>The rich son</t>
        </is>
      </c>
      <c r="D126" s="590" t="inlineStr">
        <is>
          <t>Quý tử họ Lee</t>
        </is>
      </c>
      <c r="E126" s="289" t="inlineStr">
        <is>
          <t>HT</t>
        </is>
      </c>
      <c r="F126" s="642" t="inlineStr">
        <is>
          <t>124/2024/HDBQ/VSTV-HT</t>
        </is>
      </c>
      <c r="G126" s="289" t="inlineStr">
        <is>
          <t>Korea</t>
        </is>
      </c>
      <c r="H126" s="289" t="n">
        <v>2018</v>
      </c>
      <c r="I126" s="289" t="n">
        <v>50</v>
      </c>
      <c r="J126" s="289" t="n">
        <v>70</v>
      </c>
      <c r="K126" s="305">
        <f>(I126*J126)/60</f>
        <v/>
      </c>
      <c r="L126" s="305">
        <f>I126</f>
        <v/>
      </c>
      <c r="M126" s="289" t="inlineStr">
        <is>
          <t>Drama</t>
        </is>
      </c>
      <c r="N126" s="649" t="inlineStr">
        <is>
          <t>Drama</t>
        </is>
      </c>
      <c r="O126" s="642" t="n"/>
      <c r="P126" s="590" t="inlineStr">
        <is>
          <t>VOD only</t>
        </is>
      </c>
      <c r="Q126" s="642" t="n"/>
      <c r="R126" s="642" t="n"/>
      <c r="S126" s="642" t="n"/>
      <c r="T126" s="111" t="inlineStr">
        <is>
          <t>No</t>
        </is>
      </c>
      <c r="U126" s="590" t="inlineStr">
        <is>
          <t>Yes</t>
        </is>
      </c>
      <c r="V126" s="111" t="inlineStr">
        <is>
          <t>No</t>
        </is>
      </c>
      <c r="W126" s="111" t="inlineStr">
        <is>
          <t>Yes</t>
        </is>
      </c>
      <c r="X126" s="111" t="inlineStr">
        <is>
          <t>Yes</t>
        </is>
      </c>
      <c r="Y126" s="111" t="inlineStr">
        <is>
          <t>Yes</t>
        </is>
      </c>
      <c r="Z126" s="111" t="inlineStr">
        <is>
          <t>Yes</t>
        </is>
      </c>
      <c r="AA126" s="111" t="inlineStr">
        <is>
          <t>Yes</t>
        </is>
      </c>
      <c r="AB126" s="111" t="inlineStr">
        <is>
          <t>Yes</t>
        </is>
      </c>
      <c r="AC126" s="331" t="n">
        <v>45717</v>
      </c>
      <c r="AD126" s="331" t="n">
        <v>46446</v>
      </c>
      <c r="AE126" s="642" t="n"/>
      <c r="AF126" s="307" t="n"/>
      <c r="AG126" s="647" t="n"/>
      <c r="AH126" s="318" t="n"/>
      <c r="AI126" s="642" t="inlineStr">
        <is>
          <t>Yes</t>
        </is>
      </c>
      <c r="AJ126" s="642" t="inlineStr">
        <is>
          <t>Yes</t>
        </is>
      </c>
      <c r="AK126" s="307" t="n"/>
      <c r="AL126" s="590" t="inlineStr">
        <is>
          <t>Phim còn hạn từ 2026</t>
        </is>
      </c>
      <c r="AM126" s="203" t="n"/>
      <c r="AN126" s="203" t="n"/>
      <c r="AO126" s="128">
        <f>SUMIF('TK 15661.Bản quyền phim '!F:F,'KK2. Series'!C126,'TK 15661.Bản quyền phim '!K:K)</f>
        <v/>
      </c>
      <c r="AP126" s="128">
        <f>COUNTIF('242.BQ Phim VOD'!$C$5:$C$8,'KK2. Series'!AM126)</f>
        <v/>
      </c>
      <c r="AQ126" s="128">
        <f>COUNTIF('TK 15666. Phim SX'!$C$6:$C$13,'KK2. Series'!AM126)</f>
        <v/>
      </c>
      <c r="AR126" s="203">
        <f>COUNTIF('TK 15661.Bản quyền phim '!F:F,'KK2. Series'!AM126)</f>
        <v/>
      </c>
      <c r="AS126" s="203" t="n">
        <v>1</v>
      </c>
      <c r="AT126" s="366">
        <f>SUM(AP126:AS126)</f>
        <v/>
      </c>
      <c r="AU126" s="203" t="n"/>
      <c r="AV126" s="203" t="n"/>
      <c r="AW126" s="203" t="n"/>
      <c r="AX126" s="203" t="n"/>
      <c r="AY126" s="203" t="n"/>
      <c r="AZ126" s="387" t="inlineStr">
        <is>
          <t>✓ Found</t>
        </is>
      </c>
      <c r="BB126" s="387" t="n"/>
    </row>
    <row r="127" ht="409.6" customHeight="1" s="578">
      <c r="A127" s="96" t="n">
        <v>121</v>
      </c>
      <c r="B127" s="97" t="inlineStr">
        <is>
          <t>EP01 – SER_DRA3318
EP02 – SER_DRA3319
EP03 – SER_DRA3320
EP04 – SER_DRA3321
EP05 – SER_DRA3322
EP06 – SER_DRA3323
EP07 – SER_DRA3324
EP08 – SER_DRA3325
EP09 – SER_DRA3326
EP10 – SER_DRA3327
EP11 – SER_DRA3328
EP12 – SER_DRA3329
EP13 – SER_DRA3330
EP14 – SER_DRA3331
EP15 – SER_DRA3332
EP16 – SER_DRA3333
EP17 – SER_DRA3334
EP18 – SER_DRA3335
EP19 – SER_DRA3336
EP20 – SER_DRA3337
EP21 – SER_DRA3338
EP22 – SER_DRA3339
EP23 – SER_DRA3340
EP24 – SER_DRA3341
EP25 – SER_DRA3342
EP26 – SER_DRA3343
EP27 – SER_DRA3344
EP28 – SER_DRA3345
EP29 – SER_DRA3346
EP30 – SER_DRA3347
EP31 – SER_DRA3348
EP32 – SER_DRA3349
EP33 – SER_DRA3350
EP34 – SER_DRA3351
EP35 – SER_DRA3352
EP36 – SER_DRA3353
EP37 – SER_DRA3354
EP38 – SER_DRA3355
EP39 – SER_DRA3356
EP40 – SER_DRA3357
EP41 – SER_DRA3358
EP42 – SER_DRA3359
EP43 – SER_DRA3360
EP44 – SER_DRA3361
EP45 – SER_DRA3362
EP46 – SER_DRA3363
EP47 – SER_DRA3364
EP48 – SER_DRA3365
EP49 – SER_DRA3366
EP50 – SER_DRA3367</t>
        </is>
      </c>
      <c r="C127" s="289" t="inlineStr">
        <is>
          <t>Father, I'll take care of you</t>
        </is>
      </c>
      <c r="D127" s="590" t="inlineStr">
        <is>
          <t>Bố là tất cả</t>
        </is>
      </c>
      <c r="E127" s="289" t="inlineStr">
        <is>
          <t>HT</t>
        </is>
      </c>
      <c r="F127" s="642" t="inlineStr">
        <is>
          <t>124/2024/HDBQ/VSTV-HT</t>
        </is>
      </c>
      <c r="G127" s="289" t="inlineStr">
        <is>
          <t>Korea</t>
        </is>
      </c>
      <c r="H127" s="289" t="n">
        <v>2016</v>
      </c>
      <c r="I127" s="289" t="n">
        <v>50</v>
      </c>
      <c r="J127" s="289" t="n">
        <v>70</v>
      </c>
      <c r="K127" s="305">
        <f>(I127*J127)/60</f>
        <v/>
      </c>
      <c r="L127" s="305">
        <f>I127</f>
        <v/>
      </c>
      <c r="M127" s="289" t="inlineStr">
        <is>
          <t>Drama</t>
        </is>
      </c>
      <c r="N127" s="656" t="inlineStr">
        <is>
          <t>Drama</t>
        </is>
      </c>
      <c r="O127" s="649" t="n"/>
      <c r="P127" s="590" t="inlineStr">
        <is>
          <t>VOD only</t>
        </is>
      </c>
      <c r="Q127" s="642" t="n"/>
      <c r="R127" s="642" t="n"/>
      <c r="S127" s="642" t="n"/>
      <c r="T127" s="111" t="inlineStr">
        <is>
          <t>No</t>
        </is>
      </c>
      <c r="U127" s="590" t="inlineStr">
        <is>
          <t>Yes</t>
        </is>
      </c>
      <c r="V127" s="111" t="inlineStr">
        <is>
          <t>No</t>
        </is>
      </c>
      <c r="W127" s="111" t="inlineStr">
        <is>
          <t>Yes</t>
        </is>
      </c>
      <c r="X127" s="111" t="inlineStr">
        <is>
          <t>Yes</t>
        </is>
      </c>
      <c r="Y127" s="111" t="inlineStr">
        <is>
          <t>Yes</t>
        </is>
      </c>
      <c r="Z127" s="111" t="inlineStr">
        <is>
          <t>Yes</t>
        </is>
      </c>
      <c r="AA127" s="111" t="inlineStr">
        <is>
          <t>Yes</t>
        </is>
      </c>
      <c r="AB127" s="111" t="inlineStr">
        <is>
          <t>Yes</t>
        </is>
      </c>
      <c r="AC127" s="331" t="n">
        <v>45658</v>
      </c>
      <c r="AD127" s="331" t="n">
        <v>46387</v>
      </c>
      <c r="AE127" s="642" t="n"/>
      <c r="AF127" s="307" t="n"/>
      <c r="AG127" s="647" t="n"/>
      <c r="AH127" s="318" t="n"/>
      <c r="AI127" s="642" t="inlineStr">
        <is>
          <t>Yes</t>
        </is>
      </c>
      <c r="AJ127" s="642" t="inlineStr">
        <is>
          <t>Yes</t>
        </is>
      </c>
      <c r="AK127" s="307" t="n"/>
      <c r="AL127" s="590" t="inlineStr">
        <is>
          <t>Phim còn hạn từ 2026</t>
        </is>
      </c>
      <c r="AM127" s="203" t="n"/>
      <c r="AN127" s="203" t="n"/>
      <c r="AO127" s="128">
        <f>SUMIF('TK 15661.Bản quyền phim '!F:F,'KK2. Series'!C127,'TK 15661.Bản quyền phim '!K:K)</f>
        <v/>
      </c>
      <c r="AP127" s="128">
        <f>COUNTIF('242.BQ Phim VOD'!$C$5:$C$8,'KK2. Series'!AM127)</f>
        <v/>
      </c>
      <c r="AQ127" s="128">
        <f>COUNTIF('TK 15666. Phim SX'!$C$6:$C$13,'KK2. Series'!AM127)</f>
        <v/>
      </c>
      <c r="AR127" s="203">
        <f>COUNTIF('TK 15661.Bản quyền phim '!F:F,'KK2. Series'!AM127)</f>
        <v/>
      </c>
      <c r="AS127" s="203" t="n">
        <v>1</v>
      </c>
      <c r="AT127" s="366">
        <f>SUM(AP127:AS127)</f>
        <v/>
      </c>
      <c r="AU127" s="203" t="n"/>
      <c r="AV127" s="203" t="n"/>
      <c r="AW127" s="203" t="n"/>
      <c r="AX127" s="203" t="n"/>
      <c r="AY127" s="203" t="n"/>
      <c r="AZ127" s="387" t="inlineStr">
        <is>
          <t>✗ Not Found</t>
        </is>
      </c>
      <c r="BB127" s="387" t="n"/>
    </row>
    <row r="128" ht="409.6" customHeight="1" s="578">
      <c r="A128" s="96" t="n">
        <v>122</v>
      </c>
      <c r="B128" s="97" t="inlineStr">
        <is>
          <t>EP01 – SER_HIS573
EP02 – SER_HIS574
EP03 – SER_HIS575
EP04 – SER_HIS576
EP05 – SER_HIS577
EP06 – SER_HIS578
EP07 – SER_HIS579
EP08 – SER_HIS580
EP09 – SER_HIS581
EP10 – SER_HIS582
EP11 – SER_HIS583
EP12 – SER_HIS584
EP13 – SER_HIS585
EP14 – SER_HIS586
EP15 – SER_HIS587
EP16 – SER_HIS588
EP17 – SER_HIS589
EP18 – SER_HIS590
EP19 – SER_HIS591
EP20 – SER_HIS592
EP21 – SER_HIS593
EP22 – SER_HIS594
EP23 – SER_HIS595
EP24 – SER_HIS596
EP25 – SER_HIS597
EP26 – SER_HIS598
EP27 – SER_HIS599
EP28 – SER_HIS600
EP29 – SER_HIS601
EP30 – SER_HIS602
EP31 – SER_HIS603
EP32 – SER_HIS604
EP33 – SER_HIS605
EP34 – SER_HIS606
EP35 – SER_HIS607
EP36 – SER_HIS608
EP37 – SER_HIS609
EP38 – SER_HIS610
EP39 – SER_HIS611
EP40 – SER_HIS612
EP41 – SER_HIS613
EP42 – SER_HIS614
EP43 – SER_HIS615
EP44 – SER_HIS616
EP45 – SER_HIS617
EP46 – SER_HIS618
EP47 – SER_HIS619
EP48 – SER_HIS620
EP49 – SER_HIS621
EP50 – SER_HIS622
EP51 – SER_HIS623</t>
        </is>
      </c>
      <c r="C128" s="335" t="inlineStr">
        <is>
          <t>The flower in Prison</t>
        </is>
      </c>
      <c r="D128" s="614" t="inlineStr">
        <is>
          <t>Hoa trong ngục</t>
        </is>
      </c>
      <c r="E128" s="289" t="inlineStr">
        <is>
          <t>HT</t>
        </is>
      </c>
      <c r="F128" s="642" t="inlineStr">
        <is>
          <t>124/2024/HDBQ/VSTV-HT</t>
        </is>
      </c>
      <c r="G128" s="289" t="inlineStr">
        <is>
          <t>Korea</t>
        </is>
      </c>
      <c r="H128" s="289" t="n">
        <v>2016</v>
      </c>
      <c r="I128" s="289" t="n">
        <v>51</v>
      </c>
      <c r="J128" s="289" t="n">
        <v>70</v>
      </c>
      <c r="K128" s="305">
        <f>(I128*J128)/60</f>
        <v/>
      </c>
      <c r="L128" s="305">
        <f>I128</f>
        <v/>
      </c>
      <c r="M128" s="289" t="inlineStr">
        <is>
          <t>Drama</t>
        </is>
      </c>
      <c r="N128" s="656" t="inlineStr">
        <is>
          <t>Drama</t>
        </is>
      </c>
      <c r="O128" s="649" t="n"/>
      <c r="P128" s="590" t="inlineStr">
        <is>
          <t>VOD only</t>
        </is>
      </c>
      <c r="Q128" s="642" t="n"/>
      <c r="R128" s="642" t="n"/>
      <c r="S128" s="642" t="n"/>
      <c r="T128" s="111" t="inlineStr">
        <is>
          <t>No</t>
        </is>
      </c>
      <c r="U128" s="590" t="inlineStr">
        <is>
          <t>Yes</t>
        </is>
      </c>
      <c r="V128" s="111" t="inlineStr">
        <is>
          <t>No</t>
        </is>
      </c>
      <c r="W128" s="111" t="inlineStr">
        <is>
          <t>Yes</t>
        </is>
      </c>
      <c r="X128" s="111" t="inlineStr">
        <is>
          <t>Yes</t>
        </is>
      </c>
      <c r="Y128" s="111" t="inlineStr">
        <is>
          <t>Yes</t>
        </is>
      </c>
      <c r="Z128" s="111" t="inlineStr">
        <is>
          <t>Yes</t>
        </is>
      </c>
      <c r="AA128" s="111" t="inlineStr">
        <is>
          <t>Yes</t>
        </is>
      </c>
      <c r="AB128" s="111" t="inlineStr">
        <is>
          <t>Yes</t>
        </is>
      </c>
      <c r="AC128" s="331" t="n">
        <v>45658</v>
      </c>
      <c r="AD128" s="331" t="n">
        <v>46387</v>
      </c>
      <c r="AE128" s="642" t="n"/>
      <c r="AF128" s="307" t="n"/>
      <c r="AG128" s="647" t="n"/>
      <c r="AH128" s="318" t="n"/>
      <c r="AI128" s="642" t="inlineStr">
        <is>
          <t>Yes</t>
        </is>
      </c>
      <c r="AJ128" s="642" t="inlineStr">
        <is>
          <t>Yes</t>
        </is>
      </c>
      <c r="AK128" s="307" t="n"/>
      <c r="AL128" s="590" t="inlineStr">
        <is>
          <t>Phim còn hạn từ 2026</t>
        </is>
      </c>
      <c r="AM128" s="203" t="n"/>
      <c r="AN128" s="203" t="n"/>
      <c r="AO128" s="128">
        <f>SUMIF('TK 15661.Bản quyền phim '!F:F,'KK2. Series'!C128,'TK 15661.Bản quyền phim '!K:K)</f>
        <v/>
      </c>
      <c r="AP128" s="128">
        <f>COUNTIF('242.BQ Phim VOD'!$C$5:$C$8,'KK2. Series'!AM128)</f>
        <v/>
      </c>
      <c r="AQ128" s="128">
        <f>COUNTIF('TK 15666. Phim SX'!$C$6:$C$13,'KK2. Series'!AM128)</f>
        <v/>
      </c>
      <c r="AR128" s="203">
        <f>COUNTIF('TK 15661.Bản quyền phim '!F:F,'KK2. Series'!AM128)</f>
        <v/>
      </c>
      <c r="AS128" s="203" t="n">
        <v>1</v>
      </c>
      <c r="AT128" s="366">
        <f>SUM(AP128:AS128)</f>
        <v/>
      </c>
      <c r="AU128" s="203" t="n"/>
      <c r="AV128" s="203" t="n"/>
      <c r="AW128" s="203" t="n"/>
      <c r="AX128" s="203" t="n"/>
      <c r="AY128" s="203" t="n"/>
      <c r="AZ128" s="387" t="inlineStr">
        <is>
          <t>✓ Found</t>
        </is>
      </c>
      <c r="BB128" s="387" t="n"/>
    </row>
    <row r="129" ht="409.6" customHeight="1" s="578">
      <c r="A129" s="96" t="n">
        <v>123</v>
      </c>
      <c r="B129" s="97" t="inlineStr">
        <is>
          <t>EP01 – SER_DRA3684
EP02 – SER_DRA3685
EP03 – SER_DRA3686
EP04 – SER_DRA3687
EP05 – SER_DRA3688
EP06 – SER_DRA3689
EP07 – SER_DRA3690
EP08 – SER_DRA3691
EP09 – SER_DRA3692
EP10 – SER_DRA3693
EP11 – SER_DRA3694
EP12 – SER_DRA3695
EP13 – SER_DRA3696
EP14 – SER_DRA3697
EP15 – SER_DRA3698
EP16 – SER_DRA3699
EP17 – SER_DRA3700
EP18 – SER_DRA3701
EP19 – SER_DRA3702
EP20 – SER_DRA3703
EP21 – SER_DRA3704
EP22 – SER_DRA3705
EP23 – SER_DRA3706
EP24 – SER_DRA3707
EP25 – SER_DRA3708
EP26 – SER_DRA3709
EP27 – SER_DRA3710
EP28 – SER_DRA3711
EP29 – SER_DRA3712
EP30 – SER_DRA3713
EP31 – SER_DRA3714
EP32 – SER_DRA3715
EP33 – SER_DRA3716
EP34 – SER_DRA3717
EP35 – SER_DRA3718
EP36 – SER_DRA3719
EP37 – SER_DRA3720
EP38 – SER_DRA3721
EP39 – SER_DRA3722
EP40 – SER_DRA3723
EP41 – SER_DRA3724
EP42 – SER_DRA3725
EP43 – SER_DRA3726
EP44 – SER_DRA3727
EP45 – SER_DRA3728
EP46 – SER_DRA3729
EP47 – SER_DRA3730
EP48 – SER_DRA3731
EP49 – SER_DRA3732
EP50 – SER_DRA3733
EP51 – SER_DRA3734
EP52 – SER_DRA3735
EP53 – SER_DRA3736
EP54 – SER_DRA3737
EP55 – SER_DRA3738
EP56 – SER_DRA3739</t>
        </is>
      </c>
      <c r="C129" s="336" t="inlineStr">
        <is>
          <t>East of Eden</t>
        </is>
      </c>
      <c r="D129" s="642" t="inlineStr">
        <is>
          <t>Phía đông vườn địa đàng</t>
        </is>
      </c>
      <c r="E129" s="292" t="inlineStr">
        <is>
          <t>HT</t>
        </is>
      </c>
      <c r="F129" s="642" t="inlineStr">
        <is>
          <t>124/2024/HDBQ/VSTV-HT</t>
        </is>
      </c>
      <c r="G129" s="289" t="inlineStr">
        <is>
          <t>Korea</t>
        </is>
      </c>
      <c r="H129" s="289" t="n">
        <v>2008</v>
      </c>
      <c r="I129" s="289" t="n">
        <v>56</v>
      </c>
      <c r="J129" s="289" t="n">
        <v>70</v>
      </c>
      <c r="K129" s="305">
        <f>(I129*J129)/60</f>
        <v/>
      </c>
      <c r="L129" s="305">
        <f>I129</f>
        <v/>
      </c>
      <c r="M129" s="289" t="inlineStr">
        <is>
          <t>Drama</t>
        </is>
      </c>
      <c r="N129" s="657" t="inlineStr">
        <is>
          <t>Drama</t>
        </is>
      </c>
      <c r="O129" s="650" t="n"/>
      <c r="P129" s="614" t="inlineStr">
        <is>
          <t>VOD only</t>
        </is>
      </c>
      <c r="Q129" s="646" t="n"/>
      <c r="R129" s="646" t="n"/>
      <c r="S129" s="646" t="n"/>
      <c r="T129" s="117" t="inlineStr">
        <is>
          <t>No</t>
        </is>
      </c>
      <c r="U129" s="590" t="inlineStr">
        <is>
          <t>Yes</t>
        </is>
      </c>
      <c r="V129" s="117" t="inlineStr">
        <is>
          <t>No</t>
        </is>
      </c>
      <c r="W129" s="117" t="inlineStr">
        <is>
          <t>Yes</t>
        </is>
      </c>
      <c r="X129" s="117" t="inlineStr">
        <is>
          <t>Yes</t>
        </is>
      </c>
      <c r="Y129" s="117" t="inlineStr">
        <is>
          <t>Yes</t>
        </is>
      </c>
      <c r="Z129" s="117" t="inlineStr">
        <is>
          <t>Yes</t>
        </is>
      </c>
      <c r="AA129" s="117" t="inlineStr">
        <is>
          <t>Yes</t>
        </is>
      </c>
      <c r="AB129" s="117" t="inlineStr">
        <is>
          <t>Yes</t>
        </is>
      </c>
      <c r="AC129" s="337" t="n">
        <v>45658</v>
      </c>
      <c r="AD129" s="337" t="n">
        <v>46387</v>
      </c>
      <c r="AE129" s="646" t="n"/>
      <c r="AF129" s="321" t="n"/>
      <c r="AG129" s="648" t="n"/>
      <c r="AH129" s="322" t="n"/>
      <c r="AI129" s="642" t="inlineStr">
        <is>
          <t>Yes</t>
        </is>
      </c>
      <c r="AJ129" s="642" t="inlineStr">
        <is>
          <t>Yes</t>
        </is>
      </c>
      <c r="AK129" s="307" t="n"/>
      <c r="AL129" s="590" t="inlineStr">
        <is>
          <t>Phim còn hạn từ 2026</t>
        </is>
      </c>
      <c r="AM129" s="203" t="n"/>
      <c r="AN129" s="203" t="n"/>
      <c r="AO129" s="128">
        <f>SUMIF('TK 15661.Bản quyền phim '!F:F,'KK2. Series'!C129,'TK 15661.Bản quyền phim '!K:K)</f>
        <v/>
      </c>
      <c r="AP129" s="128">
        <f>COUNTIF('242.BQ Phim VOD'!$C$5:$C$8,'KK2. Series'!AM129)</f>
        <v/>
      </c>
      <c r="AQ129" s="128">
        <f>COUNTIF('TK 15666. Phim SX'!$C$6:$C$13,'KK2. Series'!AM129)</f>
        <v/>
      </c>
      <c r="AR129" s="203">
        <f>COUNTIF('TK 15661.Bản quyền phim '!F:F,'KK2. Series'!AM129)</f>
        <v/>
      </c>
      <c r="AS129" s="203" t="n">
        <v>1</v>
      </c>
      <c r="AT129" s="366">
        <f>SUM(AP129:AS129)</f>
        <v/>
      </c>
      <c r="AU129" s="203" t="n"/>
      <c r="AV129" s="203" t="n"/>
      <c r="AW129" s="203" t="n"/>
      <c r="AX129" s="203" t="n"/>
      <c r="AY129" s="203" t="n"/>
      <c r="AZ129" s="387" t="inlineStr">
        <is>
          <t>✓ Found</t>
        </is>
      </c>
      <c r="BB129" s="387" t="n"/>
    </row>
    <row r="130" ht="409.6" customHeight="1" s="578">
      <c r="A130" s="96" t="n">
        <v>124</v>
      </c>
      <c r="B130" s="97" t="inlineStr">
        <is>
          <t>EP01 – SER_DRA3932
EP02 – SER_DRA3933
EP03 – SER_DRA3934
EP04 – SER_DRA3935
EP05 – SER_DRA3936
EP06 – SER_DRA3937
EP07 – SER_DRA3938
EP08 – SER_DRA3939
EP09 – SER_DRA3940
EP10 – SER_DRA3941
EP11 – SER_DRA3942
EP12 – SER_DRA3943
EP13 – SER_DRA3944
EP14 – SER_DRA3945
EP15 – SER_DRA3946
EP16 – SER_DRA3947
EP17 – SER_DRA3948
EP18 – SER_DRA3949
EP19 – SER_DRA3950
EP20 – SER_DRA3951
EP21 – SER_DRA3952
EP22 – SER_DRA3953
EP23 – SER_DRA3954
EP24 – SER_DRA3955
EP25 – SER_DRA3956
EP26 – SER_DRA3957
EP27 – SER_DRA3958
EP28 – SER_DRA3959
EP29 – SER_DRA3960
EP30 – SER_DRA3961
EP31 – SER_DRA3962
EP32 – SER_DRA3963
EP33 – SER_DRA3964
EP34 – SER_DRA3965
EP35 – SER_DRA3966
EP36 – SER_DRA3967
EP37 – SER_DRA3968
EP38 – SER_DRA3969
EP39 – SER_DRA3970
EP40 – SER_DRA3971</t>
        </is>
      </c>
      <c r="C130" s="111" t="inlineStr">
        <is>
          <t>Never Give Up</t>
        </is>
      </c>
      <c r="D130" s="642" t="inlineStr">
        <is>
          <t>Hôm nay phải cố lên</t>
        </is>
      </c>
      <c r="E130" s="291" t="inlineStr">
        <is>
          <t>iQiYi</t>
        </is>
      </c>
      <c r="F130" s="590" t="inlineStr">
        <is>
          <t>09A/2025/HDBQ/VSTV-IQIYI</t>
        </is>
      </c>
      <c r="G130" s="108" t="inlineStr">
        <is>
          <t>China</t>
        </is>
      </c>
      <c r="H130" s="108" t="n">
        <v>2023</v>
      </c>
      <c r="I130" s="108" t="n">
        <v>40</v>
      </c>
      <c r="J130" s="108" t="n">
        <v>30</v>
      </c>
      <c r="K130" s="305">
        <f>(I130*J130)/60</f>
        <v/>
      </c>
      <c r="L130" s="305">
        <f>I130</f>
        <v/>
      </c>
      <c r="M130" s="293" t="inlineStr">
        <is>
          <t>Comedy, Drama</t>
        </is>
      </c>
      <c r="N130" s="293" t="inlineStr">
        <is>
          <t>Comedy, Drama</t>
        </is>
      </c>
      <c r="O130" s="338" t="n">
        <v>45689</v>
      </c>
      <c r="P130" s="319" t="n">
        <v>46784</v>
      </c>
      <c r="Q130" s="642" t="n"/>
      <c r="R130" s="642" t="n"/>
      <c r="S130" s="111" t="n">
        <v>0</v>
      </c>
      <c r="T130" s="111" t="inlineStr">
        <is>
          <t>No</t>
        </is>
      </c>
      <c r="U130" s="590" t="inlineStr">
        <is>
          <t>Yes</t>
        </is>
      </c>
      <c r="V130" s="111" t="inlineStr">
        <is>
          <t>Yes</t>
        </is>
      </c>
      <c r="W130" s="111" t="inlineStr">
        <is>
          <t>Yes</t>
        </is>
      </c>
      <c r="X130" s="642" t="inlineStr">
        <is>
          <t>No</t>
        </is>
      </c>
      <c r="Y130" s="111" t="inlineStr">
        <is>
          <t>Yes</t>
        </is>
      </c>
      <c r="Z130" s="111" t="inlineStr">
        <is>
          <t>Yes</t>
        </is>
      </c>
      <c r="AA130" s="111" t="inlineStr">
        <is>
          <t>Yes</t>
        </is>
      </c>
      <c r="AB130" s="111" t="inlineStr">
        <is>
          <t>Yes</t>
        </is>
      </c>
      <c r="AC130" s="319" t="n">
        <v>45689</v>
      </c>
      <c r="AD130" s="319" t="n">
        <v>46784</v>
      </c>
      <c r="AE130" s="111" t="inlineStr">
        <is>
          <t>Unlimited</t>
        </is>
      </c>
      <c r="AF130" s="307" t="n"/>
      <c r="AG130" s="647" t="n"/>
      <c r="AH130" s="318" t="n"/>
      <c r="AI130" s="642" t="inlineStr">
        <is>
          <t>Yes</t>
        </is>
      </c>
      <c r="AJ130" s="642" t="inlineStr">
        <is>
          <t>Yes</t>
        </is>
      </c>
      <c r="AK130" s="307" t="n"/>
      <c r="AL130" s="590" t="inlineStr">
        <is>
          <t>Phim còn hạn từ 2026</t>
        </is>
      </c>
      <c r="AM130" s="643" t="inlineStr">
        <is>
          <t>Never Give Up</t>
        </is>
      </c>
      <c r="AN130" s="203" t="n"/>
      <c r="AO130" s="128">
        <f>SUMIF('TK 15661.Bản quyền phim '!F:F,'KK2. Series'!C130,'TK 15661.Bản quyền phim '!K:K)</f>
        <v/>
      </c>
      <c r="AP130" s="128">
        <f>COUNTIF('242.BQ Phim VOD'!$C$5:$C$8,'KK2. Series'!AM130)</f>
        <v/>
      </c>
      <c r="AQ130" s="128">
        <f>COUNTIF('TK 15666. Phim SX'!$C$6:$C$13,'KK2. Series'!AM130)</f>
        <v/>
      </c>
      <c r="AR130" s="203">
        <f>COUNTIF('TK 15661.Bản quyền phim '!F:F,'KK2. Series'!AM130)</f>
        <v/>
      </c>
      <c r="AS130" s="203" t="n"/>
      <c r="AT130" s="366">
        <f>SUM(AP130:AS130)</f>
        <v/>
      </c>
      <c r="AU130" s="203" t="n"/>
      <c r="AV130" s="203" t="n"/>
      <c r="AW130" s="203" t="n"/>
      <c r="AX130" s="203" t="n"/>
      <c r="AY130" s="203" t="n"/>
      <c r="AZ130" s="387" t="inlineStr">
        <is>
          <t>✓ Found</t>
        </is>
      </c>
      <c r="BB130" s="387" t="n"/>
    </row>
    <row r="131" ht="409.6" customHeight="1" s="578">
      <c r="A131" s="96" t="n">
        <v>125</v>
      </c>
      <c r="B131" s="97" t="inlineStr">
        <is>
          <t>Imperfect Victim (29 Tập)
EP01 – SER_CRI2350
EP02 – SER_CRI2351
EP03 – SER_CRI2352
EP04 – SER_CRI2353
EP05 – SER_CRI2354
EP06 – SER_CRI2355
EP07 – SER_CRI2356
EP08 – SER_CRI2357
EP09 – SER_CRI2358
EP10 – SER_CRI2359
EP11 – SER_CRI2360
EP12 – SER_CRI2361
EP13 – SER_CRI2362
EP14 – SER_CRI2363
EP15 – SER_CRI2364
EP16 – SER_CRI2365
EP17 – SER_CRI2366
EP18 – SER_CRI2367
EP19 – SER_CRI2368
EP20 – SER_CRI2369
EP21 – SER_CRI2370
EP22 – SER_CRI2371
EP23 – SER_CRI2372
EP24 – SER_CRI2373
EP25 – SER_CRI2374
EP26 – SER_CRI2375
EP27 – SER_CRI2376
EP28 – SER_CRI2377
EP29 – SER_CRI2378</t>
        </is>
      </c>
      <c r="C131" s="111" t="inlineStr">
        <is>
          <t>Imperfect Victim</t>
        </is>
      </c>
      <c r="D131" s="642" t="inlineStr">
        <is>
          <t>Nạn nhân không hoàn hảo</t>
        </is>
      </c>
      <c r="E131" s="291" t="inlineStr">
        <is>
          <t>iQiYi</t>
        </is>
      </c>
      <c r="F131" s="590" t="inlineStr">
        <is>
          <t>09A/2025/HDBQ/VSTV-IQIYI</t>
        </is>
      </c>
      <c r="G131" s="108" t="inlineStr">
        <is>
          <t>China</t>
        </is>
      </c>
      <c r="H131" s="108" t="n">
        <v>2023</v>
      </c>
      <c r="I131" s="108" t="n">
        <v>29</v>
      </c>
      <c r="J131" s="108" t="n">
        <v>40</v>
      </c>
      <c r="K131" s="305">
        <f>(I131*J131)/60</f>
        <v/>
      </c>
      <c r="L131" s="305">
        <f>I131</f>
        <v/>
      </c>
      <c r="M131" s="294" t="inlineStr">
        <is>
          <t>Drama</t>
        </is>
      </c>
      <c r="N131" s="294" t="inlineStr">
        <is>
          <t>Drama</t>
        </is>
      </c>
      <c r="O131" s="324" t="n">
        <v>45773</v>
      </c>
      <c r="P131" s="320" t="n">
        <v>47233</v>
      </c>
      <c r="Q131" s="646" t="n"/>
      <c r="R131" s="646" t="n"/>
      <c r="S131" s="117" t="n">
        <v>48</v>
      </c>
      <c r="T131" s="117" t="inlineStr">
        <is>
          <t>No</t>
        </is>
      </c>
      <c r="U131" s="590" t="inlineStr">
        <is>
          <t>Yes</t>
        </is>
      </c>
      <c r="V131" s="117" t="inlineStr">
        <is>
          <t>Yes</t>
        </is>
      </c>
      <c r="W131" s="117" t="inlineStr">
        <is>
          <t>Yes</t>
        </is>
      </c>
      <c r="X131" s="642" t="inlineStr">
        <is>
          <t>No</t>
        </is>
      </c>
      <c r="Y131" s="117" t="inlineStr">
        <is>
          <t>Yes</t>
        </is>
      </c>
      <c r="Z131" s="117" t="inlineStr">
        <is>
          <t>Yes</t>
        </is>
      </c>
      <c r="AA131" s="117" t="inlineStr">
        <is>
          <t>Yes</t>
        </is>
      </c>
      <c r="AB131" s="117" t="inlineStr">
        <is>
          <t>Yes</t>
        </is>
      </c>
      <c r="AC131" s="320" t="n">
        <v>45773</v>
      </c>
      <c r="AD131" s="320" t="n">
        <v>47233</v>
      </c>
      <c r="AE131" s="117" t="inlineStr">
        <is>
          <t>Unlimited</t>
        </is>
      </c>
      <c r="AF131" s="321" t="n">
        <v>4</v>
      </c>
      <c r="AG131" s="648" t="n">
        <v>45802</v>
      </c>
      <c r="AH131" s="322" t="n"/>
      <c r="AI131" s="642" t="inlineStr">
        <is>
          <t>Yes</t>
        </is>
      </c>
      <c r="AJ131" s="642" t="inlineStr">
        <is>
          <t>Yes</t>
        </is>
      </c>
      <c r="AK131" s="307" t="n"/>
      <c r="AL131" s="590" t="inlineStr">
        <is>
          <t>Phim còn hạn từ 2026</t>
        </is>
      </c>
      <c r="AM131" s="643" t="inlineStr">
        <is>
          <t>Imperfect Victim</t>
        </is>
      </c>
      <c r="AN131" s="203" t="n"/>
      <c r="AO131" s="128">
        <f>SUMIF('TK 15661.Bản quyền phim '!F:F,'KK2. Series'!C131,'TK 15661.Bản quyền phim '!K:K)</f>
        <v/>
      </c>
      <c r="AP131" s="128">
        <f>COUNTIF('242.BQ Phim VOD'!$C$5:$C$8,'KK2. Series'!AM131)</f>
        <v/>
      </c>
      <c r="AQ131" s="128">
        <f>COUNTIF('TK 15666. Phim SX'!$C$6:$C$13,'KK2. Series'!AM131)</f>
        <v/>
      </c>
      <c r="AR131" s="203">
        <f>COUNTIF('TK 15661.Bản quyền phim '!F:F,'KK2. Series'!AM131)</f>
        <v/>
      </c>
      <c r="AS131" s="203" t="n"/>
      <c r="AT131" s="366">
        <f>SUM(AP131:AS131)</f>
        <v/>
      </c>
      <c r="AU131" s="203" t="n"/>
      <c r="AV131" s="203" t="n"/>
      <c r="AW131" s="203" t="n"/>
      <c r="AX131" s="203" t="n"/>
      <c r="AY131" s="203" t="n"/>
      <c r="AZ131" s="387" t="inlineStr">
        <is>
          <t>✓ Found</t>
        </is>
      </c>
      <c r="BB131" s="387" t="n"/>
    </row>
    <row r="132" ht="409.6" customHeight="1" s="578">
      <c r="A132" s="96" t="n">
        <v>126</v>
      </c>
      <c r="B132" s="97" t="inlineStr">
        <is>
          <t>Who is the Murderer (16 Tập)
EP01 – SER_CRI2504
EP02 – SER_CRI2505
EP03 – SER_CRI2506
EP04 – SER_CRI2507
EP05 – SER_CRI2508
EP06 – SER_CRI2509
EP07 – SER_CRI2510
EP08 – SER_CRI2511
EP09 – SER_CRI2512
EP10 – SER_CRI2513
EP11 – SER_CRI2514
EP12 – SER_CRI2515
EP13 – SER_CRI2516
EP14 – SER_CRI2517
EP15 – SER_CRI2518
EP16 – SER_CRI2519</t>
        </is>
      </c>
      <c r="C132" s="111" t="inlineStr">
        <is>
          <t>Who is the Murderer</t>
        </is>
      </c>
      <c r="D132" s="642" t="inlineStr">
        <is>
          <t>Ai là hung thủ</t>
        </is>
      </c>
      <c r="E132" s="291" t="inlineStr">
        <is>
          <t>iQiYi</t>
        </is>
      </c>
      <c r="F132" s="590" t="inlineStr">
        <is>
          <t>09A/2025/HDBQ/VSTV-IQIYI</t>
        </is>
      </c>
      <c r="G132" s="108" t="inlineStr">
        <is>
          <t>China</t>
        </is>
      </c>
      <c r="H132" s="108" t="n">
        <v>2021</v>
      </c>
      <c r="I132" s="108" t="n">
        <v>16</v>
      </c>
      <c r="J132" s="108" t="n">
        <v>40</v>
      </c>
      <c r="K132" s="305">
        <f>(I132*J132)/60</f>
        <v/>
      </c>
      <c r="L132" s="305">
        <f>I132</f>
        <v/>
      </c>
      <c r="M132" s="293" t="inlineStr">
        <is>
          <t>Drama, Crime</t>
        </is>
      </c>
      <c r="N132" s="293" t="inlineStr">
        <is>
          <t>Drama, Crime</t>
        </is>
      </c>
      <c r="O132" s="338" t="n">
        <v>45817</v>
      </c>
      <c r="P132" s="319" t="n">
        <v>47277</v>
      </c>
      <c r="Q132" s="642" t="n"/>
      <c r="R132" s="642" t="n"/>
      <c r="S132" s="111" t="n">
        <v>48</v>
      </c>
      <c r="T132" s="111" t="inlineStr">
        <is>
          <t>No</t>
        </is>
      </c>
      <c r="U132" s="590" t="inlineStr">
        <is>
          <t>Yes</t>
        </is>
      </c>
      <c r="V132" s="111" t="inlineStr">
        <is>
          <t>Yes</t>
        </is>
      </c>
      <c r="W132" s="111" t="inlineStr">
        <is>
          <t>Yes</t>
        </is>
      </c>
      <c r="X132" s="642" t="inlineStr">
        <is>
          <t>No</t>
        </is>
      </c>
      <c r="Y132" s="111" t="inlineStr">
        <is>
          <t>Yes</t>
        </is>
      </c>
      <c r="Z132" s="111" t="inlineStr">
        <is>
          <t>Yes</t>
        </is>
      </c>
      <c r="AA132" s="111" t="inlineStr">
        <is>
          <t>Yes</t>
        </is>
      </c>
      <c r="AB132" s="111" t="inlineStr">
        <is>
          <t>Yes</t>
        </is>
      </c>
      <c r="AC132" s="319" t="n">
        <v>45817</v>
      </c>
      <c r="AD132" s="319" t="n">
        <v>47277</v>
      </c>
      <c r="AE132" s="111" t="inlineStr">
        <is>
          <t>Unlimited</t>
        </is>
      </c>
      <c r="AF132" s="307" t="n"/>
      <c r="AG132" s="647" t="n"/>
      <c r="AH132" s="318" t="n"/>
      <c r="AI132" s="642" t="inlineStr">
        <is>
          <t>Yes</t>
        </is>
      </c>
      <c r="AJ132" s="642" t="inlineStr">
        <is>
          <t>Yes</t>
        </is>
      </c>
      <c r="AK132" s="307" t="n"/>
      <c r="AL132" s="590" t="inlineStr">
        <is>
          <t>Phim còn hạn từ 2026</t>
        </is>
      </c>
      <c r="AM132" s="203" t="inlineStr">
        <is>
          <t>Who's the Murder</t>
        </is>
      </c>
      <c r="AN132" s="203" t="n"/>
      <c r="AO132" s="128">
        <f>SUMIF('TK 15661.Bản quyền phim '!F:F,'KK2. Series'!C132,'TK 15661.Bản quyền phim '!K:K)</f>
        <v/>
      </c>
      <c r="AP132" s="128">
        <f>COUNTIF('242.BQ Phim VOD'!$C$5:$C$8,'KK2. Series'!AM132)</f>
        <v/>
      </c>
      <c r="AQ132" s="128">
        <f>COUNTIF('TK 15666. Phim SX'!$C$6:$C$13,'KK2. Series'!AM132)</f>
        <v/>
      </c>
      <c r="AR132" s="203">
        <f>COUNTIF('TK 15661.Bản quyền phim '!F:F,'KK2. Series'!AM132)</f>
        <v/>
      </c>
      <c r="AS132" s="203" t="n"/>
      <c r="AT132" s="366">
        <f>SUM(AP132:AS132)</f>
        <v/>
      </c>
      <c r="AU132" s="203" t="n"/>
      <c r="AV132" s="203" t="n"/>
      <c r="AW132" s="203" t="n"/>
      <c r="AX132" s="203" t="n"/>
      <c r="AY132" s="203" t="n"/>
      <c r="AZ132" s="387" t="inlineStr">
        <is>
          <t>✓ Found</t>
        </is>
      </c>
      <c r="BB132" s="387" t="n"/>
    </row>
    <row r="133" ht="409.6" customHeight="1" s="578">
      <c r="A133" s="96" t="n">
        <v>127</v>
      </c>
      <c r="B133" s="97" t="inlineStr">
        <is>
          <t xml:space="preserve"> Thirteen Years Of Dust (24 Tập)
EP01 – SER_CRI2428
EP02 – SER_CRI2429
EP03 – SER_CRI2430
EP04 – SER_CRI2431
EP05 – SER_CRI2432
EP06 – SER_CRI2433
EP07 – SER_CRI2434
EP08 – SER_CRI2435
EP09 – SER_CRI2436
EP10 – SER_CRI2437
EP11 – SER_CRI2438
EP12 – SER_CRI2439
EP13 – SER_CRI2440
EP14 – SER_CRI2441
EP15 – SER_CRI2442
EP16 – SER_CRI2443
EP17 – SER_CRI2444
EP18 – SER_CRI2445
EP19 – SER_CRI2446
EP20 – SER_CRI2447
EP21 – SER_CRI2448
EP22 – SER_CRI2449
EP23 – SER_CRI2450
EP24 – SER_CRI2451</t>
        </is>
      </c>
      <c r="C133" s="111" t="inlineStr">
        <is>
          <t>Thirteen Years Of Dust</t>
        </is>
      </c>
      <c r="D133" s="111" t="inlineStr">
        <is>
          <t>Nghi án mười ba năm</t>
        </is>
      </c>
      <c r="E133" s="291" t="inlineStr">
        <is>
          <t>iQiYi</t>
        </is>
      </c>
      <c r="F133" s="590" t="inlineStr">
        <is>
          <t>09A/2025/HDBQ/VSTV-IQIYI</t>
        </is>
      </c>
      <c r="G133" s="108" t="inlineStr">
        <is>
          <t>China</t>
        </is>
      </c>
      <c r="H133" s="108" t="n">
        <v>2023</v>
      </c>
      <c r="I133" s="108" t="n">
        <v>24</v>
      </c>
      <c r="J133" s="108" t="n">
        <v>35</v>
      </c>
      <c r="K133" s="305">
        <f>(I133*J133)/60</f>
        <v/>
      </c>
      <c r="L133" s="305">
        <f>I133</f>
        <v/>
      </c>
      <c r="M133" s="293" t="inlineStr">
        <is>
          <t>Crime, Thriller</t>
        </is>
      </c>
      <c r="N133" s="293" t="inlineStr">
        <is>
          <t>Crime, Thriller</t>
        </is>
      </c>
      <c r="O133" s="338" t="n">
        <v>45783</v>
      </c>
      <c r="P133" s="319" t="n">
        <v>47243</v>
      </c>
      <c r="Q133" s="642" t="n"/>
      <c r="R133" s="642" t="n"/>
      <c r="S133" s="111" t="n">
        <v>48</v>
      </c>
      <c r="T133" s="111" t="inlineStr">
        <is>
          <t>No</t>
        </is>
      </c>
      <c r="U133" s="590" t="inlineStr">
        <is>
          <t>Yes</t>
        </is>
      </c>
      <c r="V133" s="111" t="inlineStr">
        <is>
          <t>Yes</t>
        </is>
      </c>
      <c r="W133" s="111" t="inlineStr">
        <is>
          <t>Yes</t>
        </is>
      </c>
      <c r="X133" s="642" t="inlineStr">
        <is>
          <t>No</t>
        </is>
      </c>
      <c r="Y133" s="111" t="inlineStr">
        <is>
          <t>Yes</t>
        </is>
      </c>
      <c r="Z133" s="111" t="inlineStr">
        <is>
          <t>Yes</t>
        </is>
      </c>
      <c r="AA133" s="111" t="inlineStr">
        <is>
          <t>Yes</t>
        </is>
      </c>
      <c r="AB133" s="111" t="inlineStr">
        <is>
          <t>Yes</t>
        </is>
      </c>
      <c r="AC133" s="319" t="n">
        <v>45783</v>
      </c>
      <c r="AD133" s="319" t="n">
        <v>47243</v>
      </c>
      <c r="AE133" s="111" t="inlineStr">
        <is>
          <t>Unlimited</t>
        </is>
      </c>
      <c r="AF133" s="307" t="n"/>
      <c r="AG133" s="647" t="n"/>
      <c r="AH133" s="318" t="n"/>
      <c r="AI133" s="642" t="inlineStr">
        <is>
          <t>Yes</t>
        </is>
      </c>
      <c r="AJ133" s="642" t="inlineStr">
        <is>
          <t>Yes</t>
        </is>
      </c>
      <c r="AK133" s="307" t="n"/>
      <c r="AL133" s="590" t="inlineStr">
        <is>
          <t>Phim còn hạn từ 2026</t>
        </is>
      </c>
      <c r="AM133" s="203" t="inlineStr">
        <is>
          <t>Thirteen Years Dust</t>
        </is>
      </c>
      <c r="AN133" s="203" t="n"/>
      <c r="AO133" s="128">
        <f>SUMIF('TK 15661.Bản quyền phim '!F:F,'KK2. Series'!C133,'TK 15661.Bản quyền phim '!K:K)</f>
        <v/>
      </c>
      <c r="AP133" s="128">
        <f>COUNTIF('242.BQ Phim VOD'!$C$5:$C$8,'KK2. Series'!AM133)</f>
        <v/>
      </c>
      <c r="AQ133" s="128">
        <f>COUNTIF('TK 15666. Phim SX'!$C$6:$C$13,'KK2. Series'!AM133)</f>
        <v/>
      </c>
      <c r="AR133" s="203">
        <f>COUNTIF('TK 15661.Bản quyền phim '!F:F,'KK2. Series'!AM133)</f>
        <v/>
      </c>
      <c r="AS133" s="203" t="n"/>
      <c r="AT133" s="366">
        <f>SUM(AP133:AS133)</f>
        <v/>
      </c>
      <c r="AU133" s="203" t="n"/>
      <c r="AV133" s="203" t="n"/>
      <c r="AW133" s="203" t="n"/>
      <c r="AX133" s="203" t="n"/>
      <c r="AY133" s="203" t="n"/>
      <c r="AZ133" s="387" t="inlineStr">
        <is>
          <t>✓ Found</t>
        </is>
      </c>
      <c r="BB133" s="387" t="n"/>
    </row>
    <row r="134" ht="409.6" customHeight="1" s="578">
      <c r="A134" s="96" t="n">
        <v>128</v>
      </c>
      <c r="B134" s="97" t="inlineStr">
        <is>
          <t>EP01 – SER_FAM62
EP02 – SER_FAM63
EP03 – SER_FAM64
EP04 – SER_FAM65
EP05 – SER_FAM66
EP06 – SER_FAM67
EP07 – SER_FAM68
EP08 – SER_FAM69
EP09 – SER_FAM70
EP10 – SER_FAM71
EP11 – SER_FAM72
EP12 – SER_FAM73
EP13 – SER_FAM74
EP14 – SER_FAM75
EP15 – SER_FAM76
EP16 – SER_FAM77
EP17 – SER_FAM78
EP18 – SER_FAM79
EP19 – SER_FAM80
EP20 – SER_FAM81
EP21 – SER_FAM82
EP22 – SER_FAM83
EP23 – SER_FAM84
EP24 – SER_FAM85
EP25 – SER_FAM86
EP26 – SER_FAM87
EP27 – SER_FAM88
EP28 – SER_FAM89
EP29 – SER_FAM90
EP30 – SER_FAM91
EP31 – SER_FAM92
EP32 – SER_FAM93
EP33 – SER_FAM94
EP34 – SER_FAM95
EP35 – SER_FAM96
EP36 – SER_FAM97
EP37 – SER_FAM98
EP38 – SER_FAM99
EP39 – SER_FAM100
EP40 – SER_FAM101
EP41 – SER_FAM102
EP42 – SER_FAM103
EP43 – SER_FAM104
EP44 – SER_FAM105
EP45 – SER_FAM106
EP46 – SER_FAM107
EP47 – SER_FAM108
EP48 – SER_FAM109
EP49 – SER_FAM110
EP50 – SER_FAM111
EP51 – SER_FAM112
EP52 – SER_FAM113
EP53 – SER_FAM114
EP54 – SER_FAM115
EP55 – SER_FAM116
EP56 – SER_FAM117
EP57 – SER_FAM118
EP58 – SER_FAM119
EP59 – SER_FAM120
EP60 – SER_FAM121
EP61 – SER_FAM122
EP62 – SER_FAM123
EP63 – SER_FAM124
EP64 – SER_FAM125
EP65 – SER_FAM126
EP66 – SER_FAM127
EP67 – SER_FAM128
EP68 – SER_FAM129
EP69 – SER_FAM130
EP70 – SER_FAM131
EP71 – SER_FAM132
EP72 – SER_FAM133
EP73 – SER_FAM134
EP74 – SER_FAM135
EP75 – SER_FAM136
EP76 – SER_FAM137
EP77 – SER_FAM138
EP78 – SER_FAM139
EP79 – SER_FAM140
EP80 – SER_FAM141
EP81 – SER_FAM142
EP82 – SER_FAM143
EP83 – SER_FAM144
EP84 – SER_FAM145
EP85 – SER_FAM146
EP86 – SER_FAM147
EP87 – SER_FAM148
EP88 – SER_FAM149
EP89 – SER_FAM150
EP90 – SER_FAM151
EP91 – SER_FAM152
EP92 – SER_FAM153
EP93 – SER_FAM154
EP94 – SER_FAM155
EP95 – SER_FAM156
EP96 – SER_FAM157
EP97 – SER_FAM158
EP98 – SER_FAM159
EP99 – SER_FAM160
EP100 – SER_FAM161
EP101 – SER_FAM162
EP102 – SER_FAM163
EP103 – SER_FAM164</t>
        </is>
      </c>
      <c r="C134" s="336" t="inlineStr">
        <is>
          <t>Love Twist</t>
        </is>
      </c>
      <c r="D134" s="642" t="inlineStr">
        <is>
          <t>Vòng xoáy tình yêu</t>
        </is>
      </c>
      <c r="E134" s="291" t="inlineStr">
        <is>
          <t>HT</t>
        </is>
      </c>
      <c r="F134" s="642" t="inlineStr">
        <is>
          <t>124/2024/HDBQ/VSTV-HT</t>
        </is>
      </c>
      <c r="G134" s="108" t="inlineStr">
        <is>
          <t>Korea</t>
        </is>
      </c>
      <c r="H134" s="108" t="n">
        <v>2021</v>
      </c>
      <c r="I134" s="108" t="n">
        <v>103</v>
      </c>
      <c r="J134" s="108" t="n">
        <v>40</v>
      </c>
      <c r="K134" s="305">
        <f>(I134*J134)/60</f>
        <v/>
      </c>
      <c r="L134" s="305">
        <f>I134</f>
        <v/>
      </c>
      <c r="M134" s="293" t="inlineStr">
        <is>
          <t>Drama</t>
        </is>
      </c>
      <c r="N134" s="293" t="inlineStr">
        <is>
          <t>Drama</t>
        </is>
      </c>
      <c r="O134" s="295" t="n"/>
      <c r="P134" s="590" t="inlineStr">
        <is>
          <t>VOD only</t>
        </is>
      </c>
      <c r="Q134" s="642" t="n"/>
      <c r="R134" s="642" t="n"/>
      <c r="S134" s="111" t="n"/>
      <c r="T134" s="111" t="inlineStr">
        <is>
          <t>No</t>
        </is>
      </c>
      <c r="U134" s="590" t="inlineStr">
        <is>
          <t>Yes</t>
        </is>
      </c>
      <c r="V134" s="111" t="inlineStr">
        <is>
          <t>No</t>
        </is>
      </c>
      <c r="W134" s="111" t="inlineStr">
        <is>
          <t>Yes</t>
        </is>
      </c>
      <c r="X134" s="111" t="inlineStr">
        <is>
          <t>Yes</t>
        </is>
      </c>
      <c r="Y134" s="111" t="inlineStr">
        <is>
          <t>Yes</t>
        </is>
      </c>
      <c r="Z134" s="111" t="inlineStr">
        <is>
          <t>Yes</t>
        </is>
      </c>
      <c r="AA134" s="111" t="inlineStr">
        <is>
          <t>Yes</t>
        </is>
      </c>
      <c r="AB134" s="111" t="inlineStr">
        <is>
          <t>Yes</t>
        </is>
      </c>
      <c r="AC134" s="319" t="n">
        <v>45717</v>
      </c>
      <c r="AD134" s="331" t="n">
        <v>46446</v>
      </c>
      <c r="AE134" s="642" t="n"/>
      <c r="AF134" s="307" t="n"/>
      <c r="AG134" s="647" t="n"/>
      <c r="AH134" s="318" t="n"/>
      <c r="AI134" s="642" t="inlineStr">
        <is>
          <t>Yes</t>
        </is>
      </c>
      <c r="AJ134" s="642" t="inlineStr">
        <is>
          <t>Yes</t>
        </is>
      </c>
      <c r="AK134" s="307" t="n"/>
      <c r="AL134" s="590" t="inlineStr">
        <is>
          <t>Phim còn hạn từ 2026</t>
        </is>
      </c>
      <c r="AM134" s="203" t="n"/>
      <c r="AN134" s="203" t="n"/>
      <c r="AO134" s="128">
        <f>SUMIF('TK 15661.Bản quyền phim '!F:F,'KK2. Series'!C134,'TK 15661.Bản quyền phim '!K:K)</f>
        <v/>
      </c>
      <c r="AP134" s="128">
        <f>COUNTIF('242.BQ Phim VOD'!$C$5:$C$8,'KK2. Series'!AM134)</f>
        <v/>
      </c>
      <c r="AQ134" s="128">
        <f>COUNTIF('TK 15666. Phim SX'!$C$6:$C$13,'KK2. Series'!AM134)</f>
        <v/>
      </c>
      <c r="AR134" s="203">
        <f>COUNTIF('TK 15661.Bản quyền phim '!F:F,'KK2. Series'!AM134)</f>
        <v/>
      </c>
      <c r="AS134" s="203" t="n">
        <v>1</v>
      </c>
      <c r="AT134" s="366">
        <f>SUM(AP134:AS134)</f>
        <v/>
      </c>
      <c r="AU134" s="203" t="n"/>
      <c r="AV134" s="203" t="n"/>
      <c r="AW134" s="203" t="n"/>
      <c r="AX134" s="203" t="n"/>
      <c r="AY134" s="203" t="n"/>
      <c r="AZ134" s="387" t="inlineStr">
        <is>
          <t>✓ Found</t>
        </is>
      </c>
      <c r="BB134" s="387" t="n"/>
    </row>
    <row r="135" ht="409.6" customHeight="1" s="578">
      <c r="A135" s="96" t="n">
        <v>129</v>
      </c>
      <c r="B135" s="97" t="inlineStr">
        <is>
          <t>Undercover High School
Bản Sub (12 Tập)
EP01 – SER_ACT1512
EP02 – SER_ACT1513
EP03 – SER_ACT1514
EP04 – SER_ACT1515
EP05 – SER_ACT1516
EP06 – SER_ACT1517
EP07 – SER_ACT1518
EP08 – SER_ACT1519
EP09 – SER_ACT1520
EP10 – SER_ACT1521
EP11 – SER_ACT1522
EP12 – SER_ACT1523
Bản Voice (18 Tập)
EP01 – SER_ACT1526
EP02 – SER_ACT1527
EP03 – SER_ACT1528
EP04 – SER_ACT1529
EP05 – SER_ACT1530
EP06 – SER_ACT1531
EP07 – SER_ACT1532
EP08 – SER_ACT1533
EP09 – SER_ACT1534
EP10 – SER_ACT1535
EP11 – SER_ACT1536
EP12 – SER_ACT1537
EP13 – SER_ACT1538
EP14 – SER_ACT1539
EP15 – SER_ACT1540
EP16 – SER_ACT1541
EP17 – SER_ACT1542
EP18 – SER_ACT1543</t>
        </is>
      </c>
      <c r="C135" s="336" t="inlineStr">
        <is>
          <t>Undercover High School</t>
        </is>
      </c>
      <c r="D135" s="642" t="inlineStr">
        <is>
          <t>Điệp vụ thanh xuân</t>
        </is>
      </c>
      <c r="E135" s="291" t="inlineStr">
        <is>
          <t>Viu</t>
        </is>
      </c>
      <c r="F135" s="590" t="inlineStr">
        <is>
          <t>PCCW VUCLIP/2025/HDBQ Undercover High School</t>
        </is>
      </c>
      <c r="G135" s="108" t="inlineStr">
        <is>
          <t>Korea</t>
        </is>
      </c>
      <c r="H135" s="108" t="n">
        <v>2025</v>
      </c>
      <c r="I135" s="108" t="n">
        <v>12</v>
      </c>
      <c r="J135" s="108" t="n">
        <v>70</v>
      </c>
      <c r="K135" s="305">
        <f>(I135*J135)/60</f>
        <v/>
      </c>
      <c r="L135" s="305">
        <f>I135</f>
        <v/>
      </c>
      <c r="M135" s="295" t="inlineStr">
        <is>
          <t>Comedy, Drama</t>
        </is>
      </c>
      <c r="N135" s="295" t="inlineStr">
        <is>
          <t>Comedy, Drama</t>
        </is>
      </c>
      <c r="O135" s="319" t="n">
        <v>45709</v>
      </c>
      <c r="P135" s="319" t="n">
        <v>47169</v>
      </c>
      <c r="Q135" s="642" t="n"/>
      <c r="R135" s="642" t="n"/>
      <c r="S135" s="111" t="n">
        <v>48</v>
      </c>
      <c r="T135" s="111" t="inlineStr">
        <is>
          <t>Yes</t>
        </is>
      </c>
      <c r="U135" s="590" t="inlineStr">
        <is>
          <t>Yes</t>
        </is>
      </c>
      <c r="V135" s="111" t="inlineStr">
        <is>
          <t>Yes</t>
        </is>
      </c>
      <c r="W135" s="111" t="inlineStr">
        <is>
          <t>Yes</t>
        </is>
      </c>
      <c r="X135" s="111" t="inlineStr">
        <is>
          <t>Yes</t>
        </is>
      </c>
      <c r="Y135" s="111" t="inlineStr">
        <is>
          <t>Yes</t>
        </is>
      </c>
      <c r="Z135" s="111" t="inlineStr">
        <is>
          <t>Yes</t>
        </is>
      </c>
      <c r="AA135" s="111" t="inlineStr">
        <is>
          <t>Yes</t>
        </is>
      </c>
      <c r="AB135" s="111" t="inlineStr">
        <is>
          <t>Yes</t>
        </is>
      </c>
      <c r="AC135" s="319" t="n">
        <v>45709</v>
      </c>
      <c r="AD135" s="319" t="n">
        <v>47169</v>
      </c>
      <c r="AE135" s="111" t="inlineStr">
        <is>
          <t>Unlimited</t>
        </is>
      </c>
      <c r="AF135" s="307" t="n"/>
      <c r="AG135" s="647" t="n"/>
      <c r="AH135" s="318" t="n"/>
      <c r="AI135" s="642" t="inlineStr">
        <is>
          <t>Yes</t>
        </is>
      </c>
      <c r="AJ135" s="642" t="inlineStr">
        <is>
          <t>Yes</t>
        </is>
      </c>
      <c r="AK135" s="307" t="inlineStr">
        <is>
          <t>Phim Song song</t>
        </is>
      </c>
      <c r="AL135" s="590" t="inlineStr">
        <is>
          <t>Phim còn hạn từ 2026</t>
        </is>
      </c>
      <c r="AM135" s="643" t="inlineStr">
        <is>
          <t>Undercover High School</t>
        </is>
      </c>
      <c r="AN135" s="203" t="n"/>
      <c r="AO135" s="128">
        <f>SUMIF('TK 15661.Bản quyền phim '!F:F,'KK2. Series'!C135,'TK 15661.Bản quyền phim '!K:K)</f>
        <v/>
      </c>
      <c r="AP135" s="128">
        <f>COUNTIF('242.BQ Phim VOD'!$C$5:$C$8,'KK2. Series'!AM135)</f>
        <v/>
      </c>
      <c r="AQ135" s="128">
        <f>COUNTIF('TK 15666. Phim SX'!$C$6:$C$13,'KK2. Series'!AM135)</f>
        <v/>
      </c>
      <c r="AR135" s="203">
        <f>COUNTIF('TK 15661.Bản quyền phim '!F:F,'KK2. Series'!AM135)</f>
        <v/>
      </c>
      <c r="AS135" s="203" t="n"/>
      <c r="AT135" s="366">
        <f>SUM(AP135:AS135)</f>
        <v/>
      </c>
      <c r="AU135" s="203" t="n"/>
      <c r="AV135" s="203" t="n"/>
      <c r="AW135" s="203" t="n"/>
      <c r="AX135" s="203" t="n"/>
      <c r="AY135" s="203" t="n"/>
      <c r="AZ135" s="387" t="inlineStr">
        <is>
          <t>✓ Found</t>
        </is>
      </c>
      <c r="BB135" s="387" t="n"/>
    </row>
    <row r="136" ht="409.6" customHeight="1" s="578">
      <c r="A136" s="96" t="n">
        <v>130</v>
      </c>
      <c r="B136" s="97" t="inlineStr">
        <is>
          <t>The Outlaw Doctor (11 Tập)
Bản Sub
EP01 – SER_CRI2324
EP02 – SER_CRI2325
EP03 – SER_CRI2326
EP04 – SER_CRI2327
EP05 – SER_CRI2328
EP06 – SER_CRI2329
EP07 – SER_CRI2330
EP08 – SER_CRI2331
EP09 – SER_CRI2332
EP10 – SER_CRI2333
EP11 – SER_CRI2334
Bản Voice
EP01 – SER_CRI2337
EP02 – SER_CRI2338
EP03 – SER_CRI2339
EP04 – SER_CRI2340
EP05 – SER_CRI2341
EP06 – SER_CRI2342
EP07 – SER_CRI2343
EP08 – SER_CRI2344
EP09 – SER_CRI2345
EP10 – SER_CRI2346
EP11 – SER_CRI2347</t>
        </is>
      </c>
      <c r="C136" s="339" t="inlineStr">
        <is>
          <t xml:space="preserve">The Outlaw Doctor </t>
        </is>
      </c>
      <c r="D136" s="655" t="inlineStr">
        <is>
          <t>Bác sĩ tha hương</t>
        </is>
      </c>
      <c r="E136" s="108" t="inlineStr">
        <is>
          <t>PTS</t>
        </is>
      </c>
      <c r="F136" s="646" t="inlineStr">
        <is>
          <t>27/2025/HDBQ/VSTV-PTS</t>
        </is>
      </c>
      <c r="G136" s="590" t="inlineStr">
        <is>
          <t>Taiwan</t>
        </is>
      </c>
      <c r="H136" s="108" t="n">
        <v>2025</v>
      </c>
      <c r="I136" s="108" t="n">
        <v>11</v>
      </c>
      <c r="J136" s="108" t="n">
        <v>50</v>
      </c>
      <c r="K136" s="305">
        <f>(I136*J136)/60</f>
        <v/>
      </c>
      <c r="L136" s="305">
        <f>I136</f>
        <v/>
      </c>
      <c r="M136" s="295" t="inlineStr">
        <is>
          <t>Medical, life, Drama</t>
        </is>
      </c>
      <c r="N136" s="295" t="inlineStr">
        <is>
          <t>Medical, life, Drama</t>
        </is>
      </c>
      <c r="O136" s="319" t="n">
        <v>45724</v>
      </c>
      <c r="P136" s="319" t="n">
        <v>47549</v>
      </c>
      <c r="Q136" s="642" t="n"/>
      <c r="R136" s="642" t="n"/>
      <c r="S136" s="111" t="n">
        <v>60</v>
      </c>
      <c r="T136" s="111" t="inlineStr">
        <is>
          <t>Yes</t>
        </is>
      </c>
      <c r="U136" s="590" t="inlineStr">
        <is>
          <t>Yes</t>
        </is>
      </c>
      <c r="V136" s="111" t="inlineStr">
        <is>
          <t>Yes</t>
        </is>
      </c>
      <c r="W136" s="111" t="inlineStr">
        <is>
          <t>Yes</t>
        </is>
      </c>
      <c r="X136" s="111" t="inlineStr">
        <is>
          <t>Yes</t>
        </is>
      </c>
      <c r="Y136" s="111" t="inlineStr">
        <is>
          <t>Yes</t>
        </is>
      </c>
      <c r="Z136" s="111" t="inlineStr">
        <is>
          <t>Yes</t>
        </is>
      </c>
      <c r="AA136" s="111" t="inlineStr">
        <is>
          <t>Yes</t>
        </is>
      </c>
      <c r="AB136" s="111" t="inlineStr">
        <is>
          <t>Yes</t>
        </is>
      </c>
      <c r="AC136" s="319" t="n">
        <v>45724</v>
      </c>
      <c r="AD136" s="319" t="n">
        <v>47549</v>
      </c>
      <c r="AE136" s="111" t="inlineStr">
        <is>
          <t>Unlimited</t>
        </is>
      </c>
      <c r="AF136" s="307" t="n"/>
      <c r="AG136" s="647" t="n"/>
      <c r="AH136" s="318" t="n"/>
      <c r="AI136" s="642" t="inlineStr">
        <is>
          <t>Yes</t>
        </is>
      </c>
      <c r="AJ136" s="642" t="inlineStr">
        <is>
          <t>Yes</t>
        </is>
      </c>
      <c r="AK136" s="307" t="inlineStr">
        <is>
          <t>Phim Song song</t>
        </is>
      </c>
      <c r="AL136" s="590" t="inlineStr">
        <is>
          <t>Phim còn hạn từ 2026</t>
        </is>
      </c>
      <c r="AM136" s="203" t="inlineStr">
        <is>
          <t>THE OUTLAW DOCTOR</t>
        </is>
      </c>
      <c r="AN136" s="203" t="n"/>
      <c r="AO136" s="128">
        <f>SUMIF('TK 15661.Bản quyền phim '!F:F,'KK2. Series'!C136,'TK 15661.Bản quyền phim '!K:K)</f>
        <v/>
      </c>
      <c r="AP136" s="128">
        <f>COUNTIF('242.BQ Phim VOD'!$C$5:$C$8,'KK2. Series'!AM136)</f>
        <v/>
      </c>
      <c r="AQ136" s="128">
        <f>COUNTIF('TK 15666. Phim SX'!$C$6:$C$13,'KK2. Series'!AM136)</f>
        <v/>
      </c>
      <c r="AR136" s="203">
        <f>COUNTIF('TK 15661.Bản quyền phim '!F:F,'KK2. Series'!AM136)</f>
        <v/>
      </c>
      <c r="AS136" s="203" t="n"/>
      <c r="AT136" s="366">
        <f>SUM(AP136:AS136)</f>
        <v/>
      </c>
      <c r="AU136" s="203" t="n"/>
      <c r="AV136" s="203" t="n"/>
      <c r="AW136" s="203" t="n"/>
      <c r="AX136" s="203" t="n"/>
      <c r="AY136" s="203" t="n"/>
      <c r="AZ136" s="387" t="inlineStr">
        <is>
          <t>✓ Found</t>
        </is>
      </c>
      <c r="BB136" s="387" t="n"/>
    </row>
    <row r="137" ht="250.8" customHeight="1" s="578">
      <c r="A137" s="96" t="n">
        <v>131</v>
      </c>
      <c r="B137" s="97" t="inlineStr">
        <is>
          <t>EP01 – SER_HOR67
EP02 – SER_HOR68
EP03 – SER_HOR69
EP04 – SER_HOR70
EP05 – SER_HOR71
EP06 – SER_HOR72
EP07 – SER_HOR73
EP08 – SER_HOR74
EP09 – SER_HOR75
EP10 – SER_HOR76</t>
        </is>
      </c>
      <c r="C137" s="108" t="inlineStr">
        <is>
          <t xml:space="preserve">Trapped </t>
        </is>
      </c>
      <c r="D137" s="590" t="inlineStr">
        <is>
          <t>Cuốn sách bí ẩn</t>
        </is>
      </c>
      <c r="E137" s="108" t="inlineStr">
        <is>
          <t>Canal MM</t>
        </is>
      </c>
      <c r="F137" s="642" t="inlineStr">
        <is>
          <t>41A/2025/HDBQ/VSTV-Canal MM</t>
        </is>
      </c>
      <c r="G137" s="108" t="inlineStr">
        <is>
          <t>Myanmar</t>
        </is>
      </c>
      <c r="H137" s="108" t="n">
        <v>2022</v>
      </c>
      <c r="I137" s="108" t="n">
        <v>10</v>
      </c>
      <c r="J137" s="108" t="n">
        <v>45</v>
      </c>
      <c r="K137" s="305">
        <f>(I137*J137)/60</f>
        <v/>
      </c>
      <c r="L137" s="305">
        <f>I137</f>
        <v/>
      </c>
      <c r="M137" s="295" t="inlineStr">
        <is>
          <t>Drama</t>
        </is>
      </c>
      <c r="N137" s="295" t="inlineStr">
        <is>
          <t>Drama</t>
        </is>
      </c>
      <c r="O137" s="319" t="n">
        <v>45748</v>
      </c>
      <c r="P137" s="319" t="n">
        <v>47573</v>
      </c>
      <c r="Q137" s="642" t="n"/>
      <c r="R137" s="642" t="n"/>
      <c r="S137" s="111" t="n"/>
      <c r="T137" s="111" t="inlineStr">
        <is>
          <t>No</t>
        </is>
      </c>
      <c r="U137" s="590" t="inlineStr">
        <is>
          <t>Yes</t>
        </is>
      </c>
      <c r="V137" s="111" t="inlineStr">
        <is>
          <t>Yes</t>
        </is>
      </c>
      <c r="W137" s="111" t="inlineStr">
        <is>
          <t>Yes</t>
        </is>
      </c>
      <c r="X137" s="111" t="inlineStr">
        <is>
          <t>Yes</t>
        </is>
      </c>
      <c r="Y137" s="111" t="inlineStr">
        <is>
          <t>Yes</t>
        </is>
      </c>
      <c r="Z137" s="111" t="inlineStr">
        <is>
          <t>Yes</t>
        </is>
      </c>
      <c r="AA137" s="111" t="inlineStr">
        <is>
          <t>Yes</t>
        </is>
      </c>
      <c r="AB137" s="111" t="inlineStr">
        <is>
          <t>Yes</t>
        </is>
      </c>
      <c r="AC137" s="319" t="n">
        <v>45748</v>
      </c>
      <c r="AD137" s="319" t="n">
        <v>47573</v>
      </c>
      <c r="AE137" s="111" t="inlineStr">
        <is>
          <t>Unlimited</t>
        </is>
      </c>
      <c r="AF137" s="307" t="n"/>
      <c r="AG137" s="647" t="n"/>
      <c r="AH137" s="318" t="n"/>
      <c r="AI137" s="642" t="inlineStr">
        <is>
          <t>Yes</t>
        </is>
      </c>
      <c r="AJ137" s="642" t="inlineStr">
        <is>
          <t>Yes</t>
        </is>
      </c>
      <c r="AK137" s="307" t="n"/>
      <c r="AL137" s="590" t="inlineStr">
        <is>
          <t>Phim còn hạn từ 2026</t>
        </is>
      </c>
      <c r="AM137" s="203" t="inlineStr">
        <is>
          <t>Trapped</t>
        </is>
      </c>
      <c r="AN137" s="203" t="n"/>
      <c r="AO137" s="128">
        <f>SUMIF('TK 15661.Bản quyền phim '!F:F,'KK2. Series'!C137,'TK 15661.Bản quyền phim '!K:K)</f>
        <v/>
      </c>
      <c r="AP137" s="128">
        <f>COUNTIF('242.BQ Phim VOD'!$C$5:$C$8,'KK2. Series'!AM137)</f>
        <v/>
      </c>
      <c r="AQ137" s="128">
        <f>COUNTIF('TK 15666. Phim SX'!$C$6:$C$13,'KK2. Series'!AM137)</f>
        <v/>
      </c>
      <c r="AR137" s="203">
        <f>COUNTIF('TK 15661.Bản quyền phim '!F:F,'KK2. Series'!AM137)</f>
        <v/>
      </c>
      <c r="AS137" s="203" t="n"/>
      <c r="AT137" s="366">
        <f>SUM(AP137:AS137)</f>
        <v/>
      </c>
      <c r="AU137" s="203" t="n"/>
      <c r="AV137" s="203" t="n"/>
      <c r="AW137" s="203" t="n"/>
      <c r="AX137" s="203" t="n"/>
      <c r="AY137" s="203" t="n"/>
      <c r="AZ137" s="387" t="inlineStr">
        <is>
          <t>✓ Found</t>
        </is>
      </c>
      <c r="BB137" s="387" t="n"/>
    </row>
    <row r="138" ht="409.6" customHeight="1" s="578">
      <c r="A138" s="96" t="n">
        <v>132</v>
      </c>
      <c r="B138" s="97" t="inlineStr">
        <is>
          <t>EP01 – SER_THR619
EP02 – SER_THR620
EP03 – SER_THR621
EP04 – SER_THR622
EP05 – SER_THR623
EP06 – SER_THR624
EP07 – SER_THR625
EP08 – SER_THR626
EP09 – SER_THR627
EP10 – SER_THR628
EP11 – SER_THR629
EP12 – SER_THR630
EP13 – SER_THR631
EP14 – SER_THR632
EP15 – SER_THR633
EP16 – SER_THR634
EP17 – SER_THR635
EP18 – SER_THR636
EP19 – SER_THR637
EP20 – SER_THR638
EP21 – SER_THR639
EP22 – SER_THR640
EP23 – SER_THR641
EP24 – SER_THR642
EP25 – SER_THR643
EP26 – SER_THR644
EP27 – SER_THR645
EP28 – SER_THR646
EP29 – SER_THR647
EP30 – SER_THR648</t>
        </is>
      </c>
      <c r="C138" s="108" t="inlineStr">
        <is>
          <t xml:space="preserve">The Return </t>
        </is>
      </c>
      <c r="D138" s="590" t="inlineStr">
        <is>
          <t>Người cha trở lại</t>
        </is>
      </c>
      <c r="E138" s="108" t="inlineStr">
        <is>
          <t>Canal MM</t>
        </is>
      </c>
      <c r="F138" s="646" t="inlineStr">
        <is>
          <t>41A/2025/HDBQ/VSTV-Canal MM</t>
        </is>
      </c>
      <c r="G138" s="108" t="inlineStr">
        <is>
          <t>Myanmar</t>
        </is>
      </c>
      <c r="H138" s="108" t="n">
        <v>2024</v>
      </c>
      <c r="I138" s="108" t="n">
        <v>30</v>
      </c>
      <c r="J138" s="108" t="n">
        <v>45</v>
      </c>
      <c r="K138" s="305">
        <f>(I138*J138)/60</f>
        <v/>
      </c>
      <c r="L138" s="305">
        <f>I138</f>
        <v/>
      </c>
      <c r="M138" s="296" t="inlineStr">
        <is>
          <t>Drama</t>
        </is>
      </c>
      <c r="N138" s="296" t="inlineStr">
        <is>
          <t>Drama</t>
        </is>
      </c>
      <c r="O138" s="320" t="n">
        <v>45748</v>
      </c>
      <c r="P138" s="320" t="n">
        <v>47573</v>
      </c>
      <c r="Q138" s="646" t="n"/>
      <c r="R138" s="646" t="n"/>
      <c r="S138" s="117" t="n"/>
      <c r="T138" s="117" t="inlineStr">
        <is>
          <t>No</t>
        </is>
      </c>
      <c r="U138" s="590" t="inlineStr">
        <is>
          <t>Yes</t>
        </is>
      </c>
      <c r="V138" s="117" t="inlineStr">
        <is>
          <t>Yes</t>
        </is>
      </c>
      <c r="W138" s="117" t="inlineStr">
        <is>
          <t>Yes</t>
        </is>
      </c>
      <c r="X138" s="117" t="inlineStr">
        <is>
          <t>Yes</t>
        </is>
      </c>
      <c r="Y138" s="117" t="inlineStr">
        <is>
          <t>Yes</t>
        </is>
      </c>
      <c r="Z138" s="117" t="inlineStr">
        <is>
          <t>Yes</t>
        </is>
      </c>
      <c r="AA138" s="117" t="inlineStr">
        <is>
          <t>Yes</t>
        </is>
      </c>
      <c r="AB138" s="117" t="inlineStr">
        <is>
          <t>Yes</t>
        </is>
      </c>
      <c r="AC138" s="320" t="n">
        <v>45748</v>
      </c>
      <c r="AD138" s="320" t="n">
        <v>47573</v>
      </c>
      <c r="AE138" s="117" t="inlineStr">
        <is>
          <t>Unlimited</t>
        </is>
      </c>
      <c r="AF138" s="321" t="n"/>
      <c r="AG138" s="648" t="n"/>
      <c r="AH138" s="322" t="n"/>
      <c r="AI138" s="642" t="inlineStr">
        <is>
          <t>Yes</t>
        </is>
      </c>
      <c r="AJ138" s="642" t="inlineStr">
        <is>
          <t>Yes</t>
        </is>
      </c>
      <c r="AK138" s="307" t="n"/>
      <c r="AL138" s="590" t="inlineStr">
        <is>
          <t>Phim còn hạn từ 2026</t>
        </is>
      </c>
      <c r="AM138" s="203" t="inlineStr">
        <is>
          <t>The Return</t>
        </is>
      </c>
      <c r="AN138" s="203" t="n"/>
      <c r="AO138" s="128">
        <f>SUMIF('TK 15661.Bản quyền phim '!F:F,'KK2. Series'!C138,'TK 15661.Bản quyền phim '!K:K)</f>
        <v/>
      </c>
      <c r="AP138" s="128">
        <f>COUNTIF('242.BQ Phim VOD'!$C$5:$C$8,'KK2. Series'!AM138)</f>
        <v/>
      </c>
      <c r="AQ138" s="128">
        <f>COUNTIF('TK 15666. Phim SX'!$C$6:$C$13,'KK2. Series'!AM138)</f>
        <v/>
      </c>
      <c r="AR138" s="203">
        <f>COUNTIF('TK 15661.Bản quyền phim '!F:F,'KK2. Series'!AM138)</f>
        <v/>
      </c>
      <c r="AS138" s="203" t="n"/>
      <c r="AT138" s="366">
        <f>SUM(AP138:AS138)</f>
        <v/>
      </c>
      <c r="AU138" s="203" t="n"/>
      <c r="AV138" s="203" t="n"/>
      <c r="AW138" s="203" t="n"/>
      <c r="AX138" s="203" t="n"/>
      <c r="AY138" s="203" t="n"/>
      <c r="AZ138" s="387" t="inlineStr">
        <is>
          <t>✓ Found</t>
        </is>
      </c>
      <c r="BB138" s="387" t="n"/>
    </row>
    <row r="139" ht="409.6" customHeight="1" s="578">
      <c r="A139" s="96" t="n">
        <v>133</v>
      </c>
      <c r="B139" s="97" t="inlineStr">
        <is>
          <t>EP01 – SER_DRA3782
EP02 – SER_DRA3783
EP03 – SER_DRA3784
EP04 – SER_DRA3785
EP05 – SER_DRA3786
EP06 – SER_DRA3787
EP07 – SER_DRA3788
EP08 – SER_DRA3789
EP09 – SER_DRA3790
EP10 – SER_DRA3791
EP11 – SER_DRA3792
EP12 – SER_DRA3793
EP13 – SER_DRA3794
EP14 – SER_DRA3795
EP15 – SER_DRA3796
EP16 – SER_DRA3797
EP17 – SER_DRA3798
EP18 – SER_DRA3799
EP19 – SER_DRA3800
EP20 – SER_DRA3801
EP21 – SER_DRA3802
EP22 – SER_DRA3803
EP23 – SER_DRA3804
EP24 – SER_DRA3805
EP25 – SER_DRA3806
EP26 – SER_DRA3807
EP27 – SER_DRA3808
EP28 – SER_DRA3809
EP29 – SER_DRA3810
EP30 – SER_DRA3811
EP31 – SER_DRA3812
EP32 – SER_DRA3813
EP33 – SER_DRA3814
EP34 – SER_DRA3815
EP35 – SER_DRA3816
EP36 – SER_DRA3817
EP37 – SER_DRA3818
EP38 – SER_DRA3819
EP39 – SER_DRA3820
EP40 – SER_DRA3821
EP41 – SER_DRA3822
EP42 – SER_DRA3823
EP43 – SER_DRA3824
EP44 – SER_DRA3825
EP45 – SER_DRA3826
EP46 – SER_DRA3827
EP47 – SER_DRA3828
EP48 – SER_DRA3829
EP49 – SER_DRA3830
EP50 – SER_DRA3831
EP51 – SER_DRA3832
EP52 – SER_DRA3833
EP53 – SER_DRA3834
EP54 – SER_DRA3835
EP55 – SER_DRA3836
EP56 – SER_DRA3837
EP57 – SER_DRA3838
EP58 – SER_DRA3839
EP59 – SER_DRA3840
EP60 – SER_DRA3841
EP61 – SER_DRA3842
EP62 – SER_DRA3843
EP63 – SER_DRA3844
EP64 – SER_DRA3845
EP65 – SER_DRA3846
EP66 – SER_DRA3847
EP67 – SER_DRA3848
EP68 – SER_DRA3849
EP69 – SER_DRA3850
EP70 – SER_DRA3851
EP71 – SER_DRA3852
EP72 – SER_DRA3853
EP73 – SER_DRA3854
EP74 – SER_DRA3855
EP75 – SER_DRA3856
EP76 – SER_DRA3857
EP77 – SER_DRA3858
EP78 – SER_DRA3859
EP79 – SER_DRA3860
EP80 – SER_DRA3861
EP81 – SER_DRA3862
EP82 – SER_DRA3863
EP83 – SER_DRA3864
EP84 – SER_DRA3865
EP85 – SER_DRA3866
EP86 – SER_DRA3867
EP87 – SER_DRA3868
EP88 – SER_DRA3869
EP89 – SER_DRA3870
EP90 – SER_DRA3871
EP91 – SER_DRA3872
EP92 – SER_DRA3873
EP93 – SER_DRA3874
EP94 – SER_DRA3875
EP95 – SER_DRA3876
EP96 – SER_DRA3877
EP97 – SER_DRA3878
EP98 – SER_DRA3879
EP99 – SER_DRA3880
EP100 – SER_DRA3881
EP101 – SER_DRA3882
EP102 – SER_DRA3883
EP103 – SER_DRA3884
EP104 – SER_DRA3885
EP105 – SER_DRA3886
EP106 – SER_DRA3887
EP107 – SER_DRA3888
EP108 – SER_DRA3889
EP109 – SER_DRA3890
EP110 – SER_DRA3891
EP111 – SER_DRA3892
EP112 – SER_DRA3893
EP113 – SER_DRA3894
EP114 – SER_DRA3895
EP115 – SER_DRA3896
EP116 – SER_DRA3897
EP117 – SER_DRA3898
EP118 – SER_DRA3899
EP119 – SER_DRA3900
EP120 – SER_DRA3901
EP121 – SER_DRA3902
EP122 – SER_DRA3903
EP123 – SER_DRA3904
EP124 – SER_DRA3905
EP125 – SER_DRA3906
EP126 – SER_DRA3907
EP127 – SER_DRA3908
EP128 – SER_DRA3909
EP129 – SER_DRA3910
EP130 – SER_DRA3911
EP131 – SER_DRA3912
EP132 – SER_DRA3913
EP133 – SER_DRA3914
EP134 – SER_DRA3915
EP135 – SER_DRA3916
EP136 – SER_DRA3917
EP137 – SER_DRA3918
EP138 – SER_DRA3919
EP139 – SER_DRA3920
EP140 – SER_DRA3921
EP141 – SER_DRA3922
EP142 – SER_DRA3923
EP143 – SER_DRA3924
EP144 – SER_DRA3925
EP145 – SER_DRA3926
EP146 – SER_DRA3927
EP147 – SER_DRA3928
EP148 – SER_DRA3929
EP149 – SER_DRA3930
EP150 – SER_DRA3931</t>
        </is>
      </c>
      <c r="C139" s="108" t="inlineStr">
        <is>
          <t>Princess Aurora</t>
        </is>
      </c>
      <c r="D139" s="590" t="inlineStr">
        <is>
          <t>Nàng công chúa Aurora</t>
        </is>
      </c>
      <c r="E139" s="108" t="inlineStr">
        <is>
          <t>HT</t>
        </is>
      </c>
      <c r="F139" s="642" t="inlineStr">
        <is>
          <t>124/2024/HDBQ/VSTV-HT</t>
        </is>
      </c>
      <c r="G139" s="108" t="inlineStr">
        <is>
          <t>Korea</t>
        </is>
      </c>
      <c r="H139" s="108" t="n">
        <v>2013</v>
      </c>
      <c r="I139" s="108" t="n">
        <v>150</v>
      </c>
      <c r="J139" s="108" t="n">
        <v>35</v>
      </c>
      <c r="K139" s="305">
        <f>(I139*J139)/60</f>
        <v/>
      </c>
      <c r="L139" s="305">
        <f>I139</f>
        <v/>
      </c>
      <c r="M139" s="295" t="inlineStr">
        <is>
          <t>Drama</t>
        </is>
      </c>
      <c r="N139" s="295" t="inlineStr">
        <is>
          <t>Drama</t>
        </is>
      </c>
      <c r="O139" s="642" t="n"/>
      <c r="P139" s="590" t="inlineStr">
        <is>
          <t>VOD only</t>
        </is>
      </c>
      <c r="Q139" s="642" t="n"/>
      <c r="R139" s="642" t="n"/>
      <c r="S139" s="642" t="n"/>
      <c r="T139" s="111" t="inlineStr">
        <is>
          <t>No</t>
        </is>
      </c>
      <c r="U139" s="590" t="inlineStr">
        <is>
          <t>Yes</t>
        </is>
      </c>
      <c r="V139" s="111" t="inlineStr">
        <is>
          <t>No</t>
        </is>
      </c>
      <c r="W139" s="111" t="inlineStr">
        <is>
          <t>Yes</t>
        </is>
      </c>
      <c r="X139" s="111" t="inlineStr">
        <is>
          <t>Yes</t>
        </is>
      </c>
      <c r="Y139" s="111" t="inlineStr">
        <is>
          <t>Yes</t>
        </is>
      </c>
      <c r="Z139" s="111" t="inlineStr">
        <is>
          <t>Yes</t>
        </is>
      </c>
      <c r="AA139" s="111" t="inlineStr">
        <is>
          <t>Yes</t>
        </is>
      </c>
      <c r="AB139" s="111" t="inlineStr">
        <is>
          <t>Yes</t>
        </is>
      </c>
      <c r="AC139" s="331" t="n">
        <v>45717</v>
      </c>
      <c r="AD139" s="331" t="n">
        <v>46446</v>
      </c>
      <c r="AE139" s="642" t="n"/>
      <c r="AF139" s="307" t="n"/>
      <c r="AG139" s="647" t="n"/>
      <c r="AH139" s="318" t="n"/>
      <c r="AI139" s="642" t="inlineStr">
        <is>
          <t>Yes</t>
        </is>
      </c>
      <c r="AJ139" s="642" t="inlineStr">
        <is>
          <t>Yes</t>
        </is>
      </c>
      <c r="AK139" s="307" t="n"/>
      <c r="AL139" s="590" t="inlineStr">
        <is>
          <t>Phim còn hạn từ 2026</t>
        </is>
      </c>
      <c r="AM139" s="203" t="n"/>
      <c r="AN139" s="203" t="n"/>
      <c r="AO139" s="128">
        <f>SUMIF('TK 15661.Bản quyền phim '!F:F,'KK2. Series'!C139,'TK 15661.Bản quyền phim '!K:K)</f>
        <v/>
      </c>
      <c r="AP139" s="128">
        <f>COUNTIF('242.BQ Phim VOD'!$C$5:$C$8,'KK2. Series'!AM139)</f>
        <v/>
      </c>
      <c r="AQ139" s="128">
        <f>COUNTIF('TK 15666. Phim SX'!$C$6:$C$13,'KK2. Series'!AM139)</f>
        <v/>
      </c>
      <c r="AR139" s="203">
        <f>COUNTIF('TK 15661.Bản quyền phim '!F:F,'KK2. Series'!AM139)</f>
        <v/>
      </c>
      <c r="AS139" s="203" t="n">
        <v>1</v>
      </c>
      <c r="AT139" s="366">
        <f>SUM(AP139:AS139)</f>
        <v/>
      </c>
      <c r="AU139" s="203" t="n"/>
      <c r="AV139" s="203" t="n"/>
      <c r="AW139" s="203" t="n"/>
      <c r="AX139" s="203" t="n"/>
      <c r="AY139" s="203" t="n"/>
      <c r="AZ139" s="387" t="inlineStr">
        <is>
          <t>✓ Found</t>
        </is>
      </c>
      <c r="BB139" s="387" t="n"/>
    </row>
    <row r="140" ht="409.6" customHeight="1" s="578">
      <c r="A140" s="96" t="n">
        <v>134</v>
      </c>
      <c r="B140" s="97" t="inlineStr">
        <is>
          <t>EP01 – SER_DRA4030
EP02 – SER_DRA4031
EP03 – SER_DRA4032
EP04 – SER_DRA4033
EP05 – SER_DRA4034
EP06 – SER_DRA4035
EP07 – SER_DRA4036
EP08 – SER_DRA4037
EP09 – SER_DRA4038
EP10 – SER_DRA4039
EP11 – SER_DRA4040
EP12 – SER_DRA4041
EP13 – SER_DRA4042
EP14 – SER_DRA4043
EP15 – SER_DRA4044
EP16 – SER_DRA4045
EP17 – SER_DRA4046
EP18 – SER_DRA4047
EP19 – SER_DRA4048
EP20 – SER_DRA4049
EP21 – SER_DRA4050
EP22 – SER_DRA4051
EP23 – SER_DRA4052
EP24 – SER_DRA4053
EP25 – SER_DRA4054
EP26 – SER_DRA4055
EP27 – SER_DRA4056
EP28 – SER_DRA4057
EP29 – SER_DRA4058
EP30 – SER_DRA4059
EP31 – SER_DRA4060
EP32 – SER_DRA4061
EP33 – SER_DRA4062
EP34 – SER_DRA4063
EP35 – SER_DRA4064
EP36 – SER_DRA4065
EP37 – SER_DRA4066
EP38 – SER_DRA4067
EP39 – SER_DRA4068
EP40 – SER_DRA4069
EP41 – SER_DRA4070
EP42 – SER_DRA4071
EP43 – SER_DRA4072
EP44 – SER_DRA4073
EP45 – SER_DRA4074
EP46 – SER_DRA4075
EP47 – SER_DRA4076
EP48 – SER_DRA4077
EP49 – SER_DRA4078
EP50 – SER_DRA4079
EP51 – SER_DRA4080
EP52 – SER_DRA4081
EP53 – SER_DRA4082
EP54 – SER_DRA4083
EP55 – SER_DRA4084
EP56 – SER_DRA4085
EP57 – SER_DRA4086
EP58 – SER_DRA4087
EP59 – SER_DRA4088
EP60 – SER_DRA4089
EP61 – SER_DRA4090
EP62 – SER_DRA4091
EP63 – SER_DRA4092
EP64 – SER_DRA4093</t>
        </is>
      </c>
      <c r="C140" s="108" t="inlineStr">
        <is>
          <t>Hotel king</t>
        </is>
      </c>
      <c r="D140" s="590" t="inlineStr">
        <is>
          <t>Ông hoàng khách sạn</t>
        </is>
      </c>
      <c r="E140" s="108" t="inlineStr">
        <is>
          <t>HT</t>
        </is>
      </c>
      <c r="F140" s="642" t="inlineStr">
        <is>
          <t>124/2024/HDBQ/VSTV-HT</t>
        </is>
      </c>
      <c r="G140" s="108" t="inlineStr">
        <is>
          <t>Korea</t>
        </is>
      </c>
      <c r="H140" s="108" t="n">
        <v>2014</v>
      </c>
      <c r="I140" s="108" t="n">
        <v>64</v>
      </c>
      <c r="J140" s="108" t="n">
        <v>35</v>
      </c>
      <c r="K140" s="305">
        <f>(I140*J140)/60</f>
        <v/>
      </c>
      <c r="L140" s="305">
        <f>I140</f>
        <v/>
      </c>
      <c r="M140" s="295" t="inlineStr">
        <is>
          <t>Drama</t>
        </is>
      </c>
      <c r="N140" s="295" t="inlineStr">
        <is>
          <t>Drama</t>
        </is>
      </c>
      <c r="O140" s="642" t="n"/>
      <c r="P140" s="590" t="inlineStr">
        <is>
          <t>VOD only</t>
        </is>
      </c>
      <c r="Q140" s="642" t="n"/>
      <c r="R140" s="642" t="n"/>
      <c r="S140" s="642" t="n"/>
      <c r="T140" s="111" t="inlineStr">
        <is>
          <t>No</t>
        </is>
      </c>
      <c r="U140" s="590" t="inlineStr">
        <is>
          <t>Yes</t>
        </is>
      </c>
      <c r="V140" s="111" t="inlineStr">
        <is>
          <t>No</t>
        </is>
      </c>
      <c r="W140" s="111" t="inlineStr">
        <is>
          <t>Yes</t>
        </is>
      </c>
      <c r="X140" s="111" t="inlineStr">
        <is>
          <t>Yes</t>
        </is>
      </c>
      <c r="Y140" s="111" t="inlineStr">
        <is>
          <t>Yes</t>
        </is>
      </c>
      <c r="Z140" s="111" t="inlineStr">
        <is>
          <t>Yes</t>
        </is>
      </c>
      <c r="AA140" s="111" t="inlineStr">
        <is>
          <t>Yes</t>
        </is>
      </c>
      <c r="AB140" s="111" t="inlineStr">
        <is>
          <t>Yes</t>
        </is>
      </c>
      <c r="AC140" s="331" t="n">
        <v>45748</v>
      </c>
      <c r="AD140" s="331" t="n">
        <v>46477</v>
      </c>
      <c r="AE140" s="642" t="n"/>
      <c r="AF140" s="307" t="n"/>
      <c r="AG140" s="647" t="n"/>
      <c r="AH140" s="318" t="n"/>
      <c r="AI140" s="642" t="inlineStr">
        <is>
          <t>Yes</t>
        </is>
      </c>
      <c r="AJ140" s="642" t="inlineStr">
        <is>
          <t>Yes</t>
        </is>
      </c>
      <c r="AK140" s="307" t="n"/>
      <c r="AL140" s="590" t="inlineStr">
        <is>
          <t>Phim còn hạn từ 2026</t>
        </is>
      </c>
      <c r="AM140" s="203" t="n"/>
      <c r="AN140" s="203" t="n"/>
      <c r="AO140" s="128">
        <f>SUMIF('TK 15661.Bản quyền phim '!F:F,'KK2. Series'!C140,'TK 15661.Bản quyền phim '!K:K)</f>
        <v/>
      </c>
      <c r="AP140" s="128">
        <f>COUNTIF('242.BQ Phim VOD'!$C$5:$C$8,'KK2. Series'!AM140)</f>
        <v/>
      </c>
      <c r="AQ140" s="128">
        <f>COUNTIF('TK 15666. Phim SX'!$C$6:$C$13,'KK2. Series'!AM140)</f>
        <v/>
      </c>
      <c r="AR140" s="203">
        <f>COUNTIF('TK 15661.Bản quyền phim '!F:F,'KK2. Series'!AM140)</f>
        <v/>
      </c>
      <c r="AS140" s="203" t="n">
        <v>1</v>
      </c>
      <c r="AT140" s="366">
        <f>SUM(AP140:AS140)</f>
        <v/>
      </c>
      <c r="AU140" s="203" t="n"/>
      <c r="AV140" s="203" t="n"/>
      <c r="AW140" s="203" t="n"/>
      <c r="AX140" s="203" t="n"/>
      <c r="AY140" s="203" t="n"/>
      <c r="AZ140" s="387" t="inlineStr">
        <is>
          <t>✓ Found</t>
        </is>
      </c>
      <c r="BB140" s="387" t="n"/>
    </row>
    <row r="141" ht="409.6" customHeight="1" s="578">
      <c r="A141" s="96" t="n">
        <v>135</v>
      </c>
      <c r="B141" s="97" t="inlineStr">
        <is>
          <t>EP01 – SER_DRA4096
EP02 – SER_DRA4097
EP03 – SER_DRA4098
EP04 – SER_DRA4099
EP05 – SER_DRA4100
EP06 – SER_DRA4101
EP07 – SER_DRA4102
EP08 – SER_DRA4103
EP09 – SER_DRA4104
EP10 – SER_DRA4105
EP11 – SER_DRA4106
EP12 – SER_DRA4107
EP13 – SER_DRA4108
EP14 – SER_DRA4109
EP15 – SER_DRA4110
EP16 – SER_DRA4111
EP17 – SER_DRA4112
EP18 – SER_DRA4113
EP19 – SER_DRA4114
EP20 – SER_DRA4115
EP21 – SER_DRA4116
EP22 – SER_DRA4117
EP23 – SER_DRA4118
EP24 – SER_DRA4119
EP25 – SER_DRA4120
EP26 – SER_DRA4121
EP27 – SER_DRA4122
EP28 – SER_DRA4123
EP29 – SER_DRA4124
EP30 – SER_DRA4125
EP31 – SER_DRA4126
EP32 – SER_DRA4127
EP33 – SER_DRA4128
EP34 – SER_DRA4129
EP35 – SER_DRA4130
EP36 – SER_DRA4131
EP37 – SER_DRA4132
EP38 – SER_DRA4133
EP39 – SER_DRA4134
EP40 – SER_DRA4135
EP41 – SER_DRA4136
EP42 – SER_DRA4137</t>
        </is>
      </c>
      <c r="C141" s="108" t="inlineStr">
        <is>
          <t>Pride and Prejudice</t>
        </is>
      </c>
      <c r="D141" s="590" t="inlineStr">
        <is>
          <t>Kiêu hãnh và định kiến</t>
        </is>
      </c>
      <c r="E141" s="108" t="inlineStr">
        <is>
          <t>HT</t>
        </is>
      </c>
      <c r="F141" s="642" t="inlineStr">
        <is>
          <t>124/2024/HDBQ/VSTV-HT</t>
        </is>
      </c>
      <c r="G141" s="108" t="inlineStr">
        <is>
          <t>Korea</t>
        </is>
      </c>
      <c r="H141" s="108" t="n">
        <v>2014</v>
      </c>
      <c r="I141" s="108" t="n">
        <v>42</v>
      </c>
      <c r="J141" s="108" t="n">
        <v>35</v>
      </c>
      <c r="K141" s="305">
        <f>(I141*J141)/60</f>
        <v/>
      </c>
      <c r="L141" s="305">
        <f>I141</f>
        <v/>
      </c>
      <c r="M141" s="108" t="inlineStr">
        <is>
          <t>Drama</t>
        </is>
      </c>
      <c r="N141" s="108" t="inlineStr">
        <is>
          <t>Drama</t>
        </is>
      </c>
      <c r="O141" s="590" t="n"/>
      <c r="P141" s="590" t="inlineStr">
        <is>
          <t>VOD only</t>
        </is>
      </c>
      <c r="Q141" s="590" t="n"/>
      <c r="R141" s="590" t="n"/>
      <c r="S141" s="590" t="n"/>
      <c r="T141" s="108" t="inlineStr">
        <is>
          <t>No</t>
        </is>
      </c>
      <c r="U141" s="590" t="inlineStr">
        <is>
          <t>Yes</t>
        </is>
      </c>
      <c r="V141" s="108" t="inlineStr">
        <is>
          <t>No</t>
        </is>
      </c>
      <c r="W141" s="108" t="inlineStr">
        <is>
          <t>Yes</t>
        </is>
      </c>
      <c r="X141" s="108" t="inlineStr">
        <is>
          <t>Yes</t>
        </is>
      </c>
      <c r="Y141" s="108" t="inlineStr">
        <is>
          <t>Yes</t>
        </is>
      </c>
      <c r="Z141" s="108" t="inlineStr">
        <is>
          <t>Yes</t>
        </is>
      </c>
      <c r="AA141" s="108" t="inlineStr">
        <is>
          <t>Yes</t>
        </is>
      </c>
      <c r="AB141" s="108" t="inlineStr">
        <is>
          <t>Yes</t>
        </is>
      </c>
      <c r="AC141" s="312" t="n">
        <v>45748</v>
      </c>
      <c r="AD141" s="312" t="n">
        <v>46477</v>
      </c>
      <c r="AE141" s="590" t="n"/>
      <c r="AF141" s="306" t="n"/>
      <c r="AG141" s="641" t="n"/>
      <c r="AH141" s="309" t="n"/>
      <c r="AI141" s="642" t="inlineStr">
        <is>
          <t>Yes</t>
        </is>
      </c>
      <c r="AJ141" s="642" t="inlineStr">
        <is>
          <t>Yes</t>
        </is>
      </c>
      <c r="AK141" s="307" t="n"/>
      <c r="AL141" s="590" t="inlineStr">
        <is>
          <t>Phim còn hạn từ 2026</t>
        </is>
      </c>
      <c r="AM141" s="203" t="n"/>
      <c r="AN141" s="203" t="n"/>
      <c r="AO141" s="128">
        <f>SUMIF('TK 15661.Bản quyền phim '!F:F,'KK2. Series'!C141,'TK 15661.Bản quyền phim '!K:K)</f>
        <v/>
      </c>
      <c r="AP141" s="128">
        <f>COUNTIF('242.BQ Phim VOD'!$C$5:$C$8,'KK2. Series'!AM141)</f>
        <v/>
      </c>
      <c r="AQ141" s="128">
        <f>COUNTIF('TK 15666. Phim SX'!$C$6:$C$13,'KK2. Series'!AM141)</f>
        <v/>
      </c>
      <c r="AR141" s="203">
        <f>COUNTIF('TK 15661.Bản quyền phim '!F:F,'KK2. Series'!AM141)</f>
        <v/>
      </c>
      <c r="AS141" s="203" t="n">
        <v>1</v>
      </c>
      <c r="AT141" s="366">
        <f>SUM(AP141:AS141)</f>
        <v/>
      </c>
      <c r="AU141" s="203" t="n"/>
      <c r="AV141" s="203" t="n"/>
      <c r="AW141" s="203" t="n"/>
      <c r="AX141" s="203" t="n"/>
      <c r="AY141" s="203" t="n"/>
      <c r="AZ141" s="387" t="inlineStr">
        <is>
          <t>✓ Found</t>
        </is>
      </c>
      <c r="BB141" s="387" t="n"/>
    </row>
    <row r="142" ht="409.6" customHeight="1" s="578">
      <c r="A142" s="96" t="n">
        <v>136</v>
      </c>
      <c r="B142" s="97" t="inlineStr">
        <is>
          <t>EP01 – SER_ACT1546
EP02 – SER_ACT1547
EP03 – SER_ACT1548
EP04 – SER_ACT1549
EP05 – SER_ACT1550
EP06 – SER_ACT1551
EP07 – SER_ACT1552
EP08 – SER_ACT1553
EP09 – SER_ACT1554
EP10 – SER_ACT1555
EP11 – SER_ACT1556
EP12 – SER_ACT1557
EP13 – SER_ACT1558
EP14 – SER_ACT1559
EP15 – SER_ACT1560
EP16 – SER_ACT1561
EP17 – SER_ACT1562
EP18 – SER_ACT1563
EP19 – SER_ACT1564
EP20 – SER_ACT1565
EP21 – SER_ACT1566
EP22 – SER_ACT1567
EP23 – SER_ACT1568
EP24 – SER_ACT1569</t>
        </is>
      </c>
      <c r="C142" s="108" t="inlineStr">
        <is>
          <t xml:space="preserve">Taxi Driver S1 </t>
        </is>
      </c>
      <c r="D142" s="590" t="inlineStr">
        <is>
          <t>Ẩn danh 1</t>
        </is>
      </c>
      <c r="E142" s="108" t="inlineStr">
        <is>
          <t>SBS</t>
        </is>
      </c>
      <c r="F142" s="115" t="n">
        <v>19985</v>
      </c>
      <c r="G142" s="108" t="inlineStr">
        <is>
          <t>Korea</t>
        </is>
      </c>
      <c r="H142" s="108" t="n">
        <v>2021</v>
      </c>
      <c r="I142" s="108" t="n">
        <v>16</v>
      </c>
      <c r="J142" s="108" t="n">
        <v>70</v>
      </c>
      <c r="K142" s="305">
        <f>(I142*J142)/60</f>
        <v/>
      </c>
      <c r="L142" s="305">
        <f>I142</f>
        <v/>
      </c>
      <c r="M142" s="108" t="inlineStr">
        <is>
          <t>Drama</t>
        </is>
      </c>
      <c r="N142" s="108" t="inlineStr">
        <is>
          <t>Drama</t>
        </is>
      </c>
      <c r="O142" s="308" t="n">
        <v>45870</v>
      </c>
      <c r="P142" s="308" t="n">
        <v>46965</v>
      </c>
      <c r="Q142" s="590" t="n"/>
      <c r="R142" s="590" t="n"/>
      <c r="S142" s="590" t="n"/>
      <c r="T142" s="108" t="inlineStr">
        <is>
          <t xml:space="preserve">No </t>
        </is>
      </c>
      <c r="U142" s="590" t="inlineStr">
        <is>
          <t>Yes</t>
        </is>
      </c>
      <c r="V142" s="108" t="inlineStr">
        <is>
          <t>Yes</t>
        </is>
      </c>
      <c r="W142" s="108" t="inlineStr">
        <is>
          <t>Yes</t>
        </is>
      </c>
      <c r="X142" s="108" t="inlineStr">
        <is>
          <t>Yes</t>
        </is>
      </c>
      <c r="Y142" s="108" t="inlineStr">
        <is>
          <t>Yes</t>
        </is>
      </c>
      <c r="Z142" s="108" t="inlineStr">
        <is>
          <t>Yes</t>
        </is>
      </c>
      <c r="AA142" s="108" t="inlineStr">
        <is>
          <t>Yes</t>
        </is>
      </c>
      <c r="AB142" s="108" t="inlineStr">
        <is>
          <t>Yes</t>
        </is>
      </c>
      <c r="AC142" s="308" t="n">
        <v>45870</v>
      </c>
      <c r="AD142" s="308" t="n">
        <v>46965</v>
      </c>
      <c r="AE142" s="108" t="inlineStr">
        <is>
          <t>Unlimited</t>
        </is>
      </c>
      <c r="AF142" s="306" t="n"/>
      <c r="AG142" s="641" t="n"/>
      <c r="AH142" s="309" t="n"/>
      <c r="AI142" s="642" t="inlineStr">
        <is>
          <t>Yes</t>
        </is>
      </c>
      <c r="AJ142" s="642" t="inlineStr">
        <is>
          <t>Yes</t>
        </is>
      </c>
      <c r="AK142" s="307" t="n"/>
      <c r="AL142" s="590" t="inlineStr">
        <is>
          <t>Phim còn hạn từ 2026</t>
        </is>
      </c>
      <c r="AM142" s="203" t="inlineStr">
        <is>
          <t>Taxi Driver Season 1</t>
        </is>
      </c>
      <c r="AN142" s="203" t="n"/>
      <c r="AO142" s="128">
        <f>SUMIF('TK 15661.Bản quyền phim '!F:F,'KK2. Series'!C142,'TK 15661.Bản quyền phim '!K:K)</f>
        <v/>
      </c>
      <c r="AP142" s="128">
        <f>COUNTIF('242.BQ Phim VOD'!$C$5:$C$8,'KK2. Series'!AM142)</f>
        <v/>
      </c>
      <c r="AQ142" s="128">
        <f>COUNTIF('TK 15666. Phim SX'!$C$6:$C$13,'KK2. Series'!AM142)</f>
        <v/>
      </c>
      <c r="AR142" s="203">
        <f>COUNTIF('TK 15661.Bản quyền phim '!F:F,'KK2. Series'!AM142)</f>
        <v/>
      </c>
      <c r="AS142" s="203" t="n"/>
      <c r="AT142" s="366">
        <f>SUM(AP142:AS142)</f>
        <v/>
      </c>
      <c r="AU142" s="203" t="n"/>
      <c r="AV142" s="203" t="n"/>
      <c r="AW142" s="203" t="n"/>
      <c r="AX142" s="203" t="n"/>
      <c r="AY142" s="203" t="n"/>
      <c r="AZ142" s="387" t="inlineStr">
        <is>
          <t>✓ Found</t>
        </is>
      </c>
      <c r="BB142" s="387" t="n"/>
    </row>
    <row r="143" ht="409.6" customHeight="1" s="578">
      <c r="A143" s="96" t="n">
        <v>137</v>
      </c>
      <c r="B143" s="97" t="inlineStr">
        <is>
          <t>EP01 – SER_DRA4194
EP02 – SER_DRA4195
EP03 – SER_DRA4196
EP04 – SER_DRA4197
EP05 – SER_DRA4198
EP06 – SER_DRA4199
EP07 – SER_DRA4200
EP08 – SER_DRA4201
EP09 – SER_DRA4202
EP10 – SER_DRA4203
EP11 – SER_DRA4204
EP12 – SER_DRA4205
EP13 – SER_DRA4206
EP14 – SER_DRA4207
EP15 – SER_DRA4208
EP16 – SER_DRA4209
EP17 – SER_DRA4210
EP18 – SER_DRA4211
EP19 – SER_DRA4212
EP20 – SER_DRA4213
EP21 – SER_DRA4214
EP22 – SER_DRA4215
EP23 – SER_DRA4216
EP24 – SER_DRA4217
EP25 – SER_DRA4218
EP26 – SER_DRA4219
EP27 – SER_DRA4220
EP28 – SER_DRA4221
EP29 – SER_DRA4222
EP30 – SER_DRA4223
EP31 – SER_DRA4224
EP32 – SER_DRA4225
EP33 – SER_DRA4226
EP34 – SER_DRA4227
EP35 – SER_DRA4228
EP36 – SER_DRA4229
EP37 – SER_DRA4230
EP38 – SER_DRA4231
EP39 – SER_DRA4232
EP40 – SER_DRA4233
EP41 – SER_DRA4234
EP42 – SER_DRA4235
EP43 – SER_DRA4236
EP44 – SER_DRA4237
EP45 – SER_DRA4238
EP46 – SER_DRA4239
EP47 – SER_DRA4240
EP48 – SER_DRA4241
EP49 – SER_DRA4242
EP50 – SER_DRA4243</t>
        </is>
      </c>
      <c r="C143" s="108" t="inlineStr">
        <is>
          <t>The King's doctor</t>
        </is>
      </c>
      <c r="D143" s="590" t="inlineStr">
        <is>
          <t>Ngự y của hoàng đế</t>
        </is>
      </c>
      <c r="E143" s="108" t="inlineStr">
        <is>
          <t>HT</t>
        </is>
      </c>
      <c r="F143" s="642" t="inlineStr">
        <is>
          <t>124/2024/HDBQ/VSTV-HT</t>
        </is>
      </c>
      <c r="G143" s="108" t="inlineStr">
        <is>
          <t>Korea</t>
        </is>
      </c>
      <c r="H143" s="108" t="n">
        <v>2012</v>
      </c>
      <c r="I143" s="289" t="n">
        <v>50</v>
      </c>
      <c r="J143" s="289" t="n">
        <v>70</v>
      </c>
      <c r="K143" s="305">
        <f>(I143*J143)/60</f>
        <v/>
      </c>
      <c r="L143" s="305">
        <f>I143</f>
        <v/>
      </c>
      <c r="M143" s="108" t="inlineStr">
        <is>
          <t>Drama</t>
        </is>
      </c>
      <c r="N143" s="108" t="inlineStr">
        <is>
          <t>Drama</t>
        </is>
      </c>
      <c r="O143" s="590" t="n"/>
      <c r="P143" s="590" t="inlineStr">
        <is>
          <t>VOD only</t>
        </is>
      </c>
      <c r="Q143" s="590" t="n"/>
      <c r="R143" s="590" t="n"/>
      <c r="S143" s="590" t="n"/>
      <c r="T143" s="108" t="inlineStr">
        <is>
          <t xml:space="preserve">No </t>
        </is>
      </c>
      <c r="U143" s="590" t="inlineStr">
        <is>
          <t>Yes</t>
        </is>
      </c>
      <c r="V143" s="108" t="inlineStr">
        <is>
          <t xml:space="preserve">No </t>
        </is>
      </c>
      <c r="W143" s="108" t="inlineStr">
        <is>
          <t>Yes</t>
        </is>
      </c>
      <c r="X143" s="108" t="inlineStr">
        <is>
          <t>Yes</t>
        </is>
      </c>
      <c r="Y143" s="108" t="inlineStr">
        <is>
          <t>Yes</t>
        </is>
      </c>
      <c r="Z143" s="108" t="inlineStr">
        <is>
          <t>Yes</t>
        </is>
      </c>
      <c r="AA143" s="108" t="inlineStr">
        <is>
          <t>Yes</t>
        </is>
      </c>
      <c r="AB143" s="108" t="inlineStr">
        <is>
          <t>Yes</t>
        </is>
      </c>
      <c r="AC143" s="312" t="n">
        <v>45809</v>
      </c>
      <c r="AD143" s="312" t="n">
        <v>46538</v>
      </c>
      <c r="AE143" s="590" t="n"/>
      <c r="AF143" s="306" t="n"/>
      <c r="AG143" s="641" t="n"/>
      <c r="AH143" s="309" t="n"/>
      <c r="AI143" s="642" t="inlineStr">
        <is>
          <t>Yes</t>
        </is>
      </c>
      <c r="AJ143" s="642" t="inlineStr">
        <is>
          <t>Yes</t>
        </is>
      </c>
      <c r="AK143" s="307" t="n"/>
      <c r="AL143" s="590" t="inlineStr">
        <is>
          <t>Phim còn hạn từ 2026</t>
        </is>
      </c>
      <c r="AM143" s="203" t="n"/>
      <c r="AN143" s="203" t="n"/>
      <c r="AO143" s="128">
        <f>SUMIF('TK 15661.Bản quyền phim '!F:F,'KK2. Series'!C143,'TK 15661.Bản quyền phim '!K:K)</f>
        <v/>
      </c>
      <c r="AP143" s="128">
        <f>COUNTIF('242.BQ Phim VOD'!$C$5:$C$8,'KK2. Series'!AM143)</f>
        <v/>
      </c>
      <c r="AQ143" s="128">
        <f>COUNTIF('TK 15666. Phim SX'!$C$6:$C$13,'KK2. Series'!AM143)</f>
        <v/>
      </c>
      <c r="AR143" s="203">
        <f>COUNTIF('TK 15661.Bản quyền phim '!F:F,'KK2. Series'!AM143)</f>
        <v/>
      </c>
      <c r="AS143" s="203" t="n">
        <v>1</v>
      </c>
      <c r="AT143" s="366">
        <f>SUM(AP143:AS143)</f>
        <v/>
      </c>
      <c r="AU143" s="203" t="n"/>
      <c r="AV143" s="203" t="n"/>
      <c r="AW143" s="203" t="n"/>
      <c r="AX143" s="203" t="n"/>
      <c r="AY143" s="203" t="n"/>
      <c r="AZ143" s="387" t="inlineStr">
        <is>
          <t>✓ Found</t>
        </is>
      </c>
      <c r="BB143" s="387" t="n"/>
    </row>
    <row r="144" ht="409.6" customHeight="1" s="578">
      <c r="A144" s="96" t="n">
        <v>138</v>
      </c>
      <c r="B144" s="97" t="inlineStr">
        <is>
          <t>EP01 – SER_ROM3133
EP02 – SER_ROM3134
EP03 – SER_ROM3135
EP04 – SER_ROM3136
EP05 – SER_ROM3137
EP06 – SER_ROM3138
EP07 – SER_ROM3139
EP08 – SER_ROM3140
EP09 – SER_ROM3141
EP10 – SER_ROM3142
EP11 – SER_ROM3143
EP12 – SER_ROM3144
EP13 – SER_ROM3145
EP14 – SER_ROM3146
EP15 – SER_ROM3147
EP16 – SER_ROM3148
EP17 – SER_ROM3149
EP18 – SER_ROM3150
EP19 – SER_ROM3151
EP20 – SER_ROM3152
EP21 – SER_ROM3153
EP22 – SER_ROM3154
EP23 – SER_ROM3155
EP24 – SER_ROM3156
EP25 – SER_ROM3157
EP26 – SER_ROM3158
EP27 – SER_ROM3159
EP28 – SER_ROM3160
EP29 – SER_ROM3161
EP30 – SER_ROM3162
EP31 – SER_ROM3163
EP32 – SER_ROM3164
EP33 – SER_ROM3165
EP34 – SER_ROM3166
EP35 – SER_ROM3167
EP36 – SER_ROM3168
EP37 – SER_ROM3169
EP38 – SER_ROM3170
EP39 – SER_ROM3171
EP40 – SER_ROM3172
EP41 – SER_ROM3173
EP42 – SER_ROM3174
EP43 – SER_ROM3175
EP44 – SER_ROM3176
EP45 – SER_ROM3177
EP46 – SER_ROM3178
EP47 – SER_ROM3179
EP48 – SER_ROM3180
EP49 – SER_ROM3181
EP50 – SER_ROM3182
EP51 – SER_ROM3183
EP52 – SER_ROM3184
EP53 – SER_ROM3185
EP54 – SER_ROM3186
EP55 – SER_ROM3187
EP56 – SER_ROM3188
EP57 – SER_ROM3189
EP58 – SER_ROM3190
EP59 – SER_ROM3191
EP60 – SER_ROM3192
EP61 – SER_ROM3193
EP62 – SER_ROM3194
EP63 – SER_ROM3195
EP64 – SER_ROM3196
EP65 – SER_ROM3197
EP66 – SER_ROM3198
EP67 – SER_ROM3199
EP68 – SER_ROM3200
EP69 – SER_ROM3201
EP70 – SER_ROM3202
EP71 – SER_ROM3203
EP72 – SER_ROM3204
EP73 – SER_ROM3205
EP74 – SER_ROM3206
EP75 – SER_ROM3207
EP76 – SER_ROM3208</t>
        </is>
      </c>
      <c r="C144" s="108" t="inlineStr">
        <is>
          <t>May Queen</t>
        </is>
      </c>
      <c r="D144" s="590" t="inlineStr">
        <is>
          <t>Nữ hoàng tháng 5</t>
        </is>
      </c>
      <c r="E144" s="108" t="inlineStr">
        <is>
          <t>HT</t>
        </is>
      </c>
      <c r="F144" s="642" t="inlineStr">
        <is>
          <t>124/2024/HDBQ/VSTV-HT</t>
        </is>
      </c>
      <c r="G144" s="108" t="inlineStr">
        <is>
          <t>Korea</t>
        </is>
      </c>
      <c r="H144" s="108" t="n">
        <v>2012</v>
      </c>
      <c r="I144" s="289" t="n">
        <v>76</v>
      </c>
      <c r="J144" s="289" t="n">
        <v>35</v>
      </c>
      <c r="K144" s="305">
        <f>(I144*J144)/60</f>
        <v/>
      </c>
      <c r="L144" s="305">
        <f>I144</f>
        <v/>
      </c>
      <c r="M144" s="108" t="inlineStr">
        <is>
          <t>Drama</t>
        </is>
      </c>
      <c r="N144" s="108" t="inlineStr">
        <is>
          <t>Drama</t>
        </is>
      </c>
      <c r="O144" s="590" t="n"/>
      <c r="P144" s="590" t="inlineStr">
        <is>
          <t>VOD only</t>
        </is>
      </c>
      <c r="Q144" s="590" t="n"/>
      <c r="R144" s="590" t="n"/>
      <c r="S144" s="590" t="n"/>
      <c r="T144" s="108" t="inlineStr">
        <is>
          <t xml:space="preserve">No </t>
        </is>
      </c>
      <c r="U144" s="590" t="inlineStr">
        <is>
          <t>Yes</t>
        </is>
      </c>
      <c r="V144" s="108" t="inlineStr">
        <is>
          <t xml:space="preserve">No </t>
        </is>
      </c>
      <c r="W144" s="108" t="inlineStr">
        <is>
          <t>Yes</t>
        </is>
      </c>
      <c r="X144" s="108" t="inlineStr">
        <is>
          <t>Yes</t>
        </is>
      </c>
      <c r="Y144" s="108" t="inlineStr">
        <is>
          <t>Yes</t>
        </is>
      </c>
      <c r="Z144" s="108" t="inlineStr">
        <is>
          <t>Yes</t>
        </is>
      </c>
      <c r="AA144" s="108" t="inlineStr">
        <is>
          <t>Yes</t>
        </is>
      </c>
      <c r="AB144" s="108" t="inlineStr">
        <is>
          <t>Yes</t>
        </is>
      </c>
      <c r="AC144" s="312" t="n">
        <v>45809</v>
      </c>
      <c r="AD144" s="312" t="n">
        <v>46538</v>
      </c>
      <c r="AE144" s="590" t="n"/>
      <c r="AF144" s="306" t="n"/>
      <c r="AG144" s="641" t="n"/>
      <c r="AH144" s="309" t="n"/>
      <c r="AI144" s="642" t="inlineStr">
        <is>
          <t>Yes</t>
        </is>
      </c>
      <c r="AJ144" s="642" t="inlineStr">
        <is>
          <t>Yes</t>
        </is>
      </c>
      <c r="AK144" s="307" t="n"/>
      <c r="AL144" s="590" t="inlineStr">
        <is>
          <t>Phim còn hạn từ 2026</t>
        </is>
      </c>
      <c r="AM144" s="203" t="n"/>
      <c r="AN144" s="203" t="n"/>
      <c r="AO144" s="128">
        <f>SUMIF('TK 15661.Bản quyền phim '!F:F,'KK2. Series'!C144,'TK 15661.Bản quyền phim '!K:K)</f>
        <v/>
      </c>
      <c r="AP144" s="128">
        <f>COUNTIF('242.BQ Phim VOD'!$C$5:$C$8,'KK2. Series'!AM144)</f>
        <v/>
      </c>
      <c r="AQ144" s="128">
        <f>COUNTIF('TK 15666. Phim SX'!$C$6:$C$13,'KK2. Series'!AM144)</f>
        <v/>
      </c>
      <c r="AR144" s="203">
        <f>COUNTIF('TK 15661.Bản quyền phim '!F:F,'KK2. Series'!AM144)</f>
        <v/>
      </c>
      <c r="AS144" s="203" t="n">
        <v>1</v>
      </c>
      <c r="AT144" s="366">
        <f>SUM(AP144:AS144)</f>
        <v/>
      </c>
      <c r="AU144" s="203" t="n"/>
      <c r="AV144" s="203" t="n"/>
      <c r="AW144" s="203" t="n"/>
      <c r="AX144" s="203" t="n"/>
      <c r="AY144" s="203" t="n"/>
      <c r="AZ144" s="387" t="inlineStr">
        <is>
          <t>✓ Found</t>
        </is>
      </c>
      <c r="BB144" s="387" t="n"/>
    </row>
    <row r="145" ht="409.6" customHeight="1" s="578">
      <c r="A145" s="96" t="n">
        <v>139</v>
      </c>
      <c r="B145" s="97" t="inlineStr">
        <is>
          <t>EP01 – SER_CRI2454
EP02 – SER_CRI2455
EP03 – SER_CRI2456
EP04 – SER_CRI2457
EP05 – SER_CRI2458
EP06 – SER_CRI2459
EP07 – SER_CRI2460
EP08 – SER_CRI2461
EP09 – SER_CRI2462
EP10 – SER_CRI2463
EP11 – SER_CRI2464
EP12 – SER_CRI2465
EP13 – SER_CRI2466
EP14 – SER_CRI2467
EP15 – SER_CRI2468
EP16 – SER_CRI2469
EP17 – SER_CRI2470
EP18 – SER_CRI2471
EP19 – SER_CRI2472
EP20 – SER_CRI2473
EP21 – SER_CRI2474
EP22 – SER_CRI2475
EP23 – SER_CRI2476
EP24 – SER_CRI2477
EP25 – SER_CRI2478
EP26 – SER_CRI2479
EP27 – SER_CRI2480
EP28 – SER_CRI2481
EP29 – SER_CRI2482
EP30 – SER_CRI2483
EP31 – SER_CRI2484
EP32 – SER_CRI2485
EP33 – SER_CRI2486
EP34 – SER_CRI2487
EP35 – SER_CRI2488
EP36 – SER_CRI2489
EP37 – SER_CRI2490
EP38 – SER_CRI2491
EP39 – SER_CRI2492
EP40 – SER_CRI2493
EP41 – SER_CRI2494
EP42 – SER_CRI2495
EP43 – SER_CRI2496
EP44 – SER_CRI2497
EP45 – SER_CRI2498
EP46 – SER_CRI2499
EP47 – SER_CRI2500
EP48 – SER_CRI2501</t>
        </is>
      </c>
      <c r="C145" s="108" t="inlineStr">
        <is>
          <t>Razor</t>
        </is>
      </c>
      <c r="D145" s="590" t="inlineStr">
        <is>
          <t>Kề sát lưỡi dao</t>
        </is>
      </c>
      <c r="E145" s="108" t="inlineStr">
        <is>
          <t>HT</t>
        </is>
      </c>
      <c r="F145" s="642" t="inlineStr">
        <is>
          <t>124/2024/HDBQ/VSTV-HT</t>
        </is>
      </c>
      <c r="G145" s="108" t="inlineStr">
        <is>
          <t>China</t>
        </is>
      </c>
      <c r="H145" s="108" t="n">
        <v>2017</v>
      </c>
      <c r="I145" s="108" t="n">
        <v>48</v>
      </c>
      <c r="J145" s="108" t="n">
        <v>45</v>
      </c>
      <c r="K145" s="305">
        <f>(I145*J145)/60</f>
        <v/>
      </c>
      <c r="L145" s="305">
        <f>I145</f>
        <v/>
      </c>
      <c r="M145" s="108" t="inlineStr">
        <is>
          <t>Drama</t>
        </is>
      </c>
      <c r="N145" s="108" t="inlineStr">
        <is>
          <t>Drama</t>
        </is>
      </c>
      <c r="O145" s="590" t="n"/>
      <c r="P145" s="590" t="inlineStr">
        <is>
          <t>VOD only</t>
        </is>
      </c>
      <c r="Q145" s="590" t="n"/>
      <c r="R145" s="590" t="n"/>
      <c r="S145" s="590" t="n"/>
      <c r="T145" s="108" t="inlineStr">
        <is>
          <t xml:space="preserve">No </t>
        </is>
      </c>
      <c r="U145" s="590" t="inlineStr">
        <is>
          <t>Yes</t>
        </is>
      </c>
      <c r="V145" s="108" t="inlineStr">
        <is>
          <t xml:space="preserve">No </t>
        </is>
      </c>
      <c r="W145" s="108" t="inlineStr">
        <is>
          <t>Yes</t>
        </is>
      </c>
      <c r="X145" s="108" t="inlineStr">
        <is>
          <t>Yes</t>
        </is>
      </c>
      <c r="Y145" s="108" t="inlineStr">
        <is>
          <t>Yes</t>
        </is>
      </c>
      <c r="Z145" s="108" t="inlineStr">
        <is>
          <t>Yes</t>
        </is>
      </c>
      <c r="AA145" s="108" t="inlineStr">
        <is>
          <t>Yes</t>
        </is>
      </c>
      <c r="AB145" s="108" t="inlineStr">
        <is>
          <t>Yes</t>
        </is>
      </c>
      <c r="AC145" s="312" t="n">
        <v>45809</v>
      </c>
      <c r="AD145" s="312" t="n">
        <v>46538</v>
      </c>
      <c r="AE145" s="590" t="n"/>
      <c r="AF145" s="306" t="n"/>
      <c r="AG145" s="641" t="n"/>
      <c r="AH145" s="309" t="n"/>
      <c r="AI145" s="642" t="inlineStr">
        <is>
          <t>Yes</t>
        </is>
      </c>
      <c r="AJ145" s="642" t="inlineStr">
        <is>
          <t>Yes</t>
        </is>
      </c>
      <c r="AK145" s="307" t="n"/>
      <c r="AL145" s="590" t="inlineStr">
        <is>
          <t>Phim còn hạn từ 2026</t>
        </is>
      </c>
      <c r="AM145" s="203" t="n"/>
      <c r="AN145" s="203" t="n"/>
      <c r="AO145" s="128">
        <f>SUMIF('TK 15661.Bản quyền phim '!F:F,'KK2. Series'!C145,'TK 15661.Bản quyền phim '!K:K)</f>
        <v/>
      </c>
      <c r="AP145" s="128">
        <f>COUNTIF('242.BQ Phim VOD'!$C$5:$C$8,'KK2. Series'!AM145)</f>
        <v/>
      </c>
      <c r="AQ145" s="128">
        <f>COUNTIF('TK 15666. Phim SX'!$C$6:$C$13,'KK2. Series'!AM145)</f>
        <v/>
      </c>
      <c r="AR145" s="203">
        <f>COUNTIF('TK 15661.Bản quyền phim '!F:F,'KK2. Series'!AM145)</f>
        <v/>
      </c>
      <c r="AS145" s="203" t="n">
        <v>1</v>
      </c>
      <c r="AT145" s="366">
        <f>SUM(AP145:AS145)</f>
        <v/>
      </c>
      <c r="AU145" s="203" t="n"/>
      <c r="AV145" s="203" t="n"/>
      <c r="AW145" s="203" t="n"/>
      <c r="AX145" s="203" t="n"/>
      <c r="AY145" s="203" t="n"/>
      <c r="AZ145" s="387" t="inlineStr">
        <is>
          <t>✓ Found</t>
        </is>
      </c>
      <c r="BB145" s="387" t="n"/>
    </row>
    <row r="146" ht="409.6" customHeight="1" s="578">
      <c r="A146" s="96" t="n">
        <v>140</v>
      </c>
      <c r="B146" s="97" t="inlineStr">
        <is>
          <t>EP01 – SER_HIS626
EP02 – SER_HIS627
EP03 – SER_HIS628
EP04 – SER_HIS629
EP05 – SER_HIS630
EP06 – SER_HIS631
EP07 – SER_HIS632
EP08 – SER_HIS633
EP09 – SER_HIS634
EP10 – SER_HIS635
EP11 – SER_HIS636
EP12 – SER_HIS637
EP13 – SER_HIS638
EP14 – SER_HIS639
EP15 – SER_HIS640
EP16 – SER_HIS641
EP17 – SER_HIS642
EP18 – SER_HIS643
EP19 – SER_HIS644
EP20 – SER_HIS645
EP21 – SER_HIS646
EP22 – SER_HIS647
EP23 – SER_HIS648
EP24 – SER_HIS649
EP25 – SER_HIS650
EP26 – SER_HIS651
EP27 – SER_HIS652
EP28 – SER_HIS653
EP29 – SER_HIS654
EP30 – SER_HIS655
EP31 – SER_HIS656
EP32 – SER_HIS657
EP33 – SER_HIS658
EP34 – SER_HIS659
EP35 – SER_HIS660
EP36 – SER_HIS661
EP37 – SER_HIS662
EP38 – SER_HIS663
EP39 – SER_HIS664
EP40 – SER_HIS665
EP41 – SER_HIS666
EP42 – SER_HIS667
EP43 – SER_HIS668
EP44 – SER_HIS669
EP45 – SER_HIS670
EP46 – SER_HIS671
EP47 – SER_HIS672
EP48 – SER_HIS673
EP49 – SER_HIS674
EP50 – SER_HIS675
EP51 – SER_HIS676
EP52 – SER_HIS677
EP53 – SER_HIS678
EP54 – SER_HIS679
EP55 – SER_HIS680
EP56 – SER_HIS681
EP57 – SER_HIS682
EP58 – SER_HIS683
EP59 – SER_HIS684
EP60 – SER_HIS685
EP61 – SER_HIS686
EP62 – SER_HIS687
EP63 – SER_HIS688
EP64 – SER_HIS689
EP65 – SER_HIS690
EP66 – SER_HIS691
EP67 – SER_HIS692
EP68 – SER_HIS693
EP69 – SER_HIS694
EP70 – SER_HIS695
EP71 – SER_HIS696
EP72 – SER_HIS697
EP73 – SER_HIS698
EP74 – SER_HIS699
EP75 – SER_HIS700
EP76 – SER_HIS701
EP77 – SER_HIS702
EP78 – SER_HIS703
EP79 – SER_HIS704
EP80 – SER_HIS705
EP81 – SER_HIS706
EP82 – SER_HIS707
EP83 – SER_HIS708
EP84 – SER_HIS709
EP85 – SER_HIS710
EP86 – SER_HIS711
EP87 – SER_HIS712
EP88 – SER_HIS713
EP89 – SER_HIS714
EP90 – SER_HIS715
EP91 – SER_HIS716
EP92 – SER_HIS717
EP93 – SER_HIS718
EP94 – SER_HIS719
EP95 – SER_HIS720
EP96 – SER_HIS721
EP97 – SER_HIS722
EP98 – SER_HIS723
EP99 – SER_HIS724
EP100 – SER_HIS725
EP101 – SER_HIS726
EP102 – SER_HIS727
EP103 – SER_HIS728
EP104 – SER_HIS729
EP105 – SER_HIS730
EP106 – SER_HIS731
EP107 – SER_HIS732
EP108 – SER_HIS733
EP109 – SER_HIS734
EP110 – SER_HIS735
EP111 – SER_HIS736
EP112 – SER_HIS737</t>
        </is>
      </c>
      <c r="C146" s="108" t="inlineStr">
        <is>
          <t>Warrior K</t>
        </is>
      </c>
      <c r="D146" s="590" t="inlineStr">
        <is>
          <t>Võ thần</t>
        </is>
      </c>
      <c r="E146" s="108" t="inlineStr">
        <is>
          <t>HT</t>
        </is>
      </c>
      <c r="F146" s="642" t="inlineStr">
        <is>
          <t>124/2024/HDBQ/VSTV-HT</t>
        </is>
      </c>
      <c r="G146" s="108" t="inlineStr">
        <is>
          <t>Korea</t>
        </is>
      </c>
      <c r="H146" s="108" t="n">
        <v>2012</v>
      </c>
      <c r="I146" s="289" t="n">
        <v>112</v>
      </c>
      <c r="J146" s="289" t="n">
        <v>35</v>
      </c>
      <c r="K146" s="305">
        <f>(I146*J146)/60</f>
        <v/>
      </c>
      <c r="L146" s="305">
        <f>I146</f>
        <v/>
      </c>
      <c r="M146" s="108" t="inlineStr">
        <is>
          <t>Drama</t>
        </is>
      </c>
      <c r="N146" s="108" t="inlineStr">
        <is>
          <t>Drama</t>
        </is>
      </c>
      <c r="O146" s="590" t="n"/>
      <c r="P146" s="590" t="inlineStr">
        <is>
          <t>VOD only</t>
        </is>
      </c>
      <c r="Q146" s="590" t="n"/>
      <c r="R146" s="590" t="n"/>
      <c r="S146" s="590" t="n"/>
      <c r="T146" s="108" t="inlineStr">
        <is>
          <t xml:space="preserve">No </t>
        </is>
      </c>
      <c r="U146" s="590" t="inlineStr">
        <is>
          <t>Yes</t>
        </is>
      </c>
      <c r="V146" s="108" t="inlineStr">
        <is>
          <t xml:space="preserve">No </t>
        </is>
      </c>
      <c r="W146" s="108" t="inlineStr">
        <is>
          <t>Yes</t>
        </is>
      </c>
      <c r="X146" s="108" t="inlineStr">
        <is>
          <t>Yes</t>
        </is>
      </c>
      <c r="Y146" s="108" t="inlineStr">
        <is>
          <t>Yes</t>
        </is>
      </c>
      <c r="Z146" s="108" t="inlineStr">
        <is>
          <t>Yes</t>
        </is>
      </c>
      <c r="AA146" s="108" t="inlineStr">
        <is>
          <t>Yes</t>
        </is>
      </c>
      <c r="AB146" s="108" t="inlineStr">
        <is>
          <t>Yes</t>
        </is>
      </c>
      <c r="AC146" s="312" t="n">
        <v>45823</v>
      </c>
      <c r="AD146" s="312" t="n">
        <v>46552</v>
      </c>
      <c r="AE146" s="590" t="n"/>
      <c r="AF146" s="306" t="n"/>
      <c r="AG146" s="641" t="n"/>
      <c r="AH146" s="309" t="n"/>
      <c r="AI146" s="642" t="inlineStr">
        <is>
          <t>Yes</t>
        </is>
      </c>
      <c r="AJ146" s="642" t="inlineStr">
        <is>
          <t>Yes</t>
        </is>
      </c>
      <c r="AK146" s="307" t="n"/>
      <c r="AL146" s="590" t="inlineStr">
        <is>
          <t>Phim còn hạn từ 2026</t>
        </is>
      </c>
      <c r="AM146" s="203" t="n"/>
      <c r="AN146" s="203" t="n"/>
      <c r="AO146" s="128">
        <f>SUMIF('TK 15661.Bản quyền phim '!F:F,'KK2. Series'!C146,'TK 15661.Bản quyền phim '!K:K)</f>
        <v/>
      </c>
      <c r="AP146" s="128">
        <f>COUNTIF('242.BQ Phim VOD'!$C$5:$C$8,'KK2. Series'!AM146)</f>
        <v/>
      </c>
      <c r="AQ146" s="128">
        <f>COUNTIF('TK 15666. Phim SX'!$C$6:$C$13,'KK2. Series'!AM146)</f>
        <v/>
      </c>
      <c r="AR146" s="203">
        <f>COUNTIF('TK 15661.Bản quyền phim '!F:F,'KK2. Series'!AM146)</f>
        <v/>
      </c>
      <c r="AS146" s="203" t="n">
        <v>1</v>
      </c>
      <c r="AT146" s="366">
        <f>SUM(AP146:AS146)</f>
        <v/>
      </c>
      <c r="AU146" s="203" t="n"/>
      <c r="AV146" s="203" t="n"/>
      <c r="AW146" s="203" t="n"/>
      <c r="AX146" s="203" t="n"/>
      <c r="AY146" s="203" t="n"/>
      <c r="AZ146" s="387" t="inlineStr">
        <is>
          <t>✓ Found</t>
        </is>
      </c>
      <c r="BB146" s="387" t="n"/>
    </row>
    <row r="147" ht="158.4" customHeight="1" s="578">
      <c r="A147" s="96" t="n">
        <v>141</v>
      </c>
      <c r="B147" s="97" t="inlineStr">
        <is>
          <t>EP01 – SER_ROM3555
EP02 – SER_ROM3556
EP03 – SER_ROM3557
EP04 – SER_ROM3558
EP05 – SER_ROM3559
EP06 – SER_ROM3560
EP07 – SER_ROM3561
EP08 – SER_ROM3562
EP09 – SER_ROM3563
EP10 – SER_ROM3564
EP11 – SER_ROM3565
EP12 – SER_ROM3566</t>
        </is>
      </c>
      <c r="C147" s="642" t="inlineStr">
        <is>
          <t>My Youth</t>
        </is>
      </c>
      <c r="D147" s="642" t="inlineStr">
        <is>
          <t>Thanh xuân của tôi</t>
        </is>
      </c>
      <c r="E147" s="297" t="inlineStr">
        <is>
          <t xml:space="preserve">Viu </t>
        </is>
      </c>
      <c r="F147" s="590" t="inlineStr">
        <is>
          <t xml:space="preserve">PCCW VUCLIP/2025/HDBQ Output deal </t>
        </is>
      </c>
      <c r="G147" s="642" t="inlineStr">
        <is>
          <t>Korea</t>
        </is>
      </c>
      <c r="H147" s="307" t="n">
        <v>2025</v>
      </c>
      <c r="I147" s="298" t="n">
        <v>12</v>
      </c>
      <c r="J147" s="298" t="n">
        <v>70</v>
      </c>
      <c r="K147" s="316">
        <f>(J147*I147)/60</f>
        <v/>
      </c>
      <c r="L147" s="464">
        <f>J147</f>
        <v/>
      </c>
      <c r="M147" s="298" t="inlineStr">
        <is>
          <t>Drama</t>
        </is>
      </c>
      <c r="N147" s="298" t="inlineStr">
        <is>
          <t>Drama</t>
        </is>
      </c>
      <c r="O147" s="319" t="n">
        <v>45905</v>
      </c>
      <c r="P147" s="319" t="n">
        <v>47365</v>
      </c>
      <c r="Q147" s="649" t="n"/>
      <c r="R147" s="642" t="n"/>
      <c r="S147" s="642" t="n"/>
      <c r="T147" s="642" t="inlineStr">
        <is>
          <t>Yes</t>
        </is>
      </c>
      <c r="U147" s="590" t="inlineStr">
        <is>
          <t>Yes</t>
        </is>
      </c>
      <c r="V147" s="642" t="inlineStr">
        <is>
          <t>Yes</t>
        </is>
      </c>
      <c r="W147" s="642" t="inlineStr">
        <is>
          <t>Yes</t>
        </is>
      </c>
      <c r="X147" s="642" t="inlineStr">
        <is>
          <t>Yes</t>
        </is>
      </c>
      <c r="Y147" s="642" t="inlineStr">
        <is>
          <t>Yes</t>
        </is>
      </c>
      <c r="Z147" s="642" t="inlineStr">
        <is>
          <t>Yes</t>
        </is>
      </c>
      <c r="AA147" s="642" t="inlineStr">
        <is>
          <t>Yes</t>
        </is>
      </c>
      <c r="AB147" s="658" t="inlineStr">
        <is>
          <t>Yes</t>
        </is>
      </c>
      <c r="AC147" s="319" t="n">
        <v>45905</v>
      </c>
      <c r="AD147" s="319" t="n">
        <v>47365</v>
      </c>
      <c r="AE147" s="649" t="n"/>
      <c r="AF147" s="307" t="n"/>
      <c r="AG147" s="647" t="n"/>
      <c r="AH147" s="318" t="n"/>
      <c r="AI147" s="642" t="inlineStr">
        <is>
          <t>Yes</t>
        </is>
      </c>
      <c r="AJ147" s="642" t="inlineStr">
        <is>
          <t>Yes</t>
        </is>
      </c>
      <c r="AK147" s="307" t="inlineStr">
        <is>
          <t>Phim Song song</t>
        </is>
      </c>
      <c r="AL147" s="590" t="inlineStr">
        <is>
          <t>Phim còn hạn từ 2026</t>
        </is>
      </c>
      <c r="AM147" s="203" t="inlineStr">
        <is>
          <t>My Youth (Thanh xuân của tôi)</t>
        </is>
      </c>
      <c r="AN147" s="203" t="n"/>
      <c r="AO147" s="128">
        <f>SUMIF('TK 15661.Bản quyền phim '!F:F,'KK2. Series'!C147,'TK 15661.Bản quyền phim '!K:K)</f>
        <v/>
      </c>
      <c r="AP147" s="128">
        <f>COUNTIF('242.BQ Phim VOD'!$C$5:$C$8,'KK2. Series'!AM147)</f>
        <v/>
      </c>
      <c r="AQ147" s="128">
        <f>COUNTIF('TK 15666. Phim SX'!$C$6:$C$13,'KK2. Series'!AM147)</f>
        <v/>
      </c>
      <c r="AR147" s="203">
        <f>COUNTIF('TK 15661.Bản quyền phim '!F:F,'KK2. Series'!AM147)</f>
        <v/>
      </c>
      <c r="AS147" s="203" t="n"/>
      <c r="AT147" s="366">
        <f>SUM(AP147:AS147)</f>
        <v/>
      </c>
      <c r="AU147" s="203" t="n"/>
      <c r="AV147" s="203" t="n"/>
      <c r="AW147" s="203" t="n"/>
      <c r="AX147" s="203" t="n"/>
      <c r="AY147" s="203" t="n"/>
      <c r="AZ147" s="387" t="inlineStr">
        <is>
          <t>✓ Found</t>
        </is>
      </c>
      <c r="BB147" s="387" t="n"/>
    </row>
    <row r="148" ht="409.6" customHeight="1" s="578">
      <c r="A148" s="96" t="n">
        <v>142</v>
      </c>
      <c r="B148" s="97" t="inlineStr">
        <is>
          <t>feud – bản Sub – EP01→EP32
EP01 – SER_FAN181
EP02 – SER_FAN182
EP03 – SER_FAN183
EP04 – SER_FAN184
EP05 – SER_FAN185
EP06 – SER_FAN186
EP07 – SER_FAN187
EP08 – SER_FAN188
EP09 – SER_FAN189
EP10 – SER_FAN190
EP11 – SER_FAN191
EP12 – SER_FAN192
EP13 – SER_FAN193
EP14 – SER_FAN194
EP15 – SER_FAN195
EP16 – SER_FAN196
EP17 – SER_FAN197
EP18 – SER_FAN198
EP19 – SER_FAN199
EP20 – SER_FAN200
EP21 – SER_FAN201
EP22 – SER_FAN202
EP23 – SER_FAN203
EP24 – SER_FAN204
EP25 – SER_FAN205
EP26 – SER_FAN206
EP27 – SER_FAN207
EP28 – SER_FAN208
EP29 – SER_FAN209
EP30 – SER_FAN210
EP31 – SER_FAN211
EP32 – SER_FAN212
feud – bản Voice – EP01→EP32
EP01 – SER_FAN213
EP02 – SER_FAN214
EP03 – SER_FAN215
EP04 – SER_FAN216
EP05 – SER_FAN217
EP06 – SER_FAN218
EP07 – SER_FAN219
EP08 – SER_FAN220
EP09 – SER_FAN221
EP10 – SER_FAN222
EP11 – SER_FAN223
EP12 – SER_FAN224
EP13 – SER_FAN225
EP14 – SER_FAN226
EP15 – SER_FAN227
EP16 – SER_FAN228
EP17 – SER_FAN229
EP18 – SER_FAN230
EP19 – SER_FAN231
EP20 – SER_FAN232
EP21 – SER_FAN233
EP22 – SER_FAN234
EP23 – SER_FAN235
EP24 – SER_FAN236
EP25 – SER_FAN237
EP26 – SER_FAN238
EP27 – SER_FAN239
EP28 – SER_FAN240
EP29 – SER_FAN241
EP30 – SER_FAN242
EP31 – SER_FAN243
EP32 – SER_FAN244</t>
        </is>
      </c>
      <c r="C148" s="117" t="inlineStr">
        <is>
          <t xml:space="preserve">Feud  </t>
        </is>
      </c>
      <c r="D148" s="117" t="inlineStr">
        <is>
          <t>Lâm Giang Tiên</t>
        </is>
      </c>
      <c r="E148" s="296" t="inlineStr">
        <is>
          <t xml:space="preserve">Huanyu </t>
        </is>
      </c>
      <c r="F148" s="659" t="inlineStr">
        <is>
          <t>Huanyu/Feud</t>
        </is>
      </c>
      <c r="G148" s="117" t="inlineStr">
        <is>
          <t>China</t>
        </is>
      </c>
      <c r="H148" s="321" t="n">
        <v>2025</v>
      </c>
      <c r="I148" s="117" t="n">
        <v>32</v>
      </c>
      <c r="J148" s="117" t="n">
        <v>45</v>
      </c>
      <c r="K148" s="340">
        <f>(I148*J148)/60</f>
        <v/>
      </c>
      <c r="L148" s="467">
        <f>J148</f>
        <v/>
      </c>
      <c r="M148" s="117" t="inlineStr">
        <is>
          <t>Costum, Drama</t>
        </is>
      </c>
      <c r="N148" s="117" t="inlineStr">
        <is>
          <t>Costum, Drama</t>
        </is>
      </c>
      <c r="O148" s="320" t="n">
        <v>45814</v>
      </c>
      <c r="P148" s="320" t="n">
        <v>47639</v>
      </c>
      <c r="Q148" s="650" t="n"/>
      <c r="R148" s="646" t="n"/>
      <c r="S148" s="650" t="n"/>
      <c r="T148" s="646" t="inlineStr">
        <is>
          <t>Yes</t>
        </is>
      </c>
      <c r="U148" s="614" t="inlineStr">
        <is>
          <t>Yes</t>
        </is>
      </c>
      <c r="V148" s="646" t="inlineStr">
        <is>
          <t>Yes</t>
        </is>
      </c>
      <c r="W148" s="646" t="inlineStr">
        <is>
          <t>Yes</t>
        </is>
      </c>
      <c r="X148" s="646" t="inlineStr">
        <is>
          <t>Yes</t>
        </is>
      </c>
      <c r="Y148" s="646" t="inlineStr">
        <is>
          <t>Yes</t>
        </is>
      </c>
      <c r="Z148" s="646" t="inlineStr">
        <is>
          <t>Yes</t>
        </is>
      </c>
      <c r="AA148" s="646" t="inlineStr">
        <is>
          <t>Yes</t>
        </is>
      </c>
      <c r="AB148" s="659" t="inlineStr">
        <is>
          <t>Yes</t>
        </is>
      </c>
      <c r="AC148" s="320" t="n">
        <v>45814</v>
      </c>
      <c r="AD148" s="320" t="n">
        <v>47639</v>
      </c>
      <c r="AE148" s="117" t="inlineStr">
        <is>
          <t>Unlimited</t>
        </is>
      </c>
      <c r="AF148" s="321" t="n"/>
      <c r="AG148" s="648" t="n"/>
      <c r="AH148" s="322" t="n"/>
      <c r="AI148" s="646" t="inlineStr">
        <is>
          <t>Yes</t>
        </is>
      </c>
      <c r="AJ148" s="646" t="inlineStr">
        <is>
          <t>Yes</t>
        </is>
      </c>
      <c r="AK148" s="321" t="inlineStr">
        <is>
          <t>Phim Song song</t>
        </is>
      </c>
      <c r="AL148" s="590" t="inlineStr">
        <is>
          <t>Phim còn hạn từ 2026</t>
        </is>
      </c>
      <c r="AM148" s="203" t="inlineStr">
        <is>
          <t>Feud - Lin Jiang Xian (Lâm Giang Tiên)</t>
        </is>
      </c>
      <c r="AN148" s="203" t="n"/>
      <c r="AO148" s="128">
        <f>SUMIF('TK 15661.Bản quyền phim '!F:F,'KK2. Series'!C148,'TK 15661.Bản quyền phim '!K:K)</f>
        <v/>
      </c>
      <c r="AP148" s="128">
        <f>COUNTIF('242.BQ Phim VOD'!$C$5:$C$8,'KK2. Series'!AM148)</f>
        <v/>
      </c>
      <c r="AQ148" s="128">
        <f>COUNTIF('TK 15666. Phim SX'!$C$6:$C$13,'KK2. Series'!AM148)</f>
        <v/>
      </c>
      <c r="AR148" s="203">
        <f>COUNTIF('TK 15661.Bản quyền phim '!F:F,'KK2. Series'!AM148)</f>
        <v/>
      </c>
      <c r="AS148" s="203" t="n"/>
      <c r="AT148" s="366">
        <f>SUM(AP148:AS148)</f>
        <v/>
      </c>
      <c r="AU148" s="203" t="n"/>
      <c r="AV148" s="203" t="n"/>
      <c r="AW148" s="203" t="n"/>
      <c r="AX148" s="203" t="n"/>
      <c r="AY148" s="203" t="n"/>
      <c r="AZ148" s="387" t="inlineStr">
        <is>
          <t>✓ Found</t>
        </is>
      </c>
      <c r="BB148" s="387" t="n"/>
    </row>
    <row r="149" ht="409.6" customHeight="1" s="578">
      <c r="A149" s="96" t="n">
        <v>143</v>
      </c>
      <c r="B149" s="97" t="inlineStr">
        <is>
          <t>crushology 101 – bản sub (final)
EP01 – SER_ROM3119
EP02 – SER_ROM3120
EP03 – SER_ROM3121
EP04 – SER_ROM3122
EP05 – SER_ROM3123
EP06 – SER_ROM3124
EP07 – SER_ROM3125
EP08 – SER_ROM3126
EP09 – SER_ROM3127
EP10 – SER_ROM3128
EP11 – SER_ROM3129
EP12 – SER_ROM3130
crushology 101 – bản voice (final)
EP01 – SER_ROM3211
EP02 – SER_ROM3212
EP03 – SER_ROM3213
EP04 – SER_ROM3214
EP05 – SER_ROM3215
EP06 – SER_ROM3216
EP07 – SER_ROM3217
EP08 – SER_ROM3218
EP09 – SER_ROM3219
EP10 – SER_ROM3220
EP11 – SER_ROM3221
EP12 – SER_ROM3222
EP13 – SER_ROM3223
EP14 – SER_ROM3224
EP15 – SER_ROM3225
EP16 – SER_ROM3226
EP17 – SER_ROM3227
EP18 – SER_ROM3228</t>
        </is>
      </c>
      <c r="C149" s="590" t="inlineStr">
        <is>
          <t>Crushology 101</t>
        </is>
      </c>
      <c r="D149" s="108" t="inlineStr">
        <is>
          <t>Hội bạn trai của Bunny</t>
        </is>
      </c>
      <c r="E149" s="590" t="inlineStr">
        <is>
          <t xml:space="preserve">Viu </t>
        </is>
      </c>
      <c r="F149" s="590" t="inlineStr">
        <is>
          <t xml:space="preserve">PCCW VUCLIP/2025/HDBQ Output deal </t>
        </is>
      </c>
      <c r="G149" s="590" t="inlineStr">
        <is>
          <t>Korea</t>
        </is>
      </c>
      <c r="H149" s="306" t="n">
        <v>2025</v>
      </c>
      <c r="I149" s="108" t="n">
        <v>12</v>
      </c>
      <c r="J149" s="108" t="n">
        <v>70</v>
      </c>
      <c r="K149" s="305">
        <f>(I149*J149)/60</f>
        <v/>
      </c>
      <c r="L149" s="468">
        <f>J149</f>
        <v/>
      </c>
      <c r="M149" s="108" t="inlineStr">
        <is>
          <t>Romance, Drama</t>
        </is>
      </c>
      <c r="N149" s="108" t="inlineStr">
        <is>
          <t>Romance, Drama</t>
        </is>
      </c>
      <c r="O149" s="308" t="n">
        <v>45758</v>
      </c>
      <c r="P149" s="308" t="n">
        <v>47218</v>
      </c>
      <c r="Q149" s="590" t="n"/>
      <c r="R149" s="590" t="n"/>
      <c r="S149" s="590" t="n"/>
      <c r="T149" s="590" t="inlineStr">
        <is>
          <t>Yes</t>
        </is>
      </c>
      <c r="U149" s="590" t="inlineStr">
        <is>
          <t>Yes</t>
        </is>
      </c>
      <c r="V149" s="590" t="inlineStr">
        <is>
          <t>Yes</t>
        </is>
      </c>
      <c r="W149" s="590" t="inlineStr">
        <is>
          <t>Yes</t>
        </is>
      </c>
      <c r="X149" s="590" t="inlineStr">
        <is>
          <t>Yes</t>
        </is>
      </c>
      <c r="Y149" s="590" t="inlineStr">
        <is>
          <t>Yes</t>
        </is>
      </c>
      <c r="Z149" s="590" t="inlineStr">
        <is>
          <t>Yes</t>
        </is>
      </c>
      <c r="AA149" s="590" t="inlineStr">
        <is>
          <t>Yes</t>
        </is>
      </c>
      <c r="AB149" s="590" t="inlineStr">
        <is>
          <t>Yes</t>
        </is>
      </c>
      <c r="AC149" s="308" t="n">
        <v>45758</v>
      </c>
      <c r="AD149" s="308" t="n">
        <v>47218</v>
      </c>
      <c r="AE149" s="108" t="inlineStr">
        <is>
          <t>Unlimited</t>
        </is>
      </c>
      <c r="AF149" s="306" t="n"/>
      <c r="AG149" s="641" t="n"/>
      <c r="AH149" s="309" t="n"/>
      <c r="AI149" s="590" t="inlineStr">
        <is>
          <t>Yes</t>
        </is>
      </c>
      <c r="AJ149" s="590" t="inlineStr">
        <is>
          <t>Yes</t>
        </is>
      </c>
      <c r="AK149" s="306" t="inlineStr">
        <is>
          <t>Phim Song song</t>
        </is>
      </c>
      <c r="AL149" s="590" t="inlineStr">
        <is>
          <t>Phim còn hạn từ 2026</t>
        </is>
      </c>
      <c r="AM149" s="643" t="inlineStr">
        <is>
          <t>Crushology 101</t>
        </is>
      </c>
      <c r="AN149" s="203" t="n"/>
      <c r="AO149" s="128">
        <f>SUMIF('TK 15661.Bản quyền phim '!F:F,'KK2. Series'!C149,'TK 15661.Bản quyền phim '!K:K)</f>
        <v/>
      </c>
      <c r="AP149" s="128">
        <f>COUNTIF('242.BQ Phim VOD'!$C$5:$C$8,'KK2. Series'!AM149)</f>
        <v/>
      </c>
      <c r="AQ149" s="128">
        <f>COUNTIF('TK 15666. Phim SX'!$C$6:$C$13,'KK2. Series'!AM149)</f>
        <v/>
      </c>
      <c r="AR149" s="203">
        <f>COUNTIF('TK 15661.Bản quyền phim '!F:F,'KK2. Series'!AM149)</f>
        <v/>
      </c>
      <c r="AS149" s="203" t="n"/>
      <c r="AT149" s="366">
        <f>SUM(AP149:AS149)</f>
        <v/>
      </c>
      <c r="AU149" s="203" t="n"/>
      <c r="AV149" s="203" t="n"/>
      <c r="AW149" s="203" t="n"/>
      <c r="AX149" s="203" t="n"/>
      <c r="AY149" s="203" t="n"/>
      <c r="AZ149" s="387" t="inlineStr">
        <is>
          <t>✓ Found</t>
        </is>
      </c>
      <c r="BB149" s="387" t="n"/>
    </row>
    <row r="150" ht="409.6" customHeight="1" s="578">
      <c r="A150" s="96" t="n">
        <v>144</v>
      </c>
      <c r="B150" s="97" t="inlineStr">
        <is>
          <t>in the name of blossom – bản Sub (final) – EP01→EP24
EP01 – SER_ROM3234
EP02 – SER_ROM3235
EP03 – SER_ROM3236
EP04 – SER_ROM3237
EP05 – SER_ROM3238
EP06 – SER_ROM3239
EP07 – SER_ROM3240
EP08 – SER_ROM3241
EP09 – SER_ROM3242
EP10 – SER_ROM3243
EP11 – SER_ROM3244
EP12 – SER_ROM3245
EP13 – SER_ROM3246
EP14 – SER_ROM3247
EP15 – SER_ROM3248
EP16 – SER_ROM3249
EP17 – SER_ROM3250
EP18 – SER_ROM3251
EP19 – SER_ROM3252
EP20 – SER_ROM3253
EP21 – SER_ROM3254
EP22 – SER_ROM3255
EP23 – SER_ROM3256
EP24 – SER_ROM3257
in the name of blossom – bản Voice (final) – EP01→EP24
EP01 – SER_ROM3258
EP02 – SER_ROM3259
EP03 – SER_ROM3260
EP04 – SER_ROM3261
EP05 – SER_ROM3262
EP06 – SER_ROM3263
EP07 – SER_ROM3264
EP08 – SER_ROM3265
EP09 – SER_ROM3266
EP10 – SER_ROM3267
EP11 – SER_ROM3268
EP12 – SER_ROM3269
EP13 – SER_ROM3270
EP14 – SER_ROM3271
EP15 – SER_ROM3272
EP16 – SER_ROM3273
EP17 – SER_ROM3274
EP18 – SER_ROM3275
EP19 – SER_ROM3276
EP20 – SER_ROM3277
EP21 – SER_ROM3278
EP22 – SER_ROM3279
EP23 – SER_ROM3280
EP24 – SER_ROM3281</t>
        </is>
      </c>
      <c r="C150" s="108" t="inlineStr">
        <is>
          <t>In the Name of Blossom</t>
        </is>
      </c>
      <c r="D150" s="590" t="inlineStr">
        <is>
          <t>Cẩm Tú Phương Hoa</t>
        </is>
      </c>
      <c r="E150" s="108" t="inlineStr">
        <is>
          <t>Huace Media</t>
        </is>
      </c>
      <c r="F150" s="590" t="inlineStr">
        <is>
          <t>Huace Media/In the Name of Blossom</t>
        </is>
      </c>
      <c r="G150" s="108" t="inlineStr">
        <is>
          <t>China</t>
        </is>
      </c>
      <c r="H150" s="108" t="n">
        <v>2024</v>
      </c>
      <c r="I150" s="108" t="n">
        <v>24</v>
      </c>
      <c r="J150" s="108" t="n">
        <v>45</v>
      </c>
      <c r="K150" s="305">
        <f>(I150*J150)/60</f>
        <v/>
      </c>
      <c r="L150" s="468">
        <f>I150</f>
        <v/>
      </c>
      <c r="M150" s="108" t="inlineStr">
        <is>
          <t>Drama</t>
        </is>
      </c>
      <c r="N150" s="590" t="inlineStr">
        <is>
          <t>Romance</t>
        </is>
      </c>
      <c r="O150" s="308" t="n">
        <v>45839</v>
      </c>
      <c r="P150" s="308" t="n">
        <v>47664</v>
      </c>
      <c r="Q150" s="590" t="n"/>
      <c r="R150" s="590" t="n"/>
      <c r="S150" s="108" t="n">
        <v>60</v>
      </c>
      <c r="T150" s="108" t="inlineStr">
        <is>
          <t>No</t>
        </is>
      </c>
      <c r="U150" s="590" t="inlineStr">
        <is>
          <t>Yes</t>
        </is>
      </c>
      <c r="V150" s="108" t="inlineStr">
        <is>
          <t>Yes</t>
        </is>
      </c>
      <c r="W150" s="108" t="inlineStr">
        <is>
          <t>Yes</t>
        </is>
      </c>
      <c r="X150" s="108" t="inlineStr">
        <is>
          <t>Yes</t>
        </is>
      </c>
      <c r="Y150" s="108" t="inlineStr">
        <is>
          <t>Yes</t>
        </is>
      </c>
      <c r="Z150" s="108" t="inlineStr">
        <is>
          <t>Yes</t>
        </is>
      </c>
      <c r="AA150" s="108" t="inlineStr">
        <is>
          <t>Yes</t>
        </is>
      </c>
      <c r="AB150" s="590" t="inlineStr">
        <is>
          <t>Yes</t>
        </is>
      </c>
      <c r="AC150" s="660" t="n">
        <v>45839</v>
      </c>
      <c r="AD150" s="660" t="n">
        <v>47664</v>
      </c>
      <c r="AE150" s="108" t="inlineStr">
        <is>
          <t>Unlimited</t>
        </is>
      </c>
      <c r="AF150" s="306" t="n"/>
      <c r="AG150" s="641" t="n"/>
      <c r="AH150" s="309" t="n"/>
      <c r="AI150" s="590" t="inlineStr">
        <is>
          <t>Yes</t>
        </is>
      </c>
      <c r="AJ150" s="590" t="inlineStr">
        <is>
          <t>Yes</t>
        </is>
      </c>
      <c r="AK150" s="306" t="inlineStr">
        <is>
          <t>Phim Song song</t>
        </is>
      </c>
      <c r="AL150" s="590" t="inlineStr">
        <is>
          <t>Phim còn hạn từ 2026</t>
        </is>
      </c>
      <c r="AM150" s="203" t="inlineStr">
        <is>
          <t>In the Name of Blossom (Cẩm Tú Phương Hoa)</t>
        </is>
      </c>
      <c r="AN150" s="203" t="n"/>
      <c r="AO150" s="128">
        <f>SUMIF('TK 15661.Bản quyền phim '!F:F,'KK2. Series'!C150,'TK 15661.Bản quyền phim '!K:K)</f>
        <v/>
      </c>
      <c r="AP150" s="128">
        <f>COUNTIF('242.BQ Phim VOD'!$C$5:$C$8,'KK2. Series'!AM150)</f>
        <v/>
      </c>
      <c r="AQ150" s="128">
        <f>COUNTIF('TK 15666. Phim SX'!$C$6:$C$13,'KK2. Series'!AM150)</f>
        <v/>
      </c>
      <c r="AR150" s="203">
        <f>COUNTIF('TK 15661.Bản quyền phim '!F:F,'KK2. Series'!AM150)</f>
        <v/>
      </c>
      <c r="AS150" s="203" t="n"/>
      <c r="AT150" s="366">
        <f>SUM(AP150:AS150)</f>
        <v/>
      </c>
      <c r="AU150" s="203" t="n"/>
      <c r="AV150" s="203" t="n"/>
      <c r="AW150" s="203" t="n"/>
      <c r="AX150" s="203" t="n"/>
      <c r="AY150" s="203" t="n"/>
      <c r="AZ150" s="387" t="inlineStr">
        <is>
          <t>✓ Found</t>
        </is>
      </c>
      <c r="BB150" s="387" t="n"/>
    </row>
    <row r="151" ht="409.6" customHeight="1" s="578">
      <c r="A151" s="96" t="n">
        <v>145</v>
      </c>
      <c r="B151" s="97" t="inlineStr">
        <is>
          <t>EP01 – SER_DRA4140
EP02 – SER_DRA4141
EP03 – SER_DRA4142
EP04 – SER_DRA4143
EP05 – SER_DRA4144
EP06 – SER_DRA4145
EP07 – SER_DRA4146
EP08 – SER_DRA4147
EP09 – SER_DRA4148
EP10 – SER_DRA4149
EP11 – SER_DRA4150
EP12 – SER_DRA4151
EP13 – SER_DRA4152
EP14 – SER_DRA4153
EP15 – SER_DRA4154
EP16 – SER_DRA4155
EP17 – SER_DRA4156
EP18 – SER_DRA4157
EP19 – SER_DRA4158
EP20 – SER_DRA4159
EP21 – SER_DRA4160
EP22 – SER_DRA4161
EP23 – SER_DRA4162
EP24 – SER_DRA4163
EP25 – SER_DRA4164
EP26 – SER_DRA4165
EP27 – SER_DRA4166
EP28 – SER_DRA4167
EP29 – SER_DRA4168
EP30 – SER_DRA4169
EP31 – SER_DRA4170
EP32 – SER_DRA4171
EP33 – SER_DRA4172
EP34 – SER_DRA4173
EP35 – SER_DRA4174
EP36 – SER_DRA4175
EP37 – SER_DRA4176
EP38 – SER_DRA4177
EP39 – SER_DRA4178
EP40 – SER_DRA4179
EP41 – SER_DRA4180
EP42 – SER_DRA4181
EP43 – SER_DRA4182
EP44 – SER_DRA4183
EP45 – SER_DRA4184
EP46 – SER_DRA4185
EP47 – SER_DRA4186
EP48 – SER_DRA4187
EP49 – SER_DRA4188
EP50 – SER_DRA4189
EP51 – SER_DRA4190
EP52 – SER_DRA4191</t>
        </is>
      </c>
      <c r="C151" s="341" t="inlineStr">
        <is>
          <t>Triangle</t>
        </is>
      </c>
      <c r="D151" s="654" t="inlineStr">
        <is>
          <t>Bộ ba quyền lực</t>
        </is>
      </c>
      <c r="E151" s="299" t="inlineStr">
        <is>
          <t>HT</t>
        </is>
      </c>
      <c r="F151" s="654" t="inlineStr">
        <is>
          <t>124/2024/HDBQ/VSTV-HT</t>
        </is>
      </c>
      <c r="G151" s="299" t="inlineStr">
        <is>
          <t>Korea</t>
        </is>
      </c>
      <c r="H151" s="299" t="n">
        <v>2014</v>
      </c>
      <c r="I151" s="299" t="n">
        <v>52</v>
      </c>
      <c r="J151" s="299" t="n">
        <v>35</v>
      </c>
      <c r="K151" s="342">
        <f>(I151*J151)/60</f>
        <v/>
      </c>
      <c r="L151" s="470">
        <f>I151</f>
        <v/>
      </c>
      <c r="M151" s="299" t="inlineStr">
        <is>
          <t>Drama</t>
        </is>
      </c>
      <c r="N151" s="299" t="inlineStr">
        <is>
          <t>Drama</t>
        </is>
      </c>
      <c r="O151" s="299" t="n"/>
      <c r="P151" s="655" t="inlineStr">
        <is>
          <t>VOD only</t>
        </is>
      </c>
      <c r="Q151" s="654" t="n"/>
      <c r="R151" s="654" t="n"/>
      <c r="S151" s="654" t="n"/>
      <c r="T151" s="299" t="inlineStr">
        <is>
          <t xml:space="preserve">No </t>
        </is>
      </c>
      <c r="U151" s="655" t="inlineStr">
        <is>
          <t>Yes</t>
        </is>
      </c>
      <c r="V151" s="343" t="inlineStr">
        <is>
          <t xml:space="preserve">No </t>
        </is>
      </c>
      <c r="W151" s="299" t="inlineStr">
        <is>
          <t>Yes</t>
        </is>
      </c>
      <c r="X151" s="299" t="inlineStr">
        <is>
          <t>Yes</t>
        </is>
      </c>
      <c r="Y151" s="299" t="inlineStr">
        <is>
          <t>Yes</t>
        </is>
      </c>
      <c r="Z151" s="299" t="inlineStr">
        <is>
          <t>Yes</t>
        </is>
      </c>
      <c r="AA151" s="299" t="inlineStr">
        <is>
          <t>Yes</t>
        </is>
      </c>
      <c r="AB151" s="343" t="inlineStr">
        <is>
          <t>Yes</t>
        </is>
      </c>
      <c r="AC151" s="330" t="n">
        <v>45809</v>
      </c>
      <c r="AD151" s="661" t="n">
        <v>46538</v>
      </c>
      <c r="AE151" s="344" t="n"/>
      <c r="AF151" s="345" t="n"/>
      <c r="AG151" s="662" t="n"/>
      <c r="AH151" s="346" t="n"/>
      <c r="AI151" s="654" t="inlineStr">
        <is>
          <t>Yes</t>
        </is>
      </c>
      <c r="AJ151" s="654" t="inlineStr">
        <is>
          <t>Yes</t>
        </is>
      </c>
      <c r="AK151" s="345" t="n"/>
      <c r="AL151" s="590" t="inlineStr">
        <is>
          <t>Phim còn hạn từ 2026</t>
        </is>
      </c>
      <c r="AM151" s="203" t="n"/>
      <c r="AN151" s="203" t="n"/>
      <c r="AO151" s="128">
        <f>SUMIF('TK 15661.Bản quyền phim '!F:F,'KK2. Series'!C151,'TK 15661.Bản quyền phim '!K:K)</f>
        <v/>
      </c>
      <c r="AP151" s="128">
        <f>COUNTIF('242.BQ Phim VOD'!$C$5:$C$8,'KK2. Series'!AM151)</f>
        <v/>
      </c>
      <c r="AQ151" s="128">
        <f>COUNTIF('TK 15666. Phim SX'!$C$6:$C$13,'KK2. Series'!AM151)</f>
        <v/>
      </c>
      <c r="AR151" s="203">
        <f>COUNTIF('TK 15661.Bản quyền phim '!F:F,'KK2. Series'!AM151)</f>
        <v/>
      </c>
      <c r="AS151" s="203" t="n">
        <v>1</v>
      </c>
      <c r="AT151" s="366">
        <f>SUM(AP151:AS151)</f>
        <v/>
      </c>
      <c r="AU151" s="203" t="n"/>
      <c r="AV151" s="203" t="n"/>
      <c r="AW151" s="203" t="n"/>
      <c r="AX151" s="203" t="n"/>
      <c r="AY151" s="203" t="n"/>
      <c r="AZ151" s="387" t="inlineStr">
        <is>
          <t>✓ Found</t>
        </is>
      </c>
      <c r="BB151" s="387" t="n"/>
    </row>
    <row r="152" ht="409.6" customHeight="1" s="578">
      <c r="A152" s="96" t="n">
        <v>146</v>
      </c>
      <c r="B152" s="97" t="inlineStr">
        <is>
          <t>EP01 – SER_DRA4288
EP02 – SER_DRA4388
EP03 – SER_DRA4389
EP04 – SER_DRA4390
EP05 – SER_DRA4391
EP06 – SER_DRA4392
EP07 – SER_DRA4393
EP08 – SER_DRA4394
EP09 – SER_DRA4395
EP10 – SER_DRA4396
EP11 – SER_DRA4397
EP12 – SER_DRA4398
EP13 – SER_DRA4399
EP14 – SER_DRA4400
EP15 – SER_DRA4401
EP16 – SER_DRA4402
EP17 – SER_DRA4403
EP18 – SER_DRA4404
EP19 – SER_DRA4405
EP20 – SER_DRA4406
EP21 – SER_DRA4407
EP22 – SER_DRA4408
EP23 – SER_DRA4409
EP24 – SER_DRA4410
EP25 – SER_DRA4411
EP26 – SER_DRA4412
EP27 – SER_DRA4413
EP28 – SER_DRA4414
EP29 – SER_DRA4415
EP30 – SER_DRA4416
EP31 – SER_DRA4417
EP32 – SER_DRA4418
EP33 – SER_DRA4419
EP34 – SER_DRA4420
EP35 – SER_DRA4421
EP36 – SER_DRA4422
EP37 – SER_DRA4423
EP38 – SER_DRA4424
EP39 – SER_DRA4425
EP40 – SER_DRA4426
EP41 – SER_DRA4427
EP42 – SER_DRA4428
EP43 – SER_DRA4429
EP44 – SER_DRA4430
EP45 – SER_DRA4431
EP46 – SER_DRA4432
EP47 – SER_DRA4433
EP48 – SER_DRA4434
EP49 – SER_DRA4435
EP50 – SER_DRA4436
EP51 – SER_DRA4437
EP52 – SER_DRA4438
EP53 – SER_DRA4439
EP54 – SER_DRA4440
EP55 – SER_DRA4441
EP56 – SER_DRA4442
EP57 – SER_DRA4443
EP58 – SER_DRA4444
EP59 – SER_DRA4445
EP60 – SER_DRA4446
EP61 – SER_DRA4447
EP62 – SER_DRA4448
EP63 – SER_DRA4449
EP64 – SER_DRA4450
EP65 – SER_DRA4451
EP66 – SER_DRA4452
EP67 – SER_DRA4453
EP68 – SER_DRA4454
EP69 – SER_DRA4455
EP70 – SER_DRA4456
EP71 – SER_DRA4457
EP72 – SER_DRA4458
EP73 – SER_DRA4459
EP74 – SER_DRA4460
EP75 – SER_DRA4461
EP76 – SER_DRA4462
EP77 – SER_DRA4463
EP78 – SER_DRA4464
EP79 – SER_DRA4465
EP80 – SER_DRA4466
EP81 – SER_DRA4467
EP82 – SER_DRA4468
EP83 – SER_DRA4469
EP84 – SER_DRA4470
EP85 – SER_DRA4471
EP86 – SER_DRA4472
EP87 – SER_DRA4473
EP88 – SER_DRA4474
EP89 – SER_DRA4475
EP90 – SER_DRA4476
EP91 – SER_DRA4477
EP92 – SER_DRA4478
EP93 – SER_DRA4479
EP94 – SER_DRA4480
EP95 – SER_DRA4481
EP96 – SER_DRA4482
EP97 – SER_DRA4483
EP98 – SER_DRA4484
EP99 – SER_DRA4485
EP100 – SER_DRA4486
EP101 – SER_DRA4487
EP102 – SER_DRA4488
EP103 – SER_DRA4489
EP104 – SER_DRA4490
EP105 – SER_DRA4491
EP106 – SER_DRA4492
EP107 – SER_DRA4493
EP108 – SER_DRA4494
EP109 – SER_DRA4495
EP110 – SER_DRA4496
EP111 – SER_DRA4497</t>
        </is>
      </c>
      <c r="C152" s="347" t="inlineStr">
        <is>
          <t>The Invincible Lady Cha</t>
        </is>
      </c>
      <c r="D152" s="642" t="inlineStr">
        <is>
          <t>Người phụ nữ mạnh mẽ</t>
        </is>
      </c>
      <c r="E152" s="111" t="inlineStr">
        <is>
          <t>HT</t>
        </is>
      </c>
      <c r="F152" s="642" t="inlineStr">
        <is>
          <t>124/2024/HDBQ/VSTV-HT</t>
        </is>
      </c>
      <c r="G152" s="111" t="inlineStr">
        <is>
          <t>Korea</t>
        </is>
      </c>
      <c r="H152" s="111" t="n">
        <v>2015</v>
      </c>
      <c r="I152" s="111" t="n">
        <v>111</v>
      </c>
      <c r="J152" s="111" t="n">
        <v>35</v>
      </c>
      <c r="K152" s="348">
        <f>(I152*J152)/60</f>
        <v/>
      </c>
      <c r="L152" s="467">
        <f>I152</f>
        <v/>
      </c>
      <c r="M152" s="111" t="inlineStr">
        <is>
          <t>Drama</t>
        </is>
      </c>
      <c r="N152" s="111" t="inlineStr">
        <is>
          <t>Drama</t>
        </is>
      </c>
      <c r="O152" s="111" t="n"/>
      <c r="P152" s="590" t="inlineStr">
        <is>
          <t>VOD only</t>
        </is>
      </c>
      <c r="Q152" s="642" t="n"/>
      <c r="R152" s="642" t="n"/>
      <c r="S152" s="642" t="n"/>
      <c r="T152" s="111" t="inlineStr">
        <is>
          <t xml:space="preserve">No </t>
        </is>
      </c>
      <c r="U152" s="590" t="inlineStr">
        <is>
          <t>Yes</t>
        </is>
      </c>
      <c r="V152" s="332" t="inlineStr">
        <is>
          <t xml:space="preserve">No </t>
        </is>
      </c>
      <c r="W152" s="111" t="inlineStr">
        <is>
          <t>Yes</t>
        </is>
      </c>
      <c r="X152" s="111" t="inlineStr">
        <is>
          <t>Yes</t>
        </is>
      </c>
      <c r="Y152" s="111" t="inlineStr">
        <is>
          <t>Yes</t>
        </is>
      </c>
      <c r="Z152" s="111" t="inlineStr">
        <is>
          <t>Yes</t>
        </is>
      </c>
      <c r="AA152" s="111" t="inlineStr">
        <is>
          <t>Yes</t>
        </is>
      </c>
      <c r="AB152" s="111" t="inlineStr">
        <is>
          <t>Yes</t>
        </is>
      </c>
      <c r="AC152" s="349" t="n">
        <v>45839</v>
      </c>
      <c r="AD152" s="661" t="n">
        <v>46568</v>
      </c>
      <c r="AE152" s="111" t="n"/>
      <c r="AF152" s="307" t="n"/>
      <c r="AG152" s="647" t="n"/>
      <c r="AH152" s="318" t="n"/>
      <c r="AI152" s="642" t="inlineStr">
        <is>
          <t>Yes</t>
        </is>
      </c>
      <c r="AJ152" s="642" t="inlineStr">
        <is>
          <t>Yes</t>
        </is>
      </c>
      <c r="AK152" s="307" t="n"/>
      <c r="AL152" s="590" t="inlineStr">
        <is>
          <t>Phim còn hạn từ 2026</t>
        </is>
      </c>
      <c r="AM152" s="203" t="n"/>
      <c r="AN152" s="203" t="n"/>
      <c r="AO152" s="128">
        <f>SUMIF('TK 15661.Bản quyền phim '!F:F,'KK2. Series'!C152,'TK 15661.Bản quyền phim '!K:K)</f>
        <v/>
      </c>
      <c r="AP152" s="128">
        <f>COUNTIF('242.BQ Phim VOD'!$C$5:$C$8,'KK2. Series'!AM152)</f>
        <v/>
      </c>
      <c r="AQ152" s="128">
        <f>COUNTIF('TK 15666. Phim SX'!$C$6:$C$13,'KK2. Series'!AM152)</f>
        <v/>
      </c>
      <c r="AR152" s="203">
        <f>COUNTIF('TK 15661.Bản quyền phim '!F:F,'KK2. Series'!AM152)</f>
        <v/>
      </c>
      <c r="AS152" s="203" t="n">
        <v>1</v>
      </c>
      <c r="AT152" s="366">
        <f>SUM(AP152:AS152)</f>
        <v/>
      </c>
      <c r="AU152" s="203" t="n"/>
      <c r="AV152" s="203" t="n"/>
      <c r="AW152" s="203" t="n"/>
      <c r="AX152" s="203" t="n"/>
      <c r="AY152" s="203" t="n"/>
      <c r="AZ152" s="387" t="inlineStr">
        <is>
          <t>✓ Found</t>
        </is>
      </c>
      <c r="BB152" s="387" t="n"/>
    </row>
    <row r="153" ht="409.6" customHeight="1" s="578">
      <c r="A153" s="96" t="n">
        <v>147</v>
      </c>
      <c r="B153" s="97" t="inlineStr">
        <is>
          <t>EP01 – SER_DRA3370
EP02 – SER_DRA3371
EP03 – SER_DRA3372
EP04 – SER_DRA3373
EP05 – SER_DRA3374
EP06 – SER_DRA3375
EP07 – SER_DRA3376
EP08 – SER_DRA3377
EP09 – SER_DRA3378
EP10 – SER_DRA3379
EP11 – SER_DRA3380
EP12 – SER_DRA3381
EP13 – SER_DRA3382
EP14 – SER_DRA3383
EP15 – SER_DRA3384
EP16 – SER_DRA3385
EP17 – SER_DRA3386
EP18 – SER_DRA3387
EP19 – SER_DRA3388
EP20 – SER_DRA3389
EP21 – SER_DRA3390
EP22 – SER_DRA3391
EP23 – SER_DRA3392
EP24 – SER_DRA3393
EP25 – SER_DRA3394
EP26 – SER_DRA3395
EP27 – SER_DRA3396
EP28 – SER_DRA3397
EP29 – SER_DRA3398
EP30 – SER_DRA3399
EP31 – SER_DRA3400
EP32 – SER_DRA3401
EP33 – SER_DRA3402
EP34 – SER_DRA3403
EP35 – SER_DRA3404
EP36 – SER_DRA3405
EP37 – SER_DRA3406
EP38 – SER_DRA3407
EP39 – SER_DRA3408
EP40 – SER_DRA3409
EP41 – SER_DRA3410
EP42 – SER_DRA3411
EP43 – SER_DRA3412
EP44 – SER_DRA3413
EP45 – SER_DRA3414
EP46 – SER_DRA3415
EP47 – SER_DRA3416
EP48 – SER_DRA3417
EP49 – SER_DRA3418
EP50 – SER_DRA3419
EP51 – SER_DRA3420
EP52 – SER_DRA3421
EP53 – SER_DRA3422
EP54 – SER_DRA3423
EP55 – SER_DRA3424
EP56 – SER_DRA3425
EP57 – SER_DRA3426
EP58 – SER_DRA3427
EP59 – SER_DRA3428
EP60 – SER_DRA3429
EP61 – SER_DRA3430
EP62 – SER_DRA3431
EP63 – SER_DRA3432
EP64 – SER_DRA3433
EP65 – SER_DRA3434
EP66 – SER_DRA3435
EP67 – SER_DRA3436
EP68 – SER_DRA3437
EP69 – SER_DRA3438
EP70 – SER_DRA3439
EP71 – SER_DRA3440
EP72 – SER_DRA3441
EP73 – SER_DRA3442
EP74 – SER_DRA3443
EP75 – SER_DRA3444
EP76 – SER_DRA3445
EP77 – SER_DRA3446
EP78 – SER_DRA3447
EP79 – SER_DRA3448
EP80 – SER_DRA3449
EP81 – SER_DRA3450
EP82 – SER_DRA3451
EP83 – SER_DRA3452
EP84 – SER_DRA3453
EP85 – SER_DRA3454
EP86 – SER_DRA3455
EP87 – SER_DRA3456
EP88 – SER_DRA3457
EP89 – SER_DRA3458
EP90 – SER_DRA3459
EP91 – SER_DRA3460
EP92 – SER_DRA3461
EP93 – SER_DRA3462
EP94 – SER_DRA3463
EP95 – SER_DRA3464
EP96 – SER_DRA3465
EP97 – SER_DRA3466
EP98 – SER_DRA3467
EP99 – SER_DRA3468
EP100 – SER_DRA3469
EP101 – SER_DRA3470
EP102 – SER_DRA3471
EP103 – SER_DRA3472
EP104 – SER_DRA3473
EP105 – SER_DRA3474
EP106 – SER_DRA3475
EP107 – SER_DRA3476
EP108 – SER_DRA3477
EP109 – SER_DRA3478
EP110 – SER_DRA3479
EP111 – SER_DRA3480
EP112 – SER_DRA3481
EP113 – SER_DRA3482
EP114 – SER_DRA3483
EP115 – SER_DRA3484
EP116 – SER_DRA3485
EP117 – SER_DRA3486
EP118 – SER_DRA3487
EP119 – SER_DRA3488
EP120 – SER_DRA3489</t>
        </is>
      </c>
      <c r="C153" s="347" t="inlineStr">
        <is>
          <t>Love of Eve</t>
        </is>
      </c>
      <c r="D153" s="642" t="inlineStr">
        <is>
          <t>Tình yêu của Eva</t>
        </is>
      </c>
      <c r="E153" s="111" t="inlineStr">
        <is>
          <t>HT</t>
        </is>
      </c>
      <c r="F153" s="642" t="inlineStr">
        <is>
          <t>124/2024/HDBQ/VSTV-HT</t>
        </is>
      </c>
      <c r="G153" s="111" t="inlineStr">
        <is>
          <t>Korea</t>
        </is>
      </c>
      <c r="H153" s="111" t="n">
        <v>2025</v>
      </c>
      <c r="I153" s="111" t="n">
        <v>120</v>
      </c>
      <c r="J153" s="111" t="n">
        <v>35</v>
      </c>
      <c r="K153" s="348">
        <f>(I153*J153)/60</f>
        <v/>
      </c>
      <c r="L153" s="467">
        <f>I153</f>
        <v/>
      </c>
      <c r="M153" s="111" t="inlineStr">
        <is>
          <t>Drama</t>
        </is>
      </c>
      <c r="N153" s="111" t="inlineStr">
        <is>
          <t>Drama</t>
        </is>
      </c>
      <c r="O153" s="111" t="n"/>
      <c r="P153" s="590" t="inlineStr">
        <is>
          <t>VOD only</t>
        </is>
      </c>
      <c r="Q153" s="642" t="n"/>
      <c r="R153" s="642" t="n"/>
      <c r="S153" s="642" t="n"/>
      <c r="T153" s="111" t="inlineStr">
        <is>
          <t xml:space="preserve">No </t>
        </is>
      </c>
      <c r="U153" s="590" t="inlineStr">
        <is>
          <t>Yes</t>
        </is>
      </c>
      <c r="V153" s="332" t="inlineStr">
        <is>
          <t xml:space="preserve">No </t>
        </is>
      </c>
      <c r="W153" s="111" t="inlineStr">
        <is>
          <t>Yes</t>
        </is>
      </c>
      <c r="X153" s="111" t="inlineStr">
        <is>
          <t>Yes</t>
        </is>
      </c>
      <c r="Y153" s="111" t="inlineStr">
        <is>
          <t>Yes</t>
        </is>
      </c>
      <c r="Z153" s="111" t="inlineStr">
        <is>
          <t>Yes</t>
        </is>
      </c>
      <c r="AA153" s="111" t="inlineStr">
        <is>
          <t>Yes</t>
        </is>
      </c>
      <c r="AB153" s="111" t="inlineStr">
        <is>
          <t>Yes</t>
        </is>
      </c>
      <c r="AC153" s="350" t="n">
        <v>45839</v>
      </c>
      <c r="AD153" s="663" t="n">
        <v>46568</v>
      </c>
      <c r="AE153" s="111" t="n"/>
      <c r="AF153" s="307" t="n"/>
      <c r="AG153" s="647" t="n"/>
      <c r="AH153" s="318" t="n"/>
      <c r="AI153" s="642" t="inlineStr">
        <is>
          <t>Yes</t>
        </is>
      </c>
      <c r="AJ153" s="642" t="inlineStr">
        <is>
          <t>Yes</t>
        </is>
      </c>
      <c r="AK153" s="307" t="n"/>
      <c r="AL153" s="590" t="inlineStr">
        <is>
          <t>Phim còn hạn từ 2026</t>
        </is>
      </c>
      <c r="AM153" s="203" t="n"/>
      <c r="AN153" s="203" t="n"/>
      <c r="AO153" s="128">
        <f>SUMIF('TK 15661.Bản quyền phim '!F:F,'KK2. Series'!C153,'TK 15661.Bản quyền phim '!K:K)</f>
        <v/>
      </c>
      <c r="AP153" s="128">
        <f>COUNTIF('242.BQ Phim VOD'!$C$5:$C$8,'KK2. Series'!AM153)</f>
        <v/>
      </c>
      <c r="AQ153" s="128">
        <f>COUNTIF('TK 15666. Phim SX'!$C$6:$C$13,'KK2. Series'!AM153)</f>
        <v/>
      </c>
      <c r="AR153" s="203">
        <f>COUNTIF('TK 15661.Bản quyền phim '!F:F,'KK2. Series'!AM153)</f>
        <v/>
      </c>
      <c r="AS153" s="203" t="n">
        <v>1</v>
      </c>
      <c r="AT153" s="366">
        <f>SUM(AP153:AS153)</f>
        <v/>
      </c>
      <c r="AU153" s="203" t="n"/>
      <c r="AV153" s="203" t="n"/>
      <c r="AW153" s="203" t="n"/>
      <c r="AX153" s="203" t="n"/>
      <c r="AY153" s="203" t="n"/>
      <c r="AZ153" s="387" t="inlineStr">
        <is>
          <t>✓ Found</t>
        </is>
      </c>
      <c r="BB153" s="387" t="n"/>
    </row>
    <row r="154" ht="409.6" customHeight="1" s="578">
      <c r="A154" s="96" t="n">
        <v>148</v>
      </c>
      <c r="B154" s="97" t="inlineStr">
        <is>
          <t>EP01 – SER_CRI2522
EP02 – SER_CRI2523
EP03 – SER_CRI2524
EP04 – SER_CRI2525
EP05 – SER_CRI2526
EP06 – SER_CRI2527
EP07 – SER_CRI2528
EP08 – SER_CRI2529
EP09 – SER_CRI2530
EP10 – SER_CRI2531
EP11 – SER_CRI2532
EP12 – SER_CRI2533
EP13 – SER_CRI2534
EP14 – SER_CRI2535
EP15 – SER_CRI2536
EP16 – SER_CRI2537
EP17 – SER_CRI2538
EP18 – SER_CRI2539
EP19 – SER_CRI2540
EP20 – SER_CRI2541
EP21 – SER_CRI2542
EP22 – SER_CRI2543
EP23 – SER_CRI2544
EP24 – SER_CRI2545
EP25 – SER_CRI2546
EP26 – SER_CRI2547
EP27 – SER_CRI2548
EP28 – SER_CRI2549
EP29 – SER_CRI2550
EP30 – SER_CRI2551
EP31 – SER_CRI2552
EP32 – SER_CRI2553
EP33 – SER_CRI2554
EP34 – SER_CRI2555
EP35 – SER_CRI2556
EP36 – SER_CRI2557
EP37 – SER_CRI2558
EP38 – SER_CRI2559
EP39 – SER_CRI2560
EP40 – SER_CRI2561
EP41 – SER_CRI2562
EP42 – SER_CRI2563
EP43 – SER_CRI2564
EP44 – SER_CRI2565
EP45 – SER_CRI2566
EP46 – SER_CRI2567
EP47 – SER_CRI2568
EP48 – SER_CRI2569
EP49 – SER_CRI2570
EP50 – SER_CRI2571</t>
        </is>
      </c>
      <c r="C154" s="351" t="inlineStr">
        <is>
          <t>Monster</t>
        </is>
      </c>
      <c r="D154" s="646" t="inlineStr">
        <is>
          <t>Lật mặt tử thù</t>
        </is>
      </c>
      <c r="E154" s="111" t="inlineStr">
        <is>
          <t>HT</t>
        </is>
      </c>
      <c r="F154" s="642" t="inlineStr">
        <is>
          <t>124/2024/HDBQ/VSTV-HT</t>
        </is>
      </c>
      <c r="G154" s="111" t="inlineStr">
        <is>
          <t>Korea</t>
        </is>
      </c>
      <c r="H154" s="347" t="n">
        <v>2016</v>
      </c>
      <c r="I154" s="111" t="n">
        <v>50</v>
      </c>
      <c r="J154" s="111" t="n">
        <v>70</v>
      </c>
      <c r="K154" s="348">
        <f>(I154*J154)/60</f>
        <v/>
      </c>
      <c r="L154" s="467">
        <f>I154</f>
        <v/>
      </c>
      <c r="M154" s="111" t="inlineStr">
        <is>
          <t>Drama</t>
        </is>
      </c>
      <c r="N154" s="111" t="inlineStr">
        <is>
          <t>Drama</t>
        </is>
      </c>
      <c r="O154" s="111" t="n"/>
      <c r="P154" s="590" t="inlineStr">
        <is>
          <t>VOD only</t>
        </is>
      </c>
      <c r="Q154" s="642" t="n"/>
      <c r="R154" s="642" t="n"/>
      <c r="S154" s="642" t="n"/>
      <c r="T154" s="111" t="inlineStr">
        <is>
          <t xml:space="preserve">No </t>
        </is>
      </c>
      <c r="U154" s="590" t="inlineStr">
        <is>
          <t>Yes</t>
        </is>
      </c>
      <c r="V154" s="332" t="inlineStr">
        <is>
          <t xml:space="preserve">No </t>
        </is>
      </c>
      <c r="W154" s="111" t="inlineStr">
        <is>
          <t>Yes</t>
        </is>
      </c>
      <c r="X154" s="111" t="inlineStr">
        <is>
          <t>Yes</t>
        </is>
      </c>
      <c r="Y154" s="111" t="inlineStr">
        <is>
          <t>Yes</t>
        </is>
      </c>
      <c r="Z154" s="111" t="inlineStr">
        <is>
          <t>Yes</t>
        </is>
      </c>
      <c r="AA154" s="111" t="inlineStr">
        <is>
          <t>Yes</t>
        </is>
      </c>
      <c r="AB154" s="111" t="inlineStr">
        <is>
          <t>Yes</t>
        </is>
      </c>
      <c r="AC154" s="350" t="n">
        <v>45839</v>
      </c>
      <c r="AD154" s="663" t="n">
        <v>46568</v>
      </c>
      <c r="AE154" s="111" t="n"/>
      <c r="AF154" s="307" t="n"/>
      <c r="AG154" s="647" t="n"/>
      <c r="AH154" s="318" t="n"/>
      <c r="AI154" s="642" t="inlineStr">
        <is>
          <t>Yes</t>
        </is>
      </c>
      <c r="AJ154" s="642" t="inlineStr">
        <is>
          <t>Yes</t>
        </is>
      </c>
      <c r="AK154" s="307" t="n"/>
      <c r="AL154" s="590" t="inlineStr">
        <is>
          <t>Phim còn hạn từ 2026</t>
        </is>
      </c>
      <c r="AM154" s="203" t="n"/>
      <c r="AN154" s="203" t="n"/>
      <c r="AO154" s="128">
        <f>SUMIF('TK 15661.Bản quyền phim '!F:F,'KK2. Series'!C154,'TK 15661.Bản quyền phim '!K:K)</f>
        <v/>
      </c>
      <c r="AP154" s="128">
        <f>COUNTIF('242.BQ Phim VOD'!$C$5:$C$8,'KK2. Series'!AM154)</f>
        <v/>
      </c>
      <c r="AQ154" s="128">
        <f>COUNTIF('TK 15666. Phim SX'!$C$6:$C$13,'KK2. Series'!AM154)</f>
        <v/>
      </c>
      <c r="AR154" s="203">
        <f>COUNTIF('TK 15661.Bản quyền phim '!F:F,'KK2. Series'!AM154)</f>
        <v/>
      </c>
      <c r="AS154" s="203" t="n">
        <v>1</v>
      </c>
      <c r="AT154" s="366">
        <f>SUM(AP154:AS154)</f>
        <v/>
      </c>
      <c r="AU154" s="203" t="n"/>
      <c r="AV154" s="203" t="n"/>
      <c r="AW154" s="203" t="n"/>
      <c r="AX154" s="203" t="n"/>
      <c r="AY154" s="203" t="n"/>
      <c r="AZ154" s="387" t="inlineStr">
        <is>
          <t>✓ Found</t>
        </is>
      </c>
      <c r="BB154" s="387" t="n"/>
    </row>
    <row r="155" ht="409.6" customHeight="1" s="578">
      <c r="A155" s="96" t="n">
        <v>149</v>
      </c>
      <c r="B155" s="97" t="inlineStr">
        <is>
          <t>EP01 – SER_DRA4500
EP02 – SER_DRA4501
EP03 – SER_DRA4502
EP04 – SER_DRA4503
EP05 – SER_DRA4504
EP06 – SER_DRA4505
EP07 – SER_DRA4506
EP08 – SER_DRA4507
EP09 – SER_DRA4508
EP10 – SER_DRA4509
EP11 – SER_DRA4510
EP12 – SER_DRA4511
EP13 – SER_DRA4512
EP14 – SER_DRA4513
EP15 – SER_DRA4514
EP16 – SER_DRA4515
EP17 – SER_DRA4516
EP18 – SER_DRA4517
EP19 – SER_DRA4518
EP20 – SER_DRA4519
EP21 – SER_DRA4520
EP22 – SER_DRA4521
EP23 – SER_DRA4522
EP24 – SER_DRA4523
EP25 – SER_DRA4524
EP26 – SER_DRA4525
EP27 – SER_DRA4526
EP28 – SER_DRA4527
EP29 – SER_DRA4528
EP30 – SER_DRA4529
EP31 – SER_DRA4530
EP32 – SER_DRA4531
EP33 – SER_DRA4532
EP34 – SER_DRA4533
EP35 – SER_DRA4534
EP36 – SER_DRA4535
EP37 – SER_DRA4536
EP38 – SER_DRA4537
EP39 – SER_DRA4538
EP40 – SER_DRA4539
EP41 – SER_DRA4540
EP42 – SER_DRA4541
EP43 – SER_DRA4542
EP44 – SER_DRA4543
EP45 – SER_DRA4544
EP46 – SER_DRA4545
EP47 – SER_DRA4546
EP48 – SER_DRA4547
EP49 – SER_DRA4548
EP50 – SER_DRA4549
EP51 – SER_DRA4550</t>
        </is>
      </c>
      <c r="C155" s="347" t="inlineStr">
        <is>
          <t>Bong's happy restaurant</t>
        </is>
      </c>
      <c r="D155" s="642" t="inlineStr">
        <is>
          <t>Gia hòa vạn sự thành</t>
        </is>
      </c>
      <c r="E155" s="295" t="inlineStr">
        <is>
          <t>HT</t>
        </is>
      </c>
      <c r="F155" s="642" t="inlineStr">
        <is>
          <t>124/2024/HDBQ/VSTV-HT</t>
        </is>
      </c>
      <c r="G155" s="111" t="inlineStr">
        <is>
          <t>Korea</t>
        </is>
      </c>
      <c r="H155" s="347" t="n">
        <v>2016</v>
      </c>
      <c r="I155" s="111" t="n">
        <v>51</v>
      </c>
      <c r="J155" s="111" t="n">
        <v>70</v>
      </c>
      <c r="K155" s="348">
        <f>(I155*J155)/60</f>
        <v/>
      </c>
      <c r="L155" s="467">
        <f>I155</f>
        <v/>
      </c>
      <c r="M155" s="111" t="inlineStr">
        <is>
          <t>Drama</t>
        </is>
      </c>
      <c r="N155" s="111" t="inlineStr">
        <is>
          <t>Drama</t>
        </is>
      </c>
      <c r="O155" s="111" t="n"/>
      <c r="P155" s="590" t="inlineStr">
        <is>
          <t>VOD only</t>
        </is>
      </c>
      <c r="Q155" s="642" t="n"/>
      <c r="R155" s="642" t="n"/>
      <c r="S155" s="642" t="n"/>
      <c r="T155" s="111" t="inlineStr">
        <is>
          <t xml:space="preserve">No </t>
        </is>
      </c>
      <c r="U155" s="590" t="inlineStr">
        <is>
          <t>Yes</t>
        </is>
      </c>
      <c r="V155" s="332" t="inlineStr">
        <is>
          <t xml:space="preserve">No </t>
        </is>
      </c>
      <c r="W155" s="111" t="inlineStr">
        <is>
          <t>Yes</t>
        </is>
      </c>
      <c r="X155" s="111" t="inlineStr">
        <is>
          <t>Yes</t>
        </is>
      </c>
      <c r="Y155" s="111" t="inlineStr">
        <is>
          <t>Yes</t>
        </is>
      </c>
      <c r="Z155" s="111" t="inlineStr">
        <is>
          <t>Yes</t>
        </is>
      </c>
      <c r="AA155" s="111" t="inlineStr">
        <is>
          <t>Yes</t>
        </is>
      </c>
      <c r="AB155" s="111" t="inlineStr">
        <is>
          <t>Yes</t>
        </is>
      </c>
      <c r="AC155" s="350" t="n">
        <v>45839</v>
      </c>
      <c r="AD155" s="663" t="n">
        <v>46568</v>
      </c>
      <c r="AE155" s="111" t="n"/>
      <c r="AF155" s="307" t="n"/>
      <c r="AG155" s="647" t="n"/>
      <c r="AH155" s="318" t="n"/>
      <c r="AI155" s="642" t="inlineStr">
        <is>
          <t>Yes</t>
        </is>
      </c>
      <c r="AJ155" s="642" t="inlineStr">
        <is>
          <t>Yes</t>
        </is>
      </c>
      <c r="AK155" s="307" t="n"/>
      <c r="AL155" s="590" t="inlineStr">
        <is>
          <t>Phim còn hạn từ 2026</t>
        </is>
      </c>
      <c r="AM155" s="203" t="n"/>
      <c r="AN155" s="203" t="n"/>
      <c r="AO155" s="128">
        <f>SUMIF('TK 15661.Bản quyền phim '!F:F,'KK2. Series'!C155,'TK 15661.Bản quyền phim '!K:K)</f>
        <v/>
      </c>
      <c r="AP155" s="128">
        <f>COUNTIF('242.BQ Phim VOD'!$C$5:$C$8,'KK2. Series'!AM155)</f>
        <v/>
      </c>
      <c r="AQ155" s="128">
        <f>COUNTIF('TK 15666. Phim SX'!$C$6:$C$13,'KK2. Series'!AM155)</f>
        <v/>
      </c>
      <c r="AR155" s="203">
        <f>COUNTIF('TK 15661.Bản quyền phim '!F:F,'KK2. Series'!AM155)</f>
        <v/>
      </c>
      <c r="AS155" s="203" t="n">
        <v>1</v>
      </c>
      <c r="AT155" s="366">
        <f>SUM(AP155:AS155)</f>
        <v/>
      </c>
      <c r="AU155" s="203" t="n"/>
      <c r="AV155" s="203" t="n"/>
      <c r="AW155" s="203" t="n"/>
      <c r="AX155" s="203" t="n"/>
      <c r="AY155" s="203" t="n"/>
      <c r="AZ155" s="387" t="inlineStr">
        <is>
          <t>✓ Found</t>
        </is>
      </c>
      <c r="BB155" s="387" t="n"/>
    </row>
    <row r="156" ht="409.6" customHeight="1" s="578">
      <c r="A156" s="96" t="n">
        <v>150</v>
      </c>
      <c r="B156" s="97" t="inlineStr">
        <is>
          <t>EP01 – SER_DRA4685
EP02 – SER_DRA4686
EP03 – SER_DRA4687
EP04 – SER_DRA4688
EP05 – SER_DRA4689
EP06 – SER_DRA4690
EP07 – SER_DRA4691
EP08 – SER_DRA4692
EP09 – SER_DRA4693
EP10 – SER_DRA4694
EP11 – SER_DRA4695
EP12 – SER_DRA4696
EP13 – SER_DRA4697
EP14 – SER_DRA4698
EP15 – SER_DRA4699
EP16 – SER_DRA4700
EP17 – SER_DRA4701
EP18 – SER_DRA4702
EP19 – SER_DRA4703
EP20 – SER_DRA4704
EP21 – SER_DRA4705
EP22 – SER_DRA4706
EP23 – SER_DRA4707
EP24 – SER_DRA4708
EP25 – SER_DRA4709
EP26 – SER_DRA4710
EP27 – SER_DRA4711
EP28 – SER_DRA4712
EP29 – SER_DRA4713
EP30 – SER_DRA4714
EP31 – SER_DRA4715
EP32 – SER_DRA4716
EP33 – SER_DRA4717
EP34 – SER_DRA4718
EP35 – SER_DRA4719
EP36 – SER_DRA4720
EP37 – SER_DRA4721
EP38 – SER_DRA4722
EP39 – SER_DRA4723
EP40 – SER_DRA4724
EP41 – SER_DRA4725
EP42 – SER_DRA4726
EP43 – SER_DRA4727
EP44 – SER_DRA4728
EP45 – SER_DRA4729
EP46 – SER_DRA4730
EP47 – SER_DRA4731
EP48 – SER_DRA4732
EP49 – SER_DRA4733
EP50 – SER_DRA4734
EP51 – SER_DRA4735
EP52 – SER_DRA4736
EP53 – SER_DRA4737
EP54 – SER_DRA4738
EP55 – SER_DRA4739
EP56 – SER_DRA4740
EP57 – SER_DRA4741
EP58 – SER_DRA4742
EP59 – SER_DRA4743
EP60 – SER_DRA4744
EP61 – SER_DRA4745
EP62 – SER_DRA4746
EP63 – SER_DRA4747
EP64 – SER_DRA4748
EP65 – SER_DRA4749
EP66 – SER_DRA4750
EP67 – SER_DRA4751
EP68 – SER_DRA4752
EP69 – SER_DRA4753
EP70 – SER_DRA4754
EP71 – SER_DRA4755
EP72 – SER_DRA4756
EP73 – SER_DRA4757
EP74 – SER_DRA4758
EP75 – SER_DRA4759
EP76 – SER_DRA4760
EP77 – SER_DRA4761
EP78 – SER_DRA4762
EP79 – SER_DRA4763
EP80 – SER_DRA4764
EP81 – SER_DRA4765
EP82 – SER_DRA4766
EP83 – SER_DRA4767
EP84 – SER_DRA4768
EP85 – SER_DRA4769
EP86 – SER_DRA4770
EP87 – SER_DRA4771
EP88 – SER_DRA4772
EP89 – SER_DRA4773
EP90 – SER_DRA4774
EP91 – SER_DRA4775
EP92 – SER_DRA4776
EP93 – SER_DRA4777
EP94 – SER_DRA4778
EP95 – SER_DRA4779
EP96 – SER_DRA4780
EP97 – SER_DRA4781
EP98 – SER_DRA4782
EP99 – SER_DRA4783
EP100 – SER_DRA4784
EP101 – SER_DRA4785
EP102 – SER_DRA4786
EP103 – SER_DRA4787
EP104 – SER_DRA4788
EP105 – SER_DRA4789
EP106 – SER_DRA4790
EP107 – SER_DRA4791
EP108 – SER_DRA4792
EP109 – SER_DRA4793
EP110 – SER_DRA4794
EP111 – SER_DRA4795
EP112 – SER_DRA4796
EP113 – SER_DRA4797
EP114 – SER_DRA4798
EP115 – SER_DRA4799
EP116 – SER_DRA4800
EP117 – SER_DRA4801
EP118 – SER_DRA4802
EP119 – SER_DRA4803
EP120 – SER_DRA4804
EP121 – SER_DRA4805
EP122 – SER_DRA4806
EP123 – SER_DRA4807
EP124 – SER_DRA4808
EP125 – SER_DRA4809
EP126 – SER_DRA4810
EP127 – SER_DRA4811
EP128 – SER_DRA4812
EP129 – SER_DRA4813
EP130 – SER_DRA4814
EP131 – SER_DRA4815
EP132 – SER_DRA4816
EP133 – SER_DRA4817
EP134 – SER_DRA4818
EP135 – SER_DRA4819
EP136 – SER_DRA4820
EP137 – SER_DRA4821
EP138 – SER_DRA4822
EP139 – SER_DRA4823
EP140 – SER_DRA4824
EP141 – SER_DRA4825
EP142 – SER_DRA4826
EP143 – SER_DRA4827
EP144 – SER_DRA4828
EP145 – SER_DRA4829
EP146 – SER_DRA4830
EP147 – SER_DRA4831
EP148 – SER_DRA4832
EP149 – SER_DRA4833</t>
        </is>
      </c>
      <c r="C156" s="347" t="inlineStr">
        <is>
          <t>Midnight Sun Apgujeong</t>
        </is>
      </c>
      <c r="D156" s="642" t="inlineStr">
        <is>
          <t>Đêm trắng ở Apgujeong</t>
        </is>
      </c>
      <c r="E156" s="295" t="inlineStr">
        <is>
          <t>HT</t>
        </is>
      </c>
      <c r="F156" s="642" t="inlineStr">
        <is>
          <t>124/2024/HDBQ/VSTV-HT</t>
        </is>
      </c>
      <c r="G156" s="111" t="inlineStr">
        <is>
          <t>Korea</t>
        </is>
      </c>
      <c r="H156" s="347" t="n">
        <v>2014</v>
      </c>
      <c r="I156" s="111" t="n">
        <v>149</v>
      </c>
      <c r="J156" s="111" t="n">
        <v>35</v>
      </c>
      <c r="K156" s="348">
        <f>(I156*J156)/60</f>
        <v/>
      </c>
      <c r="L156" s="467">
        <f>I156</f>
        <v/>
      </c>
      <c r="M156" s="111" t="inlineStr">
        <is>
          <t>Drama</t>
        </is>
      </c>
      <c r="N156" s="111" t="inlineStr">
        <is>
          <t>Drama</t>
        </is>
      </c>
      <c r="O156" s="111" t="n"/>
      <c r="P156" s="590" t="inlineStr">
        <is>
          <t>VOD only</t>
        </is>
      </c>
      <c r="Q156" s="642" t="n"/>
      <c r="R156" s="642" t="n"/>
      <c r="S156" s="642" t="n"/>
      <c r="T156" s="111" t="inlineStr">
        <is>
          <t xml:space="preserve">No </t>
        </is>
      </c>
      <c r="U156" s="590" t="inlineStr">
        <is>
          <t>Yes</t>
        </is>
      </c>
      <c r="V156" s="332" t="inlineStr">
        <is>
          <t xml:space="preserve">No </t>
        </is>
      </c>
      <c r="W156" s="111" t="inlineStr">
        <is>
          <t>Yes</t>
        </is>
      </c>
      <c r="X156" s="111" t="inlineStr">
        <is>
          <t>Yes</t>
        </is>
      </c>
      <c r="Y156" s="111" t="inlineStr">
        <is>
          <t>Yes</t>
        </is>
      </c>
      <c r="Z156" s="111" t="inlineStr">
        <is>
          <t>Yes</t>
        </is>
      </c>
      <c r="AA156" s="111" t="inlineStr">
        <is>
          <t>Yes</t>
        </is>
      </c>
      <c r="AB156" s="111" t="inlineStr">
        <is>
          <t>Yes</t>
        </is>
      </c>
      <c r="AC156" s="350" t="n">
        <v>45870</v>
      </c>
      <c r="AD156" s="663" t="n">
        <v>46599</v>
      </c>
      <c r="AE156" s="111" t="n"/>
      <c r="AF156" s="307" t="n"/>
      <c r="AG156" s="647" t="n"/>
      <c r="AH156" s="318" t="n"/>
      <c r="AI156" s="642" t="inlineStr">
        <is>
          <t>Yes</t>
        </is>
      </c>
      <c r="AJ156" s="642" t="inlineStr">
        <is>
          <t>Yes</t>
        </is>
      </c>
      <c r="AK156" s="307" t="n"/>
      <c r="AL156" s="590" t="inlineStr">
        <is>
          <t>Phim còn hạn từ 2026</t>
        </is>
      </c>
      <c r="AM156" s="203" t="n"/>
      <c r="AN156" s="203" t="n"/>
      <c r="AO156" s="128">
        <f>SUMIF('TK 15661.Bản quyền phim '!F:F,'KK2. Series'!C156,'TK 15661.Bản quyền phim '!K:K)</f>
        <v/>
      </c>
      <c r="AP156" s="128">
        <f>COUNTIF('242.BQ Phim VOD'!$C$5:$C$8,'KK2. Series'!AM156)</f>
        <v/>
      </c>
      <c r="AQ156" s="128">
        <f>COUNTIF('TK 15666. Phim SX'!$C$6:$C$13,'KK2. Series'!AM156)</f>
        <v/>
      </c>
      <c r="AR156" s="203">
        <f>COUNTIF('TK 15661.Bản quyền phim '!F:F,'KK2. Series'!AM156)</f>
        <v/>
      </c>
      <c r="AS156" s="203" t="n">
        <v>1</v>
      </c>
      <c r="AT156" s="366">
        <f>SUM(AP156:AS156)</f>
        <v/>
      </c>
      <c r="AU156" s="203" t="n"/>
      <c r="AV156" s="203" t="n"/>
      <c r="AW156" s="203" t="n"/>
      <c r="AX156" s="203" t="n"/>
      <c r="AY156" s="203" t="n"/>
      <c r="AZ156" s="387" t="inlineStr">
        <is>
          <t>✓ Found</t>
        </is>
      </c>
      <c r="BB156" s="387" t="n"/>
    </row>
    <row r="157" ht="409.6" customHeight="1" s="578">
      <c r="A157" s="96" t="n">
        <v>151</v>
      </c>
      <c r="B157" s="97" t="inlineStr">
        <is>
          <t>EP01 – SER_COS_22_2683771
EP02 – SER_COS_22_2683772
EP03 – SER_COS_22_2683773
EP04 – SER_COS_22_2683774
EP05 – SER_COS_22_2683775
EP06 – SER_COS_22_2683776
EP07 – SER_COS_22_2683777
EP08 – SER_COS_22_2683778
EP09 – SER_COS_22_2683779
EP10 – SER_COS_22_2683780
EP11 – SER_COS_22_2683781
EP12 – SER_COS_22_2683782
EP13 – SER_COS_22_2683783
EP14 – SER_COS_22_2683784
EP15 – SER_COS_22_2683785
EP16 – SER_COS_22_2683786
EP17 – SER_COS_22_2683787
EP18 – SER_COS_22_2683788
EP19 – SER_COS_22_2683789
EP20 – SER_COS_22_2683790
EP21 – SER_COS_22_2683791
EP22 – SER_COS_22_2683792
EP23 – SER_COS_22_2683793
EP24 – SER_COS_22_2683794
EP25 – SER_COS_22_2683795
EP26 – SER_COS_22_2683796
EP27 – SER_COS_22_2683797
EP28 – SER_COS_22_2683798
EP29 – SER_COS_22_2683799
EP30 – SER_COS_22_2683800
EP31 – SER_COS_22_2683801
EP32 – SER_COS_22_2683802
EP33 – SER_COS_22_2683803
EP34 – SER_COS_22_2683804
EP35 – SER_COS_22_2683805
EP36 – SER_COS_22_2683806
EP37 – SER_COS_22_2683807
EP38 – SER_COS_22_2683808
EP39 – SER_COS_22_2683809
EP40 – SER_COS_22_2683810</t>
        </is>
      </c>
      <c r="C157" s="351" t="inlineStr">
        <is>
          <t>Side story of fox volant</t>
        </is>
      </c>
      <c r="D157" s="646" t="inlineStr">
        <is>
          <t>PHI HỒ NGOẠI TRUYỆN</t>
        </is>
      </c>
      <c r="E157" s="296" t="inlineStr">
        <is>
          <t>HT</t>
        </is>
      </c>
      <c r="F157" s="646" t="inlineStr">
        <is>
          <t>124/2024/HDBQ/VSTV-HT</t>
        </is>
      </c>
      <c r="G157" s="117" t="inlineStr">
        <is>
          <t>China</t>
        </is>
      </c>
      <c r="H157" s="351" t="n">
        <v>2022</v>
      </c>
      <c r="I157" s="117" t="n">
        <v>40</v>
      </c>
      <c r="J157" s="117" t="n">
        <v>45</v>
      </c>
      <c r="K157" s="340">
        <f>(I157*J157)/60</f>
        <v/>
      </c>
      <c r="L157" s="467">
        <f>I157</f>
        <v/>
      </c>
      <c r="M157" s="117" t="inlineStr">
        <is>
          <t>Drama</t>
        </is>
      </c>
      <c r="N157" s="117" t="inlineStr">
        <is>
          <t>Drama</t>
        </is>
      </c>
      <c r="O157" s="117" t="n"/>
      <c r="P157" s="614" t="inlineStr">
        <is>
          <t>VOD only</t>
        </is>
      </c>
      <c r="Q157" s="646" t="n"/>
      <c r="R157" s="646" t="n"/>
      <c r="S157" s="646" t="n"/>
      <c r="T157" s="117" t="inlineStr">
        <is>
          <t xml:space="preserve">No </t>
        </is>
      </c>
      <c r="U157" s="614" t="inlineStr">
        <is>
          <t>Yes</t>
        </is>
      </c>
      <c r="V157" s="328" t="inlineStr">
        <is>
          <t xml:space="preserve">No </t>
        </is>
      </c>
      <c r="W157" s="117" t="inlineStr">
        <is>
          <t>Yes</t>
        </is>
      </c>
      <c r="X157" s="117" t="inlineStr">
        <is>
          <t>Yes</t>
        </is>
      </c>
      <c r="Y157" s="117" t="inlineStr">
        <is>
          <t>Yes</t>
        </is>
      </c>
      <c r="Z157" s="117" t="inlineStr">
        <is>
          <t>Yes</t>
        </is>
      </c>
      <c r="AA157" s="117" t="inlineStr">
        <is>
          <t>Yes</t>
        </is>
      </c>
      <c r="AB157" s="117" t="inlineStr">
        <is>
          <t>Yes</t>
        </is>
      </c>
      <c r="AC157" s="350" t="n">
        <v>45887</v>
      </c>
      <c r="AD157" s="664" t="n">
        <v>46643</v>
      </c>
      <c r="AE157" s="117" t="n"/>
      <c r="AF157" s="321" t="n"/>
      <c r="AG157" s="648" t="n"/>
      <c r="AH157" s="322" t="n"/>
      <c r="AI157" s="646" t="inlineStr">
        <is>
          <t>Yes</t>
        </is>
      </c>
      <c r="AJ157" s="646" t="inlineStr">
        <is>
          <t>Yes</t>
        </is>
      </c>
      <c r="AK157" s="321" t="n"/>
      <c r="AL157" s="590" t="inlineStr">
        <is>
          <t>Phim còn hạn từ 2026</t>
        </is>
      </c>
      <c r="AM157" s="203" t="n"/>
      <c r="AN157" s="203" t="n"/>
      <c r="AO157" s="128">
        <f>SUMIF('TK 15661.Bản quyền phim '!F:F,'KK2. Series'!C157,'TK 15661.Bản quyền phim '!K:K)</f>
        <v/>
      </c>
      <c r="AP157" s="128">
        <f>COUNTIF('242.BQ Phim VOD'!$C$5:$C$8,'KK2. Series'!AM157)</f>
        <v/>
      </c>
      <c r="AQ157" s="128">
        <f>COUNTIF('TK 15666. Phim SX'!$C$6:$C$13,'KK2. Series'!AM157)</f>
        <v/>
      </c>
      <c r="AR157" s="203">
        <f>COUNTIF('TK 15661.Bản quyền phim '!F:F,'KK2. Series'!AM157)</f>
        <v/>
      </c>
      <c r="AS157" s="203" t="n">
        <v>1</v>
      </c>
      <c r="AT157" s="366">
        <f>SUM(AP157:AS157)</f>
        <v/>
      </c>
      <c r="AU157" s="203" t="n"/>
      <c r="AV157" s="203" t="n"/>
      <c r="AW157" s="203" t="n"/>
      <c r="AX157" s="203" t="n"/>
      <c r="AY157" s="203" t="n"/>
      <c r="AZ157" s="387" t="inlineStr">
        <is>
          <t>✓ Found</t>
        </is>
      </c>
      <c r="BB157" s="387" t="n"/>
    </row>
    <row r="158" ht="409.6" customHeight="1" s="578">
      <c r="A158" s="96" t="n">
        <v>152</v>
      </c>
      <c r="B158" s="97" t="inlineStr">
        <is>
          <t>our generation – sub
EP01 – SER_ROM3284
EP02 – SER_ROM3285
EP03 – SER_ROM3286
EP04 – SER_ROM3287
EP05 – SER_ROM3288
EP06 – SER_ROM3289
EP07 – SER_ROM3290
EP08 – SER_ROM3291
EP09 – SER_ROM3292
EP10 – SER_ROM3293
EP11 – SER_ROM3294
EP12 – SER_ROM3295
EP13 – SER_ROM3296
EP14 – SER_ROM3297
EP15 – SER_ROM3298
EP16 – SER_ROM3299
EP17 – SER_ROM3300
EP18 – SER_ROM3301
EP19 – SER_ROM3302
EP20 – SER_ROM3303
EP21 – SER_ROM3304
EP22 – SER_ROM3305
EP23 – SER_ROM3306
EP24 – SER_ROM3307
our generation – bản (voice)
EP01 – SER_ROM3310
EP02 – SER_ROM3311
EP03 – SER_ROM3312
EP04 – SER_ROM3313
EP05 – SER_ROM3314
EP06 – SER_ROM3315
EP07 – SER_ROM3316
EP08 – SER_ROM3317
EP09 – SER_ROM3318
EP10 – SER_ROM3319
EP11 – SER_ROM3320
EP12 – SER_ROM3321
EP13 – SER_ROM3322
EP14 – SER_ROM3323
EP15 – SER_ROM3324
EP16 – SER_ROM3325
EP17 – SER_ROM3326
EP18 – SER_ROM3327
EP19 – SER_ROM3328
EP20 – SER_ROM3329
EP21 – SER_ROM3330
EP22 – SER_ROM3331
EP23 – SER_ROM3332
EP24 – SER_ROM3333</t>
        </is>
      </c>
      <c r="C158" s="352" t="inlineStr">
        <is>
          <t xml:space="preserve">Our Generation </t>
        </is>
      </c>
      <c r="D158" s="590" t="inlineStr">
        <is>
          <t>Anh Đào Hổ Phách</t>
        </is>
      </c>
      <c r="E158" s="108" t="inlineStr">
        <is>
          <t>Tongle</t>
        </is>
      </c>
      <c r="F158" s="590" t="inlineStr">
        <is>
          <t>71/2025/HDBQ/VSTV-Tongle</t>
        </is>
      </c>
      <c r="G158" s="108" t="inlineStr">
        <is>
          <t>China</t>
        </is>
      </c>
      <c r="H158" s="108" t="n">
        <v>2025</v>
      </c>
      <c r="I158" s="108" t="n">
        <v>24</v>
      </c>
      <c r="J158" s="108" t="n">
        <v>45</v>
      </c>
      <c r="K158" s="305">
        <f>(I158*J158)/60</f>
        <v/>
      </c>
      <c r="L158" s="468">
        <f>J158</f>
        <v/>
      </c>
      <c r="M158" s="108" t="inlineStr">
        <is>
          <t>Romance, Drama</t>
        </is>
      </c>
      <c r="N158" s="108" t="inlineStr">
        <is>
          <t>Romance, Drama</t>
        </is>
      </c>
      <c r="O158" s="308" t="n">
        <v>45852</v>
      </c>
      <c r="P158" s="308" t="n">
        <v>47677</v>
      </c>
      <c r="Q158" s="590" t="n"/>
      <c r="R158" s="590" t="n"/>
      <c r="S158" s="590" t="n"/>
      <c r="T158" s="108" t="inlineStr">
        <is>
          <t>Yes</t>
        </is>
      </c>
      <c r="U158" s="590" t="inlineStr">
        <is>
          <t>Yes</t>
        </is>
      </c>
      <c r="V158" s="108" t="inlineStr">
        <is>
          <t>Yes</t>
        </is>
      </c>
      <c r="W158" s="108" t="inlineStr">
        <is>
          <t>Yes</t>
        </is>
      </c>
      <c r="X158" s="108" t="inlineStr">
        <is>
          <t>Yes</t>
        </is>
      </c>
      <c r="Y158" s="108" t="inlineStr">
        <is>
          <t>Yes</t>
        </is>
      </c>
      <c r="Z158" s="108" t="inlineStr">
        <is>
          <t>Yes</t>
        </is>
      </c>
      <c r="AA158" s="108" t="inlineStr">
        <is>
          <t>Yes</t>
        </is>
      </c>
      <c r="AB158" s="108" t="inlineStr">
        <is>
          <t>Yes</t>
        </is>
      </c>
      <c r="AC158" s="308" t="n">
        <v>45852</v>
      </c>
      <c r="AD158" s="308" t="n">
        <v>47677</v>
      </c>
      <c r="AE158" s="108" t="inlineStr">
        <is>
          <t>Unlimited</t>
        </is>
      </c>
      <c r="AF158" s="306" t="n"/>
      <c r="AG158" s="641" t="n"/>
      <c r="AH158" s="309" t="n"/>
      <c r="AI158" s="590" t="inlineStr">
        <is>
          <t>Yes</t>
        </is>
      </c>
      <c r="AJ158" s="590" t="inlineStr">
        <is>
          <t>Yes</t>
        </is>
      </c>
      <c r="AK158" s="306" t="inlineStr">
        <is>
          <t>Phim Song song</t>
        </is>
      </c>
      <c r="AL158" s="590" t="inlineStr">
        <is>
          <t>Phim còn hạn từ 2026</t>
        </is>
      </c>
      <c r="AM158" s="203" t="inlineStr">
        <is>
          <t>Our Generation (Anh Đào Hổ Phách)</t>
        </is>
      </c>
      <c r="AN158" s="203" t="n"/>
      <c r="AO158" s="128">
        <f>SUMIF('TK 15661.Bản quyền phim '!F:F,'KK2. Series'!C158,'TK 15661.Bản quyền phim '!K:K)</f>
        <v/>
      </c>
      <c r="AP158" s="128">
        <f>COUNTIF('242.BQ Phim VOD'!$C$5:$C$8,'KK2. Series'!AM158)</f>
        <v/>
      </c>
      <c r="AQ158" s="128">
        <f>COUNTIF('TK 15666. Phim SX'!$C$6:$C$13,'KK2. Series'!AM158)</f>
        <v/>
      </c>
      <c r="AR158" s="203">
        <f>COUNTIF('TK 15661.Bản quyền phim '!F:F,'KK2. Series'!AM158)</f>
        <v/>
      </c>
      <c r="AS158" s="203" t="n"/>
      <c r="AT158" s="366">
        <f>SUM(AP158:AS158)</f>
        <v/>
      </c>
      <c r="AU158" s="203" t="n"/>
      <c r="AV158" s="203" t="n"/>
      <c r="AW158" s="203" t="n"/>
      <c r="AX158" s="203" t="n"/>
      <c r="AY158" s="203" t="n"/>
      <c r="AZ158" s="387" t="inlineStr">
        <is>
          <t>✓ Found</t>
        </is>
      </c>
      <c r="BB158" s="387" t="n"/>
    </row>
    <row r="159" ht="158.4" customHeight="1" s="578">
      <c r="A159" s="96" t="n">
        <v>153</v>
      </c>
      <c r="B159" s="97" t="inlineStr">
        <is>
          <t>EP01 – SER_ROM3336
EP02 – SER_ROM3337
EP03 – SER_ROM3338
EP04 – SER_ROM3339
EP05 – SER_ROM3340
EP06 – SER_ROM3341
EP07 – SER_ROM3342
EP08 – SER_ROM3343
EP09 – SER_ROM3344
EP10 – SER_ROM3345
EP11 – SER_ROM3346
EP12 – SER_ROM3347</t>
        </is>
      </c>
      <c r="C159" s="108" t="inlineStr">
        <is>
          <t>My Girlfriend is the Man!</t>
        </is>
      </c>
      <c r="D159" s="590" t="inlineStr">
        <is>
          <t>Bạn gái tôi trở thành con trai rồi!</t>
        </is>
      </c>
      <c r="E159" s="108" t="inlineStr">
        <is>
          <t>Viu</t>
        </is>
      </c>
      <c r="F159" s="590" t="inlineStr">
        <is>
          <t xml:space="preserve">PCCW VUCLIP/2025/HDBQ Output deal </t>
        </is>
      </c>
      <c r="G159" s="108" t="inlineStr">
        <is>
          <t>Korea</t>
        </is>
      </c>
      <c r="H159" s="108" t="n">
        <v>2025</v>
      </c>
      <c r="I159" s="108" t="n">
        <v>12</v>
      </c>
      <c r="J159" s="108" t="n">
        <v>70</v>
      </c>
      <c r="K159" s="305">
        <f>(I159*J159)/60</f>
        <v/>
      </c>
      <c r="L159" s="468">
        <f>J159</f>
        <v/>
      </c>
      <c r="M159" s="108" t="inlineStr">
        <is>
          <t>Romance, Drama</t>
        </is>
      </c>
      <c r="N159" s="108" t="inlineStr">
        <is>
          <t>Romance, Drama</t>
        </is>
      </c>
      <c r="O159" s="308" t="n">
        <v>45861</v>
      </c>
      <c r="P159" s="308" t="n">
        <v>47321</v>
      </c>
      <c r="Q159" s="590" t="n"/>
      <c r="R159" s="590" t="n"/>
      <c r="S159" s="590" t="n"/>
      <c r="T159" s="108" t="inlineStr">
        <is>
          <t>Yes</t>
        </is>
      </c>
      <c r="U159" s="590" t="inlineStr">
        <is>
          <t>Yes</t>
        </is>
      </c>
      <c r="V159" s="108" t="inlineStr">
        <is>
          <t>Yes</t>
        </is>
      </c>
      <c r="W159" s="108" t="inlineStr">
        <is>
          <t>Yes</t>
        </is>
      </c>
      <c r="X159" s="108" t="inlineStr">
        <is>
          <t>Yes</t>
        </is>
      </c>
      <c r="Y159" s="108" t="inlineStr">
        <is>
          <t>Yes</t>
        </is>
      </c>
      <c r="Z159" s="108" t="inlineStr">
        <is>
          <t>Yes</t>
        </is>
      </c>
      <c r="AA159" s="108" t="inlineStr">
        <is>
          <t>Yes</t>
        </is>
      </c>
      <c r="AB159" s="108" t="inlineStr">
        <is>
          <t>Yes</t>
        </is>
      </c>
      <c r="AC159" s="308" t="n">
        <v>45861</v>
      </c>
      <c r="AD159" s="308" t="n">
        <v>47321</v>
      </c>
      <c r="AE159" s="108" t="inlineStr">
        <is>
          <t>Unlimited</t>
        </is>
      </c>
      <c r="AF159" s="306" t="n"/>
      <c r="AG159" s="641" t="n"/>
      <c r="AH159" s="309" t="n"/>
      <c r="AI159" s="590" t="inlineStr">
        <is>
          <t>Yes</t>
        </is>
      </c>
      <c r="AJ159" s="590" t="inlineStr">
        <is>
          <t>Yes</t>
        </is>
      </c>
      <c r="AK159" s="306" t="inlineStr">
        <is>
          <t>Phim Song song</t>
        </is>
      </c>
      <c r="AL159" s="590" t="inlineStr">
        <is>
          <t>Phim còn hạn từ 2026</t>
        </is>
      </c>
      <c r="AM159" s="643" t="inlineStr">
        <is>
          <t>My Girlfriend is the Man!</t>
        </is>
      </c>
      <c r="AN159" s="203" t="n"/>
      <c r="AO159" s="128">
        <f>SUMIF('TK 15661.Bản quyền phim '!F:F,'KK2. Series'!C159,'TK 15661.Bản quyền phim '!K:K)</f>
        <v/>
      </c>
      <c r="AP159" s="128">
        <f>COUNTIF('242.BQ Phim VOD'!$C$5:$C$8,'KK2. Series'!AM159)</f>
        <v/>
      </c>
      <c r="AQ159" s="128">
        <f>COUNTIF('TK 15666. Phim SX'!$C$6:$C$13,'KK2. Series'!AM159)</f>
        <v/>
      </c>
      <c r="AR159" s="203">
        <f>COUNTIF('TK 15661.Bản quyền phim '!F:F,'KK2. Series'!AM159)</f>
        <v/>
      </c>
      <c r="AS159" s="203" t="n"/>
      <c r="AT159" s="366">
        <f>SUM(AP159:AS159)</f>
        <v/>
      </c>
      <c r="AU159" s="203" t="n"/>
      <c r="AV159" s="203" t="n"/>
      <c r="AW159" s="203" t="n"/>
      <c r="AX159" s="203" t="n"/>
      <c r="AY159" s="203" t="n"/>
      <c r="AZ159" s="387" t="inlineStr">
        <is>
          <t>✓ Found</t>
        </is>
      </c>
      <c r="BB159" s="387" t="n"/>
    </row>
    <row r="160" ht="409.6" customHeight="1" s="578">
      <c r="A160" s="96" t="n">
        <v>154</v>
      </c>
      <c r="B160" s="97" t="inlineStr">
        <is>
          <t>EP01 – SER_DRA_2862840
EP02 – SER_DRA_2862841
EP03 – SER_DRA_2862842
EP04 – SER_DRA_2862843
EP05 – SER_DRA_2862844
EP06 – SER_DRA_2862845
EP07 – SER_DRA_2862846
EP08 – SER_DRA_2862847
EP09 – SER_DRA_2862848
EP10 – SER_DRA_2862849
EP11 – SER_DRA_2862850
EP12 – SER_DRA_2862851
EP13 – SER_DRA_2862852
EP14 – SER_DRA_2862853
EP15 – SER_DRA_2862854
EP16 – SER_DRA_2862855
EP17 – SER_DRA_2862856
EP18 – SER_DRA_2862857
EP19 – SER_DRA_2862858
EP20 – SER_DRA_2862859
EP21 – SER_DRA_2862860
EP22 – SER_DRA_2862861</t>
        </is>
      </c>
      <c r="C160" s="353" t="inlineStr">
        <is>
          <t>Tiger mom</t>
        </is>
      </c>
      <c r="D160" s="299" t="inlineStr">
        <is>
          <t>Mẹ ác ma, Cha thiên sứ</t>
        </is>
      </c>
      <c r="E160" s="665" t="inlineStr">
        <is>
          <t>K+</t>
        </is>
      </c>
      <c r="F160" s="654" t="inlineStr">
        <is>
          <t>K+ Sản xuất</t>
        </is>
      </c>
      <c r="G160" s="654" t="inlineStr">
        <is>
          <t>Vietnam</t>
        </is>
      </c>
      <c r="H160" s="299" t="n">
        <v>2021</v>
      </c>
      <c r="I160" s="299" t="n">
        <v>22</v>
      </c>
      <c r="J160" s="299" t="n">
        <v>60</v>
      </c>
      <c r="K160" s="342">
        <f>(I160*J160)/60</f>
        <v/>
      </c>
      <c r="L160" s="476">
        <f>J160</f>
        <v/>
      </c>
      <c r="M160" s="654" t="inlineStr">
        <is>
          <t>Drama</t>
        </is>
      </c>
      <c r="N160" s="654" t="n"/>
      <c r="O160" s="299" t="n">
        <v>2021</v>
      </c>
      <c r="P160" s="654" t="inlineStr">
        <is>
          <t>Vĩnh viễn</t>
        </is>
      </c>
      <c r="Q160" s="654" t="n"/>
      <c r="R160" s="654" t="n"/>
      <c r="S160" s="654" t="n"/>
      <c r="T160" s="354" t="inlineStr">
        <is>
          <t>Yes</t>
        </is>
      </c>
      <c r="U160" s="590" t="inlineStr">
        <is>
          <t>Yes</t>
        </is>
      </c>
      <c r="V160" s="108" t="inlineStr">
        <is>
          <t>Yes</t>
        </is>
      </c>
      <c r="W160" s="299" t="inlineStr">
        <is>
          <t>Yes</t>
        </is>
      </c>
      <c r="X160" s="299" t="inlineStr">
        <is>
          <t>Yes</t>
        </is>
      </c>
      <c r="Y160" s="299" t="inlineStr">
        <is>
          <t>Yes</t>
        </is>
      </c>
      <c r="Z160" s="299" t="inlineStr">
        <is>
          <t>Yes</t>
        </is>
      </c>
      <c r="AA160" s="299" t="inlineStr">
        <is>
          <t>Yes</t>
        </is>
      </c>
      <c r="AB160" s="299" t="inlineStr">
        <is>
          <t>Yes</t>
        </is>
      </c>
      <c r="AC160" s="299" t="n">
        <v>2021</v>
      </c>
      <c r="AD160" s="654" t="inlineStr">
        <is>
          <t>Vĩnh viễn</t>
        </is>
      </c>
      <c r="AE160" s="299" t="inlineStr">
        <is>
          <t>Unlimited</t>
        </is>
      </c>
      <c r="AF160" s="345" t="n"/>
      <c r="AG160" s="662" t="n"/>
      <c r="AH160" s="346" t="n"/>
      <c r="AI160" s="654" t="inlineStr">
        <is>
          <t>Yes</t>
        </is>
      </c>
      <c r="AJ160" s="654" t="inlineStr">
        <is>
          <t>Yes</t>
        </is>
      </c>
      <c r="AK160" s="654" t="n"/>
      <c r="AL160" s="590" t="inlineStr">
        <is>
          <t>Phim còn hạn từ 2026</t>
        </is>
      </c>
      <c r="AM160" s="203" t="inlineStr">
        <is>
          <t>Phim SX - Mẹ ác ma, cha thiên sứ (Tiger Mom), khởi chiếu 12.2021 (Supplier Đỗ Gia)</t>
        </is>
      </c>
      <c r="AN160" s="203" t="n"/>
      <c r="AO160" s="128">
        <f>SUMIF('TK 15661.Bản quyền phim '!F:F,'KK2. Series'!C160,'TK 15661.Bản quyền phim '!K:K)</f>
        <v/>
      </c>
      <c r="AP160" s="128">
        <f>COUNTIF('242.BQ Phim VOD'!$C$5:$C$8,'KK2. Series'!AM160)</f>
        <v/>
      </c>
      <c r="AQ160" s="128">
        <f>COUNTIF('TK 15666. Phim SX'!$C$6:$C$13,'KK2. Series'!AM160)</f>
        <v/>
      </c>
      <c r="AR160" s="203">
        <f>COUNTIF('TK 15661.Bản quyền phim '!F:F,'KK2. Series'!AM160)</f>
        <v/>
      </c>
      <c r="AS160" s="203" t="n"/>
      <c r="AT160" s="366">
        <f>SUM(AP160:AS160)</f>
        <v/>
      </c>
      <c r="AU160" s="203" t="n"/>
      <c r="AV160" s="203" t="n"/>
      <c r="AW160" s="203" t="n"/>
      <c r="AX160" s="203" t="n"/>
      <c r="AY160" s="203" t="n"/>
      <c r="AZ160" s="387" t="inlineStr">
        <is>
          <t>✓ Found</t>
        </is>
      </c>
      <c r="BB160" s="387" t="n"/>
    </row>
    <row r="161" ht="211.2" customHeight="1" s="578">
      <c r="A161" s="96" t="n">
        <v>155</v>
      </c>
      <c r="B161" s="97" t="inlineStr">
        <is>
          <t>EP01 – SER_THR_22_2678775
EP02 – SER_THR_22_2678776
EP03 – SER_THR_22_2678777
EP04 – SER_THR_22_2678778
EP05 – SER_THR_22_2678779
EP06 – SER_THR_22_2678780
EP07 – SER_THR_22_2678781
EP08 – SER_THR_22_2678782</t>
        </is>
      </c>
      <c r="C161" s="355" t="inlineStr">
        <is>
          <t>Scarlet Hill</t>
        </is>
      </c>
      <c r="D161" s="111" t="inlineStr">
        <is>
          <t>Trại hoa đỏ</t>
        </is>
      </c>
      <c r="E161" s="649" t="inlineStr">
        <is>
          <t>K+</t>
        </is>
      </c>
      <c r="F161" s="654" t="inlineStr">
        <is>
          <t>K+ Sản xuất</t>
        </is>
      </c>
      <c r="G161" s="642" t="inlineStr">
        <is>
          <t>Vietnam</t>
        </is>
      </c>
      <c r="H161" s="111" t="n">
        <v>2022</v>
      </c>
      <c r="I161" s="111" t="n">
        <v>8</v>
      </c>
      <c r="J161" s="111" t="n">
        <v>60</v>
      </c>
      <c r="K161" s="348">
        <f>(I161*J161)/60</f>
        <v/>
      </c>
      <c r="L161" s="464">
        <f>J161</f>
        <v/>
      </c>
      <c r="M161" s="642" t="inlineStr">
        <is>
          <t>Thriller</t>
        </is>
      </c>
      <c r="N161" s="642" t="n"/>
      <c r="O161" s="111" t="n">
        <v>2022</v>
      </c>
      <c r="P161" s="642" t="inlineStr">
        <is>
          <t>Vĩnh viễn</t>
        </is>
      </c>
      <c r="Q161" s="642" t="n"/>
      <c r="R161" s="642" t="n"/>
      <c r="S161" s="642" t="n"/>
      <c r="T161" s="117" t="inlineStr">
        <is>
          <t>Yes</t>
        </is>
      </c>
      <c r="U161" s="590" t="inlineStr">
        <is>
          <t>Yes</t>
        </is>
      </c>
      <c r="V161" s="108" t="inlineStr">
        <is>
          <t>Yes</t>
        </is>
      </c>
      <c r="W161" s="111" t="inlineStr">
        <is>
          <t>Yes</t>
        </is>
      </c>
      <c r="X161" s="111" t="inlineStr">
        <is>
          <t>Yes</t>
        </is>
      </c>
      <c r="Y161" s="111" t="inlineStr">
        <is>
          <t>Yes</t>
        </is>
      </c>
      <c r="Z161" s="111" t="inlineStr">
        <is>
          <t>Yes</t>
        </is>
      </c>
      <c r="AA161" s="111" t="inlineStr">
        <is>
          <t>Yes</t>
        </is>
      </c>
      <c r="AB161" s="111" t="inlineStr">
        <is>
          <t>Yes</t>
        </is>
      </c>
      <c r="AC161" s="111" t="n">
        <v>2022</v>
      </c>
      <c r="AD161" s="642" t="inlineStr">
        <is>
          <t>Vĩnh viễn</t>
        </is>
      </c>
      <c r="AE161" s="111" t="inlineStr">
        <is>
          <t>Unlimited</t>
        </is>
      </c>
      <c r="AF161" s="307" t="n"/>
      <c r="AG161" s="647" t="n"/>
      <c r="AH161" s="318" t="n"/>
      <c r="AI161" s="642" t="inlineStr">
        <is>
          <t>Yes</t>
        </is>
      </c>
      <c r="AJ161" s="642" t="inlineStr">
        <is>
          <t>Yes</t>
        </is>
      </c>
      <c r="AK161" s="642" t="n"/>
      <c r="AL161" s="590" t="inlineStr">
        <is>
          <t>Phim còn hạn từ 2026</t>
        </is>
      </c>
      <c r="AM161" s="203" t="inlineStr">
        <is>
          <t>Phim SX - Trại hoa đỏ (Red flower farm), khởi chiếu 07.2022 (Supplier Hoan Khuê)</t>
        </is>
      </c>
      <c r="AN161" s="203" t="n"/>
      <c r="AO161" s="128">
        <f>SUMIF('TK 15661.Bản quyền phim '!F:F,'KK2. Series'!C161,'TK 15661.Bản quyền phim '!K:K)</f>
        <v/>
      </c>
      <c r="AP161" s="128">
        <f>COUNTIF('242.BQ Phim VOD'!$C$5:$C$8,'KK2. Series'!AM161)</f>
        <v/>
      </c>
      <c r="AQ161" s="128">
        <f>COUNTIF('TK 15666. Phim SX'!$C$6:$C$13,'KK2. Series'!AM161)</f>
        <v/>
      </c>
      <c r="AR161" s="203">
        <f>COUNTIF('TK 15661.Bản quyền phim '!F:F,'KK2. Series'!AM161)</f>
        <v/>
      </c>
      <c r="AS161" s="203" t="n"/>
      <c r="AT161" s="366">
        <f>SUM(AP161:AS161)</f>
        <v/>
      </c>
      <c r="AU161" s="203" t="n"/>
      <c r="AV161" s="203" t="n"/>
      <c r="AW161" s="203" t="n"/>
      <c r="AX161" s="203" t="n"/>
      <c r="AY161" s="203" t="n"/>
      <c r="AZ161" s="387" t="inlineStr">
        <is>
          <t>✓ Found</t>
        </is>
      </c>
      <c r="BB161" s="387" t="n"/>
    </row>
    <row r="162" ht="409.6" customHeight="1" s="578">
      <c r="A162" s="96" t="n">
        <v>156</v>
      </c>
      <c r="B162" s="97" t="inlineStr">
        <is>
          <t>EP01 – SER_COM_22_2881421
EP02 – SER_COM_22_2881422
EP03 – SER_COM_22_2881423
EP04 – SER_COM_22_2881424
EP05 – SER_COM_22_2881425
EP06 – SER_COM_22_2881426
EP07 – SER_COM_22_2881427
EP08 – SER_COM_22_2881428
EP09 – SER_COM_22_2881429
EP10 – SER_COM_22_2881430
EP11 – SER_COM_22_2881431
EP12 – SER_COM_22_2881432
EP13 – SER_COM_22_2881433
EP14 – SER_COM_22_2881434
EP15 – SER_COM_22_2881435
EP16 – SER_COM_22_2881436
EP17 – SER_COM_22_2881437
EP18 – SER_COM_22_2881438
EP19 – SER_COM_22_2881439
EP20 – SER_COM_22_2881440</t>
        </is>
      </c>
      <c r="C162" s="355" t="inlineStr">
        <is>
          <t>Yes Chef</t>
        </is>
      </c>
      <c r="D162" s="111" t="inlineStr">
        <is>
          <t>Bếp trưởng tới!</t>
        </is>
      </c>
      <c r="E162" s="649" t="inlineStr">
        <is>
          <t>K+</t>
        </is>
      </c>
      <c r="F162" s="654" t="inlineStr">
        <is>
          <t>K+ Sản xuất</t>
        </is>
      </c>
      <c r="G162" s="642" t="inlineStr">
        <is>
          <t>Vietnam</t>
        </is>
      </c>
      <c r="H162" s="111" t="n">
        <v>2022</v>
      </c>
      <c r="I162" s="111" t="n">
        <v>20</v>
      </c>
      <c r="J162" s="111" t="n">
        <v>40</v>
      </c>
      <c r="K162" s="348">
        <f>(I162*J162)/60</f>
        <v/>
      </c>
      <c r="L162" s="464">
        <f>J162</f>
        <v/>
      </c>
      <c r="M162" s="642" t="inlineStr">
        <is>
          <t>Comedy</t>
        </is>
      </c>
      <c r="N162" s="642" t="n"/>
      <c r="O162" s="111" t="n">
        <v>2022</v>
      </c>
      <c r="P162" s="642" t="inlineStr">
        <is>
          <t>Vĩnh viễn</t>
        </is>
      </c>
      <c r="Q162" s="642" t="n"/>
      <c r="R162" s="642" t="n"/>
      <c r="S162" s="642" t="n"/>
      <c r="T162" s="117" t="inlineStr">
        <is>
          <t>Yes</t>
        </is>
      </c>
      <c r="U162" s="590" t="inlineStr">
        <is>
          <t>Yes</t>
        </is>
      </c>
      <c r="V162" s="108" t="inlineStr">
        <is>
          <t>Yes</t>
        </is>
      </c>
      <c r="W162" s="111" t="inlineStr">
        <is>
          <t>Yes</t>
        </is>
      </c>
      <c r="X162" s="111" t="inlineStr">
        <is>
          <t>Yes</t>
        </is>
      </c>
      <c r="Y162" s="111" t="inlineStr">
        <is>
          <t>Yes</t>
        </is>
      </c>
      <c r="Z162" s="111" t="inlineStr">
        <is>
          <t>Yes</t>
        </is>
      </c>
      <c r="AA162" s="111" t="inlineStr">
        <is>
          <t>Yes</t>
        </is>
      </c>
      <c r="AB162" s="111" t="inlineStr">
        <is>
          <t>Yes</t>
        </is>
      </c>
      <c r="AC162" s="111" t="n">
        <v>2022</v>
      </c>
      <c r="AD162" s="642" t="inlineStr">
        <is>
          <t>Vĩnh viễn</t>
        </is>
      </c>
      <c r="AE162" s="111" t="inlineStr">
        <is>
          <t>Unlimited</t>
        </is>
      </c>
      <c r="AF162" s="307" t="n"/>
      <c r="AG162" s="647" t="n"/>
      <c r="AH162" s="318" t="n"/>
      <c r="AI162" s="642" t="inlineStr">
        <is>
          <t>Yes</t>
        </is>
      </c>
      <c r="AJ162" s="642" t="inlineStr">
        <is>
          <t>Yes</t>
        </is>
      </c>
      <c r="AK162" s="642" t="n"/>
      <c r="AL162" s="590" t="inlineStr">
        <is>
          <t>Phim còn hạn từ 2026</t>
        </is>
      </c>
      <c r="AM162" s="203" t="inlineStr">
        <is>
          <t>Phim SX - Xin chào Bếp trưởng (Yes, Chef), khởi chiếu 10.2022 (Supplier Ý Anh)</t>
        </is>
      </c>
      <c r="AN162" s="203" t="n"/>
      <c r="AO162" s="128">
        <f>SUMIF('TK 15661.Bản quyền phim '!F:F,'KK2. Series'!C162,'TK 15661.Bản quyền phim '!K:K)</f>
        <v/>
      </c>
      <c r="AP162" s="128">
        <f>COUNTIF('242.BQ Phim VOD'!$C$5:$C$8,'KK2. Series'!AM162)</f>
        <v/>
      </c>
      <c r="AQ162" s="128">
        <f>COUNTIF('TK 15666. Phim SX'!$C$6:$C$13,'KK2. Series'!AM162)</f>
        <v/>
      </c>
      <c r="AR162" s="203">
        <f>COUNTIF('TK 15661.Bản quyền phim '!F:F,'KK2. Series'!AM162)</f>
        <v/>
      </c>
      <c r="AS162" s="203" t="n"/>
      <c r="AT162" s="366">
        <f>SUM(AP162:AS162)</f>
        <v/>
      </c>
      <c r="AU162" s="203" t="n"/>
      <c r="AV162" s="203" t="n"/>
      <c r="AW162" s="203" t="n"/>
      <c r="AX162" s="203" t="n"/>
      <c r="AY162" s="203" t="n"/>
      <c r="AZ162" s="387" t="inlineStr">
        <is>
          <t>✓ Found</t>
        </is>
      </c>
      <c r="BB162" s="387" t="n"/>
    </row>
    <row r="163" ht="52.8" customHeight="1" s="578">
      <c r="A163" s="96" t="n">
        <v>157</v>
      </c>
      <c r="B163" s="97" t="inlineStr">
        <is>
          <t>MOV_BIO23 – (SUB) THE WALLS
MOV_BIO_2882006 – THE WALLS</t>
        </is>
      </c>
      <c r="C163" s="355" t="inlineStr">
        <is>
          <t>The walls</t>
        </is>
      </c>
      <c r="D163" s="111" t="inlineStr">
        <is>
          <t>Những Bức Tường</t>
        </is>
      </c>
      <c r="E163" s="649" t="inlineStr">
        <is>
          <t>K+</t>
        </is>
      </c>
      <c r="F163" s="654" t="inlineStr">
        <is>
          <t>K+ Sản xuất</t>
        </is>
      </c>
      <c r="G163" s="642" t="inlineStr">
        <is>
          <t>Vietnam</t>
        </is>
      </c>
      <c r="H163" s="111" t="n">
        <v>2022</v>
      </c>
      <c r="I163" s="111" t="n">
        <v>1</v>
      </c>
      <c r="J163" s="111" t="n">
        <v>120</v>
      </c>
      <c r="K163" s="348">
        <f>(I163*J163)/60</f>
        <v/>
      </c>
      <c r="L163" s="464">
        <f>J163</f>
        <v/>
      </c>
      <c r="M163" s="642" t="inlineStr">
        <is>
          <t>Documentary</t>
        </is>
      </c>
      <c r="N163" s="642" t="n"/>
      <c r="O163" s="111" t="n">
        <v>2022</v>
      </c>
      <c r="P163" s="642" t="inlineStr">
        <is>
          <t>Vĩnh viễn</t>
        </is>
      </c>
      <c r="Q163" s="642" t="n"/>
      <c r="R163" s="642" t="n"/>
      <c r="S163" s="642" t="n"/>
      <c r="T163" s="117" t="inlineStr">
        <is>
          <t>Yes</t>
        </is>
      </c>
      <c r="U163" s="590" t="inlineStr">
        <is>
          <t>Yes</t>
        </is>
      </c>
      <c r="V163" s="108" t="inlineStr">
        <is>
          <t>Yes</t>
        </is>
      </c>
      <c r="W163" s="111" t="inlineStr">
        <is>
          <t>Yes</t>
        </is>
      </c>
      <c r="X163" s="111" t="inlineStr">
        <is>
          <t>Yes</t>
        </is>
      </c>
      <c r="Y163" s="111" t="inlineStr">
        <is>
          <t>Yes</t>
        </is>
      </c>
      <c r="Z163" s="111" t="inlineStr">
        <is>
          <t>Yes</t>
        </is>
      </c>
      <c r="AA163" s="111" t="inlineStr">
        <is>
          <t>Yes</t>
        </is>
      </c>
      <c r="AB163" s="111" t="inlineStr">
        <is>
          <t>Yes</t>
        </is>
      </c>
      <c r="AC163" s="111" t="n">
        <v>2022</v>
      </c>
      <c r="AD163" s="642" t="inlineStr">
        <is>
          <t>Vĩnh viễn</t>
        </is>
      </c>
      <c r="AE163" s="111" t="inlineStr">
        <is>
          <t>Unlimited</t>
        </is>
      </c>
      <c r="AF163" s="307" t="n"/>
      <c r="AG163" s="647" t="n"/>
      <c r="AH163" s="318" t="n"/>
      <c r="AI163" s="642" t="inlineStr">
        <is>
          <t>Yes</t>
        </is>
      </c>
      <c r="AJ163" s="642" t="inlineStr">
        <is>
          <t>Yes</t>
        </is>
      </c>
      <c r="AK163" s="642" t="n"/>
      <c r="AL163" s="590" t="inlineStr">
        <is>
          <t>Phim còn hạn từ 2026</t>
        </is>
      </c>
      <c r="AM163" s="203" t="inlineStr">
        <is>
          <t>Phim SX - Phim tài liệu Bức Tường, khởi chiếu 9.2022 (VSTV)</t>
        </is>
      </c>
      <c r="AN163" s="203" t="n"/>
      <c r="AO163" s="128">
        <f>SUMIF('TK 15661.Bản quyền phim '!F:F,'KK2. Series'!C163,'TK 15661.Bản quyền phim '!K:K)</f>
        <v/>
      </c>
      <c r="AP163" s="128">
        <f>COUNTIF('242.BQ Phim VOD'!$C$5:$C$8,'KK2. Series'!AM163)</f>
        <v/>
      </c>
      <c r="AQ163" s="128">
        <f>COUNTIF('TK 15666. Phim SX'!$C$6:$C$13,'KK2. Series'!AM163)</f>
        <v/>
      </c>
      <c r="AR163" s="203">
        <f>COUNTIF('TK 15661.Bản quyền phim '!F:F,'KK2. Series'!AM163)</f>
        <v/>
      </c>
      <c r="AS163" s="203" t="n"/>
      <c r="AT163" s="366">
        <f>SUM(AP163:AS163)</f>
        <v/>
      </c>
      <c r="AU163" s="203" t="n"/>
      <c r="AV163" s="203" t="n"/>
      <c r="AW163" s="203" t="n"/>
      <c r="AX163" s="203" t="n"/>
      <c r="AY163" s="203" t="n"/>
      <c r="AZ163" s="387" t="inlineStr">
        <is>
          <t>✓ Found</t>
        </is>
      </c>
      <c r="BB163" s="387" t="n"/>
    </row>
    <row r="164" ht="316.8" customHeight="1" s="578">
      <c r="A164" s="96" t="n">
        <v>158</v>
      </c>
      <c r="B164" s="97" t="inlineStr">
        <is>
          <t>EP01 – SER_FAM_23_2700407
EP02 – SER_FAM_23_2700408
EP03 – SER_FAM_23_2700409
EP04 – SER_FAM_23_2700410
EP05 – SER_FAM_23_2700411
EP06 – SER_FAM_23_2700412
EP07 – SER_FAM_23_2700413
EP08 – SER_FAM_23_2700414
EP09 – SER_FAM_23_2700415
EP10 – SER_FAM_23_2700416
EP11 – SER_FAM_23_2700417
EP12 – SER_FAM_23_2700418</t>
        </is>
      </c>
      <c r="C164" s="355" t="inlineStr">
        <is>
          <t>Odd Family</t>
        </is>
      </c>
      <c r="D164" s="111" t="inlineStr">
        <is>
          <t>Nhà mình lạ lắm!</t>
        </is>
      </c>
      <c r="E164" s="649" t="inlineStr">
        <is>
          <t>K+</t>
        </is>
      </c>
      <c r="F164" s="654" t="inlineStr">
        <is>
          <t>K+ Sản xuất</t>
        </is>
      </c>
      <c r="G164" s="642" t="inlineStr">
        <is>
          <t>Vietnam</t>
        </is>
      </c>
      <c r="H164" s="111" t="n">
        <v>2023</v>
      </c>
      <c r="I164" s="111" t="n">
        <v>12</v>
      </c>
      <c r="J164" s="111" t="n">
        <v>60</v>
      </c>
      <c r="K164" s="348">
        <f>(I164*J164)/60</f>
        <v/>
      </c>
      <c r="L164" s="464">
        <f>J164</f>
        <v/>
      </c>
      <c r="M164" s="642" t="inlineStr">
        <is>
          <t>Comedy</t>
        </is>
      </c>
      <c r="N164" s="642" t="n"/>
      <c r="O164" s="111" t="n">
        <v>2023</v>
      </c>
      <c r="P164" s="307" t="n">
        <v>2033</v>
      </c>
      <c r="Q164" s="642" t="n"/>
      <c r="R164" s="642" t="n"/>
      <c r="S164" s="642" t="n"/>
      <c r="T164" s="117" t="inlineStr">
        <is>
          <t>Yes</t>
        </is>
      </c>
      <c r="U164" s="590" t="inlineStr">
        <is>
          <t>Yes</t>
        </is>
      </c>
      <c r="V164" s="108" t="inlineStr">
        <is>
          <t>Yes</t>
        </is>
      </c>
      <c r="W164" s="111" t="inlineStr">
        <is>
          <t>Yes</t>
        </is>
      </c>
      <c r="X164" s="111" t="inlineStr">
        <is>
          <t>Yes</t>
        </is>
      </c>
      <c r="Y164" s="111" t="inlineStr">
        <is>
          <t>Yes</t>
        </is>
      </c>
      <c r="Z164" s="111" t="inlineStr">
        <is>
          <t>Yes</t>
        </is>
      </c>
      <c r="AA164" s="111" t="inlineStr">
        <is>
          <t>Yes</t>
        </is>
      </c>
      <c r="AB164" s="111" t="inlineStr">
        <is>
          <t>Yes</t>
        </is>
      </c>
      <c r="AC164" s="111" t="n">
        <v>2023</v>
      </c>
      <c r="AD164" s="642" t="inlineStr">
        <is>
          <t>Vĩnh viễn</t>
        </is>
      </c>
      <c r="AE164" s="111" t="inlineStr">
        <is>
          <t>Unlimited</t>
        </is>
      </c>
      <c r="AF164" s="307" t="n"/>
      <c r="AG164" s="647" t="n"/>
      <c r="AH164" s="318" t="n"/>
      <c r="AI164" s="642" t="inlineStr">
        <is>
          <t>Yes</t>
        </is>
      </c>
      <c r="AJ164" s="642" t="inlineStr">
        <is>
          <t>Yes</t>
        </is>
      </c>
      <c r="AK164" s="642" t="n"/>
      <c r="AL164" s="590" t="inlineStr">
        <is>
          <t>Phim còn hạn từ 2026</t>
        </is>
      </c>
      <c r="AM164" s="203" t="inlineStr">
        <is>
          <t>Phim SX - Phim Nhà mình lạ lắm, khởi chiếu 7.2023 (CINEPOST)</t>
        </is>
      </c>
      <c r="AN164" s="203" t="n"/>
      <c r="AO164" s="128">
        <f>SUMIF('TK 15661.Bản quyền phim '!F:F,'KK2. Series'!C164,'TK 15661.Bản quyền phim '!K:K)</f>
        <v/>
      </c>
      <c r="AP164" s="128">
        <f>COUNTIF('242.BQ Phim VOD'!$C$5:$C$8,'KK2. Series'!AM164)</f>
        <v/>
      </c>
      <c r="AQ164" s="128">
        <f>COUNTIF('TK 15666. Phim SX'!$C$6:$C$13,'KK2. Series'!AM164)</f>
        <v/>
      </c>
      <c r="AR164" s="203">
        <f>COUNTIF('TK 15661.Bản quyền phim '!F:F,'KK2. Series'!AM164)</f>
        <v/>
      </c>
      <c r="AS164" s="203" t="n"/>
      <c r="AT164" s="366">
        <f>SUM(AP164:AS164)</f>
        <v/>
      </c>
      <c r="AU164" s="203" t="n"/>
      <c r="AV164" s="203" t="n"/>
      <c r="AW164" s="203" t="n"/>
      <c r="AX164" s="203" t="n"/>
      <c r="AY164" s="203" t="n"/>
      <c r="AZ164" s="387" t="inlineStr">
        <is>
          <t>✓ Found</t>
        </is>
      </c>
      <c r="BB164" s="387" t="n"/>
    </row>
    <row r="165" ht="316.8" customHeight="1" s="578">
      <c r="A165" s="96" t="n">
        <v>159</v>
      </c>
      <c r="B165" s="97" t="inlineStr">
        <is>
          <t>EP01 – SER_HOR_23_2705406
EP02 – SER_HOR_23_2705407
EP03 – SER_HOR_23_2705408
EP04 – SER_HOR_23_2705409
EP05 – SER_HOR_23_2705410
EP06 – SER_HOR_23_2705411
EP07 – SER_HOR_23_2705412
EP08 – SER_HOR_23_2705413
EP09 – SER_HOR_23_2705414
EP10 – SER_HOR_23_2705415
EP11 – SER_HOR_23_2705416
EP12 – SER_HOR_23_2705417</t>
        </is>
      </c>
      <c r="C165" s="355" t="inlineStr">
        <is>
          <t>Hellbound village</t>
        </is>
      </c>
      <c r="D165" s="111" t="inlineStr">
        <is>
          <t>Tết ở làng Địa Ngục</t>
        </is>
      </c>
      <c r="E165" s="649" t="inlineStr">
        <is>
          <t>K+</t>
        </is>
      </c>
      <c r="F165" s="654" t="inlineStr">
        <is>
          <t>K+ Sản xuất</t>
        </is>
      </c>
      <c r="G165" s="642" t="inlineStr">
        <is>
          <t>Vietnam</t>
        </is>
      </c>
      <c r="H165" s="111" t="n">
        <v>2023</v>
      </c>
      <c r="I165" s="111" t="n">
        <v>12</v>
      </c>
      <c r="J165" s="111" t="n">
        <v>45</v>
      </c>
      <c r="K165" s="348">
        <f>(I165*J165)/60</f>
        <v/>
      </c>
      <c r="L165" s="464">
        <f>J165</f>
        <v/>
      </c>
      <c r="M165" s="642" t="inlineStr">
        <is>
          <t>Horror</t>
        </is>
      </c>
      <c r="N165" s="642" t="n"/>
      <c r="O165" s="111" t="n">
        <v>2023</v>
      </c>
      <c r="P165" s="642" t="inlineStr">
        <is>
          <t>Vĩnh viễn</t>
        </is>
      </c>
      <c r="Q165" s="642" t="n"/>
      <c r="R165" s="642" t="n"/>
      <c r="S165" s="642" t="n"/>
      <c r="T165" s="117" t="inlineStr">
        <is>
          <t>Yes</t>
        </is>
      </c>
      <c r="U165" s="590" t="inlineStr">
        <is>
          <t>Yes</t>
        </is>
      </c>
      <c r="V165" s="108" t="inlineStr">
        <is>
          <t>Yes</t>
        </is>
      </c>
      <c r="W165" s="111" t="inlineStr">
        <is>
          <t>Yes</t>
        </is>
      </c>
      <c r="X165" s="111" t="inlineStr">
        <is>
          <t>Yes</t>
        </is>
      </c>
      <c r="Y165" s="111" t="inlineStr">
        <is>
          <t>Yes</t>
        </is>
      </c>
      <c r="Z165" s="111" t="inlineStr">
        <is>
          <t>Yes</t>
        </is>
      </c>
      <c r="AA165" s="111" t="inlineStr">
        <is>
          <t>Yes</t>
        </is>
      </c>
      <c r="AB165" s="111" t="inlineStr">
        <is>
          <t>Yes</t>
        </is>
      </c>
      <c r="AC165" s="111" t="n">
        <v>2023</v>
      </c>
      <c r="AD165" s="642" t="inlineStr">
        <is>
          <t>Vĩnh viễn</t>
        </is>
      </c>
      <c r="AE165" s="111" t="inlineStr">
        <is>
          <t>Unlimited</t>
        </is>
      </c>
      <c r="AF165" s="307" t="n"/>
      <c r="AG165" s="647" t="n"/>
      <c r="AH165" s="318" t="n"/>
      <c r="AI165" s="642" t="inlineStr">
        <is>
          <t>Yes</t>
        </is>
      </c>
      <c r="AJ165" s="642" t="inlineStr">
        <is>
          <t>Yes</t>
        </is>
      </c>
      <c r="AK165" s="642" t="n"/>
      <c r="AL165" s="590" t="inlineStr">
        <is>
          <t>Phim còn hạn từ 2026</t>
        </is>
      </c>
      <c r="AM165" s="203" t="inlineStr">
        <is>
          <t>Phim SX - Phim Tết ở làng địa ngục, khởi chiếu 10.2023 (ProductionQ)</t>
        </is>
      </c>
      <c r="AN165" s="203" t="n"/>
      <c r="AO165" s="128">
        <f>SUMIF('TK 15661.Bản quyền phim '!F:F,'KK2. Series'!C165,'TK 15661.Bản quyền phim '!K:K)</f>
        <v/>
      </c>
      <c r="AP165" s="128">
        <f>COUNTIF('242.BQ Phim VOD'!$C$5:$C$8,'KK2. Series'!AM165)</f>
        <v/>
      </c>
      <c r="AQ165" s="128">
        <f>COUNTIF('TK 15666. Phim SX'!$C$6:$C$13,'KK2. Series'!AM165)</f>
        <v/>
      </c>
      <c r="AR165" s="203">
        <f>COUNTIF('TK 15661.Bản quyền phim '!F:F,'KK2. Series'!AM165)</f>
        <v/>
      </c>
      <c r="AS165" s="203" t="n"/>
      <c r="AT165" s="366">
        <f>SUM(AP165:AS165)</f>
        <v/>
      </c>
      <c r="AU165" s="203" t="n"/>
      <c r="AV165" s="203" t="n"/>
      <c r="AW165" s="203" t="n"/>
      <c r="AX165" s="203" t="n"/>
      <c r="AY165" s="203" t="n"/>
      <c r="AZ165" s="387" t="inlineStr">
        <is>
          <t>✓ Found</t>
        </is>
      </c>
      <c r="BB165" s="387" t="n"/>
    </row>
    <row r="166" ht="264" customHeight="1" s="578">
      <c r="A166" s="96" t="n">
        <v>160</v>
      </c>
      <c r="B166" s="97" t="inlineStr">
        <is>
          <t>EP01 – SER_DRA_24_2711513
EP02 – SER_DRA_24_2711514
EP03 – SER_DRA_24_2711515
EP04 – SER_DRA_24_2711516
EP05 – SER_DRA_24_2711517
EP06 – SER_DRA_24_2711518
EP07 – SER_DRA_24_2711519
EP08 – SER_DRA_24_2711520
EP09 – SER_DRA_24_2711521
EP10 – SER_DRA_24_2711522</t>
        </is>
      </c>
      <c r="C166" s="356" t="inlineStr">
        <is>
          <t>Toward the fire</t>
        </is>
      </c>
      <c r="D166" s="117" t="inlineStr">
        <is>
          <t>Đi về phía lửa</t>
        </is>
      </c>
      <c r="E166" s="650" t="inlineStr">
        <is>
          <t>K+</t>
        </is>
      </c>
      <c r="F166" s="654" t="inlineStr">
        <is>
          <t>K+ Sản xuất</t>
        </is>
      </c>
      <c r="G166" s="646" t="inlineStr">
        <is>
          <t>Vietnam</t>
        </is>
      </c>
      <c r="H166" s="117" t="n">
        <v>2024</v>
      </c>
      <c r="I166" s="117" t="n">
        <v>10</v>
      </c>
      <c r="J166" s="117" t="n">
        <v>45</v>
      </c>
      <c r="K166" s="340">
        <f>(I166*J166)/60</f>
        <v/>
      </c>
      <c r="L166" s="467">
        <f>J166</f>
        <v/>
      </c>
      <c r="M166" s="646" t="inlineStr">
        <is>
          <t>Drama</t>
        </is>
      </c>
      <c r="N166" s="646" t="n"/>
      <c r="O166" s="117" t="n">
        <v>2024</v>
      </c>
      <c r="P166" s="646" t="inlineStr">
        <is>
          <t>Vĩnh viễn</t>
        </is>
      </c>
      <c r="Q166" s="646" t="n"/>
      <c r="R166" s="646" t="n"/>
      <c r="S166" s="646" t="n"/>
      <c r="T166" s="117" t="inlineStr">
        <is>
          <t>Yes</t>
        </is>
      </c>
      <c r="U166" s="590" t="inlineStr">
        <is>
          <t>Yes</t>
        </is>
      </c>
      <c r="V166" s="108" t="inlineStr">
        <is>
          <t>Yes</t>
        </is>
      </c>
      <c r="W166" s="117" t="inlineStr">
        <is>
          <t>Yes</t>
        </is>
      </c>
      <c r="X166" s="117" t="inlineStr">
        <is>
          <t>Yes</t>
        </is>
      </c>
      <c r="Y166" s="117" t="inlineStr">
        <is>
          <t>Yes</t>
        </is>
      </c>
      <c r="Z166" s="117" t="inlineStr">
        <is>
          <t>Yes</t>
        </is>
      </c>
      <c r="AA166" s="117" t="inlineStr">
        <is>
          <t>Yes</t>
        </is>
      </c>
      <c r="AB166" s="117" t="inlineStr">
        <is>
          <t>Yes</t>
        </is>
      </c>
      <c r="AC166" s="117" t="n">
        <v>2024</v>
      </c>
      <c r="AD166" s="646" t="inlineStr">
        <is>
          <t>Vĩnh viễn</t>
        </is>
      </c>
      <c r="AE166" s="117" t="inlineStr">
        <is>
          <t>Unlimited</t>
        </is>
      </c>
      <c r="AF166" s="321" t="n"/>
      <c r="AG166" s="648" t="n"/>
      <c r="AH166" s="322" t="n"/>
      <c r="AI166" s="646" t="inlineStr">
        <is>
          <t>Yes</t>
        </is>
      </c>
      <c r="AJ166" s="646" t="inlineStr">
        <is>
          <t>Yes</t>
        </is>
      </c>
      <c r="AK166" s="646" t="n"/>
      <c r="AL166" s="590" t="inlineStr">
        <is>
          <t>Phim còn hạn từ 2026</t>
        </is>
      </c>
      <c r="AM166" s="203" t="inlineStr">
        <is>
          <t>Phim SX - Đi về phía lửa, khởi chiếu 02.2024 (Hoan Khuê)</t>
        </is>
      </c>
      <c r="AN166" s="203" t="n"/>
      <c r="AO166" s="128">
        <f>SUMIF('TK 15661.Bản quyền phim '!F:F,'KK2. Series'!C166,'TK 15661.Bản quyền phim '!K:K)</f>
        <v/>
      </c>
      <c r="AP166" s="128">
        <f>COUNTIF('242.BQ Phim VOD'!$C$5:$C$8,'KK2. Series'!AM166)</f>
        <v/>
      </c>
      <c r="AQ166" s="128">
        <f>COUNTIF('TK 15666. Phim SX'!$C$6:$C$13,'KK2. Series'!AM166)</f>
        <v/>
      </c>
      <c r="AR166" s="203">
        <f>COUNTIF('TK 15661.Bản quyền phim '!F:F,'KK2. Series'!AM166)</f>
        <v/>
      </c>
      <c r="AS166" s="203" t="n"/>
      <c r="AT166" s="366">
        <f>SUM(AP166:AS166)</f>
        <v/>
      </c>
      <c r="AU166" s="203" t="n"/>
      <c r="AV166" s="203" t="n"/>
      <c r="AW166" s="203" t="n"/>
      <c r="AX166" s="203" t="n"/>
      <c r="AY166" s="203" t="n"/>
      <c r="AZ166" s="387" t="inlineStr">
        <is>
          <t>✓ Found</t>
        </is>
      </c>
      <c r="BB166" s="387" t="n"/>
    </row>
    <row r="167" ht="409.6" customHeight="1" s="578">
      <c r="A167" s="96" t="n">
        <v>161</v>
      </c>
      <c r="B167" s="97" t="inlineStr">
        <is>
          <t>EP01 – SER_DRA4836
EP02 – SER_DRA4837
EP03 – SER_DRA4838
EP04 – SER_DRA4839
EP05 – SER_DRA4840
EP06 – SER_DRA4841
EP07 – SER_DRA4842
EP08 – SER_DRA4843
EP09 – SER_DRA4844
EP10 – SER_DRA4845
EP11 – SER_DRA4846
EP12 – SER_DRA4847
EP13 – SER_DRA4848
EP14 – SER_DRA4849
EP15 – SER_DRA4850
EP16 – SER_DRA4851
EP17 – SER_DRA4852
EP18 – SER_DRA4853
EP19 – SER_DRA4854
EP20 – SER_DRA4855
EP21 – SER_DRA4856
EP22 – SER_DRA4857
EP23 – SER_DRA4858
EP24 – SER_DRA4859
EP25 – SER_DRA4860
EP26 – SER_DRA4861
EP27 – SER_DRA4862
EP28 – SER_DRA4863
EP29 – SER_DRA4864
EP30 – SER_DRA4865
EP31 – SER_DRA4866
EP32 – SER_DRA4867
EP33 – SER_DRA4868
EP34 – SER_DRA4869
EP35 – SER_DRA4870
EP36 – SER_DRA4871
EP37 – SER_DRA4872
EP38 – SER_DRA4873
EP39 – SER_DRA4874
EP40 – SER_DRA4875
EP41 – SER_DRA4876
EP42 – SER_DRA4877
EP43 – SER_DRA4878
EP44 – SER_DRA4879
EP45 – SER_DRA4880
EP46 – SER_DRA4881
EP47 – SER_DRA4882
EP48 – SER_DRA4883
EP49 – SER_DRA4884
EP50 – SER_DRA4885
EP51 – SER_DRA4886
EP52 – SER_DRA4887
EP53 – SER_DRA4888
EP54 – SER_DRA4889
EP55 – SER_DRA4890
EP56 – SER_DRA4891
EP57 – SER_DRA4892
EP58 – SER_DRA4893
EP59 – SER_DRA4894
EP60 – SER_DRA4895
EP61 – SER_DRA4896
EP62 – SER_DRA4897
EP63 – SER_DRA4898
EP64 – SER_DRA4899
EP65 – SER_DRA4900
EP66 – SER_DRA4901
EP67 – SER_DRA4902
EP68 – SER_DRA4903
EP69 – SER_DRA4904
EP70 – SER_DRA4905
EP71 – SER_DRA4906
EP72 – SER_DRA4907
EP73 – SER_DRA4908
EP74 – SER_DRA4909
EP75 – SER_DRA4910
EP76 – SER_DRA4911
EP77 – SER_DRA4912
EP78 – SER_DRA4913
EP79 – SER_DRA4914
EP80 – SER_DRA4915
EP81 – SER_DRA4916
EP82 – SER_DRA4917
EP83 – SER_DRA4918
EP84 – SER_DRA4919
EP85 – SER_DRA4920
EP86 – SER_DRA4921
EP87 – SER_DRA4922
EP88 – SER_DRA4923
EP89 – SER_DRA4924
EP90 – SER_DRA4925
EP91 – SER_DRA4926
EP92 – SER_DRA4927
EP93 – SER_DRA4928
EP94 – SER_DRA4929
EP95 – SER_DRA4930
EP96 – SER_DRA4931
EP97 – SER_DRA4932
EP98 – SER_DRA4933
EP99 – SER_DRA4934
EP100 – SER_DRA4935
EP101 – SER_DRA4936
EP102 – SER_DRA4937
EP103 – SER_DRA4938
EP104 – SER_DRA4939
EP105 – SER_DRA4940
EP106 – SER_DRA4941
EP107 – SER_DRA4942
EP108 – SER_DRA4943
EP109 – SER_DRA4944
EP110 – SER_DRA4945
EP111 – SER_DRA4946
EP112 – SER_DRA4947
EP113 – SER_DRA4948
EP114 – SER_DRA4949
EP115 – SER_DRA4950
EP116 – SER_DRA4951
EP117 – SER_DRA4952
EP118 – SER_DRA4953
EP119 – SER_DRA4954
EP120 – SER_DRA4955
EP121 – SER_DRA4956
EP122 – SER_DRA4957
EP123 – SER_DRA4958
EP124 – SER_DRA4959
EP125 – SER_DRA4960
EP126 – SER_DRA4961
EP127 – SER_DRA4962
EP128 – SER_DRA4963
EP129 – SER_DRA4964
EP130 – SER_DRA4965</t>
        </is>
      </c>
      <c r="C167" s="111" t="inlineStr">
        <is>
          <t>Hold My Hand</t>
        </is>
      </c>
      <c r="D167" s="642" t="inlineStr">
        <is>
          <t>Hãy nắm tay anh</t>
        </is>
      </c>
      <c r="E167" s="111" t="inlineStr">
        <is>
          <t>HT</t>
        </is>
      </c>
      <c r="F167" s="642" t="inlineStr">
        <is>
          <t>124/2024/HDBQ/VSTV-HT</t>
        </is>
      </c>
      <c r="G167" s="111" t="inlineStr">
        <is>
          <t>Korea</t>
        </is>
      </c>
      <c r="H167" s="111" t="n">
        <v>2013</v>
      </c>
      <c r="I167" s="111" t="n">
        <v>130</v>
      </c>
      <c r="J167" s="111" t="n">
        <v>35</v>
      </c>
      <c r="K167" s="340">
        <f>(I167*J167)/60</f>
        <v/>
      </c>
      <c r="L167" s="464">
        <f>I167</f>
        <v/>
      </c>
      <c r="M167" s="111" t="inlineStr">
        <is>
          <t>Drama</t>
        </is>
      </c>
      <c r="N167" s="642" t="n"/>
      <c r="O167" s="642" t="n"/>
      <c r="P167" s="590" t="inlineStr">
        <is>
          <t>VOD only</t>
        </is>
      </c>
      <c r="Q167" s="642" t="n"/>
      <c r="R167" s="642" t="n"/>
      <c r="S167" s="642" t="n"/>
      <c r="T167" s="111" t="inlineStr">
        <is>
          <t xml:space="preserve">No </t>
        </is>
      </c>
      <c r="U167" s="590" t="inlineStr">
        <is>
          <t>Yes</t>
        </is>
      </c>
      <c r="V167" s="111" t="inlineStr">
        <is>
          <t xml:space="preserve">No </t>
        </is>
      </c>
      <c r="W167" s="111" t="inlineStr">
        <is>
          <t>Yes</t>
        </is>
      </c>
      <c r="X167" s="111" t="inlineStr">
        <is>
          <t>Yes</t>
        </is>
      </c>
      <c r="Y167" s="111" t="inlineStr">
        <is>
          <t>Yes</t>
        </is>
      </c>
      <c r="Z167" s="111" t="inlineStr">
        <is>
          <t>Yes</t>
        </is>
      </c>
      <c r="AA167" s="111" t="inlineStr">
        <is>
          <t>Yes</t>
        </is>
      </c>
      <c r="AB167" s="111" t="inlineStr">
        <is>
          <t>Yes</t>
        </is>
      </c>
      <c r="AC167" s="331" t="n">
        <v>45901</v>
      </c>
      <c r="AD167" s="331" t="n">
        <v>46629</v>
      </c>
      <c r="AE167" s="642" t="n"/>
      <c r="AF167" s="307" t="n"/>
      <c r="AG167" s="647" t="n"/>
      <c r="AH167" s="318" t="n"/>
      <c r="AI167" s="646" t="inlineStr">
        <is>
          <t>Yes</t>
        </is>
      </c>
      <c r="AJ167" s="646" t="inlineStr">
        <is>
          <t>Yes</t>
        </is>
      </c>
      <c r="AK167" s="307" t="n"/>
      <c r="AL167" s="590" t="inlineStr">
        <is>
          <t>Phim còn hạn từ 2026</t>
        </is>
      </c>
      <c r="AM167" s="203" t="n"/>
      <c r="AN167" s="203" t="n"/>
      <c r="AO167" s="128">
        <f>SUMIF('TK 15661.Bản quyền phim '!F:F,'KK2. Series'!C167,'TK 15661.Bản quyền phim '!K:K)</f>
        <v/>
      </c>
      <c r="AP167" s="128">
        <f>COUNTIF('242.BQ Phim VOD'!$C$5:$C$8,'KK2. Series'!AM167)</f>
        <v/>
      </c>
      <c r="AQ167" s="128">
        <f>COUNTIF('TK 15666. Phim SX'!$C$6:$C$13,'KK2. Series'!AM167)</f>
        <v/>
      </c>
      <c r="AR167" s="203">
        <f>COUNTIF('TK 15661.Bản quyền phim '!F:F,'KK2. Series'!AM167)</f>
        <v/>
      </c>
      <c r="AS167" s="203" t="n">
        <v>1</v>
      </c>
      <c r="AT167" s="366">
        <f>SUM(AP167:AS167)</f>
        <v/>
      </c>
      <c r="AU167" s="203" t="n"/>
      <c r="AV167" s="203" t="n"/>
      <c r="AW167" s="203" t="n"/>
      <c r="AX167" s="203" t="n"/>
      <c r="AY167" s="203" t="n"/>
      <c r="AZ167" s="387" t="inlineStr">
        <is>
          <t>✓ Found</t>
        </is>
      </c>
      <c r="BB167" s="387" t="n"/>
    </row>
    <row r="168" ht="409.6" customHeight="1" s="578">
      <c r="A168" s="96" t="n">
        <v>162</v>
      </c>
      <c r="B168" s="97" t="inlineStr">
        <is>
          <t>EP01 – SER_ROM3473
EP02 – SER_ROM3474
EP03 – SER_ROM3475
EP04 – SER_ROM3476
EP05 – SER_ROM3477
EP06 – SER_ROM3478
EP07 – SER_ROM3479
EP08 – SER_ROM3480
EP09 – SER_ROM3481
EP10 – SER_ROM3482
EP11 – SER_ROM3483
EP12 – SER_ROM3484
EP13 – SER_ROM3485
EP14 – SER_ROM3486
EP15 – SER_ROM3487
EP16 – SER_ROM3488
EP17 – SER_ROM3489
EP18 – SER_ROM3490
EP19 – SER_ROM3491
EP20 – SER_ROM3492
EP21 – SER_ROM3493
EP22 – SER_ROM3494
EP23 – SER_ROM3495
EP24 – SER_ROM3496
EP25 – SER_ROM3497
EP26 – SER_ROM3498
EP27 – SER_ROM3499
EP28 – SER_ROM3500
EP29 – SER_ROM3501
EP30 – SER_ROM3502
EP31 – SER_ROM3503
EP32 – SER_ROM3504
EP33 – SER_ROM3505
EP34 – SER_ROM3506
EP35 – SER_ROM3507
EP36 – SER_ROM3508
EP37 – SER_ROM3509
EP38 – SER_ROM3510
EP39 – SER_ROM3511
EP40 – SER_ROM3512
EP41 – SER_ROM3513
EP42 – SER_ROM3514
EP43 – SER_ROM3515
EP44 – SER_ROM3516
EP45 – SER_ROM3517
EP46 – SER_ROM3518
EP47 – SER_ROM3519
EP48 – SER_ROM3520
EP49 – SER_ROM3521
EP50 – SER_ROM3522
EP51 – SER_ROM3523
EP52 – SER_ROM3524
EP53 – SER_ROM3525
EP54 – SER_ROM3526
EP55 – SER_ROM3527
EP56 – SER_ROM3528
EP57 – SER_ROM3529
EP58 – SER_ROM3530
EP59 – SER_ROM3531
EP60 – SER_ROM3532
EP61 – SER_ROM3533
EP62 – SER_ROM3534
EP63 – SER_ROM3535
EP64 – SER_ROM3536
EP65 – SER_ROM3537
EP66 – SER_ROM3538
EP67 – SER_ROM3539
EP68 – SER_ROM3540
EP69 – SER_ROM3541
EP70 – SER_ROM3542
EP71 – SER_ROM3543
EP72 – SER_ROM3544
EP73 – SER_ROM3545
EP74 – SER_ROM3546
EP75 – SER_ROM3547
EP76 – SER_ROM3548
EP77 – SER_ROM3549
EP78 – SER_ROM3550
EP79 – SER_ROM3551
EP80 – SER_ROM3552</t>
        </is>
      </c>
      <c r="C168" s="111" t="inlineStr">
        <is>
          <t>4 Legendary witches</t>
        </is>
      </c>
      <c r="D168" s="642" t="inlineStr">
        <is>
          <t>4 phù thủy huyền thoại</t>
        </is>
      </c>
      <c r="E168" s="111" t="inlineStr">
        <is>
          <t>HT</t>
        </is>
      </c>
      <c r="F168" s="642" t="inlineStr">
        <is>
          <t>124/2024/HDBQ/VSTV-HT</t>
        </is>
      </c>
      <c r="G168" s="111" t="inlineStr">
        <is>
          <t>Korea</t>
        </is>
      </c>
      <c r="H168" s="111" t="n">
        <v>2014</v>
      </c>
      <c r="I168" s="111" t="n">
        <v>80</v>
      </c>
      <c r="J168" s="111" t="n">
        <v>35</v>
      </c>
      <c r="K168" s="340">
        <f>(I168*J168)/60</f>
        <v/>
      </c>
      <c r="L168" s="464">
        <f>I168</f>
        <v/>
      </c>
      <c r="M168" s="111" t="inlineStr">
        <is>
          <t>Drama</t>
        </is>
      </c>
      <c r="N168" s="642" t="n"/>
      <c r="O168" s="642" t="n"/>
      <c r="P168" s="590" t="inlineStr">
        <is>
          <t>VOD only</t>
        </is>
      </c>
      <c r="Q168" s="642" t="n"/>
      <c r="R168" s="642" t="n"/>
      <c r="S168" s="642" t="n"/>
      <c r="T168" s="111" t="inlineStr">
        <is>
          <t xml:space="preserve">No </t>
        </is>
      </c>
      <c r="U168" s="590" t="inlineStr">
        <is>
          <t>Yes</t>
        </is>
      </c>
      <c r="V168" s="111" t="inlineStr">
        <is>
          <t xml:space="preserve">No </t>
        </is>
      </c>
      <c r="W168" s="111" t="inlineStr">
        <is>
          <t>Yes</t>
        </is>
      </c>
      <c r="X168" s="111" t="inlineStr">
        <is>
          <t>Yes</t>
        </is>
      </c>
      <c r="Y168" s="111" t="inlineStr">
        <is>
          <t>Yes</t>
        </is>
      </c>
      <c r="Z168" s="111" t="inlineStr">
        <is>
          <t>Yes</t>
        </is>
      </c>
      <c r="AA168" s="111" t="inlineStr">
        <is>
          <t>Yes</t>
        </is>
      </c>
      <c r="AB168" s="111" t="inlineStr">
        <is>
          <t>Yes</t>
        </is>
      </c>
      <c r="AC168" s="331" t="n">
        <v>45901</v>
      </c>
      <c r="AD168" s="331" t="n">
        <v>46630</v>
      </c>
      <c r="AE168" s="642" t="n"/>
      <c r="AF168" s="307" t="n"/>
      <c r="AG168" s="647" t="n"/>
      <c r="AH168" s="318" t="n"/>
      <c r="AI168" s="646" t="inlineStr">
        <is>
          <t>Yes</t>
        </is>
      </c>
      <c r="AJ168" s="646" t="inlineStr">
        <is>
          <t>Yes</t>
        </is>
      </c>
      <c r="AK168" s="307" t="n"/>
      <c r="AL168" s="590" t="inlineStr">
        <is>
          <t>Phim còn hạn từ 2026</t>
        </is>
      </c>
      <c r="AM168" s="203" t="n"/>
      <c r="AN168" s="203" t="n"/>
      <c r="AO168" s="128">
        <f>SUMIF('TK 15661.Bản quyền phim '!F:F,'KK2. Series'!C168,'TK 15661.Bản quyền phim '!K:K)</f>
        <v/>
      </c>
      <c r="AP168" s="128">
        <f>COUNTIF('242.BQ Phim VOD'!$C$5:$C$8,'KK2. Series'!AM168)</f>
        <v/>
      </c>
      <c r="AQ168" s="128">
        <f>COUNTIF('TK 15666. Phim SX'!$C$6:$C$13,'KK2. Series'!AM168)</f>
        <v/>
      </c>
      <c r="AR168" s="203">
        <f>COUNTIF('TK 15661.Bản quyền phim '!F:F,'KK2. Series'!AM168)</f>
        <v/>
      </c>
      <c r="AS168" s="203" t="n">
        <v>1</v>
      </c>
      <c r="AT168" s="366">
        <f>SUM(AP168:AS168)</f>
        <v/>
      </c>
      <c r="AU168" s="203" t="n"/>
      <c r="AV168" s="203" t="n"/>
      <c r="AW168" s="203" t="n"/>
      <c r="AX168" s="203" t="n"/>
      <c r="AY168" s="203" t="n"/>
      <c r="AZ168" s="387" t="inlineStr">
        <is>
          <t>✓ Found</t>
        </is>
      </c>
      <c r="BB168" s="387" t="n"/>
    </row>
    <row r="169" ht="409.6" customHeight="1" s="578">
      <c r="A169" s="96" t="n">
        <v>163</v>
      </c>
      <c r="B169" s="97" t="inlineStr">
        <is>
          <t>EP01 – SER_DRA4968
EP02 – SER_DRA4969
EP03 – SER_DRA4970
EP04 – SER_DRA4971
EP05 – SER_DRA4972
EP06 – SER_DRA4973
EP07 – SER_DRA4974
EP08 – SER_DRA4975
EP09 – SER_DRA4976
EP10 – SER_DRA4977
EP11 – SER_DRA4978
EP12 – SER_DRA4979
EP13 – SER_DRA4980
EP14 – SER_DRA4981
EP15 – SER_DRA4982
EP16 – SER_DRA4983
EP17 – SER_DRA4984
EP18 – SER_DRA4985
EP19 – SER_DRA4986
EP20 – SER_DRA4987
EP21 – SER_DRA4988
EP22 – SER_DRA4989
EP23 – SER_DRA4990
EP24 – SER_DRA4991
EP25 – SER_DRA4992
EP26 – SER_DRA4993
EP27 – SER_DRA4994
EP28 – SER_DRA4995
EP29 – SER_DRA4996
EP30 – SER_DRA4997
EP31 – SER_DRA4998
EP32 – SER_DRA4999
EP33 – SER_DRA5000
EP34 – SER_DRA5001
EP35 – SER_DRA5002
EP36 – SER_DRA5003
EP37 – SER_DRA5004
EP38 – SER_DRA5005
EP39 – SER_DRA5006
EP40 – SER_DRA5007
EP41 – SER_DRA5008
EP42 – SER_DRA5009
EP43 – SER_DRA5010
EP44 – SER_DRA5011
EP45 – SER_DRA5012
EP46 – SER_DRA5013
EP47 – SER_DRA5014
EP48 – SER_DRA5015
EP49 – SER_DRA5016
EP50 – SER_DRA5017
EP51 – SER_DRA5018
EP52 – SER_DRA5019
EP53 – SER_DRA5020
EP54 – SER_DRA5021
EP55 – SER_DRA5022
EP56 – SER_DRA5023
EP57 – SER_DRA5024
EP58 – SER_DRA5025
EP59 – SER_DRA5026
EP60 – SER_DRA5027
EP61 – SER_DRA5028
EP62 – SER_DRA5029
EP63 – SER_DRA5030
EP64 – SER_DRA5031
EP65 – SER_DRA5032
EP66 – SER_DRA5033
EP67 – SER_DRA5034
EP68 – SER_DRA5035
EP69 – SER_DRA5036
EP70 – SER_DRA5037
EP71 – SER_DRA5038
EP72 – SER_DRA5039
EP73 – SER_DRA5040
EP74 – SER_DRA5041
EP75 – SER_DRA5042
EP76 – SER_DRA5043
EP77 – SER_DRA5044
EP78 – SER_DRA5045
EP79 – SER_DRA5046
EP80 – SER_DRA5047
EP81 – SER_DRA5048
EP82 – SER_DRA5049
EP83 – SER_DRA5050
EP84 – SER_DRA5051
EP85 – SER_DRA5052
EP86 – SER_DRA5053
EP87 – SER_DRA5054
EP88 – SER_DRA5055
EP89 – SER_DRA5056
EP90 – SER_DRA5057
EP91 – SER_DRA5058
EP92 – SER_DRA5059
EP93 – SER_DRA5060
EP94 – SER_DRA5061
EP95 – SER_DRA5062
EP96 – SER_DRA5063
EP97 – SER_DRA5064
EP98 – SER_DRA5065
EP99 – SER_DRA5066
EP100 – SER_DRA5067
EP101 – SER_DRA5068
EP102 – SER_DRA5069
EP103 – SER_DRA5070
EP104 – SER_DRA5071
EP105 – SER_DRA5072
EP106 – SER_DRA5073
EP107 – SER_DRA5074
EP108 – SER_DRA5075
EP109 – SER_DRA5076
EP110 – SER_DRA5077
EP111 – SER_DRA5078
EP112 – SER_DRA5079
EP113 – SER_DRA5080
EP114 – SER_DRA5081
EP115 – SER_DRA5082
EP116 – SER_DRA5083
EP117 – SER_DRA5084
EP118 – SER_DRA5085
EP119 – SER_DRA5086
EP120 – SER_DRA5087
EP121 – SER_DRA5088
EP122 – SER_DRA5089
EP123 – SER_DRA5090
EP124 – SER_DRA5091
EP125 – SER_DRA5092
EP126 – SER_DRA5093
EP127 – SER_DRA5094</t>
        </is>
      </c>
      <c r="C169" s="111" t="inlineStr">
        <is>
          <t>Wonderful my life</t>
        </is>
      </c>
      <c r="D169" s="642" t="inlineStr">
        <is>
          <t>Cuộc sống kỳ diệu của tôi</t>
        </is>
      </c>
      <c r="E169" s="111" t="inlineStr">
        <is>
          <t>HT</t>
        </is>
      </c>
      <c r="F169" s="642" t="inlineStr">
        <is>
          <t>124/2024/HDBQ/VSTV-HT</t>
        </is>
      </c>
      <c r="G169" s="111" t="inlineStr">
        <is>
          <t>Korea</t>
        </is>
      </c>
      <c r="H169" s="111" t="n">
        <v>2020</v>
      </c>
      <c r="I169" s="111" t="n">
        <v>127</v>
      </c>
      <c r="J169" s="111" t="n">
        <v>35</v>
      </c>
      <c r="K169" s="340">
        <f>(I169*J169)/60</f>
        <v/>
      </c>
      <c r="L169" s="464">
        <f>I169</f>
        <v/>
      </c>
      <c r="M169" s="111" t="inlineStr">
        <is>
          <t>Drama</t>
        </is>
      </c>
      <c r="N169" s="642" t="n"/>
      <c r="O169" s="642" t="n"/>
      <c r="P169" s="590" t="inlineStr">
        <is>
          <t>VOD only</t>
        </is>
      </c>
      <c r="Q169" s="642" t="n"/>
      <c r="R169" s="642" t="n"/>
      <c r="S169" s="642" t="n"/>
      <c r="T169" s="111" t="inlineStr">
        <is>
          <t xml:space="preserve">No </t>
        </is>
      </c>
      <c r="U169" s="590" t="inlineStr">
        <is>
          <t>Yes</t>
        </is>
      </c>
      <c r="V169" s="111" t="inlineStr">
        <is>
          <t xml:space="preserve">No </t>
        </is>
      </c>
      <c r="W169" s="111" t="inlineStr">
        <is>
          <t>Yes</t>
        </is>
      </c>
      <c r="X169" s="111" t="inlineStr">
        <is>
          <t>Yes</t>
        </is>
      </c>
      <c r="Y169" s="111" t="inlineStr">
        <is>
          <t>Yes</t>
        </is>
      </c>
      <c r="Z169" s="111" t="inlineStr">
        <is>
          <t>Yes</t>
        </is>
      </c>
      <c r="AA169" s="111" t="inlineStr">
        <is>
          <t>Yes</t>
        </is>
      </c>
      <c r="AB169" s="111" t="inlineStr">
        <is>
          <t>Yes</t>
        </is>
      </c>
      <c r="AC169" s="331" t="n">
        <v>45901</v>
      </c>
      <c r="AD169" s="331" t="n">
        <v>46630</v>
      </c>
      <c r="AE169" s="642" t="n"/>
      <c r="AF169" s="307" t="n"/>
      <c r="AG169" s="647" t="n"/>
      <c r="AH169" s="318" t="n"/>
      <c r="AI169" s="646" t="inlineStr">
        <is>
          <t>Yes</t>
        </is>
      </c>
      <c r="AJ169" s="646" t="inlineStr">
        <is>
          <t>Yes</t>
        </is>
      </c>
      <c r="AK169" s="307" t="n"/>
      <c r="AL169" s="590" t="inlineStr">
        <is>
          <t>Phim còn hạn từ 2026</t>
        </is>
      </c>
      <c r="AM169" s="203" t="n"/>
      <c r="AN169" s="203" t="n"/>
      <c r="AO169" s="128">
        <f>SUMIF('TK 15661.Bản quyền phim '!F:F,'KK2. Series'!C169,'TK 15661.Bản quyền phim '!K:K)</f>
        <v/>
      </c>
      <c r="AP169" s="128">
        <f>COUNTIF('242.BQ Phim VOD'!$C$5:$C$8,'KK2. Series'!AM169)</f>
        <v/>
      </c>
      <c r="AQ169" s="128">
        <f>COUNTIF('TK 15666. Phim SX'!$C$6:$C$13,'KK2. Series'!AM169)</f>
        <v/>
      </c>
      <c r="AR169" s="203">
        <f>COUNTIF('TK 15661.Bản quyền phim '!F:F,'KK2. Series'!AM169)</f>
        <v/>
      </c>
      <c r="AS169" s="203" t="n">
        <v>1</v>
      </c>
      <c r="AT169" s="366">
        <f>SUM(AP169:AS169)</f>
        <v/>
      </c>
      <c r="AU169" s="203" t="n"/>
      <c r="AV169" s="203" t="n"/>
      <c r="AW169" s="203" t="n"/>
      <c r="AX169" s="203" t="n"/>
      <c r="AY169" s="203" t="n"/>
      <c r="AZ169" s="387" t="inlineStr">
        <is>
          <t>✓ Found</t>
        </is>
      </c>
      <c r="BB169" s="387" t="n"/>
    </row>
    <row r="170" ht="409.6" customHeight="1" s="578">
      <c r="A170" s="96" t="n">
        <v>164</v>
      </c>
      <c r="B170" s="97" t="inlineStr">
        <is>
          <t>EP01 – SER_ROM3350
EP02 – SER_ROM3351
EP03 – SER_ROM3352
EP04 – SER_ROM3353
EP05 – SER_ROM3354
EP06 – SER_ROM3355
EP07 – SER_ROM3356
EP08 – SER_ROM3357
EP09 – SER_ROM3358
EP10 – SER_ROM3359
EP11 – SER_ROM3360
EP12 – SER_ROM3361
EP13 – SER_ROM3362
EP14 – SER_ROM3363
EP15 – SER_ROM3364
EP16 – SER_ROM3365
EP17 – SER_ROM3366
EP18 – SER_ROM3367
EP19 – SER_ROM3368
EP20 – SER_ROM3369
EP21 – SER_ROM3370
EP22 – SER_ROM3371
EP23 – SER_ROM3372
EP24 – SER_ROM3373
EP25 – SER_ROM3374
EP26 – SER_ROM3375
EP27 – SER_ROM3376
EP28 – SER_ROM3377
EP29 – SER_ROM3378
EP30 – SER_ROM3379
EP31 – SER_ROM3380
EP32 – SER_ROM3381
EP33 – SER_ROM3382
EP34 – SER_ROM3383
EP35 – SER_ROM3384
EP36 – SER_ROM3385
EP37 – SER_ROM3386
EP38 – SER_ROM3387
EP39 – SER_ROM3388
EP40 – SER_ROM3389
EP41 – SER_ROM3390
EP42 – SER_ROM3391
EP43 – SER_ROM3392
EP44 – SER_ROM3393
EP45 – SER_ROM3394
EP46 – SER_ROM3395
EP47 – SER_ROM3396
EP48 – SER_ROM3397
EP49 – SER_ROM3398
EP50 – SER_ROM3399
EP51 – SER_ROM3400
EP52 – SER_ROM3401
EP53 – SER_ROM3402
EP54 – SER_ROM3403
EP55 – SER_ROM3404
EP56 – SER_ROM3405
EP57 – SER_ROM3406
EP58 – SER_ROM3407
EP59 – SER_ROM3408
EP60 – SER_ROM3409
EP61 – SER_ROM3410
EP62 – SER_ROM3411
EP63 – SER_ROM3412
EP64 – SER_ROM3413
EP65 – SER_ROM3414
EP66 – SER_ROM3415
EP67 – SER_ROM3416
EP68 – SER_ROM3417
EP69 – SER_ROM3418
EP70 – SER_ROM3419
EP71 – SER_ROM3420
EP72 – SER_ROM3421
EP73 – SER_ROM3422
EP74 – SER_ROM3423
EP75 – SER_ROM3424
EP76 – SER_ROM3425
EP77 – SER_ROM3426
EP78 – SER_ROM3427
EP79 – SER_ROM3428
EP80 – SER_ROM3429
EP81 – SER_ROM3430
EP82 – SER_ROM3431
EP83 – SER_ROM3432
EP84 – SER_ROM3433
EP85 – SER_ROM3434
EP86 – SER_ROM3435
EP87 – SER_ROM3436
EP88 – SER_ROM3437
EP89 – SER_ROM3438
EP90 – SER_ROM3439
EP91 – SER_ROM3440
EP92 – SER_ROM3441
EP93 – SER_ROM3442
EP94 – SER_ROM3443
EP95 – SER_ROM3444
EP96 – SER_ROM3445
EP97 – SER_ROM3446
EP98 – SER_ROM3447
EP99 – SER_ROM3448
EP100 – SER_ROM3449
EP101 – SER_ROM3450
EP102 – SER_ROM3451
EP103 – SER_ROM3452
EP104 – SER_ROM3453
EP105 – SER_ROM3454
EP106 – SER_ROM3455
EP107 – SER_ROM3456
EP108 – SER_ROM3457
EP109 – SER_ROM3458
EP110 – SER_ROM3459
EP111 – SER_ROM3460
EP112 – SER_ROM3461
EP113 – SER_ROM3462
EP114 – SER_ROM3463
EP115 – SER_ROM3464
EP116 – SER_ROM3465
EP117 – SER_ROM3466
EP118 – SER_ROM3467
EP119 – SER_ROM3468
EP120 – SER_ROM3469
EP121 – SER_ROM3470</t>
        </is>
      </c>
      <c r="C170" s="111" t="inlineStr">
        <is>
          <t>Begin again</t>
        </is>
      </c>
      <c r="D170" s="642" t="inlineStr">
        <is>
          <t>Cuộc sống rực rỡ</t>
        </is>
      </c>
      <c r="E170" s="111" t="inlineStr">
        <is>
          <t>HT</t>
        </is>
      </c>
      <c r="F170" s="642" t="inlineStr">
        <is>
          <t>124/2024/HDBQ/VSTV-HT</t>
        </is>
      </c>
      <c r="G170" s="111" t="inlineStr">
        <is>
          <t>Korea</t>
        </is>
      </c>
      <c r="H170" s="111" t="n">
        <v>2016</v>
      </c>
      <c r="I170" s="111" t="n">
        <v>121</v>
      </c>
      <c r="J170" s="111" t="n">
        <v>35</v>
      </c>
      <c r="K170" s="340">
        <f>(I170*J170)/60</f>
        <v/>
      </c>
      <c r="L170" s="464">
        <f>I170</f>
        <v/>
      </c>
      <c r="M170" s="111" t="inlineStr">
        <is>
          <t>Drama</t>
        </is>
      </c>
      <c r="N170" s="642" t="n"/>
      <c r="O170" s="642" t="n"/>
      <c r="P170" s="590" t="inlineStr">
        <is>
          <t>VOD only</t>
        </is>
      </c>
      <c r="Q170" s="642" t="n"/>
      <c r="R170" s="642" t="n"/>
      <c r="S170" s="642" t="n"/>
      <c r="T170" s="111" t="inlineStr">
        <is>
          <t xml:space="preserve">No </t>
        </is>
      </c>
      <c r="U170" s="590" t="inlineStr">
        <is>
          <t>Yes</t>
        </is>
      </c>
      <c r="V170" s="111" t="inlineStr">
        <is>
          <t xml:space="preserve">No </t>
        </is>
      </c>
      <c r="W170" s="111" t="inlineStr">
        <is>
          <t>Yes</t>
        </is>
      </c>
      <c r="X170" s="111" t="inlineStr">
        <is>
          <t>Yes</t>
        </is>
      </c>
      <c r="Y170" s="111" t="inlineStr">
        <is>
          <t>Yes</t>
        </is>
      </c>
      <c r="Z170" s="111" t="inlineStr">
        <is>
          <t>Yes</t>
        </is>
      </c>
      <c r="AA170" s="111" t="inlineStr">
        <is>
          <t>Yes</t>
        </is>
      </c>
      <c r="AB170" s="111" t="inlineStr">
        <is>
          <t>Yes</t>
        </is>
      </c>
      <c r="AC170" s="331" t="n">
        <v>45931</v>
      </c>
      <c r="AD170" s="331" t="n">
        <v>46660</v>
      </c>
      <c r="AE170" s="642" t="n"/>
      <c r="AF170" s="307" t="n"/>
      <c r="AG170" s="647" t="n"/>
      <c r="AH170" s="318" t="n"/>
      <c r="AI170" s="646" t="inlineStr">
        <is>
          <t>Yes</t>
        </is>
      </c>
      <c r="AJ170" s="646" t="inlineStr">
        <is>
          <t>Yes</t>
        </is>
      </c>
      <c r="AK170" s="307" t="n"/>
      <c r="AL170" s="590" t="inlineStr">
        <is>
          <t>Phim còn hạn từ 2026</t>
        </is>
      </c>
      <c r="AM170" s="203" t="n"/>
      <c r="AN170" s="203" t="n"/>
      <c r="AO170" s="128">
        <f>SUMIF('TK 15661.Bản quyền phim '!F:F,'KK2. Series'!C170,'TK 15661.Bản quyền phim '!K:K)</f>
        <v/>
      </c>
      <c r="AP170" s="128">
        <f>COUNTIF('242.BQ Phim VOD'!$C$5:$C$8,'KK2. Series'!AM170)</f>
        <v/>
      </c>
      <c r="AQ170" s="128">
        <f>COUNTIF('TK 15666. Phim SX'!$C$6:$C$13,'KK2. Series'!AM170)</f>
        <v/>
      </c>
      <c r="AR170" s="203">
        <f>COUNTIF('TK 15661.Bản quyền phim '!F:F,'KK2. Series'!AM170)</f>
        <v/>
      </c>
      <c r="AS170" s="203" t="n">
        <v>1</v>
      </c>
      <c r="AT170" s="366">
        <f>SUM(AP170:AS170)</f>
        <v/>
      </c>
      <c r="AU170" s="203" t="n"/>
      <c r="AV170" s="203" t="n"/>
      <c r="AW170" s="203" t="n"/>
      <c r="AX170" s="203" t="n"/>
      <c r="AY170" s="203" t="n"/>
      <c r="AZ170" s="387" t="inlineStr">
        <is>
          <t>✓ Found</t>
        </is>
      </c>
      <c r="BB170" s="387" t="n"/>
    </row>
    <row r="171" ht="409.6" customHeight="1" s="578">
      <c r="A171" s="96" t="n">
        <v>165</v>
      </c>
      <c r="B171" s="97" t="inlineStr">
        <is>
          <t>EP01 – SER_DRA4553
EP02 – SER_DRA4554
EP03 – SER_DRA4555
EP04 – SER_DRA4556
EP05 – SER_DRA4557
EP06 – SER_DRA4558
EP07 – SER_DRA4559
EP08 – SER_DRA4560
EP09 – SER_DRA4561
EP10 – SER_DRA4562
EP11 – SER_DRA4563
EP12 – SER_DRA4564
EP13 – SER_DRA4565
EP14 – SER_DRA4566
EP15 – SER_DRA4567
EP16 – SER_DRA4568
EP17 – SER_DRA4569
EP18 – SER_DRA4570
EP19 – SER_DRA4571
EP20 – SER_DRA4572
EP21 – SER_DRA4573
EP22 – SER_DRA4574
EP23 – SER_DRA4575
EP24 – SER_DRA4576
EP25 – SER_DRA4577
EP26 – SER_DRA4578
EP27 – SER_DRA4579
EP28 – SER_DRA4580
EP29 – SER_DRA4581
EP30 – SER_DRA4582
EP31 – SER_DRA4583
EP32 – SER_DRA4584
EP33 – SER_DRA4585
EP34 – SER_DRA4586
EP35 – SER_DRA4587
EP36 – SER_DRA4588
EP37 – SER_DRA4589
EP38 – SER_DRA4590
EP39 – SER_DRA4591
EP40 – SER_DRA4592
EP41 – SER_DRA4593
EP42 – SER_DRA4594
EP43 – SER_DRA4595
EP44 – SER_DRA4596
EP45 – SER_DRA4597
EP46 – SER_DRA4598
EP47 – SER_DRA4599
EP48 – SER_DRA4600
EP49 – SER_DRA4601
EP50 – SER_DRA4602
EP51 – SER_DRA4603
EP52 – SER_DRA4604
EP53 – SER_DRA4605
EP54 – SER_DRA4606
EP55 – SER_DRA4607
EP56 – SER_DRA4608
EP57 – SER_DRA4609
EP58 – SER_DRA4610
EP59 – SER_DRA4611
EP60 – SER_DRA4612
EP61 – SER_DRA4613
EP62 – SER_DRA4614
EP63 – SER_DRA4615
EP64 – SER_DRA4616
EP65 – SER_DRA4617
EP66 – SER_DRA4618
EP67 – SER_DRA4619
EP68 – SER_DRA4620
EP69 – SER_DRA4621
EP70 – SER_DRA4622
EP71 – SER_DRA4623
EP72 – SER_DRA4624
EP73 – SER_DRA4625
EP74 – SER_DRA4626
EP75 – SER_DRA4627
EP76 – SER_DRA4628
EP77 – SER_DRA4629
EP78 – SER_DRA4630
EP79 – SER_DRA4631
EP80 – SER_DRA4632
EP81 – SER_DRA4633
EP82 – SER_DRA4634
EP83 – SER_DRA4635
EP84 – SER_DRA4636
EP85 – SER_DRA4637
EP86 – SER_DRA4638
EP87 – SER_DRA4639
EP88 – SER_DRA4640
EP89 – SER_DRA4641
EP90 – SER_DRA4642
EP91 – SER_DRA4643
EP92 – SER_DRA4644
EP93 – SER_DRA4645
EP94 – SER_DRA4646
EP95 – SER_DRA4647
EP96 – SER_DRA4648
EP97 – SER_DRA4649
EP98 – SER_DRA4650
EP99 – SER_DRA4651
EP100 – SER_DRA4652
EP101 – SER_DRA4653
EP102 – SER_DRA4654
EP103 – SER_DRA4655
EP104 – SER_DRA4656
EP105 – SER_DRA4657
EP106 – SER_DRA4658
EP107 – SER_DRA4659
EP108 – SER_DRA4660
EP109 – SER_DRA4661
EP110 – SER_DRA4662
EP111 – SER_DRA4663
EP112 – SER_DRA4664
EP113 – SER_DRA4665
EP114 – SER_DRA4666
EP115 – SER_DRA4667
EP116 – SER_DRA4668
EP117 – SER_DRA4669
EP118 – SER_DRA4670
EP119 – SER_DRA4671
EP120 – SER_DRA4672
EP121 – SER_DRA4673
EP122 – SER_DRA4674
EP123 – SER_DRA4675
EP124 – SER_DRA4676
EP125 – SER_DRA4677
EP126 – SER_DRA4678
EP127 – SER_DRA4679
EP128 – SER_DRA4680
EP129 – SER_DRA4681
EP130 – SER_DRA4682</t>
        </is>
      </c>
      <c r="C171" s="111" t="inlineStr">
        <is>
          <t>Victory for tomorow</t>
        </is>
      </c>
      <c r="D171" s="642" t="inlineStr">
        <is>
          <t>Ngày mai chiến thắng</t>
        </is>
      </c>
      <c r="E171" s="111" t="inlineStr">
        <is>
          <t>HT</t>
        </is>
      </c>
      <c r="F171" s="642" t="inlineStr">
        <is>
          <t>124/2024/HDBQ/VSTV-HT</t>
        </is>
      </c>
      <c r="G171" s="111" t="inlineStr">
        <is>
          <t>Korea</t>
        </is>
      </c>
      <c r="H171" s="111" t="n">
        <v>2015</v>
      </c>
      <c r="I171" s="111" t="n">
        <v>130</v>
      </c>
      <c r="J171" s="111" t="n">
        <v>35</v>
      </c>
      <c r="K171" s="340">
        <f>(I171*J171)/60</f>
        <v/>
      </c>
      <c r="L171" s="464">
        <f>I171</f>
        <v/>
      </c>
      <c r="M171" s="111" t="inlineStr">
        <is>
          <t>Drama</t>
        </is>
      </c>
      <c r="N171" s="642" t="n"/>
      <c r="O171" s="642" t="n"/>
      <c r="P171" s="590" t="inlineStr">
        <is>
          <t>VOD only</t>
        </is>
      </c>
      <c r="Q171" s="642" t="n"/>
      <c r="R171" s="642" t="n"/>
      <c r="S171" s="642" t="n"/>
      <c r="T171" s="111" t="inlineStr">
        <is>
          <t xml:space="preserve">No </t>
        </is>
      </c>
      <c r="U171" s="590" t="inlineStr">
        <is>
          <t>Yes</t>
        </is>
      </c>
      <c r="V171" s="111" t="inlineStr">
        <is>
          <t xml:space="preserve">No </t>
        </is>
      </c>
      <c r="W171" s="111" t="inlineStr">
        <is>
          <t>Yes</t>
        </is>
      </c>
      <c r="X171" s="111" t="inlineStr">
        <is>
          <t>Yes</t>
        </is>
      </c>
      <c r="Y171" s="111" t="inlineStr">
        <is>
          <t>Yes</t>
        </is>
      </c>
      <c r="Z171" s="111" t="inlineStr">
        <is>
          <t>Yes</t>
        </is>
      </c>
      <c r="AA171" s="111" t="inlineStr">
        <is>
          <t>Yes</t>
        </is>
      </c>
      <c r="AB171" s="111" t="inlineStr">
        <is>
          <t>Yes</t>
        </is>
      </c>
      <c r="AC171" s="331" t="n">
        <v>45931</v>
      </c>
      <c r="AD171" s="331" t="n">
        <v>46660</v>
      </c>
      <c r="AE171" s="642" t="n"/>
      <c r="AF171" s="307" t="n"/>
      <c r="AG171" s="647" t="n"/>
      <c r="AH171" s="318" t="n"/>
      <c r="AI171" s="646" t="inlineStr">
        <is>
          <t>Yes</t>
        </is>
      </c>
      <c r="AJ171" s="646" t="inlineStr">
        <is>
          <t>Yes</t>
        </is>
      </c>
      <c r="AK171" s="307" t="n"/>
      <c r="AL171" s="590" t="inlineStr">
        <is>
          <t>Phim còn hạn từ 2026</t>
        </is>
      </c>
      <c r="AM171" s="203" t="n"/>
      <c r="AN171" s="203" t="n"/>
      <c r="AO171" s="128">
        <f>SUMIF('TK 15661.Bản quyền phim '!F:F,'KK2. Series'!C171,'TK 15661.Bản quyền phim '!K:K)</f>
        <v/>
      </c>
      <c r="AP171" s="128">
        <f>COUNTIF('242.BQ Phim VOD'!$C$5:$C$8,'KK2. Series'!AM171)</f>
        <v/>
      </c>
      <c r="AQ171" s="128">
        <f>COUNTIF('TK 15666. Phim SX'!$C$6:$C$13,'KK2. Series'!AM171)</f>
        <v/>
      </c>
      <c r="AR171" s="203">
        <f>COUNTIF('TK 15661.Bản quyền phim '!F:F,'KK2. Series'!AM171)</f>
        <v/>
      </c>
      <c r="AS171" s="203" t="n">
        <v>1</v>
      </c>
      <c r="AT171" s="366">
        <f>SUM(AP171:AS171)</f>
        <v/>
      </c>
      <c r="AU171" s="203" t="n"/>
      <c r="AV171" s="203" t="n"/>
      <c r="AW171" s="203" t="n"/>
      <c r="AX171" s="203" t="n"/>
      <c r="AY171" s="203" t="n"/>
      <c r="AZ171" s="387" t="inlineStr">
        <is>
          <t>✓ Found</t>
        </is>
      </c>
      <c r="BB171" s="387" t="n"/>
    </row>
    <row r="172" ht="409.6" customHeight="1" s="578">
      <c r="A172" s="96" t="n">
        <v>166</v>
      </c>
      <c r="B172" s="97" t="inlineStr">
        <is>
          <t>EP01 – SER_DRA5097
EP02 – SER_DRA5098
EP03 – SER_DRA5099
EP04 – SER_DRA5100
EP05 – SER_DRA5101
EP06 – SER_DRA5102
EP07 – SER_DRA5103
EP08 – SER_DRA5104
EP09 – SER_DRA5105
EP10 – SER_DRA5106
EP11 – SER_DRA5107
EP12 – SER_DRA5108
EP13 – SER_DRA5109
EP14 – SER_DRA5110
EP15 – SER_DRA5111
EP16 – SER_DRA5112
EP17 – SER_DRA5113
EP18 – SER_DRA5114
EP19 – SER_DRA5115
EP20 – SER_DRA5116
EP21 – SER_DRA5117
EP22 – SER_DRA5118
EP23 – SER_DRA5119
EP24 – SER_DRA5120
EP25 – SER_DRA5121
EP26 – SER_DRA5122
EP27 – SER_DRA5123
EP28 – SER_DRA5124
EP29 – SER_DRA5125
EP30 – SER_DRA5126
EP31 – SER_DRA5127
EP32 – SER_DRA5128
EP33 – SER_DRA5129
EP34 – SER_DRA5130
EP35 – SER_DRA5131
EP36 – SER_DRA5132
EP37 – SER_DRA5133
EP38 – SER_DRA5134
EP39 – SER_DRA5135
EP40 – SER_DRA5136</t>
        </is>
      </c>
      <c r="C172" s="111" t="inlineStr">
        <is>
          <t>Medical top team</t>
        </is>
      </c>
      <c r="D172" s="642" t="inlineStr">
        <is>
          <t>Đội ngũ danh y</t>
        </is>
      </c>
      <c r="E172" s="111" t="inlineStr">
        <is>
          <t>HT</t>
        </is>
      </c>
      <c r="F172" s="642" t="inlineStr">
        <is>
          <t>124/2024/HDBQ/VSTV-HT</t>
        </is>
      </c>
      <c r="G172" s="111" t="inlineStr">
        <is>
          <t>Korea</t>
        </is>
      </c>
      <c r="H172" s="111" t="n">
        <v>2021</v>
      </c>
      <c r="I172" s="111" t="n">
        <v>40</v>
      </c>
      <c r="J172" s="111" t="n">
        <v>45</v>
      </c>
      <c r="K172" s="340">
        <f>(I172*J172)/60</f>
        <v/>
      </c>
      <c r="L172" s="464">
        <f>I172</f>
        <v/>
      </c>
      <c r="M172" s="111" t="inlineStr">
        <is>
          <t>Drama</t>
        </is>
      </c>
      <c r="N172" s="642" t="n"/>
      <c r="O172" s="642" t="n"/>
      <c r="P172" s="590" t="inlineStr">
        <is>
          <t>VOD only</t>
        </is>
      </c>
      <c r="Q172" s="642" t="n"/>
      <c r="R172" s="642" t="n"/>
      <c r="S172" s="642" t="n"/>
      <c r="T172" s="111" t="inlineStr">
        <is>
          <t xml:space="preserve">No </t>
        </is>
      </c>
      <c r="U172" s="590" t="inlineStr">
        <is>
          <t>Yes</t>
        </is>
      </c>
      <c r="V172" s="111" t="inlineStr">
        <is>
          <t xml:space="preserve">No </t>
        </is>
      </c>
      <c r="W172" s="111" t="inlineStr">
        <is>
          <t>Yes</t>
        </is>
      </c>
      <c r="X172" s="111" t="inlineStr">
        <is>
          <t>Yes</t>
        </is>
      </c>
      <c r="Y172" s="111" t="inlineStr">
        <is>
          <t>Yes</t>
        </is>
      </c>
      <c r="Z172" s="111" t="inlineStr">
        <is>
          <t>Yes</t>
        </is>
      </c>
      <c r="AA172" s="111" t="inlineStr">
        <is>
          <t>Yes</t>
        </is>
      </c>
      <c r="AB172" s="111" t="inlineStr">
        <is>
          <t>Yes</t>
        </is>
      </c>
      <c r="AC172" s="331" t="n">
        <v>45931</v>
      </c>
      <c r="AD172" s="331" t="n">
        <v>46660</v>
      </c>
      <c r="AE172" s="642" t="n"/>
      <c r="AF172" s="307" t="n"/>
      <c r="AG172" s="647" t="n"/>
      <c r="AH172" s="318" t="n"/>
      <c r="AI172" s="646" t="inlineStr">
        <is>
          <t>Yes</t>
        </is>
      </c>
      <c r="AJ172" s="646" t="inlineStr">
        <is>
          <t>Yes</t>
        </is>
      </c>
      <c r="AK172" s="307" t="n"/>
      <c r="AL172" s="590" t="inlineStr">
        <is>
          <t>Phim còn hạn từ 2026</t>
        </is>
      </c>
      <c r="AM172" s="203" t="n"/>
      <c r="AN172" s="203" t="n"/>
      <c r="AO172" s="128">
        <f>SUMIF('TK 15661.Bản quyền phim '!F:F,'KK2. Series'!C172,'TK 15661.Bản quyền phim '!K:K)</f>
        <v/>
      </c>
      <c r="AP172" s="128">
        <f>COUNTIF('242.BQ Phim VOD'!$C$5:$C$8,'KK2. Series'!AM172)</f>
        <v/>
      </c>
      <c r="AQ172" s="128">
        <f>COUNTIF('TK 15666. Phim SX'!$C$6:$C$13,'KK2. Series'!AM172)</f>
        <v/>
      </c>
      <c r="AR172" s="203">
        <f>COUNTIF('TK 15661.Bản quyền phim '!F:F,'KK2. Series'!AM172)</f>
        <v/>
      </c>
      <c r="AS172" s="203" t="n">
        <v>1</v>
      </c>
      <c r="AT172" s="366">
        <f>SUM(AP172:AS172)</f>
        <v/>
      </c>
      <c r="AU172" s="203" t="n"/>
      <c r="AV172" s="203" t="n"/>
      <c r="AW172" s="203" t="n"/>
      <c r="AX172" s="203" t="n"/>
      <c r="AY172" s="203" t="n"/>
      <c r="AZ172" s="387" t="inlineStr">
        <is>
          <t>✓ Found</t>
        </is>
      </c>
      <c r="BB172" s="387" t="n"/>
    </row>
    <row r="173" ht="409.6" customHeight="1" s="578">
      <c r="A173" s="96" t="n">
        <v>167</v>
      </c>
      <c r="B173" s="97" t="inlineStr">
        <is>
          <t>EP01 – SER_COS_22_2677815
EP02 – SER_COS_22_2677816
EP03 – SER_COS_22_2677817
EP04 – SER_COS_22_2677818
EP05 – SER_COS_22_2677819
EP06 – SER_COS_22_2677820
EP07 – SER_COS_22_2677821
EP08 – SER_COS_22_2677828
EP09 – SER_COS_22_2677829
EP10 – SER_COS_22_2677830
EP11 – SER_COS_22_2677831
EP12 – SER_COS_22_2677832
EP13 – SER_COS_22_2677833
EP14 – SER_COS_22_2677834
EP15 – SER_COS_22_2677835
EP16 – SER_COS_22_2677836
EP17 – SER_COS_22_2677837
EP18 – SER_COS_22_2677838
EP19 – SER_COS_22_2677839
EP20 – SER_COS_22_2677840
EP21 – SER_COS_22_2677841
EP22 – SER_COS_22_2677842
EP23 – SER_COS_22_2677843
EP24 – SER_COS_22_2677844
EP25 – SER_COS_22_2677845
EP26 – SER_COS_22_2677846
EP27 – SER_COS_22_2677847
EP28 – SER_COS_22_2677848
EP29 – SER_COS_22_2677849
EP30 – SER_COS_22_2677851
EP31 – SER_COS_22_2677850
EP32 – SER_COS_22_2677852
EP33 – SER_COS_22_2677853
EP34 – SER_COS_22_2677854
EP35 – SER_COS_22_2677855
EP36 – SER_COS_22_2677856
EP37 – SER_COS_22_2677857
EP38 – SER_COS_22_2677858</t>
        </is>
      </c>
      <c r="C173" s="111" t="inlineStr">
        <is>
          <t>Sword Snow Stride</t>
        </is>
      </c>
      <c r="D173" s="642" t="inlineStr">
        <is>
          <t>Tuyết kiếm hành</t>
        </is>
      </c>
      <c r="E173" s="111" t="inlineStr">
        <is>
          <t>HT</t>
        </is>
      </c>
      <c r="F173" s="642" t="inlineStr">
        <is>
          <t>124/2024/HDBQ/VSTV-HT</t>
        </is>
      </c>
      <c r="G173" s="111" t="inlineStr">
        <is>
          <t>China</t>
        </is>
      </c>
      <c r="H173" s="111" t="n">
        <v>2021</v>
      </c>
      <c r="I173" s="111" t="n">
        <v>38</v>
      </c>
      <c r="J173" s="111" t="n">
        <v>45</v>
      </c>
      <c r="K173" s="340">
        <f>(I173*J173)/60</f>
        <v/>
      </c>
      <c r="L173" s="464">
        <f>I173</f>
        <v/>
      </c>
      <c r="M173" s="111" t="inlineStr">
        <is>
          <t>Drama</t>
        </is>
      </c>
      <c r="N173" s="642" t="n"/>
      <c r="O173" s="642" t="n"/>
      <c r="P173" s="590" t="inlineStr">
        <is>
          <t>VOD only</t>
        </is>
      </c>
      <c r="Q173" s="642" t="n"/>
      <c r="R173" s="642" t="n"/>
      <c r="S173" s="642" t="n"/>
      <c r="T173" s="111" t="inlineStr">
        <is>
          <t xml:space="preserve">No </t>
        </is>
      </c>
      <c r="U173" s="590" t="inlineStr">
        <is>
          <t>Yes</t>
        </is>
      </c>
      <c r="V173" s="111" t="inlineStr">
        <is>
          <t xml:space="preserve">No </t>
        </is>
      </c>
      <c r="W173" s="111" t="inlineStr">
        <is>
          <t>Yes</t>
        </is>
      </c>
      <c r="X173" s="111" t="inlineStr">
        <is>
          <t>Yes</t>
        </is>
      </c>
      <c r="Y173" s="111" t="inlineStr">
        <is>
          <t>Yes</t>
        </is>
      </c>
      <c r="Z173" s="111" t="inlineStr">
        <is>
          <t>Yes</t>
        </is>
      </c>
      <c r="AA173" s="111" t="inlineStr">
        <is>
          <t>Yes</t>
        </is>
      </c>
      <c r="AB173" s="111" t="inlineStr">
        <is>
          <t>Yes</t>
        </is>
      </c>
      <c r="AC173" s="331" t="n">
        <v>45979</v>
      </c>
      <c r="AD173" s="331" t="n">
        <v>46526</v>
      </c>
      <c r="AE173" s="642" t="n"/>
      <c r="AF173" s="307" t="n"/>
      <c r="AG173" s="647" t="n"/>
      <c r="AH173" s="318" t="n"/>
      <c r="AI173" s="646" t="inlineStr">
        <is>
          <t>Yes</t>
        </is>
      </c>
      <c r="AJ173" s="646" t="inlineStr">
        <is>
          <t>Yes</t>
        </is>
      </c>
      <c r="AK173" s="307" t="n"/>
      <c r="AL173" s="590" t="inlineStr">
        <is>
          <t>Phim còn hạn từ 2026</t>
        </is>
      </c>
      <c r="AM173" s="203" t="n"/>
      <c r="AN173" s="203" t="n"/>
      <c r="AO173" s="128">
        <f>SUMIF('TK 15661.Bản quyền phim '!F:F,'KK2. Series'!C173,'TK 15661.Bản quyền phim '!K:K)</f>
        <v/>
      </c>
      <c r="AP173" s="128">
        <f>COUNTIF('242.BQ Phim VOD'!$C$5:$C$8,'KK2. Series'!AM173)</f>
        <v/>
      </c>
      <c r="AQ173" s="128">
        <f>COUNTIF('TK 15666. Phim SX'!$C$6:$C$13,'KK2. Series'!AM173)</f>
        <v/>
      </c>
      <c r="AR173" s="203">
        <f>COUNTIF('TK 15661.Bản quyền phim '!F:F,'KK2. Series'!AM173)</f>
        <v/>
      </c>
      <c r="AS173" s="203" t="n">
        <v>1</v>
      </c>
      <c r="AT173" s="366">
        <f>SUM(AP173:AS173)</f>
        <v/>
      </c>
      <c r="AU173" s="203" t="n"/>
      <c r="AV173" s="203" t="n"/>
      <c r="AW173" s="203" t="n"/>
      <c r="AX173" s="203" t="n"/>
      <c r="AY173" s="203" t="n"/>
      <c r="AZ173" s="387" t="inlineStr">
        <is>
          <t>✓ Found</t>
        </is>
      </c>
      <c r="BB173" s="387" t="n"/>
    </row>
    <row r="174" ht="409.6" customHeight="1" s="578">
      <c r="A174" s="121" t="n">
        <v>168</v>
      </c>
      <c r="B174" s="115" t="inlineStr">
        <is>
          <t>EP01 – SER_COS768
EP02 – SER_COS769
EP03 – SER_COS770
EP04 – SER_COS771
EP05 – SER_COS772
EP06 – SER_COS773
EP07 – SER_COS774
EP08 – SER_COS775
EP09 – SER_COS776
EP10 – SER_COS777
EP11 – SER_COS778
EP12 – SER_COS779
EP13 – SER_COS780
EP14 – SER_COS781
EP15 – SER_COS782
EP16 – SER_COS783
EP17 – SER_COS784
EP18 – SER_COS785
EP19 – SER_COS786
EP20 – SER_COS787
EP21 – SER_COS788
EP22 – SER_COS789
EP23 – SER_COS790
EP24 – SER_COS791
EP25 – SER_COS792
EP26 – SER_COS793
EP27 – SER_COS794
EP28 – SER_COS795
EP29 – SER_COS796
EP30 – SER_COS797
EP31 – SER_COS798
EP32 – SER_COS799
EP33 – SER_COS800
EP34 – SER_COS801
EP35 – SER_COS802
EP36 – SER_COS803
EP37 – SER_COS804
EP38 – SER_COS805
EP39 – SER_COS806
EP40 – SER_COS807</t>
        </is>
      </c>
      <c r="C174" s="296" t="inlineStr">
        <is>
          <t>New life begins</t>
        </is>
      </c>
      <c r="D174" s="646" t="inlineStr">
        <is>
          <t>Khanh Khanh Nhật Thường</t>
        </is>
      </c>
      <c r="E174" s="117" t="inlineStr">
        <is>
          <t>HT</t>
        </is>
      </c>
      <c r="F174" s="646" t="inlineStr">
        <is>
          <t>124/2024/HDBQ/VSTV-HT</t>
        </is>
      </c>
      <c r="G174" s="117" t="inlineStr">
        <is>
          <t>China</t>
        </is>
      </c>
      <c r="H174" s="117" t="n">
        <v>2022</v>
      </c>
      <c r="I174" s="117" t="n">
        <v>40</v>
      </c>
      <c r="J174" s="117" t="n">
        <v>45</v>
      </c>
      <c r="K174" s="340">
        <f>(I174*J174)/60</f>
        <v/>
      </c>
      <c r="L174" s="467">
        <f>I174</f>
        <v/>
      </c>
      <c r="M174" s="117" t="inlineStr">
        <is>
          <t>Drama</t>
        </is>
      </c>
      <c r="N174" s="646" t="n"/>
      <c r="O174" s="646" t="n"/>
      <c r="P174" s="614" t="inlineStr">
        <is>
          <t>VOD only</t>
        </is>
      </c>
      <c r="Q174" s="646" t="n"/>
      <c r="R174" s="646" t="n"/>
      <c r="S174" s="646" t="n"/>
      <c r="T174" s="117" t="inlineStr">
        <is>
          <t xml:space="preserve">No </t>
        </is>
      </c>
      <c r="U174" s="614" t="inlineStr">
        <is>
          <t>Yes</t>
        </is>
      </c>
      <c r="V174" s="117" t="inlineStr">
        <is>
          <t xml:space="preserve">No </t>
        </is>
      </c>
      <c r="W174" s="117" t="inlineStr">
        <is>
          <t>Yes</t>
        </is>
      </c>
      <c r="X174" s="117" t="inlineStr">
        <is>
          <t>Yes</t>
        </is>
      </c>
      <c r="Y174" s="117" t="inlineStr">
        <is>
          <t>Yes</t>
        </is>
      </c>
      <c r="Z174" s="117" t="inlineStr">
        <is>
          <t>Yes</t>
        </is>
      </c>
      <c r="AA174" s="117" t="inlineStr">
        <is>
          <t>Yes</t>
        </is>
      </c>
      <c r="AB174" s="117" t="inlineStr">
        <is>
          <t>Yes</t>
        </is>
      </c>
      <c r="AC174" s="337" t="n">
        <v>45985</v>
      </c>
      <c r="AD174" s="337" t="n">
        <v>46714</v>
      </c>
      <c r="AE174" s="646" t="n"/>
      <c r="AF174" s="321" t="n"/>
      <c r="AG174" s="648" t="n"/>
      <c r="AH174" s="322" t="n"/>
      <c r="AI174" s="646" t="inlineStr">
        <is>
          <t>Yes</t>
        </is>
      </c>
      <c r="AJ174" s="646" t="inlineStr">
        <is>
          <t>Yes</t>
        </is>
      </c>
      <c r="AK174" s="321" t="n"/>
      <c r="AL174" s="614" t="inlineStr">
        <is>
          <t>Phim còn hạn từ 2026</t>
        </is>
      </c>
      <c r="AM174" s="288" t="n"/>
      <c r="AN174" s="288" t="n"/>
      <c r="AO174" s="287">
        <f>SUMIF('TK 15661.Bản quyền phim '!F:F,'KK2. Series'!C174,'TK 15661.Bản quyền phim '!K:K)</f>
        <v/>
      </c>
      <c r="AP174" s="287">
        <f>COUNTIF('242.BQ Phim VOD'!$C$5:$C$8,'KK2. Series'!AM174)</f>
        <v/>
      </c>
      <c r="AQ174" s="287">
        <f>COUNTIF('TK 15666. Phim SX'!$C$6:$C$13,'KK2. Series'!AM174)</f>
        <v/>
      </c>
      <c r="AR174" s="288">
        <f>COUNTIF('TK 15661.Bản quyền phim '!F:F,'KK2. Series'!AM174)</f>
        <v/>
      </c>
      <c r="AS174" s="288" t="n">
        <v>1</v>
      </c>
      <c r="AT174" s="368">
        <f>SUM(AP174:AS174)</f>
        <v/>
      </c>
      <c r="AU174" s="288" t="n"/>
      <c r="AV174" s="288" t="n"/>
      <c r="AW174" s="288" t="n"/>
      <c r="AX174" s="288" t="n"/>
      <c r="AY174" s="288" t="n"/>
      <c r="AZ174" s="387" t="inlineStr">
        <is>
          <t>✓ Found</t>
        </is>
      </c>
      <c r="BB174" s="387" t="n"/>
    </row>
    <row r="175" ht="52.8" customHeight="1" s="578">
      <c r="A175" s="96" t="inlineStr">
        <is>
          <t>Bổ sung</t>
        </is>
      </c>
      <c r="B175" s="97" t="inlineStr">
        <is>
          <t>K+2SER022116</t>
        </is>
      </c>
      <c r="C175" s="108" t="inlineStr">
        <is>
          <t>Ideal City</t>
        </is>
      </c>
      <c r="D175" s="590" t="n"/>
      <c r="E175" s="108" t="n"/>
      <c r="F175" s="590" t="inlineStr">
        <is>
          <t>IQIYI INTERNATIONAL SINGAPORE PTE. LTD.</t>
        </is>
      </c>
      <c r="G175" s="108" t="n"/>
      <c r="H175" s="108" t="n"/>
      <c r="I175" s="108" t="n"/>
      <c r="J175" s="108" t="n"/>
      <c r="K175" s="305" t="n"/>
      <c r="L175" s="468" t="n"/>
      <c r="M175" s="108" t="n"/>
      <c r="N175" s="590" t="n"/>
      <c r="O175" s="590" t="n"/>
      <c r="P175" s="590" t="n"/>
      <c r="Q175" s="590" t="n"/>
      <c r="R175" s="590" t="n"/>
      <c r="S175" s="590" t="n"/>
      <c r="T175" s="108" t="n"/>
      <c r="U175" s="590" t="n"/>
      <c r="V175" s="108" t="n"/>
      <c r="W175" s="108" t="n"/>
      <c r="X175" s="108" t="n"/>
      <c r="Y175" s="108" t="n"/>
      <c r="Z175" s="108" t="n"/>
      <c r="AA175" s="108" t="n"/>
      <c r="AB175" s="108" t="n"/>
      <c r="AC175" s="312" t="n">
        <v>44642</v>
      </c>
      <c r="AD175" s="312" t="n">
        <v>46102</v>
      </c>
      <c r="AE175" s="590" t="n"/>
      <c r="AF175" s="306" t="n"/>
      <c r="AG175" s="641" t="n"/>
      <c r="AH175" s="309" t="n"/>
      <c r="AI175" s="590" t="n"/>
      <c r="AJ175" s="590" t="n"/>
      <c r="AK175" s="306" t="n"/>
      <c r="AL175" s="590" t="n"/>
      <c r="AM175" s="203" t="n"/>
      <c r="AN175" s="203" t="n"/>
      <c r="AO175" s="128" t="n"/>
      <c r="AP175" s="128" t="n"/>
      <c r="AQ175" s="128" t="n"/>
      <c r="AR175" s="203" t="n"/>
      <c r="AS175" s="203" t="n"/>
      <c r="AT175" s="366" t="n"/>
      <c r="AU175" s="203" t="n"/>
      <c r="AV175" s="203" t="n"/>
      <c r="AW175" s="203" t="n"/>
      <c r="AX175" s="203" t="n"/>
      <c r="AY175" s="203" t="n"/>
    </row>
    <row r="176" ht="52.8" customHeight="1" s="578">
      <c r="A176" s="96" t="inlineStr">
        <is>
          <t>Bổ sung</t>
        </is>
      </c>
      <c r="B176" s="97" t="inlineStr">
        <is>
          <t>K+2SER024216</t>
        </is>
      </c>
      <c r="C176" s="108" t="inlineStr">
        <is>
          <t>WHO IS HE?</t>
        </is>
      </c>
      <c r="D176" s="590" t="n"/>
      <c r="E176" s="108" t="n"/>
      <c r="F176" s="590" t="inlineStr">
        <is>
          <t>YOUKU INFORMATION TECHNOLOGY(Beijing) CO., LTD.</t>
        </is>
      </c>
      <c r="G176" s="108" t="n"/>
      <c r="H176" s="108" t="n"/>
      <c r="I176" s="108" t="n"/>
      <c r="J176" s="108" t="n"/>
      <c r="K176" s="305" t="n"/>
      <c r="L176" s="468" t="n"/>
      <c r="M176" s="108" t="n"/>
      <c r="N176" s="590" t="n"/>
      <c r="O176" s="590" t="n"/>
      <c r="P176" s="590" t="n"/>
      <c r="Q176" s="590" t="n"/>
      <c r="R176" s="590" t="n"/>
      <c r="S176" s="590" t="n"/>
      <c r="T176" s="108" t="n"/>
      <c r="U176" s="590" t="n"/>
      <c r="V176" s="108" t="n"/>
      <c r="W176" s="108" t="n"/>
      <c r="X176" s="108" t="n"/>
      <c r="Y176" s="108" t="n"/>
      <c r="Z176" s="108" t="n"/>
      <c r="AA176" s="108" t="n"/>
      <c r="AB176" s="108" t="n"/>
      <c r="AC176" s="312" t="n">
        <v>45614</v>
      </c>
      <c r="AD176" s="312" t="n">
        <v>47074</v>
      </c>
      <c r="AE176" s="590" t="n"/>
      <c r="AF176" s="306" t="n"/>
      <c r="AG176" s="641" t="n"/>
      <c r="AH176" s="309" t="n"/>
      <c r="AI176" s="590" t="n"/>
      <c r="AJ176" s="590" t="n"/>
      <c r="AK176" s="306" t="n"/>
      <c r="AL176" s="590" t="n"/>
      <c r="AM176" s="203" t="n"/>
      <c r="AN176" s="203" t="n"/>
      <c r="AO176" s="128" t="n"/>
      <c r="AP176" s="128" t="n"/>
      <c r="AQ176" s="128" t="n"/>
      <c r="AR176" s="203" t="n"/>
      <c r="AS176" s="203" t="n"/>
      <c r="AT176" s="366" t="n"/>
      <c r="AU176" s="203" t="n"/>
      <c r="AV176" s="203" t="n"/>
      <c r="AW176" s="203" t="n"/>
      <c r="AX176" s="203" t="n"/>
      <c r="AY176" s="203" t="n"/>
    </row>
    <row r="177" ht="50.4" customHeight="1" s="578">
      <c r="A177" s="96" t="inlineStr">
        <is>
          <t>Bổ sung</t>
        </is>
      </c>
      <c r="B177" s="97" t="inlineStr">
        <is>
          <t>K+2SER025189</t>
        </is>
      </c>
      <c r="C177" s="108" t="inlineStr">
        <is>
          <t>Love's ambition (Hãy để tôi tỏa sáng)</t>
        </is>
      </c>
      <c r="D177" s="590" t="n"/>
      <c r="E177" s="108" t="n"/>
      <c r="F177" s="590" t="inlineStr">
        <is>
          <t>PCCW Vuclip (Singapore) Pte. Ltd.</t>
        </is>
      </c>
      <c r="G177" s="108" t="n"/>
      <c r="H177" s="108" t="n"/>
      <c r="I177" s="108" t="n"/>
      <c r="J177" s="108" t="n"/>
      <c r="K177" s="305" t="n"/>
      <c r="L177" s="468" t="n"/>
      <c r="M177" s="108" t="n"/>
      <c r="N177" s="590" t="n"/>
      <c r="O177" s="590" t="n"/>
      <c r="P177" s="590" t="n"/>
      <c r="Q177" s="590" t="n"/>
      <c r="R177" s="590" t="n"/>
      <c r="S177" s="590" t="n"/>
      <c r="T177" s="108" t="n"/>
      <c r="U177" s="590" t="n"/>
      <c r="V177" s="108" t="n"/>
      <c r="W177" s="108" t="n"/>
      <c r="X177" s="108" t="n"/>
      <c r="Y177" s="108" t="n"/>
      <c r="Z177" s="108" t="n"/>
      <c r="AA177" s="108" t="n"/>
      <c r="AB177" s="108" t="n"/>
      <c r="AC177" s="312" t="n">
        <v>45926</v>
      </c>
      <c r="AD177" s="312" t="n">
        <v>47751</v>
      </c>
      <c r="AE177" s="590" t="n"/>
      <c r="AF177" s="306" t="n"/>
      <c r="AG177" s="641" t="n"/>
      <c r="AH177" s="309" t="n"/>
      <c r="AI177" s="590" t="n"/>
      <c r="AJ177" s="590" t="n"/>
      <c r="AK177" s="306" t="n"/>
      <c r="AL177" s="590" t="n"/>
      <c r="AM177" s="203" t="n"/>
      <c r="AN177" s="203" t="n"/>
      <c r="AO177" s="128" t="n"/>
      <c r="AP177" s="128" t="n"/>
      <c r="AQ177" s="128" t="n"/>
      <c r="AR177" s="203" t="n"/>
      <c r="AS177" s="203" t="n"/>
      <c r="AT177" s="366" t="n"/>
      <c r="AU177" s="203" t="n"/>
      <c r="AV177" s="203" t="n"/>
      <c r="AW177" s="203" t="n"/>
      <c r="AX177" s="203" t="n"/>
      <c r="AY177" s="203" t="n"/>
    </row>
    <row r="180">
      <c r="A180" s="216" t="inlineStr">
        <is>
          <t>Ngày….....tháng…....năm 2026</t>
        </is>
      </c>
      <c r="B180" s="546" t="n"/>
    </row>
    <row r="181">
      <c r="A181" s="217" t="inlineStr">
        <is>
          <t>TỔ KIỂM KÊ</t>
        </is>
      </c>
      <c r="B181" s="546" t="n"/>
    </row>
    <row r="182" ht="26.4" customHeight="1" s="578">
      <c r="A182" s="218" t="n"/>
      <c r="B182" s="214" t="inlineStr">
        <is>
          <t xml:space="preserve">Đại diện Kế toán - HME </t>
        </is>
      </c>
      <c r="C182" s="357" t="inlineStr">
        <is>
          <t>Đại diện Ban CNTT - HME</t>
        </is>
      </c>
      <c r="D182" s="357" t="inlineStr">
        <is>
          <t>Đại diện VSTV</t>
        </is>
      </c>
      <c r="E182" s="357" t="inlineStr">
        <is>
          <t>Đại diện VTV</t>
        </is>
      </c>
    </row>
    <row r="183" ht="26.4" customHeight="1" s="578">
      <c r="A183" s="218" t="n"/>
      <c r="B183" s="548" t="inlineStr">
        <is>
          <t>(Ký và ghi rõ họ tên)</t>
        </is>
      </c>
      <c r="C183" s="558" t="inlineStr">
        <is>
          <t>(Ký và ghi rõ họ tên)</t>
        </is>
      </c>
      <c r="D183" s="558" t="inlineStr">
        <is>
          <t>(Ký và ghi rõ họ tên)</t>
        </is>
      </c>
      <c r="E183" s="558" t="inlineStr">
        <is>
          <t>(Ký và ghi rõ họ tên)</t>
        </is>
      </c>
    </row>
  </sheetData>
  <autoFilter ref="AU6:AZ177"/>
  <mergeCells count="8">
    <mergeCell ref="AU5:AW5"/>
    <mergeCell ref="AO2:AS2"/>
    <mergeCell ref="A3:AS3"/>
    <mergeCell ref="AT4:AT5"/>
    <mergeCell ref="A4:AS4"/>
    <mergeCell ref="AO1:AS1"/>
    <mergeCell ref="AU2:AY2"/>
    <mergeCell ref="AU1:AY1"/>
  </mergeCells>
  <conditionalFormatting sqref="C5:C131 C134:C177">
    <cfRule type="duplicateValues" priority="8" dxfId="0"/>
  </conditionalFormatting>
  <conditionalFormatting sqref="C5:C177">
    <cfRule type="duplicateValues" priority="94" dxfId="0"/>
  </conditionalFormatting>
  <conditionalFormatting sqref="AM10">
    <cfRule type="duplicateValues" priority="6" dxfId="0"/>
  </conditionalFormatting>
  <conditionalFormatting sqref="AM12">
    <cfRule type="duplicateValues" priority="5" dxfId="0"/>
  </conditionalFormatting>
  <conditionalFormatting sqref="AM15">
    <cfRule type="duplicateValues" priority="4" dxfId="0"/>
  </conditionalFormatting>
  <conditionalFormatting sqref="AM17">
    <cfRule type="duplicateValues" priority="3" dxfId="0"/>
  </conditionalFormatting>
  <conditionalFormatting sqref="AM19:AM20">
    <cfRule type="duplicateValues" priority="2" dxfId="0"/>
  </conditionalFormatting>
  <conditionalFormatting sqref="AM87">
    <cfRule type="duplicateValues" priority="1" dxfId="0"/>
  </conditionalFormatting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5">
    <tabColor rgb="FF92D050"/>
    <outlinePr summaryBelow="1" summaryRight="1"/>
    <pageSetUpPr/>
  </sheetPr>
  <dimension ref="A1:AS65"/>
  <sheetViews>
    <sheetView zoomScale="70" zoomScaleNormal="70" workbookViewId="0">
      <pane xSplit="4" ySplit="6" topLeftCell="AA42" activePane="bottomRight" state="frozen"/>
      <selection pane="topRight" activeCell="E1" sqref="E1"/>
      <selection pane="bottomLeft" activeCell="A6" sqref="A6"/>
      <selection pane="bottomRight" activeCell="AP44" sqref="AP44"/>
    </sheetView>
  </sheetViews>
  <sheetFormatPr baseColWidth="8" defaultColWidth="8.77734375" defaultRowHeight="13.2"/>
  <cols>
    <col width="12.33203125" bestFit="1" customWidth="1" style="546" min="1" max="1"/>
    <col width="42.109375" customWidth="1" style="558" min="2" max="2"/>
    <col width="26" customWidth="1" style="546" min="3" max="3"/>
    <col width="22.21875" customWidth="1" style="546" min="4" max="4"/>
    <col width="15.44140625" customWidth="1" style="546" min="5" max="5"/>
    <col width="24.77734375" customWidth="1" style="546" min="6" max="6"/>
    <col width="19.77734375" customWidth="1" style="546" min="7" max="7"/>
    <col width="11.5546875" bestFit="1" customWidth="1" style="546" min="8" max="8"/>
    <col hidden="1" style="546" min="9" max="12"/>
    <col width="14" customWidth="1" style="546" min="13" max="15"/>
    <col width="11.21875" customWidth="1" style="546" min="16" max="16"/>
    <col width="12.77734375" customWidth="1" style="546" min="17" max="17"/>
    <col width="8.77734375" customWidth="1" style="546" min="18" max="24"/>
    <col width="17.77734375" customWidth="1" style="546" min="25" max="25"/>
    <col width="19.21875" customWidth="1" style="546" min="26" max="26"/>
    <col width="8.77734375" customWidth="1" style="546" min="27" max="30"/>
    <col hidden="1" width="23.77734375" customWidth="1" style="546" min="31" max="31"/>
    <col hidden="1" width="22.109375" customWidth="1" style="546" min="32" max="32"/>
    <col hidden="1" style="546" min="33" max="33"/>
    <col hidden="1" width="11.33203125" customWidth="1" style="546" min="34" max="34"/>
    <col hidden="1" width="21" customWidth="1" style="546" min="35" max="35"/>
    <col hidden="1" style="546" min="36" max="36"/>
    <col width="8.77734375" customWidth="1" style="546" min="37" max="37"/>
    <col width="12.5546875" customWidth="1" style="546" min="38" max="39"/>
    <col width="29.21875" customWidth="1" style="546" min="40" max="40"/>
    <col width="26.77734375" customWidth="1" style="546" min="41" max="41"/>
    <col width="8.77734375" customWidth="1" style="546" min="42" max="43"/>
    <col width="8.77734375" customWidth="1" style="546" min="44" max="16384"/>
  </cols>
  <sheetData>
    <row r="1" ht="26.4" customHeight="1" s="578">
      <c r="A1" s="187" t="inlineStr">
        <is>
          <t xml:space="preserve">CÔNG TY: </t>
        </is>
      </c>
      <c r="B1" s="214" t="inlineStr">
        <is>
          <t xml:space="preserve"> Công ty TNHH Truyền hình số vệ tinh Việt Nam</t>
        </is>
      </c>
      <c r="AK1" s="666" t="inlineStr">
        <is>
          <t xml:space="preserve">           Cộng Hòa Xã Hội Chủ Nghĩa Việt Nam</t>
        </is>
      </c>
    </row>
    <row r="2">
      <c r="AK2" s="667" t="inlineStr">
        <is>
          <t xml:space="preserve">                  Độc Lập - Tự Do - Hạnh Phúc</t>
        </is>
      </c>
    </row>
    <row r="3">
      <c r="A3" s="547" t="inlineStr">
        <is>
          <t>BÁO CÁO KIỂM KÊ BẢN QUYỀN KIDS</t>
        </is>
      </c>
      <c r="AP3" s="188" t="n"/>
      <c r="AQ3" s="188" t="n"/>
      <c r="AR3" s="188" t="n"/>
      <c r="AS3" s="188" t="n"/>
    </row>
    <row r="4">
      <c r="A4" s="547" t="inlineStr">
        <is>
          <t>Thời điểm:….......giờ, ngày…....tháng.........năm 2026</t>
        </is>
      </c>
      <c r="AP4" s="188" t="n"/>
      <c r="AQ4" s="188" t="n"/>
      <c r="AR4" s="188" t="n"/>
      <c r="AS4" s="188" t="n"/>
    </row>
    <row r="5" ht="14.4" customHeight="1" s="578">
      <c r="A5" s="668" t="n"/>
      <c r="B5" s="669" t="n"/>
      <c r="C5" s="670" t="n"/>
      <c r="D5" s="671" t="n"/>
      <c r="E5" s="672" t="n"/>
      <c r="F5" s="668" t="n"/>
      <c r="G5" s="668" t="n"/>
      <c r="H5" s="671" t="n"/>
      <c r="I5" s="673" t="n"/>
      <c r="J5" s="668" t="n"/>
      <c r="K5" s="668" t="n"/>
      <c r="L5" s="668" t="n"/>
      <c r="M5" s="668" t="n"/>
      <c r="N5" s="668" t="n"/>
      <c r="O5" s="674" t="n"/>
      <c r="P5" s="673" t="n"/>
      <c r="Q5" s="668" t="n"/>
      <c r="R5" s="673" t="n"/>
      <c r="S5" s="673" t="n"/>
      <c r="T5" s="673" t="n"/>
      <c r="U5" s="673" t="n"/>
      <c r="V5" s="673" t="n"/>
      <c r="W5" s="673" t="n"/>
      <c r="X5" s="673" t="n"/>
      <c r="Y5" s="673" t="n"/>
      <c r="Z5" s="675" t="n"/>
      <c r="AA5" s="250" t="n"/>
      <c r="AB5" s="584" t="inlineStr">
        <is>
          <t>Lưu trữ</t>
        </is>
      </c>
      <c r="AC5" s="539" t="n"/>
      <c r="AD5" s="535" t="n"/>
      <c r="AE5" s="676" t="n"/>
      <c r="AF5" s="562" t="inlineStr">
        <is>
          <t>Ref File kế toán</t>
        </is>
      </c>
      <c r="AG5" s="539" t="n"/>
      <c r="AH5" s="539" t="n"/>
      <c r="AI5" s="535" t="n"/>
      <c r="AJ5" s="203" t="n"/>
      <c r="AK5" s="585" t="inlineStr">
        <is>
          <t>SỐ LIỆU KIỂM KÊ</t>
        </is>
      </c>
      <c r="AL5" s="539" t="n"/>
      <c r="AM5" s="535" t="n"/>
      <c r="AN5" s="555" t="inlineStr">
        <is>
          <t>Giải trình chênh lệch</t>
        </is>
      </c>
      <c r="AO5" s="555" t="inlineStr">
        <is>
          <t>Đề xuất Phương án xử lý</t>
        </is>
      </c>
    </row>
    <row r="6" ht="44.1" customHeight="1" s="578">
      <c r="A6" s="92" t="inlineStr">
        <is>
          <t>No.</t>
        </is>
      </c>
      <c r="B6" s="93" t="inlineStr">
        <is>
          <t>Clip Code</t>
        </is>
      </c>
      <c r="C6" s="92" t="inlineStr">
        <is>
          <t>ENGLISH Title</t>
        </is>
      </c>
      <c r="D6" s="92" t="inlineStr">
        <is>
          <t>VIET Title</t>
        </is>
      </c>
      <c r="E6" s="92" t="inlineStr">
        <is>
          <t>Genre</t>
        </is>
      </c>
      <c r="F6" s="92" t="inlineStr">
        <is>
          <t>Provider</t>
        </is>
      </c>
      <c r="G6" s="92" t="inlineStr">
        <is>
          <t>Contract number</t>
        </is>
      </c>
      <c r="H6" s="93" t="inlineStr">
        <is>
          <t>Origin</t>
        </is>
      </c>
      <c r="I6" s="92" t="inlineStr">
        <is>
          <t>Year of production</t>
        </is>
      </c>
      <c r="J6" s="92" t="inlineStr">
        <is>
          <t>No. of eps</t>
        </is>
      </c>
      <c r="K6" s="92" t="inlineStr">
        <is>
          <t>Duration
(minute)</t>
        </is>
      </c>
      <c r="L6" s="92" t="inlineStr">
        <is>
          <t>Duration
(hours)</t>
        </is>
      </c>
      <c r="M6" s="251" t="inlineStr">
        <is>
          <t>From</t>
        </is>
      </c>
      <c r="N6" s="251" t="inlineStr">
        <is>
          <t>To</t>
        </is>
      </c>
      <c r="O6" s="92" t="inlineStr">
        <is>
          <t>VSTV's 1st airing date</t>
        </is>
      </c>
      <c r="P6" s="92" t="inlineStr">
        <is>
          <t>Channel</t>
        </is>
      </c>
      <c r="Q6" s="92" t="inlineStr">
        <is>
          <t>Exclusive
(month)</t>
        </is>
      </c>
      <c r="R6" s="92" t="inlineStr">
        <is>
          <t>Sub-license</t>
        </is>
      </c>
      <c r="S6" s="92" t="inlineStr">
        <is>
          <t>OTT rights</t>
        </is>
      </c>
      <c r="T6" s="92" t="inlineStr">
        <is>
          <t>Catch-up</t>
        </is>
      </c>
      <c r="U6" s="586" t="inlineStr">
        <is>
          <t>SVOD</t>
        </is>
      </c>
      <c r="V6" s="586" t="inlineStr">
        <is>
          <t>FVOD</t>
        </is>
      </c>
      <c r="W6" s="586" t="inlineStr">
        <is>
          <t>AVOD</t>
        </is>
      </c>
      <c r="X6" s="586" t="inlineStr">
        <is>
          <t>TVOD</t>
        </is>
      </c>
      <c r="Y6" s="252" t="inlineStr">
        <is>
          <t>Internet downloading (download to go)</t>
        </is>
      </c>
      <c r="Z6" s="92" t="inlineStr">
        <is>
          <t>Runs No.</t>
        </is>
      </c>
      <c r="AA6" s="253" t="inlineStr">
        <is>
          <t>Remain Run</t>
        </is>
      </c>
      <c r="AB6" s="586" t="inlineStr">
        <is>
          <t>HD Censorship</t>
        </is>
      </c>
      <c r="AC6" s="586" t="inlineStr">
        <is>
          <t>LTO</t>
        </is>
      </c>
      <c r="AD6" s="586" t="inlineStr">
        <is>
          <t>Drive 
(ổ cứng)</t>
        </is>
      </c>
      <c r="AE6" s="586" t="inlineStr">
        <is>
          <t>Note</t>
        </is>
      </c>
      <c r="AF6" s="199" t="inlineStr">
        <is>
          <t>Tên trên file Kế toán</t>
        </is>
      </c>
      <c r="AG6" s="203" t="inlineStr">
        <is>
          <t>details kế toán</t>
        </is>
      </c>
      <c r="AH6" s="128" t="inlineStr">
        <is>
          <t>Giá trị còn lại (15661)</t>
        </is>
      </c>
      <c r="AI6" s="199" t="inlineStr">
        <is>
          <t>Check ref "TK 15661. Bản quyền phim"</t>
        </is>
      </c>
      <c r="AJ6" s="203" t="n"/>
      <c r="AK6" s="200" t="inlineStr">
        <is>
          <t>Số lượng</t>
        </is>
      </c>
      <c r="AL6" s="200" t="inlineStr">
        <is>
          <t>From (VOD)</t>
        </is>
      </c>
      <c r="AM6" s="200" t="inlineStr">
        <is>
          <t>To (VOD)</t>
        </is>
      </c>
      <c r="AN6" s="556" t="n"/>
      <c r="AO6" s="556" t="n"/>
      <c r="AP6" t="inlineStr">
        <is>
          <t>Kết quả kiểm tra VOD</t>
        </is>
      </c>
    </row>
    <row r="7" ht="45.75" customHeight="1" s="578">
      <c r="A7" s="254" t="n">
        <v>1</v>
      </c>
      <c r="B7" s="255" t="inlineStr">
        <is>
          <t>Ep 1: KID_CAR_21__2660472
Ep 2- Ep26: KID_CAR_21_2660473 - KID_CAR_21_2660497</t>
        </is>
      </c>
      <c r="C7" s="677" t="inlineStr">
        <is>
          <t>Masha and the Bear S1</t>
        </is>
      </c>
      <c r="D7" s="678" t="inlineStr">
        <is>
          <t>Cô bé Masha và chú Gấu xiếc</t>
        </is>
      </c>
      <c r="E7" s="679" t="inlineStr">
        <is>
          <t>Animation</t>
        </is>
      </c>
      <c r="F7" s="680" t="inlineStr">
        <is>
          <t>Animaccord</t>
        </is>
      </c>
      <c r="G7" s="678" t="inlineStr">
        <is>
          <t>#VSTV-1/2021</t>
        </is>
      </c>
      <c r="H7" s="681" t="inlineStr">
        <is>
          <t>Russia</t>
        </is>
      </c>
      <c r="I7" s="256" t="n">
        <v>2009</v>
      </c>
      <c r="J7" s="256" t="n">
        <v>26</v>
      </c>
      <c r="K7" s="256" t="n">
        <v>7</v>
      </c>
      <c r="L7" s="256" t="n">
        <v>3.033333333333333</v>
      </c>
      <c r="M7" s="257" t="n">
        <v>44501</v>
      </c>
      <c r="N7" s="257" t="n">
        <v>46143</v>
      </c>
      <c r="O7" s="682" t="n">
        <v>44604</v>
      </c>
      <c r="P7" s="258" t="inlineStr">
        <is>
          <t>K+KIDS</t>
        </is>
      </c>
      <c r="Q7" s="259" t="n">
        <v>0</v>
      </c>
      <c r="R7" s="679" t="inlineStr">
        <is>
          <t>No</t>
        </is>
      </c>
      <c r="S7" s="679" t="inlineStr">
        <is>
          <t>Yes</t>
        </is>
      </c>
      <c r="T7" s="679" t="inlineStr">
        <is>
          <t>Yes</t>
        </is>
      </c>
      <c r="U7" s="679" t="inlineStr">
        <is>
          <t>Yes</t>
        </is>
      </c>
      <c r="V7" s="679" t="inlineStr">
        <is>
          <t>no</t>
        </is>
      </c>
      <c r="W7" s="679" t="inlineStr">
        <is>
          <t>no</t>
        </is>
      </c>
      <c r="X7" s="679" t="inlineStr">
        <is>
          <t>no</t>
        </is>
      </c>
      <c r="Y7" s="679" t="inlineStr">
        <is>
          <t>No</t>
        </is>
      </c>
      <c r="Z7" s="679" t="inlineStr">
        <is>
          <t>Unlimited Run</t>
        </is>
      </c>
      <c r="AA7" s="260" t="inlineStr">
        <is>
          <t>Unlimited Run</t>
        </is>
      </c>
      <c r="AB7" s="680" t="inlineStr">
        <is>
          <t>Yes</t>
        </is>
      </c>
      <c r="AC7" s="680" t="inlineStr">
        <is>
          <t>Yes</t>
        </is>
      </c>
      <c r="AD7" s="678" t="n"/>
      <c r="AE7" s="678" t="inlineStr">
        <is>
          <t>Phim còn hạn từ 2026</t>
        </is>
      </c>
      <c r="AF7" s="261" t="inlineStr">
        <is>
          <t>Masha and the Bear - Season 1</t>
        </is>
      </c>
      <c r="AG7" s="203" t="n"/>
      <c r="AH7" s="128">
        <f>SUMIF('TK 15661.Bản quyền phim '!F:F,'KK3. Kids'!C7,'TK 15661.Bản quyền phim '!X:X)</f>
        <v/>
      </c>
      <c r="AI7" s="203">
        <f>COUNTIF('TK 15661.Bản quyền phim '!F:F,'KK3. Kids'!AF7)</f>
        <v/>
      </c>
      <c r="AJ7" s="203" t="n"/>
      <c r="AK7" s="203" t="n"/>
      <c r="AL7" s="203" t="n"/>
      <c r="AM7" s="203" t="n"/>
      <c r="AN7" s="203" t="n"/>
      <c r="AO7" s="203" t="n"/>
      <c r="AP7" t="inlineStr">
        <is>
          <t>✓ Found</t>
        </is>
      </c>
    </row>
    <row r="8" ht="67.5" customHeight="1" s="578">
      <c r="A8" s="254" t="n">
        <v>2</v>
      </c>
      <c r="B8" s="255" t="inlineStr">
        <is>
          <t>Ep 1: KID_CAR_21__2660498
Ep 2- Ep26: KID_CAR_21_2660499 - KID_CAR_21_2660523</t>
        </is>
      </c>
      <c r="C8" s="677" t="inlineStr">
        <is>
          <t>Masha and the Bear S2</t>
        </is>
      </c>
      <c r="D8" s="678" t="inlineStr">
        <is>
          <t>Cô bé Masha và chú Gấu xiếc</t>
        </is>
      </c>
      <c r="E8" s="679" t="inlineStr">
        <is>
          <t>Animation</t>
        </is>
      </c>
      <c r="F8" s="680" t="inlineStr">
        <is>
          <t>Animaccord</t>
        </is>
      </c>
      <c r="G8" s="678" t="inlineStr">
        <is>
          <t>#VSTV-1/2021</t>
        </is>
      </c>
      <c r="H8" s="681" t="inlineStr">
        <is>
          <t>Russia</t>
        </is>
      </c>
      <c r="I8" s="256" t="n">
        <v>2012</v>
      </c>
      <c r="J8" s="256" t="n">
        <v>26</v>
      </c>
      <c r="K8" s="256" t="n">
        <v>7</v>
      </c>
      <c r="L8" s="256" t="n">
        <v>3.033333333333333</v>
      </c>
      <c r="M8" s="257" t="n">
        <v>44501</v>
      </c>
      <c r="N8" s="257" t="n">
        <v>46143</v>
      </c>
      <c r="O8" s="682" t="n">
        <v>44598</v>
      </c>
      <c r="P8" s="258" t="inlineStr">
        <is>
          <t>K+KIDS</t>
        </is>
      </c>
      <c r="Q8" s="259" t="n">
        <v>0</v>
      </c>
      <c r="R8" s="679" t="inlineStr">
        <is>
          <t>No</t>
        </is>
      </c>
      <c r="S8" s="679" t="inlineStr">
        <is>
          <t>Yes</t>
        </is>
      </c>
      <c r="T8" s="679" t="inlineStr">
        <is>
          <t>Yes</t>
        </is>
      </c>
      <c r="U8" s="679" t="inlineStr">
        <is>
          <t>Yes</t>
        </is>
      </c>
      <c r="V8" s="679" t="inlineStr">
        <is>
          <t>no</t>
        </is>
      </c>
      <c r="W8" s="679" t="inlineStr">
        <is>
          <t>no</t>
        </is>
      </c>
      <c r="X8" s="679" t="inlineStr">
        <is>
          <t>no</t>
        </is>
      </c>
      <c r="Y8" s="679" t="inlineStr">
        <is>
          <t>No</t>
        </is>
      </c>
      <c r="Z8" s="679" t="inlineStr">
        <is>
          <t>Unlimited Run</t>
        </is>
      </c>
      <c r="AA8" s="260" t="inlineStr">
        <is>
          <t>Unlimited Run</t>
        </is>
      </c>
      <c r="AB8" s="680" t="inlineStr">
        <is>
          <t>Yes</t>
        </is>
      </c>
      <c r="AC8" s="680" t="inlineStr">
        <is>
          <t>Yes</t>
        </is>
      </c>
      <c r="AD8" s="678" t="n"/>
      <c r="AE8" s="678" t="inlineStr">
        <is>
          <t>Phim còn hạn từ 2026</t>
        </is>
      </c>
      <c r="AF8" s="261" t="inlineStr">
        <is>
          <t>Masha and the Bear - Season 2</t>
        </is>
      </c>
      <c r="AG8" s="203" t="n"/>
      <c r="AH8" s="128">
        <f>SUMIF('TK 15661.Bản quyền phim '!F:F,'KK3. Kids'!C8,'TK 15661.Bản quyền phim '!X:X)</f>
        <v/>
      </c>
      <c r="AI8" s="203">
        <f>COUNTIF('TK 15661.Bản quyền phim '!F:F,'KK3. Kids'!AF8)</f>
        <v/>
      </c>
      <c r="AJ8" s="203" t="n"/>
      <c r="AK8" s="203" t="n"/>
      <c r="AL8" s="203" t="n"/>
      <c r="AM8" s="203" t="n"/>
      <c r="AN8" s="203" t="n"/>
      <c r="AO8" s="203" t="n"/>
      <c r="AP8" t="inlineStr">
        <is>
          <t>✓ Found</t>
        </is>
      </c>
    </row>
    <row r="9" ht="55.5" customHeight="1" s="578">
      <c r="A9" s="254" t="n">
        <v>3</v>
      </c>
      <c r="B9" s="255" t="inlineStr">
        <is>
          <t>Ep 1: KID_CAR_21__2660524
Ep 2- Ep26: KID_CAR_21_2660525 - KID_CAR_21_2660549</t>
        </is>
      </c>
      <c r="C9" s="677" t="inlineStr">
        <is>
          <t>Masha and the Bear S3</t>
        </is>
      </c>
      <c r="D9" s="678" t="inlineStr">
        <is>
          <t>Cô bé Masha và chú Gấu xiếc</t>
        </is>
      </c>
      <c r="E9" s="679" t="inlineStr">
        <is>
          <t>Animation</t>
        </is>
      </c>
      <c r="F9" s="680" t="inlineStr">
        <is>
          <t>Animaccord</t>
        </is>
      </c>
      <c r="G9" s="678" t="inlineStr">
        <is>
          <t>#VSTV-1/2021</t>
        </is>
      </c>
      <c r="H9" s="681" t="inlineStr">
        <is>
          <t>Russia</t>
        </is>
      </c>
      <c r="I9" s="256" t="n">
        <v>2015</v>
      </c>
      <c r="J9" s="256" t="n">
        <v>26</v>
      </c>
      <c r="K9" s="256" t="n">
        <v>7</v>
      </c>
      <c r="L9" s="256" t="n">
        <v>3.033333333333333</v>
      </c>
      <c r="M9" s="257" t="n">
        <v>44501</v>
      </c>
      <c r="N9" s="257" t="n">
        <v>46143</v>
      </c>
      <c r="O9" s="682" t="n">
        <v>44595</v>
      </c>
      <c r="P9" s="258" t="inlineStr">
        <is>
          <t>K+KIDS</t>
        </is>
      </c>
      <c r="Q9" s="259" t="n">
        <v>0</v>
      </c>
      <c r="R9" s="679" t="inlineStr">
        <is>
          <t>No</t>
        </is>
      </c>
      <c r="S9" s="679" t="inlineStr">
        <is>
          <t>Yes</t>
        </is>
      </c>
      <c r="T9" s="679" t="inlineStr">
        <is>
          <t>Yes</t>
        </is>
      </c>
      <c r="U9" s="679" t="inlineStr">
        <is>
          <t>Yes</t>
        </is>
      </c>
      <c r="V9" s="679" t="inlineStr">
        <is>
          <t>no</t>
        </is>
      </c>
      <c r="W9" s="679" t="inlineStr">
        <is>
          <t>no</t>
        </is>
      </c>
      <c r="X9" s="679" t="inlineStr">
        <is>
          <t>no</t>
        </is>
      </c>
      <c r="Y9" s="679" t="inlineStr">
        <is>
          <t>No</t>
        </is>
      </c>
      <c r="Z9" s="679" t="inlineStr">
        <is>
          <t>Unlimited Run</t>
        </is>
      </c>
      <c r="AA9" s="260" t="inlineStr">
        <is>
          <t>Unlimited Run</t>
        </is>
      </c>
      <c r="AB9" s="680" t="inlineStr">
        <is>
          <t>Yes</t>
        </is>
      </c>
      <c r="AC9" s="680" t="inlineStr">
        <is>
          <t>Yes</t>
        </is>
      </c>
      <c r="AD9" s="678" t="n"/>
      <c r="AE9" s="678" t="inlineStr">
        <is>
          <t>Phim còn hạn từ 2026</t>
        </is>
      </c>
      <c r="AF9" s="261" t="inlineStr">
        <is>
          <t>Masha and the Bear - Season 3</t>
        </is>
      </c>
      <c r="AG9" s="203" t="n"/>
      <c r="AH9" s="128">
        <f>SUMIF('TK 15661.Bản quyền phim '!F:F,'KK3. Kids'!C9,'TK 15661.Bản quyền phim '!X:X)</f>
        <v/>
      </c>
      <c r="AI9" s="203">
        <f>COUNTIF('TK 15661.Bản quyền phim '!F:F,'KK3. Kids'!AF9)</f>
        <v/>
      </c>
      <c r="AJ9" s="203" t="n"/>
      <c r="AK9" s="203" t="n"/>
      <c r="AL9" s="203" t="n"/>
      <c r="AM9" s="203" t="n"/>
      <c r="AN9" s="203" t="n"/>
      <c r="AO9" s="203" t="n"/>
      <c r="AP9" t="inlineStr">
        <is>
          <t>✓ Found</t>
        </is>
      </c>
    </row>
    <row r="10" ht="56.25" customHeight="1" s="578">
      <c r="A10" s="254" t="n">
        <v>4</v>
      </c>
      <c r="B10" s="262" t="inlineStr">
        <is>
          <t>Ep 1:KID_CAR_22__2674229
Ep 2- Ep80: KID_CAR_22_2674230 - KID_CAR_22_2674366</t>
        </is>
      </c>
      <c r="C10" s="677" t="inlineStr">
        <is>
          <t>Daniel Tiger's Neighborhood, Season 1</t>
        </is>
      </c>
      <c r="D10" s="678" t="inlineStr">
        <is>
          <t>Hổ Daniel và các bạn</t>
        </is>
      </c>
      <c r="E10" s="679" t="inlineStr">
        <is>
          <t>Edutainment</t>
        </is>
      </c>
      <c r="F10" s="679" t="inlineStr">
        <is>
          <t>9 Story Media Group</t>
        </is>
      </c>
      <c r="G10" s="678" t="inlineStr">
        <is>
          <t>No. 9SDIL 1303</t>
        </is>
      </c>
      <c r="H10" s="677" t="inlineStr">
        <is>
          <t>US, Canada</t>
        </is>
      </c>
      <c r="I10" s="256" t="n">
        <v>2012</v>
      </c>
      <c r="J10" s="256" t="n">
        <v>80</v>
      </c>
      <c r="K10" s="256" t="n">
        <v>11</v>
      </c>
      <c r="L10" s="256" t="n">
        <v>14.66666666666667</v>
      </c>
      <c r="M10" s="263" t="n">
        <v>44760</v>
      </c>
      <c r="N10" s="263" t="n">
        <v>46220</v>
      </c>
      <c r="O10" s="682" t="n">
        <v>44767</v>
      </c>
      <c r="P10" s="258" t="inlineStr">
        <is>
          <t>K+KIDS</t>
        </is>
      </c>
      <c r="Q10" s="679" t="inlineStr">
        <is>
          <t>Non-exclusive all Pay TV Rights, Catch-Up Right and all VOD Rights.</t>
        </is>
      </c>
      <c r="R10" s="679" t="inlineStr">
        <is>
          <t>No</t>
        </is>
      </c>
      <c r="S10" s="679" t="inlineStr">
        <is>
          <t>Yes</t>
        </is>
      </c>
      <c r="T10" s="679" t="inlineStr">
        <is>
          <t>Yes</t>
        </is>
      </c>
      <c r="U10" s="679" t="inlineStr">
        <is>
          <t>Yes</t>
        </is>
      </c>
      <c r="V10" s="679" t="inlineStr">
        <is>
          <t>Yes</t>
        </is>
      </c>
      <c r="W10" s="679" t="inlineStr">
        <is>
          <t>Yes</t>
        </is>
      </c>
      <c r="X10" s="679" t="inlineStr">
        <is>
          <t>Yes</t>
        </is>
      </c>
      <c r="Y10" s="264" t="inlineStr">
        <is>
          <t>No</t>
        </is>
      </c>
      <c r="Z10" s="679" t="inlineStr">
        <is>
          <t>Unlimited Run</t>
        </is>
      </c>
      <c r="AA10" s="260" t="inlineStr">
        <is>
          <t>Unlimited Run</t>
        </is>
      </c>
      <c r="AB10" s="680" t="inlineStr">
        <is>
          <t>Yes</t>
        </is>
      </c>
      <c r="AC10" s="680" t="inlineStr">
        <is>
          <t>Yes</t>
        </is>
      </c>
      <c r="AD10" s="678" t="n"/>
      <c r="AE10" s="678" t="inlineStr">
        <is>
          <t>Phim còn hạn từ 2026</t>
        </is>
      </c>
      <c r="AF10" s="203" t="inlineStr">
        <is>
          <t>Daniel Tiger’s Neighbourhood, Season 1</t>
        </is>
      </c>
      <c r="AG10" s="203" t="n"/>
      <c r="AH10" s="128">
        <f>SUMIF('TK 15661.Bản quyền phim '!F:F,'KK3. Kids'!C10,'TK 15661.Bản quyền phim '!X:X)</f>
        <v/>
      </c>
      <c r="AI10" s="203">
        <f>COUNTIF('TK 15661.Bản quyền phim '!F:F,'KK3. Kids'!AF10)</f>
        <v/>
      </c>
      <c r="AJ10" s="203" t="n"/>
      <c r="AK10" s="203" t="n"/>
      <c r="AL10" s="203" t="n"/>
      <c r="AM10" s="203" t="n"/>
      <c r="AN10" s="203" t="n"/>
      <c r="AO10" s="203" t="n"/>
      <c r="AP10" t="inlineStr">
        <is>
          <t>✓ Found</t>
        </is>
      </c>
    </row>
    <row r="11" ht="41.25" customHeight="1" s="578">
      <c r="A11" s="254" t="n">
        <v>5</v>
      </c>
      <c r="B11" s="255" t="inlineStr">
        <is>
          <t>Ep 1:KID_CAR_22__2674232
Ep 2- Ep40: KID_CAR_22_2674233 - KID_CAR_22_2674403</t>
        </is>
      </c>
      <c r="C11" s="677" t="inlineStr">
        <is>
          <t>Wild Kratts, Season 1</t>
        </is>
      </c>
      <c r="D11" s="678" t="inlineStr">
        <is>
          <t>Kratts hoang dã</t>
        </is>
      </c>
      <c r="E11" s="679" t="inlineStr">
        <is>
          <t>Edutainment</t>
        </is>
      </c>
      <c r="F11" s="679" t="inlineStr">
        <is>
          <t>9 Story Media Group</t>
        </is>
      </c>
      <c r="G11" s="678" t="inlineStr">
        <is>
          <t>No. 9SDIL 1303</t>
        </is>
      </c>
      <c r="H11" s="677" t="inlineStr">
        <is>
          <t>US, Canada</t>
        </is>
      </c>
      <c r="I11" s="256" t="n">
        <v>2011</v>
      </c>
      <c r="J11" s="256" t="n">
        <v>40</v>
      </c>
      <c r="K11" s="256" t="n">
        <v>22</v>
      </c>
      <c r="L11" s="256" t="n">
        <v>14.66666666666667</v>
      </c>
      <c r="M11" s="263" t="n">
        <v>44849</v>
      </c>
      <c r="N11" s="263" t="n">
        <v>46309</v>
      </c>
      <c r="O11" s="682" t="n">
        <v>44858</v>
      </c>
      <c r="P11" s="258" t="inlineStr">
        <is>
          <t>K+KIDS</t>
        </is>
      </c>
      <c r="Q11" s="679" t="inlineStr">
        <is>
          <t>Non-exclusive all Pay TV Rights, Catch-Up Right and all VOD Rights.</t>
        </is>
      </c>
      <c r="R11" s="679" t="inlineStr">
        <is>
          <t>No</t>
        </is>
      </c>
      <c r="S11" s="679" t="inlineStr">
        <is>
          <t>Yes</t>
        </is>
      </c>
      <c r="T11" s="679" t="inlineStr">
        <is>
          <t>Yes</t>
        </is>
      </c>
      <c r="U11" s="679" t="inlineStr">
        <is>
          <t>Yes</t>
        </is>
      </c>
      <c r="V11" s="679" t="inlineStr">
        <is>
          <t>Yes</t>
        </is>
      </c>
      <c r="W11" s="679" t="inlineStr">
        <is>
          <t>Yes</t>
        </is>
      </c>
      <c r="X11" s="679" t="inlineStr">
        <is>
          <t>Yes</t>
        </is>
      </c>
      <c r="Y11" s="264" t="inlineStr">
        <is>
          <t>No</t>
        </is>
      </c>
      <c r="Z11" s="679" t="inlineStr">
        <is>
          <t>Unlimited Run</t>
        </is>
      </c>
      <c r="AA11" s="260" t="inlineStr">
        <is>
          <t>Unlimited Run</t>
        </is>
      </c>
      <c r="AB11" s="680" t="inlineStr">
        <is>
          <t>Yes</t>
        </is>
      </c>
      <c r="AC11" s="680" t="inlineStr">
        <is>
          <t>Yes</t>
        </is>
      </c>
      <c r="AD11" s="678" t="n"/>
      <c r="AE11" s="678" t="inlineStr">
        <is>
          <t>Phim còn hạn từ 2026</t>
        </is>
      </c>
      <c r="AF11" s="643" t="inlineStr">
        <is>
          <t>Wild Kratts, Season 1</t>
        </is>
      </c>
      <c r="AG11" s="203" t="n"/>
      <c r="AH11" s="128">
        <f>SUMIF('TK 15661.Bản quyền phim '!F:F,'KK3. Kids'!C11,'TK 15661.Bản quyền phim '!X:X)</f>
        <v/>
      </c>
      <c r="AI11" s="203">
        <f>COUNTIF('TK 15661.Bản quyền phim '!F:F,'KK3. Kids'!AF11)</f>
        <v/>
      </c>
      <c r="AJ11" s="203" t="n"/>
      <c r="AK11" s="203" t="n"/>
      <c r="AL11" s="203" t="n"/>
      <c r="AM11" s="203" t="n"/>
      <c r="AN11" s="203" t="n"/>
      <c r="AO11" s="203" t="n"/>
      <c r="AP11" t="inlineStr">
        <is>
          <t>✓ Found</t>
        </is>
      </c>
    </row>
    <row r="12" ht="39.75" customHeight="1" s="578">
      <c r="A12" s="254" t="n">
        <v>6</v>
      </c>
      <c r="B12" s="255" t="inlineStr">
        <is>
          <t>Ep 1:KID_EDU_22__2674235
Ep 2- Ep80: KID_EDU_22_2674236 - KID_EDU_22_2674480</t>
        </is>
      </c>
      <c r="C12" s="677" t="inlineStr">
        <is>
          <t>Peg + Cat, Season 1</t>
        </is>
      </c>
      <c r="D12" s="678" t="inlineStr">
        <is>
          <t>Peg và mèo học Toán</t>
        </is>
      </c>
      <c r="E12" s="679" t="inlineStr">
        <is>
          <t>Edutainment</t>
        </is>
      </c>
      <c r="F12" s="679" t="inlineStr">
        <is>
          <t>9 Story Media Group</t>
        </is>
      </c>
      <c r="G12" s="678" t="inlineStr">
        <is>
          <t>No. 9SDIL 1303</t>
        </is>
      </c>
      <c r="H12" s="677" t="inlineStr">
        <is>
          <t>US, Canada</t>
        </is>
      </c>
      <c r="I12" s="256" t="n">
        <v>2013</v>
      </c>
      <c r="J12" s="256" t="n">
        <v>80</v>
      </c>
      <c r="K12" s="256" t="n">
        <v>11</v>
      </c>
      <c r="L12" s="256" t="n">
        <v>14.66666666666667</v>
      </c>
      <c r="M12" s="263" t="n">
        <v>44784</v>
      </c>
      <c r="N12" s="263" t="n">
        <v>46244</v>
      </c>
      <c r="O12" s="682" t="n">
        <v>44793</v>
      </c>
      <c r="P12" s="258" t="inlineStr">
        <is>
          <t>K+KIDS</t>
        </is>
      </c>
      <c r="Q12" s="679" t="inlineStr">
        <is>
          <t>Non-exclusive all Pay TV Rights, Catch-Up Right and all VOD Rights.</t>
        </is>
      </c>
      <c r="R12" s="679" t="inlineStr">
        <is>
          <t>No</t>
        </is>
      </c>
      <c r="S12" s="679" t="inlineStr">
        <is>
          <t>Yes</t>
        </is>
      </c>
      <c r="T12" s="679" t="inlineStr">
        <is>
          <t>Yes</t>
        </is>
      </c>
      <c r="U12" s="679" t="inlineStr">
        <is>
          <t>Yes</t>
        </is>
      </c>
      <c r="V12" s="679" t="inlineStr">
        <is>
          <t>Yes</t>
        </is>
      </c>
      <c r="W12" s="679" t="inlineStr">
        <is>
          <t>Yes</t>
        </is>
      </c>
      <c r="X12" s="679" t="inlineStr">
        <is>
          <t>Yes</t>
        </is>
      </c>
      <c r="Y12" s="264" t="inlineStr">
        <is>
          <t>No</t>
        </is>
      </c>
      <c r="Z12" s="679" t="inlineStr">
        <is>
          <t>Unlimited Run</t>
        </is>
      </c>
      <c r="AA12" s="260" t="inlineStr">
        <is>
          <t>Unlimited Run</t>
        </is>
      </c>
      <c r="AB12" s="680" t="inlineStr">
        <is>
          <t>Yes</t>
        </is>
      </c>
      <c r="AC12" s="680" t="inlineStr">
        <is>
          <t>Yes</t>
        </is>
      </c>
      <c r="AD12" s="678" t="n"/>
      <c r="AE12" s="678" t="inlineStr">
        <is>
          <t>Phim còn hạn từ 2026</t>
        </is>
      </c>
      <c r="AF12" s="203" t="inlineStr">
        <is>
          <t>Peg and Cat, Season 1</t>
        </is>
      </c>
      <c r="AG12" s="203" t="n"/>
      <c r="AH12" s="128">
        <f>SUMIF('TK 15661.Bản quyền phim '!F:F,'KK3. Kids'!C12,'TK 15661.Bản quyền phim '!X:X)</f>
        <v/>
      </c>
      <c r="AI12" s="203">
        <f>COUNTIF('TK 15661.Bản quyền phim '!F:F,'KK3. Kids'!AF12)</f>
        <v/>
      </c>
      <c r="AJ12" s="203" t="n"/>
      <c r="AK12" s="203" t="n"/>
      <c r="AL12" s="203" t="n"/>
      <c r="AM12" s="203" t="n"/>
      <c r="AN12" s="203" t="n"/>
      <c r="AO12" s="203" t="n"/>
      <c r="AP12" t="inlineStr">
        <is>
          <t>✓ Found</t>
        </is>
      </c>
    </row>
    <row r="13" ht="49.5" customHeight="1" s="578">
      <c r="A13" s="254" t="n">
        <v>7</v>
      </c>
      <c r="B13" s="255" t="inlineStr">
        <is>
          <t>Ep 1:KID_EDU_22__2674238
Ep 2- Ep50: KID_EDU_22_2674239 - KID_EDU_22_2674527</t>
        </is>
      </c>
      <c r="C13" s="677" t="inlineStr">
        <is>
          <t>Peg + Cat, Season 2</t>
        </is>
      </c>
      <c r="D13" s="678" t="inlineStr">
        <is>
          <t>Peg và mèo học Toán</t>
        </is>
      </c>
      <c r="E13" s="679" t="inlineStr">
        <is>
          <t>Edutainment</t>
        </is>
      </c>
      <c r="F13" s="679" t="inlineStr">
        <is>
          <t>9 Story Media Group</t>
        </is>
      </c>
      <c r="G13" s="678" t="inlineStr">
        <is>
          <t>No. 9SDIL 1303</t>
        </is>
      </c>
      <c r="H13" s="677" t="inlineStr">
        <is>
          <t>US, Canada</t>
        </is>
      </c>
      <c r="I13" s="256" t="n">
        <v>2016</v>
      </c>
      <c r="J13" s="256" t="n">
        <v>50</v>
      </c>
      <c r="K13" s="256" t="n">
        <v>11</v>
      </c>
      <c r="L13" s="256" t="n">
        <v>9.166666666666666</v>
      </c>
      <c r="M13" s="263" t="n">
        <v>44824</v>
      </c>
      <c r="N13" s="263" t="n">
        <v>46284</v>
      </c>
      <c r="O13" s="682" t="n">
        <v>44833</v>
      </c>
      <c r="P13" s="258" t="inlineStr">
        <is>
          <t>K+KIDS</t>
        </is>
      </c>
      <c r="Q13" s="679" t="inlineStr">
        <is>
          <t>Non-exclusive all Pay TV Rights, Catch-Up Right and all VOD Rights.</t>
        </is>
      </c>
      <c r="R13" s="679" t="inlineStr">
        <is>
          <t>No</t>
        </is>
      </c>
      <c r="S13" s="679" t="inlineStr">
        <is>
          <t>Yes</t>
        </is>
      </c>
      <c r="T13" s="679" t="inlineStr">
        <is>
          <t>Yes</t>
        </is>
      </c>
      <c r="U13" s="679" t="inlineStr">
        <is>
          <t>Yes</t>
        </is>
      </c>
      <c r="V13" s="679" t="inlineStr">
        <is>
          <t>Yes</t>
        </is>
      </c>
      <c r="W13" s="679" t="inlineStr">
        <is>
          <t>Yes</t>
        </is>
      </c>
      <c r="X13" s="679" t="inlineStr">
        <is>
          <t>Yes</t>
        </is>
      </c>
      <c r="Y13" s="264" t="inlineStr">
        <is>
          <t>No</t>
        </is>
      </c>
      <c r="Z13" s="679" t="inlineStr">
        <is>
          <t>Unlimited Run</t>
        </is>
      </c>
      <c r="AA13" s="260" t="inlineStr">
        <is>
          <t>Unlimited Run</t>
        </is>
      </c>
      <c r="AB13" s="680" t="inlineStr">
        <is>
          <t>Yes</t>
        </is>
      </c>
      <c r="AC13" s="680" t="inlineStr">
        <is>
          <t>Yes</t>
        </is>
      </c>
      <c r="AD13" s="678" t="n"/>
      <c r="AE13" s="678" t="inlineStr">
        <is>
          <t>Phim còn hạn từ 2026</t>
        </is>
      </c>
      <c r="AF13" s="203" t="inlineStr">
        <is>
          <t>Peg and Cat, Season 2</t>
        </is>
      </c>
      <c r="AG13" s="203" t="n"/>
      <c r="AH13" s="128">
        <f>SUMIF('TK 15661.Bản quyền phim '!F:F,'KK3. Kids'!C13,'TK 15661.Bản quyền phim '!X:X)</f>
        <v/>
      </c>
      <c r="AI13" s="203">
        <f>COUNTIF('TK 15661.Bản quyền phim '!F:F,'KK3. Kids'!AF13)</f>
        <v/>
      </c>
      <c r="AJ13" s="203" t="n"/>
      <c r="AK13" s="203" t="n"/>
      <c r="AL13" s="203" t="n"/>
      <c r="AM13" s="203" t="n"/>
      <c r="AN13" s="203" t="n"/>
      <c r="AO13" s="203" t="n"/>
      <c r="AP13" t="inlineStr">
        <is>
          <t>✓ Found</t>
        </is>
      </c>
    </row>
    <row r="14" ht="47.25" customHeight="1" s="578">
      <c r="A14" s="254" t="n">
        <v>8</v>
      </c>
      <c r="B14" s="255" t="inlineStr">
        <is>
          <t>Ep 1:KID_PRE_22__2686577
Ep 2- Ep26: KID_PRE_22_2686578 - KID_PRE_22_2686628</t>
        </is>
      </c>
      <c r="C14" s="677" t="inlineStr">
        <is>
          <t>Robocar POLI Season 3</t>
        </is>
      </c>
      <c r="D14" s="681" t="inlineStr">
        <is>
          <t>Poli và các bạn</t>
        </is>
      </c>
      <c r="E14" s="683" t="inlineStr">
        <is>
          <t>Edutainment</t>
        </is>
      </c>
      <c r="F14" s="679" t="inlineStr">
        <is>
          <t>ROI VISUAL</t>
        </is>
      </c>
      <c r="G14" s="678" t="inlineStr">
        <is>
          <t>125/2022/HDBQ/VSTV_ ROIVISUAL</t>
        </is>
      </c>
      <c r="H14" s="677" t="inlineStr">
        <is>
          <t>Korea</t>
        </is>
      </c>
      <c r="I14" s="254" t="n">
        <v>2014</v>
      </c>
      <c r="J14" s="256" t="n">
        <v>26</v>
      </c>
      <c r="K14" s="256" t="n">
        <v>11</v>
      </c>
      <c r="L14" s="256" t="n">
        <v>4.766666666666667</v>
      </c>
      <c r="M14" s="684" t="n">
        <v>44936</v>
      </c>
      <c r="N14" s="684" t="n">
        <v>46031</v>
      </c>
      <c r="O14" s="682" t="n">
        <v>44936</v>
      </c>
      <c r="P14" s="258" t="inlineStr">
        <is>
          <t>K+KIDS</t>
        </is>
      </c>
      <c r="Q14" s="679" t="inlineStr">
        <is>
          <t>Non-exclusive all Pay TV Rights and all VOD Rights.</t>
        </is>
      </c>
      <c r="R14" s="680" t="inlineStr">
        <is>
          <t>No</t>
        </is>
      </c>
      <c r="S14" s="679" t="inlineStr">
        <is>
          <t>Yes</t>
        </is>
      </c>
      <c r="T14" s="679" t="inlineStr">
        <is>
          <t>Yes</t>
        </is>
      </c>
      <c r="U14" s="679" t="inlineStr">
        <is>
          <t>Yes</t>
        </is>
      </c>
      <c r="V14" s="679" t="inlineStr">
        <is>
          <t>Yes</t>
        </is>
      </c>
      <c r="W14" s="679" t="inlineStr">
        <is>
          <t>Yes</t>
        </is>
      </c>
      <c r="X14" s="679" t="inlineStr">
        <is>
          <t>Yes</t>
        </is>
      </c>
      <c r="Y14" s="264" t="inlineStr">
        <is>
          <t>No</t>
        </is>
      </c>
      <c r="Z14" s="679" t="inlineStr">
        <is>
          <t>Unlimited</t>
        </is>
      </c>
      <c r="AA14" s="260" t="inlineStr">
        <is>
          <t>Unlimited Run</t>
        </is>
      </c>
      <c r="AB14" s="680" t="inlineStr">
        <is>
          <t>Yes</t>
        </is>
      </c>
      <c r="AC14" s="680" t="inlineStr">
        <is>
          <t>Yes</t>
        </is>
      </c>
      <c r="AD14" s="678" t="n"/>
      <c r="AE14" s="678" t="inlineStr">
        <is>
          <t>Phim còn hạn từ 2026</t>
        </is>
      </c>
      <c r="AF14" s="203" t="inlineStr">
        <is>
          <t>ROBOCAR POLI ORIGINAL SERIES season 3</t>
        </is>
      </c>
      <c r="AG14" s="203" t="n"/>
      <c r="AH14" s="128">
        <f>SUMIF('TK 15661.Bản quyền phim '!F:F,'KK3. Kids'!C14,'TK 15661.Bản quyền phim '!X:X)</f>
        <v/>
      </c>
      <c r="AI14" s="203">
        <f>COUNTIF('TK 15661.Bản quyền phim '!F:F,'KK3. Kids'!AF14)</f>
        <v/>
      </c>
      <c r="AJ14" s="203" t="n"/>
      <c r="AK14" s="203" t="n"/>
      <c r="AL14" s="203" t="n"/>
      <c r="AM14" s="203" t="n"/>
      <c r="AN14" s="203" t="n"/>
      <c r="AO14" s="203" t="n"/>
      <c r="AP14" t="inlineStr">
        <is>
          <t>✓ Found</t>
        </is>
      </c>
    </row>
    <row r="15" ht="49.5" customHeight="1" s="578">
      <c r="A15" s="254" t="n">
        <v>9</v>
      </c>
      <c r="B15" s="255" t="inlineStr">
        <is>
          <t>Ep 1:KID_PRE_22__2686588
Ep 2- Ep26: KID_PRE_22_2686589 - KID_PRE_22_2686613</t>
        </is>
      </c>
      <c r="C15" s="677" t="inlineStr">
        <is>
          <t>Robocar POLI Season 4</t>
        </is>
      </c>
      <c r="D15" s="681" t="inlineStr">
        <is>
          <t>Poli và các bạn</t>
        </is>
      </c>
      <c r="E15" s="683" t="inlineStr">
        <is>
          <t>Edutainment</t>
        </is>
      </c>
      <c r="F15" s="679" t="inlineStr">
        <is>
          <t>ROI VISUAL</t>
        </is>
      </c>
      <c r="G15" s="678" t="inlineStr">
        <is>
          <t>125/2022/HDBQ/VSTV_ ROIVISUAL</t>
        </is>
      </c>
      <c r="H15" s="677" t="inlineStr">
        <is>
          <t>Korea</t>
        </is>
      </c>
      <c r="I15" s="254" t="n">
        <v>2015</v>
      </c>
      <c r="J15" s="256" t="n">
        <v>26</v>
      </c>
      <c r="K15" s="256" t="n">
        <v>11</v>
      </c>
      <c r="L15" s="256" t="n">
        <v>4.766666666666667</v>
      </c>
      <c r="M15" s="684" t="n">
        <v>44953</v>
      </c>
      <c r="N15" s="684" t="n">
        <v>46048</v>
      </c>
      <c r="O15" s="682" t="n">
        <v>44953</v>
      </c>
      <c r="P15" s="258" t="inlineStr">
        <is>
          <t>K+KIDS</t>
        </is>
      </c>
      <c r="Q15" s="679" t="inlineStr">
        <is>
          <t>Non-exclusive all Pay TV Rights and all VOD Rights.</t>
        </is>
      </c>
      <c r="R15" s="680" t="inlineStr">
        <is>
          <t>No</t>
        </is>
      </c>
      <c r="S15" s="679" t="inlineStr">
        <is>
          <t>Yes</t>
        </is>
      </c>
      <c r="T15" s="679" t="inlineStr">
        <is>
          <t>Yes</t>
        </is>
      </c>
      <c r="U15" s="679" t="inlineStr">
        <is>
          <t>Yes</t>
        </is>
      </c>
      <c r="V15" s="679" t="inlineStr">
        <is>
          <t>Yes</t>
        </is>
      </c>
      <c r="W15" s="679" t="inlineStr">
        <is>
          <t>Yes</t>
        </is>
      </c>
      <c r="X15" s="679" t="inlineStr">
        <is>
          <t>Yes</t>
        </is>
      </c>
      <c r="Y15" s="264" t="inlineStr">
        <is>
          <t>No</t>
        </is>
      </c>
      <c r="Z15" s="679" t="inlineStr">
        <is>
          <t>Unlimited</t>
        </is>
      </c>
      <c r="AA15" s="260" t="inlineStr">
        <is>
          <t>Unlimited Run</t>
        </is>
      </c>
      <c r="AB15" s="680" t="inlineStr">
        <is>
          <t>Yes</t>
        </is>
      </c>
      <c r="AC15" s="680" t="inlineStr">
        <is>
          <t>Yes</t>
        </is>
      </c>
      <c r="AD15" s="678" t="n"/>
      <c r="AE15" s="678" t="inlineStr">
        <is>
          <t>Phim còn hạn từ 2026</t>
        </is>
      </c>
      <c r="AF15" s="203" t="inlineStr">
        <is>
          <t>ROBOCAR POLI ORIGINAL SERIES season 4</t>
        </is>
      </c>
      <c r="AG15" s="203" t="n"/>
      <c r="AH15" s="128">
        <f>SUMIF('TK 15661.Bản quyền phim '!F:F,'KK3. Kids'!C15,'TK 15661.Bản quyền phim '!X:X)</f>
        <v/>
      </c>
      <c r="AI15" s="203">
        <f>COUNTIF('TK 15661.Bản quyền phim '!F:F,'KK3. Kids'!AF15)</f>
        <v/>
      </c>
      <c r="AJ15" s="203" t="n"/>
      <c r="AK15" s="203" t="n"/>
      <c r="AL15" s="203" t="n"/>
      <c r="AM15" s="203" t="n"/>
      <c r="AN15" s="203" t="n"/>
      <c r="AO15" s="203" t="n"/>
      <c r="AP15" t="inlineStr">
        <is>
          <t>✓ Found</t>
        </is>
      </c>
    </row>
    <row r="16" ht="42" customHeight="1" s="578">
      <c r="A16" s="254" t="n">
        <v>10</v>
      </c>
      <c r="B16" s="255" t="inlineStr">
        <is>
          <t>Ep 1:KID_PRE_23__2692286
Ep 2- Ep78: KID_PRE_23_2692287- KID_PRE_23_2692363</t>
        </is>
      </c>
      <c r="C16" s="677" t="inlineStr">
        <is>
          <t>Taffy S1</t>
        </is>
      </c>
      <c r="D16" s="681" t="inlineStr">
        <is>
          <t>Gấu mèo Taffy</t>
        </is>
      </c>
      <c r="E16" s="683" t="inlineStr">
        <is>
          <t>Animation, Comedy</t>
        </is>
      </c>
      <c r="F16" s="678" t="inlineStr">
        <is>
          <t>Cyber</t>
        </is>
      </c>
      <c r="G16" s="678" t="inlineStr">
        <is>
          <t>Cyber/FE_License Agreement_Taffy S12_vstv-Cyber</t>
        </is>
      </c>
      <c r="H16" s="681" t="inlineStr">
        <is>
          <t>France</t>
        </is>
      </c>
      <c r="I16" s="254" t="n">
        <v>2019</v>
      </c>
      <c r="J16" s="256" t="n">
        <v>78</v>
      </c>
      <c r="K16" s="256" t="n">
        <v>7</v>
      </c>
      <c r="L16" s="256" t="n">
        <v>9.1</v>
      </c>
      <c r="M16" s="257" t="n">
        <v>45108</v>
      </c>
      <c r="N16" s="684" t="n">
        <v>46203</v>
      </c>
      <c r="O16" s="682" t="n">
        <v>45117</v>
      </c>
      <c r="P16" s="258" t="inlineStr">
        <is>
          <t>K+KIDS</t>
        </is>
      </c>
      <c r="Q16" s="678" t="inlineStr">
        <is>
          <t>Non-exclusive all Pay TV Rights and all VOD Rights.</t>
        </is>
      </c>
      <c r="R16" s="680" t="inlineStr">
        <is>
          <t>No</t>
        </is>
      </c>
      <c r="S16" s="679" t="inlineStr">
        <is>
          <t>Yes</t>
        </is>
      </c>
      <c r="T16" s="679" t="inlineStr">
        <is>
          <t>Yes</t>
        </is>
      </c>
      <c r="U16" s="679" t="inlineStr">
        <is>
          <t>Yes</t>
        </is>
      </c>
      <c r="V16" s="264" t="inlineStr">
        <is>
          <t>No</t>
        </is>
      </c>
      <c r="W16" s="264" t="inlineStr">
        <is>
          <t>No</t>
        </is>
      </c>
      <c r="X16" s="264" t="inlineStr">
        <is>
          <t>No</t>
        </is>
      </c>
      <c r="Y16" s="264" t="inlineStr">
        <is>
          <t>No</t>
        </is>
      </c>
      <c r="Z16" s="679" t="inlineStr">
        <is>
          <t>Unlimited</t>
        </is>
      </c>
      <c r="AA16" s="260" t="inlineStr">
        <is>
          <t>Unlimited Run</t>
        </is>
      </c>
      <c r="AB16" s="680" t="inlineStr">
        <is>
          <t>Yes</t>
        </is>
      </c>
      <c r="AC16" s="680" t="inlineStr">
        <is>
          <t>Yes</t>
        </is>
      </c>
      <c r="AD16" s="678" t="n"/>
      <c r="AE16" s="678" t="inlineStr">
        <is>
          <t>Phim còn hạn từ 2026</t>
        </is>
      </c>
      <c r="AF16" s="203" t="inlineStr">
        <is>
          <t>TAFFY season 1</t>
        </is>
      </c>
      <c r="AG16" s="203" t="n"/>
      <c r="AH16" s="128">
        <f>SUMIF('TK 15661.Bản quyền phim '!F:F,'KK3. Kids'!C16,'TK 15661.Bản quyền phim '!X:X)</f>
        <v/>
      </c>
      <c r="AI16" s="203">
        <f>COUNTIF('TK 15661.Bản quyền phim '!F:F,'KK3. Kids'!AF16)</f>
        <v/>
      </c>
      <c r="AJ16" s="203" t="n"/>
      <c r="AK16" s="203" t="n"/>
      <c r="AL16" s="203" t="n"/>
      <c r="AM16" s="203" t="n"/>
      <c r="AN16" s="203" t="n"/>
      <c r="AO16" s="203" t="n"/>
      <c r="AP16" t="inlineStr">
        <is>
          <t>✓ Found</t>
        </is>
      </c>
    </row>
    <row r="17" ht="45" customHeight="1" s="578">
      <c r="A17" s="254" t="n">
        <v>11</v>
      </c>
      <c r="B17" s="255" t="inlineStr">
        <is>
          <t>Ep 1:KID_PRE__2692364
Ep 2- Ep78: KID_PRE_2692365 - KID_PRE_2692441</t>
        </is>
      </c>
      <c r="C17" s="677" t="inlineStr">
        <is>
          <t>Taffy S2</t>
        </is>
      </c>
      <c r="D17" s="681" t="inlineStr">
        <is>
          <t>Gấu mèo Taffy</t>
        </is>
      </c>
      <c r="E17" s="683" t="inlineStr">
        <is>
          <t>Animation, Comedy</t>
        </is>
      </c>
      <c r="F17" s="678" t="inlineStr">
        <is>
          <t>Cyber</t>
        </is>
      </c>
      <c r="G17" s="678" t="inlineStr">
        <is>
          <t>Cyber/FE_License Agreement_Taffy S12_vstv-Cyber</t>
        </is>
      </c>
      <c r="H17" s="681" t="inlineStr">
        <is>
          <t>France</t>
        </is>
      </c>
      <c r="I17" s="254" t="n">
        <v>2022</v>
      </c>
      <c r="J17" s="256" t="n">
        <v>78</v>
      </c>
      <c r="K17" s="256" t="n">
        <v>7</v>
      </c>
      <c r="L17" s="256" t="n">
        <v>9.1</v>
      </c>
      <c r="M17" s="257" t="n">
        <v>45108</v>
      </c>
      <c r="N17" s="684" t="n">
        <v>46203</v>
      </c>
      <c r="O17" s="682" t="n">
        <v>45144</v>
      </c>
      <c r="P17" s="258" t="inlineStr">
        <is>
          <t>K+KIDS</t>
        </is>
      </c>
      <c r="Q17" s="678" t="inlineStr">
        <is>
          <t>Non-exclusive all Pay TV Rights and all VOD Rights.</t>
        </is>
      </c>
      <c r="R17" s="680" t="inlineStr">
        <is>
          <t>No</t>
        </is>
      </c>
      <c r="S17" s="679" t="inlineStr">
        <is>
          <t>Yes</t>
        </is>
      </c>
      <c r="T17" s="679" t="inlineStr">
        <is>
          <t>Yes</t>
        </is>
      </c>
      <c r="U17" s="679" t="inlineStr">
        <is>
          <t>Yes</t>
        </is>
      </c>
      <c r="V17" s="264" t="inlineStr">
        <is>
          <t>No</t>
        </is>
      </c>
      <c r="W17" s="264" t="inlineStr">
        <is>
          <t>No</t>
        </is>
      </c>
      <c r="X17" s="264" t="inlineStr">
        <is>
          <t>No</t>
        </is>
      </c>
      <c r="Y17" s="264" t="inlineStr">
        <is>
          <t>No</t>
        </is>
      </c>
      <c r="Z17" s="679" t="inlineStr">
        <is>
          <t>Unlimited</t>
        </is>
      </c>
      <c r="AA17" s="260" t="inlineStr">
        <is>
          <t>Unlimited Run</t>
        </is>
      </c>
      <c r="AB17" s="680" t="inlineStr">
        <is>
          <t>Yes</t>
        </is>
      </c>
      <c r="AC17" s="680" t="inlineStr">
        <is>
          <t>Yes</t>
        </is>
      </c>
      <c r="AD17" s="678" t="n"/>
      <c r="AE17" s="678" t="inlineStr">
        <is>
          <t>Phim còn hạn từ 2026</t>
        </is>
      </c>
      <c r="AF17" s="203" t="inlineStr">
        <is>
          <t>TAFFY season 2</t>
        </is>
      </c>
      <c r="AG17" s="203" t="n"/>
      <c r="AH17" s="128">
        <f>SUMIF('TK 15661.Bản quyền phim '!F:F,'KK3. Kids'!C17,'TK 15661.Bản quyền phim '!X:X)</f>
        <v/>
      </c>
      <c r="AI17" s="203">
        <f>COUNTIF('TK 15661.Bản quyền phim '!F:F,'KK3. Kids'!AF17)</f>
        <v/>
      </c>
      <c r="AJ17" s="203" t="n"/>
      <c r="AK17" s="203" t="n"/>
      <c r="AL17" s="203" t="n"/>
      <c r="AM17" s="203" t="n"/>
      <c r="AN17" s="203" t="n"/>
      <c r="AO17" s="203" t="n"/>
      <c r="AP17" t="inlineStr">
        <is>
          <t>✓ Found</t>
        </is>
      </c>
    </row>
    <row r="18" ht="39.75" customHeight="1" s="578">
      <c r="A18" s="254" t="n">
        <v>12</v>
      </c>
      <c r="B18" s="255" t="inlineStr">
        <is>
          <t>Ep 1:KID_PRE_23__2692985
Ep 2- Ep78: KID_PRE_23_2692986 - KID_PRE_23_2693029</t>
        </is>
      </c>
      <c r="C18" s="677" t="inlineStr">
        <is>
          <t>CoComelon</t>
        </is>
      </c>
      <c r="D18" s="681" t="inlineStr">
        <is>
          <t>CoComelon - Giai điệu cho bé</t>
        </is>
      </c>
      <c r="E18" s="683" t="inlineStr">
        <is>
          <t>Nursery Rhymes</t>
        </is>
      </c>
      <c r="F18" s="679" t="inlineStr">
        <is>
          <t>Moonbug</t>
        </is>
      </c>
      <c r="G18" s="678" t="inlineStr">
        <is>
          <t>/Moonbug</t>
        </is>
      </c>
      <c r="H18" s="677" t="inlineStr">
        <is>
          <t>US</t>
        </is>
      </c>
      <c r="I18" s="254" t="n">
        <v>2020</v>
      </c>
      <c r="J18" s="256" t="n">
        <v>180</v>
      </c>
      <c r="K18" s="256" t="n">
        <v>3</v>
      </c>
      <c r="L18" s="256" t="n">
        <v>9</v>
      </c>
      <c r="M18" s="684" t="n">
        <v>45027</v>
      </c>
      <c r="N18" s="684" t="n">
        <v>46122</v>
      </c>
      <c r="O18" s="682" t="n">
        <v>45027</v>
      </c>
      <c r="P18" s="258" t="inlineStr">
        <is>
          <t>K+KIDS</t>
        </is>
      </c>
      <c r="Q18" s="679" t="inlineStr">
        <is>
          <t>Non-exclusive all Pay TV Rights and all VOD Rights.</t>
        </is>
      </c>
      <c r="R18" s="679" t="inlineStr">
        <is>
          <t>No</t>
        </is>
      </c>
      <c r="S18" s="679" t="inlineStr">
        <is>
          <t>Yes</t>
        </is>
      </c>
      <c r="T18" s="679" t="inlineStr">
        <is>
          <t>Yes</t>
        </is>
      </c>
      <c r="U18" s="679" t="inlineStr">
        <is>
          <t>Yes</t>
        </is>
      </c>
      <c r="V18" s="679" t="inlineStr">
        <is>
          <t>Yes</t>
        </is>
      </c>
      <c r="W18" s="679" t="inlineStr">
        <is>
          <t>Yes</t>
        </is>
      </c>
      <c r="X18" s="679" t="inlineStr">
        <is>
          <t>Yes</t>
        </is>
      </c>
      <c r="Y18" s="264" t="inlineStr">
        <is>
          <t>No</t>
        </is>
      </c>
      <c r="Z18" s="679" t="inlineStr">
        <is>
          <t>Unlimited</t>
        </is>
      </c>
      <c r="AA18" s="260" t="inlineStr">
        <is>
          <t>Unlimited Run</t>
        </is>
      </c>
      <c r="AB18" s="680" t="inlineStr">
        <is>
          <t>Yes</t>
        </is>
      </c>
      <c r="AC18" s="680" t="inlineStr">
        <is>
          <t>Yes</t>
        </is>
      </c>
      <c r="AD18" s="678" t="n"/>
      <c r="AE18" s="678" t="inlineStr">
        <is>
          <t>Phim còn hạn từ 2026</t>
        </is>
      </c>
      <c r="AF18" s="643" t="inlineStr">
        <is>
          <t>CoComelon</t>
        </is>
      </c>
      <c r="AG18" s="203" t="n"/>
      <c r="AH18" s="128">
        <f>SUMIF('TK 15661.Bản quyền phim '!F:F,'KK3. Kids'!C18,'TK 15661.Bản quyền phim '!X:X)</f>
        <v/>
      </c>
      <c r="AI18" s="203">
        <f>COUNTIF('TK 15661.Bản quyền phim '!F:F,'KK3. Kids'!AF18)</f>
        <v/>
      </c>
      <c r="AJ18" s="203" t="n"/>
      <c r="AK18" s="203" t="n"/>
      <c r="AL18" s="203" t="n"/>
      <c r="AM18" s="203" t="n"/>
      <c r="AN18" s="203" t="n"/>
      <c r="AO18" s="203" t="n"/>
      <c r="AP18" t="inlineStr">
        <is>
          <t>✓ Found</t>
        </is>
      </c>
    </row>
    <row r="19" ht="41.25" customHeight="1" s="578">
      <c r="A19" s="254" t="n">
        <v>13</v>
      </c>
      <c r="B19" s="255" t="inlineStr">
        <is>
          <t>Ep 1:KID_PRE_23__2692184
Ep 2- Ep20: KID_PRE_23_2692185 - KID_PRE_23_2692203</t>
        </is>
      </c>
      <c r="C19" s="677" t="inlineStr">
        <is>
          <t>Oddbods Season 1</t>
        </is>
      </c>
      <c r="D19" s="681" t="inlineStr">
        <is>
          <t>Những người bạn kỳ lạ</t>
        </is>
      </c>
      <c r="E19" s="683" t="inlineStr">
        <is>
          <t>Animation, Comedy</t>
        </is>
      </c>
      <c r="F19" s="679" t="inlineStr">
        <is>
          <t>Moonbug</t>
        </is>
      </c>
      <c r="G19" s="678" t="inlineStr">
        <is>
          <t>/Moonbug</t>
        </is>
      </c>
      <c r="H19" s="677" t="inlineStr">
        <is>
          <t>Singapore</t>
        </is>
      </c>
      <c r="I19" s="254" t="n">
        <v>2013</v>
      </c>
      <c r="J19" s="256" t="n">
        <v>60</v>
      </c>
      <c r="K19" s="256" t="n">
        <v>7</v>
      </c>
      <c r="L19" s="256" t="n">
        <v>7</v>
      </c>
      <c r="M19" s="684" t="n">
        <v>44998</v>
      </c>
      <c r="N19" s="684" t="n">
        <v>46093</v>
      </c>
      <c r="O19" s="682" t="n">
        <v>44998</v>
      </c>
      <c r="P19" s="258" t="inlineStr">
        <is>
          <t>K+KIDS</t>
        </is>
      </c>
      <c r="Q19" s="679" t="inlineStr">
        <is>
          <t>Non-exclusive all Pay TV Rights and all VOD Rights.</t>
        </is>
      </c>
      <c r="R19" s="679" t="inlineStr">
        <is>
          <t>No</t>
        </is>
      </c>
      <c r="S19" s="679" t="inlineStr">
        <is>
          <t>Yes</t>
        </is>
      </c>
      <c r="T19" s="679" t="inlineStr">
        <is>
          <t>Yes</t>
        </is>
      </c>
      <c r="U19" s="679" t="inlineStr">
        <is>
          <t>Yes</t>
        </is>
      </c>
      <c r="V19" s="679" t="inlineStr">
        <is>
          <t>Yes</t>
        </is>
      </c>
      <c r="W19" s="679" t="inlineStr">
        <is>
          <t>Yes</t>
        </is>
      </c>
      <c r="X19" s="679" t="inlineStr">
        <is>
          <t>Yes</t>
        </is>
      </c>
      <c r="Y19" s="264" t="inlineStr">
        <is>
          <t>No</t>
        </is>
      </c>
      <c r="Z19" s="679" t="inlineStr">
        <is>
          <t>Unlimited</t>
        </is>
      </c>
      <c r="AA19" s="260" t="inlineStr">
        <is>
          <t>Unlimited Run</t>
        </is>
      </c>
      <c r="AB19" s="680" t="inlineStr">
        <is>
          <t>Yes</t>
        </is>
      </c>
      <c r="AC19" s="680" t="inlineStr">
        <is>
          <t>Yes</t>
        </is>
      </c>
      <c r="AD19" s="678" t="n"/>
      <c r="AE19" s="678" t="inlineStr">
        <is>
          <t>Phim còn hạn từ 2026</t>
        </is>
      </c>
      <c r="AF19" s="643" t="inlineStr">
        <is>
          <t>Oddbods Season 1</t>
        </is>
      </c>
      <c r="AG19" s="203" t="n"/>
      <c r="AH19" s="128">
        <f>SUMIF('TK 15661.Bản quyền phim '!F:F,'KK3. Kids'!C19,'TK 15661.Bản quyền phim '!X:X)</f>
        <v/>
      </c>
      <c r="AI19" s="203">
        <f>COUNTIF('TK 15661.Bản quyền phim '!F:F,'KK3. Kids'!AF19)</f>
        <v/>
      </c>
      <c r="AJ19" s="203" t="n"/>
      <c r="AK19" s="203" t="n"/>
      <c r="AL19" s="203" t="n"/>
      <c r="AM19" s="203" t="n"/>
      <c r="AN19" s="203" t="n"/>
      <c r="AO19" s="203" t="n"/>
      <c r="AP19" t="inlineStr">
        <is>
          <t>✓ Found</t>
        </is>
      </c>
    </row>
    <row r="20" ht="49.5" customHeight="1" s="578">
      <c r="A20" s="254" t="n">
        <v>14</v>
      </c>
      <c r="B20" s="255" t="inlineStr">
        <is>
          <t>Ep 1:KID_PRE_23__2692206
Ep 2- Ep20: KID_PRE__2692207 - KID_PRE_2692225</t>
        </is>
      </c>
      <c r="C20" s="677" t="inlineStr">
        <is>
          <t>Oddbods Season 2</t>
        </is>
      </c>
      <c r="D20" s="681" t="inlineStr">
        <is>
          <t>Những người bạn kỳ lạ</t>
        </is>
      </c>
      <c r="E20" s="683" t="inlineStr">
        <is>
          <t>Animation, Comedy</t>
        </is>
      </c>
      <c r="F20" s="679" t="inlineStr">
        <is>
          <t>Moonbug</t>
        </is>
      </c>
      <c r="G20" s="678" t="inlineStr">
        <is>
          <t>/Moonbug</t>
        </is>
      </c>
      <c r="H20" s="677" t="inlineStr">
        <is>
          <t>Singapore</t>
        </is>
      </c>
      <c r="I20" s="254" t="n">
        <v>2016</v>
      </c>
      <c r="J20" s="256" t="n">
        <v>60</v>
      </c>
      <c r="K20" s="256" t="n">
        <v>7</v>
      </c>
      <c r="L20" s="256" t="n">
        <v>7</v>
      </c>
      <c r="M20" s="684" t="n">
        <v>45026</v>
      </c>
      <c r="N20" s="684" t="n">
        <v>46121</v>
      </c>
      <c r="O20" s="682" t="n">
        <v>45026</v>
      </c>
      <c r="P20" s="258" t="inlineStr">
        <is>
          <t>K+KIDS</t>
        </is>
      </c>
      <c r="Q20" s="679" t="inlineStr">
        <is>
          <t>Non-exclusive all Pay TV Rights and all VOD Rights.</t>
        </is>
      </c>
      <c r="R20" s="679" t="inlineStr">
        <is>
          <t>No</t>
        </is>
      </c>
      <c r="S20" s="679" t="inlineStr">
        <is>
          <t>Yes</t>
        </is>
      </c>
      <c r="T20" s="679" t="inlineStr">
        <is>
          <t>Yes</t>
        </is>
      </c>
      <c r="U20" s="679" t="inlineStr">
        <is>
          <t>Yes</t>
        </is>
      </c>
      <c r="V20" s="679" t="inlineStr">
        <is>
          <t>Yes</t>
        </is>
      </c>
      <c r="W20" s="679" t="inlineStr">
        <is>
          <t>Yes</t>
        </is>
      </c>
      <c r="X20" s="679" t="inlineStr">
        <is>
          <t>Yes</t>
        </is>
      </c>
      <c r="Y20" s="264" t="inlineStr">
        <is>
          <t>No</t>
        </is>
      </c>
      <c r="Z20" s="679" t="inlineStr">
        <is>
          <t>Unlimited</t>
        </is>
      </c>
      <c r="AA20" s="260" t="inlineStr">
        <is>
          <t>Unlimited Run</t>
        </is>
      </c>
      <c r="AB20" s="680" t="inlineStr">
        <is>
          <t>Yes</t>
        </is>
      </c>
      <c r="AC20" s="680" t="inlineStr">
        <is>
          <t>Yes</t>
        </is>
      </c>
      <c r="AD20" s="678" t="n"/>
      <c r="AE20" s="678" t="inlineStr">
        <is>
          <t>Phim còn hạn từ 2026</t>
        </is>
      </c>
      <c r="AF20" s="643" t="inlineStr">
        <is>
          <t>Oddbods Season 2</t>
        </is>
      </c>
      <c r="AG20" s="203" t="n"/>
      <c r="AH20" s="128">
        <f>SUMIF('TK 15661.Bản quyền phim '!F:F,'KK3. Kids'!C20,'TK 15661.Bản quyền phim '!X:X)</f>
        <v/>
      </c>
      <c r="AI20" s="203">
        <f>COUNTIF('TK 15661.Bản quyền phim '!F:F,'KK3. Kids'!AF20)</f>
        <v/>
      </c>
      <c r="AJ20" s="203" t="n"/>
      <c r="AK20" s="203" t="n"/>
      <c r="AL20" s="203" t="n"/>
      <c r="AM20" s="203" t="n"/>
      <c r="AN20" s="203" t="n"/>
      <c r="AO20" s="203" t="n"/>
      <c r="AP20" t="inlineStr">
        <is>
          <t>✓ Found</t>
        </is>
      </c>
    </row>
    <row r="21" ht="41.25" customHeight="1" s="578">
      <c r="A21" s="254" t="n">
        <v>15</v>
      </c>
      <c r="B21" s="255" t="inlineStr">
        <is>
          <t>Ep 1: KID_PRE__2692226
Ep 2- Ep20: KID_PRE_2692227 - KID_PRE_2692245</t>
        </is>
      </c>
      <c r="C21" s="677" t="inlineStr">
        <is>
          <t>Oddbods Season 3</t>
        </is>
      </c>
      <c r="D21" s="681" t="inlineStr">
        <is>
          <t>Những người bạn kỳ lạ</t>
        </is>
      </c>
      <c r="E21" s="683" t="inlineStr">
        <is>
          <t>Animation, Comedy</t>
        </is>
      </c>
      <c r="F21" s="679" t="inlineStr">
        <is>
          <t>Moonbug</t>
        </is>
      </c>
      <c r="G21" s="678" t="inlineStr">
        <is>
          <t>/Moonbug</t>
        </is>
      </c>
      <c r="H21" s="677" t="inlineStr">
        <is>
          <t>Singapore</t>
        </is>
      </c>
      <c r="I21" s="254" t="n">
        <v>2022</v>
      </c>
      <c r="J21" s="256" t="n">
        <v>60</v>
      </c>
      <c r="K21" s="256" t="n">
        <v>7</v>
      </c>
      <c r="L21" s="256" t="n">
        <v>7</v>
      </c>
      <c r="M21" s="684" t="n">
        <v>45054</v>
      </c>
      <c r="N21" s="684" t="n">
        <v>46149</v>
      </c>
      <c r="O21" s="682" t="n">
        <v>45054</v>
      </c>
      <c r="P21" s="258" t="inlineStr">
        <is>
          <t>K+KIDS</t>
        </is>
      </c>
      <c r="Q21" s="679" t="inlineStr">
        <is>
          <t>Non-exclusive all Pay TV Rights and all VOD Rights.</t>
        </is>
      </c>
      <c r="R21" s="679" t="inlineStr">
        <is>
          <t>No</t>
        </is>
      </c>
      <c r="S21" s="679" t="inlineStr">
        <is>
          <t>Yes</t>
        </is>
      </c>
      <c r="T21" s="679" t="inlineStr">
        <is>
          <t>Yes</t>
        </is>
      </c>
      <c r="U21" s="679" t="inlineStr">
        <is>
          <t>Yes</t>
        </is>
      </c>
      <c r="V21" s="679" t="inlineStr">
        <is>
          <t>Yes</t>
        </is>
      </c>
      <c r="W21" s="679" t="inlineStr">
        <is>
          <t>Yes</t>
        </is>
      </c>
      <c r="X21" s="679" t="inlineStr">
        <is>
          <t>Yes</t>
        </is>
      </c>
      <c r="Y21" s="264" t="inlineStr">
        <is>
          <t>No</t>
        </is>
      </c>
      <c r="Z21" s="679" t="inlineStr">
        <is>
          <t>Unlimited</t>
        </is>
      </c>
      <c r="AA21" s="260" t="inlineStr">
        <is>
          <t>Unlimited Run</t>
        </is>
      </c>
      <c r="AB21" s="680" t="inlineStr">
        <is>
          <t>Yes</t>
        </is>
      </c>
      <c r="AC21" s="680" t="inlineStr">
        <is>
          <t>Yes</t>
        </is>
      </c>
      <c r="AD21" s="678" t="n"/>
      <c r="AE21" s="678" t="inlineStr">
        <is>
          <t>Phim còn hạn từ 2026</t>
        </is>
      </c>
      <c r="AF21" s="643" t="inlineStr">
        <is>
          <t>Oddbods Season 3</t>
        </is>
      </c>
      <c r="AG21" s="203" t="n"/>
      <c r="AH21" s="128">
        <f>SUMIF('TK 15661.Bản quyền phim '!F:F,'KK3. Kids'!C21,'TK 15661.Bản quyền phim '!X:X)</f>
        <v/>
      </c>
      <c r="AI21" s="203">
        <f>COUNTIF('TK 15661.Bản quyền phim '!F:F,'KK3. Kids'!AF21)</f>
        <v/>
      </c>
      <c r="AJ21" s="203" t="n"/>
      <c r="AK21" s="203" t="n"/>
      <c r="AL21" s="203" t="n"/>
      <c r="AM21" s="203" t="n"/>
      <c r="AN21" s="203" t="n"/>
      <c r="AO21" s="203" t="n"/>
      <c r="AP21" t="inlineStr">
        <is>
          <t>✓ Found</t>
        </is>
      </c>
    </row>
    <row r="22" ht="30" customHeight="1" s="578">
      <c r="A22" s="254" t="n">
        <v>16</v>
      </c>
      <c r="B22" s="265" t="inlineStr">
        <is>
          <t>KID_PRE_23__2692205</t>
        </is>
      </c>
      <c r="C22" s="677" t="inlineStr">
        <is>
          <t>Oddbods Special: Zee Force Five</t>
        </is>
      </c>
      <c r="D22" s="677" t="inlineStr">
        <is>
          <t>Những người bạn kỳ lạ: Lực lượng Zee năm phiên bản</t>
        </is>
      </c>
      <c r="E22" s="683" t="inlineStr">
        <is>
          <t>Animation, Comedy</t>
        </is>
      </c>
      <c r="F22" s="679" t="inlineStr">
        <is>
          <t>Moonbug</t>
        </is>
      </c>
      <c r="G22" s="678" t="inlineStr">
        <is>
          <t>/Moonbug</t>
        </is>
      </c>
      <c r="H22" s="677" t="inlineStr">
        <is>
          <t>Singapore</t>
        </is>
      </c>
      <c r="I22" s="266" t="n">
        <v>2018</v>
      </c>
      <c r="J22" s="256" t="n">
        <v>1</v>
      </c>
      <c r="K22" s="256" t="n">
        <v>22</v>
      </c>
      <c r="L22" s="256" t="n">
        <v>0.3666666666666666</v>
      </c>
      <c r="M22" s="684" t="n">
        <v>45024</v>
      </c>
      <c r="N22" s="684" t="n">
        <v>46119</v>
      </c>
      <c r="O22" s="682" t="n">
        <v>45135</v>
      </c>
      <c r="P22" s="258" t="inlineStr">
        <is>
          <t>K+KIDS</t>
        </is>
      </c>
      <c r="Q22" s="679" t="inlineStr">
        <is>
          <t>Non-exclusive all Pay TV Rights and all VOD Rights.</t>
        </is>
      </c>
      <c r="R22" s="679" t="inlineStr">
        <is>
          <t>No</t>
        </is>
      </c>
      <c r="S22" s="679" t="inlineStr">
        <is>
          <t>Yes</t>
        </is>
      </c>
      <c r="T22" s="679" t="inlineStr">
        <is>
          <t>Yes</t>
        </is>
      </c>
      <c r="U22" s="679" t="inlineStr">
        <is>
          <t>Yes</t>
        </is>
      </c>
      <c r="V22" s="679" t="inlineStr">
        <is>
          <t>Yes</t>
        </is>
      </c>
      <c r="W22" s="679" t="inlineStr">
        <is>
          <t>Yes</t>
        </is>
      </c>
      <c r="X22" s="679" t="inlineStr">
        <is>
          <t>Yes</t>
        </is>
      </c>
      <c r="Y22" s="264" t="inlineStr">
        <is>
          <t>No</t>
        </is>
      </c>
      <c r="Z22" s="679" t="inlineStr">
        <is>
          <t>Unlimited</t>
        </is>
      </c>
      <c r="AA22" s="260" t="inlineStr">
        <is>
          <t>Unlimited Run</t>
        </is>
      </c>
      <c r="AB22" s="680" t="inlineStr">
        <is>
          <t>Yes</t>
        </is>
      </c>
      <c r="AC22" s="680" t="inlineStr">
        <is>
          <t>Yes</t>
        </is>
      </c>
      <c r="AD22" s="678" t="n"/>
      <c r="AE22" s="678" t="inlineStr">
        <is>
          <t>Phim còn hạn từ 2026</t>
        </is>
      </c>
      <c r="AF22" s="203" t="inlineStr">
        <is>
          <t>Oddbods Specials: Zee Force Five</t>
        </is>
      </c>
      <c r="AG22" s="203" t="n"/>
      <c r="AH22" s="128">
        <f>SUMIF('TK 15661.Bản quyền phim '!F:F,'KK3. Kids'!C22,'TK 15661.Bản quyền phim '!X:X)</f>
        <v/>
      </c>
      <c r="AI22" s="203">
        <f>COUNTIF('TK 15661.Bản quyền phim '!F:F,'KK3. Kids'!AF22)</f>
        <v/>
      </c>
      <c r="AJ22" s="203" t="n"/>
      <c r="AK22" s="203" t="n"/>
      <c r="AL22" s="203" t="n"/>
      <c r="AM22" s="203" t="n"/>
      <c r="AN22" s="203" t="n"/>
      <c r="AO22" s="203" t="n"/>
      <c r="AP22" t="inlineStr">
        <is>
          <t>✓ Found</t>
        </is>
      </c>
    </row>
    <row r="23" ht="42.75" customHeight="1" s="578">
      <c r="A23" s="254" t="n">
        <v>17</v>
      </c>
      <c r="B23" s="265" t="inlineStr">
        <is>
          <t>KID_PRE_23__2692204</t>
        </is>
      </c>
      <c r="C23" s="677" t="inlineStr">
        <is>
          <t>Oddbods Special: The Festive Menace</t>
        </is>
      </c>
      <c r="D23" s="677" t="inlineStr">
        <is>
          <t>Những người bạn kỳ lạ: Mối nguy mùa lễ hội</t>
        </is>
      </c>
      <c r="E23" s="683" t="inlineStr">
        <is>
          <t>Animation, Comedy</t>
        </is>
      </c>
      <c r="F23" s="679" t="inlineStr">
        <is>
          <t>Moonbug</t>
        </is>
      </c>
      <c r="G23" s="678" t="inlineStr">
        <is>
          <t>/Moonbug</t>
        </is>
      </c>
      <c r="H23" s="677" t="inlineStr">
        <is>
          <t>Singapore</t>
        </is>
      </c>
      <c r="I23" s="266" t="n">
        <v>2018</v>
      </c>
      <c r="J23" s="256" t="n">
        <v>1</v>
      </c>
      <c r="K23" s="256" t="n">
        <v>22</v>
      </c>
      <c r="L23" s="256" t="n">
        <v>0.3666666666666666</v>
      </c>
      <c r="M23" s="684" t="n">
        <v>45025</v>
      </c>
      <c r="N23" s="684" t="n">
        <v>46120</v>
      </c>
      <c r="O23" s="682" t="n">
        <v>45278</v>
      </c>
      <c r="P23" s="258" t="inlineStr">
        <is>
          <t>K+KIDS</t>
        </is>
      </c>
      <c r="Q23" s="679" t="inlineStr">
        <is>
          <t>Non-exclusive all Pay TV Rights and all VOD Rights.</t>
        </is>
      </c>
      <c r="R23" s="679" t="inlineStr">
        <is>
          <t>No</t>
        </is>
      </c>
      <c r="S23" s="679" t="inlineStr">
        <is>
          <t>Yes</t>
        </is>
      </c>
      <c r="T23" s="679" t="inlineStr">
        <is>
          <t>Yes</t>
        </is>
      </c>
      <c r="U23" s="679" t="inlineStr">
        <is>
          <t>Yes</t>
        </is>
      </c>
      <c r="V23" s="679" t="inlineStr">
        <is>
          <t>Yes</t>
        </is>
      </c>
      <c r="W23" s="679" t="inlineStr">
        <is>
          <t>Yes</t>
        </is>
      </c>
      <c r="X23" s="679" t="inlineStr">
        <is>
          <t>Yes</t>
        </is>
      </c>
      <c r="Y23" s="264" t="inlineStr">
        <is>
          <t>No</t>
        </is>
      </c>
      <c r="Z23" s="679" t="inlineStr">
        <is>
          <t>Unlimited</t>
        </is>
      </c>
      <c r="AA23" s="260" t="inlineStr">
        <is>
          <t>Unlimited Run</t>
        </is>
      </c>
      <c r="AB23" s="680" t="inlineStr">
        <is>
          <t>Yes</t>
        </is>
      </c>
      <c r="AC23" s="680" t="inlineStr">
        <is>
          <t>Yes</t>
        </is>
      </c>
      <c r="AD23" s="678" t="n"/>
      <c r="AE23" s="678" t="inlineStr">
        <is>
          <t>Phim còn hạn từ 2026</t>
        </is>
      </c>
      <c r="AF23" s="203" t="inlineStr">
        <is>
          <t>Oddbods Specials: The Festive Menace</t>
        </is>
      </c>
      <c r="AG23" s="203" t="n"/>
      <c r="AH23" s="128">
        <f>SUMIF('TK 15661.Bản quyền phim '!F:F,'KK3. Kids'!C23,'TK 15661.Bản quyền phim '!X:X)</f>
        <v/>
      </c>
      <c r="AI23" s="203">
        <f>COUNTIF('TK 15661.Bản quyền phim '!F:F,'KK3. Kids'!AF23)</f>
        <v/>
      </c>
      <c r="AJ23" s="203" t="n"/>
      <c r="AK23" s="203" t="n"/>
      <c r="AL23" s="203" t="n"/>
      <c r="AM23" s="203" t="n"/>
      <c r="AN23" s="203" t="n"/>
      <c r="AO23" s="203" t="n"/>
      <c r="AP23" t="inlineStr">
        <is>
          <t>✓ Found</t>
        </is>
      </c>
    </row>
    <row r="24" ht="52.5" customHeight="1" s="578">
      <c r="A24" s="254" t="n">
        <v>18</v>
      </c>
      <c r="B24" s="255" t="inlineStr">
        <is>
          <t>Ep 1: KID_CAR_23__2700176
Ep 2- Ep52: KID_CAR_23_2700177 - KID_CAR_23_2700227</t>
        </is>
      </c>
      <c r="C24" s="677" t="inlineStr">
        <is>
          <t>LIVING WITH DAD (52 X 12’)</t>
        </is>
      </c>
      <c r="D24" s="681" t="inlineStr">
        <is>
          <t>Bốn con gái và bố thông thái</t>
        </is>
      </c>
      <c r="E24" s="679" t="inlineStr">
        <is>
          <t>Animation</t>
        </is>
      </c>
      <c r="F24" s="678" t="inlineStr">
        <is>
          <t>Mediatoon</t>
        </is>
      </c>
      <c r="G24" s="678" t="inlineStr">
        <is>
          <t>29/2023/HDBQ/VSTV-Mediatoon</t>
        </is>
      </c>
      <c r="H24" s="681" t="inlineStr">
        <is>
          <t>France</t>
        </is>
      </c>
      <c r="I24" s="266" t="n">
        <v>2022</v>
      </c>
      <c r="J24" s="256" t="n">
        <v>52</v>
      </c>
      <c r="K24" s="256" t="n">
        <v>12</v>
      </c>
      <c r="L24" s="256" t="n">
        <v>10.4</v>
      </c>
      <c r="M24" s="684" t="n">
        <v>45201</v>
      </c>
      <c r="N24" s="684" t="n">
        <v>46296</v>
      </c>
      <c r="O24" s="682" t="n">
        <v>45201</v>
      </c>
      <c r="P24" s="258" t="inlineStr">
        <is>
          <t>K+KIDS</t>
        </is>
      </c>
      <c r="Q24" s="678" t="inlineStr">
        <is>
          <t>Non-exclusive all Pay TV Rights and SVOD Right</t>
        </is>
      </c>
      <c r="R24" s="679" t="inlineStr">
        <is>
          <t>No</t>
        </is>
      </c>
      <c r="S24" s="679" t="inlineStr">
        <is>
          <t>Yes</t>
        </is>
      </c>
      <c r="T24" s="679" t="inlineStr">
        <is>
          <t>Yes</t>
        </is>
      </c>
      <c r="U24" s="679" t="inlineStr">
        <is>
          <t>Yes</t>
        </is>
      </c>
      <c r="V24" s="264" t="inlineStr">
        <is>
          <t>No</t>
        </is>
      </c>
      <c r="W24" s="264" t="inlineStr">
        <is>
          <t>No</t>
        </is>
      </c>
      <c r="X24" s="264" t="inlineStr">
        <is>
          <t>No</t>
        </is>
      </c>
      <c r="Y24" s="264" t="inlineStr">
        <is>
          <t>No</t>
        </is>
      </c>
      <c r="Z24" s="256" t="n">
        <v>12</v>
      </c>
      <c r="AA24" s="260" t="n">
        <v>7</v>
      </c>
      <c r="AB24" s="680" t="inlineStr">
        <is>
          <t>Yes</t>
        </is>
      </c>
      <c r="AC24" s="680" t="inlineStr">
        <is>
          <t>Yes</t>
        </is>
      </c>
      <c r="AD24" s="678" t="n"/>
      <c r="AE24" s="678" t="inlineStr">
        <is>
          <t>Phim còn hạn từ 2026</t>
        </is>
      </c>
      <c r="AF24" s="203" t="inlineStr">
        <is>
          <t>LIVING WITH DAD</t>
        </is>
      </c>
      <c r="AG24" s="203" t="n"/>
      <c r="AH24" s="128">
        <f>SUMIF('TK 15661.Bản quyền phim '!F:F,'KK3. Kids'!C24,'TK 15661.Bản quyền phim '!X:X)</f>
        <v/>
      </c>
      <c r="AI24" s="203">
        <f>COUNTIF('TK 15661.Bản quyền phim '!F:F,'KK3. Kids'!AF24)</f>
        <v/>
      </c>
      <c r="AJ24" s="203" t="n"/>
      <c r="AK24" s="203" t="n"/>
      <c r="AL24" s="203" t="n"/>
      <c r="AM24" s="203" t="n"/>
      <c r="AN24" s="203" t="n"/>
      <c r="AO24" s="203" t="n"/>
      <c r="AP24" t="inlineStr">
        <is>
          <t>✓ Found</t>
        </is>
      </c>
    </row>
    <row r="25" ht="56.25" customHeight="1" s="578">
      <c r="A25" s="254" t="n">
        <v>19</v>
      </c>
      <c r="B25" s="255" t="inlineStr">
        <is>
          <t>Ep 1:KID_CAR_23__2695341
Ep 2- Ep78:KID_CAR_23_2695342 - KID_CAR_23_2695418</t>
        </is>
      </c>
      <c r="C25" s="677" t="inlineStr">
        <is>
          <t>CONTRAPTUS (78 X 8’)</t>
        </is>
      </c>
      <c r="D25" s="681" t="inlineStr">
        <is>
          <t>Tiến sĩ thiên tài</t>
        </is>
      </c>
      <c r="E25" s="679" t="inlineStr">
        <is>
          <t>Animation</t>
        </is>
      </c>
      <c r="F25" s="678" t="inlineStr">
        <is>
          <t>Mediatoon</t>
        </is>
      </c>
      <c r="G25" s="678" t="inlineStr">
        <is>
          <t>29/2023/HDBQ/VSTV-Mediatoon</t>
        </is>
      </c>
      <c r="H25" s="681" t="inlineStr">
        <is>
          <t>France</t>
        </is>
      </c>
      <c r="I25" s="266" t="n">
        <v>2009</v>
      </c>
      <c r="J25" s="256" t="n">
        <v>78</v>
      </c>
      <c r="K25" s="256" t="n">
        <v>8</v>
      </c>
      <c r="L25" s="256" t="n">
        <v>10.4</v>
      </c>
      <c r="M25" s="684" t="n">
        <v>45065</v>
      </c>
      <c r="N25" s="684" t="n">
        <v>46160</v>
      </c>
      <c r="O25" s="682" t="n">
        <v>45209</v>
      </c>
      <c r="P25" s="258" t="inlineStr">
        <is>
          <t>K+KIDS</t>
        </is>
      </c>
      <c r="Q25" s="678" t="inlineStr">
        <is>
          <t>Non-exclusive all Pay TV Rights and SVOD Right</t>
        </is>
      </c>
      <c r="R25" s="679" t="inlineStr">
        <is>
          <t>No</t>
        </is>
      </c>
      <c r="S25" s="679" t="inlineStr">
        <is>
          <t>Yes</t>
        </is>
      </c>
      <c r="T25" s="679" t="inlineStr">
        <is>
          <t>Yes</t>
        </is>
      </c>
      <c r="U25" s="679" t="inlineStr">
        <is>
          <t>Yes</t>
        </is>
      </c>
      <c r="V25" s="264" t="inlineStr">
        <is>
          <t>No</t>
        </is>
      </c>
      <c r="W25" s="264" t="inlineStr">
        <is>
          <t>No</t>
        </is>
      </c>
      <c r="X25" s="264" t="inlineStr">
        <is>
          <t>No</t>
        </is>
      </c>
      <c r="Y25" s="264" t="inlineStr">
        <is>
          <t>No</t>
        </is>
      </c>
      <c r="Z25" s="256" t="n">
        <v>12</v>
      </c>
      <c r="AA25" s="260" t="n">
        <v>7</v>
      </c>
      <c r="AB25" s="680" t="inlineStr">
        <is>
          <t>Yes</t>
        </is>
      </c>
      <c r="AC25" s="680" t="inlineStr">
        <is>
          <t>Yes</t>
        </is>
      </c>
      <c r="AD25" s="678" t="n"/>
      <c r="AE25" s="678" t="inlineStr">
        <is>
          <t>Phim còn hạn từ 2026</t>
        </is>
      </c>
      <c r="AF25" s="203" t="inlineStr">
        <is>
          <t>CONTRAPTUS</t>
        </is>
      </c>
      <c r="AG25" s="203" t="n"/>
      <c r="AH25" s="128">
        <f>SUMIF('TK 15661.Bản quyền phim '!F:F,'KK3. Kids'!C25,'TK 15661.Bản quyền phim '!X:X)</f>
        <v/>
      </c>
      <c r="AI25" s="203">
        <f>COUNTIF('TK 15661.Bản quyền phim '!F:F,'KK3. Kids'!AF25)</f>
        <v/>
      </c>
      <c r="AJ25" s="203" t="n"/>
      <c r="AK25" s="203" t="n"/>
      <c r="AL25" s="203" t="n"/>
      <c r="AM25" s="203" t="n"/>
      <c r="AN25" s="203" t="n"/>
      <c r="AO25" s="203" t="n"/>
      <c r="AP25" t="inlineStr">
        <is>
          <t>✓ Found</t>
        </is>
      </c>
    </row>
    <row r="26" ht="56.25" customHeight="1" s="578">
      <c r="A26" s="254" t="n">
        <v>20</v>
      </c>
      <c r="B26" s="255" t="inlineStr">
        <is>
          <t>Ep 1:KID_CAR_23__2697640
Ep 2- Ep52: KID_CAR_23_2697641 - KID_CAR_23_2697691</t>
        </is>
      </c>
      <c r="C26" s="677" t="inlineStr">
        <is>
          <t>THE GARFIELD SHOW Season 2 (52 X 12’)</t>
        </is>
      </c>
      <c r="D26" s="681" t="inlineStr">
        <is>
          <t>Chú mèo Garfield</t>
        </is>
      </c>
      <c r="E26" s="685" t="inlineStr">
        <is>
          <t>Animation Comedy</t>
        </is>
      </c>
      <c r="F26" s="678" t="inlineStr">
        <is>
          <t>Mediatoon</t>
        </is>
      </c>
      <c r="G26" s="678" t="inlineStr">
        <is>
          <t>29/2023/HDBQ/VSTV-Mediatoon</t>
        </is>
      </c>
      <c r="H26" s="681" t="inlineStr">
        <is>
          <t>France</t>
        </is>
      </c>
      <c r="I26" s="266" t="n">
        <v>2010</v>
      </c>
      <c r="J26" s="256" t="n">
        <v>52</v>
      </c>
      <c r="K26" s="256" t="n">
        <v>12</v>
      </c>
      <c r="L26" s="256" t="n">
        <v>10.4</v>
      </c>
      <c r="M26" s="684" t="n">
        <v>45065</v>
      </c>
      <c r="N26" s="684" t="n">
        <v>46160</v>
      </c>
      <c r="O26" s="682" t="n">
        <v>45166</v>
      </c>
      <c r="P26" s="258" t="inlineStr">
        <is>
          <t>K+KIDS</t>
        </is>
      </c>
      <c r="Q26" s="678" t="inlineStr">
        <is>
          <t>Non-exclusive all Pay TV Rights and SVOD Right</t>
        </is>
      </c>
      <c r="R26" s="679" t="inlineStr">
        <is>
          <t>No</t>
        </is>
      </c>
      <c r="S26" s="679" t="inlineStr">
        <is>
          <t>Yes</t>
        </is>
      </c>
      <c r="T26" s="679" t="inlineStr">
        <is>
          <t>Yes</t>
        </is>
      </c>
      <c r="U26" s="679" t="inlineStr">
        <is>
          <t>Yes</t>
        </is>
      </c>
      <c r="V26" s="264" t="inlineStr">
        <is>
          <t>No</t>
        </is>
      </c>
      <c r="W26" s="264" t="inlineStr">
        <is>
          <t>No</t>
        </is>
      </c>
      <c r="X26" s="264" t="inlineStr">
        <is>
          <t>No</t>
        </is>
      </c>
      <c r="Y26" s="264" t="inlineStr">
        <is>
          <t>No</t>
        </is>
      </c>
      <c r="Z26" s="256" t="n">
        <v>12</v>
      </c>
      <c r="AA26" s="260" t="n">
        <v>7</v>
      </c>
      <c r="AB26" s="680" t="inlineStr">
        <is>
          <t>Yes</t>
        </is>
      </c>
      <c r="AC26" s="680" t="inlineStr">
        <is>
          <t>Yes</t>
        </is>
      </c>
      <c r="AD26" s="678" t="n"/>
      <c r="AE26" s="678" t="inlineStr">
        <is>
          <t>Phim còn hạn từ 2026</t>
        </is>
      </c>
      <c r="AF26" s="203" t="inlineStr">
        <is>
          <t>THE GARFIELD SHOW Season 2</t>
        </is>
      </c>
      <c r="AG26" s="203" t="n"/>
      <c r="AH26" s="128">
        <f>SUMIF('TK 15661.Bản quyền phim '!F:F,'KK3. Kids'!C26,'TK 15661.Bản quyền phim '!X:X)</f>
        <v/>
      </c>
      <c r="AI26" s="203">
        <f>COUNTIF('TK 15661.Bản quyền phim '!F:F,'KK3. Kids'!AF26)</f>
        <v/>
      </c>
      <c r="AJ26" s="203" t="n"/>
      <c r="AK26" s="203" t="n"/>
      <c r="AL26" s="203" t="n"/>
      <c r="AM26" s="203" t="n"/>
      <c r="AN26" s="203" t="n"/>
      <c r="AO26" s="203" t="n"/>
      <c r="AP26" t="inlineStr">
        <is>
          <t>✓ Found</t>
        </is>
      </c>
    </row>
    <row r="27" ht="46.5" customHeight="1" s="578">
      <c r="A27" s="254" t="n">
        <v>21</v>
      </c>
      <c r="B27" s="255" t="inlineStr">
        <is>
          <t>Ep 1:KID_CAR_23__2695488
Ep 2- Ep76: KID_CAR_23_2695489 - KID_CAR_23_2695563</t>
        </is>
      </c>
      <c r="C27" s="677" t="inlineStr">
        <is>
          <t>OGGY AND THE COCKROACHES - Season 5 (74x7’ &amp; 2x13’)</t>
        </is>
      </c>
      <c r="D27" s="681" t="inlineStr">
        <is>
          <t>Oggy và những chú gián tinh nghịch</t>
        </is>
      </c>
      <c r="E27" s="685" t="inlineStr">
        <is>
          <t>Animation Comedy</t>
        </is>
      </c>
      <c r="F27" s="678" t="inlineStr">
        <is>
          <t>Xilam</t>
        </is>
      </c>
      <c r="G27" s="678" t="inlineStr">
        <is>
          <t>kid/Xilam_2023_license_agreement_k_vietnam_oggy_s5_6_7_ (1)</t>
        </is>
      </c>
      <c r="H27" s="681" t="inlineStr">
        <is>
          <t>France</t>
        </is>
      </c>
      <c r="I27" s="266" t="n">
        <v>2017</v>
      </c>
      <c r="J27" s="256" t="n">
        <v>76</v>
      </c>
      <c r="K27" s="256" t="n">
        <v>7</v>
      </c>
      <c r="L27" s="256" t="n">
        <v>8.866666666666667</v>
      </c>
      <c r="M27" s="257" t="n">
        <v>45078</v>
      </c>
      <c r="N27" s="257" t="n">
        <v>46173</v>
      </c>
      <c r="O27" s="267" t="n">
        <v>45078</v>
      </c>
      <c r="P27" s="258" t="inlineStr">
        <is>
          <t>K+KIDS</t>
        </is>
      </c>
      <c r="Q27" s="678" t="inlineStr">
        <is>
          <t>Non-exclusive all Pay TV Rights and SVOD Right</t>
        </is>
      </c>
      <c r="R27" s="679" t="inlineStr">
        <is>
          <t>No</t>
        </is>
      </c>
      <c r="S27" s="679" t="inlineStr">
        <is>
          <t>Yes</t>
        </is>
      </c>
      <c r="T27" s="679" t="inlineStr">
        <is>
          <t>Yes</t>
        </is>
      </c>
      <c r="U27" s="679" t="inlineStr">
        <is>
          <t>Yes</t>
        </is>
      </c>
      <c r="V27" s="264" t="inlineStr">
        <is>
          <t>No</t>
        </is>
      </c>
      <c r="W27" s="264" t="inlineStr">
        <is>
          <t>No</t>
        </is>
      </c>
      <c r="X27" s="264" t="inlineStr">
        <is>
          <t>No</t>
        </is>
      </c>
      <c r="Y27" s="264" t="inlineStr">
        <is>
          <t>No</t>
        </is>
      </c>
      <c r="Z27" s="680" t="inlineStr">
        <is>
          <t>Unlimited</t>
        </is>
      </c>
      <c r="AA27" s="260" t="inlineStr">
        <is>
          <t>Unlimited Run</t>
        </is>
      </c>
      <c r="AB27" s="680" t="inlineStr">
        <is>
          <t>Yes</t>
        </is>
      </c>
      <c r="AC27" s="680" t="inlineStr">
        <is>
          <t>Yes</t>
        </is>
      </c>
      <c r="AD27" s="678" t="n"/>
      <c r="AE27" s="678" t="inlineStr">
        <is>
          <t>Phim còn hạn từ 2026</t>
        </is>
      </c>
      <c r="AF27" s="203" t="inlineStr">
        <is>
          <t>OGGY AND THE COCKROACHES - Season 5</t>
        </is>
      </c>
      <c r="AG27" s="203" t="n"/>
      <c r="AH27" s="128">
        <f>SUMIF('TK 15661.Bản quyền phim '!F:F,'KK3. Kids'!C27,'TK 15661.Bản quyền phim '!X:X)</f>
        <v/>
      </c>
      <c r="AI27" s="203">
        <f>COUNTIF('TK 15661.Bản quyền phim '!F:F,'KK3. Kids'!AF27)</f>
        <v/>
      </c>
      <c r="AJ27" s="203" t="n"/>
      <c r="AK27" s="203" t="n"/>
      <c r="AL27" s="203" t="n"/>
      <c r="AM27" s="203" t="n"/>
      <c r="AN27" s="203" t="n"/>
      <c r="AO27" s="203" t="n"/>
      <c r="AP27" t="inlineStr">
        <is>
          <t>✓ Found</t>
        </is>
      </c>
    </row>
    <row r="28" ht="47.25" customHeight="1" s="578">
      <c r="A28" s="254" t="n">
        <v>22</v>
      </c>
      <c r="B28" s="255" t="inlineStr">
        <is>
          <t>Ep 1: KID_CAR_23__2695564
Ep 2- Ep26: KID_CAR_23_2695565 - KID_CAR_23_2695589</t>
        </is>
      </c>
      <c r="C28" s="677" t="inlineStr">
        <is>
          <t>OGGY AND THE COCKROACHES - Season 6 (78x7’)</t>
        </is>
      </c>
      <c r="D28" s="681" t="inlineStr">
        <is>
          <t>Oggy và những chú gián tinh nghịch</t>
        </is>
      </c>
      <c r="E28" s="685" t="inlineStr">
        <is>
          <t>Animation Comedy</t>
        </is>
      </c>
      <c r="F28" s="678" t="inlineStr">
        <is>
          <t>Xilam</t>
        </is>
      </c>
      <c r="G28" s="678" t="inlineStr">
        <is>
          <t>kid/Xilam_2023_license_agreement_k_vietnam_oggy_s5_6_7_ (1)</t>
        </is>
      </c>
      <c r="H28" s="681" t="inlineStr">
        <is>
          <t>France</t>
        </is>
      </c>
      <c r="I28" s="266" t="n">
        <v>2017</v>
      </c>
      <c r="J28" s="256" t="n">
        <v>78</v>
      </c>
      <c r="K28" s="256" t="n">
        <v>7</v>
      </c>
      <c r="L28" s="256" t="n">
        <v>9.1</v>
      </c>
      <c r="M28" s="257" t="n">
        <v>45078</v>
      </c>
      <c r="N28" s="257" t="n">
        <v>46173</v>
      </c>
      <c r="O28" s="267" t="n">
        <v>45091</v>
      </c>
      <c r="P28" s="258" t="inlineStr">
        <is>
          <t>K+KIDS</t>
        </is>
      </c>
      <c r="Q28" s="685" t="inlineStr">
        <is>
          <t>Non-exclusive all Pay TV Rights and SVOD Right</t>
        </is>
      </c>
      <c r="R28" s="679" t="inlineStr">
        <is>
          <t>No</t>
        </is>
      </c>
      <c r="S28" s="679" t="inlineStr">
        <is>
          <t>Yes</t>
        </is>
      </c>
      <c r="T28" s="679" t="inlineStr">
        <is>
          <t>Yes</t>
        </is>
      </c>
      <c r="U28" s="679" t="inlineStr">
        <is>
          <t>Yes</t>
        </is>
      </c>
      <c r="V28" s="264" t="inlineStr">
        <is>
          <t>No</t>
        </is>
      </c>
      <c r="W28" s="264" t="inlineStr">
        <is>
          <t>No</t>
        </is>
      </c>
      <c r="X28" s="264" t="inlineStr">
        <is>
          <t>No</t>
        </is>
      </c>
      <c r="Y28" s="264" t="inlineStr">
        <is>
          <t>No</t>
        </is>
      </c>
      <c r="Z28" s="680" t="inlineStr">
        <is>
          <t>Unlimited</t>
        </is>
      </c>
      <c r="AA28" s="260" t="inlineStr">
        <is>
          <t>Unlimited Run</t>
        </is>
      </c>
      <c r="AB28" s="680" t="inlineStr">
        <is>
          <t>Yes</t>
        </is>
      </c>
      <c r="AC28" s="680" t="inlineStr">
        <is>
          <t>Yes</t>
        </is>
      </c>
      <c r="AD28" s="678" t="n"/>
      <c r="AE28" s="678" t="inlineStr">
        <is>
          <t>Phim còn hạn từ 2026</t>
        </is>
      </c>
      <c r="AF28" s="203" t="inlineStr">
        <is>
          <t>OGGY AND THE COCKROACHES - Season 6</t>
        </is>
      </c>
      <c r="AG28" s="203" t="n"/>
      <c r="AH28" s="128">
        <f>SUMIF('TK 15661.Bản quyền phim '!F:F,'KK3. Kids'!C28,'TK 15661.Bản quyền phim '!X:X)</f>
        <v/>
      </c>
      <c r="AI28" s="203">
        <f>COUNTIF('TK 15661.Bản quyền phim '!F:F,'KK3. Kids'!AF28)</f>
        <v/>
      </c>
      <c r="AJ28" s="203" t="n"/>
      <c r="AK28" s="203" t="n"/>
      <c r="AL28" s="203" t="n"/>
      <c r="AM28" s="203" t="n"/>
      <c r="AN28" s="203" t="n"/>
      <c r="AO28" s="203" t="n"/>
      <c r="AP28" t="inlineStr">
        <is>
          <t>✓ Found</t>
        </is>
      </c>
    </row>
    <row r="29" ht="50.25" customHeight="1" s="578">
      <c r="A29" s="254" t="n">
        <v>23</v>
      </c>
      <c r="B29" s="255" t="inlineStr">
        <is>
          <t>Ep 1: KID_CAR_23__2695642
Ep 2- Ep26: KID_CAR_23_2695643 - KID_CAR_23_2695667</t>
        </is>
      </c>
      <c r="C29" s="677" t="inlineStr">
        <is>
          <t>OGGY AND THE COCKROACHES - Season 7 (78x7’)</t>
        </is>
      </c>
      <c r="D29" s="681" t="inlineStr">
        <is>
          <t>Oggy và những chú gián tinh nghịch</t>
        </is>
      </c>
      <c r="E29" s="685" t="inlineStr">
        <is>
          <t>Animation Comedy</t>
        </is>
      </c>
      <c r="F29" s="678" t="inlineStr">
        <is>
          <t>Xilam</t>
        </is>
      </c>
      <c r="G29" s="678" t="inlineStr">
        <is>
          <t>kid/Xilam_2023_license_agreement_k_vietnam_oggy_s5_6_7_ (1)</t>
        </is>
      </c>
      <c r="H29" s="681" t="inlineStr">
        <is>
          <t>France</t>
        </is>
      </c>
      <c r="I29" s="266" t="n">
        <v>2018</v>
      </c>
      <c r="J29" s="256" t="n">
        <v>78</v>
      </c>
      <c r="K29" s="256" t="n">
        <v>7</v>
      </c>
      <c r="L29" s="256" t="n">
        <v>9.1</v>
      </c>
      <c r="M29" s="257" t="n">
        <v>45078</v>
      </c>
      <c r="N29" s="257" t="n">
        <v>46173</v>
      </c>
      <c r="O29" s="267" t="n">
        <v>45104</v>
      </c>
      <c r="P29" s="258" t="inlineStr">
        <is>
          <t>K+KIDS</t>
        </is>
      </c>
      <c r="Q29" s="685" t="inlineStr">
        <is>
          <t>Non-exclusive all Pay TV Rights and SVOD Right</t>
        </is>
      </c>
      <c r="R29" s="679" t="inlineStr">
        <is>
          <t>No</t>
        </is>
      </c>
      <c r="S29" s="679" t="inlineStr">
        <is>
          <t>Yes</t>
        </is>
      </c>
      <c r="T29" s="679" t="inlineStr">
        <is>
          <t>Yes</t>
        </is>
      </c>
      <c r="U29" s="679" t="inlineStr">
        <is>
          <t>Yes</t>
        </is>
      </c>
      <c r="V29" s="264" t="inlineStr">
        <is>
          <t>No</t>
        </is>
      </c>
      <c r="W29" s="264" t="inlineStr">
        <is>
          <t>No</t>
        </is>
      </c>
      <c r="X29" s="264" t="inlineStr">
        <is>
          <t>No</t>
        </is>
      </c>
      <c r="Y29" s="264" t="inlineStr">
        <is>
          <t>No</t>
        </is>
      </c>
      <c r="Z29" s="680" t="inlineStr">
        <is>
          <t>Unlimited</t>
        </is>
      </c>
      <c r="AA29" s="260" t="inlineStr">
        <is>
          <t>Unlimited Run</t>
        </is>
      </c>
      <c r="AB29" s="680" t="inlineStr">
        <is>
          <t>Yes</t>
        </is>
      </c>
      <c r="AC29" s="680" t="inlineStr">
        <is>
          <t>Yes</t>
        </is>
      </c>
      <c r="AD29" s="678" t="n"/>
      <c r="AE29" s="678" t="inlineStr">
        <is>
          <t>Phim còn hạn từ 2026</t>
        </is>
      </c>
      <c r="AF29" s="203" t="inlineStr">
        <is>
          <t>OGGY AND THE COCKROACHES - Season 7</t>
        </is>
      </c>
      <c r="AG29" s="203" t="n"/>
      <c r="AH29" s="128">
        <f>SUMIF('TK 15661.Bản quyền phim '!F:F,'KK3. Kids'!C29,'TK 15661.Bản quyền phim '!X:X)</f>
        <v/>
      </c>
      <c r="AI29" s="203">
        <f>COUNTIF('TK 15661.Bản quyền phim '!F:F,'KK3. Kids'!AF29)</f>
        <v/>
      </c>
      <c r="AJ29" s="203" t="n"/>
      <c r="AK29" s="203" t="n"/>
      <c r="AL29" s="203" t="n"/>
      <c r="AM29" s="203" t="n"/>
      <c r="AN29" s="203" t="n"/>
      <c r="AO29" s="203" t="n"/>
      <c r="AP29" t="inlineStr">
        <is>
          <t>✓ Found</t>
        </is>
      </c>
    </row>
    <row r="30" ht="52.5" customHeight="1" s="578">
      <c r="A30" s="254" t="n">
        <v>24</v>
      </c>
      <c r="B30" s="255" t="inlineStr">
        <is>
          <t>Ep 1: KID_PRE_23__2698649
Ep 2- Ep26: KID_PRE_23_2698650 - KID_PRE_23_2698674</t>
        </is>
      </c>
      <c r="C30" s="677" t="inlineStr">
        <is>
          <t>I’ll get you</t>
        </is>
      </c>
      <c r="D30" s="681" t="inlineStr">
        <is>
          <t>Hãy đợi đấy!</t>
        </is>
      </c>
      <c r="E30" s="685" t="inlineStr">
        <is>
          <t>Animation Comedy</t>
        </is>
      </c>
      <c r="F30" s="268" t="inlineStr">
        <is>
          <t>Animavision</t>
        </is>
      </c>
      <c r="G30" s="678" t="inlineStr">
        <is>
          <t>#LA20032023</t>
        </is>
      </c>
      <c r="H30" s="681" t="inlineStr">
        <is>
          <t>RUS</t>
        </is>
      </c>
      <c r="I30" s="266" t="n">
        <v>2021</v>
      </c>
      <c r="J30" s="256" t="n">
        <v>26</v>
      </c>
      <c r="K30" s="256" t="n">
        <v>7</v>
      </c>
      <c r="L30" s="256" t="n">
        <v>3.033333333333333</v>
      </c>
      <c r="M30" s="257" t="n">
        <v>45187</v>
      </c>
      <c r="N30" s="257" t="n">
        <v>46282</v>
      </c>
      <c r="O30" s="267" t="n">
        <v>45187</v>
      </c>
      <c r="P30" s="258" t="inlineStr">
        <is>
          <t>K+KIDS</t>
        </is>
      </c>
      <c r="Q30" s="685" t="inlineStr">
        <is>
          <t>Non exclusive all Pay TV Rights and SVOD + AVOD Rights during LP</t>
        </is>
      </c>
      <c r="R30" s="679" t="inlineStr">
        <is>
          <t>No</t>
        </is>
      </c>
      <c r="S30" s="679" t="inlineStr">
        <is>
          <t>Yes</t>
        </is>
      </c>
      <c r="T30" s="679" t="inlineStr">
        <is>
          <t>Yes</t>
        </is>
      </c>
      <c r="U30" s="679" t="inlineStr">
        <is>
          <t>Yes</t>
        </is>
      </c>
      <c r="V30" s="264" t="inlineStr">
        <is>
          <t>No</t>
        </is>
      </c>
      <c r="W30" s="679" t="inlineStr">
        <is>
          <t>Yes</t>
        </is>
      </c>
      <c r="X30" s="264" t="inlineStr">
        <is>
          <t>No</t>
        </is>
      </c>
      <c r="Y30" s="264" t="inlineStr">
        <is>
          <t>No</t>
        </is>
      </c>
      <c r="Z30" s="680" t="inlineStr">
        <is>
          <t>Unlimited</t>
        </is>
      </c>
      <c r="AA30" s="260" t="inlineStr">
        <is>
          <t>Unlimited Run</t>
        </is>
      </c>
      <c r="AB30" s="680" t="inlineStr">
        <is>
          <t>Yes</t>
        </is>
      </c>
      <c r="AC30" s="680" t="inlineStr">
        <is>
          <t>Yes</t>
        </is>
      </c>
      <c r="AD30" s="678" t="n"/>
      <c r="AE30" s="678" t="inlineStr">
        <is>
          <t>Phim còn hạn từ 2026</t>
        </is>
      </c>
      <c r="AF30" s="203" t="inlineStr">
        <is>
          <t>I'll get you</t>
        </is>
      </c>
      <c r="AG30" s="203" t="n"/>
      <c r="AH30" s="128">
        <f>SUMIF('TK 15661.Bản quyền phim '!F:F,'KK3. Kids'!C30,'TK 15661.Bản quyền phim '!X:X)</f>
        <v/>
      </c>
      <c r="AI30" s="203">
        <f>COUNTIF('TK 15661.Bản quyền phim '!F:F,'KK3. Kids'!AF30)</f>
        <v/>
      </c>
      <c r="AJ30" s="203" t="n"/>
      <c r="AK30" s="203" t="n"/>
      <c r="AL30" s="203" t="n"/>
      <c r="AM30" s="203" t="n"/>
      <c r="AN30" s="203" t="n"/>
      <c r="AO30" s="203" t="n"/>
      <c r="AP30" t="inlineStr">
        <is>
          <t>✓ Found</t>
        </is>
      </c>
    </row>
    <row r="31" ht="47.25" customHeight="1" s="578">
      <c r="A31" s="254" t="n">
        <v>25</v>
      </c>
      <c r="B31" s="255" t="inlineStr">
        <is>
          <t>Ep 1:KID_PRE_23__2698675
Ep 2- Ep78:KID_PRE_23_2698676-KID_PRE_23_2698726</t>
        </is>
      </c>
      <c r="C31" s="677" t="inlineStr">
        <is>
          <t>Tunes of Rockoons</t>
        </is>
      </c>
      <c r="D31" s="681" t="inlineStr">
        <is>
          <t>Hộp nhạc diệu kỳ</t>
        </is>
      </c>
      <c r="E31" s="685" t="inlineStr">
        <is>
          <t>Animation Comedy</t>
        </is>
      </c>
      <c r="F31" s="268" t="inlineStr">
        <is>
          <t>Animavision</t>
        </is>
      </c>
      <c r="G31" s="678" t="inlineStr">
        <is>
          <t>#LA20032023</t>
        </is>
      </c>
      <c r="H31" s="681" t="inlineStr">
        <is>
          <t>RUS</t>
        </is>
      </c>
      <c r="I31" s="266" t="n">
        <v>2021</v>
      </c>
      <c r="J31" s="256" t="n">
        <v>52</v>
      </c>
      <c r="K31" s="256" t="n">
        <v>7</v>
      </c>
      <c r="L31" s="256" t="n">
        <v>6.066666666666666</v>
      </c>
      <c r="M31" s="257" t="n">
        <v>45152</v>
      </c>
      <c r="N31" s="257" t="n">
        <v>46247</v>
      </c>
      <c r="O31" s="267" t="n">
        <v>45152</v>
      </c>
      <c r="P31" s="258" t="inlineStr">
        <is>
          <t>K+KIDS</t>
        </is>
      </c>
      <c r="Q31" s="685" t="inlineStr">
        <is>
          <t>Non exclusive all Pay TV Rights and SVOD + AVOD Rights during LP</t>
        </is>
      </c>
      <c r="R31" s="679" t="inlineStr">
        <is>
          <t>No</t>
        </is>
      </c>
      <c r="S31" s="679" t="inlineStr">
        <is>
          <t>Yes</t>
        </is>
      </c>
      <c r="T31" s="679" t="inlineStr">
        <is>
          <t>Yes</t>
        </is>
      </c>
      <c r="U31" s="679" t="inlineStr">
        <is>
          <t>Yes</t>
        </is>
      </c>
      <c r="V31" s="264" t="inlineStr">
        <is>
          <t>No</t>
        </is>
      </c>
      <c r="W31" s="679" t="inlineStr">
        <is>
          <t>Yes</t>
        </is>
      </c>
      <c r="X31" s="264" t="inlineStr">
        <is>
          <t>No</t>
        </is>
      </c>
      <c r="Y31" s="264" t="inlineStr">
        <is>
          <t>No</t>
        </is>
      </c>
      <c r="Z31" s="680" t="inlineStr">
        <is>
          <t>Unlimited</t>
        </is>
      </c>
      <c r="AA31" s="260" t="inlineStr">
        <is>
          <t>Unlimited Run</t>
        </is>
      </c>
      <c r="AB31" s="680" t="inlineStr">
        <is>
          <t>Yes</t>
        </is>
      </c>
      <c r="AC31" s="680" t="inlineStr">
        <is>
          <t>Yes</t>
        </is>
      </c>
      <c r="AD31" s="678" t="n"/>
      <c r="AE31" s="678" t="inlineStr">
        <is>
          <t>Phim còn hạn từ 2026</t>
        </is>
      </c>
      <c r="AF31" s="643" t="inlineStr">
        <is>
          <t>Tunes of Rockoons</t>
        </is>
      </c>
      <c r="AG31" s="203" t="n"/>
      <c r="AH31" s="128">
        <f>SUMIF('TK 15661.Bản quyền phim '!F:F,'KK3. Kids'!C31,'TK 15661.Bản quyền phim '!X:X)</f>
        <v/>
      </c>
      <c r="AI31" s="203">
        <f>COUNTIF('TK 15661.Bản quyền phim '!F:F,'KK3. Kids'!AF31)</f>
        <v/>
      </c>
      <c r="AJ31" s="203" t="n"/>
      <c r="AK31" s="203" t="n"/>
      <c r="AL31" s="203" t="n"/>
      <c r="AM31" s="203" t="n"/>
      <c r="AN31" s="203" t="n"/>
      <c r="AO31" s="203" t="n"/>
      <c r="AP31" t="inlineStr">
        <is>
          <t>✓ Found</t>
        </is>
      </c>
    </row>
    <row r="32" ht="55.5" customHeight="1" s="578">
      <c r="A32" s="254" t="n">
        <v>26</v>
      </c>
      <c r="B32" s="255" t="inlineStr">
        <is>
          <t xml:space="preserve">Ep 1-Ep52:KID_PRE_23_2706161-KID_PRE_23_2706211
Ep25:KID_PRE_23__2706160
</t>
        </is>
      </c>
      <c r="C32" s="269" t="inlineStr">
        <is>
          <t>Thomas &amp; Friends Series 25</t>
        </is>
      </c>
      <c r="D32" s="681" t="inlineStr">
        <is>
          <t>Thomas và các bạn</t>
        </is>
      </c>
      <c r="E32" s="269" t="inlineStr">
        <is>
          <t>Animation, Adventure, Comedy</t>
        </is>
      </c>
      <c r="F32" s="269" t="inlineStr">
        <is>
          <t>Gullane (Thomas) Limited</t>
        </is>
      </c>
      <c r="G32" s="678" t="inlineStr">
        <is>
          <t>/Gullane (Thomas) Limited</t>
        </is>
      </c>
      <c r="H32" s="270" t="inlineStr">
        <is>
          <t>US</t>
        </is>
      </c>
      <c r="I32" s="269" t="n">
        <v>2021</v>
      </c>
      <c r="J32" s="269" t="n">
        <v>52</v>
      </c>
      <c r="K32" s="269" t="n">
        <v>11</v>
      </c>
      <c r="L32" s="256" t="n">
        <v>9.533333333333333</v>
      </c>
      <c r="M32" s="271" t="n">
        <v>45200</v>
      </c>
      <c r="N32" s="271" t="n">
        <v>46295</v>
      </c>
      <c r="O32" s="686" t="n">
        <v>45243</v>
      </c>
      <c r="P32" s="258" t="inlineStr">
        <is>
          <t>K+KIDS</t>
        </is>
      </c>
      <c r="Q32" s="269" t="inlineStr">
        <is>
          <t>Non-exclusive all Pay TV Rights and SVOD Right</t>
        </is>
      </c>
      <c r="R32" s="264" t="inlineStr">
        <is>
          <t>No</t>
        </is>
      </c>
      <c r="S32" s="679" t="inlineStr">
        <is>
          <t>Yes</t>
        </is>
      </c>
      <c r="T32" s="679" t="inlineStr">
        <is>
          <t>Yes</t>
        </is>
      </c>
      <c r="U32" s="679" t="inlineStr">
        <is>
          <t>Yes</t>
        </is>
      </c>
      <c r="V32" s="264" t="inlineStr">
        <is>
          <t>No</t>
        </is>
      </c>
      <c r="W32" s="264" t="inlineStr">
        <is>
          <t>No</t>
        </is>
      </c>
      <c r="X32" s="264" t="inlineStr">
        <is>
          <t>No</t>
        </is>
      </c>
      <c r="Y32" s="264" t="inlineStr">
        <is>
          <t>No</t>
        </is>
      </c>
      <c r="Z32" s="264" t="inlineStr">
        <is>
          <t>Unlimited</t>
        </is>
      </c>
      <c r="AA32" s="260" t="inlineStr">
        <is>
          <t>Unlimited Run</t>
        </is>
      </c>
      <c r="AB32" s="680" t="inlineStr">
        <is>
          <t>Yes</t>
        </is>
      </c>
      <c r="AC32" s="680" t="inlineStr">
        <is>
          <t>Yes</t>
        </is>
      </c>
      <c r="AD32" s="678" t="n"/>
      <c r="AE32" s="678" t="inlineStr">
        <is>
          <t>Phim còn hạn từ 2026</t>
        </is>
      </c>
      <c r="AF32" s="643" t="inlineStr">
        <is>
          <t>Thomas &amp; Friends Series 25</t>
        </is>
      </c>
      <c r="AG32" s="203" t="n"/>
      <c r="AH32" s="128">
        <f>SUMIF('TK 15661.Bản quyền phim '!F:F,'KK3. Kids'!C32,'TK 15661.Bản quyền phim '!X:X)</f>
        <v/>
      </c>
      <c r="AI32" s="203">
        <f>COUNTIF('TK 15661.Bản quyền phim '!F:F,'KK3. Kids'!AF32)</f>
        <v/>
      </c>
      <c r="AJ32" s="203" t="n"/>
      <c r="AK32" s="203" t="n"/>
      <c r="AL32" s="203" t="n"/>
      <c r="AM32" s="203" t="n"/>
      <c r="AN32" s="203" t="n"/>
      <c r="AO32" s="203" t="n"/>
      <c r="AP32" t="inlineStr">
        <is>
          <t>✓ Found</t>
        </is>
      </c>
    </row>
    <row r="33" ht="42.75" customHeight="1" s="578">
      <c r="A33" s="254" t="n">
        <v>27</v>
      </c>
      <c r="B33" s="272" t="inlineStr">
        <is>
          <t>KID_PRE_23__2706214</t>
        </is>
      </c>
      <c r="C33" s="269" t="inlineStr">
        <is>
          <t>Thomas &amp; Friends Series 25 Special: Race for the Sodor Cup</t>
        </is>
      </c>
      <c r="D33" s="681" t="inlineStr">
        <is>
          <t>Thomas và các bạn</t>
        </is>
      </c>
      <c r="E33" s="269" t="inlineStr">
        <is>
          <t>Animation, Adventure, Comedy</t>
        </is>
      </c>
      <c r="F33" s="269" t="inlineStr">
        <is>
          <t>Gullane (Thomas) Limited</t>
        </is>
      </c>
      <c r="G33" s="678" t="inlineStr">
        <is>
          <t>/Gullane (Thomas) Limited</t>
        </is>
      </c>
      <c r="H33" s="270" t="inlineStr">
        <is>
          <t>US</t>
        </is>
      </c>
      <c r="I33" s="269" t="n">
        <v>2021</v>
      </c>
      <c r="J33" s="269" t="n">
        <v>1</v>
      </c>
      <c r="K33" s="269" t="n">
        <v>60</v>
      </c>
      <c r="L33" s="256" t="n">
        <v>1</v>
      </c>
      <c r="M33" s="271" t="n">
        <v>45200</v>
      </c>
      <c r="N33" s="271" t="n">
        <v>46295</v>
      </c>
      <c r="O33" s="686" t="n">
        <v>45241</v>
      </c>
      <c r="P33" s="258" t="inlineStr">
        <is>
          <t>K+KIDS</t>
        </is>
      </c>
      <c r="Q33" s="269" t="inlineStr">
        <is>
          <t>Non-exclusive all Pay TV Rights and SVOD Right</t>
        </is>
      </c>
      <c r="R33" s="264" t="inlineStr">
        <is>
          <t>No</t>
        </is>
      </c>
      <c r="S33" s="679" t="inlineStr">
        <is>
          <t>Yes</t>
        </is>
      </c>
      <c r="T33" s="679" t="inlineStr">
        <is>
          <t>Yes</t>
        </is>
      </c>
      <c r="U33" s="679" t="inlineStr">
        <is>
          <t>Yes</t>
        </is>
      </c>
      <c r="V33" s="264" t="inlineStr">
        <is>
          <t>No</t>
        </is>
      </c>
      <c r="W33" s="264" t="inlineStr">
        <is>
          <t>No</t>
        </is>
      </c>
      <c r="X33" s="264" t="inlineStr">
        <is>
          <t>No</t>
        </is>
      </c>
      <c r="Y33" s="264" t="inlineStr">
        <is>
          <t>No</t>
        </is>
      </c>
      <c r="Z33" s="264" t="inlineStr">
        <is>
          <t>Unlimited</t>
        </is>
      </c>
      <c r="AA33" s="260" t="inlineStr">
        <is>
          <t>Unlimited Run</t>
        </is>
      </c>
      <c r="AB33" s="680" t="inlineStr">
        <is>
          <t>Yes</t>
        </is>
      </c>
      <c r="AC33" s="680" t="inlineStr">
        <is>
          <t>Yes</t>
        </is>
      </c>
      <c r="AD33" s="678" t="n"/>
      <c r="AE33" s="678" t="inlineStr">
        <is>
          <t>Phim còn hạn từ 2026</t>
        </is>
      </c>
      <c r="AF33" s="203" t="inlineStr">
        <is>
          <t>Thomas &amp; Friends Series 25</t>
        </is>
      </c>
      <c r="AG33" s="203" t="n"/>
      <c r="AH33" s="128">
        <f>SUMIF('TK 15661.Bản quyền phim '!F:F,'KK3. Kids'!C33,'TK 15661.Bản quyền phim '!X:X)</f>
        <v/>
      </c>
      <c r="AI33" s="203">
        <f>COUNTIF('TK 15661.Bản quyền phim '!F:F,'KK3. Kids'!AF33)</f>
        <v/>
      </c>
      <c r="AJ33" s="203" t="n"/>
      <c r="AK33" s="203" t="n"/>
      <c r="AL33" s="203" t="n"/>
      <c r="AM33" s="203" t="n"/>
      <c r="AN33" s="203" t="n"/>
      <c r="AO33" s="203" t="n"/>
      <c r="AP33" t="inlineStr">
        <is>
          <t>✓ Found</t>
        </is>
      </c>
    </row>
    <row r="34" ht="60" customHeight="1" s="578">
      <c r="A34" s="254" t="n">
        <v>28</v>
      </c>
      <c r="B34" s="255" t="inlineStr">
        <is>
          <t>Ep 1:KID_CAR_23__2700656
Ep 2- Ep26: KID_CAR_23_2700657 - KID_CAR_23_2700681</t>
        </is>
      </c>
      <c r="C34" s="268" t="inlineStr">
        <is>
          <t xml:space="preserve">Talking Tom &amp; Friends S2 </t>
        </is>
      </c>
      <c r="D34" s="681" t="inlineStr">
        <is>
          <t>Tom biết nói</t>
        </is>
      </c>
      <c r="E34" s="268" t="inlineStr">
        <is>
          <t>Adventure, Comedy</t>
        </is>
      </c>
      <c r="F34" s="268" t="inlineStr">
        <is>
          <t xml:space="preserve">Jetpack </t>
        </is>
      </c>
      <c r="G34" s="685" t="inlineStr">
        <is>
          <t>jetpack/Talking Tom</t>
        </is>
      </c>
      <c r="H34" s="681" t="n"/>
      <c r="I34" s="266" t="n">
        <v>2017</v>
      </c>
      <c r="J34" s="268" t="n">
        <v>26</v>
      </c>
      <c r="K34" s="268" t="n">
        <v>11</v>
      </c>
      <c r="L34" s="256" t="n">
        <v>4.766666666666667</v>
      </c>
      <c r="M34" s="273" t="n">
        <v>45261</v>
      </c>
      <c r="N34" s="273" t="n">
        <v>46356</v>
      </c>
      <c r="O34" s="686" t="n">
        <v>45278</v>
      </c>
      <c r="P34" s="680" t="inlineStr">
        <is>
          <t>K+KIDS</t>
        </is>
      </c>
      <c r="Q34" s="268" t="inlineStr">
        <is>
          <t>Non-exclusive all Pay TV Rights and SVOD Right</t>
        </is>
      </c>
      <c r="R34" s="264" t="inlineStr">
        <is>
          <t>No</t>
        </is>
      </c>
      <c r="S34" s="679" t="inlineStr">
        <is>
          <t>Yes</t>
        </is>
      </c>
      <c r="T34" s="679" t="inlineStr">
        <is>
          <t>Yes</t>
        </is>
      </c>
      <c r="U34" s="679" t="inlineStr">
        <is>
          <t>Yes</t>
        </is>
      </c>
      <c r="V34" s="264" t="inlineStr">
        <is>
          <t>No</t>
        </is>
      </c>
      <c r="W34" s="264" t="inlineStr">
        <is>
          <t>No</t>
        </is>
      </c>
      <c r="X34" s="264" t="inlineStr">
        <is>
          <t>No</t>
        </is>
      </c>
      <c r="Y34" s="264" t="inlineStr">
        <is>
          <t>No</t>
        </is>
      </c>
      <c r="Z34" s="264" t="inlineStr">
        <is>
          <t>Unlimited</t>
        </is>
      </c>
      <c r="AA34" s="260" t="inlineStr">
        <is>
          <t>Unlimited Run</t>
        </is>
      </c>
      <c r="AB34" s="680" t="inlineStr">
        <is>
          <t>Yes</t>
        </is>
      </c>
      <c r="AC34" s="680" t="inlineStr">
        <is>
          <t>Yes</t>
        </is>
      </c>
      <c r="AD34" s="678" t="n"/>
      <c r="AE34" s="678" t="inlineStr">
        <is>
          <t>Phim còn hạn từ 2026</t>
        </is>
      </c>
      <c r="AF34" s="203" t="inlineStr">
        <is>
          <t>Talking Tom &amp; Friends S2</t>
        </is>
      </c>
      <c r="AG34" s="203" t="n"/>
      <c r="AH34" s="128">
        <f>SUMIF('TK 15661.Bản quyền phim '!F:F,'KK3. Kids'!C34,'TK 15661.Bản quyền phim '!X:X)</f>
        <v/>
      </c>
      <c r="AI34" s="203">
        <f>COUNTIF('TK 15661.Bản quyền phim '!F:F,'KK3. Kids'!AF34)</f>
        <v/>
      </c>
      <c r="AJ34" s="203" t="n"/>
      <c r="AK34" s="203" t="n"/>
      <c r="AL34" s="203" t="n"/>
      <c r="AM34" s="203" t="n"/>
      <c r="AN34" s="203" t="n"/>
      <c r="AO34" s="203" t="n"/>
      <c r="AP34" t="inlineStr">
        <is>
          <t>✓ Found</t>
        </is>
      </c>
    </row>
    <row r="35" ht="50.25" customHeight="1" s="578">
      <c r="A35" s="254" t="n">
        <v>29</v>
      </c>
      <c r="B35" s="255" t="inlineStr">
        <is>
          <t>Ep 1:KID_CAR_23__2700693
Ep 2- Ep26:KID_CAR_23_2700694 - KID_CAR_23_2700718</t>
        </is>
      </c>
      <c r="C35" s="268" t="inlineStr">
        <is>
          <t>Talking Tom &amp; Friends S3</t>
        </is>
      </c>
      <c r="D35" s="681" t="inlineStr">
        <is>
          <t>Tom biết nói</t>
        </is>
      </c>
      <c r="E35" s="268" t="inlineStr">
        <is>
          <t>Adventure, Comedy</t>
        </is>
      </c>
      <c r="F35" s="268" t="inlineStr">
        <is>
          <t xml:space="preserve">Jetpack </t>
        </is>
      </c>
      <c r="G35" s="685" t="inlineStr">
        <is>
          <t>jetpack/Talking Tom</t>
        </is>
      </c>
      <c r="H35" s="681" t="n"/>
      <c r="I35" s="266" t="n">
        <v>2018</v>
      </c>
      <c r="J35" s="268" t="n">
        <v>26</v>
      </c>
      <c r="K35" s="268" t="n">
        <v>11</v>
      </c>
      <c r="L35" s="256" t="n">
        <v>4.766666666666667</v>
      </c>
      <c r="M35" s="273" t="n">
        <v>45261</v>
      </c>
      <c r="N35" s="273" t="n">
        <v>46356</v>
      </c>
      <c r="O35" s="686" t="n">
        <v>45295</v>
      </c>
      <c r="P35" s="680" t="inlineStr">
        <is>
          <t>K+KIDS</t>
        </is>
      </c>
      <c r="Q35" s="268" t="inlineStr">
        <is>
          <t>Non-exclusive all Pay TV Rights and SVOD Right</t>
        </is>
      </c>
      <c r="R35" s="264" t="inlineStr">
        <is>
          <t>No</t>
        </is>
      </c>
      <c r="S35" s="679" t="inlineStr">
        <is>
          <t>Yes</t>
        </is>
      </c>
      <c r="T35" s="679" t="inlineStr">
        <is>
          <t>Yes</t>
        </is>
      </c>
      <c r="U35" s="679" t="inlineStr">
        <is>
          <t>Yes</t>
        </is>
      </c>
      <c r="V35" s="264" t="inlineStr">
        <is>
          <t>No</t>
        </is>
      </c>
      <c r="W35" s="264" t="inlineStr">
        <is>
          <t>No</t>
        </is>
      </c>
      <c r="X35" s="264" t="inlineStr">
        <is>
          <t>No</t>
        </is>
      </c>
      <c r="Y35" s="264" t="inlineStr">
        <is>
          <t>No</t>
        </is>
      </c>
      <c r="Z35" s="264" t="inlineStr">
        <is>
          <t>Unlimited</t>
        </is>
      </c>
      <c r="AA35" s="260" t="inlineStr">
        <is>
          <t>Unlimited Run</t>
        </is>
      </c>
      <c r="AB35" s="680" t="inlineStr">
        <is>
          <t>Yes</t>
        </is>
      </c>
      <c r="AC35" s="680" t="inlineStr">
        <is>
          <t>Yes</t>
        </is>
      </c>
      <c r="AD35" s="678" t="n"/>
      <c r="AE35" s="678" t="inlineStr">
        <is>
          <t>Phim còn hạn từ 2026</t>
        </is>
      </c>
      <c r="AF35" s="643" t="inlineStr">
        <is>
          <t>Talking Tom &amp; Friends S3</t>
        </is>
      </c>
      <c r="AG35" s="203" t="n"/>
      <c r="AH35" s="128">
        <f>SUMIF('TK 15661.Bản quyền phim '!F:F,'KK3. Kids'!C35,'TK 15661.Bản quyền phim '!X:X)</f>
        <v/>
      </c>
      <c r="AI35" s="203">
        <f>COUNTIF('TK 15661.Bản quyền phim '!F:F,'KK3. Kids'!AF35)</f>
        <v/>
      </c>
      <c r="AJ35" s="203" t="n"/>
      <c r="AK35" s="203" t="n"/>
      <c r="AL35" s="203" t="n"/>
      <c r="AM35" s="203" t="n"/>
      <c r="AN35" s="203" t="n"/>
      <c r="AO35" s="203" t="n"/>
      <c r="AP35" t="inlineStr">
        <is>
          <t>✓ Found</t>
        </is>
      </c>
    </row>
    <row r="36" ht="45.75" customHeight="1" s="578">
      <c r="A36" s="254" t="n">
        <v>30</v>
      </c>
      <c r="B36" s="255" t="inlineStr">
        <is>
          <t>Ep 1:KID_CAR__2712130
Ep 2- Ep52:KID_CAR_2712131 - KID_CAR_2712181</t>
        </is>
      </c>
      <c r="C36" s="268" t="inlineStr">
        <is>
          <t>DORAEMON S12</t>
        </is>
      </c>
      <c r="D36" s="681" t="inlineStr">
        <is>
          <t>Doraemon mùa 12</t>
        </is>
      </c>
      <c r="E36" s="268" t="inlineStr">
        <is>
          <t>Anime, Adventure, Family</t>
        </is>
      </c>
      <c r="F36" s="268" t="inlineStr">
        <is>
          <t>POPS</t>
        </is>
      </c>
      <c r="G36" s="678" t="inlineStr">
        <is>
          <t>34/2024/HDBQ/VSTV-WU</t>
        </is>
      </c>
      <c r="H36" s="274" t="inlineStr">
        <is>
          <t>Japan</t>
        </is>
      </c>
      <c r="I36" s="268" t="n">
        <v>2023</v>
      </c>
      <c r="J36" s="268" t="n">
        <v>52</v>
      </c>
      <c r="K36" s="268" t="n">
        <v>25</v>
      </c>
      <c r="L36" s="256" t="n">
        <v>21.66666666666667</v>
      </c>
      <c r="M36" s="273" t="n">
        <v>45345</v>
      </c>
      <c r="N36" s="273" t="n">
        <v>46440</v>
      </c>
      <c r="O36" s="686" t="n">
        <v>45345</v>
      </c>
      <c r="P36" s="680" t="inlineStr">
        <is>
          <t>K+KIDS</t>
        </is>
      </c>
      <c r="Q36" s="268" t="inlineStr">
        <is>
          <t>Non exclusive</t>
        </is>
      </c>
      <c r="R36" s="266" t="inlineStr">
        <is>
          <t>No</t>
        </is>
      </c>
      <c r="S36" s="679" t="inlineStr">
        <is>
          <t>Yes</t>
        </is>
      </c>
      <c r="T36" s="679" t="inlineStr">
        <is>
          <t>Yes</t>
        </is>
      </c>
      <c r="U36" s="679" t="inlineStr">
        <is>
          <t>Yes</t>
        </is>
      </c>
      <c r="V36" s="266" t="inlineStr">
        <is>
          <t>No</t>
        </is>
      </c>
      <c r="W36" s="266" t="inlineStr">
        <is>
          <t>No</t>
        </is>
      </c>
      <c r="X36" s="266" t="inlineStr">
        <is>
          <t>No</t>
        </is>
      </c>
      <c r="Y36" s="266" t="inlineStr">
        <is>
          <t>No</t>
        </is>
      </c>
      <c r="Z36" s="264" t="inlineStr">
        <is>
          <t>Unlimited</t>
        </is>
      </c>
      <c r="AA36" s="260" t="inlineStr">
        <is>
          <t>Unlimited Run</t>
        </is>
      </c>
      <c r="AB36" s="680" t="inlineStr">
        <is>
          <t>Yes</t>
        </is>
      </c>
      <c r="AC36" s="680" t="inlineStr">
        <is>
          <t>Yes</t>
        </is>
      </c>
      <c r="AD36" s="678" t="n"/>
      <c r="AE36" s="678" t="inlineStr">
        <is>
          <t>Phim còn hạn từ 2026</t>
        </is>
      </c>
      <c r="AF36" s="203" t="inlineStr">
        <is>
          <t>Doraemon Season 12</t>
        </is>
      </c>
      <c r="AG36" s="203" t="n"/>
      <c r="AH36" s="128">
        <f>SUMIF('TK 15661.Bản quyền phim '!F:F,'KK3. Kids'!C36,'TK 15661.Bản quyền phim '!X:X)</f>
        <v/>
      </c>
      <c r="AI36" s="203">
        <f>COUNTIF('TK 15661.Bản quyền phim '!F:F,'KK3. Kids'!AF36)</f>
        <v/>
      </c>
      <c r="AJ36" s="203" t="n"/>
      <c r="AK36" s="203" t="n"/>
      <c r="AL36" s="203" t="n"/>
      <c r="AM36" s="203" t="n"/>
      <c r="AN36" s="203" t="n"/>
      <c r="AO36" s="203" t="n"/>
      <c r="AP36" t="inlineStr">
        <is>
          <t>✓ Found</t>
        </is>
      </c>
    </row>
    <row r="37" ht="61.5" customHeight="1" s="578">
      <c r="A37" s="254" t="n">
        <v>31</v>
      </c>
      <c r="B37" s="255" t="inlineStr">
        <is>
          <t>Ep 1:KID_CAR_24__2713969
Ep 2- Ep52:KID_CAR_24_2713970 - KID_CAR_24_2714020</t>
        </is>
      </c>
      <c r="C37" s="268" t="inlineStr">
        <is>
          <t>THE FOX BADGER FAMILY Season 2</t>
        </is>
      </c>
      <c r="D37" s="681" t="inlineStr">
        <is>
          <t>Gia đình Cáo - Lửng</t>
        </is>
      </c>
      <c r="E37" s="268" t="inlineStr">
        <is>
          <t>Animation, Adventure, Family</t>
        </is>
      </c>
      <c r="F37" s="268" t="inlineStr">
        <is>
          <t>Mediatoon</t>
        </is>
      </c>
      <c r="G37" s="678" t="inlineStr">
        <is>
          <t>Kids/2024_fc_vstv_Mediatoon Kids pack</t>
        </is>
      </c>
      <c r="H37" s="274" t="inlineStr">
        <is>
          <t>France</t>
        </is>
      </c>
      <c r="I37" s="266" t="n">
        <v>2018</v>
      </c>
      <c r="J37" s="268" t="n">
        <v>52</v>
      </c>
      <c r="K37" s="268" t="n">
        <v>12</v>
      </c>
      <c r="L37" s="256" t="n">
        <v>10.4</v>
      </c>
      <c r="M37" s="273" t="n">
        <v>45390</v>
      </c>
      <c r="N37" s="273" t="n">
        <v>46484</v>
      </c>
      <c r="O37" s="686" t="n">
        <v>45413</v>
      </c>
      <c r="P37" s="680" t="inlineStr">
        <is>
          <t>K+KIDS</t>
        </is>
      </c>
      <c r="Q37" s="268" t="inlineStr">
        <is>
          <t>Non exclusive</t>
        </is>
      </c>
      <c r="R37" s="266" t="inlineStr">
        <is>
          <t>No</t>
        </is>
      </c>
      <c r="S37" s="679" t="inlineStr">
        <is>
          <t>Yes</t>
        </is>
      </c>
      <c r="T37" s="679" t="inlineStr">
        <is>
          <t>Yes</t>
        </is>
      </c>
      <c r="U37" s="679" t="inlineStr">
        <is>
          <t>Yes</t>
        </is>
      </c>
      <c r="V37" s="266" t="inlineStr">
        <is>
          <t>No</t>
        </is>
      </c>
      <c r="W37" s="679" t="inlineStr">
        <is>
          <t>Yes</t>
        </is>
      </c>
      <c r="X37" s="266" t="inlineStr">
        <is>
          <t>No</t>
        </is>
      </c>
      <c r="Y37" s="680" t="inlineStr">
        <is>
          <t>yes</t>
        </is>
      </c>
      <c r="Z37" s="266" t="inlineStr">
        <is>
          <t>Unlimited run</t>
        </is>
      </c>
      <c r="AA37" s="260" t="inlineStr">
        <is>
          <t>Unlimited Run</t>
        </is>
      </c>
      <c r="AB37" s="680" t="inlineStr">
        <is>
          <t>Yes</t>
        </is>
      </c>
      <c r="AC37" s="680" t="inlineStr">
        <is>
          <t>Yes</t>
        </is>
      </c>
      <c r="AD37" s="678" t="n"/>
      <c r="AE37" s="678" t="inlineStr">
        <is>
          <t>Phim còn hạn từ 2026</t>
        </is>
      </c>
      <c r="AF37" s="643" t="inlineStr">
        <is>
          <t>THE FOX BADGER FAMILY Season 2</t>
        </is>
      </c>
      <c r="AG37" s="203" t="n"/>
      <c r="AH37" s="128">
        <f>SUMIF('TK 15661.Bản quyền phim '!F:F,'KK3. Kids'!C37,'TK 15661.Bản quyền phim '!X:X)</f>
        <v/>
      </c>
      <c r="AI37" s="203">
        <f>COUNTIF('TK 15661.Bản quyền phim '!F:F,'KK3. Kids'!AF37)</f>
        <v/>
      </c>
      <c r="AJ37" s="203" t="n"/>
      <c r="AK37" s="203" t="n"/>
      <c r="AL37" s="203" t="n"/>
      <c r="AM37" s="203" t="n"/>
      <c r="AN37" s="203" t="n"/>
      <c r="AO37" s="203" t="n"/>
      <c r="AP37" t="inlineStr">
        <is>
          <t>✓ Found</t>
        </is>
      </c>
    </row>
    <row r="38" ht="44.25" customHeight="1" s="578">
      <c r="A38" s="254" t="n">
        <v>32</v>
      </c>
      <c r="B38" s="255" t="inlineStr">
        <is>
          <t>Ep 1:KID_CAR_2715622
Ep 2- Ep52:KID_CAR_2715571 - KID_CAR_2715621</t>
        </is>
      </c>
      <c r="C38" s="268" t="inlineStr">
        <is>
          <t>MARTIN MORNING – CGI SERIES</t>
        </is>
      </c>
      <c r="D38" s="268" t="inlineStr">
        <is>
          <t>Buổi sáng diệu kỳ của Martin</t>
        </is>
      </c>
      <c r="E38" s="268" t="inlineStr">
        <is>
          <t>Animation, Adventure, Family</t>
        </is>
      </c>
      <c r="F38" s="268" t="inlineStr">
        <is>
          <t>Mediatoon</t>
        </is>
      </c>
      <c r="G38" s="678" t="inlineStr">
        <is>
          <t>Kids/2024_fc_vstv_Mediatoon Kids pack</t>
        </is>
      </c>
      <c r="H38" s="274" t="inlineStr">
        <is>
          <t>France</t>
        </is>
      </c>
      <c r="I38" s="266" t="n">
        <v>2018</v>
      </c>
      <c r="J38" s="268" t="n">
        <v>52</v>
      </c>
      <c r="K38" s="268" t="n">
        <v>12</v>
      </c>
      <c r="L38" s="256" t="n">
        <v>10.4</v>
      </c>
      <c r="M38" s="273" t="n">
        <v>45416</v>
      </c>
      <c r="N38" s="273" t="n">
        <v>46510</v>
      </c>
      <c r="O38" s="686" t="n">
        <v>45558</v>
      </c>
      <c r="P38" s="680" t="inlineStr">
        <is>
          <t>K+KIDS</t>
        </is>
      </c>
      <c r="Q38" s="268" t="inlineStr">
        <is>
          <t>Non exclusive</t>
        </is>
      </c>
      <c r="R38" s="266" t="inlineStr">
        <is>
          <t>No</t>
        </is>
      </c>
      <c r="S38" s="679" t="inlineStr">
        <is>
          <t>Yes</t>
        </is>
      </c>
      <c r="T38" s="679" t="inlineStr">
        <is>
          <t>Yes</t>
        </is>
      </c>
      <c r="U38" s="679" t="inlineStr">
        <is>
          <t>Yes</t>
        </is>
      </c>
      <c r="V38" s="266" t="inlineStr">
        <is>
          <t>No</t>
        </is>
      </c>
      <c r="W38" s="679" t="inlineStr">
        <is>
          <t>Yes</t>
        </is>
      </c>
      <c r="X38" s="266" t="inlineStr">
        <is>
          <t>No</t>
        </is>
      </c>
      <c r="Y38" s="680" t="inlineStr">
        <is>
          <t>yes</t>
        </is>
      </c>
      <c r="Z38" s="266" t="inlineStr">
        <is>
          <t>Unlimited run</t>
        </is>
      </c>
      <c r="AA38" s="260" t="inlineStr">
        <is>
          <t>Unlimited Run</t>
        </is>
      </c>
      <c r="AB38" s="680" t="inlineStr">
        <is>
          <t>Yes</t>
        </is>
      </c>
      <c r="AC38" s="680" t="inlineStr">
        <is>
          <t>Yes</t>
        </is>
      </c>
      <c r="AD38" s="678" t="n"/>
      <c r="AE38" s="678" t="inlineStr">
        <is>
          <t>Phim còn hạn từ 2026</t>
        </is>
      </c>
      <c r="AF38" s="643" t="inlineStr">
        <is>
          <t>MARTIN MORNING – CGI SERIES</t>
        </is>
      </c>
      <c r="AG38" s="203" t="n"/>
      <c r="AH38" s="128">
        <f>SUMIF('TK 15661.Bản quyền phim '!F:F,'KK3. Kids'!C38,'TK 15661.Bản quyền phim '!X:X)</f>
        <v/>
      </c>
      <c r="AI38" s="203">
        <f>COUNTIF('TK 15661.Bản quyền phim '!F:F,'KK3. Kids'!AF38)</f>
        <v/>
      </c>
      <c r="AJ38" s="203" t="n"/>
      <c r="AK38" s="203" t="n"/>
      <c r="AL38" s="203" t="n"/>
      <c r="AM38" s="203" t="n"/>
      <c r="AN38" s="203" t="n"/>
      <c r="AO38" s="203" t="n"/>
      <c r="AP38" t="inlineStr">
        <is>
          <t>✓ Found</t>
        </is>
      </c>
    </row>
    <row r="39" ht="43.5" customHeight="1" s="578">
      <c r="A39" s="254" t="n">
        <v>33</v>
      </c>
      <c r="B39" s="255" t="inlineStr">
        <is>
          <t>Ep 1:KID_CAR_24__2714051
Ep 2- Ep20:KID_CAR_24_2714052 - KID_CAR_24_2714070</t>
        </is>
      </c>
      <c r="C39" s="268" t="inlineStr">
        <is>
          <t>DRAGONS: RIDERS OF BERK #01 (2012/13)</t>
        </is>
      </c>
      <c r="D39" s="268" t="inlineStr">
        <is>
          <t>Những câu chuyện về rồng</t>
        </is>
      </c>
      <c r="E39" s="268" t="inlineStr">
        <is>
          <t>Animation, Adventure, Family</t>
        </is>
      </c>
      <c r="F39" s="268" t="inlineStr">
        <is>
          <t>NBC Universal</t>
        </is>
      </c>
      <c r="G39" s="264" t="inlineStr">
        <is>
          <t>5049540-2/161434-3</t>
        </is>
      </c>
      <c r="H39" s="274" t="inlineStr">
        <is>
          <t>US</t>
        </is>
      </c>
      <c r="I39" s="266" t="n">
        <v>2012</v>
      </c>
      <c r="J39" s="268" t="n">
        <v>20</v>
      </c>
      <c r="K39" s="268" t="n">
        <v>30</v>
      </c>
      <c r="L39" s="256" t="n">
        <v>10</v>
      </c>
      <c r="M39" s="273" t="n">
        <v>45383</v>
      </c>
      <c r="N39" s="273" t="n">
        <v>46112</v>
      </c>
      <c r="O39" s="686" t="n">
        <v>45383</v>
      </c>
      <c r="P39" s="258" t="inlineStr">
        <is>
          <t>K+KIDS</t>
        </is>
      </c>
      <c r="Q39" s="268" t="inlineStr">
        <is>
          <t>Exclusive local TV, non exclusive SVOD</t>
        </is>
      </c>
      <c r="R39" s="266" t="inlineStr">
        <is>
          <t>No</t>
        </is>
      </c>
      <c r="S39" s="679" t="inlineStr">
        <is>
          <t>Yes</t>
        </is>
      </c>
      <c r="T39" s="679" t="inlineStr">
        <is>
          <t>Yes</t>
        </is>
      </c>
      <c r="U39" s="679" t="inlineStr">
        <is>
          <t>Yes</t>
        </is>
      </c>
      <c r="V39" s="266" t="inlineStr">
        <is>
          <t>No</t>
        </is>
      </c>
      <c r="W39" s="266" t="inlineStr">
        <is>
          <t>No</t>
        </is>
      </c>
      <c r="X39" s="266" t="inlineStr">
        <is>
          <t>No</t>
        </is>
      </c>
      <c r="Y39" s="680" t="inlineStr">
        <is>
          <t>yes</t>
        </is>
      </c>
      <c r="Z39" s="266" t="inlineStr">
        <is>
          <t>10 exhibition week</t>
        </is>
      </c>
      <c r="AA39" s="260" t="n">
        <v>6</v>
      </c>
      <c r="AB39" s="680" t="inlineStr">
        <is>
          <t>Yes</t>
        </is>
      </c>
      <c r="AC39" s="680" t="inlineStr">
        <is>
          <t>Yes</t>
        </is>
      </c>
      <c r="AD39" s="678" t="n"/>
      <c r="AE39" s="678" t="inlineStr">
        <is>
          <t>Phim còn hạn từ 2026</t>
        </is>
      </c>
      <c r="AF39" s="203" t="inlineStr">
        <is>
          <t>DRAGONS: RIDERS OF BERK season 1</t>
        </is>
      </c>
      <c r="AG39" s="203" t="n"/>
      <c r="AH39" s="128">
        <f>SUMIF('TK 15661.Bản quyền phim '!F:F,'KK3. Kids'!C39,'TK 15661.Bản quyền phim '!X:X)</f>
        <v/>
      </c>
      <c r="AI39" s="203">
        <f>COUNTIF('TK 15661.Bản quyền phim '!F:F,'KK3. Kids'!AF39)</f>
        <v/>
      </c>
      <c r="AJ39" s="203" t="n"/>
      <c r="AK39" s="203" t="n"/>
      <c r="AL39" s="203" t="n"/>
      <c r="AM39" s="203" t="n"/>
      <c r="AN39" s="203" t="n"/>
      <c r="AO39" s="203" t="n"/>
      <c r="AP39" t="inlineStr">
        <is>
          <t>✓ Found</t>
        </is>
      </c>
    </row>
    <row r="40" ht="45.75" customHeight="1" s="578">
      <c r="A40" s="254" t="n">
        <v>34</v>
      </c>
      <c r="B40" s="255" t="inlineStr">
        <is>
          <t>Ep 1- Ep26 : KID_CAR3203 - KID_CAR3229</t>
        </is>
      </c>
      <c r="C40" s="268" t="inlineStr">
        <is>
          <t>MADAGASCAR: A LITTLE WILD #02 (2021/22)</t>
        </is>
      </c>
      <c r="D40" s="268" t="inlineStr">
        <is>
          <t xml:space="preserve"> Madagascar: Sở thú nhí</t>
        </is>
      </c>
      <c r="E40" s="268" t="inlineStr">
        <is>
          <t>Animation, Adventure, Family</t>
        </is>
      </c>
      <c r="F40" s="268" t="inlineStr">
        <is>
          <t>NBC Universal</t>
        </is>
      </c>
      <c r="G40" s="264" t="inlineStr">
        <is>
          <t>5049540-2/161434-3</t>
        </is>
      </c>
      <c r="H40" s="274" t="inlineStr">
        <is>
          <t>US</t>
        </is>
      </c>
      <c r="I40" s="266" t="n">
        <v>2020</v>
      </c>
      <c r="J40" s="268" t="n">
        <v>26</v>
      </c>
      <c r="K40" s="268" t="n">
        <v>30</v>
      </c>
      <c r="L40" s="256" t="n">
        <v>13</v>
      </c>
      <c r="M40" s="273" t="n">
        <v>45481</v>
      </c>
      <c r="N40" s="273" t="n">
        <v>46210</v>
      </c>
      <c r="O40" s="686" t="n">
        <v>45481</v>
      </c>
      <c r="P40" s="258" t="inlineStr">
        <is>
          <t>K+KIDS</t>
        </is>
      </c>
      <c r="Q40" s="268" t="inlineStr">
        <is>
          <t>Exclusive local TV, non exclusive SVOD</t>
        </is>
      </c>
      <c r="R40" s="266" t="inlineStr">
        <is>
          <t>No</t>
        </is>
      </c>
      <c r="S40" s="679" t="inlineStr">
        <is>
          <t>Yes</t>
        </is>
      </c>
      <c r="T40" s="679" t="inlineStr">
        <is>
          <t>Yes</t>
        </is>
      </c>
      <c r="U40" s="679" t="inlineStr">
        <is>
          <t>Yes</t>
        </is>
      </c>
      <c r="V40" s="266" t="inlineStr">
        <is>
          <t>No</t>
        </is>
      </c>
      <c r="W40" s="266" t="inlineStr">
        <is>
          <t>No</t>
        </is>
      </c>
      <c r="X40" s="266" t="inlineStr">
        <is>
          <t>No</t>
        </is>
      </c>
      <c r="Y40" s="680" t="inlineStr">
        <is>
          <t>yes</t>
        </is>
      </c>
      <c r="Z40" s="266" t="inlineStr">
        <is>
          <t>10 exhibition week</t>
        </is>
      </c>
      <c r="AA40" s="260" t="n">
        <v>6</v>
      </c>
      <c r="AB40" s="680" t="inlineStr">
        <is>
          <t>Yes</t>
        </is>
      </c>
      <c r="AC40" s="680" t="inlineStr">
        <is>
          <t>Yes</t>
        </is>
      </c>
      <c r="AD40" s="678" t="n"/>
      <c r="AE40" s="678" t="inlineStr">
        <is>
          <t>Phim còn hạn từ 2026</t>
        </is>
      </c>
      <c r="AF40" s="203" t="inlineStr">
        <is>
          <t>MADAGASCAR: A LITTLE WILD season 2</t>
        </is>
      </c>
      <c r="AG40" s="203" t="n"/>
      <c r="AH40" s="128">
        <f>SUMIF('TK 15661.Bản quyền phim '!F:F,'KK3. Kids'!C40,'TK 15661.Bản quyền phim '!X:X)</f>
        <v/>
      </c>
      <c r="AI40" s="203">
        <f>COUNTIF('TK 15661.Bản quyền phim '!F:F,'KK3. Kids'!AF40)</f>
        <v/>
      </c>
      <c r="AJ40" s="203" t="n"/>
      <c r="AK40" s="203" t="n"/>
      <c r="AL40" s="203" t="n"/>
      <c r="AM40" s="203" t="n"/>
      <c r="AN40" s="203" t="n"/>
      <c r="AO40" s="203" t="n"/>
      <c r="AP40" t="inlineStr">
        <is>
          <t>✓ Found</t>
        </is>
      </c>
    </row>
    <row r="41" ht="40.5" customHeight="1" s="578">
      <c r="A41" s="254" t="n">
        <v>35</v>
      </c>
      <c r="B41" s="272" t="inlineStr">
        <is>
          <t>Ep 1- Ep26: KID_PRE3100 - KID_PRE3125</t>
        </is>
      </c>
      <c r="C41" s="268" t="inlineStr">
        <is>
          <t>TROLLSTOPIA #02 (2021/22)</t>
        </is>
      </c>
      <c r="D41" s="268" t="inlineStr">
        <is>
          <t xml:space="preserve"> Thành phố quỷ lùn</t>
        </is>
      </c>
      <c r="E41" s="268" t="inlineStr">
        <is>
          <t>Animation, Adventure, Family</t>
        </is>
      </c>
      <c r="F41" s="268" t="inlineStr">
        <is>
          <t>NBC Universal</t>
        </is>
      </c>
      <c r="G41" s="264" t="inlineStr">
        <is>
          <t>5049540-2/161434-3</t>
        </is>
      </c>
      <c r="H41" s="274" t="inlineStr">
        <is>
          <t>US</t>
        </is>
      </c>
      <c r="I41" s="266" t="n">
        <v>2020</v>
      </c>
      <c r="J41" s="268" t="n">
        <v>26</v>
      </c>
      <c r="K41" s="268" t="n">
        <v>30</v>
      </c>
      <c r="L41" s="256" t="n">
        <v>13</v>
      </c>
      <c r="M41" s="273" t="n">
        <v>45516</v>
      </c>
      <c r="N41" s="273" t="n">
        <v>46245</v>
      </c>
      <c r="O41" s="686" t="n">
        <v>45523</v>
      </c>
      <c r="P41" s="680" t="inlineStr">
        <is>
          <t>K+KIDS</t>
        </is>
      </c>
      <c r="Q41" s="268" t="inlineStr">
        <is>
          <t>Exclusive local TV, non exclusive SVOD</t>
        </is>
      </c>
      <c r="R41" s="266" t="inlineStr">
        <is>
          <t>No</t>
        </is>
      </c>
      <c r="S41" s="679" t="inlineStr">
        <is>
          <t>Yes</t>
        </is>
      </c>
      <c r="T41" s="679" t="inlineStr">
        <is>
          <t>Yes</t>
        </is>
      </c>
      <c r="U41" s="679" t="inlineStr">
        <is>
          <t>Yes</t>
        </is>
      </c>
      <c r="V41" s="266" t="inlineStr">
        <is>
          <t>No</t>
        </is>
      </c>
      <c r="W41" s="266" t="inlineStr">
        <is>
          <t>No</t>
        </is>
      </c>
      <c r="X41" s="266" t="inlineStr">
        <is>
          <t>No</t>
        </is>
      </c>
      <c r="Y41" s="680" t="inlineStr">
        <is>
          <t>yes</t>
        </is>
      </c>
      <c r="Z41" s="266" t="inlineStr">
        <is>
          <t>10 exhibition week</t>
        </is>
      </c>
      <c r="AA41" s="260" t="n">
        <v>6</v>
      </c>
      <c r="AB41" s="680" t="inlineStr">
        <is>
          <t>Yes</t>
        </is>
      </c>
      <c r="AC41" s="680" t="inlineStr">
        <is>
          <t>Yes</t>
        </is>
      </c>
      <c r="AD41" s="678" t="n"/>
      <c r="AE41" s="678" t="inlineStr">
        <is>
          <t>Phim còn hạn từ 2026</t>
        </is>
      </c>
      <c r="AF41" s="203" t="inlineStr">
        <is>
          <t>TROLLSTOPIA season 2</t>
        </is>
      </c>
      <c r="AG41" s="203" t="n"/>
      <c r="AH41" s="128">
        <f>SUMIF('TK 15661.Bản quyền phim '!F:F,'KK3. Kids'!C41,'TK 15661.Bản quyền phim '!X:X)</f>
        <v/>
      </c>
      <c r="AI41" s="203">
        <f>COUNTIF('TK 15661.Bản quyền phim '!F:F,'KK3. Kids'!AF41)</f>
        <v/>
      </c>
      <c r="AJ41" s="203" t="n"/>
      <c r="AK41" s="203" t="n"/>
      <c r="AL41" s="203" t="n"/>
      <c r="AM41" s="203" t="n"/>
      <c r="AN41" s="203" t="n"/>
      <c r="AO41" s="203" t="n"/>
      <c r="AP41" t="inlineStr">
        <is>
          <t>✓ Found</t>
        </is>
      </c>
    </row>
    <row r="42" ht="42.75" customHeight="1" s="578">
      <c r="A42" s="254" t="n">
        <v>36</v>
      </c>
      <c r="B42" s="255" t="inlineStr">
        <is>
          <t>Ep 1: KID_CAR_24__2715484
Ep 2- Ep26: KID_CAR_24_2715485 - KID_CAR_24_2715509</t>
        </is>
      </c>
      <c r="C42" s="268" t="inlineStr">
        <is>
          <t>TURBO F.A.S.T. #01 (2013/14)</t>
        </is>
      </c>
      <c r="D42" s="268" t="inlineStr">
        <is>
          <t>Turbo và đội đua siêu tốc</t>
        </is>
      </c>
      <c r="E42" s="268" t="inlineStr">
        <is>
          <t>Animation, Adventure, Family</t>
        </is>
      </c>
      <c r="F42" s="268" t="inlineStr">
        <is>
          <t>NBC Universal</t>
        </is>
      </c>
      <c r="G42" s="264" t="inlineStr">
        <is>
          <t>5049540-2/161434-3</t>
        </is>
      </c>
      <c r="H42" s="274" t="inlineStr">
        <is>
          <t>US</t>
        </is>
      </c>
      <c r="I42" s="266" t="n">
        <v>2013</v>
      </c>
      <c r="J42" s="268" t="n">
        <v>26</v>
      </c>
      <c r="K42" s="268" t="n">
        <v>30</v>
      </c>
      <c r="L42" s="256" t="n">
        <v>13</v>
      </c>
      <c r="M42" s="273" t="n">
        <v>45423</v>
      </c>
      <c r="N42" s="273" t="n">
        <v>46152</v>
      </c>
      <c r="O42" s="686" t="n">
        <v>45423</v>
      </c>
      <c r="P42" s="258" t="inlineStr">
        <is>
          <t>K+KIDS</t>
        </is>
      </c>
      <c r="Q42" s="268" t="inlineStr">
        <is>
          <t>Exclusive local TV, non exclusive SVOD</t>
        </is>
      </c>
      <c r="R42" s="266" t="inlineStr">
        <is>
          <t>No</t>
        </is>
      </c>
      <c r="S42" s="679" t="inlineStr">
        <is>
          <t>Yes</t>
        </is>
      </c>
      <c r="T42" s="679" t="inlineStr">
        <is>
          <t>Yes</t>
        </is>
      </c>
      <c r="U42" s="679" t="inlineStr">
        <is>
          <t>Yes</t>
        </is>
      </c>
      <c r="V42" s="266" t="inlineStr">
        <is>
          <t>No</t>
        </is>
      </c>
      <c r="W42" s="266" t="inlineStr">
        <is>
          <t>No</t>
        </is>
      </c>
      <c r="X42" s="266" t="inlineStr">
        <is>
          <t>No</t>
        </is>
      </c>
      <c r="Y42" s="680" t="inlineStr">
        <is>
          <t>yes</t>
        </is>
      </c>
      <c r="Z42" s="266" t="inlineStr">
        <is>
          <t>10 exhibition week</t>
        </is>
      </c>
      <c r="AA42" s="260" t="n">
        <v>6</v>
      </c>
      <c r="AB42" s="680" t="inlineStr">
        <is>
          <t>Yes</t>
        </is>
      </c>
      <c r="AC42" s="680" t="inlineStr">
        <is>
          <t>Yes</t>
        </is>
      </c>
      <c r="AD42" s="678" t="n"/>
      <c r="AE42" s="678" t="inlineStr">
        <is>
          <t>Phim còn hạn từ 2026</t>
        </is>
      </c>
      <c r="AF42" s="203" t="inlineStr">
        <is>
          <t>TURBO F.A.S.T. season 1</t>
        </is>
      </c>
      <c r="AG42" s="203" t="n"/>
      <c r="AH42" s="128">
        <f>SUMIF('TK 15661.Bản quyền phim '!F:F,'KK3. Kids'!C42,'TK 15661.Bản quyền phim '!X:X)</f>
        <v/>
      </c>
      <c r="AI42" s="203">
        <f>COUNTIF('TK 15661.Bản quyền phim '!F:F,'KK3. Kids'!AF42)</f>
        <v/>
      </c>
      <c r="AJ42" s="203" t="n"/>
      <c r="AK42" s="203" t="n"/>
      <c r="AL42" s="203" t="n"/>
      <c r="AM42" s="203" t="n"/>
      <c r="AN42" s="203" t="n"/>
      <c r="AO42" s="203" t="n"/>
      <c r="AP42" t="inlineStr">
        <is>
          <t>✓ Found</t>
        </is>
      </c>
    </row>
    <row r="43" ht="40.5" customHeight="1" s="578">
      <c r="A43" s="254" t="n">
        <v>37</v>
      </c>
      <c r="B43" s="255" t="inlineStr">
        <is>
          <t>Ep 1:KID_CAR__2713229
Ep 2- Ep27:KID_CAR_24_2713230 - KID_CAR_24_2713255</t>
        </is>
      </c>
      <c r="C43" s="268" t="inlineStr">
        <is>
          <t>The Smurfs S1</t>
        </is>
      </c>
      <c r="D43" s="268" t="inlineStr">
        <is>
          <t>Xì Trum</t>
        </is>
      </c>
      <c r="E43" s="268" t="inlineStr">
        <is>
          <t>Animation</t>
        </is>
      </c>
      <c r="F43" s="268" t="inlineStr">
        <is>
          <t>IMPS</t>
        </is>
      </c>
      <c r="G43" s="685" t="inlineStr">
        <is>
          <t>2023_IM_AV -TV_RD_8077</t>
        </is>
      </c>
      <c r="H43" s="274" t="inlineStr">
        <is>
          <t>Belgium</t>
        </is>
      </c>
      <c r="I43" s="266" t="inlineStr">
        <is>
          <t>1981 - 1989</t>
        </is>
      </c>
      <c r="J43" s="268" t="n">
        <v>52</v>
      </c>
      <c r="K43" s="268" t="n">
        <v>30</v>
      </c>
      <c r="L43" s="256" t="n">
        <v>26</v>
      </c>
      <c r="M43" s="273" t="n">
        <v>45352</v>
      </c>
      <c r="N43" s="273" t="n">
        <v>46446</v>
      </c>
      <c r="O43" s="686" t="n">
        <v>45352</v>
      </c>
      <c r="P43" s="680" t="inlineStr">
        <is>
          <t>K+KIDS</t>
        </is>
      </c>
      <c r="Q43" s="268" t="inlineStr">
        <is>
          <t xml:space="preserve">Non exclusive </t>
        </is>
      </c>
      <c r="R43" s="266" t="inlineStr">
        <is>
          <t>No</t>
        </is>
      </c>
      <c r="S43" s="679" t="inlineStr">
        <is>
          <t>Yes</t>
        </is>
      </c>
      <c r="T43" s="679" t="inlineStr">
        <is>
          <t>Yes</t>
        </is>
      </c>
      <c r="U43" s="679" t="inlineStr">
        <is>
          <t>Yes</t>
        </is>
      </c>
      <c r="V43" s="266" t="inlineStr">
        <is>
          <t>No</t>
        </is>
      </c>
      <c r="W43" s="266" t="inlineStr">
        <is>
          <t>No</t>
        </is>
      </c>
      <c r="X43" s="266" t="inlineStr">
        <is>
          <t>No</t>
        </is>
      </c>
      <c r="Y43" s="266" t="inlineStr">
        <is>
          <t>No</t>
        </is>
      </c>
      <c r="Z43" s="266" t="inlineStr">
        <is>
          <t>Unlimited run</t>
        </is>
      </c>
      <c r="AA43" s="260" t="inlineStr">
        <is>
          <t>Unlimited Run</t>
        </is>
      </c>
      <c r="AB43" s="680" t="inlineStr">
        <is>
          <t>Yes</t>
        </is>
      </c>
      <c r="AC43" s="680" t="inlineStr">
        <is>
          <t>Yes</t>
        </is>
      </c>
      <c r="AD43" s="678" t="n"/>
      <c r="AE43" s="678" t="inlineStr">
        <is>
          <t>Phim còn hạn từ 2026</t>
        </is>
      </c>
      <c r="AF43" s="203" t="inlineStr">
        <is>
          <t>SMURFS: THE LOST VILLAGE</t>
        </is>
      </c>
      <c r="AG43" s="203" t="n"/>
      <c r="AH43" s="128">
        <f>SUMIF('TK 15661.Bản quyền phim '!F:F,'KK3. Kids'!C43,'TK 15661.Bản quyền phim '!X:X)</f>
        <v/>
      </c>
      <c r="AI43" s="203">
        <f>COUNTIF('TK 15661.Bản quyền phim '!F:F,'KK3. Kids'!AF43)</f>
        <v/>
      </c>
      <c r="AJ43" s="203" t="n"/>
      <c r="AK43" s="203" t="n"/>
      <c r="AL43" s="203" t="n"/>
      <c r="AM43" s="203" t="n"/>
      <c r="AN43" s="203" t="n"/>
      <c r="AO43" s="203" t="n"/>
      <c r="AP43" t="inlineStr">
        <is>
          <t>✓ Found</t>
        </is>
      </c>
    </row>
    <row r="44" ht="40.5" customHeight="1" s="578">
      <c r="A44" s="254">
        <f>A43+1</f>
        <v/>
      </c>
      <c r="B44" s="255" t="inlineStr">
        <is>
          <t>Ep 1:KID_CAR_24__2714427
Ep 2- Ep26:KID_CAR_24_2714428 - KID_CAR_24_2714452</t>
        </is>
      </c>
      <c r="C44" s="268" t="inlineStr">
        <is>
          <t xml:space="preserve">The Smurfs S9 </t>
        </is>
      </c>
      <c r="D44" s="268" t="inlineStr">
        <is>
          <t>Xì Trum</t>
        </is>
      </c>
      <c r="E44" s="268" t="inlineStr">
        <is>
          <t>Animation</t>
        </is>
      </c>
      <c r="F44" s="268" t="inlineStr">
        <is>
          <t>IMPS</t>
        </is>
      </c>
      <c r="G44" s="685" t="inlineStr">
        <is>
          <t>2023_IM_AV -TV_RD_8077</t>
        </is>
      </c>
      <c r="H44" s="274" t="inlineStr">
        <is>
          <t>Belgium</t>
        </is>
      </c>
      <c r="I44" s="266" t="inlineStr">
        <is>
          <t>1981 - 1989</t>
        </is>
      </c>
      <c r="J44" s="268" t="n">
        <v>52</v>
      </c>
      <c r="K44" s="268" t="n">
        <v>30</v>
      </c>
      <c r="L44" s="256" t="n">
        <v>26</v>
      </c>
      <c r="M44" s="273" t="n">
        <v>45352</v>
      </c>
      <c r="N44" s="273" t="n">
        <v>46446</v>
      </c>
      <c r="O44" s="686" t="n">
        <v>45352</v>
      </c>
      <c r="P44" s="680" t="inlineStr">
        <is>
          <t>K+KIDS</t>
        </is>
      </c>
      <c r="Q44" s="268" t="inlineStr">
        <is>
          <t xml:space="preserve">Non exclusive </t>
        </is>
      </c>
      <c r="R44" s="266" t="inlineStr">
        <is>
          <t>No</t>
        </is>
      </c>
      <c r="S44" s="679" t="inlineStr">
        <is>
          <t>Yes</t>
        </is>
      </c>
      <c r="T44" s="679" t="inlineStr">
        <is>
          <t>Yes</t>
        </is>
      </c>
      <c r="U44" s="679" t="inlineStr">
        <is>
          <t>Yes</t>
        </is>
      </c>
      <c r="V44" s="266" t="inlineStr">
        <is>
          <t>No</t>
        </is>
      </c>
      <c r="W44" s="266" t="inlineStr">
        <is>
          <t>No</t>
        </is>
      </c>
      <c r="X44" s="266" t="inlineStr">
        <is>
          <t>No</t>
        </is>
      </c>
      <c r="Y44" s="266" t="inlineStr">
        <is>
          <t>No</t>
        </is>
      </c>
      <c r="Z44" s="266" t="inlineStr">
        <is>
          <t>Unlimited run</t>
        </is>
      </c>
      <c r="AA44" s="260" t="inlineStr">
        <is>
          <t>Unlimited Run</t>
        </is>
      </c>
      <c r="AB44" s="680" t="inlineStr">
        <is>
          <t>Yes</t>
        </is>
      </c>
      <c r="AC44" s="680" t="inlineStr">
        <is>
          <t>Yes</t>
        </is>
      </c>
      <c r="AD44" s="678" t="n"/>
      <c r="AE44" s="678" t="inlineStr">
        <is>
          <t>Phim còn hạn từ 2026</t>
        </is>
      </c>
      <c r="AF44" s="275" t="inlineStr">
        <is>
          <t>SMURFS: THE LOST VILLAGE</t>
        </is>
      </c>
      <c r="AG44" s="203" t="n"/>
      <c r="AH44" s="128">
        <f>SUMIF('TK 15661.Bản quyền phim '!F:F,'KK3. Kids'!C44,'TK 15661.Bản quyền phim '!X:X)</f>
        <v/>
      </c>
      <c r="AI44" s="203">
        <f>COUNTIF('TK 15661.Bản quyền phim '!F:F,'KK3. Kids'!AF44)</f>
        <v/>
      </c>
      <c r="AJ44" s="203" t="n"/>
      <c r="AK44" s="203" t="n"/>
      <c r="AL44" s="203" t="n"/>
      <c r="AM44" s="203" t="n"/>
      <c r="AN44" s="203" t="n"/>
      <c r="AO44" s="203" t="n"/>
      <c r="AP44" t="inlineStr">
        <is>
          <t>✓ Found</t>
        </is>
      </c>
    </row>
    <row r="45" ht="48" customHeight="1" s="578">
      <c r="A45" s="254">
        <f>A44+1</f>
        <v/>
      </c>
      <c r="B45" s="255" t="inlineStr">
        <is>
          <t xml:space="preserve">Ep 1- Ep26: KID_CAR3122 - KID_CAR3147
</t>
        </is>
      </c>
      <c r="C45" s="268" t="inlineStr">
        <is>
          <t>Princess Doremi Season 1</t>
        </is>
      </c>
      <c r="D45" s="268" t="inlineStr">
        <is>
          <t>Công chúa Doremi</t>
        </is>
      </c>
      <c r="E45" s="268" t="inlineStr">
        <is>
          <t xml:space="preserve">Animation </t>
        </is>
      </c>
      <c r="F45" s="268" t="inlineStr">
        <is>
          <t>FZ</t>
        </is>
      </c>
      <c r="G45" s="678" t="inlineStr">
        <is>
          <t>41/2024/HDBQ/VSTV_FZ</t>
        </is>
      </c>
      <c r="H45" s="274" t="inlineStr">
        <is>
          <t>China</t>
        </is>
      </c>
      <c r="I45" s="266" t="n">
        <v>2020</v>
      </c>
      <c r="J45" s="268" t="n">
        <v>78</v>
      </c>
      <c r="K45" s="268" t="n">
        <v>13</v>
      </c>
      <c r="L45" s="256" t="n">
        <v>16.9</v>
      </c>
      <c r="M45" s="273" t="n">
        <v>45465</v>
      </c>
      <c r="N45" s="273" t="n">
        <v>46559</v>
      </c>
      <c r="O45" s="686" t="n">
        <v>45465</v>
      </c>
      <c r="P45" s="258" t="inlineStr">
        <is>
          <t>K+KIDS</t>
        </is>
      </c>
      <c r="Q45" s="268" t="inlineStr">
        <is>
          <t xml:space="preserve">Non exclusive </t>
        </is>
      </c>
      <c r="R45" s="266" t="inlineStr">
        <is>
          <t>No</t>
        </is>
      </c>
      <c r="S45" s="679" t="inlineStr">
        <is>
          <t>Yes</t>
        </is>
      </c>
      <c r="T45" s="679" t="inlineStr">
        <is>
          <t>Yes</t>
        </is>
      </c>
      <c r="U45" s="679" t="inlineStr">
        <is>
          <t>Yes</t>
        </is>
      </c>
      <c r="V45" s="266" t="inlineStr">
        <is>
          <t>No</t>
        </is>
      </c>
      <c r="W45" s="266" t="inlineStr">
        <is>
          <t>No</t>
        </is>
      </c>
      <c r="X45" s="266" t="inlineStr">
        <is>
          <t>No</t>
        </is>
      </c>
      <c r="Y45" s="266" t="inlineStr">
        <is>
          <t>No</t>
        </is>
      </c>
      <c r="Z45" s="266" t="inlineStr">
        <is>
          <t>Unlimited run</t>
        </is>
      </c>
      <c r="AA45" s="260" t="inlineStr">
        <is>
          <t>Unlimited Run</t>
        </is>
      </c>
      <c r="AB45" s="680" t="inlineStr">
        <is>
          <t>Yes</t>
        </is>
      </c>
      <c r="AC45" s="680" t="inlineStr">
        <is>
          <t>Yes</t>
        </is>
      </c>
      <c r="AD45" s="678" t="n"/>
      <c r="AE45" s="678" t="inlineStr">
        <is>
          <t>Phim còn hạn từ 2026</t>
        </is>
      </c>
      <c r="AF45" s="643" t="inlineStr">
        <is>
          <t>Princess Doremi Season 1</t>
        </is>
      </c>
      <c r="AG45" s="203" t="n"/>
      <c r="AH45" s="128">
        <f>SUMIF('TK 15661.Bản quyền phim '!F:F,'KK3. Kids'!C45,'TK 15661.Bản quyền phim '!X:X)</f>
        <v/>
      </c>
      <c r="AI45" s="203">
        <f>COUNTIF('TK 15661.Bản quyền phim '!F:F,'KK3. Kids'!AF45)</f>
        <v/>
      </c>
      <c r="AJ45" s="203" t="n"/>
      <c r="AK45" s="203" t="n"/>
      <c r="AL45" s="203" t="n"/>
      <c r="AM45" s="203" t="n"/>
      <c r="AN45" s="203" t="n"/>
      <c r="AO45" s="203" t="n"/>
      <c r="AP45" t="inlineStr">
        <is>
          <t>✓ Found</t>
        </is>
      </c>
    </row>
    <row r="46" ht="48" customHeight="1" s="578">
      <c r="A46" s="254">
        <f>A45+1</f>
        <v/>
      </c>
      <c r="B46" s="255" t="inlineStr">
        <is>
          <t xml:space="preserve">Ep 1- Ep26: KID_CAR3148 - KID_CAR3173
</t>
        </is>
      </c>
      <c r="C46" s="268" t="inlineStr">
        <is>
          <t>Princess Doremi Season 2</t>
        </is>
      </c>
      <c r="D46" s="268" t="inlineStr">
        <is>
          <t>Công chúa Doremi</t>
        </is>
      </c>
      <c r="E46" s="268" t="inlineStr">
        <is>
          <t xml:space="preserve">Animation </t>
        </is>
      </c>
      <c r="F46" s="268" t="inlineStr">
        <is>
          <t>FZ</t>
        </is>
      </c>
      <c r="G46" s="678" t="inlineStr">
        <is>
          <t>41/2024/HDBQ/VSTV_FZ</t>
        </is>
      </c>
      <c r="H46" s="274" t="inlineStr">
        <is>
          <t>China</t>
        </is>
      </c>
      <c r="I46" s="266" t="n">
        <v>2020</v>
      </c>
      <c r="J46" s="268" t="n">
        <v>78</v>
      </c>
      <c r="K46" s="268" t="n">
        <v>13</v>
      </c>
      <c r="L46" s="256" t="n">
        <v>16.9</v>
      </c>
      <c r="M46" s="273" t="n">
        <v>45465</v>
      </c>
      <c r="N46" s="273" t="n">
        <v>46559</v>
      </c>
      <c r="O46" s="686" t="n">
        <v>45465</v>
      </c>
      <c r="P46" s="258" t="inlineStr">
        <is>
          <t>K+KIDS</t>
        </is>
      </c>
      <c r="Q46" s="268" t="inlineStr">
        <is>
          <t xml:space="preserve">Non exclusive </t>
        </is>
      </c>
      <c r="R46" s="266" t="inlineStr">
        <is>
          <t>No</t>
        </is>
      </c>
      <c r="S46" s="679" t="inlineStr">
        <is>
          <t>Yes</t>
        </is>
      </c>
      <c r="T46" s="679" t="inlineStr">
        <is>
          <t>Yes</t>
        </is>
      </c>
      <c r="U46" s="679" t="inlineStr">
        <is>
          <t>Yes</t>
        </is>
      </c>
      <c r="V46" s="266" t="inlineStr">
        <is>
          <t>No</t>
        </is>
      </c>
      <c r="W46" s="266" t="inlineStr">
        <is>
          <t>No</t>
        </is>
      </c>
      <c r="X46" s="266" t="inlineStr">
        <is>
          <t>No</t>
        </is>
      </c>
      <c r="Y46" s="266" t="inlineStr">
        <is>
          <t>No</t>
        </is>
      </c>
      <c r="Z46" s="266" t="inlineStr">
        <is>
          <t>Unlimited run</t>
        </is>
      </c>
      <c r="AA46" s="260" t="inlineStr">
        <is>
          <t>Unlimited Run</t>
        </is>
      </c>
      <c r="AB46" s="680" t="inlineStr">
        <is>
          <t>Yes</t>
        </is>
      </c>
      <c r="AC46" s="680" t="inlineStr">
        <is>
          <t>Yes</t>
        </is>
      </c>
      <c r="AD46" s="678" t="n"/>
      <c r="AE46" s="678" t="inlineStr">
        <is>
          <t>Phim còn hạn từ 2026</t>
        </is>
      </c>
      <c r="AF46" s="643" t="inlineStr">
        <is>
          <t>Princess Doremi Season 2</t>
        </is>
      </c>
      <c r="AG46" s="203" t="n"/>
      <c r="AH46" s="128">
        <f>SUMIF('TK 15661.Bản quyền phim '!F:F,'KK3. Kids'!C46,'TK 15661.Bản quyền phim '!X:X)</f>
        <v/>
      </c>
      <c r="AI46" s="203">
        <f>COUNTIF('TK 15661.Bản quyền phim '!F:F,'KK3. Kids'!AF46)</f>
        <v/>
      </c>
      <c r="AJ46" s="203" t="n"/>
      <c r="AK46" s="203" t="n"/>
      <c r="AL46" s="203" t="n"/>
      <c r="AM46" s="203" t="n"/>
      <c r="AN46" s="203" t="n"/>
      <c r="AO46" s="203" t="n"/>
      <c r="AP46" t="inlineStr">
        <is>
          <t>✓ Found</t>
        </is>
      </c>
    </row>
    <row r="47" ht="48" customHeight="1" s="578">
      <c r="A47" s="254">
        <f>A46+1</f>
        <v/>
      </c>
      <c r="B47" s="255" t="inlineStr">
        <is>
          <t xml:space="preserve">Ep 1- Ep26: KID_CAR3174 - KID_CAR3199
</t>
        </is>
      </c>
      <c r="C47" s="268" t="inlineStr">
        <is>
          <t>Princess Doremi Season 3</t>
        </is>
      </c>
      <c r="D47" s="268" t="inlineStr">
        <is>
          <t>Công chúa Doremi</t>
        </is>
      </c>
      <c r="E47" s="268" t="inlineStr">
        <is>
          <t xml:space="preserve">Animation </t>
        </is>
      </c>
      <c r="F47" s="268" t="inlineStr">
        <is>
          <t>FZ</t>
        </is>
      </c>
      <c r="G47" s="678" t="inlineStr">
        <is>
          <t>41/2024/HDBQ/VSTV_FZ</t>
        </is>
      </c>
      <c r="H47" s="274" t="inlineStr">
        <is>
          <t>China</t>
        </is>
      </c>
      <c r="I47" s="266" t="n">
        <v>2020</v>
      </c>
      <c r="J47" s="268" t="n">
        <v>78</v>
      </c>
      <c r="K47" s="268" t="n">
        <v>13</v>
      </c>
      <c r="L47" s="256" t="n">
        <v>16.9</v>
      </c>
      <c r="M47" s="273" t="n">
        <v>45465</v>
      </c>
      <c r="N47" s="273" t="n">
        <v>46559</v>
      </c>
      <c r="O47" s="686" t="n">
        <v>45465</v>
      </c>
      <c r="P47" s="258" t="inlineStr">
        <is>
          <t>K+KIDS</t>
        </is>
      </c>
      <c r="Q47" s="268" t="inlineStr">
        <is>
          <t xml:space="preserve">Non exclusive </t>
        </is>
      </c>
      <c r="R47" s="266" t="inlineStr">
        <is>
          <t>No</t>
        </is>
      </c>
      <c r="S47" s="679" t="inlineStr">
        <is>
          <t>Yes</t>
        </is>
      </c>
      <c r="T47" s="679" t="inlineStr">
        <is>
          <t>Yes</t>
        </is>
      </c>
      <c r="U47" s="679" t="inlineStr">
        <is>
          <t>Yes</t>
        </is>
      </c>
      <c r="V47" s="266" t="inlineStr">
        <is>
          <t>No</t>
        </is>
      </c>
      <c r="W47" s="266" t="inlineStr">
        <is>
          <t>No</t>
        </is>
      </c>
      <c r="X47" s="266" t="inlineStr">
        <is>
          <t>No</t>
        </is>
      </c>
      <c r="Y47" s="266" t="inlineStr">
        <is>
          <t>No</t>
        </is>
      </c>
      <c r="Z47" s="266" t="inlineStr">
        <is>
          <t>Unlimited run</t>
        </is>
      </c>
      <c r="AA47" s="260" t="inlineStr">
        <is>
          <t>Unlimited Run</t>
        </is>
      </c>
      <c r="AB47" s="680" t="inlineStr">
        <is>
          <t>Yes</t>
        </is>
      </c>
      <c r="AC47" s="680" t="inlineStr">
        <is>
          <t>Yes</t>
        </is>
      </c>
      <c r="AD47" s="678" t="n"/>
      <c r="AE47" s="678" t="inlineStr">
        <is>
          <t>Phim còn hạn từ 2026</t>
        </is>
      </c>
      <c r="AF47" s="643" t="inlineStr">
        <is>
          <t>Princess Doremi Season 3</t>
        </is>
      </c>
      <c r="AG47" s="203" t="n"/>
      <c r="AH47" s="128">
        <f>SUMIF('TK 15661.Bản quyền phim '!F:F,'KK3. Kids'!C47,'TK 15661.Bản quyền phim '!X:X)</f>
        <v/>
      </c>
      <c r="AI47" s="203">
        <f>COUNTIF('TK 15661.Bản quyền phim '!F:F,'KK3. Kids'!AF47)</f>
        <v/>
      </c>
      <c r="AJ47" s="203" t="n"/>
      <c r="AK47" s="203" t="n"/>
      <c r="AL47" s="203" t="n"/>
      <c r="AM47" s="203" t="n"/>
      <c r="AN47" s="203" t="n"/>
      <c r="AO47" s="203" t="n"/>
      <c r="AP47" t="inlineStr">
        <is>
          <t>✓ Found</t>
        </is>
      </c>
    </row>
    <row r="48" ht="67.5" customHeight="1" s="578">
      <c r="A48" s="254">
        <f>A47+1</f>
        <v/>
      </c>
      <c r="B48" s="255" t="inlineStr">
        <is>
          <t>Ep 1 - Ep52: KID_CAR3065 - KID_CAR3116</t>
        </is>
      </c>
      <c r="C48" s="268" t="inlineStr">
        <is>
          <t xml:space="preserve">Inspector Gadget Season 1 </t>
        </is>
      </c>
      <c r="D48" s="681" t="inlineStr">
        <is>
          <t>Thám tử Gadget</t>
        </is>
      </c>
      <c r="E48" s="268" t="inlineStr">
        <is>
          <t xml:space="preserve">Animation </t>
        </is>
      </c>
      <c r="F48" s="268" t="inlineStr">
        <is>
          <t xml:space="preserve">Wildbrain </t>
        </is>
      </c>
      <c r="G48" s="254" t="n">
        <v>833306</v>
      </c>
      <c r="H48" s="274" t="inlineStr">
        <is>
          <t xml:space="preserve">UK </t>
        </is>
      </c>
      <c r="I48" s="266" t="n">
        <v>2015</v>
      </c>
      <c r="J48" s="268" t="n">
        <v>52</v>
      </c>
      <c r="K48" s="268" t="n">
        <v>11</v>
      </c>
      <c r="L48" s="256" t="n">
        <v>9.533333333333333</v>
      </c>
      <c r="M48" s="273" t="n">
        <v>45473</v>
      </c>
      <c r="N48" s="273" t="n">
        <v>46680</v>
      </c>
      <c r="O48" s="686" t="n">
        <v>45605</v>
      </c>
      <c r="P48" s="680" t="inlineStr">
        <is>
          <t>K+KIDS</t>
        </is>
      </c>
      <c r="Q48" s="268" t="inlineStr">
        <is>
          <t xml:space="preserve">Non exclusive </t>
        </is>
      </c>
      <c r="R48" s="266" t="inlineStr">
        <is>
          <t>No</t>
        </is>
      </c>
      <c r="S48" s="679" t="inlineStr">
        <is>
          <t>Yes</t>
        </is>
      </c>
      <c r="T48" s="679" t="inlineStr">
        <is>
          <t>Yes</t>
        </is>
      </c>
      <c r="U48" s="679" t="inlineStr">
        <is>
          <t>Yes</t>
        </is>
      </c>
      <c r="V48" s="266" t="inlineStr">
        <is>
          <t>No</t>
        </is>
      </c>
      <c r="W48" s="266" t="inlineStr">
        <is>
          <t>No</t>
        </is>
      </c>
      <c r="X48" s="266" t="inlineStr">
        <is>
          <t>No</t>
        </is>
      </c>
      <c r="Y48" s="266" t="inlineStr">
        <is>
          <t>No</t>
        </is>
      </c>
      <c r="Z48" s="266" t="inlineStr">
        <is>
          <t>Unlimited run</t>
        </is>
      </c>
      <c r="AA48" s="260" t="inlineStr">
        <is>
          <t>Unlimited Run</t>
        </is>
      </c>
      <c r="AB48" s="680" t="inlineStr">
        <is>
          <t>Yes</t>
        </is>
      </c>
      <c r="AC48" s="680" t="inlineStr">
        <is>
          <t>Yes</t>
        </is>
      </c>
      <c r="AD48" s="678" t="n"/>
      <c r="AE48" s="678" t="inlineStr">
        <is>
          <t>Phim còn hạn từ 2026</t>
        </is>
      </c>
      <c r="AF48" s="203" t="inlineStr">
        <is>
          <t>Inspector Gadget Season 1</t>
        </is>
      </c>
      <c r="AG48" s="203" t="n"/>
      <c r="AH48" s="128">
        <f>SUMIF('TK 15661.Bản quyền phim '!F:F,'KK3. Kids'!C48,'TK 15661.Bản quyền phim '!X:X)</f>
        <v/>
      </c>
      <c r="AI48" s="203">
        <f>COUNTIF('TK 15661.Bản quyền phim '!F:F,'KK3. Kids'!AF48)</f>
        <v/>
      </c>
      <c r="AJ48" s="203" t="n"/>
      <c r="AK48" s="203" t="n"/>
      <c r="AL48" s="203" t="n"/>
      <c r="AM48" s="203" t="n"/>
      <c r="AN48" s="203" t="n"/>
      <c r="AO48" s="203" t="n"/>
      <c r="AP48" t="inlineStr">
        <is>
          <t>✓ Found</t>
        </is>
      </c>
    </row>
    <row r="49" ht="50.25" customHeight="1" s="578">
      <c r="A49" s="254">
        <f>A48+1</f>
        <v/>
      </c>
      <c r="B49" s="255" t="inlineStr">
        <is>
          <t>Ep 1: KID_CAR_24__2716477
Ep 2- Ep78: KID_CAR_24_2716478 - KID_CAR_24_2716554</t>
        </is>
      </c>
      <c r="C49" s="268" t="inlineStr">
        <is>
          <t xml:space="preserve">OGGY AND THE COCKROACHES, NEXT GENERATION </t>
        </is>
      </c>
      <c r="D49" s="681" t="inlineStr">
        <is>
          <t>Oggy và những chú gián tinh nghịch: Thế hệ kế tiếp</t>
        </is>
      </c>
      <c r="E49" s="268" t="inlineStr">
        <is>
          <t xml:space="preserve">Animation </t>
        </is>
      </c>
      <c r="F49" s="268" t="inlineStr">
        <is>
          <t>XILAM ANIMATION</t>
        </is>
      </c>
      <c r="G49" s="678" t="inlineStr">
        <is>
          <t>Kid/XA_2024_ONG-Zig4-OOS1_Contrat</t>
        </is>
      </c>
      <c r="H49" s="274" t="inlineStr">
        <is>
          <t>France</t>
        </is>
      </c>
      <c r="I49" s="266" t="n">
        <v>2021</v>
      </c>
      <c r="J49" s="268" t="n">
        <v>78</v>
      </c>
      <c r="K49" s="268" t="n">
        <v>7</v>
      </c>
      <c r="L49" s="256" t="n">
        <v>9.1</v>
      </c>
      <c r="M49" s="273" t="n">
        <v>45481</v>
      </c>
      <c r="N49" s="273" t="n">
        <v>46575</v>
      </c>
      <c r="O49" s="686" t="n">
        <v>45514</v>
      </c>
      <c r="P49" s="680" t="inlineStr">
        <is>
          <t>K+KIDS</t>
        </is>
      </c>
      <c r="Q49" s="268" t="inlineStr">
        <is>
          <t xml:space="preserve">Non exclusive </t>
        </is>
      </c>
      <c r="R49" s="266" t="inlineStr">
        <is>
          <t>No</t>
        </is>
      </c>
      <c r="S49" s="679" t="inlineStr">
        <is>
          <t>Yes</t>
        </is>
      </c>
      <c r="T49" s="679" t="inlineStr">
        <is>
          <t>Yes</t>
        </is>
      </c>
      <c r="U49" s="679" t="inlineStr">
        <is>
          <t>Yes</t>
        </is>
      </c>
      <c r="V49" s="266" t="inlineStr">
        <is>
          <t>No</t>
        </is>
      </c>
      <c r="W49" s="266" t="inlineStr">
        <is>
          <t>No</t>
        </is>
      </c>
      <c r="X49" s="266" t="inlineStr">
        <is>
          <t>No</t>
        </is>
      </c>
      <c r="Y49" s="266" t="inlineStr">
        <is>
          <t>No</t>
        </is>
      </c>
      <c r="Z49" s="266" t="inlineStr">
        <is>
          <t>Unlimited run</t>
        </is>
      </c>
      <c r="AA49" s="260" t="inlineStr">
        <is>
          <t>Unlimited Run</t>
        </is>
      </c>
      <c r="AB49" s="680" t="inlineStr">
        <is>
          <t>Yes</t>
        </is>
      </c>
      <c r="AC49" s="680" t="inlineStr">
        <is>
          <t>Yes</t>
        </is>
      </c>
      <c r="AD49" s="678" t="n"/>
      <c r="AE49" s="678" t="inlineStr">
        <is>
          <t>Phim còn hạn từ 2026</t>
        </is>
      </c>
      <c r="AF49" s="203" t="inlineStr">
        <is>
          <t>OGGY AND THE COCKROACHES, NEXT GENERATION</t>
        </is>
      </c>
      <c r="AG49" s="203" t="n"/>
      <c r="AH49" s="128">
        <f>SUMIF('TK 15661.Bản quyền phim '!F:F,'KK3. Kids'!C49,'TK 15661.Bản quyền phim '!X:X)</f>
        <v/>
      </c>
      <c r="AI49" s="203">
        <f>COUNTIF('TK 15661.Bản quyền phim '!F:F,'KK3. Kids'!AF49)</f>
        <v/>
      </c>
      <c r="AJ49" s="203" t="n"/>
      <c r="AK49" s="203" t="n"/>
      <c r="AL49" s="203" t="n"/>
      <c r="AM49" s="203" t="n"/>
      <c r="AN49" s="203" t="n"/>
      <c r="AO49" s="203" t="n"/>
      <c r="AP49" t="inlineStr">
        <is>
          <t>✓ Found</t>
        </is>
      </c>
    </row>
    <row r="50" ht="55.5" customHeight="1" s="578">
      <c r="A50" s="254">
        <f>A49+1</f>
        <v/>
      </c>
      <c r="B50" s="255" t="inlineStr">
        <is>
          <t>Ep 1- Ep78: KID_PRE3127 - KID_PRE3204</t>
        </is>
      </c>
      <c r="C50" s="268" t="inlineStr">
        <is>
          <t xml:space="preserve">OGGY OGGY – Season 1 </t>
        </is>
      </c>
      <c r="D50" s="681" t="inlineStr">
        <is>
          <t>Oggy nhí</t>
        </is>
      </c>
      <c r="E50" s="268" t="inlineStr">
        <is>
          <t xml:space="preserve">Animation </t>
        </is>
      </c>
      <c r="F50" s="268" t="inlineStr">
        <is>
          <t>XILAM ANIMATION</t>
        </is>
      </c>
      <c r="G50" s="678" t="inlineStr">
        <is>
          <t>Kid/XA_2024_ONG-Zig4-OOS1_Contrat</t>
        </is>
      </c>
      <c r="H50" s="274" t="inlineStr">
        <is>
          <t>France</t>
        </is>
      </c>
      <c r="I50" s="266" t="n">
        <v>2021</v>
      </c>
      <c r="J50" s="268" t="n">
        <v>78</v>
      </c>
      <c r="K50" s="268" t="n">
        <v>7</v>
      </c>
      <c r="L50" s="256" t="n">
        <v>9.1</v>
      </c>
      <c r="M50" s="273" t="n">
        <v>45536</v>
      </c>
      <c r="N50" s="273" t="n">
        <v>46630</v>
      </c>
      <c r="O50" s="686" t="n">
        <v>45556</v>
      </c>
      <c r="P50" s="680" t="inlineStr">
        <is>
          <t>K+KIDS</t>
        </is>
      </c>
      <c r="Q50" s="268" t="inlineStr">
        <is>
          <t xml:space="preserve">Non exclusive </t>
        </is>
      </c>
      <c r="R50" s="266" t="inlineStr">
        <is>
          <t>No</t>
        </is>
      </c>
      <c r="S50" s="679" t="inlineStr">
        <is>
          <t>Yes</t>
        </is>
      </c>
      <c r="T50" s="679" t="inlineStr">
        <is>
          <t>Yes</t>
        </is>
      </c>
      <c r="U50" s="679" t="inlineStr">
        <is>
          <t>Yes</t>
        </is>
      </c>
      <c r="V50" s="266" t="inlineStr">
        <is>
          <t>No</t>
        </is>
      </c>
      <c r="W50" s="266" t="inlineStr">
        <is>
          <t>No</t>
        </is>
      </c>
      <c r="X50" s="266" t="inlineStr">
        <is>
          <t>No</t>
        </is>
      </c>
      <c r="Y50" s="266" t="inlineStr">
        <is>
          <t>No</t>
        </is>
      </c>
      <c r="Z50" s="266" t="inlineStr">
        <is>
          <t>Unlimited run</t>
        </is>
      </c>
      <c r="AA50" s="260" t="inlineStr">
        <is>
          <t>Unlimited Run</t>
        </is>
      </c>
      <c r="AB50" s="680" t="inlineStr">
        <is>
          <t>Yes</t>
        </is>
      </c>
      <c r="AC50" s="680" t="inlineStr">
        <is>
          <t>Yes</t>
        </is>
      </c>
      <c r="AD50" s="678" t="n"/>
      <c r="AE50" s="678" t="inlineStr">
        <is>
          <t>Phim còn hạn từ 2026</t>
        </is>
      </c>
      <c r="AF50" s="203" t="inlineStr">
        <is>
          <t>OGGY OGGY - Season 1</t>
        </is>
      </c>
      <c r="AG50" s="203" t="n"/>
      <c r="AH50" s="128">
        <f>SUMIF('TK 15661.Bản quyền phim '!F:F,'KK3. Kids'!C50,'TK 15661.Bản quyền phim '!X:X)</f>
        <v/>
      </c>
      <c r="AI50" s="203">
        <f>COUNTIF('TK 15661.Bản quyền phim '!F:F,'KK3. Kids'!AF50)</f>
        <v/>
      </c>
      <c r="AJ50" s="203" t="n"/>
      <c r="AK50" s="203" t="n"/>
      <c r="AL50" s="203" t="n"/>
      <c r="AM50" s="203" t="n"/>
      <c r="AN50" s="203" t="n"/>
      <c r="AO50" s="203" t="n"/>
      <c r="AP50" t="inlineStr">
        <is>
          <t>✓ Found</t>
        </is>
      </c>
    </row>
    <row r="51" ht="44.25" customHeight="1" s="578">
      <c r="A51" s="254">
        <f>A50+1</f>
        <v/>
      </c>
      <c r="B51" s="255" t="inlineStr">
        <is>
          <t>Ep 1:KID_CAR_24__2715773
Ep 2- Ep78:KID_CAR_24_2715774 - KID_CAR_24_2715850</t>
        </is>
      </c>
      <c r="C51" s="268" t="inlineStr">
        <is>
          <t xml:space="preserve">ZIG &amp; SHARKO – Season 4 </t>
        </is>
      </c>
      <c r="D51" s="681" t="inlineStr">
        <is>
          <t>Zig và Sharko</t>
        </is>
      </c>
      <c r="E51" s="268" t="inlineStr">
        <is>
          <t xml:space="preserve">Animation </t>
        </is>
      </c>
      <c r="F51" s="268" t="inlineStr">
        <is>
          <t>XILAM ANIMATION</t>
        </is>
      </c>
      <c r="G51" s="678" t="inlineStr">
        <is>
          <t>Kid/XA_2024_ONG-Zig4-OOS1_Contrat</t>
        </is>
      </c>
      <c r="H51" s="274" t="inlineStr">
        <is>
          <t>France</t>
        </is>
      </c>
      <c r="I51" s="266" t="n">
        <v>2010</v>
      </c>
      <c r="J51" s="268" t="n">
        <v>78</v>
      </c>
      <c r="K51" s="268" t="n">
        <v>7</v>
      </c>
      <c r="L51" s="256" t="n">
        <v>9.1</v>
      </c>
      <c r="M51" s="273" t="n">
        <v>45444</v>
      </c>
      <c r="N51" s="273" t="n">
        <v>46538</v>
      </c>
      <c r="O51" s="686" t="n">
        <v>45444</v>
      </c>
      <c r="P51" s="258" t="inlineStr">
        <is>
          <t>K+KIDS</t>
        </is>
      </c>
      <c r="Q51" s="268" t="inlineStr">
        <is>
          <t xml:space="preserve">Non exclusive </t>
        </is>
      </c>
      <c r="R51" s="266" t="inlineStr">
        <is>
          <t>No</t>
        </is>
      </c>
      <c r="S51" s="679" t="inlineStr">
        <is>
          <t>Yes</t>
        </is>
      </c>
      <c r="T51" s="679" t="inlineStr">
        <is>
          <t>Yes</t>
        </is>
      </c>
      <c r="U51" s="679" t="inlineStr">
        <is>
          <t>Yes</t>
        </is>
      </c>
      <c r="V51" s="266" t="inlineStr">
        <is>
          <t>No</t>
        </is>
      </c>
      <c r="W51" s="266" t="inlineStr">
        <is>
          <t>No</t>
        </is>
      </c>
      <c r="X51" s="266" t="inlineStr">
        <is>
          <t>No</t>
        </is>
      </c>
      <c r="Y51" s="266" t="inlineStr">
        <is>
          <t>No</t>
        </is>
      </c>
      <c r="Z51" s="266" t="inlineStr">
        <is>
          <t>Unlimited run</t>
        </is>
      </c>
      <c r="AA51" s="260" t="inlineStr">
        <is>
          <t>Unlimited Run</t>
        </is>
      </c>
      <c r="AB51" s="680" t="inlineStr">
        <is>
          <t>Yes</t>
        </is>
      </c>
      <c r="AC51" s="680" t="inlineStr">
        <is>
          <t>Yes</t>
        </is>
      </c>
      <c r="AD51" s="678" t="n"/>
      <c r="AE51" s="678" t="inlineStr">
        <is>
          <t>Phim còn hạn từ 2026</t>
        </is>
      </c>
      <c r="AF51" s="203" t="inlineStr">
        <is>
          <t>ZIG &amp; SHARKO - Season 4</t>
        </is>
      </c>
      <c r="AG51" s="203" t="n"/>
      <c r="AH51" s="128">
        <f>SUMIF('TK 15661.Bản quyền phim '!F:F,'KK3. Kids'!C51,'TK 15661.Bản quyền phim '!X:X)</f>
        <v/>
      </c>
      <c r="AI51" s="203">
        <f>COUNTIF('TK 15661.Bản quyền phim '!F:F,'KK3. Kids'!AF51)</f>
        <v/>
      </c>
      <c r="AJ51" s="203" t="n"/>
      <c r="AK51" s="203" t="n"/>
      <c r="AL51" s="203" t="n"/>
      <c r="AM51" s="203" t="n"/>
      <c r="AN51" s="203" t="n"/>
      <c r="AO51" s="203" t="n"/>
      <c r="AP51" t="inlineStr">
        <is>
          <t>✓ Found</t>
        </is>
      </c>
    </row>
    <row r="52" ht="46.5" customHeight="1" s="578">
      <c r="A52" s="254">
        <f>A51+1</f>
        <v/>
      </c>
      <c r="B52" s="255" t="inlineStr">
        <is>
          <t>Ep 1- Ep50: KID_PRE3209 - KID_PRE3258</t>
        </is>
      </c>
      <c r="C52" s="677" t="inlineStr">
        <is>
          <t>Wolfoo S2</t>
        </is>
      </c>
      <c r="D52" s="681" t="inlineStr">
        <is>
          <t>Wolfoo</t>
        </is>
      </c>
      <c r="E52" s="268" t="inlineStr">
        <is>
          <t xml:space="preserve">Animation </t>
        </is>
      </c>
      <c r="F52" s="678" t="n"/>
      <c r="G52" s="678" t="inlineStr">
        <is>
          <t>138/2024/HDBQ/VSTV-WU</t>
        </is>
      </c>
      <c r="H52" s="681" t="inlineStr">
        <is>
          <t>Việt Nam</t>
        </is>
      </c>
      <c r="I52" s="680" t="n"/>
      <c r="J52" s="268" t="n">
        <v>50</v>
      </c>
      <c r="K52" s="268" t="n">
        <v>30</v>
      </c>
      <c r="L52" s="256" t="n">
        <v>25</v>
      </c>
      <c r="M52" s="678" t="n">
        <v>45682</v>
      </c>
      <c r="N52" s="678" t="n">
        <v>46776</v>
      </c>
      <c r="O52" s="686" t="n">
        <v>45685</v>
      </c>
      <c r="P52" s="258" t="inlineStr">
        <is>
          <t>K+KIDS</t>
        </is>
      </c>
      <c r="Q52" s="268" t="inlineStr">
        <is>
          <t xml:space="preserve">Non exclusive </t>
        </is>
      </c>
      <c r="R52" s="266" t="inlineStr">
        <is>
          <t>No</t>
        </is>
      </c>
      <c r="S52" s="679" t="inlineStr">
        <is>
          <t>Yes</t>
        </is>
      </c>
      <c r="T52" s="266" t="inlineStr">
        <is>
          <t>No</t>
        </is>
      </c>
      <c r="U52" s="679" t="inlineStr">
        <is>
          <t>Yes</t>
        </is>
      </c>
      <c r="V52" s="679" t="inlineStr">
        <is>
          <t>Yes</t>
        </is>
      </c>
      <c r="W52" s="679" t="inlineStr">
        <is>
          <t>Yes</t>
        </is>
      </c>
      <c r="X52" s="679" t="inlineStr">
        <is>
          <t>Yes</t>
        </is>
      </c>
      <c r="Y52" s="266" t="inlineStr">
        <is>
          <t>No</t>
        </is>
      </c>
      <c r="Z52" s="266" t="inlineStr">
        <is>
          <t>Unlimited run</t>
        </is>
      </c>
      <c r="AA52" s="260" t="inlineStr">
        <is>
          <t>Unlimited Run</t>
        </is>
      </c>
      <c r="AB52" s="680" t="inlineStr">
        <is>
          <t>Yes</t>
        </is>
      </c>
      <c r="AC52" s="680" t="inlineStr">
        <is>
          <t>Yes</t>
        </is>
      </c>
      <c r="AD52" s="678" t="n"/>
      <c r="AE52" s="678" t="inlineStr">
        <is>
          <t>Phim còn hạn từ 2026</t>
        </is>
      </c>
      <c r="AF52" s="203" t="inlineStr">
        <is>
          <t>WOLFOO Season 2</t>
        </is>
      </c>
      <c r="AG52" s="203" t="n"/>
      <c r="AH52" s="128">
        <f>SUMIF('TK 15661.Bản quyền phim '!F:F,'KK3. Kids'!C52,'TK 15661.Bản quyền phim '!X:X)</f>
        <v/>
      </c>
      <c r="AI52" s="203">
        <f>COUNTIF('TK 15661.Bản quyền phim '!F:F,'KK3. Kids'!AF52)</f>
        <v/>
      </c>
      <c r="AJ52" s="203" t="n"/>
      <c r="AK52" s="203" t="n"/>
      <c r="AL52" s="203" t="n"/>
      <c r="AM52" s="203" t="n"/>
      <c r="AN52" s="203" t="n"/>
      <c r="AO52" s="203" t="n"/>
      <c r="AP52" t="inlineStr">
        <is>
          <t>✓ Found</t>
        </is>
      </c>
    </row>
    <row r="53" ht="46.5" customHeight="1" s="578">
      <c r="A53" s="254">
        <f>A52+1</f>
        <v/>
      </c>
      <c r="B53" s="255" t="inlineStr">
        <is>
          <t>Ep 1- Ep52: KID_CAR3242 - KID_CAR3293</t>
        </is>
      </c>
      <c r="C53" s="268" t="inlineStr">
        <is>
          <t>Doraemon S10</t>
        </is>
      </c>
      <c r="D53" s="268" t="inlineStr">
        <is>
          <t>Doraemon mùa 10</t>
        </is>
      </c>
      <c r="E53" s="268" t="inlineStr">
        <is>
          <t>Animation, Adventure, Family</t>
        </is>
      </c>
      <c r="F53" s="678" t="inlineStr">
        <is>
          <t>Pops</t>
        </is>
      </c>
      <c r="G53" s="678" t="inlineStr">
        <is>
          <t>38/2025/HDBQ/VSTV-POPS</t>
        </is>
      </c>
      <c r="H53" s="274" t="inlineStr">
        <is>
          <t>JP</t>
        </is>
      </c>
      <c r="I53" s="268" t="n">
        <v>2016</v>
      </c>
      <c r="J53" s="268" t="n">
        <v>52</v>
      </c>
      <c r="K53" s="268" t="n">
        <v>25</v>
      </c>
      <c r="L53" s="256" t="n">
        <v>21.66666666666667</v>
      </c>
      <c r="M53" s="273" t="n">
        <v>45716</v>
      </c>
      <c r="N53" s="273" t="n">
        <v>46445</v>
      </c>
      <c r="O53" s="686" t="n"/>
      <c r="P53" s="258" t="inlineStr">
        <is>
          <t>K+KIDS</t>
        </is>
      </c>
      <c r="Q53" s="268" t="inlineStr">
        <is>
          <t xml:space="preserve">Non exclusive </t>
        </is>
      </c>
      <c r="R53" s="266" t="inlineStr">
        <is>
          <t>No</t>
        </is>
      </c>
      <c r="S53" s="679" t="inlineStr">
        <is>
          <t>Yes</t>
        </is>
      </c>
      <c r="T53" s="679" t="inlineStr">
        <is>
          <t>Yes</t>
        </is>
      </c>
      <c r="U53" s="679" t="inlineStr">
        <is>
          <t>Yes</t>
        </is>
      </c>
      <c r="V53" s="679" t="inlineStr">
        <is>
          <t>Yes</t>
        </is>
      </c>
      <c r="W53" s="679" t="inlineStr">
        <is>
          <t>Yes</t>
        </is>
      </c>
      <c r="X53" s="679" t="inlineStr">
        <is>
          <t>Yes</t>
        </is>
      </c>
      <c r="Y53" s="679" t="inlineStr">
        <is>
          <t>Yes</t>
        </is>
      </c>
      <c r="Z53" s="266" t="inlineStr">
        <is>
          <t>Unlimited run</t>
        </is>
      </c>
      <c r="AA53" s="260" t="inlineStr">
        <is>
          <t>Unlimited Run</t>
        </is>
      </c>
      <c r="AB53" s="680" t="inlineStr">
        <is>
          <t>Yes</t>
        </is>
      </c>
      <c r="AC53" s="680" t="inlineStr">
        <is>
          <t>Yes</t>
        </is>
      </c>
      <c r="AD53" s="678" t="n"/>
      <c r="AE53" s="678" t="inlineStr">
        <is>
          <t>Phim còn hạn từ 2026</t>
        </is>
      </c>
      <c r="AF53" s="203" t="inlineStr">
        <is>
          <t>Doraemon Season 10</t>
        </is>
      </c>
      <c r="AG53" s="203" t="n"/>
      <c r="AH53" s="128">
        <f>SUMIF('TK 15661.Bản quyền phim '!F:F,'KK3. Kids'!C53,'TK 15661.Bản quyền phim '!X:X)</f>
        <v/>
      </c>
      <c r="AI53" s="203">
        <f>COUNTIF('TK 15661.Bản quyền phim '!F:F,'KK3. Kids'!AF53)</f>
        <v/>
      </c>
      <c r="AJ53" s="203" t="n"/>
      <c r="AK53" s="203" t="n"/>
      <c r="AL53" s="203" t="n"/>
      <c r="AM53" s="203" t="n"/>
      <c r="AN53" s="203" t="n"/>
      <c r="AO53" s="203" t="n"/>
      <c r="AP53" t="inlineStr">
        <is>
          <t>✓ Found</t>
        </is>
      </c>
    </row>
    <row r="54" ht="22.5" customHeight="1" s="578">
      <c r="A54" s="254">
        <f>A53+1</f>
        <v/>
      </c>
      <c r="B54" s="255" t="inlineStr">
        <is>
          <t>Ep 1- Ep52:KID_CAR3295 - KID_CAR3346</t>
        </is>
      </c>
      <c r="C54" s="268" t="inlineStr">
        <is>
          <t>Doraemon S11</t>
        </is>
      </c>
      <c r="D54" s="268" t="inlineStr">
        <is>
          <t>Doraemon mùa 11</t>
        </is>
      </c>
      <c r="E54" s="268" t="inlineStr">
        <is>
          <t>Animation, Adventure, Family</t>
        </is>
      </c>
      <c r="F54" s="678" t="inlineStr">
        <is>
          <t>Pops</t>
        </is>
      </c>
      <c r="G54" s="678" t="inlineStr">
        <is>
          <t>37B/2025/HDBQ/VSTV-POPS</t>
        </is>
      </c>
      <c r="H54" s="274" t="inlineStr">
        <is>
          <t>JP</t>
        </is>
      </c>
      <c r="I54" s="680" t="n"/>
      <c r="J54" s="268" t="n">
        <v>52</v>
      </c>
      <c r="K54" s="268" t="n">
        <v>25</v>
      </c>
      <c r="L54" s="256" t="n">
        <v>21.66666666666667</v>
      </c>
      <c r="M54" s="273" t="n">
        <v>45762</v>
      </c>
      <c r="N54" s="273" t="n">
        <v>46491</v>
      </c>
      <c r="O54" s="686" t="n"/>
      <c r="P54" s="258" t="inlineStr">
        <is>
          <t>K+KIDS</t>
        </is>
      </c>
      <c r="Q54" s="268" t="inlineStr">
        <is>
          <t xml:space="preserve">Non exclusive </t>
        </is>
      </c>
      <c r="R54" s="266" t="inlineStr">
        <is>
          <t>No</t>
        </is>
      </c>
      <c r="S54" s="679" t="inlineStr">
        <is>
          <t>Yes</t>
        </is>
      </c>
      <c r="T54" s="679" t="inlineStr">
        <is>
          <t>Yes</t>
        </is>
      </c>
      <c r="U54" s="679" t="inlineStr">
        <is>
          <t>Yes</t>
        </is>
      </c>
      <c r="V54" s="679" t="inlineStr">
        <is>
          <t>Yes</t>
        </is>
      </c>
      <c r="W54" s="679" t="inlineStr">
        <is>
          <t>Yes</t>
        </is>
      </c>
      <c r="X54" s="679" t="inlineStr">
        <is>
          <t>Yes</t>
        </is>
      </c>
      <c r="Y54" s="679" t="inlineStr">
        <is>
          <t>Yes</t>
        </is>
      </c>
      <c r="Z54" s="266" t="inlineStr">
        <is>
          <t>Unlimited run</t>
        </is>
      </c>
      <c r="AA54" s="260" t="inlineStr">
        <is>
          <t>Unlimited Run</t>
        </is>
      </c>
      <c r="AB54" s="680" t="inlineStr">
        <is>
          <t>Yes</t>
        </is>
      </c>
      <c r="AC54" s="680" t="inlineStr">
        <is>
          <t>Yes</t>
        </is>
      </c>
      <c r="AD54" s="678" t="n"/>
      <c r="AE54" s="678" t="inlineStr">
        <is>
          <t>Phim còn hạn từ 2026</t>
        </is>
      </c>
      <c r="AF54" s="203" t="inlineStr">
        <is>
          <t>DORAEMON Season 11</t>
        </is>
      </c>
      <c r="AG54" s="203" t="n"/>
      <c r="AH54" s="128">
        <f>SUMIF('TK 15661.Bản quyền phim '!F:F,'KK3. Kids'!C54,'TK 15661.Bản quyền phim '!X:X)</f>
        <v/>
      </c>
      <c r="AI54" s="203">
        <f>COUNTIF('TK 15661.Bản quyền phim '!F:F,'KK3. Kids'!AF54)</f>
        <v/>
      </c>
      <c r="AJ54" s="203" t="n"/>
      <c r="AK54" s="203" t="n"/>
      <c r="AL54" s="203" t="n"/>
      <c r="AM54" s="203" t="n"/>
      <c r="AN54" s="203" t="n"/>
      <c r="AO54" s="203" t="n"/>
      <c r="AP54" t="inlineStr">
        <is>
          <t>✓ Found</t>
        </is>
      </c>
    </row>
    <row r="55" ht="49.5" customHeight="1" s="578">
      <c r="A55" s="254">
        <f>A54+1</f>
        <v/>
      </c>
      <c r="B55" s="255" t="inlineStr">
        <is>
          <t>Ep 1- Ep52: KID_CAR3348 - KID_CAR3399</t>
        </is>
      </c>
      <c r="C55" s="268" t="inlineStr">
        <is>
          <t>Doraemon S13</t>
        </is>
      </c>
      <c r="D55" s="268" t="inlineStr">
        <is>
          <t>Doraemon mùa 13</t>
        </is>
      </c>
      <c r="E55" s="268" t="inlineStr">
        <is>
          <t>Animation, Adventure, Family</t>
        </is>
      </c>
      <c r="F55" s="678" t="inlineStr">
        <is>
          <t>Pops</t>
        </is>
      </c>
      <c r="G55" s="678" t="inlineStr">
        <is>
          <t>38B/2025/HDBQ/VSTV-POPS</t>
        </is>
      </c>
      <c r="H55" s="274" t="inlineStr">
        <is>
          <t>JP</t>
        </is>
      </c>
      <c r="I55" s="680" t="n"/>
      <c r="J55" s="268" t="n">
        <v>52</v>
      </c>
      <c r="K55" s="268" t="n">
        <v>25</v>
      </c>
      <c r="L55" s="256" t="n">
        <v>21.66666666666667</v>
      </c>
      <c r="M55" s="276" t="n">
        <v>45800</v>
      </c>
      <c r="N55" s="276" t="n">
        <v>46895</v>
      </c>
      <c r="O55" s="686" t="n"/>
      <c r="P55" s="258" t="inlineStr">
        <is>
          <t>K+KIDS</t>
        </is>
      </c>
      <c r="Q55" s="268" t="inlineStr">
        <is>
          <t xml:space="preserve">Non exclusive </t>
        </is>
      </c>
      <c r="R55" s="266" t="inlineStr">
        <is>
          <t>No</t>
        </is>
      </c>
      <c r="S55" s="679" t="inlineStr">
        <is>
          <t>Yes</t>
        </is>
      </c>
      <c r="T55" s="679" t="inlineStr">
        <is>
          <t>Yes</t>
        </is>
      </c>
      <c r="U55" s="679" t="inlineStr">
        <is>
          <t>Yes</t>
        </is>
      </c>
      <c r="V55" s="680" t="inlineStr">
        <is>
          <t>No</t>
        </is>
      </c>
      <c r="W55" s="680" t="inlineStr">
        <is>
          <t>No</t>
        </is>
      </c>
      <c r="X55" s="680" t="inlineStr">
        <is>
          <t>No</t>
        </is>
      </c>
      <c r="Y55" s="679" t="inlineStr">
        <is>
          <t>No</t>
        </is>
      </c>
      <c r="Z55" s="266" t="inlineStr">
        <is>
          <t>Unlimited run</t>
        </is>
      </c>
      <c r="AA55" s="260" t="inlineStr">
        <is>
          <t>Unlimited Run</t>
        </is>
      </c>
      <c r="AB55" s="680" t="inlineStr">
        <is>
          <t>Yes</t>
        </is>
      </c>
      <c r="AC55" s="680" t="inlineStr">
        <is>
          <t>Yes</t>
        </is>
      </c>
      <c r="AD55" s="678" t="n"/>
      <c r="AE55" s="678" t="inlineStr">
        <is>
          <t>Phim còn hạn từ 2026</t>
        </is>
      </c>
      <c r="AF55" s="203" t="inlineStr">
        <is>
          <t>DORAEMON Season 13</t>
        </is>
      </c>
      <c r="AG55" s="203" t="n"/>
      <c r="AH55" s="128">
        <f>SUMIF('TK 15661.Bản quyền phim '!F:F,'KK3. Kids'!C55,'TK 15661.Bản quyền phim '!X:X)</f>
        <v/>
      </c>
      <c r="AI55" s="203">
        <f>COUNTIF('TK 15661.Bản quyền phim '!F:F,'KK3. Kids'!AF55)</f>
        <v/>
      </c>
      <c r="AJ55" s="203" t="n"/>
      <c r="AK55" s="203" t="n"/>
      <c r="AL55" s="203" t="n"/>
      <c r="AM55" s="203" t="n"/>
      <c r="AN55" s="203" t="n"/>
      <c r="AO55" s="203" t="n"/>
      <c r="AP55" t="inlineStr">
        <is>
          <t>✓ Found</t>
        </is>
      </c>
    </row>
    <row r="56" ht="56.25" customHeight="1" s="578">
      <c r="A56" s="254">
        <f>A55+1</f>
        <v/>
      </c>
      <c r="B56" s="255" t="inlineStr">
        <is>
          <t>Ep 1- Ep26: KID_PRE3263  - KID_PRE3288</t>
        </is>
      </c>
      <c r="C56" s="268" t="inlineStr">
        <is>
          <t>Pororo S6</t>
        </is>
      </c>
      <c r="D56" s="681" t="n"/>
      <c r="E56" s="268" t="inlineStr">
        <is>
          <t>Animation</t>
        </is>
      </c>
      <c r="F56" s="268" t="inlineStr">
        <is>
          <t xml:space="preserve">Iconix </t>
        </is>
      </c>
      <c r="G56" s="685" t="inlineStr">
        <is>
          <t>11/2025/HDBQ/VSTV_Iconix</t>
        </is>
      </c>
      <c r="H56" s="681" t="inlineStr">
        <is>
          <t>Korea</t>
        </is>
      </c>
      <c r="I56" s="268" t="n">
        <v>2016</v>
      </c>
      <c r="J56" s="268" t="n">
        <v>26</v>
      </c>
      <c r="K56" s="268" t="n">
        <v>11</v>
      </c>
      <c r="L56" s="256" t="n">
        <v>4.766666666666667</v>
      </c>
      <c r="M56" s="273" t="n">
        <v>45738</v>
      </c>
      <c r="N56" s="273" t="n">
        <v>46833</v>
      </c>
      <c r="O56" s="686" t="n"/>
      <c r="P56" s="258" t="inlineStr">
        <is>
          <t>K+KIDS</t>
        </is>
      </c>
      <c r="Q56" s="268" t="inlineStr">
        <is>
          <t xml:space="preserve">Non exclusive </t>
        </is>
      </c>
      <c r="R56" s="266" t="inlineStr">
        <is>
          <t>No</t>
        </is>
      </c>
      <c r="S56" s="679" t="inlineStr">
        <is>
          <t>Yes</t>
        </is>
      </c>
      <c r="T56" s="679" t="inlineStr">
        <is>
          <t>Yes</t>
        </is>
      </c>
      <c r="U56" s="679" t="inlineStr">
        <is>
          <t>Yes</t>
        </is>
      </c>
      <c r="V56" s="679" t="inlineStr">
        <is>
          <t>Yes</t>
        </is>
      </c>
      <c r="W56" s="679" t="inlineStr">
        <is>
          <t>Yes</t>
        </is>
      </c>
      <c r="X56" s="679" t="inlineStr">
        <is>
          <t>Yes</t>
        </is>
      </c>
      <c r="Y56" s="679" t="inlineStr">
        <is>
          <t>Yes</t>
        </is>
      </c>
      <c r="Z56" s="266" t="inlineStr">
        <is>
          <t>Unlimited run</t>
        </is>
      </c>
      <c r="AA56" s="260" t="inlineStr">
        <is>
          <t>Unlimited Run</t>
        </is>
      </c>
      <c r="AB56" s="680" t="inlineStr">
        <is>
          <t>Yes</t>
        </is>
      </c>
      <c r="AC56" s="680" t="inlineStr">
        <is>
          <t>Yes</t>
        </is>
      </c>
      <c r="AD56" s="678" t="n"/>
      <c r="AE56" s="678" t="inlineStr">
        <is>
          <t>Phim còn hạn từ 2026</t>
        </is>
      </c>
      <c r="AF56" s="203" t="inlineStr">
        <is>
          <t>Pororo Season 6</t>
        </is>
      </c>
      <c r="AG56" s="203" t="n"/>
      <c r="AH56" s="128">
        <f>SUMIF('TK 15661.Bản quyền phim '!F:F,'KK3. Kids'!C56,'TK 15661.Bản quyền phim '!X:X)</f>
        <v/>
      </c>
      <c r="AI56" s="203">
        <f>COUNTIF('TK 15661.Bản quyền phim '!F:F,'KK3. Kids'!AF56)</f>
        <v/>
      </c>
      <c r="AJ56" s="203" t="n"/>
      <c r="AK56" s="203" t="n"/>
      <c r="AL56" s="203" t="n"/>
      <c r="AM56" s="203" t="n"/>
      <c r="AN56" s="203" t="n"/>
      <c r="AO56" s="203" t="n"/>
      <c r="AP56" t="inlineStr">
        <is>
          <t>✗ Not Found</t>
        </is>
      </c>
    </row>
    <row r="57" ht="51" customHeight="1" s="578">
      <c r="A57" s="254">
        <f>A56+1</f>
        <v/>
      </c>
      <c r="B57" s="255" t="inlineStr">
        <is>
          <t>Ep 1- Ep26: KID_PRE3289 - KID_PRE3314</t>
        </is>
      </c>
      <c r="C57" s="268" t="inlineStr">
        <is>
          <t>Pororo S7</t>
        </is>
      </c>
      <c r="D57" s="681" t="n"/>
      <c r="E57" s="268" t="inlineStr">
        <is>
          <t>Animation</t>
        </is>
      </c>
      <c r="F57" s="268" t="inlineStr">
        <is>
          <t xml:space="preserve">Iconix </t>
        </is>
      </c>
      <c r="G57" s="685" t="inlineStr">
        <is>
          <t>11/2025/HDBQ/VSTV_Iconix</t>
        </is>
      </c>
      <c r="H57" s="681" t="inlineStr">
        <is>
          <t>Korea</t>
        </is>
      </c>
      <c r="I57" s="268" t="n">
        <v>2020</v>
      </c>
      <c r="J57" s="268" t="n">
        <v>26</v>
      </c>
      <c r="K57" s="268" t="n">
        <v>11</v>
      </c>
      <c r="L57" s="256" t="n">
        <v>4.766666666666667</v>
      </c>
      <c r="M57" s="273" t="n">
        <v>45759</v>
      </c>
      <c r="N57" s="273" t="n">
        <v>46854</v>
      </c>
      <c r="O57" s="686" t="n"/>
      <c r="P57" s="258" t="inlineStr">
        <is>
          <t>K+KIDS</t>
        </is>
      </c>
      <c r="Q57" s="268" t="inlineStr">
        <is>
          <t xml:space="preserve">Non exclusive </t>
        </is>
      </c>
      <c r="R57" s="266" t="inlineStr">
        <is>
          <t>No</t>
        </is>
      </c>
      <c r="S57" s="679" t="inlineStr">
        <is>
          <t>Yes</t>
        </is>
      </c>
      <c r="T57" s="679" t="inlineStr">
        <is>
          <t>Yes</t>
        </is>
      </c>
      <c r="U57" s="679" t="inlineStr">
        <is>
          <t>Yes</t>
        </is>
      </c>
      <c r="V57" s="679" t="inlineStr">
        <is>
          <t>Yes</t>
        </is>
      </c>
      <c r="W57" s="679" t="inlineStr">
        <is>
          <t>Yes</t>
        </is>
      </c>
      <c r="X57" s="679" t="inlineStr">
        <is>
          <t>Yes</t>
        </is>
      </c>
      <c r="Y57" s="679" t="inlineStr">
        <is>
          <t>Yes</t>
        </is>
      </c>
      <c r="Z57" s="266" t="inlineStr">
        <is>
          <t>Unlimited run</t>
        </is>
      </c>
      <c r="AA57" s="260" t="inlineStr">
        <is>
          <t>Unlimited Run</t>
        </is>
      </c>
      <c r="AB57" s="680" t="inlineStr">
        <is>
          <t>Yes</t>
        </is>
      </c>
      <c r="AC57" s="680" t="inlineStr">
        <is>
          <t>Yes</t>
        </is>
      </c>
      <c r="AD57" s="678" t="n"/>
      <c r="AE57" s="678" t="inlineStr">
        <is>
          <t>Phim còn hạn từ 2026</t>
        </is>
      </c>
      <c r="AF57" s="203" t="inlineStr">
        <is>
          <t>Pororo Season 7</t>
        </is>
      </c>
      <c r="AG57" s="203" t="n"/>
      <c r="AH57" s="128">
        <f>SUMIF('TK 15661.Bản quyền phim '!F:F,'KK3. Kids'!C57,'TK 15661.Bản quyền phim '!X:X)</f>
        <v/>
      </c>
      <c r="AI57" s="203">
        <f>COUNTIF('TK 15661.Bản quyền phim '!F:F,'KK3. Kids'!AF57)</f>
        <v/>
      </c>
      <c r="AJ57" s="203" t="n"/>
      <c r="AK57" s="203" t="n"/>
      <c r="AL57" s="203" t="n"/>
      <c r="AM57" s="203" t="n"/>
      <c r="AN57" s="203" t="n"/>
      <c r="AO57" s="203" t="n"/>
      <c r="AP57" t="inlineStr">
        <is>
          <t>✗ Not Found</t>
        </is>
      </c>
    </row>
    <row r="58" ht="26.4" customFormat="1" customHeight="1" s="282">
      <c r="A58" s="277" t="inlineStr">
        <is>
          <t>Bổ sung</t>
        </is>
      </c>
      <c r="B58" s="278" t="inlineStr">
        <is>
          <t>Thomas &amp; Friends Series 25 Special – Race for the Sodor Cup</t>
        </is>
      </c>
      <c r="C58" s="278" t="inlineStr">
        <is>
          <t>GULLANE (THOMAS) LIMITED</t>
        </is>
      </c>
      <c r="D58" s="279" t="n"/>
      <c r="E58" s="279" t="n"/>
      <c r="F58" s="279" t="n"/>
      <c r="G58" s="279" t="n"/>
      <c r="H58" s="279" t="n"/>
      <c r="I58" s="279" t="n"/>
      <c r="J58" s="279" t="n"/>
      <c r="K58" s="279" t="n"/>
      <c r="L58" s="279" t="n"/>
      <c r="M58" s="280" t="n">
        <v>45200</v>
      </c>
      <c r="N58" s="281" t="n">
        <v>46295</v>
      </c>
      <c r="O58" s="279" t="n"/>
      <c r="P58" s="279" t="n"/>
      <c r="Q58" s="279" t="n"/>
      <c r="R58" s="279" t="n"/>
      <c r="S58" s="279" t="n"/>
      <c r="T58" s="279" t="n"/>
      <c r="U58" s="279" t="n"/>
      <c r="V58" s="279" t="n"/>
      <c r="W58" s="279" t="n"/>
      <c r="X58" s="279" t="n"/>
      <c r="Y58" s="279" t="n"/>
      <c r="Z58" s="279" t="n"/>
      <c r="AA58" s="279" t="n"/>
      <c r="AB58" s="279" t="n"/>
      <c r="AC58" s="279" t="n"/>
      <c r="AD58" s="279" t="n"/>
      <c r="AE58" s="279" t="n"/>
      <c r="AF58" s="279" t="n"/>
      <c r="AG58" s="279" t="n"/>
      <c r="AH58" s="279" t="n"/>
      <c r="AI58" s="279" t="n"/>
      <c r="AJ58" s="279" t="n"/>
      <c r="AK58" s="279" t="n"/>
      <c r="AL58" s="279" t="n"/>
      <c r="AM58" s="279" t="n"/>
      <c r="AN58" s="279" t="n"/>
      <c r="AO58" s="279" t="n"/>
      <c r="AP58" t="inlineStr">
        <is>
          <t>✗ Not Found</t>
        </is>
      </c>
    </row>
    <row r="59"/>
    <row r="60"/>
    <row r="61" customFormat="1" s="91">
      <c r="A61" s="215" t="inlineStr">
        <is>
          <t>Ngày….....tháng…....năm 2026</t>
        </is>
      </c>
      <c r="C61" s="189" t="n"/>
      <c r="D61" s="189" t="n"/>
      <c r="AO61" s="95" t="n"/>
      <c r="AP61" s="95" t="n"/>
      <c r="AQ61" s="95" t="n"/>
    </row>
    <row r="62" customFormat="1" s="91">
      <c r="A62" s="217" t="inlineStr">
        <is>
          <t>TỔ KIỂM KÊ</t>
        </is>
      </c>
      <c r="C62" s="189" t="n"/>
      <c r="D62" s="189" t="n"/>
      <c r="AO62" s="95" t="n"/>
      <c r="AP62" s="95" t="n"/>
      <c r="AQ62" s="95" t="n"/>
    </row>
    <row r="63" customFormat="1" s="91">
      <c r="A63" s="218" t="n"/>
      <c r="B63" s="214" t="inlineStr">
        <is>
          <t xml:space="preserve">Đại diện Kế toán - HME </t>
        </is>
      </c>
      <c r="C63" s="214" t="inlineStr">
        <is>
          <t>Đại diện Ban CNTT - HME</t>
        </is>
      </c>
      <c r="D63" s="188" t="inlineStr">
        <is>
          <t>Đại diện VSTV</t>
        </is>
      </c>
      <c r="E63" s="188" t="inlineStr">
        <is>
          <t>Đại diện VTV</t>
        </is>
      </c>
      <c r="AO63" s="95" t="n"/>
      <c r="AP63" s="95" t="n"/>
      <c r="AQ63" s="95" t="n"/>
    </row>
    <row r="64" ht="26.4" customFormat="1" customHeight="1" s="91">
      <c r="A64" s="212" t="n"/>
      <c r="B64" s="189" t="inlineStr">
        <is>
          <t>(Ký và ghi rõ họ tên)</t>
        </is>
      </c>
      <c r="C64" s="189" t="inlineStr">
        <is>
          <t>(Ký và ghi rõ họ tên)</t>
        </is>
      </c>
      <c r="D64" s="189" t="inlineStr">
        <is>
          <t>(Ký và ghi rõ họ tên)</t>
        </is>
      </c>
      <c r="E64" s="189" t="inlineStr">
        <is>
          <t>(Ký và ghi rõ họ tên)</t>
        </is>
      </c>
      <c r="AO64" s="95" t="n"/>
      <c r="AP64" s="95" t="n"/>
      <c r="AQ64" s="95" t="n"/>
    </row>
    <row r="65" customFormat="1" s="91">
      <c r="B65" s="126" t="n"/>
      <c r="E65" s="126" t="n"/>
      <c r="AO65" s="95" t="n"/>
      <c r="AP65" s="95" t="n"/>
      <c r="AQ65" s="95" t="n"/>
    </row>
  </sheetData>
  <autoFilter ref="A6:AI57"/>
  <mergeCells count="9">
    <mergeCell ref="AB5:AD5"/>
    <mergeCell ref="AN5:AN6"/>
    <mergeCell ref="AO5:AO6"/>
    <mergeCell ref="AK5:AM5"/>
    <mergeCell ref="AK1:AO1"/>
    <mergeCell ref="AK2:AO2"/>
    <mergeCell ref="A4:AO4"/>
    <mergeCell ref="A3:AO3"/>
    <mergeCell ref="AF5:AI5"/>
  </mergeCells>
  <conditionalFormatting sqref="C6:C36 C52">
    <cfRule type="duplicateValues" priority="5" dxfId="32"/>
  </conditionalFormatting>
  <conditionalFormatting sqref="C6:C48 C52">
    <cfRule type="duplicateValues" priority="4" dxfId="32"/>
  </conditionalFormatting>
  <conditionalFormatting sqref="C58">
    <cfRule type="duplicateValues" priority="1" dxfId="0"/>
    <cfRule type="duplicateValues" priority="2" dxfId="32"/>
  </conditionalFormatting>
  <conditionalFormatting sqref="AF7:AF9">
    <cfRule type="duplicateValues" priority="3" dxfId="0"/>
  </conditionalFormatting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6">
    <tabColor rgb="FF92D050"/>
    <outlinePr summaryBelow="1" summaryRight="1"/>
    <pageSetUpPr/>
  </sheetPr>
  <dimension ref="A1:AQ21"/>
  <sheetViews>
    <sheetView zoomScale="70" zoomScaleNormal="70" workbookViewId="0">
      <pane xSplit="3" ySplit="6" topLeftCell="R7" activePane="bottomRight" state="frozen"/>
      <selection pane="topRight" activeCell="D1" sqref="D1"/>
      <selection pane="bottomLeft" activeCell="A3" sqref="A3"/>
      <selection pane="bottomRight" activeCell="U7" sqref="U7"/>
    </sheetView>
  </sheetViews>
  <sheetFormatPr baseColWidth="8" defaultColWidth="8.77734375" defaultRowHeight="15.6"/>
  <cols>
    <col width="8.77734375" customWidth="1" style="219" min="1" max="1"/>
    <col width="28.88671875" customWidth="1" style="563" min="2" max="2"/>
    <col width="25.109375" customWidth="1" style="564" min="3" max="4"/>
    <col width="28.77734375" customWidth="1" style="564" min="5" max="5"/>
    <col width="8.77734375" customWidth="1" style="564" min="6" max="9"/>
    <col width="14.77734375" customWidth="1" style="564" min="10" max="10"/>
    <col width="11.77734375" customWidth="1" style="564" min="11" max="11"/>
    <col width="13.33203125" customWidth="1" style="564" min="12" max="13"/>
    <col hidden="1" width="23.44140625" customWidth="1" style="564" min="14" max="14"/>
    <col hidden="1" width="27.77734375" customWidth="1" style="564" min="15" max="15"/>
    <col width="8.77734375" customWidth="1" style="564" min="16" max="17"/>
    <col width="8.77734375" customWidth="1" style="564" min="18" max="16384"/>
  </cols>
  <sheetData>
    <row r="1">
      <c r="A1" s="188" t="inlineStr">
        <is>
          <t xml:space="preserve"> Công ty TNHH Truyền hình số vệ tinh Việt Nam</t>
        </is>
      </c>
      <c r="P1" s="582" t="inlineStr">
        <is>
          <t xml:space="preserve">           Cộng Hòa Xã Hội Chủ Nghĩa Việt Nam</t>
        </is>
      </c>
    </row>
    <row r="2">
      <c r="P2" s="583" t="inlineStr">
        <is>
          <t xml:space="preserve">                  Độc Lập - Tự Do - Hạnh Phúc</t>
        </is>
      </c>
    </row>
    <row r="3">
      <c r="A3" s="547" t="inlineStr">
        <is>
          <t>BÁO CÁO KIỂM KÊ BẢN QUYỀN SHOW</t>
        </is>
      </c>
      <c r="U3" s="188" t="n"/>
      <c r="V3" s="188" t="n"/>
      <c r="W3" s="188" t="n"/>
      <c r="X3" s="188" t="n"/>
      <c r="Y3" s="188" t="n"/>
      <c r="Z3" s="188" t="n"/>
      <c r="AA3" s="188" t="n"/>
      <c r="AB3" s="188" t="n"/>
      <c r="AC3" s="188" t="n"/>
      <c r="AD3" s="188" t="n"/>
      <c r="AE3" s="188" t="n"/>
      <c r="AF3" s="188" t="n"/>
      <c r="AG3" s="188" t="n"/>
      <c r="AH3" s="188" t="n"/>
      <c r="AI3" s="188" t="n"/>
      <c r="AJ3" s="188" t="n"/>
      <c r="AK3" s="188" t="n"/>
      <c r="AL3" s="188" t="n"/>
      <c r="AM3" s="188" t="n"/>
      <c r="AN3" s="188" t="n"/>
      <c r="AO3" s="188" t="n"/>
    </row>
    <row r="4">
      <c r="A4" s="547" t="inlineStr">
        <is>
          <t>Thời điểm:….......giờ, ngày…....tháng.........năm 2026</t>
        </is>
      </c>
      <c r="U4" s="188" t="n"/>
      <c r="V4" s="188" t="n"/>
      <c r="W4" s="188" t="n"/>
      <c r="X4" s="188" t="n"/>
      <c r="Y4" s="188" t="n"/>
      <c r="Z4" s="188" t="n"/>
      <c r="AA4" s="188" t="n"/>
      <c r="AB4" s="188" t="n"/>
      <c r="AC4" s="188" t="n"/>
      <c r="AD4" s="188" t="n"/>
      <c r="AE4" s="188" t="n"/>
      <c r="AF4" s="188" t="n"/>
      <c r="AG4" s="188" t="n"/>
      <c r="AH4" s="188" t="n"/>
      <c r="AI4" s="188" t="n"/>
      <c r="AJ4" s="188" t="n"/>
      <c r="AK4" s="188" t="n"/>
      <c r="AL4" s="188" t="n"/>
      <c r="AM4" s="188" t="n"/>
      <c r="AN4" s="188" t="n"/>
      <c r="AO4" s="188" t="n"/>
    </row>
    <row r="5">
      <c r="K5" s="687" t="inlineStr">
        <is>
          <t>Lưu trữ</t>
        </is>
      </c>
      <c r="L5" s="566" t="n"/>
      <c r="M5" s="567" t="n"/>
      <c r="P5" s="585" t="inlineStr">
        <is>
          <t>SỐ LIỆU KIỂM KÊ</t>
        </is>
      </c>
      <c r="Q5" s="539" t="n"/>
      <c r="R5" s="535" t="n"/>
      <c r="S5" s="555" t="inlineStr">
        <is>
          <t>Giải trình chênh lệch</t>
        </is>
      </c>
      <c r="T5" s="555" t="inlineStr">
        <is>
          <t>Đề xuất Phương án xử lý</t>
        </is>
      </c>
    </row>
    <row r="6" ht="31.2" customHeight="1" s="578">
      <c r="A6" s="131" t="inlineStr">
        <is>
          <t xml:space="preserve">Show </t>
        </is>
      </c>
      <c r="B6" s="133" t="inlineStr">
        <is>
          <t>Clip code</t>
        </is>
      </c>
      <c r="C6" s="134" t="inlineStr">
        <is>
          <t>Tên tiếng Anh</t>
        </is>
      </c>
      <c r="D6" s="134" t="inlineStr">
        <is>
          <t>Tên tiếng Việt</t>
        </is>
      </c>
      <c r="E6" s="134" t="inlineStr">
        <is>
          <t>Nước sản xuất</t>
        </is>
      </c>
      <c r="F6" s="134" t="inlineStr">
        <is>
          <t>EPS</t>
        </is>
      </c>
      <c r="G6" s="134" t="inlineStr">
        <is>
          <t>Duration</t>
        </is>
      </c>
      <c r="H6" s="134" t="inlineStr">
        <is>
          <t>Total (hour)</t>
        </is>
      </c>
      <c r="I6" s="135" t="inlineStr">
        <is>
          <t xml:space="preserve">From </t>
        </is>
      </c>
      <c r="J6" s="135" t="inlineStr">
        <is>
          <t xml:space="preserve">To </t>
        </is>
      </c>
      <c r="K6" s="688" t="inlineStr">
        <is>
          <t>HD Censorship</t>
        </is>
      </c>
      <c r="L6" s="689" t="inlineStr">
        <is>
          <t>LTO</t>
        </is>
      </c>
      <c r="M6" s="689" t="inlineStr">
        <is>
          <t>Drive ( ổ cứng)</t>
        </is>
      </c>
      <c r="N6" s="690" t="inlineStr">
        <is>
          <t>Note</t>
        </is>
      </c>
      <c r="O6" s="149" t="inlineStr">
        <is>
          <t>Ngoài sổ Kế toán</t>
        </is>
      </c>
      <c r="P6" s="200" t="inlineStr">
        <is>
          <t>Số lượng</t>
        </is>
      </c>
      <c r="Q6" s="200" t="inlineStr">
        <is>
          <t>From (VOD)</t>
        </is>
      </c>
      <c r="R6" s="200" t="inlineStr">
        <is>
          <t>To (VOD)</t>
        </is>
      </c>
      <c r="S6" s="556" t="n"/>
      <c r="T6" s="556" t="n"/>
      <c r="U6" t="inlineStr">
        <is>
          <t>Kết quả kiểm tra VOD</t>
        </is>
      </c>
    </row>
    <row r="7" ht="409.6" customHeight="1" s="578">
      <c r="A7" s="220" t="n">
        <v>1</v>
      </c>
      <c r="B7" s="221" t="inlineStr">
        <is>
          <t>ENT_CIN_HNMK__14_VN_27805	MOM'S KITCHEN S1 - BEEFSTEAK DINING, EP36
ENT_CIN_HNMK__14_VN_26692	MOM'S KITCHEN S1 - GRILLED BEEF WRAPPED IN BETEL LEAF, EP35
ENT_CIN_HNMK__14_VN_26691	MOM'S KITCHEN S1 - STICKY RICE STEAMED IN LOTUS LEAF, EP34
ENT_CIN_HNMK__14_VN_26690	MOM'S KITCHEN S1 - ROASTED ROLLED-WITH-VEGEABLE PORK, EP33
ENT_CIN_HNMK__14_VN_26689	MOM'S KITCHEN S1 - SALMON SASHIMI WITH POTATOES, EP32
ENT_CIN_HNMK__14_VN_26688	MOM'S KITCHEN S1 - GRILLED SNAKE-HEAD, EP31
ENT_CIN_HNMK__14_VN_25755	MOM'S KITCHEN S1 - GRILLED RICE PAPER, EP30
ENT_CIN_HNMK__14_VN_25697	MOM'S KITCHEN S1 - MIXED VEGETABLES TEMPURA, EP29
ENT_CIN_HNMK__14_VN_25696	MOM'S KITCHEN S1 - BREAD, EP28
ENT_CIN_HNMK__14_VN_25644	MOM'S KITCHEN S1 - FISH CURRY, EP27
ENT_CIN_HNMK__14_VN_25591_2410941	MOM'S KITCHEN S1 - COCKTAIL, EP26
ENT_CIN_HNMK__14_VN_25590_2410940	MOM'S KITCHEN S1 - OYSTER SALAD, EP25
ENT_CIN_HNMK__14_VN_25589_2412096	MOM'S KITCHEN S1 - TOFU STEWED WITH SPICA, EP24
ENT_CIN_HNMK__14_VN_25035_2410938	MOM'S KITCHEN S1 - JACKFRUIT BRAISED WITH COCONUT, EP23
ENT_CIN_HNMK__14_VN_25034	MOM'S KITCHEN S1 - CLAM RICE, EP22
ENT_CIN_HNMK__14_VN_25033_2410936	MOM'S KITCHEN S1 - BEEF STEWED WITH BEANS, EP21
ENT_CIN_HNMK__14_VN_25032_2410935	MOM'S KITCHEN S1 - SPRING ROLLS AS MIEN TAY STYLE, EP20
ENT_CIN_HNMK__14_VN_24894_2410934	MOM'S KITCHEN S1 - FROG STEAMED WITH SALT, EP19
ENT_CIN_HNMK__14_VN_24652_2410933	MOM'S KITCHEN S1 - MARBLE CAKES, EP18
ENT_CIN_HNMK__VN_24427_2410932	MOM'S KITCHEN S1 - SEVEN-TASTE CONGEE, EP17
ENT_CIN_HNMK__14_VN_24082_2410931	MOM'S KITCHEN S1 - CHICKEN HOT POT, EP16
ENT_CIN_HNMK__14_VN_23665_2410930	MOM'S KITCHEN S1 - NUI CREAM, EP15
ENT_CIN_HNMK__VN_23263_2410929	MOM'S KITCHEN S1 - STIR CHICKEN WITH VEGETABLES, EP14
ENT_CIN_HNMK__14_VN_22637_2410926	MOM'S KITCHEN S1 - SALTY SAUCE RICE NOODLES, EP13
ENT_CIN_HNMK__14_VN_22344_2410925	MOM'S KITCHEN S1 - BAKED SALMON IN FOIL, EP12
ENT_CIN_HNMK__14_VN_21308_2410921	MOM'S KITCHEN S1 - SAUTÉED DUCK WITH ORANGE SAUCE, EP11
ENT_CIN_HNMK__14_VN_20732_2410917	MOM'S KITCHEN S1 - SCALLION SOUP WITH CLAMS, SHRIMP STEAMED WITH WATER MELON, EP10
ENT_CIN_HNMK__VN_20508_2410919	MOM'S KITCHEN S1 - PINEAPPLE BRAISED PORK, EP9
ENT_CIN_HNMK__VN_20041_2410958	MOM'S KITCHEN S1 - BREADED SHRIMP WITH PASSION FRUIT, EP7
ENT_CIN_HNMK__VN_20337	MOM'S KITCHEN S1 - MUFFINS CHOCOLATE, EP8
ENT_CIN_HNMK__VN_19794_2410957	MOM'S KITCHEN S1 - SPAGHETTI BOLOGNAISE, EP6
ENT_CIN_HNMK_14_VN_19618	MOM'S KITCHEN S1, EP05 - MUSHROOM HOTPOT
ENT_CIN_HNMK_14_VN_19456	MOM'S KITCHEN S1, EP04
ENT_CIN_HNMK__14_VN_19261	MOM'S KITCHEN S1 - FRIED FISH WITH SWEET AND SOUR SAUCE, EP03
ENT_CIN_HNMK__14_VN_19118	MOM'S KITCHEN S1 - KUNG PAO CHICKEN, EP02
ENT_CIN_HNMK__14_VN_18814_2410928	MOM'S KITCHEN S1 - TINY SHRIMP SIMMERED WITH PICKLED VEGETABLES, EP01</t>
        </is>
      </c>
      <c r="C7" s="222" t="inlineStr">
        <is>
          <t>Mum Kitchen S1</t>
        </is>
      </c>
      <c r="D7" s="222" t="inlineStr">
        <is>
          <t>Bếp của mẹ- Mùa 1</t>
        </is>
      </c>
      <c r="E7" s="222" t="inlineStr">
        <is>
          <t>Việt Nam</t>
        </is>
      </c>
      <c r="F7" s="222" t="n">
        <v>36</v>
      </c>
      <c r="G7" s="222" t="n">
        <v>25</v>
      </c>
      <c r="H7" s="222">
        <f>(F7*G7)/60</f>
        <v/>
      </c>
      <c r="I7" s="222" t="n"/>
      <c r="J7" s="222" t="inlineStr">
        <is>
          <t>Vĩnh viễn</t>
        </is>
      </c>
      <c r="K7" s="220" t="inlineStr">
        <is>
          <t>Yes</t>
        </is>
      </c>
      <c r="L7" s="220" t="inlineStr">
        <is>
          <t>Yes</t>
        </is>
      </c>
      <c r="M7" s="223" t="n"/>
      <c r="N7" s="691" t="inlineStr">
        <is>
          <t>ND còn hạn từ 2026</t>
        </is>
      </c>
      <c r="O7" s="223" t="n">
        <v>1</v>
      </c>
      <c r="P7" s="223" t="n"/>
      <c r="Q7" s="223" t="n"/>
      <c r="R7" s="223" t="n"/>
      <c r="S7" s="223" t="n"/>
      <c r="T7" s="223" t="n"/>
      <c r="U7" t="inlineStr">
        <is>
          <t>✓ Found</t>
        </is>
      </c>
    </row>
    <row r="8" ht="409.6" customHeight="1" s="578">
      <c r="A8" s="220" t="n">
        <v>2</v>
      </c>
      <c r="B8" s="221" t="inlineStr">
        <is>
          <t>ENT_CIN_HNMK__VN_39737	MOM'S KITCHEN S2 - GRILLED PORK SKEWER, EP32
ENT_CIN_HNMK__VN_39736_2410992	MOM'S KITCHEN S2 - NOODLES STIR-FRIED WITH MEAT, SEAFOOD AND VEGGIES, EP31
ENT_CIN_HNMK__VN_39531	MOM'S KITCHEN S2 - SOUTHWESTERN FISH CONGEE, EP30
ENT_CIN_HNMK__VN_38621	MOM'S KITCHEN S2 - POTATO SALAD, EP29
ENT_CIN_HNMK__VN_38620	MOM'S KITCHEN S2 - STEAMED SHRIMP WITH GARLIC AND FRIED SHRIMP WITH SALT, EP28
ENT_CIN_HNMK__VN_38187_2410986	MOM'S KITCHEN S2 - SEAFOOD SOUP, EP27
ENT_CIN_HNMK__VN_38186	MOM'S KITCHEN S2 - THAI BEEF SALAD, EP26
ENT_CIN_HNMK__VN_38185	MOM'S KITCHEN S2 - FRIED SHRIMP WITH ALMOND, EP25
ENT_CIN_HNMK__VN_37501	MOM'S KITCHEN S2 - CABONARA, EP24
ENT_CIN_HNMK__VN_37500	MOM'S KITCHEN S2 - SPRING ROLLS, EP23
ENT_CIN_HNMK__VN_37024	MOM'S KITCHEN S2 - CHOCOLATE CAKE, EP22
ENT_CIN_HNMK__14_VN_37023	MOM'S KITCHEN S2 - SPINY GOBY FISH HOT POT, EP18
ENT_CIN_HNMK__14_VN_37022	MOM'S KITCHEN S2 - STEWED CHICKEN WITH LIMA BEAN, EP17
ENT_CIN_HNMK__14_VN_36826_2410978	MOM'S KITCHEN S2 - CREPE CAKE, EP16
ENT_CIN_HNMK__14_VN_36825_2410975	MOM'S KITCHEN S2 - CHICKEN CURRY, EP15
ENT_CIN_HNMK__14_VN_36716_2410960	MOM'S KITCHEN S2 - STUFFED ESCARGOT, EP14
ENT_CIN_HNMK__VN_36636	MOM'S KITCHEN S2 - PUMPKIN AND POTATO SOUP, EP21
ENT_CIN_HNMK__14_VN_36464	MOM'S KITCHEN S2 - STEWED SNAILS WITH GREEN BANANA AND SOYA CURD, EP13
HNMK_14_VN_36463	Prod Mom's Kitchen S2_No.15_13.06.2013
ENT_CIN_HNMK__14_VN_36197	MOM'S KITCHEN S2 - GREAT SPIRIT, EP12
ENT_CIN_HNMK__14_VN_36099	MOM'S KITCHEN S2 - CRÈME BRULÉE, EP11
ENT_CIN_HNMK__VN_35195	MOM'S KITCHEN S2 - SWEET AND SOUR PORK RIBS, EP20
ENT_CIN_HNMK__14_VN_35552	MOM'S KITCHEN S2 - BAMBOO SHOOT SOUP WITH PORK TROTTER, EP10
ENT_CIN_HNMK__14_VN_35551	MOM'S KITCHEN S2 - ICE CHOCOLATE, EP09
ENT_CIN_HNMK__14_VN_35550	MOM'S KITCHEN S2 - STIR-FRIED SHRIMP WITH ORANGE SAUCE, EP08
ENT_CIN_HNMK__14_VN_34966	MOM'S KITCHEN S2 - CARAMELIZED HEMIBAGRUS IN CLAY POT, EP07
ENT_CIN_HNMK__14_VN_34094	MOM'S KITCHEN S2 - FRIED SQUID WITH FISH SAUCE, EP06
ENT_CIN_HNMK__14_VN_34093	MOM'S KITCHEN S2 - HAMBURGER, EP05
ENT_CIN_HNMK__14_VN_34092	MOM'S KITCHEN S2 - PORK RIB AND MUSHROOM CONGEE, EP04
ENT_CIN_HNMK__14_VN_33576	MOM'S KITCHEN S2 - FLOWER HOTPOT
ENT_CIN_HNMK__14_VN_33575	MOM'S KITCHEN S2 - CRISPY PORK LEG
ENT_CIN_HNMK__14_VN_33475	MOM'S KITCHEN S2 - STEWED CHICKEN WITH CHILLI IN HOT POT
ENT_CIN_HNMK__VN_33232	MOM'S KITCHEN S2 - TIRAMISU, EP19</t>
        </is>
      </c>
      <c r="C8" s="222" t="inlineStr">
        <is>
          <t>Mum Kitchen S2</t>
        </is>
      </c>
      <c r="D8" s="222" t="inlineStr">
        <is>
          <t>Bếp của mẹ- Mùa 2</t>
        </is>
      </c>
      <c r="E8" s="222" t="inlineStr">
        <is>
          <t>Việt Nam</t>
        </is>
      </c>
      <c r="F8" s="222" t="n">
        <v>32</v>
      </c>
      <c r="G8" s="222" t="n">
        <v>25</v>
      </c>
      <c r="H8" s="222">
        <f>(F8*G8)/60</f>
        <v/>
      </c>
      <c r="I8" s="222" t="n"/>
      <c r="J8" s="222" t="inlineStr">
        <is>
          <t>Vĩnh viễn</t>
        </is>
      </c>
      <c r="K8" s="220" t="inlineStr">
        <is>
          <t>Yes</t>
        </is>
      </c>
      <c r="L8" s="220" t="inlineStr">
        <is>
          <t>Yes</t>
        </is>
      </c>
      <c r="M8" s="223" t="n"/>
      <c r="N8" s="691" t="inlineStr">
        <is>
          <t>ND còn hạn từ 2026</t>
        </is>
      </c>
      <c r="O8" s="223" t="n">
        <v>1</v>
      </c>
      <c r="P8" s="223" t="n"/>
      <c r="Q8" s="223" t="n"/>
      <c r="R8" s="223" t="n"/>
      <c r="S8" s="223" t="n"/>
      <c r="T8" s="223" t="n"/>
      <c r="U8" t="inlineStr">
        <is>
          <t>✓ Found</t>
        </is>
      </c>
    </row>
    <row r="9" ht="409.6" customHeight="1" s="578">
      <c r="A9" s="220" t="n">
        <v>3</v>
      </c>
      <c r="B9" s="221" t="inlineStr">
        <is>
          <t>ENT_CIN_HNMK__14_2459505	MOM'S KITCHEN S3 - STEAMED EGG, EP38
ENT_CIN_HNMK__14_2459503	MOM'S KITCHEN S3 - FRIED CHICKEN WING, EP37
ENT_CIN_HNMK__14_2459501	MOM'S KITCHEN S3 - STEWED PEAR WITH WINE, EP36
ENT_CIN_HNMK__14_2458373	MOM'S KITCHEN S3 - HAWAIIAN PIZZA, EP35
ENT_CIN_HNMK__14_2458372	MOM'S KITCHEN S3 - SINGAPORIAN FROG GRUEL, EP34
ENT_CIN_HNMK__14_2458371	MOM'S KITCHEN S3 - RICE GRUEL WITH TOFU SKIN, EP33
ENT_CIN_HNMK__14_2458368	MOM'S KITCHEN S3 - FRIED STICKY RICE STUFFED SQUID, EP30
ENT_CIN_HNMK__14_2458370	MOM'S KITCHEN S3 - COCONUT STICKY RICE, EP32
ENT_CIN_HNMK__14_2458369	MOM'S KITCHEN S3 - MEXICAN GRILLED CHICKEN, EP31
ENT_CIN_HNMK__14_2447492	MOM'S KITCHEN S3 - GRILLED SALMON WITH PASSION FRUIT AND ORANGE SAUCE, EP29
ENT_CIN_HNMK__14_2447491	MOM'S KITCHEN S3 - KOHLRABI SALAD, EP28
ENT_CIN_HNMK__14_2447490	MOM'S KITCHEN S3 - GRILLED RIBS WITH SOUR AND SWEET SAUCE, EP27
ENT_CIN_HNMK__14_2447489	MOM'S KITCHEN S3 - SNAKEHEAD-FISH SPRING ROLLS, EP26
ENT_CIN_HNMK__14_2446869	MOM'S KITCHEN S3 - MUNG BEAN WITH PUMPKIN SWEET SOUP, EP23
ENT_CIN_HNMK__14_2446870	MOM'S KITCHEN S3 - LOTUS SALAD WITH PORK AND SHRIMP, EP24
ENT_CIN_HNMK__14_2446871	MOM'S KITCHEN S3 - GRILLED BREAD WITH BUTTER AND GARLIC, EP25
ENT_CIN_HNMK__14_2446735	MOM'S KITCHEN S3 - STEWED PIGEON, EP22
ENT_CIN_HNMK__14_2436348	MOM'S KITCHEN S3 - FETTUCCINE WITH CREAM, EP21
ENT_CIN_HNMK__14_2435861	MOM'S KITCHEN S3 - BEEF-STEAK WITH GREEN PEPPER SAUCE, EP20
ENT_CIN_HNMK__14_2435859	MOM'S KITCHEN S3 - STEAMED CHICKEN WITH WORMWOOD, EP18
ENT_CIN_HNMK__14_2435857	MOM'S KITCHEN S3 - SHRIMP PASTE, EP16
ENT_CIN_HNMK__14_2435860	MOM'S KITCHEN S3 - ANABAS NOODLES, EP19
ENT_CIN_HNMK__14_2435858	MOM'S KITCHEN S3 - CHICKEN CURRY, EP17
ENT_CIN_HNMK__14_2435169	MOM'S KITCHEN S3 - EGGPLANT WITHSALTED FISH IN CLAY POT, EP15
HNMK__14_2435171	Prod Mom's Kitchen S3_No.20_19.06.2014
HNMK__14_2435170	Prod Mom's Kitchen S3_No.19_12.06.2014
ENT_CIN_HNMK__14_2435092	MOM'S KITCHEN S3 - ROASTED CRAB WITH TAMARIND, EP14
ENT_CIN_HNMK__14_2435091	MOM'S KITCHEN S3 - BEEF BURGER, EP13
ENT_CIN_HNMK__14_12433994	MOM'S KITCHEN S3 - LOCAL FLOWERS HOT POT, EP41
ENT_CIN_HNMK__14_12433992	MOM'S KITCHEN S3 - GRILLED SNAKEHEAD-FISH WITH LOTUS LEAF, EP40
ENT_CIN_HNMK__14_12433990	MOM'S KITCHEN S3 - ROASTED PIGEON WITH TANGERINE SAUCE, EP39
ENT_CIN_HNMK__14_2433738	MOM'S KITCHEN S3 - STEWED DUCK WITH EIGHT FLAVORS, EP12
ENT_CIN_HNMK__14_2433737	MOM'S KITCHEN S3 - SHRIMP SIMMERED WITH COCONUT SAUCE - STEAMED RICE WITH COCONUT, EP11
ENT_CIN_HNMK__14_2433150	MOM'S KITCHEN S3 - CHOCOLATE CAKE, EP10
ENT_CIN_HNMK__14_2433149	MOM'S KITCHEN S3 - VEGETARIAN HOT POT, EP09
ENT_CIN_HNMK__VN_2432251	MOM'S KITCHEN S3 - NHA TRANG FRIED RICE WITH CHILLI, EP07
ENT_CIN_HNMK__VN_2432250	MOM'S KITCHEN S3 - CAESAR SALAD, EP06
ENT_CIN_HNMK__14_VN_2432146	MOM'S KITCHEN S3 - CHICKEN BURRITO, EP08
ENT_CIN_HNMK__VN_51199	MOM'S KITCHEN S3 - FERMENTED FISH WITH GROUND PORK AND EGG, EP05
ENT_CIN_HNMK__VN_46759	MOM'S KITCHEN S3 - ROLLED EGG, EP04
ENT_CIN_HNMK__VN_46758	MOM'S KITCHEN S3 - SNAKEHEAD-FISH STEAMED WITH COCONUT MILK, EP03
ENT_CIN_HNMK__VN_46323	MOM'S KITCHEN S3 - FROZEN CHEESE CAKE, EP02
ENT_CIN_HNMK__VN_46322	MOM'S KITCHEN S3 - STICKY RICE WITH PORK, EP01</t>
        </is>
      </c>
      <c r="C9" s="222" t="inlineStr">
        <is>
          <t>Mum Kitchen S3</t>
        </is>
      </c>
      <c r="D9" s="222" t="inlineStr">
        <is>
          <t>Bếp của mẹ- Mùa 3</t>
        </is>
      </c>
      <c r="E9" s="222" t="inlineStr">
        <is>
          <t>Việt Nam</t>
        </is>
      </c>
      <c r="F9" s="222" t="n">
        <v>40</v>
      </c>
      <c r="G9" s="222" t="n">
        <v>25</v>
      </c>
      <c r="H9" s="222">
        <f>(F9*G9)/60</f>
        <v/>
      </c>
      <c r="I9" s="222" t="n"/>
      <c r="J9" s="222" t="inlineStr">
        <is>
          <t>Vĩnh viễn</t>
        </is>
      </c>
      <c r="K9" s="220" t="inlineStr">
        <is>
          <t>Yes</t>
        </is>
      </c>
      <c r="L9" s="220" t="inlineStr">
        <is>
          <t>Yes</t>
        </is>
      </c>
      <c r="M9" s="223" t="n"/>
      <c r="N9" s="691" t="inlineStr">
        <is>
          <t>ND còn hạn từ 2026</t>
        </is>
      </c>
      <c r="O9" s="223" t="n">
        <v>1</v>
      </c>
      <c r="P9" s="223" t="n"/>
      <c r="Q9" s="223" t="n"/>
      <c r="R9" s="223" t="n"/>
      <c r="S9" s="223" t="n"/>
      <c r="T9" s="223" t="n"/>
      <c r="U9" t="inlineStr">
        <is>
          <t>✓ Found</t>
        </is>
      </c>
    </row>
    <row r="10" ht="409.6" customHeight="1" s="578">
      <c r="A10" s="220" t="n">
        <v>4</v>
      </c>
      <c r="B10" s="221" t="inlineStr">
        <is>
          <t>ENT_CIN_HNMK__15__2468047	MOM'S KITCHEN S4 - SOUR SOUP WITH SNAKEHEAD FISH, EP43
ENT_CIN_HNMK__15__2468046	MOM'S KITCHEN S4 - ROASTED CRAB WITH SALT, EP42
ENT_CIN_HNMK__15__2468045	MOM'S KITCHEN S4 - BEEF TAIL WITH BEANS, EP41
ENT_CIN_HNMK__15__2468044	MOM'S KITCHEN S4 - FIELD CABBAGE ROLLED WITH SNAKE HEAD FISH, EP40
ENT_CIN_HNMK__15__2468043	MOM'S KITCHEN S4 - SOUTHWESTERN FISH CONGEE, EP39
ENT_CIN_HNMK__15__2468042	MOM'S KITCHEN S4 - FRIED RICE WITH SEAFOOD AND VEGGIES, EP38
ENT_CIN_HNMK__15__2468041	MOM'S KITCHEN S4 - GRILLED EEL WITH PIPER LOLOT, EP37
ENT_CIN_HNMK__15__2468040	MOM'S KITCHEN S4 - NORTHERN VIETNAM'S STYLE STUFFED PANCAKE, EP36
ENT_CIN_HNMK__15__2468039	MOM'S KITCHEN S4 - RED BEAN MATCHA, EP35
ENT_CIN_HNMK__15__2468038	MOM'S KITCHEN S4 - EEL HOTPOT, EP34
ENT_CIN_HNMK__15__2468037	MOM'S KITCHEN S4 - FRIED RICE WITH LOTUS SEEDS, EP33
ENT_CIN_HNMK__15__2468036	MOM'S KITCHEN S4 - TRADITIONAL MOON CAKE, EP32
ENT_CIN_HNMK__15__2465422	MOM'S KITCHEN S4 - CHICKEN SALAD WITH BANANA INFLORESCENSE, EP31
ENT_CIN_HNMK__15__2465420	MOM'S KITCHEN S4 - SIMMERED CARP WITH PICKLED VEGETABLES, EP30
ENT_CIN_HNMK__15__2465418	MOM'S KITCHEN S4 - MANGO SALAD, EP29
ENT_CIN_HNMK__15__2465416	MOM'S KITCHEN S4 - STEWED PORK WITH ARTICHOKE, EP28
ENT_CIN_HNMK__15__2465414	MOM'S KITCHEN S4 - FRIED RICE WITH PINEAPPLE, EP27
ENT_CIN_HNMK__15__2465412	MOM'S KITCHEN S4 - MUSHROOM SALAD, EP26
ENT_CIN_HNMK__15__2465410	MOM'S KITCHEN S4 - SHAKED YOGURT, EP25
ENT_CIN_HNMK__15__2465408	MOM'S KITCHEN S4 - STIR-FRIED BEEF WITH ASPARAGUS, EP24
ENT_CIN_HNMK__15__2465406	MOM'S KITCHEN S4 - CARROT SOUP WITH GINGER, EP23
ENT_CIN_HNMK__15__2465404	MOM'S KITCHEN S4 - STEAMED SNAKEHEAD FISH WITH GOURD, EP22
ENT_CIN_HNMK__15__2465402	MOM'S KITCHEN S4 - CHAN PEI - RED BEAN SWEET SOUP, EP21
ENT_CIN_HNMK__15__2465287	MOM'S KITCHEN S4 - CHICKEN CURRY WITH TURMERIC, EP20
ENT_CIN_HNMK__15__2465285	MOM'S KITCHEN S4 - BEEF SALAD WITH CENTELLA, EP19
ENT_CIN_HNMK__15__2465283	MOM'S KITCHEN S4 - SALTY CREPE CAKE, EP18
ENT_CIN_HNMK__15__2465281	MOM'S KITCHEN S4 - BLUE VIRGIN MOJITO, EP17
ENT_CIN_HNMK__15__2465279	MOM'S KITCHEN S4 - STEWED PIG'S BRAIN WITH HERBS, EP16
ENT_CIN_HNMK__15__2465277	MOM'S KITCHEN S4 - BLACK CHICKEN STEWED WITH GINSENG, EP15
ENT_CIN_HNMK__15__2465274	MOM'S KITCHEN S4 - STEAMED CHICKEN WITH SALT AND LAKSA LEAVES, EP14
ENT_CIN_HNMK__15__2465273	MOM'S KITCHEN S4 - ICE COFFEE WITH JELLY, EP13
ENT_CIN_HNMK__15__2465270	MOM'S KITCHEN S4 - BEEF NOODLE, EP12
ENT_CIN_HNMK__15__2465268	MOM'S KITCHEN S4 - BAN DON GRILLED CHICKEN, EP11
ENT_CIN_HNMK__15__2464130	MOM'S KITCHEN S4 - CHICKEN SALAD WITH ONION, EP10
ENT_CIN_HNMK__15__2464128	MOM'S KITCHEN S4 - MANGO PANNA COTTA, EP09
ENT_CIN_HNMK__15__2464126	MOM'S KITCHEN S4 - SALMON CONGEE, EP08
ENT_CIN_HNMK__15__2464124	MOM'S KITCHEN S4 - NINH BINH FRIED RICE, EP07
ENT_CIN_HNMK__15__2464122	MOM'S KITCHEN S4 - SALMON SALAD WITH APPLE, EP06
ENT_CIN_HNMK__15__2464120	MOM'S KITCHEN S4 - APPLE AND STRAWBERRY JUICE, EP05
ENT_CIN_HNMK__15__2464118	MOM'S KITCHEN S4 - KIMCHI HOTPOT, EP04
ENT_CIN_HNMK__15__2464115	MOM'S KITCHEN S4 - PUMPKIN SOUP
ENT_CIN_HNMK__15__2463954	MOM'S KITCHEN S4 - BITTER MELON AND FISH HOT POT
ENT_CIN_HNMK__15__2463774	MOM'S KITCHEN S4 - NORTHERN VIETNAMESE-STYLE SOUP</t>
        </is>
      </c>
      <c r="C10" s="222" t="inlineStr">
        <is>
          <t>Mum Kitchen S4</t>
        </is>
      </c>
      <c r="D10" s="222" t="inlineStr">
        <is>
          <t>Bếp của mẹ- Mùa 4</t>
        </is>
      </c>
      <c r="E10" s="222" t="inlineStr">
        <is>
          <t>Việt Nam</t>
        </is>
      </c>
      <c r="F10" s="222" t="n">
        <v>43</v>
      </c>
      <c r="G10" s="222" t="n">
        <v>25</v>
      </c>
      <c r="H10" s="222">
        <f>(F10*G10)/60</f>
        <v/>
      </c>
      <c r="I10" s="222" t="n"/>
      <c r="J10" s="222" t="inlineStr">
        <is>
          <t>Vĩnh viễn</t>
        </is>
      </c>
      <c r="K10" s="220" t="inlineStr">
        <is>
          <t>Yes</t>
        </is>
      </c>
      <c r="L10" s="220" t="inlineStr">
        <is>
          <t>Yes</t>
        </is>
      </c>
      <c r="M10" s="223" t="n"/>
      <c r="N10" s="691" t="inlineStr">
        <is>
          <t>ND còn hạn từ 2026</t>
        </is>
      </c>
      <c r="O10" s="223" t="n">
        <v>1</v>
      </c>
      <c r="P10" s="223" t="n"/>
      <c r="Q10" s="223" t="n"/>
      <c r="R10" s="223" t="n"/>
      <c r="S10" s="223" t="n"/>
      <c r="T10" s="223" t="n"/>
      <c r="U10" t="inlineStr">
        <is>
          <t>✓ Found</t>
        </is>
      </c>
    </row>
    <row r="11" ht="409.6" customHeight="1" s="578">
      <c r="A11" s="220" t="n">
        <v>5</v>
      </c>
      <c r="B11" s="221" t="inlineStr">
        <is>
          <t>ENT_VAS_VN_31174	COMING FROM VENUS S1, EP25
ENT_VAS_VN_30918	COMING FROM VENUS S1, EP24
ENT_VAS_VN_30599	COMING FROM VENUS S1, EP23
ENT_VAS_VN_30390	COMING FROM VENUS S1, EP22
ENT_VAS_VN_30158	COMING FROM VENUS S1, EP21
ENT_VAS_VN_29856	COMING FROM VENUS S1, EP20
ENT_VAS_VN_29538	COMING FROM VENUS S1, EP19
ENT_VAS_VN_29279	COMING FROM VENUS S1, EP18
ENT_VAS_VN_29051	COMING FROM VENUS S1, EP17
ENT_VAS_VN_28107	COMING FROM VENUS S1, EP16
ENT_VAS_VN_28106	COMING FROM VENUS S1, EP15
ENT_VAS_VN_28105	COMING FROM VENUS S1, EP14
ENT_VAS_VN_28104	COMING FROM VENUS S1, EP13
ENT_VAS_VN_26953	COMING FROM VENUS S1, EP12
ENT_VAS_VN_26952	COMING FROM VENUS S1, EP11
ENT_VAS_VN_26951_2411709	COMING FROM VENUS S1, EP10
ENT_VAS_VN_26950	COMING FROM VENUS S1, EP09
ENT_VAS_VN_26949_2411707	COMING FROM VENUS S1, EP08
ENT_VAS_VN_26527	COMING FROM VENUS S1, EP07
ENT_VAS_VN_26340_2411717	COMING FROM VENUS S1, EP06
ENT_VAS_VN_26276	COMING FROM VENUS S1, EP05
ENT_VAS_VN_26177_2411715	COMING FROM VENUS S1, EP04
ENT_VAS_VN_26025	COMING FROM VENUS S1, EP03
ENT_VAS_VN_25817	COMING FROM VENUS S1, EP02
ENT_VAS_VN_25726	COMING FROM VENUS S1, EP01</t>
        </is>
      </c>
      <c r="C11" s="222" t="inlineStr">
        <is>
          <t>Coming From Venus S1</t>
        </is>
      </c>
      <c r="D11" s="222" t="inlineStr">
        <is>
          <t>Đến từ sao kim - Mùa 1</t>
        </is>
      </c>
      <c r="E11" s="222" t="inlineStr">
        <is>
          <t>Việt Nam</t>
        </is>
      </c>
      <c r="F11" s="222" t="n">
        <v>25</v>
      </c>
      <c r="G11" s="222" t="n">
        <v>60</v>
      </c>
      <c r="H11" s="222">
        <f>(F11*G11)/60</f>
        <v/>
      </c>
      <c r="I11" s="222" t="n"/>
      <c r="J11" s="222" t="inlineStr">
        <is>
          <t>Vĩnh viễn</t>
        </is>
      </c>
      <c r="K11" s="220" t="inlineStr">
        <is>
          <t>Yes</t>
        </is>
      </c>
      <c r="L11" s="220" t="inlineStr">
        <is>
          <t>Yes</t>
        </is>
      </c>
      <c r="M11" s="223" t="n"/>
      <c r="N11" s="691" t="inlineStr">
        <is>
          <t>ND còn hạn từ 2026</t>
        </is>
      </c>
      <c r="O11" s="223" t="n">
        <v>1</v>
      </c>
      <c r="P11" s="223" t="n"/>
      <c r="Q11" s="223" t="n"/>
      <c r="R11" s="223" t="n"/>
      <c r="S11" s="223" t="n"/>
      <c r="T11" s="223" t="n"/>
      <c r="U11" t="inlineStr">
        <is>
          <t>✓ Found</t>
        </is>
      </c>
    </row>
    <row r="12" ht="409.6" customHeight="1" s="578">
      <c r="A12" s="220" t="n">
        <v>6</v>
      </c>
      <c r="B12" s="221" t="inlineStr">
        <is>
          <t>ENT_VAS_VN_35296	COMING FROM VENUS S2, EP18
ENT_VAS_VN_34593	COMING FROM VENUS S2, EP17
ENT_VAS_VN_34592	COMING FROM VENUS S2, EP16
ENT_VAS_VN_34591	COMING FROM VENUS S2, EP15
ENT_VAS_VN_33810	COMING FROM VENUS S2, EP14
ENT_VAS_VN_40739_2411771	COMING FROM VENUS S2, EP44
ENT_VAS_VN_39588_2411770	COMING FROM VENUS S2, EP43
ENT_VAS_VN_39587	COMING FROM VENUS S2, EP42
ENT_VAS_VN_39586	COMING FROM VENUS S2, EP41
ENT_VAS_VN_39585	COMING FROM VENUS S2, EP40
ENT_VAS_VN_38446	COMING FROM VENUS S2, EP39
ENT_VAS_VN_38445	COMING FROM VENUS S2, EP38
ENT_VAS_VN_38444	COMING FROM VENUS S2, EP37
ENT_VAS_VN_38201	COMING FROM VENUS S2, EP36
ENT_VAS_VN_37597	COMING FROM VENUS S2, EP35
ENT_VAS_VN_37596	COMING FROM VENUS S2, EP34
ENT_VAS_VN_37285	COMING FROM VENUS S2, EP33
ENT_VAS_VN_37041	COMING FROM VENUS S2, EP32
ENT_VAS_VN_37040	COMING FROM VENUS S2, EP31
ENT_VAS_VN_36819_2411757	COMING FROM VENUS S2, EP30
ENT_VAS_VN_36818_2411756	COMING FROM VENUS S2, EP29
ENT_VAS_VN_36817_2411755	COMING FROM VENUS S2, EP28
ENT_VAS_VN_36717_2411754	COMING FROM VENUS S2, EP27
ENT_VAS_VN_36637_2411753	COMING FROM VENUS S2, EP26
ENT_VAS_VN_36468_2411752	COMING FROM VENUS S2, EP25
ENT_VAS_VN_36467	COMING FROM VENUS S2, EP24
ENT_VAS_VN_36096	COMING FROM VENUS S2, EP22
ENT_VAS_VN_36198	COMING FROM VENUS S2, EP23
ENT_VAS_VN_35516	COMING FROM VENUS S2, EP21
ENT_VAS_VN_35515	COMING FROM VENUS S2, EP20
ENT_VAS_VN_35514	COMING FROM VENUS S2, EP19
ENT_VAS_VN_33809	COMING FROM VENUS S2, EP13
ENT_VAS_VN_33737	COMING FROM VENUS S2, EP12
ENT_VAS_VN_33310_2411738	COMING FROM VENUS S2, EP11
ENT_VAS_VN_33216	COMING FROM VENUS S2, EP10
ENT_VAS_VN_32998	COMING FROM VENUS S2, EP09
ENT_VAS_VN_32701_2411735	COMING FROM VENUS S2, EP08
ENT_VAS_VN_32500_2411733	COMING FROM VENUS S2, EP07
ENT_VAS_VN_32404_2411732	COMING FROM VENUS S2, EP06
ENT_VAS_VN_32143_2411731	COMING FROM VENUS S2, EP05
ENT_VAS_VN_31974	COMING FROM VENUS S2, EP04
ENT_VAS_VN_31485_2411728	COMING FROM VENUS S2, EP02
ENT_VAS_VN_31687_2411729	COMING FROM VENUS S2, EP03
ENT_VAS_VN_31365_2411727	COMING FROM VENUS S2, EP01</t>
        </is>
      </c>
      <c r="C12" s="222" t="inlineStr">
        <is>
          <t>Coming From Venus S2</t>
        </is>
      </c>
      <c r="D12" s="222" t="inlineStr">
        <is>
          <t>Đến từ sao kim - Mùa 2</t>
        </is>
      </c>
      <c r="E12" s="222" t="inlineStr">
        <is>
          <t>Việt Nam</t>
        </is>
      </c>
      <c r="F12" s="222" t="n">
        <v>44</v>
      </c>
      <c r="G12" s="222" t="n">
        <v>60</v>
      </c>
      <c r="H12" s="222">
        <f>(F12*G12)/60</f>
        <v/>
      </c>
      <c r="I12" s="222" t="n"/>
      <c r="J12" s="222" t="inlineStr">
        <is>
          <t>Vĩnh viễn</t>
        </is>
      </c>
      <c r="K12" s="220" t="inlineStr">
        <is>
          <t>Yes</t>
        </is>
      </c>
      <c r="L12" s="220" t="inlineStr">
        <is>
          <t>Yes</t>
        </is>
      </c>
      <c r="M12" s="223" t="n"/>
      <c r="N12" s="691" t="inlineStr">
        <is>
          <t>ND còn hạn từ 2026</t>
        </is>
      </c>
      <c r="O12" s="223" t="n">
        <v>1</v>
      </c>
      <c r="P12" s="223" t="n"/>
      <c r="Q12" s="223" t="n"/>
      <c r="R12" s="223" t="n"/>
      <c r="S12" s="223" t="n"/>
      <c r="T12" s="223" t="n"/>
      <c r="U12" t="inlineStr">
        <is>
          <t>✓ Found</t>
        </is>
      </c>
    </row>
    <row r="13" ht="409.6" customHeight="1" s="578">
      <c r="A13" s="220" t="n">
        <v>7</v>
      </c>
      <c r="B13" s="221" t="inlineStr">
        <is>
          <t>ENT_VAS_HNCV_14_2459143	COMING FROM VENUS S3, EP43
ENT_VAS_HNCV_14_2459142	COMING FROM VENUS S3, EP42
ENT_VAS_HNCV_14_2459141	COMING FROM VENUS S3, EP41
ENT_VAS_HNCV_14_2458362	COMING FROM VENUS S3, EP40
ENT_VAS_HNCV_14_2458361	COMING FROM VENUS S3, EP39
ENT_VAS_HNCV_14_2458360	COMING FROM VENUS S3, EP38
ENT_VAS_HNCV_14_2458359	COMING FROM VENUS S3, EP37
ENT_VAS_HNCV_14_2458358	COMING FROM VENUS S3, EP36
ENT_VAS_HNCV_14_2447720	COMING FROM VENUS S3, EP35
ENT_VAS_HNCV_14_2447719	COMING FROM VENUS S3, EP34
ENT_VAS_HNCV_14_2447717	COMING FROM VENUS S3, EP32
ENT_VAS_HNCV_14_2447718	COMING FROM VENUS S3, EP33
ENT_VAS_HNCV_14_2447240	COMING FROM VENUS S3, EP31
ENT_VAS_HNCV_14_2447239	COMING FROM VENUS S3, EP30
ENT_VAS_HNCV_14_HNCV_14_2446844	COMING FROM VENUS S3, EP29
ENT_VAS_HNCV_14_2446845	COMING FROM VENUS S3, EP27
ENT_VAS_HNCV_14_2446733	COMING FROM VENUS S3, EP28
ENT_VAS_14_2446524	COMING FROM VENUS S3, EP23
ENT_VAS_14_2446525	COMING FROM VENUS S3, EP24
ENT_VAS_14_2446529	COMING FROM VENUS S3, EP25
ENT_VAS_14_2446412	COMING FROM VENUS S3, EP21
ENT_VAS_14_2436343	COMING FROM VENUS S3, EP26
ENT_VAS_14_2436344	COMING FROM VENUS S3, EP22
ENT_VAS_14_2435347	COMING FROM VENUS S3, EP20
ENT_VAS_14_a2435301_2435301	COMING FROM VENUS S3, EP19
ENT_VAS_14_2435179	COMING FROM VENUS S3, EP17
ENT_VAS_14_2435180	COMING FROM VENUS S3, EP18
ENT_VAS_14_2435178	COMING FROM VENUS S3, EP16
ENT_VAS_14_12434854	COMING FROM VENUS S3, EP13
ENT_VAS_14_12434855_2434855	COMING FROM VENUS S3, EP14
ENT_VAS_14_12434856_2434856	COMING FROM VENUS S3, EP15
ENT_VAS_14_12434346_2434346	COMING FROM VENUS S3, EP12
ENT_VAS_14_12434345_2434345	COMING FROM VENUS S3, EP11
ENT_VAS_14_12434344	COMING FROM VENUS S3, EP10
ENT_VAS_14_12433947_2433947	COMING FROM VENUS S3, EP09
ENT_VAS_14_12433791	COMING FROM VENUS S3, EP08
ENT_VAS_14_2433145	COMING FROM VENUS S3, EP07
ENT_VAS_14_2433144	COMING FROM VENUS S3, EP06
ENT_VAS_HNCV_14_14_VN_2432791	COMING FROM VENUS S3, EP05
ENT_VAS_VN_2432790	COMING FROM VENUS S3, EP04
ENT_VAS_VN_51562_2431873	COMING FROM VENUS S3, EP03
ENT_VAS_VN_51561_2431872	COMING FROM VENUS S3, EP02
ENT_VAS_VN_51560_2431871	COMING FROM VENUS S3, EP01</t>
        </is>
      </c>
      <c r="C13" s="222" t="inlineStr">
        <is>
          <t>Coming From Venus S3</t>
        </is>
      </c>
      <c r="D13" s="222" t="inlineStr">
        <is>
          <t>Đến từ sao kim - Mùa 3</t>
        </is>
      </c>
      <c r="E13" s="222" t="inlineStr">
        <is>
          <t>Việt Nam</t>
        </is>
      </c>
      <c r="F13" s="222" t="n">
        <v>43</v>
      </c>
      <c r="G13" s="222" t="n">
        <v>60</v>
      </c>
      <c r="H13" s="222">
        <f>(F13*G13)/60</f>
        <v/>
      </c>
      <c r="I13" s="222" t="n"/>
      <c r="J13" s="222" t="inlineStr">
        <is>
          <t>Vĩnh viễn</t>
        </is>
      </c>
      <c r="K13" s="220" t="inlineStr">
        <is>
          <t>Yes</t>
        </is>
      </c>
      <c r="L13" s="220" t="inlineStr">
        <is>
          <t>Yes</t>
        </is>
      </c>
      <c r="M13" s="223" t="n"/>
      <c r="N13" s="691" t="inlineStr">
        <is>
          <t>ND còn hạn từ 2026</t>
        </is>
      </c>
      <c r="O13" s="223" t="n">
        <v>1</v>
      </c>
      <c r="P13" s="223" t="n"/>
      <c r="Q13" s="223" t="n"/>
      <c r="R13" s="223" t="n"/>
      <c r="S13" s="223" t="n"/>
      <c r="T13" s="223" t="n"/>
      <c r="U13" t="inlineStr">
        <is>
          <t>✓ Found</t>
        </is>
      </c>
    </row>
    <row r="14" ht="409.6" customHeight="1" s="578">
      <c r="A14" s="220" t="n">
        <v>8</v>
      </c>
      <c r="B14" s="221" t="inlineStr">
        <is>
          <t>KID_EDU_HNCP__VN_24022	KID SHOW - PATTERN PAINTINGS, COLORFUL HAND
KID_EDU_HNCP__VN_23408	KID SHOW - PRINTED PAINTINGS, CLAY BEETLES
KID_EDU_HNCP__VN_23079	KID SHOW: MAZE - SECRET MAP
KID_EDU_HNCP__VN_22882	KID SHOW: BLOWING PICTURE - OCTOPUS
KID_EDU_HNCP__VN_22508	KID SHOW: OVEN MESSENGER - SECRET MESSAGE
KID_EDU_HNCP__VN_22183	KID SHOW: SHAPING WITH EGGSHELL - BOX PUPPET
KID_EDU_HNCP__VN_22053	KID SHOW: TRICK CARD , BOX-PATTERN POP UP
KID_EDU_HNCP__VN_21756	KID SHOW: NEVER ENDING CARD, NEVER ENDING FRIENDSHIP CARD
KID_EDU_HNCP__VN_21409	KID SHOW: AMAZING PICTURE FRAME - 3D PICTURE FRAME
KID_EDU_HNCP__VN_21147	KID SHOW: SIMPLE TIMETABLE, SECRET TIMETABLE
KID_EDU_HNCP__VN_20895	KID SHOW: POPUP FLOWER CARD - FRIENDSHIP MEDAL
KID_EDU_HNCP__VN_20686	KID SHOW: COMEDY GLASSES - CLOWN HAT AND CLOWN EARS
KID_EDU_HNCP__VN_20200	KID SHOW: BUG SHAPE BOOKMARK - WOODEATER PAPERWEIGHT
KID_EDU_HNCP__VN_19958	KID SHOW: FIREBALL PICTURE - MOON PICTURE
KID_EDU_HNCP__VN_19746	KID SHOW: CANDLE PICTURE - PICTURE OF UNDERWATER WORLD
KID_EDU_HNCP__VN_19595	KID SHOW: SHINING GLOBE - NEW YEAR CARD
KID_EDU_HNCP__VN_19371	KID SHOW: DRAW ON BREAD - DRAWING WITH BREAD
KID_EDU_HNCP__VN_19213	KID SHOW: DRAW SPACE WITH CHALK - PLANET GLOBE
_14_2435152	Kid Show: Hòn đảo của Nim, Thằn lằn Fred
_14_2435151	Kid Show: Bướm vỗ cánh, Vẹt thăng bằng
_14_2435150	Kid Show: Đường đua cây dừa, Cỗ xe bong bóng
KID_EDU_14_2435149	Kid Show: Vườn thú trong lòng bàn tay, Hươu kẹp giấy
KID_EDU_14_2435109	Kid show: Tranh từ giấy vệ sinh, Tạo hình bằng lõi giấy
_14_a2435108	Kid Show: Ảo thuật đồng xu biến mất, Bàn tay tiên tri
_14_a2435107	Kid Show: Đế nến Ba Tư, Tranh gỗ instagram
_14_a2435106	Kid Show: Khung ảnh từ đĩa CD, Tranh kính từ giấy bìa
_14_a2435105	Kid Show: Minion một mắt, Đội quân Minion
KID_EDU_HNCP__VN_2432415	KID SHOW: DOG CONCIERGE + CHARGING BOTTLES
KID_EDU_HNCP__VN_2432414	KID SHOW: PEN BOX + PREY CATCHER TREES
KID_EDU_HNCP__VN_51295_2431606	KID SHOW: DREAM CATCHER - SPELL CHASE DREAM +BUTTERFLY FLAPPING ITS WINGS
KID_EDU_HNCP__VN_51294_2431605	KID SHOW: ZIPPER HEADBAND +JEWELLERY FROM ROLLS
KID_EDU_HNCP__VN_45787_2419889	KID SHOW: MAGIC SPINNING TOP, MULTI-FACE BOX
KID_EDU_HNCP__VN_45786_2419888	KID SHOW: MAGIC YOYO + WIND-UP SNAKE
KID_EDU_HNCP__VN_45785_2419887	(Không dùng) KID SHOW: SPRING HORSE+SECRET MESSAGE
_HNCP__VN_45784_2419886	(không dùng) KID SHOW: AGGREGATES GAME
KID_EDU_HNCP__VN_45581_2419683	(không dùng) KID SHOW: ROTATED SNAKES + JUMPING HORSE
KID_EDU_HNCP__VN_45580_2419682	KID SHOW: DJ SUNGLASSES + CARGO TRUCK
KID_EDU_HNCP__VN_43220_2412033	KID SHOW: PAPER HYDRANGEAS+BUTTERFLY FLAPPING WINGS
KID_EDU_HNCP__VN_43219_2412032	KID SHOW: MONSTERS FAMILY + MAXIM DINOSAURS
KID_EDU_HNCP__VN_42385_2412030	KID SHOW: REINDEER FROM PAPER CORE - SNOWMAN FROM WOOL SOCKS
KID_EDU_HNCP__VN_42250_2412029	KID SHOW: ICE CREAM BOAT - SWAYING PARROT
KID_EDU_HNCP__VN_42249_2412028	KID SHOW: PEN BOX + DRUM VEHICLES
KID_EDU_HNCP__VN_41574_2412094	KID SHOW: ARGYL RACK - OWL CUPCAKE
KID_EDU_HNCP__VN_41573_2412093	KID SHOW: MINI DRUMS - DANCING CLOWN
KID_EDU_HNCP__VN_41525_2412092	KID SHOW: PAPER CUPS GIFT BOXES - FLORAL BORDER FRAMES
KID_EDU_HNCP__VN_40709_2412091	KID SHOW: MAGIC MATCHBOX - AIRCRAFT MODEL
KID_EDU_HNCP__VN_40708_2412090	KID SHOW: OCEAN PEN CASE - STICKLEBACKS FROM PAPER BAGS
KID_EDU_HNCP__VN_40444_2412089	KID SHOW: BAT BONBONNIERE - JACK-O'-LANTERN BALLOON
KID_EDU_HNCP__VN_39712_2412088	(Không dùng) KID SHOW: CONFETTI CUPCAKE - QUEEN CROWN
KID_EDU_HNCP__VN_39275_2412087	KID SHOW: STRAWS FAN BLADES - MAGNETICS FAN BLADES
KID_EDU_HNCP__VN_39274_2412086	KID SHOW: VOLCANIC ERUPTIONS - MONSTER VOLCANO
KID_EDU_HNCP__VN_38582_2412085	KID SHOW: ROCKETS FROM STRAW - MOON ASTRONAUTS
KID_EDU_HNCP__VN_38581	KID SHOW: MID-AUTUMN LANTERNS AND MASKS
KID_EDU_HNCP__VN_38243	KID SHOW: WIRELESS MOUSE - CAT AND MOUSE GAME
KID_EDU_HNCP__VN_38242	KID SHOW: MAGIC COINS - HANDS PROPHET
KID_EDU_HNCP__VN_37312	KID SHOW: PERSIAN CANDLES HOLDERS - INSTAGRAM WOOD PAINTINGS
KID_EDU_HNCP__VN_37311	KID SHOW: PHOTO FRAMES FROM CD AND GLASSES PAINTING FROM CARDBOARD
KID_EDU_HNCP__VN_36676	KID SHOW: MAGICAL PINWHEEL - ILLUSION CARDS
KID_EDU_HNCP__VN_36675	KID SHOW: BUTTERFLY FLAPPING WINGS - BALANCING PARROT
KID_EDU_HNCP__VN_36674_2412073	KID SHOW: STRAWS MAZE- BALLOONS VEHICLED MOTO
KID_EDU_HNCP__VN_36545	KID SHOW: ROCKETS - ROCKETS FROM BALLOONS
KID_EDU_HNCP__VN_36544	KID SHOW: MAGNET DANCERS - CIRCUS BALANCING ON WIRES
KID_EDU_HNCP__VN_37231	KID SHOW: ONE EYED MINION - MINION TEAM
KID_EDU_HNCP__VN_37230	KID SHOW: MINI LOCKER - WORM MESSAGE
KID_EDU_HNCP__VN_36960	KID SHOW: NIM'S ISLAND - FRED LIZARD
KID_EDU_HNCP__VN_36959	KID SHOW: MUSHROOM FROM PAPER BAG - RABBIT FROM WOOL STICKS
KID_EDU_HNCP__VN_36210	KID SHOW: ROPPING CRAB - THE TRAFFIC GUIDE FROM STRAWS
KID_EDU_HNCP__VN_36117	KID SHOW: MAGIC FAN - TURNED TAIL FISH CUP
KID_EDU_HNCP__VN_36030	KID SHOW: HORIZONTAL BAR GYMNAST - BASKETBALL FROM SPOON
KID_EDU_HNCP__VN_35352	KID SHOW: DRAGONFLY - CORN PEN BOX
KID_EDU_HNCP__VN_35351	KID SHOW: ANIMALS FROM TWISTED PAPER+FLAPPING BEES
KID_EDU_HNCP__VN_35350	KID SHOW: LUCKY TICKET+PEN'S CANISTER FROM CASSETTES CASE
KID_EDU_HNCP__VN_34683	KID SHOW: PALM SPEEDWAY - BUBBLE CHARIOT
KID_EDU_HNCP__VN_34682	KID SHOW: DOLPHIN BOAT+PAPER PAINTING TECHNIQUE
KID_EDU_HNCP__VN_34091	KID SHOW: HIDDEN LETTER + BIRTHDAY FIREWORKS
KID_EDU_HNCP__VN_34090	KID SHOW: FINGER TRICK + DEER SHAPE PAPER CLIP
KID_EDU_HNCP__VN_33774	(không dùng) KID SHOW: BANANA PLANTING CLOWN + SAVING SECRET BOX
KID_EDU_HNCP__VN_33773	KID SHOW: SUPERHERO CUFFS+MONSTER BITES CLOTHESPIN HANGER
KID_EDU_HNCP__VN_33613	KID SHOW: PAPER SPINDLE + WHALES
KID_EDU_HNCP__VN_33289	KID SHOW: BABY DICES+TRUMPET FROM STRAWS
KID_EDU_HNCP__VN_32943	KID SHOW: TURNING WOODPECKER + PAINTINGS FROM BOXSHOT
KID_EDU_HNCP__VN_32642	KID SHOW: PENGUIN FROM BULB + SNAKE FROM OLD CRAVAT
KID_EDU_HNCP__VN_31774_2412051	KID SHOW: BUNNY SLOPE + PAPER RAINBOW
KID_EDU_HNCP__VN_31584_2412050	KID SHOW: STRAWS-ROLLING BALLS + PAINTINGS FROM TAPES
KID_EDU_HNCP__VN_31404	KID SHOW: FLOWER PAINTING FROM BOTTLE'S BOTTOM + WALLETS FROM BOTTLE CAPS
KID_EDU_HNCP__14_VN_31357	KID SHOW: PAINTINGS FROM SILVER PAPER + CUPCAKE
KID_EDU_HNCP__VN_31040_2412047	KID SHOW: PINES FROM COTTON BATH + SNOWBALL
KID_EDU_HNCP__VN_30858_2412046	KID SHOW: MONOCYCLE BUDDY + CUTTING BODY MAGIC TRICK
KID_EDU_HNCP__VN_30624_2412045	KID SHOW: WOODPECKER + MONKEYS CLIMBING TREES
KID_EDU_HNCP__VN_30364_2412044	KID SHOW: GLASS PAINTINGS + PHOTO CLIPS
KID_EDU_HNCP__VN_30085	KID SHOW: ILLUSION HAND AND CARD
KID_EDU_HNCP__VN_29686	KID SHOW: TRIBUTE FLORAL BAND + STRAW WREATH
KID_EDU_HNCP__VN_29528	KID SHOW: CIRCUS DOLPHIN + BILLARD
KID_EDU_HNCP__VN_29219	KID SHOW: PUPPET FROM CLOTHING CLIP + MOVING FACE
KID_EDU_HNCP__VN_29001_2412042	KID SHOW: HALLOWEEN COFFINS + HALLOWEEN OAK
KID_EDU_HNCP__VN_28140	KID SHOW: FLYING SNAKES + MAGIC WALLET
KID_EDU_HNCP__VN_28139	KID SHOW: BROOCH FROM SCOTCH TAPE, PATTERN IN SCOTCH TAPE CORE
KID_EDU_HNCP__VN_28138	KID SHOW: JELLY SHELL WORM, ANIMALS FROM PLASTIC BOTTLE
KID_EDU_HNCP__VN_27127_2412018	KID SHOW: STAR POP UP; PULLING FLAG
KID_EDU_HNCP__VN_26702	(không dùng) KID SHOW: SHAKING HORSE, PIG CROSS OVER THE FENCE
KID_EDU_HNCP__VN_26701_2412036	KID SHOW: PUPPETS FROM PAPER BAG, MARIONETTE
KID_EDU_HNCP__VN_26700_2412035	KID SHOW: BOOK HOLDER DINOSAUR SHAPE, SCHEDULE DRAPE
KID_EDU_HNCP__VN_26699	KID SHOW: SLING CARP, CHÚ CUOI AND CHI HANG PLAYING HIDE AND SEEK
KID_EDU_HNCP__VN_26698_2412034	KID SHOW: PAINTINGS FROM PASTA, JEWELS FROM NOODLES
KID_EDU_HNCP__VN_26507	KID SHOW: JEWEL CASE FROM MILK BOX, JEWEL FROM EGG SHELL
KID_EDU_HNCP__VN_26257	KID SHOW: PAINTINGS FROM DRY LEAVES, LUCKY BALLS
KID_EDU_HNCP__VN_26256	KID SHOW: FRIED FEST (CHICKEN, SPING ROLLS, FRIES,..)
KID_EDU_HNCP__VN_25874	KID SHOW: PAINTINGS FROM COLOR BUBBLE, CAKE WORLD
KID_EDU_HNCP__VN_26160	KID SHOW: PAINTINGS FROM PENCIL PEELINGS, WASTED BIN
KID_EDU_HNCP__VN_25787	KID SHOW: BIRD NEST, TOURIST WALLET
KID_EDU_HNCP__VN_25365	KID SHOW: HANGING HOOK, ICE CREAM GLASS
KID_EDU_HNCP__VN_25364	KID SHOW: CD DECORATION, WIND CHIME FROM CD
KID_EDU_HNCP__VN_25174	KID SHOW - PAINTINGS FROM TOILET PAPERS, SHAPING FROM TOILET ROLL
KID_EDU_HNCP__VN_24963	KID SHOW - BOAT INSIDE BOTTLE, PEN CASE
KID_EDU_HNCP__VN_24688	KID SHOW - CACTUS, DRY PLANT WORLD
KID_EDU_HNCP__VN_24502	Kid show: Số đặc biệt 1.6
KID_EDU_HNCP__VN_24254	KID SHOW - GHOST CASTLE, FRIDGE</t>
        </is>
      </c>
      <c r="C14" s="222" t="inlineStr">
        <is>
          <t xml:space="preserve">Kids show </t>
        </is>
      </c>
      <c r="D14" s="222" t="inlineStr">
        <is>
          <t>Hành tinh vuông</t>
        </is>
      </c>
      <c r="E14" s="222" t="inlineStr">
        <is>
          <t>Việt Nam</t>
        </is>
      </c>
      <c r="F14" s="222" t="n">
        <v>115</v>
      </c>
      <c r="G14" s="222" t="n">
        <v>30</v>
      </c>
      <c r="H14" s="222">
        <f>(F14*G14)/60</f>
        <v/>
      </c>
      <c r="I14" s="222" t="n"/>
      <c r="J14" s="222" t="inlineStr">
        <is>
          <t>Vĩnh viễn</t>
        </is>
      </c>
      <c r="K14" s="224" t="inlineStr">
        <is>
          <t>Yes</t>
        </is>
      </c>
      <c r="L14" s="224" t="inlineStr">
        <is>
          <t>Yes</t>
        </is>
      </c>
      <c r="M14" s="223" t="n"/>
      <c r="N14" s="691" t="inlineStr">
        <is>
          <t>ND còn hạn từ 2026</t>
        </is>
      </c>
      <c r="O14" s="223" t="n">
        <v>1</v>
      </c>
      <c r="P14" s="223" t="n"/>
      <c r="Q14" s="223" t="n"/>
      <c r="R14" s="223" t="n"/>
      <c r="S14" s="223" t="n"/>
      <c r="T14" s="223" t="n"/>
      <c r="U14" t="inlineStr">
        <is>
          <t>✓ Found</t>
        </is>
      </c>
    </row>
    <row r="15" ht="409.6" customHeight="1" s="578">
      <c r="A15" s="220" t="n">
        <v>9</v>
      </c>
      <c r="B15" s="221" t="inlineStr">
        <is>
          <t>MOV_BIO__2682006 THE WALLS
MOV_BIO23 (SUB) THE WALLS 
ENT_MUS__2649709 LIVESHOW BỨC TƯỜNG TRỞ VỀ
SHC_MUS_21__2649773	BỨC TƯỜNG TRỞ VỀ: ĐƯỜNG ĐẾN NGÀY VINH QUANG
SHC_MUS_21__2649772	BỨC TƯỜNG TRỞ VỀ: CON ĐƯỜNG KHÔNG TÊN
SHC_MUS_21__2649771	BỨC TƯỜNG TRỞ VỀ: KÝ ỨC
SHC_MUS_21__2649770	BỨC TƯỜNG TRỞ VỀ: NHỮNG CHUYẾN ĐI DÀI
SHC_MUS_21__2649769	BỨC TƯỜNG TRỞ VỀ: THÁNG 10
SHC_MUS_21__2649768	BỨC TƯỜNG TRỞ VỀ: TIẾNG GỌI
SHC_MUS_21__2649767	BỨC TƯỜNG TRỞ VỀ: CƠN MƯA THÁNG 5
SHC_MUS_21__2649766	BỨC TƯỜNG TRỞ VỀ: KHOẢNG TRỐNG
SHC_MUS_21__2649765	BỨC TƯỜNG TRỞ VỀ: LỐI RẼ
SHC_MUS_21__2649764	BỨC TƯỜNG TRỞ VỀ: HOA BAN TRẮNG
SHC_MUS_21__2649763	BỨC TƯỜNG TRỞ VỀ: MEN SAY
SHC_MUS_21__2649762	BỨC TƯỜNG TRỞ VỀ: BÌNH YÊN
SHC_MUS_21__2649761	BỨC TƯỜNG TRỞ VỀ: CÂY BÀNG
SHC_MUS_21__2649760	BỨC TƯỜNG TRỞ VỀ: ƯỚC MUỐN
SHC_MUS_21__2649759	BỨC TƯỜNG TRỞ VỀ: KHÁM PHÁ
SHC_MUS_21__2649758	BỨC TƯỜNG TRỞ VỀ: NGƯỜI ĐÀN BÀ HÓA ĐÁ
SHC_MUS_21__2649757	BỨC TƯỜNG TRỞ VỀ: TÂM HỒN CỦA ĐÁ
SHC_MUS_21__2649756	BỨC TƯỜNG TRỞ VỀ: ROCK XUYÊN MÀN ĐÊM
SHC_MUS_21__2649755	BỨC TƯỜNG TRỞ VỀ: BÌNH MINH SINH VIÊN + RUNG CHUÔNG VÀNG
SHC_MUS__2649754	BỨC TƯỜNG TRỞ VỀ: RA KHƠI</t>
        </is>
      </c>
      <c r="C15" s="222" t="inlineStr">
        <is>
          <t>Show Bức tường</t>
        </is>
      </c>
      <c r="D15" s="222" t="n"/>
      <c r="E15" s="222" t="inlineStr">
        <is>
          <t>Việt Nam</t>
        </is>
      </c>
      <c r="F15" s="222" t="n">
        <v>1</v>
      </c>
      <c r="G15" s="222" t="n">
        <v>124</v>
      </c>
      <c r="H15" s="222">
        <f>(F15*G15)/60</f>
        <v/>
      </c>
      <c r="I15" s="222" t="n"/>
      <c r="J15" s="222" t="inlineStr">
        <is>
          <t>Vĩnh viễn</t>
        </is>
      </c>
      <c r="K15" s="224" t="inlineStr">
        <is>
          <t>Yes</t>
        </is>
      </c>
      <c r="L15" s="224" t="inlineStr">
        <is>
          <t>Yes</t>
        </is>
      </c>
      <c r="M15" s="223" t="n"/>
      <c r="N15" s="691" t="inlineStr">
        <is>
          <t>ND còn hạn từ 2026</t>
        </is>
      </c>
      <c r="O15" s="223" t="n">
        <v>1</v>
      </c>
      <c r="P15" s="223" t="n"/>
      <c r="Q15" s="223" t="n"/>
      <c r="R15" s="223" t="n"/>
      <c r="S15" s="223" t="n"/>
      <c r="T15" s="223" t="n"/>
      <c r="U15" t="inlineStr">
        <is>
          <t>✓ Found</t>
        </is>
      </c>
    </row>
    <row r="16"/>
    <row r="17" ht="13.2" customFormat="1" customHeight="1" s="546">
      <c r="A17" s="216" t="inlineStr">
        <is>
          <t>Ngày….....tháng…....năm 2026</t>
        </is>
      </c>
      <c r="C17" s="548" t="n"/>
      <c r="D17" s="548" t="n"/>
      <c r="AO17" s="551" t="n"/>
      <c r="AP17" s="551" t="n"/>
      <c r="AQ17" s="551" t="n"/>
    </row>
    <row r="18" ht="13.2" customFormat="1" customHeight="1" s="546">
      <c r="A18" s="217" t="inlineStr">
        <is>
          <t>TỔ KIỂM KÊ</t>
        </is>
      </c>
      <c r="C18" s="548" t="n"/>
      <c r="D18" s="548" t="n"/>
      <c r="AO18" s="551" t="n"/>
      <c r="AP18" s="551" t="n"/>
      <c r="AQ18" s="551" t="n"/>
    </row>
    <row r="19" ht="13.2" customFormat="1" customHeight="1" s="546">
      <c r="A19" s="218" t="n"/>
      <c r="B19" s="214" t="inlineStr">
        <is>
          <t xml:space="preserve">Đại diện Kế toán - HME </t>
        </is>
      </c>
      <c r="C19" s="214" t="inlineStr">
        <is>
          <t>Đại diện Ban CNTT - HME</t>
        </is>
      </c>
      <c r="D19" s="188" t="inlineStr">
        <is>
          <t>Đại diện VSTV</t>
        </is>
      </c>
      <c r="E19" s="188" t="inlineStr">
        <is>
          <t>Đại diện VTV</t>
        </is>
      </c>
      <c r="AO19" s="551" t="n"/>
      <c r="AP19" s="551" t="n"/>
      <c r="AQ19" s="551" t="n"/>
    </row>
    <row r="20" ht="13.2" customFormat="1" customHeight="1" s="546">
      <c r="A20" s="218" t="n"/>
      <c r="B20" s="548" t="inlineStr">
        <is>
          <t>(Ký và ghi rõ họ tên)</t>
        </is>
      </c>
      <c r="C20" s="548" t="inlineStr">
        <is>
          <t>(Ký và ghi rõ họ tên)</t>
        </is>
      </c>
      <c r="D20" s="548" t="inlineStr">
        <is>
          <t>(Ký và ghi rõ họ tên)</t>
        </is>
      </c>
      <c r="E20" s="548" t="inlineStr">
        <is>
          <t>(Ký và ghi rõ họ tên)</t>
        </is>
      </c>
      <c r="AO20" s="551" t="n"/>
      <c r="AP20" s="551" t="n"/>
      <c r="AQ20" s="551" t="n"/>
    </row>
    <row r="21" ht="13.2" customFormat="1" customHeight="1" s="546">
      <c r="B21" s="549" t="n"/>
      <c r="E21" s="549" t="n"/>
      <c r="AO21" s="551" t="n"/>
      <c r="AP21" s="551" t="n"/>
      <c r="AQ21" s="551" t="n"/>
    </row>
  </sheetData>
  <autoFilter ref="A6:N15"/>
  <mergeCells count="8">
    <mergeCell ref="S5:S6"/>
    <mergeCell ref="P5:R5"/>
    <mergeCell ref="A4:T4"/>
    <mergeCell ref="K5:M5"/>
    <mergeCell ref="A3:T3"/>
    <mergeCell ref="P1:T1"/>
    <mergeCell ref="P2:T2"/>
    <mergeCell ref="T5:T6"/>
  </mergeCells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AF24"/>
  <sheetViews>
    <sheetView tabSelected="1" zoomScale="85" zoomScaleNormal="85" workbookViewId="0">
      <pane xSplit="4" ySplit="6" topLeftCell="E7" activePane="bottomRight" state="frozen"/>
      <selection pane="topRight" activeCell="D1" sqref="D1"/>
      <selection pane="bottomLeft" activeCell="A5" sqref="A5"/>
      <selection pane="bottomRight" activeCell="A20" sqref="A20"/>
    </sheetView>
  </sheetViews>
  <sheetFormatPr baseColWidth="8" defaultColWidth="8.77734375" defaultRowHeight="13.8"/>
  <cols>
    <col width="8.77734375" customWidth="1" style="570" min="1" max="1"/>
    <col width="8.109375" customWidth="1" style="570" min="2" max="2"/>
    <col width="32.5546875" bestFit="1" customWidth="1" style="570" min="3" max="3"/>
    <col width="22.5546875" bestFit="1" customWidth="1" style="570" min="4" max="4"/>
    <col width="10.5546875" customWidth="1" style="570" min="5" max="5"/>
    <col width="8.88671875" bestFit="1" customWidth="1" style="570" min="6" max="6"/>
    <col width="11.44140625" customWidth="1" style="570" min="7" max="7"/>
    <col width="8.88671875" bestFit="1" customWidth="1" style="570" min="8" max="8"/>
    <col width="11.5546875" customWidth="1" style="570" min="9" max="9"/>
    <col width="8.88671875" bestFit="1" customWidth="1" style="570" min="10" max="10"/>
    <col width="8.77734375" customWidth="1" style="570" min="11" max="17"/>
    <col width="10.6640625" bestFit="1" customWidth="1" style="570" min="18" max="18"/>
    <col width="11.88671875" bestFit="1" customWidth="1" style="570" min="19" max="19"/>
    <col width="8.77734375" customWidth="1" style="570" min="20" max="22"/>
    <col hidden="1" width="20.77734375" customWidth="1" style="570" min="23" max="23"/>
    <col hidden="1" width="16.77734375" customWidth="1" style="570" min="24" max="24"/>
    <col hidden="1" width="17.21875" customWidth="1" style="570" min="25" max="25"/>
    <col hidden="1" width="22" customWidth="1" style="570" min="26" max="26"/>
    <col hidden="1" width="16.44140625" customWidth="1" style="570" min="27" max="27"/>
    <col width="8.77734375" customWidth="1" style="570" min="28" max="30"/>
    <col width="14.21875" customWidth="1" style="570" min="31" max="31"/>
    <col width="15.21875" customWidth="1" style="570" min="32" max="32"/>
    <col width="8.77734375" customWidth="1" style="570" min="33" max="33"/>
    <col width="8.77734375" customWidth="1" style="570" min="34" max="16384"/>
  </cols>
  <sheetData>
    <row r="1">
      <c r="B1" s="186" t="inlineStr">
        <is>
          <t xml:space="preserve"> Công ty TNHH Truyền hình số vệ tinh Việt Nam</t>
        </is>
      </c>
      <c r="C1" s="130" t="n"/>
      <c r="AB1" s="692" t="inlineStr">
        <is>
          <t xml:space="preserve">           Cộng Hòa Xã Hội Chủ Nghĩa Việt Nam</t>
        </is>
      </c>
    </row>
    <row r="2">
      <c r="AB2" s="693" t="inlineStr">
        <is>
          <t xml:space="preserve">                  Độc Lập - Tự Do - Hạnh Phúc</t>
        </is>
      </c>
    </row>
    <row r="3">
      <c r="B3" s="569" t="inlineStr">
        <is>
          <t>BÁO CÁO KIỂM KÊ BẢN QUYỀN DOCUMENTARY</t>
        </is>
      </c>
    </row>
    <row r="4">
      <c r="B4" s="569" t="inlineStr">
        <is>
          <t>Thời điểm:….......giờ, ngày…....tháng.........năm 2026</t>
        </is>
      </c>
    </row>
    <row r="5" ht="14.4" customHeight="1" s="578">
      <c r="E5" s="225" t="n"/>
      <c r="I5" s="226" t="n"/>
      <c r="K5" s="225" t="n"/>
      <c r="L5" s="225" t="n"/>
      <c r="M5" s="225" t="n"/>
      <c r="N5" s="225" t="n"/>
      <c r="O5" s="225" t="n"/>
      <c r="P5" s="225" t="n"/>
      <c r="Q5" s="225" t="n"/>
      <c r="T5" s="694" t="inlineStr">
        <is>
          <t>Lưu trữ</t>
        </is>
      </c>
      <c r="U5" s="539" t="n"/>
      <c r="V5" s="535" t="n"/>
      <c r="W5" s="132" t="n"/>
      <c r="X5" s="572" t="inlineStr">
        <is>
          <t>Ref Sổ kế toán</t>
        </is>
      </c>
      <c r="Y5" s="539" t="n"/>
      <c r="Z5" s="535" t="n"/>
      <c r="AA5" s="227" t="inlineStr">
        <is>
          <t>Ngoài sổ kế toán</t>
        </is>
      </c>
      <c r="AB5" s="695" t="inlineStr">
        <is>
          <t>SỐ LIỆU KIỂM KÊ</t>
        </is>
      </c>
      <c r="AC5" s="539" t="n"/>
      <c r="AD5" s="535" t="n"/>
      <c r="AE5" s="574" t="inlineStr">
        <is>
          <t>Giải trình chênh lệch</t>
        </is>
      </c>
      <c r="AF5" s="574" t="inlineStr">
        <is>
          <t>Đề xuất Phương án xử lý</t>
        </is>
      </c>
    </row>
    <row r="6" ht="55.2" customHeight="1" s="578">
      <c r="A6" t="inlineStr">
        <is>
          <t>Kết quả kiểm tra VOD</t>
        </is>
      </c>
      <c r="B6" s="140" t="inlineStr">
        <is>
          <t>Stt</t>
        </is>
      </c>
      <c r="C6" s="140" t="inlineStr">
        <is>
          <t>ENGLISH Title</t>
        </is>
      </c>
      <c r="D6" s="140" t="inlineStr">
        <is>
          <t>VIET Title</t>
        </is>
      </c>
      <c r="E6" s="129" t="inlineStr">
        <is>
          <t>Provider</t>
        </is>
      </c>
      <c r="F6" s="140" t="inlineStr">
        <is>
          <t>Origin</t>
        </is>
      </c>
      <c r="G6" s="129" t="inlineStr">
        <is>
          <t>Year of production</t>
        </is>
      </c>
      <c r="H6" s="129" t="inlineStr">
        <is>
          <t>No. of eps</t>
        </is>
      </c>
      <c r="I6" s="141" t="inlineStr">
        <is>
          <t>Duration
(minute)</t>
        </is>
      </c>
      <c r="J6" s="500" t="inlineStr">
        <is>
          <t>Duration ( Hour)</t>
        </is>
      </c>
      <c r="K6" s="129" t="inlineStr">
        <is>
          <t>Sub-license</t>
        </is>
      </c>
      <c r="L6" s="696" t="inlineStr">
        <is>
          <t>SVOD</t>
        </is>
      </c>
      <c r="M6" s="142" t="inlineStr">
        <is>
          <t>FVOD</t>
        </is>
      </c>
      <c r="N6" s="696" t="inlineStr">
        <is>
          <t>AVOD</t>
        </is>
      </c>
      <c r="O6" s="696" t="inlineStr">
        <is>
          <t>TVOD</t>
        </is>
      </c>
      <c r="P6" s="696" t="inlineStr">
        <is>
          <t>Internet 
Streaming</t>
        </is>
      </c>
      <c r="Q6" s="696" t="inlineStr">
        <is>
          <t>Internet 
Downloading</t>
        </is>
      </c>
      <c r="R6" s="141" t="inlineStr">
        <is>
          <t>From (VOD)</t>
        </is>
      </c>
      <c r="S6" s="141" t="inlineStr">
        <is>
          <t>To (VOD)</t>
        </is>
      </c>
      <c r="T6" s="696" t="inlineStr">
        <is>
          <t>HD Censorship</t>
        </is>
      </c>
      <c r="U6" s="696" t="inlineStr">
        <is>
          <t>LTO</t>
        </is>
      </c>
      <c r="V6" s="696" t="inlineStr">
        <is>
          <t>Drive ( ổ cứng)</t>
        </is>
      </c>
      <c r="W6" s="138" t="inlineStr">
        <is>
          <t>Note</t>
        </is>
      </c>
      <c r="X6" s="139" t="inlineStr">
        <is>
          <t>Tên kế toán</t>
        </is>
      </c>
      <c r="Y6" s="137" t="inlineStr">
        <is>
          <t>Check ref "TK 15661. Bản quyền phim"</t>
        </is>
      </c>
      <c r="Z6" s="137" t="inlineStr">
        <is>
          <t>Check ref "TK 15666. Phim SX"</t>
        </is>
      </c>
      <c r="AA6" s="137" t="inlineStr">
        <is>
          <t>Phim Barter</t>
        </is>
      </c>
      <c r="AB6" s="241" t="inlineStr">
        <is>
          <t>Số lượng</t>
        </is>
      </c>
      <c r="AC6" s="241" t="inlineStr">
        <is>
          <t>From (VOD)</t>
        </is>
      </c>
      <c r="AD6" s="241" t="inlineStr">
        <is>
          <t>To (VOD)</t>
        </is>
      </c>
      <c r="AE6" s="556" t="n"/>
      <c r="AF6" s="556" t="n"/>
    </row>
    <row r="7" ht="14.4" customHeight="1" s="578">
      <c r="A7" t="inlineStr">
        <is>
          <t>No CSV data</t>
        </is>
      </c>
      <c r="B7" s="132" t="n">
        <v>1</v>
      </c>
      <c r="C7" s="143" t="inlineStr">
        <is>
          <t>DIY 2020</t>
        </is>
      </c>
      <c r="D7" s="144" t="inlineStr">
        <is>
          <t>Tự làm</t>
        </is>
      </c>
      <c r="E7" s="145" t="inlineStr">
        <is>
          <t>DW</t>
        </is>
      </c>
      <c r="F7" s="132" t="n"/>
      <c r="G7" s="132" t="n"/>
      <c r="H7" s="145" t="n">
        <v>19</v>
      </c>
      <c r="I7" s="228" t="n">
        <v>2</v>
      </c>
      <c r="J7" s="229">
        <f>H7*I7/60</f>
        <v/>
      </c>
      <c r="K7" s="145" t="inlineStr">
        <is>
          <t>No</t>
        </is>
      </c>
      <c r="L7" s="145" t="inlineStr">
        <is>
          <t>Yes</t>
        </is>
      </c>
      <c r="M7" s="145" t="inlineStr">
        <is>
          <t>Yes</t>
        </is>
      </c>
      <c r="N7" s="145" t="inlineStr">
        <is>
          <t>Yes</t>
        </is>
      </c>
      <c r="O7" s="145" t="inlineStr">
        <is>
          <t>Yes</t>
        </is>
      </c>
      <c r="P7" s="145" t="inlineStr">
        <is>
          <t>No</t>
        </is>
      </c>
      <c r="Q7" s="145" t="inlineStr">
        <is>
          <t>Yes</t>
        </is>
      </c>
      <c r="R7" s="502" t="n">
        <v>43862</v>
      </c>
      <c r="S7" s="502" t="n">
        <v>50806</v>
      </c>
      <c r="T7" s="145" t="inlineStr">
        <is>
          <t>Yes</t>
        </is>
      </c>
      <c r="U7" s="145" t="inlineStr">
        <is>
          <t>Yes</t>
        </is>
      </c>
      <c r="V7" s="132" t="n"/>
      <c r="W7" s="697" t="inlineStr">
        <is>
          <t>Phim còn hạn từ 2026</t>
        </is>
      </c>
      <c r="X7" s="132" t="n"/>
      <c r="Y7" s="132" t="n"/>
      <c r="Z7" s="132" t="n"/>
      <c r="AA7" s="132" t="n">
        <v>1</v>
      </c>
      <c r="AB7" s="132" t="n"/>
      <c r="AC7" s="132" t="n"/>
      <c r="AD7" s="132" t="n"/>
      <c r="AE7" s="132" t="n"/>
      <c r="AF7" s="132" t="n"/>
    </row>
    <row r="8" ht="14.4" customHeight="1" s="578">
      <c r="A8" t="inlineStr">
        <is>
          <t>Found</t>
        </is>
      </c>
      <c r="B8" s="132" t="n">
        <v>2</v>
      </c>
      <c r="C8" s="143" t="inlineStr">
        <is>
          <t>Now You Know</t>
        </is>
      </c>
      <c r="D8" s="144" t="inlineStr">
        <is>
          <t>Bạn Có Biết</t>
        </is>
      </c>
      <c r="E8" s="145" t="inlineStr">
        <is>
          <t>DW</t>
        </is>
      </c>
      <c r="F8" s="132" t="n"/>
      <c r="G8" s="132" t="n"/>
      <c r="H8" s="145" t="n">
        <v>54</v>
      </c>
      <c r="I8" s="228" t="n">
        <v>1</v>
      </c>
      <c r="J8" s="229">
        <f>H8*I8/60</f>
        <v/>
      </c>
      <c r="K8" s="145" t="inlineStr">
        <is>
          <t>No</t>
        </is>
      </c>
      <c r="L8" s="145" t="inlineStr">
        <is>
          <t>Yes</t>
        </is>
      </c>
      <c r="M8" s="145" t="inlineStr">
        <is>
          <t>Yes</t>
        </is>
      </c>
      <c r="N8" s="145" t="inlineStr">
        <is>
          <t>Yes</t>
        </is>
      </c>
      <c r="O8" s="145" t="inlineStr">
        <is>
          <t>Yes</t>
        </is>
      </c>
      <c r="P8" s="145" t="inlineStr">
        <is>
          <t>No</t>
        </is>
      </c>
      <c r="Q8" s="145" t="inlineStr">
        <is>
          <t>Yes</t>
        </is>
      </c>
      <c r="R8" s="502" t="inlineStr">
        <is>
          <t>18/12/2024</t>
        </is>
      </c>
      <c r="S8" s="502" t="inlineStr">
        <is>
          <t>31/03/2027</t>
        </is>
      </c>
      <c r="T8" s="145" t="inlineStr">
        <is>
          <t>Yes</t>
        </is>
      </c>
      <c r="U8" s="145" t="inlineStr">
        <is>
          <t>Yes</t>
        </is>
      </c>
      <c r="V8" s="132" t="n"/>
      <c r="W8" s="697" t="inlineStr">
        <is>
          <t>Phim còn hạn từ 2026</t>
        </is>
      </c>
      <c r="X8" s="132" t="n"/>
      <c r="Y8" s="132" t="n"/>
      <c r="Z8" s="132" t="n"/>
      <c r="AA8" s="132" t="n">
        <v>1</v>
      </c>
      <c r="AB8" s="132" t="n"/>
      <c r="AC8" s="132" t="n"/>
      <c r="AD8" s="132" t="n"/>
      <c r="AE8" s="132" t="n"/>
      <c r="AF8" s="132" t="n"/>
    </row>
    <row r="9" ht="14.4" customHeight="1" s="578">
      <c r="A9" t="inlineStr">
        <is>
          <t>Found</t>
        </is>
      </c>
      <c r="B9" s="132" t="n">
        <v>3</v>
      </c>
      <c r="C9" s="143" t="inlineStr">
        <is>
          <t>Work Places</t>
        </is>
      </c>
      <c r="D9" s="144" t="inlineStr">
        <is>
          <t>Nơi Làm Việc</t>
        </is>
      </c>
      <c r="E9" s="145" t="inlineStr">
        <is>
          <t>DW</t>
        </is>
      </c>
      <c r="F9" s="132" t="n"/>
      <c r="G9" s="132" t="n"/>
      <c r="H9" s="145" t="n">
        <v>7</v>
      </c>
      <c r="I9" s="228" t="n">
        <v>4</v>
      </c>
      <c r="J9" s="229">
        <f>H9*I9/60</f>
        <v/>
      </c>
      <c r="K9" s="145" t="inlineStr">
        <is>
          <t>No</t>
        </is>
      </c>
      <c r="L9" s="145" t="inlineStr">
        <is>
          <t>Yes</t>
        </is>
      </c>
      <c r="M9" s="145" t="inlineStr">
        <is>
          <t>Yes</t>
        </is>
      </c>
      <c r="N9" s="145" t="inlineStr">
        <is>
          <t>Yes</t>
        </is>
      </c>
      <c r="O9" s="145" t="inlineStr">
        <is>
          <t>Yes</t>
        </is>
      </c>
      <c r="P9" s="145" t="inlineStr">
        <is>
          <t>No</t>
        </is>
      </c>
      <c r="Q9" s="145" t="inlineStr">
        <is>
          <t>Yes</t>
        </is>
      </c>
      <c r="R9" s="502" t="inlineStr">
        <is>
          <t>19/12/2024</t>
        </is>
      </c>
      <c r="S9" s="502" t="inlineStr">
        <is>
          <t>31/03/2027</t>
        </is>
      </c>
      <c r="T9" s="145" t="inlineStr">
        <is>
          <t>Yes</t>
        </is>
      </c>
      <c r="U9" s="145" t="inlineStr">
        <is>
          <t>Yes</t>
        </is>
      </c>
      <c r="V9" s="132" t="n"/>
      <c r="W9" s="697" t="inlineStr">
        <is>
          <t>Phim còn hạn từ 2026</t>
        </is>
      </c>
      <c r="X9" s="132" t="n"/>
      <c r="Y9" s="132" t="n"/>
      <c r="Z9" s="132" t="n"/>
      <c r="AA9" s="132" t="n">
        <v>1</v>
      </c>
      <c r="AB9" s="132" t="n"/>
      <c r="AC9" s="132" t="n"/>
      <c r="AD9" s="132" t="n"/>
      <c r="AE9" s="132" t="n"/>
      <c r="AF9" s="132" t="n"/>
    </row>
    <row r="10" ht="14.4" customHeight="1" s="578">
      <c r="A10" t="inlineStr">
        <is>
          <t>Found</t>
        </is>
      </c>
      <c r="B10" s="132" t="n">
        <v>4</v>
      </c>
      <c r="C10" s="143" t="inlineStr">
        <is>
          <t>Top Travel</t>
        </is>
      </c>
      <c r="D10" s="144" t="inlineStr">
        <is>
          <t>Hành Trình Đỉnh Cao</t>
        </is>
      </c>
      <c r="E10" s="145" t="inlineStr">
        <is>
          <t>DW</t>
        </is>
      </c>
      <c r="F10" s="132" t="n"/>
      <c r="G10" s="132" t="n"/>
      <c r="H10" s="145" t="n">
        <v>6</v>
      </c>
      <c r="I10" s="228" t="n">
        <v>2</v>
      </c>
      <c r="J10" s="229">
        <f>H10*I10/60</f>
        <v/>
      </c>
      <c r="K10" s="145" t="inlineStr">
        <is>
          <t>No</t>
        </is>
      </c>
      <c r="L10" s="145" t="inlineStr">
        <is>
          <t>Yes</t>
        </is>
      </c>
      <c r="M10" s="145" t="inlineStr">
        <is>
          <t>Yes</t>
        </is>
      </c>
      <c r="N10" s="145" t="inlineStr">
        <is>
          <t>Yes</t>
        </is>
      </c>
      <c r="O10" s="145" t="inlineStr">
        <is>
          <t>Yes</t>
        </is>
      </c>
      <c r="P10" s="145" t="inlineStr">
        <is>
          <t>No</t>
        </is>
      </c>
      <c r="Q10" s="145" t="inlineStr">
        <is>
          <t>Yes</t>
        </is>
      </c>
      <c r="R10" s="502" t="inlineStr">
        <is>
          <t>19/12/2024</t>
        </is>
      </c>
      <c r="S10" s="502" t="inlineStr">
        <is>
          <t>31/03/2027</t>
        </is>
      </c>
      <c r="T10" s="145" t="inlineStr">
        <is>
          <t>Yes</t>
        </is>
      </c>
      <c r="U10" s="145" t="inlineStr">
        <is>
          <t>Yes</t>
        </is>
      </c>
      <c r="V10" s="132" t="n"/>
      <c r="W10" s="697" t="inlineStr">
        <is>
          <t>Phim còn hạn từ 2026</t>
        </is>
      </c>
      <c r="X10" s="132" t="n"/>
      <c r="Y10" s="132" t="n"/>
      <c r="Z10" s="132" t="n"/>
      <c r="AA10" s="132" t="n">
        <v>1</v>
      </c>
      <c r="AB10" s="132" t="n"/>
      <c r="AC10" s="132" t="n"/>
      <c r="AD10" s="132" t="n"/>
      <c r="AE10" s="132" t="n"/>
      <c r="AF10" s="132" t="n"/>
    </row>
    <row r="11" ht="14.4" customHeight="1" s="578">
      <c r="A11" t="inlineStr">
        <is>
          <t>Found</t>
        </is>
      </c>
      <c r="B11" s="132" t="n">
        <v>5</v>
      </c>
      <c r="C11" s="143" t="inlineStr">
        <is>
          <t>Visionaries</t>
        </is>
      </c>
      <c r="D11" s="144" t="inlineStr">
        <is>
          <t>Tầm nhìn</t>
        </is>
      </c>
      <c r="E11" s="145" t="inlineStr">
        <is>
          <t>DW</t>
        </is>
      </c>
      <c r="F11" s="132" t="n"/>
      <c r="G11" s="132" t="n"/>
      <c r="H11" s="145" t="n">
        <v>5</v>
      </c>
      <c r="I11" s="228" t="n">
        <v>7</v>
      </c>
      <c r="J11" s="229">
        <f>H11*I11/60</f>
        <v/>
      </c>
      <c r="K11" s="145" t="inlineStr">
        <is>
          <t>No</t>
        </is>
      </c>
      <c r="L11" s="145" t="inlineStr">
        <is>
          <t>Yes</t>
        </is>
      </c>
      <c r="M11" s="145" t="inlineStr">
        <is>
          <t>Yes</t>
        </is>
      </c>
      <c r="N11" s="145" t="inlineStr">
        <is>
          <t>Yes</t>
        </is>
      </c>
      <c r="O11" s="145" t="inlineStr">
        <is>
          <t>Yes</t>
        </is>
      </c>
      <c r="P11" s="145" t="inlineStr">
        <is>
          <t>No</t>
        </is>
      </c>
      <c r="Q11" s="145" t="inlineStr">
        <is>
          <t>Yes</t>
        </is>
      </c>
      <c r="R11" s="502" t="inlineStr">
        <is>
          <t>19/12/2024</t>
        </is>
      </c>
      <c r="S11" s="502" t="inlineStr">
        <is>
          <t>31/03/2027</t>
        </is>
      </c>
      <c r="T11" s="145" t="inlineStr">
        <is>
          <t>Yes</t>
        </is>
      </c>
      <c r="U11" s="145" t="inlineStr">
        <is>
          <t>Yes</t>
        </is>
      </c>
      <c r="V11" s="132" t="n"/>
      <c r="W11" s="697" t="inlineStr">
        <is>
          <t>Phim còn hạn từ 2026</t>
        </is>
      </c>
      <c r="X11" s="132" t="n"/>
      <c r="Y11" s="132" t="n"/>
      <c r="Z11" s="132" t="n"/>
      <c r="AA11" s="132" t="n">
        <v>1</v>
      </c>
      <c r="AB11" s="132" t="n"/>
      <c r="AC11" s="132" t="n"/>
      <c r="AD11" s="132" t="n"/>
      <c r="AE11" s="132" t="n"/>
      <c r="AF11" s="132" t="n"/>
    </row>
    <row r="12" ht="14.4" customHeight="1" s="578">
      <c r="A12" t="inlineStr">
        <is>
          <t>Found</t>
        </is>
      </c>
      <c r="B12" s="132" t="n">
        <v>6</v>
      </c>
      <c r="C12" s="143" t="inlineStr">
        <is>
          <t>The World of Economics Explained</t>
        </is>
      </c>
      <c r="D12" s="144" t="inlineStr">
        <is>
          <t>Thế Giới Kinh Tế</t>
        </is>
      </c>
      <c r="E12" s="145" t="inlineStr">
        <is>
          <t>DW</t>
        </is>
      </c>
      <c r="F12" s="132" t="n"/>
      <c r="G12" s="132" t="n"/>
      <c r="H12" s="145" t="n">
        <v>83</v>
      </c>
      <c r="I12" s="228" t="n">
        <v>2</v>
      </c>
      <c r="J12" s="229">
        <f>H12*I12/60</f>
        <v/>
      </c>
      <c r="K12" s="145" t="inlineStr">
        <is>
          <t>No</t>
        </is>
      </c>
      <c r="L12" s="145" t="inlineStr">
        <is>
          <t>Yes</t>
        </is>
      </c>
      <c r="M12" s="145" t="inlineStr">
        <is>
          <t>Yes</t>
        </is>
      </c>
      <c r="N12" s="145" t="inlineStr">
        <is>
          <t>Yes</t>
        </is>
      </c>
      <c r="O12" s="145" t="inlineStr">
        <is>
          <t>Yes</t>
        </is>
      </c>
      <c r="P12" s="145" t="inlineStr">
        <is>
          <t>No</t>
        </is>
      </c>
      <c r="Q12" s="145" t="inlineStr">
        <is>
          <t>Yes</t>
        </is>
      </c>
      <c r="R12" s="502" t="n">
        <v>45753</v>
      </c>
      <c r="S12" s="502" t="n">
        <v>46396</v>
      </c>
      <c r="T12" s="145" t="inlineStr">
        <is>
          <t>Yes</t>
        </is>
      </c>
      <c r="U12" s="145" t="inlineStr">
        <is>
          <t>Yes</t>
        </is>
      </c>
      <c r="V12" s="132" t="n"/>
      <c r="W12" s="697" t="inlineStr">
        <is>
          <t>Phim còn hạn từ 2026</t>
        </is>
      </c>
      <c r="X12" s="132" t="n"/>
      <c r="Y12" s="132" t="n"/>
      <c r="Z12" s="132" t="n"/>
      <c r="AA12" s="132" t="n">
        <v>1</v>
      </c>
      <c r="AB12" s="132" t="n"/>
      <c r="AC12" s="132" t="n"/>
      <c r="AD12" s="132" t="n"/>
      <c r="AE12" s="132" t="n"/>
      <c r="AF12" s="132" t="n"/>
    </row>
    <row r="13" ht="14.4" customHeight="1" s="578">
      <c r="A13" t="inlineStr">
        <is>
          <t>Found</t>
        </is>
      </c>
      <c r="B13" s="132" t="n">
        <v>7</v>
      </c>
      <c r="C13" s="143" t="inlineStr">
        <is>
          <t>Sports Life</t>
        </is>
      </c>
      <c r="D13" s="144" t="inlineStr">
        <is>
          <t>Đời Sống Thể Thao</t>
        </is>
      </c>
      <c r="E13" s="145" t="inlineStr">
        <is>
          <t>DW</t>
        </is>
      </c>
      <c r="F13" s="132" t="n"/>
      <c r="G13" s="132" t="n"/>
      <c r="H13" s="145" t="n">
        <v>8</v>
      </c>
      <c r="I13" s="228" t="n">
        <v>12</v>
      </c>
      <c r="J13" s="229">
        <f>H13*I13/60</f>
        <v/>
      </c>
      <c r="K13" s="145" t="inlineStr">
        <is>
          <t>No</t>
        </is>
      </c>
      <c r="L13" s="145" t="inlineStr">
        <is>
          <t>Yes</t>
        </is>
      </c>
      <c r="M13" s="145" t="inlineStr">
        <is>
          <t>Yes</t>
        </is>
      </c>
      <c r="N13" s="145" t="inlineStr">
        <is>
          <t>Yes</t>
        </is>
      </c>
      <c r="O13" s="145" t="inlineStr">
        <is>
          <t>Yes</t>
        </is>
      </c>
      <c r="P13" s="145" t="inlineStr">
        <is>
          <t>No</t>
        </is>
      </c>
      <c r="Q13" s="145" t="inlineStr">
        <is>
          <t>Yes</t>
        </is>
      </c>
      <c r="R13" s="502" t="n">
        <v>45545</v>
      </c>
      <c r="S13" s="502" t="n">
        <v>58694</v>
      </c>
      <c r="T13" s="145" t="inlineStr">
        <is>
          <t>Yes</t>
        </is>
      </c>
      <c r="U13" s="145" t="inlineStr">
        <is>
          <t>Yes</t>
        </is>
      </c>
      <c r="V13" s="132" t="n"/>
      <c r="W13" s="697" t="inlineStr">
        <is>
          <t>Phim còn hạn từ 2026</t>
        </is>
      </c>
      <c r="X13" s="132" t="n"/>
      <c r="Y13" s="132" t="n"/>
      <c r="Z13" s="132" t="n"/>
      <c r="AA13" s="132" t="n">
        <v>1</v>
      </c>
      <c r="AB13" s="132" t="n"/>
      <c r="AC13" s="132" t="n"/>
      <c r="AD13" s="132" t="n"/>
      <c r="AE13" s="132" t="n"/>
      <c r="AF13" s="132" t="n"/>
    </row>
    <row r="14" ht="14.4" customHeight="1" s="578">
      <c r="A14" t="inlineStr">
        <is>
          <t>Found</t>
        </is>
      </c>
      <c r="B14" s="132" t="n">
        <v>8</v>
      </c>
      <c r="C14" s="143" t="inlineStr">
        <is>
          <t xml:space="preserve">Robots Now! </t>
        </is>
      </c>
      <c r="D14" s="144" t="inlineStr">
        <is>
          <t>Robot Ngày Nay!</t>
        </is>
      </c>
      <c r="E14" s="145" t="inlineStr">
        <is>
          <t>DW</t>
        </is>
      </c>
      <c r="F14" s="132" t="n"/>
      <c r="G14" s="132" t="n"/>
      <c r="H14" s="145" t="n">
        <v>11</v>
      </c>
      <c r="I14" s="228" t="n">
        <v>4</v>
      </c>
      <c r="J14" s="229">
        <f>H14*I14/60</f>
        <v/>
      </c>
      <c r="K14" s="145" t="inlineStr">
        <is>
          <t>No</t>
        </is>
      </c>
      <c r="L14" s="145" t="inlineStr">
        <is>
          <t>Yes</t>
        </is>
      </c>
      <c r="M14" s="145" t="inlineStr">
        <is>
          <t>Yes</t>
        </is>
      </c>
      <c r="N14" s="145" t="inlineStr">
        <is>
          <t>Yes</t>
        </is>
      </c>
      <c r="O14" s="145" t="inlineStr">
        <is>
          <t>Yes</t>
        </is>
      </c>
      <c r="P14" s="145" t="inlineStr">
        <is>
          <t>No</t>
        </is>
      </c>
      <c r="Q14" s="145" t="inlineStr">
        <is>
          <t>Yes</t>
        </is>
      </c>
      <c r="R14" s="502" t="n">
        <v>45545</v>
      </c>
      <c r="S14" s="502" t="n">
        <v>58694</v>
      </c>
      <c r="T14" s="145" t="inlineStr">
        <is>
          <t>Yes</t>
        </is>
      </c>
      <c r="U14" s="145" t="inlineStr">
        <is>
          <t>Yes</t>
        </is>
      </c>
      <c r="V14" s="132" t="n"/>
      <c r="W14" s="697" t="inlineStr">
        <is>
          <t>Phim còn hạn từ 2026</t>
        </is>
      </c>
      <c r="X14" s="132" t="n"/>
      <c r="Y14" s="132" t="n"/>
      <c r="Z14" s="132" t="n"/>
      <c r="AA14" s="132" t="n">
        <v>1</v>
      </c>
      <c r="AB14" s="132" t="n"/>
      <c r="AC14" s="132" t="n"/>
      <c r="AD14" s="132" t="n"/>
      <c r="AE14" s="132" t="n"/>
      <c r="AF14" s="132" t="n"/>
    </row>
    <row r="15" ht="14.4" customHeight="1" s="578">
      <c r="A15" t="inlineStr">
        <is>
          <t>Found</t>
        </is>
      </c>
      <c r="B15" s="132" t="n">
        <v>9</v>
      </c>
      <c r="C15" s="143" t="inlineStr">
        <is>
          <t>Recharged</t>
        </is>
      </c>
      <c r="D15" s="144" t="inlineStr">
        <is>
          <t>Tái tạo năng lượng</t>
        </is>
      </c>
      <c r="E15" s="145" t="inlineStr">
        <is>
          <t>DW</t>
        </is>
      </c>
      <c r="F15" s="132" t="n"/>
      <c r="G15" s="132" t="n"/>
      <c r="H15" s="145" t="n">
        <v>5</v>
      </c>
      <c r="I15" s="228" t="n">
        <v>3</v>
      </c>
      <c r="J15" s="229">
        <f>H15*I15/60</f>
        <v/>
      </c>
      <c r="K15" s="145" t="inlineStr">
        <is>
          <t>No</t>
        </is>
      </c>
      <c r="L15" s="145" t="inlineStr">
        <is>
          <t>Yes</t>
        </is>
      </c>
      <c r="M15" s="145" t="inlineStr">
        <is>
          <t>Yes</t>
        </is>
      </c>
      <c r="N15" s="145" t="inlineStr">
        <is>
          <t>Yes</t>
        </is>
      </c>
      <c r="O15" s="145" t="inlineStr">
        <is>
          <t>Yes</t>
        </is>
      </c>
      <c r="P15" s="145" t="inlineStr">
        <is>
          <t>No</t>
        </is>
      </c>
      <c r="Q15" s="145" t="inlineStr">
        <is>
          <t>Yes</t>
        </is>
      </c>
      <c r="R15" s="502" t="n">
        <v>45545</v>
      </c>
      <c r="S15" s="502" t="n">
        <v>58694</v>
      </c>
      <c r="T15" s="145" t="inlineStr">
        <is>
          <t>Yes</t>
        </is>
      </c>
      <c r="U15" s="145" t="inlineStr">
        <is>
          <t>Yes</t>
        </is>
      </c>
      <c r="V15" s="132" t="n"/>
      <c r="W15" s="697" t="inlineStr">
        <is>
          <t>Phim còn hạn từ 2026</t>
        </is>
      </c>
      <c r="X15" s="132" t="n"/>
      <c r="Y15" s="132" t="n"/>
      <c r="Z15" s="132" t="n"/>
      <c r="AA15" s="132" t="n">
        <v>1</v>
      </c>
      <c r="AB15" s="132" t="n"/>
      <c r="AC15" s="132" t="n"/>
      <c r="AD15" s="132" t="n"/>
      <c r="AE15" s="132" t="n"/>
      <c r="AF15" s="132" t="n"/>
    </row>
    <row r="16" ht="14.4" customHeight="1" s="578">
      <c r="A16" t="inlineStr">
        <is>
          <t>Found</t>
        </is>
      </c>
      <c r="B16" s="132" t="n">
        <v>10</v>
      </c>
      <c r="C16" s="143" t="inlineStr">
        <is>
          <t>Quirky Customs</t>
        </is>
      </c>
      <c r="D16" s="144" t="inlineStr">
        <is>
          <t>Những Phong Tục Kì Lạ</t>
        </is>
      </c>
      <c r="E16" s="145" t="inlineStr">
        <is>
          <t>DW</t>
        </is>
      </c>
      <c r="F16" s="132" t="n"/>
      <c r="G16" s="132" t="n"/>
      <c r="H16" s="145" t="n">
        <v>22</v>
      </c>
      <c r="I16" s="228" t="n">
        <v>2</v>
      </c>
      <c r="J16" s="229">
        <f>H16*I16/60</f>
        <v/>
      </c>
      <c r="K16" s="145" t="inlineStr">
        <is>
          <t>No</t>
        </is>
      </c>
      <c r="L16" s="145" t="inlineStr">
        <is>
          <t>Yes</t>
        </is>
      </c>
      <c r="M16" s="145" t="inlineStr">
        <is>
          <t>Yes</t>
        </is>
      </c>
      <c r="N16" s="145" t="inlineStr">
        <is>
          <t>Yes</t>
        </is>
      </c>
      <c r="O16" s="145" t="inlineStr">
        <is>
          <t>Yes</t>
        </is>
      </c>
      <c r="P16" s="145" t="inlineStr">
        <is>
          <t>No</t>
        </is>
      </c>
      <c r="Q16" s="145" t="inlineStr">
        <is>
          <t>Yes</t>
        </is>
      </c>
      <c r="R16" s="502" t="n">
        <v>45545</v>
      </c>
      <c r="S16" s="502" t="n">
        <v>58694</v>
      </c>
      <c r="T16" s="145" t="inlineStr">
        <is>
          <t>Yes</t>
        </is>
      </c>
      <c r="U16" s="145" t="inlineStr">
        <is>
          <t>Yes</t>
        </is>
      </c>
      <c r="V16" s="132" t="n"/>
      <c r="W16" s="697" t="inlineStr">
        <is>
          <t>Phim còn hạn từ 2026</t>
        </is>
      </c>
      <c r="X16" s="132" t="n"/>
      <c r="Y16" s="132" t="n"/>
      <c r="Z16" s="132" t="n"/>
      <c r="AA16" s="132" t="n">
        <v>1</v>
      </c>
      <c r="AB16" s="132" t="n"/>
      <c r="AC16" s="132" t="n"/>
      <c r="AD16" s="132" t="n"/>
      <c r="AE16" s="132" t="n"/>
      <c r="AF16" s="132" t="n"/>
    </row>
    <row r="17" ht="14.4" customHeight="1" s="578">
      <c r="A17" t="inlineStr">
        <is>
          <t>Not found</t>
        </is>
      </c>
      <c r="B17" s="132" t="n">
        <v>11</v>
      </c>
      <c r="C17" s="143" t="inlineStr">
        <is>
          <t>Birdeyes</t>
        </is>
      </c>
      <c r="D17" s="144" t="inlineStr">
        <is>
          <t>Kỳ quan từ trên không</t>
        </is>
      </c>
      <c r="E17" s="145" t="inlineStr">
        <is>
          <t>DW</t>
        </is>
      </c>
      <c r="F17" s="132" t="n"/>
      <c r="G17" s="132" t="n"/>
      <c r="H17" s="145" t="n">
        <v>55</v>
      </c>
      <c r="I17" s="228" t="n">
        <v>1</v>
      </c>
      <c r="J17" s="229">
        <f>H17*I17/60</f>
        <v/>
      </c>
      <c r="K17" s="145" t="inlineStr">
        <is>
          <t>No</t>
        </is>
      </c>
      <c r="L17" s="145" t="inlineStr">
        <is>
          <t>Yes</t>
        </is>
      </c>
      <c r="M17" s="145" t="inlineStr">
        <is>
          <t>Yes</t>
        </is>
      </c>
      <c r="N17" s="145" t="inlineStr">
        <is>
          <t>Yes</t>
        </is>
      </c>
      <c r="O17" s="145" t="inlineStr">
        <is>
          <t>Yes</t>
        </is>
      </c>
      <c r="P17" s="145" t="inlineStr">
        <is>
          <t>No</t>
        </is>
      </c>
      <c r="Q17" s="145" t="inlineStr">
        <is>
          <t>Yes</t>
        </is>
      </c>
      <c r="R17" s="502" t="n">
        <v>43862</v>
      </c>
      <c r="S17" s="502" t="n">
        <v>50806</v>
      </c>
      <c r="T17" s="145" t="inlineStr">
        <is>
          <t>Yes</t>
        </is>
      </c>
      <c r="U17" s="145" t="inlineStr">
        <is>
          <t>Yes</t>
        </is>
      </c>
      <c r="V17" s="132" t="n"/>
      <c r="W17" s="697" t="inlineStr">
        <is>
          <t>Phim còn hạn từ 2026</t>
        </is>
      </c>
      <c r="X17" s="132" t="n"/>
      <c r="Y17" s="132" t="n"/>
      <c r="Z17" s="132" t="n"/>
      <c r="AA17" s="132" t="n">
        <v>1</v>
      </c>
      <c r="AB17" s="132" t="n"/>
      <c r="AC17" s="132" t="n"/>
      <c r="AD17" s="132" t="n"/>
      <c r="AE17" s="132" t="n"/>
      <c r="AF17" s="132" t="n"/>
    </row>
    <row r="18" ht="14.4" customHeight="1" s="578">
      <c r="A18" t="inlineStr">
        <is>
          <t>Found</t>
        </is>
      </c>
      <c r="B18" s="132" t="n">
        <v>12</v>
      </c>
      <c r="C18" s="143" t="inlineStr">
        <is>
          <t>Dresscode</t>
        </is>
      </c>
      <c r="D18" s="144" t="inlineStr">
        <is>
          <t>Mặc đẹp</t>
        </is>
      </c>
      <c r="E18" s="145" t="inlineStr">
        <is>
          <t>DW</t>
        </is>
      </c>
      <c r="F18" s="132" t="n"/>
      <c r="G18" s="132" t="n"/>
      <c r="H18" s="145" t="n">
        <v>33</v>
      </c>
      <c r="I18" s="228" t="n">
        <v>2</v>
      </c>
      <c r="J18" s="229">
        <f>H18*I18/60</f>
        <v/>
      </c>
      <c r="K18" s="145" t="inlineStr">
        <is>
          <t>No</t>
        </is>
      </c>
      <c r="L18" s="145" t="inlineStr">
        <is>
          <t>Yes</t>
        </is>
      </c>
      <c r="M18" s="145" t="inlineStr">
        <is>
          <t>Yes</t>
        </is>
      </c>
      <c r="N18" s="145" t="inlineStr">
        <is>
          <t>Yes</t>
        </is>
      </c>
      <c r="O18" s="145" t="inlineStr">
        <is>
          <t>Yes</t>
        </is>
      </c>
      <c r="P18" s="145" t="inlineStr">
        <is>
          <t>No</t>
        </is>
      </c>
      <c r="Q18" s="145" t="inlineStr">
        <is>
          <t>Yes</t>
        </is>
      </c>
      <c r="R18" s="502" t="n">
        <v>43862</v>
      </c>
      <c r="S18" s="502" t="n">
        <v>50806</v>
      </c>
      <c r="T18" s="145" t="inlineStr">
        <is>
          <t>Yes</t>
        </is>
      </c>
      <c r="U18" s="145" t="inlineStr">
        <is>
          <t>Yes</t>
        </is>
      </c>
      <c r="V18" s="132" t="n"/>
      <c r="W18" s="697" t="inlineStr">
        <is>
          <t>Phim còn hạn từ 2026</t>
        </is>
      </c>
      <c r="X18" s="132" t="n"/>
      <c r="Y18" s="132" t="n"/>
      <c r="Z18" s="132" t="n"/>
      <c r="AA18" s="132" t="n">
        <v>1</v>
      </c>
      <c r="AB18" s="132" t="n"/>
      <c r="AC18" s="132" t="n"/>
      <c r="AD18" s="132" t="n"/>
      <c r="AE18" s="132" t="n"/>
      <c r="AF18" s="132" t="n"/>
    </row>
    <row r="19" ht="14.4" customHeight="1" s="578">
      <c r="A19" t="inlineStr">
        <is>
          <t>Found</t>
        </is>
      </c>
      <c r="B19" s="132" t="n">
        <v>13</v>
      </c>
      <c r="C19" s="143" t="inlineStr">
        <is>
          <t>DIY</t>
        </is>
      </c>
      <c r="D19" s="144" t="inlineStr">
        <is>
          <t>Tự làm</t>
        </is>
      </c>
      <c r="E19" s="145" t="inlineStr">
        <is>
          <t>DW</t>
        </is>
      </c>
      <c r="F19" s="132" t="n"/>
      <c r="G19" s="132" t="n"/>
      <c r="H19" s="145" t="n">
        <v>19</v>
      </c>
      <c r="I19" s="228" t="n">
        <v>2</v>
      </c>
      <c r="J19" s="229">
        <f>H19*I19/60</f>
        <v/>
      </c>
      <c r="K19" s="145" t="inlineStr">
        <is>
          <t>No</t>
        </is>
      </c>
      <c r="L19" s="145" t="inlineStr">
        <is>
          <t>Yes</t>
        </is>
      </c>
      <c r="M19" s="145" t="inlineStr">
        <is>
          <t>Yes</t>
        </is>
      </c>
      <c r="N19" s="145" t="inlineStr">
        <is>
          <t>Yes</t>
        </is>
      </c>
      <c r="O19" s="145" t="inlineStr">
        <is>
          <t>Yes</t>
        </is>
      </c>
      <c r="P19" s="145" t="inlineStr">
        <is>
          <t>No</t>
        </is>
      </c>
      <c r="Q19" s="145" t="inlineStr">
        <is>
          <t>Yes</t>
        </is>
      </c>
      <c r="R19" s="502" t="inlineStr">
        <is>
          <t>23/08/2024</t>
        </is>
      </c>
      <c r="S19" s="502" t="inlineStr">
        <is>
          <t>23/08/2088</t>
        </is>
      </c>
      <c r="T19" s="145" t="inlineStr">
        <is>
          <t>Yes</t>
        </is>
      </c>
      <c r="U19" s="145" t="inlineStr">
        <is>
          <t>Yes</t>
        </is>
      </c>
      <c r="V19" s="132" t="n"/>
      <c r="W19" s="697" t="inlineStr">
        <is>
          <t>Phim còn hạn từ 2026</t>
        </is>
      </c>
      <c r="X19" s="132" t="n"/>
      <c r="Y19" s="132" t="n"/>
      <c r="Z19" s="132" t="n"/>
      <c r="AA19" s="132" t="n">
        <v>1</v>
      </c>
      <c r="AB19" s="132" t="n"/>
      <c r="AC19" s="132" t="n"/>
      <c r="AD19" s="132" t="n"/>
      <c r="AE19" s="132" t="n"/>
      <c r="AF19" s="132" t="n"/>
    </row>
    <row r="20" ht="14.4" customHeight="1" s="578">
      <c r="A20" t="inlineStr">
        <is>
          <t>Found</t>
        </is>
      </c>
      <c r="B20" s="132" t="n">
        <v>14</v>
      </c>
      <c r="C20" s="143" t="inlineStr">
        <is>
          <t>Life is a pitch</t>
        </is>
      </c>
      <c r="D20" s="144" t="inlineStr">
        <is>
          <t>Những sân bóng phủi</t>
        </is>
      </c>
      <c r="E20" s="145" t="inlineStr">
        <is>
          <t>DW</t>
        </is>
      </c>
      <c r="F20" s="132" t="n"/>
      <c r="G20" s="132" t="n"/>
      <c r="H20" s="145" t="n">
        <v>7</v>
      </c>
      <c r="I20" s="228" t="n">
        <v>1</v>
      </c>
      <c r="J20" s="229">
        <f>H20*I20/60</f>
        <v/>
      </c>
      <c r="K20" s="145" t="inlineStr">
        <is>
          <t>No</t>
        </is>
      </c>
      <c r="L20" s="145" t="inlineStr">
        <is>
          <t>Yes</t>
        </is>
      </c>
      <c r="M20" s="145" t="inlineStr">
        <is>
          <t>Yes</t>
        </is>
      </c>
      <c r="N20" s="145" t="inlineStr">
        <is>
          <t>Yes</t>
        </is>
      </c>
      <c r="O20" s="145" t="inlineStr">
        <is>
          <t>Yes</t>
        </is>
      </c>
      <c r="P20" s="145" t="inlineStr">
        <is>
          <t>No</t>
        </is>
      </c>
      <c r="Q20" s="145" t="inlineStr">
        <is>
          <t>Yes</t>
        </is>
      </c>
      <c r="R20" s="502" t="inlineStr">
        <is>
          <t>22/06/2020</t>
        </is>
      </c>
      <c r="S20" s="502" t="n">
        <v>51141</v>
      </c>
      <c r="T20" s="145" t="inlineStr">
        <is>
          <t>Yes</t>
        </is>
      </c>
      <c r="U20" s="145" t="inlineStr">
        <is>
          <t>Yes</t>
        </is>
      </c>
      <c r="V20" s="132" t="n"/>
      <c r="W20" s="697" t="inlineStr">
        <is>
          <t>Phim còn hạn từ 2026</t>
        </is>
      </c>
      <c r="X20" s="132" t="n"/>
      <c r="Y20" s="132" t="n"/>
      <c r="Z20" s="132" t="n"/>
      <c r="AA20" s="132" t="n">
        <v>1</v>
      </c>
      <c r="AB20" s="132" t="n"/>
      <c r="AC20" s="132" t="n"/>
      <c r="AD20" s="132" t="n"/>
      <c r="AE20" s="132" t="n"/>
      <c r="AF20" s="132" t="n"/>
    </row>
    <row r="21" ht="14.4" customHeight="1" s="578">
      <c r="A21" t="inlineStr">
        <is>
          <t>No CSV data</t>
        </is>
      </c>
      <c r="B21" s="132" t="n">
        <v>15</v>
      </c>
      <c r="C21" s="132" t="inlineStr">
        <is>
          <t>The walls</t>
        </is>
      </c>
      <c r="D21" s="132" t="inlineStr">
        <is>
          <t>Những Bức Tường</t>
        </is>
      </c>
      <c r="E21" s="698" t="inlineStr">
        <is>
          <t>K+</t>
        </is>
      </c>
      <c r="F21" s="698" t="inlineStr">
        <is>
          <t>Vietnam</t>
        </is>
      </c>
      <c r="G21" s="145" t="n">
        <v>2022</v>
      </c>
      <c r="H21" s="145" t="n">
        <v>1</v>
      </c>
      <c r="I21" s="146" t="n">
        <v>108</v>
      </c>
      <c r="J21" s="229">
        <f>H21*I21/60</f>
        <v/>
      </c>
      <c r="K21" s="145" t="inlineStr">
        <is>
          <t>Yes</t>
        </is>
      </c>
      <c r="L21" s="145" t="inlineStr">
        <is>
          <t>Yes</t>
        </is>
      </c>
      <c r="M21" s="145" t="inlineStr">
        <is>
          <t>Yes</t>
        </is>
      </c>
      <c r="N21" s="145" t="inlineStr">
        <is>
          <t>Yes</t>
        </is>
      </c>
      <c r="O21" s="145" t="inlineStr">
        <is>
          <t>Yes</t>
        </is>
      </c>
      <c r="P21" s="145" t="inlineStr">
        <is>
          <t>Yes</t>
        </is>
      </c>
      <c r="Q21" s="145" t="inlineStr">
        <is>
          <t>Yes</t>
        </is>
      </c>
      <c r="R21" s="147" t="n">
        <v>2022</v>
      </c>
      <c r="S21" s="699" t="inlineStr">
        <is>
          <t>Vĩnh viễn</t>
        </is>
      </c>
      <c r="T21" s="145" t="inlineStr">
        <is>
          <t>Yes</t>
        </is>
      </c>
      <c r="U21" s="145" t="inlineStr">
        <is>
          <t>Yes</t>
        </is>
      </c>
      <c r="V21" s="148" t="n"/>
      <c r="W21" s="697" t="inlineStr">
        <is>
          <t>Phim còn hạn từ 2026</t>
        </is>
      </c>
      <c r="X21" s="132" t="n"/>
      <c r="Y21" s="132" t="n"/>
      <c r="Z21" s="132" t="n"/>
      <c r="AA21" s="132" t="n"/>
      <c r="AB21" s="132" t="n"/>
      <c r="AC21" s="132" t="n"/>
      <c r="AD21" s="132" t="n"/>
      <c r="AE21" s="132" t="n"/>
      <c r="AF21" s="132" t="n"/>
    </row>
    <row r="22" ht="55.2" customHeight="1" s="578">
      <c r="A22" t="inlineStr">
        <is>
          <t>No CSV data</t>
        </is>
      </c>
      <c r="B22" s="242" t="n">
        <v>16</v>
      </c>
      <c r="C22" s="242" t="inlineStr">
        <is>
          <t>A Bow of Hà Nội</t>
        </is>
      </c>
      <c r="D22" s="242" t="inlineStr">
        <is>
          <t>Bát phố</t>
        </is>
      </c>
      <c r="E22" s="700" t="inlineStr">
        <is>
          <t>K+</t>
        </is>
      </c>
      <c r="F22" s="700" t="inlineStr">
        <is>
          <t>Vietnam</t>
        </is>
      </c>
      <c r="G22" s="242" t="n">
        <v>2025</v>
      </c>
      <c r="H22" s="242" t="n">
        <v>6</v>
      </c>
      <c r="I22" s="243" t="n">
        <v>15</v>
      </c>
      <c r="J22" s="244">
        <f>H22*I22/60</f>
        <v/>
      </c>
      <c r="K22" s="245" t="inlineStr">
        <is>
          <t>Yes</t>
        </is>
      </c>
      <c r="L22" s="245" t="inlineStr">
        <is>
          <t>Yes</t>
        </is>
      </c>
      <c r="M22" s="245" t="inlineStr">
        <is>
          <t>Yes</t>
        </is>
      </c>
      <c r="N22" s="245" t="inlineStr">
        <is>
          <t>Yes</t>
        </is>
      </c>
      <c r="O22" s="245" t="inlineStr">
        <is>
          <t>Yes</t>
        </is>
      </c>
      <c r="P22" s="245" t="inlineStr">
        <is>
          <t>Yes</t>
        </is>
      </c>
      <c r="Q22" s="245" t="inlineStr">
        <is>
          <t>Yes</t>
        </is>
      </c>
      <c r="R22" s="242" t="n">
        <v>2025</v>
      </c>
      <c r="S22" s="701" t="inlineStr">
        <is>
          <t>Vĩnh viễn</t>
        </is>
      </c>
      <c r="T22" s="245" t="inlineStr">
        <is>
          <t>Yes</t>
        </is>
      </c>
      <c r="U22" s="245" t="inlineStr">
        <is>
          <t>Yes</t>
        </is>
      </c>
      <c r="V22" s="242" t="n"/>
      <c r="W22" s="702" t="inlineStr">
        <is>
          <t>Phim còn hạn từ 2026</t>
        </is>
      </c>
      <c r="X22" s="246" t="inlineStr">
        <is>
          <t>Phim SX hoàn thành, phát sóng - 8.2025 - Phim Bát Phố</t>
        </is>
      </c>
      <c r="Y22" s="242" t="n"/>
      <c r="Z22" s="242">
        <f>COUNTIF('TK 15666. Phim SX'!$C$4:$C$13,'KK5. Doc'!X22)</f>
        <v/>
      </c>
      <c r="AA22" s="242" t="n"/>
      <c r="AB22" s="242" t="n"/>
      <c r="AC22" s="242" t="n"/>
      <c r="AD22" s="242" t="n"/>
      <c r="AE22" s="242" t="n"/>
      <c r="AF22" s="242" t="n"/>
    </row>
    <row r="23" ht="14.4" customFormat="1" customHeight="1" s="132">
      <c r="A23" t="inlineStr">
        <is>
          <t>No CSV data</t>
        </is>
      </c>
      <c r="B23" s="132" t="n">
        <v>17</v>
      </c>
      <c r="C23" s="230" t="inlineStr">
        <is>
          <t>Films and starts + Celebrity Scoop</t>
        </is>
      </c>
      <c r="E23" s="145" t="inlineStr">
        <is>
          <t>FCCE</t>
        </is>
      </c>
      <c r="F23" s="132" t="n">
        <v>2025</v>
      </c>
      <c r="G23" s="132" t="n">
        <v>2025</v>
      </c>
      <c r="H23" s="132" t="n">
        <v>105</v>
      </c>
      <c r="I23" s="146" t="n">
        <v>25</v>
      </c>
      <c r="J23" s="229">
        <f>H23*I23/60</f>
        <v/>
      </c>
      <c r="K23" s="145" t="inlineStr">
        <is>
          <t>No</t>
        </is>
      </c>
      <c r="L23" s="145" t="inlineStr">
        <is>
          <t>Yes</t>
        </is>
      </c>
      <c r="M23" s="145" t="inlineStr">
        <is>
          <t>Yes</t>
        </is>
      </c>
      <c r="N23" s="145" t="inlineStr">
        <is>
          <t>Yes</t>
        </is>
      </c>
      <c r="O23" s="145" t="inlineStr">
        <is>
          <t>Yes</t>
        </is>
      </c>
      <c r="P23" s="145" t="inlineStr">
        <is>
          <t>Yes</t>
        </is>
      </c>
      <c r="Q23" s="145" t="inlineStr">
        <is>
          <t>Yes</t>
        </is>
      </c>
      <c r="R23" s="146" t="inlineStr">
        <is>
          <t>13/6/2025</t>
        </is>
      </c>
      <c r="S23" s="231" t="n">
        <v>46362</v>
      </c>
      <c r="T23" s="145" t="inlineStr">
        <is>
          <t>Yes</t>
        </is>
      </c>
      <c r="U23" s="145" t="inlineStr">
        <is>
          <t>Yes</t>
        </is>
      </c>
      <c r="W23" s="697" t="inlineStr">
        <is>
          <t>Phim còn hạn từ 2026</t>
        </is>
      </c>
      <c r="X23" s="132" t="inlineStr">
        <is>
          <t>WEEKLY FILMS AND STARS 2025</t>
        </is>
      </c>
      <c r="Y23" s="132">
        <f>COUNTIF('TK 15661.Bản quyền phim '!$F:$F,X23)</f>
        <v/>
      </c>
    </row>
    <row r="24" customFormat="1" s="247">
      <c r="B24" s="247" t="inlineStr">
        <is>
          <t>Bổ sung</t>
        </is>
      </c>
      <c r="C24" s="703" t="inlineStr">
        <is>
          <t>End Of Year Special 2025</t>
        </is>
      </c>
      <c r="E24" s="704" t="inlineStr">
        <is>
          <t>FCCE BV</t>
        </is>
      </c>
      <c r="H24" s="247" t="n">
        <v>1</v>
      </c>
      <c r="R24" s="248" t="n">
        <v>45806</v>
      </c>
      <c r="S24" s="249" t="n">
        <v>46170</v>
      </c>
    </row>
  </sheetData>
  <autoFilter ref="B6:W23"/>
  <mergeCells count="9">
    <mergeCell ref="AB5:AD5"/>
    <mergeCell ref="B4:U4"/>
    <mergeCell ref="T5:V5"/>
    <mergeCell ref="X5:Z5"/>
    <mergeCell ref="AB1:AF1"/>
    <mergeCell ref="AF5:AF6"/>
    <mergeCell ref="AB2:AF2"/>
    <mergeCell ref="B3:U3"/>
    <mergeCell ref="AE5:AE6"/>
  </mergeCells>
  <conditionalFormatting sqref="B6:C6">
    <cfRule type="duplicateValues" priority="5" dxfId="0"/>
  </conditionalFormatting>
  <conditionalFormatting sqref="C7:C20">
    <cfRule type="duplicateValues" priority="4" dxfId="0"/>
  </conditionalFormatting>
  <conditionalFormatting sqref="C21">
    <cfRule type="duplicateValues" priority="3" dxfId="0"/>
  </conditionalFormatting>
  <conditionalFormatting sqref="E24">
    <cfRule type="duplicateValues" priority="1" dxfId="0"/>
    <cfRule type="duplicateValues" priority="2" dxfId="32"/>
  </conditionalFormatting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I40"/>
  <sheetViews>
    <sheetView workbookViewId="0">
      <selection activeCell="E5" sqref="E5"/>
    </sheetView>
  </sheetViews>
  <sheetFormatPr baseColWidth="8" defaultRowHeight="14.4"/>
  <cols>
    <col width="63.109375" bestFit="1" customWidth="1" style="578" min="1" max="1"/>
    <col width="16.77734375" bestFit="1" customWidth="1" style="578" min="2" max="2"/>
    <col width="4.6640625" customWidth="1" style="578" min="3" max="7"/>
    <col width="17.88671875" bestFit="1" customWidth="1" style="578" min="8" max="8"/>
    <col width="16.5546875" bestFit="1" customWidth="1" style="578" min="9" max="9"/>
  </cols>
  <sheetData>
    <row r="1">
      <c r="A1" s="359" t="inlineStr">
        <is>
          <t>Row Labels</t>
        </is>
      </c>
      <c r="B1" t="inlineStr">
        <is>
          <t>Count of Clip Code</t>
        </is>
      </c>
      <c r="H1" s="359" t="inlineStr">
        <is>
          <t>Row Labels</t>
        </is>
      </c>
      <c r="I1" t="inlineStr">
        <is>
          <t>Count of Clip code</t>
        </is>
      </c>
    </row>
    <row r="2">
      <c r="A2" s="360" t="inlineStr">
        <is>
          <t>NBC Universal</t>
        </is>
      </c>
      <c r="B2" t="n">
        <v>56</v>
      </c>
      <c r="H2" s="360" t="inlineStr">
        <is>
          <t>HT</t>
        </is>
      </c>
      <c r="I2" t="n">
        <v>54</v>
      </c>
    </row>
    <row r="3">
      <c r="A3" s="360" t="inlineStr">
        <is>
          <t>Skyline Media</t>
        </is>
      </c>
      <c r="B3" t="n">
        <v>52</v>
      </c>
      <c r="H3" s="360" t="inlineStr">
        <is>
          <t>Viu</t>
        </is>
      </c>
      <c r="I3" t="n">
        <v>41</v>
      </c>
    </row>
    <row r="4">
      <c r="A4" s="360" t="inlineStr">
        <is>
          <t>CJ HK</t>
        </is>
      </c>
      <c r="B4" t="n">
        <v>39</v>
      </c>
      <c r="H4" s="360" t="inlineStr">
        <is>
          <t>iQiYi</t>
        </is>
      </c>
      <c r="I4" t="n">
        <v>8</v>
      </c>
    </row>
    <row r="5">
      <c r="A5" s="360" t="inlineStr">
        <is>
          <t>SONY</t>
        </is>
      </c>
      <c r="B5" t="n">
        <v>30</v>
      </c>
      <c r="H5" s="360" t="inlineStr">
        <is>
          <t>K+</t>
        </is>
      </c>
      <c r="I5" t="n">
        <v>7</v>
      </c>
    </row>
    <row r="6">
      <c r="A6" s="360" t="inlineStr">
        <is>
          <t>Roses Media</t>
        </is>
      </c>
      <c r="B6" t="n">
        <v>27</v>
      </c>
      <c r="H6" s="360" t="inlineStr">
        <is>
          <t>Canal MM</t>
        </is>
      </c>
      <c r="I6" t="n">
        <v>5</v>
      </c>
    </row>
    <row r="7">
      <c r="A7" s="360" t="inlineStr">
        <is>
          <t>Paramount</t>
        </is>
      </c>
      <c r="B7" t="n">
        <v>22</v>
      </c>
      <c r="H7" s="360" t="inlineStr">
        <is>
          <t>CJ ENM</t>
        </is>
      </c>
      <c r="I7" t="n">
        <v>4</v>
      </c>
    </row>
    <row r="8">
      <c r="A8" s="360" t="inlineStr">
        <is>
          <t>Pro Partner</t>
        </is>
      </c>
      <c r="B8" t="n">
        <v>16</v>
      </c>
      <c r="H8" s="360" t="inlineStr">
        <is>
          <t xml:space="preserve">PCCW VUCLIP </t>
        </is>
      </c>
      <c r="I8" t="n">
        <v>4</v>
      </c>
    </row>
    <row r="9">
      <c r="A9" s="360" t="inlineStr">
        <is>
          <t>STK</t>
        </is>
      </c>
      <c r="B9" t="n">
        <v>15</v>
      </c>
      <c r="H9" s="360" t="inlineStr">
        <is>
          <t>Huace Media</t>
        </is>
      </c>
      <c r="I9" t="n">
        <v>4</v>
      </c>
    </row>
    <row r="10">
      <c r="A10" s="360" t="inlineStr">
        <is>
          <t>SONY PICTURES</t>
        </is>
      </c>
      <c r="B10" t="n">
        <v>13</v>
      </c>
      <c r="H10" s="360" t="inlineStr">
        <is>
          <t xml:space="preserve">Viu </t>
        </is>
      </c>
      <c r="I10" t="n">
        <v>4</v>
      </c>
    </row>
    <row r="11">
      <c r="A11" s="360" t="inlineStr">
        <is>
          <t>Công ty TNHH Đối tác Chuyên nghiệp</t>
        </is>
      </c>
      <c r="B11" t="n">
        <v>11</v>
      </c>
      <c r="H11" s="360" t="inlineStr">
        <is>
          <t>Studio Canal TV</t>
        </is>
      </c>
      <c r="I11" t="n">
        <v>3</v>
      </c>
    </row>
    <row r="12">
      <c r="A12" s="360" t="inlineStr">
        <is>
          <t>TFILM</t>
        </is>
      </c>
      <c r="B12" t="n">
        <v>11</v>
      </c>
      <c r="H12" s="360" t="inlineStr">
        <is>
          <t>TKL</t>
        </is>
      </c>
      <c r="I12" t="n">
        <v>3</v>
      </c>
    </row>
    <row r="13">
      <c r="A13" s="360" t="inlineStr">
        <is>
          <t>Paramount Pictures International Limited</t>
        </is>
      </c>
      <c r="B13" t="n">
        <v>10</v>
      </c>
      <c r="H13" s="360" t="inlineStr">
        <is>
          <t>(blank)</t>
        </is>
      </c>
      <c r="I13" t="n">
        <v>3</v>
      </c>
    </row>
    <row r="14">
      <c r="A14" s="360" t="inlineStr">
        <is>
          <t>BHD</t>
        </is>
      </c>
      <c r="B14" t="n">
        <v>8</v>
      </c>
      <c r="H14" s="360" t="inlineStr">
        <is>
          <t>KT StudioGenie</t>
        </is>
      </c>
      <c r="I14" t="n">
        <v>2</v>
      </c>
    </row>
    <row r="15">
      <c r="A15" s="360" t="inlineStr">
        <is>
          <t xml:space="preserve">Mocking Bird </t>
        </is>
      </c>
      <c r="B15" t="n">
        <v>8</v>
      </c>
      <c r="H15" s="360" t="inlineStr">
        <is>
          <t>Youhug Media</t>
        </is>
      </c>
      <c r="I15" t="n">
        <v>2</v>
      </c>
    </row>
    <row r="16">
      <c r="A16" s="360" t="inlineStr">
        <is>
          <t>Hỏa Thổ</t>
        </is>
      </c>
      <c r="B16" t="n">
        <v>7</v>
      </c>
      <c r="H16" s="360" t="inlineStr">
        <is>
          <t xml:space="preserve">NCM </t>
        </is>
      </c>
      <c r="I16" t="n">
        <v>2</v>
      </c>
    </row>
    <row r="17">
      <c r="A17" s="360" t="inlineStr">
        <is>
          <t>TBS</t>
        </is>
      </c>
      <c r="B17" t="n">
        <v>7</v>
      </c>
      <c r="H17" s="360" t="inlineStr">
        <is>
          <t>King Content</t>
        </is>
      </c>
      <c r="I17" t="n">
        <v>2</v>
      </c>
    </row>
    <row r="18">
      <c r="A18" s="360" t="inlineStr">
        <is>
          <t>Rose</t>
        </is>
      </c>
      <c r="B18" t="n">
        <v>7</v>
      </c>
      <c r="H18" s="360" t="inlineStr">
        <is>
          <t>YouKu</t>
        </is>
      </c>
      <c r="I18" t="n">
        <v>2</v>
      </c>
    </row>
    <row r="19">
      <c r="A19" s="360" t="inlineStr">
        <is>
          <t>Rose media</t>
        </is>
      </c>
      <c r="B19" t="n">
        <v>7</v>
      </c>
      <c r="H19" s="360" t="inlineStr">
        <is>
          <t>wavve</t>
        </is>
      </c>
      <c r="I19" t="n">
        <v>1</v>
      </c>
    </row>
    <row r="20">
      <c r="A20" s="360" t="inlineStr">
        <is>
          <t>CÔNG TY CỔ PHẦN TRUYỀN THÔNG HỎA THỔ</t>
        </is>
      </c>
      <c r="B20" t="n">
        <v>6</v>
      </c>
      <c r="H20" s="360" t="inlineStr">
        <is>
          <t>LIAN Contents</t>
        </is>
      </c>
      <c r="I20" t="n">
        <v>1</v>
      </c>
    </row>
    <row r="21">
      <c r="A21" s="360" t="inlineStr">
        <is>
          <t>iQiYi</t>
        </is>
      </c>
      <c r="B21" t="n">
        <v>6</v>
      </c>
      <c r="H21" s="360" t="inlineStr">
        <is>
          <t>Studio Canal (SCALE)</t>
        </is>
      </c>
      <c r="I21" t="n">
        <v>1</v>
      </c>
    </row>
    <row r="22">
      <c r="A22" s="360" t="inlineStr">
        <is>
          <t>King Content</t>
        </is>
      </c>
      <c r="B22" t="n">
        <v>4</v>
      </c>
      <c r="H22" s="360" t="inlineStr">
        <is>
          <t>Hangzhou IX Media</t>
        </is>
      </c>
      <c r="I22" t="n">
        <v>1</v>
      </c>
    </row>
    <row r="23">
      <c r="A23" s="360" t="inlineStr">
        <is>
          <t>CÔNG TY TNHH TRUYỀN THÔNG ROSES</t>
        </is>
      </c>
      <c r="B23" t="n">
        <v>3</v>
      </c>
      <c r="H23" s="360" t="inlineStr">
        <is>
          <t>Linmon</t>
        </is>
      </c>
      <c r="I23" t="n">
        <v>1</v>
      </c>
    </row>
    <row r="24">
      <c r="A24" s="360" t="inlineStr">
        <is>
          <t>CPF</t>
        </is>
      </c>
      <c r="B24" t="n">
        <v>1</v>
      </c>
      <c r="H24" s="360" t="inlineStr">
        <is>
          <t xml:space="preserve">Huanyu </t>
        </is>
      </c>
      <c r="I24" t="n">
        <v>1</v>
      </c>
    </row>
    <row r="25">
      <c r="A25" s="360" t="inlineStr">
        <is>
          <t>Công Ty TNHH HÌNH ẢNH CON CHIM NHẠI</t>
        </is>
      </c>
      <c r="B25" t="n">
        <v>1</v>
      </c>
      <c r="H25" s="360" t="inlineStr">
        <is>
          <t>Youhug</t>
        </is>
      </c>
      <c r="I25" t="n">
        <v>1</v>
      </c>
    </row>
    <row r="26">
      <c r="A26" s="360" t="inlineStr">
        <is>
          <t>Anh Tễu Studio</t>
        </is>
      </c>
      <c r="B26" t="n">
        <v>1</v>
      </c>
      <c r="H26" s="360" t="inlineStr">
        <is>
          <t>PCCW VUCLIP</t>
        </is>
      </c>
      <c r="I26" t="n">
        <v>1</v>
      </c>
    </row>
    <row r="27">
      <c r="A27" s="360" t="inlineStr">
        <is>
          <t>Công ty TNHH Skyline Media</t>
        </is>
      </c>
      <c r="B27" t="n">
        <v>1</v>
      </c>
      <c r="H27" s="360" t="inlineStr">
        <is>
          <t>LG U+</t>
        </is>
      </c>
      <c r="I27" t="n">
        <v>1</v>
      </c>
    </row>
    <row r="28">
      <c r="A28" s="360" t="inlineStr">
        <is>
          <t>CÔNG TY TNHH CÔNG NGHỆ VÀ GIẢI TRÍ TRUYỀN THÔNG SAO THIÊN KHÔI</t>
        </is>
      </c>
      <c r="B28" t="n">
        <v>1</v>
      </c>
      <c r="H28" s="360" t="inlineStr">
        <is>
          <t>Cappu Films</t>
        </is>
      </c>
      <c r="I28" t="n">
        <v>1</v>
      </c>
    </row>
    <row r="29">
      <c r="A29" s="360" t="inlineStr">
        <is>
          <t>Grand Total</t>
        </is>
      </c>
      <c r="B29" t="n">
        <v>370</v>
      </c>
      <c r="H29" s="360" t="inlineStr">
        <is>
          <t>Tongle</t>
        </is>
      </c>
      <c r="I29" t="n">
        <v>1</v>
      </c>
    </row>
    <row r="30">
      <c r="H30" s="360" t="inlineStr">
        <is>
          <t>Pro Partner</t>
        </is>
      </c>
      <c r="I30" t="n">
        <v>1</v>
      </c>
    </row>
    <row r="31">
      <c r="H31" s="360" t="inlineStr">
        <is>
          <t>Linmon Media</t>
        </is>
      </c>
      <c r="I31" t="n">
        <v>1</v>
      </c>
    </row>
    <row r="32">
      <c r="H32" s="360" t="inlineStr">
        <is>
          <t>PTS</t>
        </is>
      </c>
      <c r="I32" t="n">
        <v>1</v>
      </c>
    </row>
    <row r="33">
      <c r="H33" s="360" t="inlineStr">
        <is>
          <t>Y&amp;K</t>
        </is>
      </c>
      <c r="I33" t="n">
        <v>1</v>
      </c>
    </row>
    <row r="34">
      <c r="H34" s="360" t="inlineStr">
        <is>
          <t>SBS</t>
        </is>
      </c>
      <c r="I34" t="n">
        <v>1</v>
      </c>
    </row>
    <row r="35">
      <c r="H35" s="360" t="inlineStr">
        <is>
          <t>IX Media</t>
        </is>
      </c>
      <c r="I35" t="n">
        <v>1</v>
      </c>
    </row>
    <row r="36">
      <c r="H36" s="360" t="inlineStr">
        <is>
          <t>SLL</t>
        </is>
      </c>
      <c r="I36" t="n">
        <v>1</v>
      </c>
    </row>
    <row r="37">
      <c r="H37" s="360" t="inlineStr">
        <is>
          <t>NBC Universal</t>
        </is>
      </c>
      <c r="I37" t="n">
        <v>1</v>
      </c>
    </row>
    <row r="38">
      <c r="H38" s="360" t="inlineStr">
        <is>
          <t>AsiaPlay</t>
        </is>
      </c>
      <c r="I38" t="n">
        <v>1</v>
      </c>
    </row>
    <row r="39">
      <c r="H39" s="360" t="inlineStr">
        <is>
          <t>NCM</t>
        </is>
      </c>
      <c r="I39" t="n">
        <v>1</v>
      </c>
    </row>
    <row r="40">
      <c r="H40" s="360" t="inlineStr">
        <is>
          <t>Grand Total</t>
        </is>
      </c>
      <c r="I40" t="n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9" filterMode="1">
    <tabColor theme="5" tint="0.7999816888943144"/>
    <outlinePr summaryBelow="1" summaryRight="1"/>
    <pageSetUpPr/>
  </sheetPr>
  <dimension ref="A1:AR19874"/>
  <sheetViews>
    <sheetView showGridLines="0" zoomScaleNormal="100" workbookViewId="0">
      <pane xSplit="5" ySplit="5" topLeftCell="F6" activePane="bottomRight" state="frozen"/>
      <selection activeCell="C28" sqref="C28"/>
      <selection pane="topRight" activeCell="C28" sqref="C28"/>
      <selection pane="bottomLeft" activeCell="C28" sqref="C28"/>
      <selection pane="bottomRight" activeCell="B164" sqref="B164"/>
    </sheetView>
  </sheetViews>
  <sheetFormatPr baseColWidth="8" defaultColWidth="9.21875" defaultRowHeight="10.2"/>
  <cols>
    <col width="4.21875" customWidth="1" style="30" min="1" max="1"/>
    <col outlineLevel="1" width="12.5546875" customWidth="1" style="8" min="2" max="2"/>
    <col outlineLevel="1" width="5.77734375" customWidth="1" style="27" min="3" max="3"/>
    <col outlineLevel="1" width="9.77734375" customWidth="1" style="8" min="4" max="4"/>
    <col width="24.33203125" customWidth="1" style="8" min="5" max="5"/>
    <col outlineLevel="1" width="40.33203125" customWidth="1" style="8" min="6" max="6"/>
    <col width="12.77734375" customWidth="1" style="8" min="7" max="7"/>
    <col width="6.21875" customWidth="1" style="29" min="8" max="8"/>
    <col outlineLevel="2" width="5.44140625" customWidth="1" style="29" min="9" max="9"/>
    <col outlineLevel="2" width="6.21875" customWidth="1" style="29" min="10" max="10"/>
    <col outlineLevel="2" width="13.77734375" customWidth="1" style="29" min="11" max="11"/>
    <col outlineLevel="2" width="13.44140625" customWidth="1" style="29" min="12" max="12"/>
    <col outlineLevel="2" width="12.77734375" customWidth="1" style="29" min="13" max="13"/>
    <col outlineLevel="2" width="13.44140625" customWidth="1" style="29" min="14" max="14"/>
    <col outlineLevel="1" width="10.44140625" customWidth="1" style="511" min="15" max="16"/>
    <col width="11" customWidth="1" style="29" min="17" max="17"/>
    <col width="13.44140625" customWidth="1" style="28" min="18" max="18"/>
    <col width="6.77734375" customWidth="1" style="29" min="19" max="19"/>
    <col width="12.77734375" bestFit="1" customWidth="1" style="28" min="20" max="20"/>
    <col width="7.5546875" customWidth="1" style="29" min="21" max="21"/>
    <col width="13.21875" bestFit="1" customWidth="1" style="28" min="22" max="22"/>
    <col width="7.77734375" customWidth="1" style="29" min="23" max="23"/>
    <col width="13.44140625" customWidth="1" style="28" min="24" max="24"/>
    <col outlineLevel="1" width="12.21875" customWidth="1" style="27" min="25" max="25"/>
    <col outlineLevel="1" width="9.21875" customWidth="1" style="27" min="26" max="29"/>
    <col width="9.21875" customWidth="1" style="27" min="30" max="34"/>
    <col width="18" customWidth="1" style="27" min="35" max="35"/>
    <col width="9.21875" customWidth="1" style="27" min="36" max="37"/>
    <col width="9.21875" customWidth="1" style="27" min="38" max="16384"/>
  </cols>
  <sheetData>
    <row r="1">
      <c r="G1" s="705" t="inlineStr">
        <is>
          <t>Phim gỡ khỏi mọi nền tảng</t>
        </is>
      </c>
      <c r="I1" s="512" t="n"/>
      <c r="S1" s="28" t="n"/>
      <c r="U1" s="28" t="n"/>
      <c r="W1" s="28" t="n"/>
    </row>
    <row r="2" ht="13.8" customHeight="1" s="578" thickBot="1">
      <c r="B2" s="43" t="inlineStr">
        <is>
          <t>STOCK LIST</t>
        </is>
      </c>
      <c r="C2" s="39" t="n"/>
      <c r="D2" s="42" t="n"/>
      <c r="E2" s="42" t="n"/>
      <c r="F2" s="42" t="n"/>
      <c r="G2" s="705" t="inlineStr">
        <is>
          <t>VOD</t>
        </is>
      </c>
      <c r="H2" s="41" t="n"/>
      <c r="I2" s="41" t="n"/>
      <c r="J2" s="41" t="n"/>
      <c r="K2" s="41" t="n"/>
      <c r="L2" s="41" t="n"/>
      <c r="M2" s="41" t="n"/>
      <c r="N2" s="41" t="n"/>
      <c r="O2" s="513" t="n"/>
      <c r="P2" s="513" t="n"/>
      <c r="Q2" s="41" t="n"/>
      <c r="R2" s="40" t="n"/>
      <c r="S2" s="41" t="n"/>
      <c r="T2" s="40" t="n"/>
      <c r="U2" s="41" t="n"/>
      <c r="V2" s="40" t="n"/>
      <c r="W2" s="41" t="n"/>
      <c r="X2" s="40" t="n"/>
      <c r="Y2" s="39" t="n"/>
      <c r="Z2" s="39" t="n"/>
      <c r="AA2" s="39" t="n"/>
      <c r="AB2" s="39" t="n"/>
    </row>
    <row r="3" ht="10.8" customHeight="1" s="578" thickTop="1">
      <c r="B3" s="8" t="n">
        <v>1</v>
      </c>
      <c r="C3" s="27">
        <f>B3+1</f>
        <v/>
      </c>
      <c r="D3" s="27">
        <f>C3+1</f>
        <v/>
      </c>
      <c r="E3" s="27">
        <f>D3+1</f>
        <v/>
      </c>
      <c r="F3" s="27">
        <f>E3+1</f>
        <v/>
      </c>
      <c r="G3" s="27">
        <f>F3+1</f>
        <v/>
      </c>
      <c r="H3" s="27">
        <f>G3+1</f>
        <v/>
      </c>
      <c r="I3" s="27">
        <f>H3+1</f>
        <v/>
      </c>
      <c r="J3" s="27">
        <f>I3+1</f>
        <v/>
      </c>
      <c r="K3" s="27">
        <f>J3+1</f>
        <v/>
      </c>
      <c r="L3" s="27">
        <f>K3+1</f>
        <v/>
      </c>
      <c r="M3" s="27">
        <f>L3+1</f>
        <v/>
      </c>
      <c r="N3" s="27">
        <f>M3+1</f>
        <v/>
      </c>
      <c r="O3" s="27">
        <f>N3+1</f>
        <v/>
      </c>
      <c r="P3" s="27">
        <f>O3+1</f>
        <v/>
      </c>
      <c r="Q3" s="27">
        <f>P3+1</f>
        <v/>
      </c>
      <c r="R3" s="27">
        <f>Q3+1</f>
        <v/>
      </c>
      <c r="S3" s="27">
        <f>R3+1</f>
        <v/>
      </c>
      <c r="T3" s="27">
        <f>S3+1</f>
        <v/>
      </c>
      <c r="U3" s="27">
        <f>T3+1</f>
        <v/>
      </c>
      <c r="V3" s="27">
        <f>U3+1</f>
        <v/>
      </c>
      <c r="W3" s="27">
        <f>V3+1</f>
        <v/>
      </c>
      <c r="X3" s="27">
        <f>W3+1</f>
        <v/>
      </c>
      <c r="Y3" s="27">
        <f>X3+1</f>
        <v/>
      </c>
      <c r="Z3" s="27">
        <f>Y3+1</f>
        <v/>
      </c>
      <c r="AA3" s="27">
        <f>Z3+1</f>
        <v/>
      </c>
      <c r="AB3" s="27">
        <f>AA3+1</f>
        <v/>
      </c>
    </row>
    <row r="4" ht="14.4" customFormat="1" customHeight="1" s="35">
      <c r="A4" s="38">
        <f>+A5/4</f>
        <v/>
      </c>
      <c r="B4" s="706" t="n"/>
      <c r="C4" s="707" t="n"/>
      <c r="D4" s="706" t="n"/>
      <c r="E4" s="706" t="n"/>
      <c r="F4" s="706" t="n"/>
      <c r="G4" s="706" t="n"/>
      <c r="H4" s="34">
        <f>SUBTOTAL(9,H6:H1048576)</f>
        <v/>
      </c>
      <c r="I4" s="34">
        <f>SUBTOTAL(1,I6:I1048576)</f>
        <v/>
      </c>
      <c r="J4" s="34">
        <f>SUBTOTAL(9,J6:J1048576)</f>
        <v/>
      </c>
      <c r="K4" s="34">
        <f>SUBTOTAL(9,K6:K1048576)</f>
        <v/>
      </c>
      <c r="L4" s="34">
        <f>SUBTOTAL(9,L6:L1048576)</f>
        <v/>
      </c>
      <c r="M4" s="34">
        <f>SUBTOTAL(9,M6:M1048576)</f>
        <v/>
      </c>
      <c r="N4" s="34">
        <f>SUBTOTAL(9,N6:N1048576)</f>
        <v/>
      </c>
      <c r="O4" s="514" t="n"/>
      <c r="P4" s="514" t="n"/>
      <c r="Q4" s="34">
        <f>SUBTOTAL(9,Q6:Q1048576)</f>
        <v/>
      </c>
      <c r="R4" s="34">
        <f>SUBTOTAL(9,R6:R1048576)</f>
        <v/>
      </c>
      <c r="S4" s="34">
        <f>SUBTOTAL(9,S6:S1048576)</f>
        <v/>
      </c>
      <c r="T4" s="34">
        <f>SUBTOTAL(9,T6:T1048576)</f>
        <v/>
      </c>
      <c r="U4" s="34">
        <f>SUBTOTAL(9,U6:U1048576)</f>
        <v/>
      </c>
      <c r="V4" s="34">
        <f>SUBTOTAL(9,V6:V1048576)</f>
        <v/>
      </c>
      <c r="W4" s="34">
        <f>SUBTOTAL(9,W6:W1048576)</f>
        <v/>
      </c>
      <c r="X4" s="34">
        <f>SUBTOTAL(9,X6:X1048576)</f>
        <v/>
      </c>
      <c r="Y4" s="37" t="n"/>
      <c r="Z4" s="36" t="n"/>
      <c r="AA4" s="36" t="n"/>
      <c r="AB4" s="36" t="n"/>
      <c r="AC4" s="576" t="inlineStr">
        <is>
          <t>Ref Annex</t>
        </is>
      </c>
      <c r="AD4" s="539" t="n"/>
      <c r="AE4" s="539" t="n"/>
      <c r="AF4" s="539" t="n"/>
      <c r="AG4" s="539" t="n"/>
      <c r="AH4" s="535" t="n"/>
    </row>
    <row r="5" ht="36" customFormat="1" customHeight="1" s="33">
      <c r="A5" s="34">
        <f>SUBTOTAL(9,A6:A8473)</f>
        <v/>
      </c>
      <c r="B5" s="73" t="inlineStr">
        <is>
          <t>Inventory
code</t>
        </is>
      </c>
      <c r="C5" s="73" t="inlineStr">
        <is>
          <t>Contract currency</t>
        </is>
      </c>
      <c r="D5" s="73" t="inlineStr">
        <is>
          <t>Contractor 
code</t>
        </is>
      </c>
      <c r="E5" s="73" t="inlineStr">
        <is>
          <t>Contractor
name</t>
        </is>
      </c>
      <c r="F5" s="73" t="inlineStr">
        <is>
          <t>Program name</t>
        </is>
      </c>
      <c r="G5" s="73" t="inlineStr">
        <is>
          <t>Nature Programme</t>
        </is>
      </c>
      <c r="H5" s="77" t="inlineStr">
        <is>
          <t>No of EPS
(Initially)</t>
        </is>
      </c>
      <c r="I5" s="515" t="inlineStr">
        <is>
          <t xml:space="preserve">Starting Date of right </t>
        </is>
      </c>
      <c r="J5" s="515" t="inlineStr">
        <is>
          <t>Ending date of right</t>
        </is>
      </c>
      <c r="K5" s="78" t="inlineStr">
        <is>
          <t>Contract amount</t>
        </is>
      </c>
      <c r="L5" s="78" t="inlineStr">
        <is>
          <t>Unit price</t>
        </is>
      </c>
      <c r="M5" s="78" t="inlineStr">
        <is>
          <t>No of EPS broadcasted in previous years</t>
        </is>
      </c>
      <c r="N5" s="78" t="inlineStr">
        <is>
          <t>Previous broadcasted</t>
        </is>
      </c>
      <c r="O5" s="516" t="inlineStr">
        <is>
          <t xml:space="preserve">Starting Date of right </t>
        </is>
      </c>
      <c r="P5" s="516" t="inlineStr">
        <is>
          <t>Ending date of right</t>
        </is>
      </c>
      <c r="Q5" s="78" t="inlineStr">
        <is>
          <t>2025 Beg. Stock</t>
        </is>
      </c>
      <c r="R5" s="79" t="inlineStr">
        <is>
          <t>2025 Beg.Bal.</t>
        </is>
      </c>
      <c r="S5" s="78" t="inlineStr">
        <is>
          <t>No of EPS purchased
 in 2025</t>
        </is>
      </c>
      <c r="T5" s="79" t="inlineStr">
        <is>
          <t>Amt purchased in 2025</t>
        </is>
      </c>
      <c r="U5" s="78" t="inlineStr">
        <is>
          <t>No of EPS broadcasted in 2025</t>
        </is>
      </c>
      <c r="V5" s="79" t="inlineStr">
        <is>
          <t>Amt broadcasted in 2025</t>
        </is>
      </c>
      <c r="W5" s="78" t="inlineStr">
        <is>
          <t>Final stock EPS</t>
        </is>
      </c>
      <c r="X5" s="79" t="inlineStr">
        <is>
          <t>Final stock 
amt</t>
        </is>
      </c>
      <c r="Y5" s="80" t="inlineStr">
        <is>
          <t>Cost Center</t>
        </is>
      </c>
      <c r="Z5" s="81" t="inlineStr">
        <is>
          <t>Inventory acc</t>
        </is>
      </c>
      <c r="AA5" s="81" t="inlineStr">
        <is>
          <t>AP acc</t>
        </is>
      </c>
      <c r="AB5" s="81" t="inlineStr">
        <is>
          <t>Exp acc</t>
        </is>
      </c>
      <c r="AC5" s="82" t="inlineStr">
        <is>
          <t>SheetTotal</t>
        </is>
      </c>
      <c r="AD5" s="82" t="inlineStr">
        <is>
          <t>Sheet Movies</t>
        </is>
      </c>
      <c r="AE5" s="82" t="inlineStr">
        <is>
          <t>Sheet Series</t>
        </is>
      </c>
      <c r="AF5" s="82" t="inlineStr">
        <is>
          <t>Sheet kids</t>
        </is>
      </c>
      <c r="AG5" s="82" t="inlineStr">
        <is>
          <t>Sheet Doc</t>
        </is>
      </c>
      <c r="AH5" s="82" t="inlineStr">
        <is>
          <t>TOTAL</t>
        </is>
      </c>
    </row>
    <row r="6" hidden="1" ht="15.6" customHeight="1" s="578">
      <c r="B6" s="74" t="inlineStr">
        <is>
          <t>K+2SER021042</t>
        </is>
      </c>
      <c r="C6" s="708" t="inlineStr">
        <is>
          <t>USD</t>
        </is>
      </c>
      <c r="D6" s="708" t="inlineStr">
        <is>
          <t>S0002230</t>
        </is>
      </c>
      <c r="E6" s="708" t="inlineStr">
        <is>
          <t>IX MEDIA CO.,LTD</t>
        </is>
      </c>
      <c r="F6" s="708" t="inlineStr">
        <is>
          <t>Mother To Be</t>
        </is>
      </c>
      <c r="G6" s="708" t="inlineStr">
        <is>
          <t>Series Asian</t>
        </is>
      </c>
      <c r="H6" s="83" t="n">
        <v>16</v>
      </c>
      <c r="I6" s="83" t="n">
        <v>5</v>
      </c>
      <c r="J6" s="83">
        <f>H6*I6</f>
        <v/>
      </c>
      <c r="K6" s="83" t="n">
        <v>660158900</v>
      </c>
      <c r="L6" s="83" t="n">
        <v>8251986.250000001</v>
      </c>
      <c r="M6" s="83">
        <f>J6-Q6</f>
        <v/>
      </c>
      <c r="N6" s="83">
        <f>K6-R6</f>
        <v/>
      </c>
      <c r="O6" s="517" t="n">
        <v>44286</v>
      </c>
      <c r="P6" s="517" t="n">
        <v>46111</v>
      </c>
      <c r="Q6" s="83" t="n">
        <v>16</v>
      </c>
      <c r="R6" s="84" t="n">
        <v>132031780</v>
      </c>
      <c r="S6" s="83" t="n">
        <v>0</v>
      </c>
      <c r="T6" s="84" t="n">
        <v>0</v>
      </c>
      <c r="U6" s="83" t="n">
        <v>16</v>
      </c>
      <c r="V6" s="84">
        <f>U6*L6</f>
        <v/>
      </c>
      <c r="W6" s="83">
        <f>Q6+S6-U6</f>
        <v/>
      </c>
      <c r="X6" s="84">
        <f>R6+T6-V6</f>
        <v/>
      </c>
      <c r="Y6" s="85" t="inlineStr">
        <is>
          <t>P221ZZSR01</t>
        </is>
      </c>
      <c r="Z6" s="86" t="inlineStr">
        <is>
          <t>15661</t>
        </is>
      </c>
      <c r="AA6" s="86" t="inlineStr">
        <is>
          <t>33561</t>
        </is>
      </c>
      <c r="AB6" s="86" t="inlineStr">
        <is>
          <t>6277651</t>
        </is>
      </c>
      <c r="AC6" s="87" t="inlineStr">
        <is>
          <t>Series</t>
        </is>
      </c>
      <c r="AD6" s="76">
        <f>COUNTIF('KK1. Movies'!AI:AI,'TK 15661.Bản quyền phim '!F6)</f>
        <v/>
      </c>
      <c r="AE6" s="76">
        <f>COUNTIF('KK2. Series'!AM:AM,'TK 15661.Bản quyền phim '!F6)</f>
        <v/>
      </c>
      <c r="AF6" s="76">
        <f>COUNTIF('KK3. Kids'!AF:AF,'TK 15661.Bản quyền phim '!F6)</f>
        <v/>
      </c>
      <c r="AG6" s="76" t="n"/>
      <c r="AH6" s="76">
        <f>IF(SUM(AD6:AG6)&gt;0,"OK",0)</f>
        <v/>
      </c>
    </row>
    <row r="7" hidden="1" ht="15.6" customHeight="1" s="578">
      <c r="A7" s="27" t="n"/>
      <c r="B7" s="74" t="inlineStr">
        <is>
          <t>K+1MOV021052</t>
        </is>
      </c>
      <c r="C7" s="708" t="inlineStr">
        <is>
          <t>VND</t>
        </is>
      </c>
      <c r="D7" s="708" t="inlineStr">
        <is>
          <t>S0002025</t>
        </is>
      </c>
      <c r="E7" s="708" t="inlineStr">
        <is>
          <t>Công Ty TNHH TFILM STUDIO</t>
        </is>
      </c>
      <c r="F7" s="708" t="inlineStr">
        <is>
          <t>Sai Gon in the rain</t>
        </is>
      </c>
      <c r="G7" s="708" t="inlineStr">
        <is>
          <t>Movies Vietnam</t>
        </is>
      </c>
      <c r="H7" s="83" t="n">
        <v>1</v>
      </c>
      <c r="I7" s="83" t="n">
        <v>5</v>
      </c>
      <c r="J7" s="83">
        <f>H7*I7</f>
        <v/>
      </c>
      <c r="K7" s="83" t="n">
        <v>442476190.4761904</v>
      </c>
      <c r="L7" s="83" t="n">
        <v>88495238.09523809</v>
      </c>
      <c r="M7" s="83">
        <f>J7-Q7</f>
        <v/>
      </c>
      <c r="N7" s="83">
        <f>K7-R7</f>
        <v/>
      </c>
      <c r="O7" s="517" t="n">
        <v>44255</v>
      </c>
      <c r="P7" s="517" t="n">
        <v>46108</v>
      </c>
      <c r="Q7" s="83" t="n">
        <v>1</v>
      </c>
      <c r="R7" s="84" t="n">
        <v>88495238.09523809</v>
      </c>
      <c r="S7" s="83" t="n">
        <v>0</v>
      </c>
      <c r="T7" s="84" t="n">
        <v>0</v>
      </c>
      <c r="U7" s="83" t="n">
        <v>1</v>
      </c>
      <c r="V7" s="84">
        <f>U7*L7</f>
        <v/>
      </c>
      <c r="W7" s="83">
        <f>Q7+S7-U7</f>
        <v/>
      </c>
      <c r="X7" s="84">
        <f>R7+T7-V7</f>
        <v/>
      </c>
      <c r="Y7" s="85" t="inlineStr">
        <is>
          <t>P221ZZMO02</t>
        </is>
      </c>
      <c r="Z7" s="86" t="inlineStr">
        <is>
          <t>15661</t>
        </is>
      </c>
      <c r="AA7" s="86" t="inlineStr">
        <is>
          <t>33561</t>
        </is>
      </c>
      <c r="AB7" s="86" t="inlineStr">
        <is>
          <t>6277651</t>
        </is>
      </c>
      <c r="AC7" s="87" t="inlineStr">
        <is>
          <t>Movies</t>
        </is>
      </c>
      <c r="AD7" s="76">
        <f>COUNTIF('KK1. Movies'!AI:AI,'TK 15661.Bản quyền phim '!F7)</f>
        <v/>
      </c>
      <c r="AE7" s="76">
        <f>COUNTIF('KK2. Series'!AM:AM,'TK 15661.Bản quyền phim '!F7)</f>
        <v/>
      </c>
      <c r="AF7" s="76">
        <f>COUNTIF('KK3. Kids'!AF:AF,'TK 15661.Bản quyền phim '!F7)</f>
        <v/>
      </c>
      <c r="AG7" s="76" t="n"/>
      <c r="AH7" s="76">
        <f>IF(SUM(AD7:AG7)&gt;0,"OK",0)</f>
        <v/>
      </c>
    </row>
    <row r="8" hidden="1" ht="15.6" customHeight="1" s="578">
      <c r="A8" s="27" t="n"/>
      <c r="B8" s="74" t="inlineStr">
        <is>
          <t>K+1MOV021053</t>
        </is>
      </c>
      <c r="C8" s="708" t="inlineStr">
        <is>
          <t>VND</t>
        </is>
      </c>
      <c r="D8" s="708" t="inlineStr">
        <is>
          <t>S0002025</t>
        </is>
      </c>
      <c r="E8" s="708" t="inlineStr">
        <is>
          <t>Công Ty TNHH TFILM STUDIO</t>
        </is>
      </c>
      <c r="F8" s="708" t="inlineStr">
        <is>
          <t>The instrument of murder</t>
        </is>
      </c>
      <c r="G8" s="708" t="inlineStr">
        <is>
          <t>Movies Vietnam</t>
        </is>
      </c>
      <c r="H8" s="83" t="n">
        <v>1</v>
      </c>
      <c r="I8" s="83" t="n">
        <v>5</v>
      </c>
      <c r="J8" s="83">
        <f>H8*I8</f>
        <v/>
      </c>
      <c r="K8" s="83" t="n">
        <v>553095238.0952381</v>
      </c>
      <c r="L8" s="83" t="n">
        <v>110619047.6190476</v>
      </c>
      <c r="M8" s="83">
        <f>J8-Q8</f>
        <v/>
      </c>
      <c r="N8" s="83">
        <f>K8-R8</f>
        <v/>
      </c>
      <c r="O8" s="517" t="n">
        <v>44281</v>
      </c>
      <c r="P8" s="517" t="n">
        <v>46106</v>
      </c>
      <c r="Q8" s="83" t="n">
        <v>1</v>
      </c>
      <c r="R8" s="84" t="n">
        <v>110619047.6190476</v>
      </c>
      <c r="S8" s="83" t="n">
        <v>0</v>
      </c>
      <c r="T8" s="84" t="n">
        <v>0</v>
      </c>
      <c r="U8" s="83" t="n">
        <v>1</v>
      </c>
      <c r="V8" s="84">
        <f>U8*L8</f>
        <v/>
      </c>
      <c r="W8" s="83">
        <f>Q8+S8-U8</f>
        <v/>
      </c>
      <c r="X8" s="84">
        <f>R8+T8-V8</f>
        <v/>
      </c>
      <c r="Y8" s="85" t="inlineStr">
        <is>
          <t>P221ZZMO02</t>
        </is>
      </c>
      <c r="Z8" s="86" t="inlineStr">
        <is>
          <t>15661</t>
        </is>
      </c>
      <c r="AA8" s="86" t="inlineStr">
        <is>
          <t>33561</t>
        </is>
      </c>
      <c r="AB8" s="86" t="inlineStr">
        <is>
          <t>6277651</t>
        </is>
      </c>
      <c r="AC8" s="87" t="inlineStr">
        <is>
          <t>Movies</t>
        </is>
      </c>
      <c r="AD8" s="76">
        <f>COUNTIF('KK1. Movies'!AI:AI,'TK 15661.Bản quyền phim '!F8)</f>
        <v/>
      </c>
      <c r="AE8" s="76">
        <f>COUNTIF('KK2. Series'!AM:AM,'TK 15661.Bản quyền phim '!F8)</f>
        <v/>
      </c>
      <c r="AF8" s="76">
        <f>COUNTIF('KK3. Kids'!AF:AF,'TK 15661.Bản quyền phim '!F8)</f>
        <v/>
      </c>
      <c r="AG8" s="76" t="n"/>
      <c r="AH8" s="76">
        <f>IF(SUM(AD8:AG8)&gt;0,"OK",0)</f>
        <v/>
      </c>
    </row>
    <row r="9" hidden="1" ht="15.6" customHeight="1" s="578">
      <c r="A9" s="27" t="n"/>
      <c r="B9" s="74" t="inlineStr">
        <is>
          <t>K+1MOV021091</t>
        </is>
      </c>
      <c r="C9" s="708" t="inlineStr">
        <is>
          <t>VND</t>
        </is>
      </c>
      <c r="D9" s="708" t="inlineStr">
        <is>
          <t>S0002025</t>
        </is>
      </c>
      <c r="E9" s="708" t="inlineStr">
        <is>
          <t>Công Ty TNHH TFILM STUDIO</t>
        </is>
      </c>
      <c r="F9" s="708" t="inlineStr">
        <is>
          <t>The Guardian</t>
        </is>
      </c>
      <c r="G9" s="708" t="inlineStr">
        <is>
          <t>Movies Vietnam</t>
        </is>
      </c>
      <c r="H9" s="83" t="n">
        <v>1</v>
      </c>
      <c r="I9" s="83" t="n">
        <v>4.5</v>
      </c>
      <c r="J9" s="83">
        <f>H9*I9</f>
        <v/>
      </c>
      <c r="K9" s="83" t="n">
        <v>661714286</v>
      </c>
      <c r="L9" s="83" t="n">
        <v>147047619.1111111</v>
      </c>
      <c r="M9" s="83">
        <f>J9-Q9</f>
        <v/>
      </c>
      <c r="N9" s="83">
        <f>K9-R9</f>
        <v/>
      </c>
      <c r="O9" s="517" t="n">
        <v>44729</v>
      </c>
      <c r="P9" s="517" t="n">
        <v>46372</v>
      </c>
      <c r="Q9" s="83" t="n">
        <v>1.5</v>
      </c>
      <c r="R9" s="84" t="n">
        <v>220571428.6666667</v>
      </c>
      <c r="S9" s="83" t="n">
        <v>0</v>
      </c>
      <c r="T9" s="84" t="n">
        <v>0</v>
      </c>
      <c r="U9" s="83" t="n">
        <v>1</v>
      </c>
      <c r="V9" s="84">
        <f>U9*L9</f>
        <v/>
      </c>
      <c r="W9" s="83">
        <f>Q9+S9-U9</f>
        <v/>
      </c>
      <c r="X9" s="84">
        <f>R9+T9-V9</f>
        <v/>
      </c>
      <c r="Y9" s="85" t="inlineStr">
        <is>
          <t>P221ZZMO02</t>
        </is>
      </c>
      <c r="Z9" s="86" t="inlineStr">
        <is>
          <t>15661</t>
        </is>
      </c>
      <c r="AA9" s="86" t="inlineStr">
        <is>
          <t>33561</t>
        </is>
      </c>
      <c r="AB9" s="86" t="inlineStr">
        <is>
          <t>6277651</t>
        </is>
      </c>
      <c r="AC9" s="87" t="inlineStr">
        <is>
          <t>Movies</t>
        </is>
      </c>
      <c r="AD9" s="76">
        <f>COUNTIF('KK1. Movies'!AI:AI,'TK 15661.Bản quyền phim '!F9)</f>
        <v/>
      </c>
      <c r="AE9" s="76">
        <f>COUNTIF('KK2. Series'!AM:AM,'TK 15661.Bản quyền phim '!F9)</f>
        <v/>
      </c>
      <c r="AF9" s="76">
        <f>COUNTIF('KK3. Kids'!AF:AF,'TK 15661.Bản quyền phim '!F9)</f>
        <v/>
      </c>
      <c r="AG9" s="76" t="n"/>
      <c r="AH9" s="76">
        <f>IF(SUM(AD9:AG9)&gt;0,"OK",0)</f>
        <v/>
      </c>
    </row>
    <row r="10" hidden="1" ht="15.6" customHeight="1" s="578">
      <c r="A10" s="27" t="n"/>
      <c r="B10" s="74" t="inlineStr">
        <is>
          <t>K+1MOV021106</t>
        </is>
      </c>
      <c r="C10" s="708" t="inlineStr">
        <is>
          <t>USD</t>
        </is>
      </c>
      <c r="D10" s="708" t="inlineStr">
        <is>
          <t>S0002232</t>
        </is>
      </c>
      <c r="E10" s="708" t="inlineStr">
        <is>
          <t>Tokyo Broadcasting System Television</t>
        </is>
      </c>
      <c r="F10" s="708" t="inlineStr">
        <is>
          <t>Stolen Identity 2</t>
        </is>
      </c>
      <c r="G10" s="708" t="inlineStr">
        <is>
          <t>Movies International</t>
        </is>
      </c>
      <c r="H10" s="83" t="n">
        <v>1</v>
      </c>
      <c r="I10" s="83" t="n">
        <v>5</v>
      </c>
      <c r="J10" s="83">
        <f>H10*I10</f>
        <v/>
      </c>
      <c r="K10" s="83" t="n">
        <v>129454800</v>
      </c>
      <c r="L10" s="83" t="n">
        <v>25890960</v>
      </c>
      <c r="M10" s="83">
        <f>J10-Q10</f>
        <v/>
      </c>
      <c r="N10" s="83">
        <f>K10-R10</f>
        <v/>
      </c>
      <c r="O10" s="517" t="n">
        <v>44284</v>
      </c>
      <c r="P10" s="517" t="n">
        <v>46109</v>
      </c>
      <c r="Q10" s="83" t="n">
        <v>1</v>
      </c>
      <c r="R10" s="84" t="n">
        <v>25890960</v>
      </c>
      <c r="S10" s="83" t="n">
        <v>0</v>
      </c>
      <c r="T10" s="84" t="n">
        <v>0</v>
      </c>
      <c r="U10" s="83" t="n">
        <v>1</v>
      </c>
      <c r="V10" s="84">
        <f>U10*L10</f>
        <v/>
      </c>
      <c r="W10" s="83">
        <f>Q10+S10-U10</f>
        <v/>
      </c>
      <c r="X10" s="84">
        <f>R10+T10-V10</f>
        <v/>
      </c>
      <c r="Y10" s="85" t="inlineStr">
        <is>
          <t>P221ZZMO01</t>
        </is>
      </c>
      <c r="Z10" s="86" t="inlineStr">
        <is>
          <t>15661</t>
        </is>
      </c>
      <c r="AA10" s="86" t="inlineStr">
        <is>
          <t>33561</t>
        </is>
      </c>
      <c r="AB10" s="86" t="inlineStr">
        <is>
          <t>6277651</t>
        </is>
      </c>
      <c r="AC10" s="87" t="inlineStr">
        <is>
          <t>Movies</t>
        </is>
      </c>
      <c r="AD10" s="76">
        <f>COUNTIF('KK1. Movies'!AI:AI,'TK 15661.Bản quyền phim '!F10)</f>
        <v/>
      </c>
      <c r="AE10" s="76">
        <f>COUNTIF('KK2. Series'!AM:AM,'TK 15661.Bản quyền phim '!F10)</f>
        <v/>
      </c>
      <c r="AF10" s="76">
        <f>COUNTIF('KK3. Kids'!AF:AF,'TK 15661.Bản quyền phim '!F10)</f>
        <v/>
      </c>
      <c r="AG10" s="76" t="n"/>
      <c r="AH10" s="76">
        <f>IF(SUM(AD10:AG10)&gt;0,"OK",0)</f>
        <v/>
      </c>
    </row>
    <row r="11" hidden="1" ht="15.6" customHeight="1" s="578">
      <c r="A11" s="27" t="n"/>
      <c r="B11" s="74" t="inlineStr">
        <is>
          <t>K+1MOV021107</t>
        </is>
      </c>
      <c r="C11" s="708" t="inlineStr">
        <is>
          <t>USD</t>
        </is>
      </c>
      <c r="D11" s="708" t="inlineStr">
        <is>
          <t>S0002232</t>
        </is>
      </c>
      <c r="E11" s="708" t="inlineStr">
        <is>
          <t>Tokyo Broadcasting System Television</t>
        </is>
      </c>
      <c r="F11" s="708" t="inlineStr">
        <is>
          <t>Stolen Identity</t>
        </is>
      </c>
      <c r="G11" s="708" t="inlineStr">
        <is>
          <t>Movies International</t>
        </is>
      </c>
      <c r="H11" s="83" t="n">
        <v>1</v>
      </c>
      <c r="I11" s="83" t="n">
        <v>5</v>
      </c>
      <c r="J11" s="83">
        <f>H11*I11</f>
        <v/>
      </c>
      <c r="K11" s="83" t="n">
        <v>77658900</v>
      </c>
      <c r="L11" s="83" t="n">
        <v>15531780</v>
      </c>
      <c r="M11" s="83">
        <f>J11-Q11</f>
        <v/>
      </c>
      <c r="N11" s="83">
        <f>K11-R11</f>
        <v/>
      </c>
      <c r="O11" s="517" t="n">
        <v>44284</v>
      </c>
      <c r="P11" s="517" t="n">
        <v>46109</v>
      </c>
      <c r="Q11" s="83" t="n">
        <v>1</v>
      </c>
      <c r="R11" s="84" t="n">
        <v>15531780</v>
      </c>
      <c r="S11" s="83" t="n">
        <v>0</v>
      </c>
      <c r="T11" s="84" t="n">
        <v>0</v>
      </c>
      <c r="U11" s="83" t="n">
        <v>1</v>
      </c>
      <c r="V11" s="84">
        <f>U11*L11</f>
        <v/>
      </c>
      <c r="W11" s="83">
        <f>Q11+S11-U11</f>
        <v/>
      </c>
      <c r="X11" s="84">
        <f>R11+T11-V11</f>
        <v/>
      </c>
      <c r="Y11" s="85" t="inlineStr">
        <is>
          <t>P221ZZMO01</t>
        </is>
      </c>
      <c r="Z11" s="86" t="inlineStr">
        <is>
          <t>15661</t>
        </is>
      </c>
      <c r="AA11" s="86" t="inlineStr">
        <is>
          <t>33561</t>
        </is>
      </c>
      <c r="AB11" s="86" t="inlineStr">
        <is>
          <t>6277651</t>
        </is>
      </c>
      <c r="AC11" s="87" t="inlineStr">
        <is>
          <t>Movies</t>
        </is>
      </c>
      <c r="AD11" s="76">
        <f>COUNTIF('KK1. Movies'!AI:AI,'TK 15661.Bản quyền phim '!F11)</f>
        <v/>
      </c>
      <c r="AE11" s="76">
        <f>COUNTIF('KK2. Series'!AM:AM,'TK 15661.Bản quyền phim '!F11)</f>
        <v/>
      </c>
      <c r="AF11" s="76">
        <f>COUNTIF('KK3. Kids'!AF:AF,'TK 15661.Bản quyền phim '!F11)</f>
        <v/>
      </c>
      <c r="AG11" s="76" t="n"/>
      <c r="AH11" s="76">
        <f>IF(SUM(AD11:AG11)&gt;0,"OK",0)</f>
        <v/>
      </c>
    </row>
    <row r="12" hidden="1" ht="15.6" customHeight="1" s="578">
      <c r="A12" s="27" t="n"/>
      <c r="B12" s="74" t="inlineStr">
        <is>
          <t>K+1MOV021108</t>
        </is>
      </c>
      <c r="C12" s="708" t="inlineStr">
        <is>
          <t>USD</t>
        </is>
      </c>
      <c r="D12" s="708" t="inlineStr">
        <is>
          <t>S0002232</t>
        </is>
      </c>
      <c r="E12" s="708" t="inlineStr">
        <is>
          <t>Tokyo Broadcasting System Television</t>
        </is>
      </c>
      <c r="F12" s="708" t="inlineStr">
        <is>
          <t>The Crimes That Bind</t>
        </is>
      </c>
      <c r="G12" s="708" t="inlineStr">
        <is>
          <t>Movies International</t>
        </is>
      </c>
      <c r="H12" s="83" t="n">
        <v>1</v>
      </c>
      <c r="I12" s="83" t="n">
        <v>5</v>
      </c>
      <c r="J12" s="83">
        <f>H12*I12</f>
        <v/>
      </c>
      <c r="K12" s="83" t="n">
        <v>77658900</v>
      </c>
      <c r="L12" s="83" t="n">
        <v>15531780</v>
      </c>
      <c r="M12" s="83">
        <f>J12-Q12</f>
        <v/>
      </c>
      <c r="N12" s="83">
        <f>K12-R12</f>
        <v/>
      </c>
      <c r="O12" s="517" t="n">
        <v>44284</v>
      </c>
      <c r="P12" s="517" t="n">
        <v>46109</v>
      </c>
      <c r="Q12" s="83" t="n">
        <v>1</v>
      </c>
      <c r="R12" s="84" t="n">
        <v>15531780</v>
      </c>
      <c r="S12" s="83" t="n">
        <v>0</v>
      </c>
      <c r="T12" s="84" t="n">
        <v>0</v>
      </c>
      <c r="U12" s="83" t="n">
        <v>1</v>
      </c>
      <c r="V12" s="84">
        <f>U12*L12</f>
        <v/>
      </c>
      <c r="W12" s="83">
        <f>Q12+S12-U12</f>
        <v/>
      </c>
      <c r="X12" s="84">
        <f>R12+T12-V12</f>
        <v/>
      </c>
      <c r="Y12" s="85" t="inlineStr">
        <is>
          <t>P221ZZMO01</t>
        </is>
      </c>
      <c r="Z12" s="86" t="inlineStr">
        <is>
          <t>15661</t>
        </is>
      </c>
      <c r="AA12" s="86" t="inlineStr">
        <is>
          <t>33561</t>
        </is>
      </c>
      <c r="AB12" s="86" t="inlineStr">
        <is>
          <t>6277651</t>
        </is>
      </c>
      <c r="AC12" s="87" t="inlineStr">
        <is>
          <t>Movies</t>
        </is>
      </c>
      <c r="AD12" s="76">
        <f>COUNTIF('KK1. Movies'!AI:AI,'TK 15661.Bản quyền phim '!F12)</f>
        <v/>
      </c>
      <c r="AE12" s="76">
        <f>COUNTIF('KK2. Series'!AM:AM,'TK 15661.Bản quyền phim '!F12)</f>
        <v/>
      </c>
      <c r="AF12" s="76">
        <f>COUNTIF('KK3. Kids'!AF:AF,'TK 15661.Bản quyền phim '!F12)</f>
        <v/>
      </c>
      <c r="AG12" s="76" t="n"/>
      <c r="AH12" s="76">
        <f>IF(SUM(AD12:AG12)&gt;0,"OK",0)</f>
        <v/>
      </c>
    </row>
    <row r="13" hidden="1" ht="15.6" customHeight="1" s="578">
      <c r="A13" s="27" t="n"/>
      <c r="B13" s="74" t="inlineStr">
        <is>
          <t>K+1MOV021109</t>
        </is>
      </c>
      <c r="C13" s="708" t="inlineStr">
        <is>
          <t>USD</t>
        </is>
      </c>
      <c r="D13" s="708" t="inlineStr">
        <is>
          <t>S0002232</t>
        </is>
      </c>
      <c r="E13" s="708" t="inlineStr">
        <is>
          <t>Tokyo Broadcasting System Television</t>
        </is>
      </c>
      <c r="F13" s="708" t="inlineStr">
        <is>
          <t>MOZU</t>
        </is>
      </c>
      <c r="G13" s="708" t="inlineStr">
        <is>
          <t>Movies International</t>
        </is>
      </c>
      <c r="H13" s="83" t="n">
        <v>1</v>
      </c>
      <c r="I13" s="83" t="n">
        <v>5</v>
      </c>
      <c r="J13" s="83">
        <f>H13*I13</f>
        <v/>
      </c>
      <c r="K13" s="83" t="n">
        <v>71204800</v>
      </c>
      <c r="L13" s="83" t="n">
        <v>14240960</v>
      </c>
      <c r="M13" s="83">
        <f>J13-Q13</f>
        <v/>
      </c>
      <c r="N13" s="83">
        <f>K13-R13</f>
        <v/>
      </c>
      <c r="O13" s="517" t="n">
        <v>44284</v>
      </c>
      <c r="P13" s="517" t="n">
        <v>46109</v>
      </c>
      <c r="Q13" s="83" t="n">
        <v>1</v>
      </c>
      <c r="R13" s="84" t="n">
        <v>14240960</v>
      </c>
      <c r="S13" s="83" t="n">
        <v>0</v>
      </c>
      <c r="T13" s="84" t="n">
        <v>0</v>
      </c>
      <c r="U13" s="83" t="n">
        <v>1</v>
      </c>
      <c r="V13" s="84">
        <f>U13*L13</f>
        <v/>
      </c>
      <c r="W13" s="83">
        <f>Q13+S13-U13</f>
        <v/>
      </c>
      <c r="X13" s="84">
        <f>R13+T13-V13</f>
        <v/>
      </c>
      <c r="Y13" s="85" t="inlineStr">
        <is>
          <t>P221ZZMO01</t>
        </is>
      </c>
      <c r="Z13" s="86" t="inlineStr">
        <is>
          <t>15661</t>
        </is>
      </c>
      <c r="AA13" s="86" t="inlineStr">
        <is>
          <t>33561</t>
        </is>
      </c>
      <c r="AB13" s="86" t="inlineStr">
        <is>
          <t>6277651</t>
        </is>
      </c>
      <c r="AC13" s="87" t="inlineStr">
        <is>
          <t>Movies</t>
        </is>
      </c>
      <c r="AD13" s="76">
        <f>COUNTIF('KK1. Movies'!AI:AI,'TK 15661.Bản quyền phim '!F13)</f>
        <v/>
      </c>
      <c r="AE13" s="76">
        <f>COUNTIF('KK2. Series'!AM:AM,'TK 15661.Bản quyền phim '!F13)</f>
        <v/>
      </c>
      <c r="AF13" s="76">
        <f>COUNTIF('KK3. Kids'!AF:AF,'TK 15661.Bản quyền phim '!F13)</f>
        <v/>
      </c>
      <c r="AG13" s="76" t="n"/>
      <c r="AH13" s="76">
        <f>IF(SUM(AD13:AG13)&gt;0,"OK",0)</f>
        <v/>
      </c>
    </row>
    <row r="14" hidden="1" ht="15.6" customHeight="1" s="578">
      <c r="A14" s="27" t="n"/>
      <c r="B14" s="74" t="inlineStr">
        <is>
          <t>K+1MOV021110</t>
        </is>
      </c>
      <c r="C14" s="708" t="inlineStr">
        <is>
          <t>USD</t>
        </is>
      </c>
      <c r="D14" s="708" t="inlineStr">
        <is>
          <t>S0002232</t>
        </is>
      </c>
      <c r="E14" s="708" t="inlineStr">
        <is>
          <t>Tokyo Broadcasting System Television</t>
        </is>
      </c>
      <c r="F14" s="708" t="inlineStr">
        <is>
          <t>LIBRARY WARS -LM-</t>
        </is>
      </c>
      <c r="G14" s="708" t="inlineStr">
        <is>
          <t>Movies International</t>
        </is>
      </c>
      <c r="H14" s="83" t="n">
        <v>1</v>
      </c>
      <c r="I14" s="83" t="n">
        <v>5</v>
      </c>
      <c r="J14" s="83">
        <f>H14*I14</f>
        <v/>
      </c>
      <c r="K14" s="83" t="n">
        <v>77658900</v>
      </c>
      <c r="L14" s="83" t="n">
        <v>15531780</v>
      </c>
      <c r="M14" s="83">
        <f>J14-Q14</f>
        <v/>
      </c>
      <c r="N14" s="83">
        <f>K14-R14</f>
        <v/>
      </c>
      <c r="O14" s="517" t="n">
        <v>44284</v>
      </c>
      <c r="P14" s="517" t="n">
        <v>46109</v>
      </c>
      <c r="Q14" s="83" t="n">
        <v>1</v>
      </c>
      <c r="R14" s="84" t="n">
        <v>15531780</v>
      </c>
      <c r="S14" s="83" t="n">
        <v>0</v>
      </c>
      <c r="T14" s="84" t="n">
        <v>0</v>
      </c>
      <c r="U14" s="83" t="n">
        <v>1</v>
      </c>
      <c r="V14" s="84">
        <f>U14*L14</f>
        <v/>
      </c>
      <c r="W14" s="83">
        <f>Q14+S14-U14</f>
        <v/>
      </c>
      <c r="X14" s="84">
        <f>R14+T14-V14</f>
        <v/>
      </c>
      <c r="Y14" s="85" t="inlineStr">
        <is>
          <t>P221ZZMO01</t>
        </is>
      </c>
      <c r="Z14" s="86" t="inlineStr">
        <is>
          <t>15661</t>
        </is>
      </c>
      <c r="AA14" s="86" t="inlineStr">
        <is>
          <t>33561</t>
        </is>
      </c>
      <c r="AB14" s="86" t="inlineStr">
        <is>
          <t>6277651</t>
        </is>
      </c>
      <c r="AC14" s="87" t="inlineStr">
        <is>
          <t>Movies</t>
        </is>
      </c>
      <c r="AD14" s="76">
        <f>COUNTIF('KK1. Movies'!AI:AI,'TK 15661.Bản quyền phim '!F14)</f>
        <v/>
      </c>
      <c r="AE14" s="76">
        <f>COUNTIF('KK2. Series'!AM:AM,'TK 15661.Bản quyền phim '!F14)</f>
        <v/>
      </c>
      <c r="AF14" s="76">
        <f>COUNTIF('KK3. Kids'!AF:AF,'TK 15661.Bản quyền phim '!F14)</f>
        <v/>
      </c>
      <c r="AG14" s="76" t="n"/>
      <c r="AH14" s="76">
        <f>IF(SUM(AD14:AG14)&gt;0,"OK",0)</f>
        <v/>
      </c>
    </row>
    <row r="15" hidden="1" ht="15.6" customHeight="1" s="578">
      <c r="A15" s="27" t="n"/>
      <c r="B15" s="74" t="inlineStr">
        <is>
          <t>K+1MOV021111</t>
        </is>
      </c>
      <c r="C15" s="708" t="inlineStr">
        <is>
          <t>USD</t>
        </is>
      </c>
      <c r="D15" s="708" t="inlineStr">
        <is>
          <t>S0002232</t>
        </is>
      </c>
      <c r="E15" s="708" t="inlineStr">
        <is>
          <t>Tokyo Broadcasting System Television</t>
        </is>
      </c>
      <c r="F15" s="708" t="inlineStr">
        <is>
          <t>S: THE LAST POLICEMAN-Recovery of Our Future-</t>
        </is>
      </c>
      <c r="G15" s="708" t="inlineStr">
        <is>
          <t>Movies International</t>
        </is>
      </c>
      <c r="H15" s="83" t="n">
        <v>1</v>
      </c>
      <c r="I15" s="83" t="n">
        <v>5</v>
      </c>
      <c r="J15" s="83">
        <f>H15*I15</f>
        <v/>
      </c>
      <c r="K15" s="83" t="n">
        <v>71204800</v>
      </c>
      <c r="L15" s="83" t="n">
        <v>14240960</v>
      </c>
      <c r="M15" s="83">
        <f>J15-Q15</f>
        <v/>
      </c>
      <c r="N15" s="83">
        <f>K15-R15</f>
        <v/>
      </c>
      <c r="O15" s="517" t="n">
        <v>44284</v>
      </c>
      <c r="P15" s="517" t="n">
        <v>46109</v>
      </c>
      <c r="Q15" s="83" t="n">
        <v>1</v>
      </c>
      <c r="R15" s="84" t="n">
        <v>14240960</v>
      </c>
      <c r="S15" s="83" t="n">
        <v>0</v>
      </c>
      <c r="T15" s="84" t="n">
        <v>0</v>
      </c>
      <c r="U15" s="83" t="n">
        <v>1</v>
      </c>
      <c r="V15" s="84">
        <f>U15*L15</f>
        <v/>
      </c>
      <c r="W15" s="83">
        <f>Q15+S15-U15</f>
        <v/>
      </c>
      <c r="X15" s="84">
        <f>R15+T15-V15</f>
        <v/>
      </c>
      <c r="Y15" s="85" t="inlineStr">
        <is>
          <t>P221ZZMO01</t>
        </is>
      </c>
      <c r="Z15" s="86" t="inlineStr">
        <is>
          <t>15661</t>
        </is>
      </c>
      <c r="AA15" s="86" t="inlineStr">
        <is>
          <t>33561</t>
        </is>
      </c>
      <c r="AB15" s="86" t="inlineStr">
        <is>
          <t>6277651</t>
        </is>
      </c>
      <c r="AC15" s="87" t="inlineStr">
        <is>
          <t>Movies</t>
        </is>
      </c>
      <c r="AD15" s="76">
        <f>COUNTIF('KK1. Movies'!AI:AI,'TK 15661.Bản quyền phim '!F15)</f>
        <v/>
      </c>
      <c r="AE15" s="76">
        <f>COUNTIF('KK2. Series'!AM:AM,'TK 15661.Bản quyền phim '!F15)</f>
        <v/>
      </c>
      <c r="AF15" s="76">
        <f>COUNTIF('KK3. Kids'!AF:AF,'TK 15661.Bản quyền phim '!F15)</f>
        <v/>
      </c>
      <c r="AG15" s="76" t="n"/>
      <c r="AH15" s="76">
        <f>IF(SUM(AD15:AG15)&gt;0,"OK",0)</f>
        <v/>
      </c>
    </row>
    <row r="16" hidden="1" ht="15.6" customHeight="1" s="578">
      <c r="A16" s="27" t="n"/>
      <c r="B16" s="74" t="inlineStr">
        <is>
          <t>K+1MOV021112</t>
        </is>
      </c>
      <c r="C16" s="708" t="inlineStr">
        <is>
          <t>USD</t>
        </is>
      </c>
      <c r="D16" s="708" t="inlineStr">
        <is>
          <t>S0002232</t>
        </is>
      </c>
      <c r="E16" s="708" t="inlineStr">
        <is>
          <t>Tokyo Broadcasting System Television</t>
        </is>
      </c>
      <c r="F16" s="708" t="inlineStr">
        <is>
          <t>PROPHECY</t>
        </is>
      </c>
      <c r="G16" s="708" t="inlineStr">
        <is>
          <t>Movies International</t>
        </is>
      </c>
      <c r="H16" s="83" t="n">
        <v>1</v>
      </c>
      <c r="I16" s="83" t="n">
        <v>5</v>
      </c>
      <c r="J16" s="83">
        <f>H16*I16</f>
        <v/>
      </c>
      <c r="K16" s="83" t="n">
        <v>77658900</v>
      </c>
      <c r="L16" s="83" t="n">
        <v>15531780</v>
      </c>
      <c r="M16" s="83">
        <f>J16-Q16</f>
        <v/>
      </c>
      <c r="N16" s="83">
        <f>K16-R16</f>
        <v/>
      </c>
      <c r="O16" s="517" t="n">
        <v>44284</v>
      </c>
      <c r="P16" s="517" t="n">
        <v>46109</v>
      </c>
      <c r="Q16" s="83" t="n">
        <v>1</v>
      </c>
      <c r="R16" s="84" t="n">
        <v>15531780</v>
      </c>
      <c r="S16" s="83" t="n">
        <v>0</v>
      </c>
      <c r="T16" s="84" t="n">
        <v>0</v>
      </c>
      <c r="U16" s="83" t="n">
        <v>1</v>
      </c>
      <c r="V16" s="84">
        <f>U16*L16</f>
        <v/>
      </c>
      <c r="W16" s="83">
        <f>Q16+S16-U16</f>
        <v/>
      </c>
      <c r="X16" s="84">
        <f>R16+T16-V16</f>
        <v/>
      </c>
      <c r="Y16" s="85" t="inlineStr">
        <is>
          <t>P221ZZMO01</t>
        </is>
      </c>
      <c r="Z16" s="86" t="inlineStr">
        <is>
          <t>15661</t>
        </is>
      </c>
      <c r="AA16" s="86" t="inlineStr">
        <is>
          <t>33561</t>
        </is>
      </c>
      <c r="AB16" s="86" t="inlineStr">
        <is>
          <t>6277651</t>
        </is>
      </c>
      <c r="AC16" s="87" t="inlineStr">
        <is>
          <t>Movies</t>
        </is>
      </c>
      <c r="AD16" s="76">
        <f>COUNTIF('KK1. Movies'!AI:AI,'TK 15661.Bản quyền phim '!F16)</f>
        <v/>
      </c>
      <c r="AE16" s="76">
        <f>COUNTIF('KK2. Series'!AM:AM,'TK 15661.Bản quyền phim '!F16)</f>
        <v/>
      </c>
      <c r="AF16" s="76">
        <f>COUNTIF('KK3. Kids'!AF:AF,'TK 15661.Bản quyền phim '!F16)</f>
        <v/>
      </c>
      <c r="AG16" s="76" t="n"/>
      <c r="AH16" s="76">
        <f>IF(SUM(AD16:AG16)&gt;0,"OK",0)</f>
        <v/>
      </c>
    </row>
    <row r="17" hidden="1" ht="15.6" customHeight="1" s="578">
      <c r="A17" s="27" t="n"/>
      <c r="B17" s="74" t="inlineStr">
        <is>
          <t>K+1MOV021146</t>
        </is>
      </c>
      <c r="C17" s="708" t="inlineStr">
        <is>
          <t>VND</t>
        </is>
      </c>
      <c r="D17" s="708" t="inlineStr">
        <is>
          <t>S0001486</t>
        </is>
      </c>
      <c r="E17" s="708" t="inlineStr">
        <is>
          <t>Công ty TNHH Bình Hạnh Đan</t>
        </is>
      </c>
      <c r="F17" s="708" t="inlineStr">
        <is>
          <t>SECRETS OF THE WIND</t>
        </is>
      </c>
      <c r="G17" s="708" t="inlineStr">
        <is>
          <t>Movies Vietnam</t>
        </is>
      </c>
      <c r="H17" s="83" t="n">
        <v>1</v>
      </c>
      <c r="I17" s="83" t="n">
        <v>3</v>
      </c>
      <c r="J17" s="83">
        <f>H17*I17</f>
        <v/>
      </c>
      <c r="K17" s="83" t="n">
        <v>394285714</v>
      </c>
      <c r="L17" s="83" t="n">
        <v>131428571.3333333</v>
      </c>
      <c r="M17" s="83">
        <f>J17-Q17</f>
        <v/>
      </c>
      <c r="N17" s="83">
        <f>K17-R17</f>
        <v/>
      </c>
      <c r="O17" s="517" t="n">
        <v>44228</v>
      </c>
      <c r="P17" s="517" t="n">
        <v>46053</v>
      </c>
      <c r="Q17" s="83" t="n">
        <v>0</v>
      </c>
      <c r="R17" s="84" t="n">
        <v>0</v>
      </c>
      <c r="S17" s="83" t="n">
        <v>0</v>
      </c>
      <c r="T17" s="84" t="n">
        <v>0</v>
      </c>
      <c r="U17" s="83" t="n">
        <v>0</v>
      </c>
      <c r="V17" s="84">
        <f>U17*L17</f>
        <v/>
      </c>
      <c r="W17" s="83">
        <f>Q17+S17-U17</f>
        <v/>
      </c>
      <c r="X17" s="84">
        <f>R17+T17-V17</f>
        <v/>
      </c>
      <c r="Y17" s="85" t="inlineStr">
        <is>
          <t>P221ZZMO02</t>
        </is>
      </c>
      <c r="Z17" s="86" t="inlineStr">
        <is>
          <t>15661</t>
        </is>
      </c>
      <c r="AA17" s="86" t="inlineStr">
        <is>
          <t>33561</t>
        </is>
      </c>
      <c r="AB17" s="86" t="inlineStr">
        <is>
          <t>6277651</t>
        </is>
      </c>
      <c r="AC17" s="87" t="inlineStr">
        <is>
          <t>Movies</t>
        </is>
      </c>
      <c r="AD17" s="76">
        <f>COUNTIF('KK1. Movies'!AI:AI,'TK 15661.Bản quyền phim '!F17)</f>
        <v/>
      </c>
      <c r="AE17" s="76">
        <f>COUNTIF('KK2. Series'!AM:AM,'TK 15661.Bản quyền phim '!F17)</f>
        <v/>
      </c>
      <c r="AF17" s="76">
        <f>COUNTIF('KK3. Kids'!AF:AF,'TK 15661.Bản quyền phim '!F17)</f>
        <v/>
      </c>
      <c r="AG17" s="76" t="n"/>
      <c r="AH17" s="76">
        <f>IF(SUM(AD17:AG17)&gt;0,"OK",0)</f>
        <v/>
      </c>
    </row>
    <row r="18" hidden="1" ht="15.6" customHeight="1" s="578">
      <c r="A18" s="27" t="n"/>
      <c r="B18" s="74" t="inlineStr">
        <is>
          <t>K+1MOV021154</t>
        </is>
      </c>
      <c r="C18" s="708" t="inlineStr">
        <is>
          <t>VND</t>
        </is>
      </c>
      <c r="D18" s="708" t="inlineStr">
        <is>
          <t>S0002025</t>
        </is>
      </c>
      <c r="E18" s="708" t="inlineStr">
        <is>
          <t>Công Ty TNHH TFILM STUDIO</t>
        </is>
      </c>
      <c r="F18" s="708" t="inlineStr">
        <is>
          <t>The Eve of Never</t>
        </is>
      </c>
      <c r="G18" s="708" t="inlineStr">
        <is>
          <t>Movies Vietnam</t>
        </is>
      </c>
      <c r="H18" s="83" t="n">
        <v>1</v>
      </c>
      <c r="I18" s="83" t="n">
        <v>5</v>
      </c>
      <c r="J18" s="83">
        <f>H18*I18</f>
        <v/>
      </c>
      <c r="K18" s="83" t="n">
        <v>220476190</v>
      </c>
      <c r="L18" s="83" t="n">
        <v>44095238</v>
      </c>
      <c r="M18" s="83">
        <f>J18-Q18</f>
        <v/>
      </c>
      <c r="N18" s="83">
        <f>K18-R18</f>
        <v/>
      </c>
      <c r="O18" s="517" t="n">
        <v>44344</v>
      </c>
      <c r="P18" s="517" t="n">
        <v>46169</v>
      </c>
      <c r="Q18" s="83" t="n">
        <v>1</v>
      </c>
      <c r="R18" s="84" t="n">
        <v>44095238</v>
      </c>
      <c r="S18" s="83" t="n">
        <v>0</v>
      </c>
      <c r="T18" s="84" t="n">
        <v>0</v>
      </c>
      <c r="U18" s="83" t="n">
        <v>1</v>
      </c>
      <c r="V18" s="84">
        <f>U18*L18</f>
        <v/>
      </c>
      <c r="W18" s="83">
        <f>Q18+S18-U18</f>
        <v/>
      </c>
      <c r="X18" s="84">
        <f>R18+T18-V18</f>
        <v/>
      </c>
      <c r="Y18" s="85" t="inlineStr">
        <is>
          <t>P221ZZMO02</t>
        </is>
      </c>
      <c r="Z18" s="86" t="inlineStr">
        <is>
          <t>15661</t>
        </is>
      </c>
      <c r="AA18" s="86" t="inlineStr">
        <is>
          <t>33561</t>
        </is>
      </c>
      <c r="AB18" s="86" t="inlineStr">
        <is>
          <t>6277651</t>
        </is>
      </c>
      <c r="AC18" s="87" t="inlineStr">
        <is>
          <t>Movies</t>
        </is>
      </c>
      <c r="AD18" s="76">
        <f>COUNTIF('KK1. Movies'!AI:AI,'TK 15661.Bản quyền phim '!F18)</f>
        <v/>
      </c>
      <c r="AE18" s="76">
        <f>COUNTIF('KK2. Series'!AM:AM,'TK 15661.Bản quyền phim '!F18)</f>
        <v/>
      </c>
      <c r="AF18" s="76">
        <f>COUNTIF('KK3. Kids'!AF:AF,'TK 15661.Bản quyền phim '!F18)</f>
        <v/>
      </c>
      <c r="AG18" s="76" t="n"/>
      <c r="AH18" s="76">
        <f>IF(SUM(AD18:AG18)&gt;0,"OK",0)</f>
        <v/>
      </c>
    </row>
    <row r="19" hidden="1" ht="15.6" customHeight="1" s="578">
      <c r="A19" s="27" t="n"/>
      <c r="B19" s="74" t="inlineStr">
        <is>
          <t>K+1MOV021164</t>
        </is>
      </c>
      <c r="C19" s="708" t="inlineStr">
        <is>
          <t>VND</t>
        </is>
      </c>
      <c r="D19" s="708" t="inlineStr">
        <is>
          <t>S0001169</t>
        </is>
      </c>
      <c r="E19" s="708" t="inlineStr">
        <is>
          <t>Công ty Cổ phần Hãng phim Chánh Phương</t>
        </is>
      </c>
      <c r="F19" s="708" t="inlineStr">
        <is>
          <t>What we forgot to remember (Người cần quên phải nhớ)</t>
        </is>
      </c>
      <c r="G19" s="708" t="inlineStr">
        <is>
          <t>Movies Vietnam</t>
        </is>
      </c>
      <c r="H19" s="83" t="n">
        <v>1</v>
      </c>
      <c r="I19" s="83" t="n">
        <v>5</v>
      </c>
      <c r="J19" s="83">
        <f>H19*I19</f>
        <v/>
      </c>
      <c r="K19" s="83" t="n">
        <v>484209524</v>
      </c>
      <c r="L19" s="83" t="n">
        <v>96841904.8</v>
      </c>
      <c r="M19" s="83">
        <f>J19-Q19</f>
        <v/>
      </c>
      <c r="N19" s="83">
        <f>K19-R19</f>
        <v/>
      </c>
      <c r="O19" s="517" t="n">
        <v>44407</v>
      </c>
      <c r="P19" s="517" t="n">
        <v>46232</v>
      </c>
      <c r="Q19" s="83" t="n">
        <v>1</v>
      </c>
      <c r="R19" s="84" t="n">
        <v>96841904.79999997</v>
      </c>
      <c r="S19" s="83" t="n">
        <v>0</v>
      </c>
      <c r="T19" s="84" t="n">
        <v>0</v>
      </c>
      <c r="U19" s="83" t="n">
        <v>1</v>
      </c>
      <c r="V19" s="84">
        <f>U19*L19</f>
        <v/>
      </c>
      <c r="W19" s="83">
        <f>Q19+S19-U19</f>
        <v/>
      </c>
      <c r="X19" s="84">
        <f>R19+T19-V19</f>
        <v/>
      </c>
      <c r="Y19" s="85" t="inlineStr">
        <is>
          <t>P221ZZMO02</t>
        </is>
      </c>
      <c r="Z19" s="86" t="inlineStr">
        <is>
          <t>15661</t>
        </is>
      </c>
      <c r="AA19" s="86" t="inlineStr">
        <is>
          <t>33561</t>
        </is>
      </c>
      <c r="AB19" s="86" t="inlineStr">
        <is>
          <t>6277651</t>
        </is>
      </c>
      <c r="AC19" s="87" t="inlineStr">
        <is>
          <t>Movies</t>
        </is>
      </c>
      <c r="AD19" s="76">
        <f>COUNTIF('KK1. Movies'!AI:AI,'TK 15661.Bản quyền phim '!F19)</f>
        <v/>
      </c>
      <c r="AE19" s="76">
        <f>COUNTIF('KK2. Series'!AM:AM,'TK 15661.Bản quyền phim '!F19)</f>
        <v/>
      </c>
      <c r="AF19" s="76">
        <f>COUNTIF('KK3. Kids'!AF:AF,'TK 15661.Bản quyền phim '!F19)</f>
        <v/>
      </c>
      <c r="AG19" s="76" t="n"/>
      <c r="AH19" s="76">
        <f>IF(SUM(AD19:AG19)&gt;0,"OK",0)</f>
        <v/>
      </c>
    </row>
    <row r="20" hidden="1" ht="15.6" customHeight="1" s="578">
      <c r="B20" s="74" t="inlineStr">
        <is>
          <t>K+2SER021208</t>
        </is>
      </c>
      <c r="C20" s="708" t="inlineStr">
        <is>
          <t>USD</t>
        </is>
      </c>
      <c r="D20" s="708" t="inlineStr">
        <is>
          <t>S0002169</t>
        </is>
      </c>
      <c r="E20" s="708" t="inlineStr">
        <is>
          <t>HANGZHOU IX MEDIA CO.,LTD</t>
        </is>
      </c>
      <c r="F20" s="708" t="inlineStr">
        <is>
          <t>Love is True</t>
        </is>
      </c>
      <c r="G20" s="708" t="inlineStr">
        <is>
          <t>Series Asian</t>
        </is>
      </c>
      <c r="H20" s="83" t="n">
        <v>40</v>
      </c>
      <c r="I20" s="83" t="n">
        <v>5</v>
      </c>
      <c r="J20" s="83">
        <f>H20*I20</f>
        <v/>
      </c>
      <c r="K20" s="83" t="n">
        <v>2767800000</v>
      </c>
      <c r="L20" s="83" t="n">
        <v>13839000</v>
      </c>
      <c r="M20" s="83">
        <f>J20-Q20</f>
        <v/>
      </c>
      <c r="N20" s="83">
        <f>K20-R20</f>
        <v/>
      </c>
      <c r="O20" s="517" t="n">
        <v>44378</v>
      </c>
      <c r="P20" s="517" t="n">
        <v>46204</v>
      </c>
      <c r="Q20" s="83" t="n">
        <v>40</v>
      </c>
      <c r="R20" s="84" t="n">
        <v>553560000</v>
      </c>
      <c r="S20" s="83" t="n">
        <v>0</v>
      </c>
      <c r="T20" s="84" t="n">
        <v>0</v>
      </c>
      <c r="U20" s="83" t="n">
        <v>40</v>
      </c>
      <c r="V20" s="84">
        <f>U20*L20</f>
        <v/>
      </c>
      <c r="W20" s="83">
        <f>Q20+S20-U20</f>
        <v/>
      </c>
      <c r="X20" s="84">
        <f>R20+T20-V20</f>
        <v/>
      </c>
      <c r="Y20" s="85" t="inlineStr">
        <is>
          <t>P221ZZSR01</t>
        </is>
      </c>
      <c r="Z20" s="86" t="inlineStr">
        <is>
          <t>15661</t>
        </is>
      </c>
      <c r="AA20" s="86" t="inlineStr">
        <is>
          <t>33561</t>
        </is>
      </c>
      <c r="AB20" s="86" t="inlineStr">
        <is>
          <t>6277651</t>
        </is>
      </c>
      <c r="AC20" s="87" t="inlineStr">
        <is>
          <t>Series</t>
        </is>
      </c>
      <c r="AD20" s="76">
        <f>COUNTIF('KK1. Movies'!AI:AI,'TK 15661.Bản quyền phim '!F20)</f>
        <v/>
      </c>
      <c r="AE20" s="76">
        <f>COUNTIF('KK2. Series'!AM:AM,'TK 15661.Bản quyền phim '!F20)</f>
        <v/>
      </c>
      <c r="AF20" s="76">
        <f>COUNTIF('KK3. Kids'!AF:AF,'TK 15661.Bản quyền phim '!F20)</f>
        <v/>
      </c>
      <c r="AG20" s="76" t="n"/>
      <c r="AH20" s="76">
        <f>IF(SUM(AD20:AG20)&gt;0,"OK",0)</f>
        <v/>
      </c>
    </row>
    <row r="21" hidden="1" s="578">
      <c r="A21" s="27" t="n"/>
      <c r="B21" s="74" t="inlineStr">
        <is>
          <t>K+1MOV021273</t>
        </is>
      </c>
      <c r="C21" s="708" t="inlineStr">
        <is>
          <t>VND</t>
        </is>
      </c>
      <c r="D21" s="708" t="inlineStr">
        <is>
          <t>S0001502</t>
        </is>
      </c>
      <c r="E21" s="708" t="inlineStr">
        <is>
          <t>Công ty TNHH Đối tác Chuyên nghiệp</t>
        </is>
      </c>
      <c r="F21" s="708" t="inlineStr">
        <is>
          <t>THE BREAKUP GURU</t>
        </is>
      </c>
      <c r="G21" s="708" t="inlineStr">
        <is>
          <t>Movies International</t>
        </is>
      </c>
      <c r="H21" s="83" t="n">
        <v>1</v>
      </c>
      <c r="I21" s="83" t="n">
        <v>5</v>
      </c>
      <c r="J21" s="83">
        <f>H21*I21</f>
        <v/>
      </c>
      <c r="K21" s="83" t="n">
        <v>83672381</v>
      </c>
      <c r="L21" s="83" t="n">
        <v>16734476.2</v>
      </c>
      <c r="M21" s="83">
        <f>J21-Q21</f>
        <v/>
      </c>
      <c r="N21" s="83">
        <f>K21-R21</f>
        <v/>
      </c>
      <c r="O21" s="517" t="n">
        <v>44519</v>
      </c>
      <c r="P21" s="517" t="n">
        <v>46160</v>
      </c>
      <c r="Q21" s="83" t="n">
        <v>1</v>
      </c>
      <c r="R21" s="84" t="n">
        <v>16734476.2</v>
      </c>
      <c r="S21" s="83" t="n">
        <v>0</v>
      </c>
      <c r="T21" s="84" t="n">
        <v>0</v>
      </c>
      <c r="U21" s="83" t="n">
        <v>1</v>
      </c>
      <c r="V21" s="84">
        <f>U21*L21</f>
        <v/>
      </c>
      <c r="W21" s="83">
        <f>Q21+S21-U21</f>
        <v/>
      </c>
      <c r="X21" s="84">
        <f>R21+T21-V21</f>
        <v/>
      </c>
      <c r="Y21" s="85" t="inlineStr">
        <is>
          <t>P221ZZMO01</t>
        </is>
      </c>
      <c r="Z21" s="86" t="inlineStr">
        <is>
          <t>15661</t>
        </is>
      </c>
      <c r="AA21" s="86" t="inlineStr">
        <is>
          <t>33561</t>
        </is>
      </c>
      <c r="AB21" s="86" t="inlineStr">
        <is>
          <t>6277651</t>
        </is>
      </c>
      <c r="AC21" s="86" t="n"/>
      <c r="AD21" s="76">
        <f>COUNTIF('KK1. Movies'!AI:AI,'TK 15661.Bản quyền phim '!F21)</f>
        <v/>
      </c>
      <c r="AE21" s="76">
        <f>COUNTIF('KK2. Series'!AM:AM,'TK 15661.Bản quyền phim '!F21)</f>
        <v/>
      </c>
      <c r="AF21" s="76">
        <f>COUNTIF('KK3. Kids'!AF:AF,'TK 15661.Bản quyền phim '!F21)</f>
        <v/>
      </c>
      <c r="AG21" s="76" t="n"/>
      <c r="AH21" s="76">
        <f>IF(SUM(AD21:AG21)&gt;0,"OK",0)</f>
        <v/>
      </c>
    </row>
    <row r="22" hidden="1" s="578">
      <c r="A22" s="27" t="n"/>
      <c r="B22" s="74" t="inlineStr">
        <is>
          <t>K+1MOV021274</t>
        </is>
      </c>
      <c r="C22" s="708" t="inlineStr">
        <is>
          <t>VND</t>
        </is>
      </c>
      <c r="D22" s="708" t="inlineStr">
        <is>
          <t>S0001502</t>
        </is>
      </c>
      <c r="E22" s="708" t="inlineStr">
        <is>
          <t>Công ty TNHH Đối tác Chuyên nghiệp</t>
        </is>
      </c>
      <c r="F22" s="708" t="inlineStr">
        <is>
          <t>FALL IN LOVE LIKE A STAR</t>
        </is>
      </c>
      <c r="G22" s="708" t="inlineStr">
        <is>
          <t>Movies International</t>
        </is>
      </c>
      <c r="H22" s="83" t="n">
        <v>1</v>
      </c>
      <c r="I22" s="83" t="n">
        <v>5</v>
      </c>
      <c r="J22" s="83">
        <f>H22*I22</f>
        <v/>
      </c>
      <c r="K22" s="83" t="n">
        <v>83672381</v>
      </c>
      <c r="L22" s="83" t="n">
        <v>16734476.2</v>
      </c>
      <c r="M22" s="83">
        <f>J22-Q22</f>
        <v/>
      </c>
      <c r="N22" s="83">
        <f>K22-R22</f>
        <v/>
      </c>
      <c r="O22" s="517" t="n">
        <v>44491</v>
      </c>
      <c r="P22" s="517" t="n">
        <v>46133</v>
      </c>
      <c r="Q22" s="83" t="n">
        <v>1</v>
      </c>
      <c r="R22" s="84" t="n">
        <v>16734476.2</v>
      </c>
      <c r="S22" s="83" t="n">
        <v>0</v>
      </c>
      <c r="T22" s="84" t="n">
        <v>0</v>
      </c>
      <c r="U22" s="83" t="n">
        <v>1</v>
      </c>
      <c r="V22" s="84">
        <f>U22*L22</f>
        <v/>
      </c>
      <c r="W22" s="83">
        <f>Q22+S22-U22</f>
        <v/>
      </c>
      <c r="X22" s="84">
        <f>R22+T22-V22</f>
        <v/>
      </c>
      <c r="Y22" s="85" t="inlineStr">
        <is>
          <t>P221ZZMO01</t>
        </is>
      </c>
      <c r="Z22" s="86" t="inlineStr">
        <is>
          <t>15661</t>
        </is>
      </c>
      <c r="AA22" s="86" t="inlineStr">
        <is>
          <t>33561</t>
        </is>
      </c>
      <c r="AB22" s="86" t="inlineStr">
        <is>
          <t>6277651</t>
        </is>
      </c>
      <c r="AC22" s="86" t="n"/>
      <c r="AD22" s="76">
        <f>COUNTIF('KK1. Movies'!AI:AI,'TK 15661.Bản quyền phim '!F22)</f>
        <v/>
      </c>
      <c r="AE22" s="76">
        <f>COUNTIF('KK2. Series'!AM:AM,'TK 15661.Bản quyền phim '!F22)</f>
        <v/>
      </c>
      <c r="AF22" s="76">
        <f>COUNTIF('KK3. Kids'!AF:AF,'TK 15661.Bản quyền phim '!F22)</f>
        <v/>
      </c>
      <c r="AG22" s="76" t="n"/>
      <c r="AH22" s="76">
        <f>IF(SUM(AD22:AG22)&gt;0,"OK",0)</f>
        <v/>
      </c>
    </row>
    <row r="23" hidden="1" s="578">
      <c r="A23" s="27" t="n"/>
      <c r="B23" s="74" t="inlineStr">
        <is>
          <t>K+1MOV021275</t>
        </is>
      </c>
      <c r="C23" s="708" t="inlineStr">
        <is>
          <t>VND</t>
        </is>
      </c>
      <c r="D23" s="708" t="inlineStr">
        <is>
          <t>S0001502</t>
        </is>
      </c>
      <c r="E23" s="708" t="inlineStr">
        <is>
          <t>Công ty TNHH Đối tác Chuyên nghiệp</t>
        </is>
      </c>
      <c r="F23" s="708" t="inlineStr">
        <is>
          <t>NE ZHA</t>
        </is>
      </c>
      <c r="G23" s="708" t="inlineStr">
        <is>
          <t>Movies International</t>
        </is>
      </c>
      <c r="H23" s="83" t="n">
        <v>1</v>
      </c>
      <c r="I23" s="83" t="n">
        <v>5</v>
      </c>
      <c r="J23" s="83">
        <f>H23*I23</f>
        <v/>
      </c>
      <c r="K23" s="83" t="n">
        <v>83672381</v>
      </c>
      <c r="L23" s="83" t="n">
        <v>16734476.2</v>
      </c>
      <c r="M23" s="83">
        <f>J23-Q23</f>
        <v/>
      </c>
      <c r="N23" s="83">
        <f>K23-R23</f>
        <v/>
      </c>
      <c r="O23" s="517" t="n">
        <v>44533</v>
      </c>
      <c r="P23" s="517" t="n">
        <v>46175</v>
      </c>
      <c r="Q23" s="83" t="n">
        <v>1</v>
      </c>
      <c r="R23" s="84" t="n">
        <v>16734476.2</v>
      </c>
      <c r="S23" s="83" t="n">
        <v>0</v>
      </c>
      <c r="T23" s="84" t="n">
        <v>0</v>
      </c>
      <c r="U23" s="83" t="n">
        <v>1</v>
      </c>
      <c r="V23" s="84">
        <f>U23*L23</f>
        <v/>
      </c>
      <c r="W23" s="83">
        <f>Q23+S23-U23</f>
        <v/>
      </c>
      <c r="X23" s="84">
        <f>R23+T23-V23</f>
        <v/>
      </c>
      <c r="Y23" s="85" t="inlineStr">
        <is>
          <t>P221ZZMO01</t>
        </is>
      </c>
      <c r="Z23" s="86" t="inlineStr">
        <is>
          <t>15661</t>
        </is>
      </c>
      <c r="AA23" s="86" t="inlineStr">
        <is>
          <t>33561</t>
        </is>
      </c>
      <c r="AB23" s="86" t="inlineStr">
        <is>
          <t>6277651</t>
        </is>
      </c>
      <c r="AC23" s="86" t="n"/>
      <c r="AD23" s="76">
        <f>COUNTIF('KK1. Movies'!AI:AI,'TK 15661.Bản quyền phim '!F23)</f>
        <v/>
      </c>
      <c r="AE23" s="76">
        <f>COUNTIF('KK2. Series'!AM:AM,'TK 15661.Bản quyền phim '!F23)</f>
        <v/>
      </c>
      <c r="AF23" s="76">
        <f>COUNTIF('KK3. Kids'!AF:AF,'TK 15661.Bản quyền phim '!F23)</f>
        <v/>
      </c>
      <c r="AG23" s="76" t="n"/>
      <c r="AH23" s="76">
        <f>IF(SUM(AD23:AG23)&gt;0,"OK",0)</f>
        <v/>
      </c>
    </row>
    <row r="24" hidden="1" s="578">
      <c r="A24" s="27" t="n"/>
      <c r="B24" s="74" t="inlineStr">
        <is>
          <t>K+1MOV021276</t>
        </is>
      </c>
      <c r="C24" s="708" t="inlineStr">
        <is>
          <t>VND</t>
        </is>
      </c>
      <c r="D24" s="708" t="inlineStr">
        <is>
          <t>S0001502</t>
        </is>
      </c>
      <c r="E24" s="708" t="inlineStr">
        <is>
          <t>Công ty TNHH Đối tác Chuyên nghiệp</t>
        </is>
      </c>
      <c r="F24" s="708" t="inlineStr">
        <is>
          <t>SOUL SNATCHER</t>
        </is>
      </c>
      <c r="G24" s="708" t="inlineStr">
        <is>
          <t>Movies International</t>
        </is>
      </c>
      <c r="H24" s="83" t="n">
        <v>1</v>
      </c>
      <c r="I24" s="83" t="n">
        <v>5</v>
      </c>
      <c r="J24" s="83">
        <f>H24*I24</f>
        <v/>
      </c>
      <c r="K24" s="83" t="n">
        <v>83672381</v>
      </c>
      <c r="L24" s="83" t="n">
        <v>16734476.2</v>
      </c>
      <c r="M24" s="83">
        <f>J24-Q24</f>
        <v/>
      </c>
      <c r="N24" s="83">
        <f>K24-R24</f>
        <v/>
      </c>
      <c r="O24" s="517" t="n">
        <v>44517</v>
      </c>
      <c r="P24" s="517" t="n">
        <v>46158</v>
      </c>
      <c r="Q24" s="83" t="n">
        <v>1</v>
      </c>
      <c r="R24" s="84" t="n">
        <v>16734476.2</v>
      </c>
      <c r="S24" s="83" t="n">
        <v>0</v>
      </c>
      <c r="T24" s="84" t="n">
        <v>0</v>
      </c>
      <c r="U24" s="83" t="n">
        <v>1</v>
      </c>
      <c r="V24" s="84">
        <f>U24*L24</f>
        <v/>
      </c>
      <c r="W24" s="83">
        <f>Q24+S24-U24</f>
        <v/>
      </c>
      <c r="X24" s="84">
        <f>R24+T24-V24</f>
        <v/>
      </c>
      <c r="Y24" s="85" t="inlineStr">
        <is>
          <t>P221ZZMO01</t>
        </is>
      </c>
      <c r="Z24" s="86" t="inlineStr">
        <is>
          <t>15661</t>
        </is>
      </c>
      <c r="AA24" s="86" t="inlineStr">
        <is>
          <t>33561</t>
        </is>
      </c>
      <c r="AB24" s="86" t="inlineStr">
        <is>
          <t>6277651</t>
        </is>
      </c>
      <c r="AC24" s="86" t="n"/>
      <c r="AD24" s="76">
        <f>COUNTIF('KK1. Movies'!AI:AI,'TK 15661.Bản quyền phim '!F24)</f>
        <v/>
      </c>
      <c r="AE24" s="76">
        <f>COUNTIF('KK2. Series'!AM:AM,'TK 15661.Bản quyền phim '!F24)</f>
        <v/>
      </c>
      <c r="AF24" s="76">
        <f>COUNTIF('KK3. Kids'!AF:AF,'TK 15661.Bản quyền phim '!F24)</f>
        <v/>
      </c>
      <c r="AG24" s="76" t="n"/>
      <c r="AH24" s="76">
        <f>IF(SUM(AD24:AG24)&gt;0,"OK",0)</f>
        <v/>
      </c>
    </row>
    <row r="25" hidden="1" s="578">
      <c r="A25" s="27" t="n"/>
      <c r="B25" s="74" t="inlineStr">
        <is>
          <t>K+1MOV021279</t>
        </is>
      </c>
      <c r="C25" s="708" t="inlineStr">
        <is>
          <t>VND</t>
        </is>
      </c>
      <c r="D25" s="708" t="inlineStr">
        <is>
          <t>S0001502</t>
        </is>
      </c>
      <c r="E25" s="708" t="inlineStr">
        <is>
          <t>Công ty TNHH Đối tác Chuyên nghiệp</t>
        </is>
      </c>
      <c r="F25" s="708" t="inlineStr">
        <is>
          <t>RAT DISASTER</t>
        </is>
      </c>
      <c r="G25" s="708" t="inlineStr">
        <is>
          <t>Movies International</t>
        </is>
      </c>
      <c r="H25" s="83" t="n">
        <v>1</v>
      </c>
      <c r="I25" s="83" t="n">
        <v>5</v>
      </c>
      <c r="J25" s="83">
        <f>H25*I25</f>
        <v/>
      </c>
      <c r="K25" s="83" t="n">
        <v>83672381</v>
      </c>
      <c r="L25" s="83" t="n">
        <v>16734476.2</v>
      </c>
      <c r="M25" s="83">
        <f>J25-Q25</f>
        <v/>
      </c>
      <c r="N25" s="83">
        <f>K25-R25</f>
        <v/>
      </c>
      <c r="O25" s="517" t="n">
        <v>44538</v>
      </c>
      <c r="P25" s="517" t="n">
        <v>46180</v>
      </c>
      <c r="Q25" s="83" t="n">
        <v>1</v>
      </c>
      <c r="R25" s="84" t="n">
        <v>16734476.2</v>
      </c>
      <c r="S25" s="83" t="n">
        <v>0</v>
      </c>
      <c r="T25" s="84" t="n">
        <v>0</v>
      </c>
      <c r="U25" s="83" t="n">
        <v>1</v>
      </c>
      <c r="V25" s="84">
        <f>U25*L25</f>
        <v/>
      </c>
      <c r="W25" s="83">
        <f>Q25+S25-U25</f>
        <v/>
      </c>
      <c r="X25" s="84">
        <f>R25+T25-V25</f>
        <v/>
      </c>
      <c r="Y25" s="85" t="inlineStr">
        <is>
          <t>P221ZZMO01</t>
        </is>
      </c>
      <c r="Z25" s="86" t="inlineStr">
        <is>
          <t>15661</t>
        </is>
      </c>
      <c r="AA25" s="86" t="inlineStr">
        <is>
          <t>33561</t>
        </is>
      </c>
      <c r="AB25" s="86" t="inlineStr">
        <is>
          <t>6277651</t>
        </is>
      </c>
      <c r="AC25" s="86" t="n"/>
      <c r="AD25" s="76">
        <f>COUNTIF('KK1. Movies'!AI:AI,'TK 15661.Bản quyền phim '!F25)</f>
        <v/>
      </c>
      <c r="AE25" s="76">
        <f>COUNTIF('KK2. Series'!AM:AM,'TK 15661.Bản quyền phim '!F25)</f>
        <v/>
      </c>
      <c r="AF25" s="76">
        <f>COUNTIF('KK3. Kids'!AF:AF,'TK 15661.Bản quyền phim '!F25)</f>
        <v/>
      </c>
      <c r="AG25" s="76" t="n"/>
      <c r="AH25" s="76">
        <f>IF(SUM(AD25:AG25)&gt;0,"OK",0)</f>
        <v/>
      </c>
    </row>
    <row r="26" hidden="1" ht="15.6" customHeight="1" s="578">
      <c r="A26" s="27" t="n"/>
      <c r="B26" s="74" t="inlineStr">
        <is>
          <t>K+1MOV021280</t>
        </is>
      </c>
      <c r="C26" s="708" t="inlineStr">
        <is>
          <t>VND</t>
        </is>
      </c>
      <c r="D26" s="708" t="inlineStr">
        <is>
          <t>S0001502</t>
        </is>
      </c>
      <c r="E26" s="708" t="inlineStr">
        <is>
          <t>Công ty TNHH Đối tác Chuyên nghiệp</t>
        </is>
      </c>
      <c r="F26" s="708" t="inlineStr">
        <is>
          <t>ROGUE HEROS</t>
        </is>
      </c>
      <c r="G26" s="708" t="inlineStr">
        <is>
          <t>Movies International</t>
        </is>
      </c>
      <c r="H26" s="83" t="n">
        <v>1</v>
      </c>
      <c r="I26" s="83" t="n">
        <v>5</v>
      </c>
      <c r="J26" s="83">
        <f>H26*I26</f>
        <v/>
      </c>
      <c r="K26" s="83" t="n">
        <v>83672381</v>
      </c>
      <c r="L26" s="83" t="n">
        <v>16734476.2</v>
      </c>
      <c r="M26" s="83">
        <f>J26-Q26</f>
        <v/>
      </c>
      <c r="N26" s="83">
        <f>K26-R26</f>
        <v/>
      </c>
      <c r="O26" s="517" t="n">
        <v>44552</v>
      </c>
      <c r="P26" s="517" t="n">
        <v>46194</v>
      </c>
      <c r="Q26" s="83" t="n">
        <v>1</v>
      </c>
      <c r="R26" s="84" t="n">
        <v>16734476.2</v>
      </c>
      <c r="S26" s="83" t="n">
        <v>0</v>
      </c>
      <c r="T26" s="84" t="n">
        <v>0</v>
      </c>
      <c r="U26" s="83" t="n">
        <v>1</v>
      </c>
      <c r="V26" s="84">
        <f>U26*L26</f>
        <v/>
      </c>
      <c r="W26" s="83">
        <f>Q26+S26-U26</f>
        <v/>
      </c>
      <c r="X26" s="84">
        <f>R26+T26-V26</f>
        <v/>
      </c>
      <c r="Y26" s="85" t="inlineStr">
        <is>
          <t>P221ZZMO01</t>
        </is>
      </c>
      <c r="Z26" s="86" t="inlineStr">
        <is>
          <t>15661</t>
        </is>
      </c>
      <c r="AA26" s="86" t="inlineStr">
        <is>
          <t>33561</t>
        </is>
      </c>
      <c r="AB26" s="86" t="inlineStr">
        <is>
          <t>6277651</t>
        </is>
      </c>
      <c r="AC26" s="87" t="inlineStr">
        <is>
          <t>Movies</t>
        </is>
      </c>
      <c r="AD26" s="76">
        <f>COUNTIF('KK1. Movies'!AI:AI,'TK 15661.Bản quyền phim '!F26)</f>
        <v/>
      </c>
      <c r="AE26" s="76">
        <f>COUNTIF('KK2. Series'!AM:AM,'TK 15661.Bản quyền phim '!F26)</f>
        <v/>
      </c>
      <c r="AF26" s="76">
        <f>COUNTIF('KK3. Kids'!AF:AF,'TK 15661.Bản quyền phim '!F26)</f>
        <v/>
      </c>
      <c r="AG26" s="76" t="n"/>
      <c r="AH26" s="76">
        <f>IF(SUM(AD26:AG26)&gt;0,"OK",0)</f>
        <v/>
      </c>
    </row>
    <row r="27" hidden="1" ht="15.6" customHeight="1" s="578">
      <c r="A27" s="27" t="n"/>
      <c r="B27" s="74" t="inlineStr">
        <is>
          <t>K+1MOV021281</t>
        </is>
      </c>
      <c r="C27" s="708" t="inlineStr">
        <is>
          <t>VND</t>
        </is>
      </c>
      <c r="D27" s="708" t="inlineStr">
        <is>
          <t>S0001502</t>
        </is>
      </c>
      <c r="E27" s="708" t="inlineStr">
        <is>
          <t>Công ty TNHH Đối tác Chuyên nghiệp</t>
        </is>
      </c>
      <c r="F27" s="708" t="inlineStr">
        <is>
          <t>HEROS RETURN</t>
        </is>
      </c>
      <c r="G27" s="708" t="inlineStr">
        <is>
          <t>Movies International</t>
        </is>
      </c>
      <c r="H27" s="83" t="n">
        <v>1</v>
      </c>
      <c r="I27" s="83" t="n">
        <v>5</v>
      </c>
      <c r="J27" s="83">
        <f>H27*I27</f>
        <v/>
      </c>
      <c r="K27" s="83" t="n">
        <v>83672381</v>
      </c>
      <c r="L27" s="83" t="n">
        <v>16734476.2</v>
      </c>
      <c r="M27" s="83">
        <f>J27-Q27</f>
        <v/>
      </c>
      <c r="N27" s="83">
        <f>K27-R27</f>
        <v/>
      </c>
      <c r="O27" s="517" t="n">
        <v>44561</v>
      </c>
      <c r="P27" s="517" t="n">
        <v>46203</v>
      </c>
      <c r="Q27" s="83" t="n">
        <v>1</v>
      </c>
      <c r="R27" s="84" t="n">
        <v>16734476.2</v>
      </c>
      <c r="S27" s="83" t="n">
        <v>0</v>
      </c>
      <c r="T27" s="84" t="n">
        <v>0</v>
      </c>
      <c r="U27" s="83" t="n">
        <v>1</v>
      </c>
      <c r="V27" s="84">
        <f>U27*L27</f>
        <v/>
      </c>
      <c r="W27" s="83">
        <f>Q27+S27-U27</f>
        <v/>
      </c>
      <c r="X27" s="84">
        <f>R27+T27-V27</f>
        <v/>
      </c>
      <c r="Y27" s="85" t="inlineStr">
        <is>
          <t>P221ZZMO01</t>
        </is>
      </c>
      <c r="Z27" s="86" t="inlineStr">
        <is>
          <t>15661</t>
        </is>
      </c>
      <c r="AA27" s="86" t="inlineStr">
        <is>
          <t>33561</t>
        </is>
      </c>
      <c r="AB27" s="86" t="inlineStr">
        <is>
          <t>6277651</t>
        </is>
      </c>
      <c r="AC27" s="87" t="inlineStr">
        <is>
          <t>Movies</t>
        </is>
      </c>
      <c r="AD27" s="76">
        <f>COUNTIF('KK1. Movies'!AI:AI,'TK 15661.Bản quyền phim '!F27)</f>
        <v/>
      </c>
      <c r="AE27" s="76">
        <f>COUNTIF('KK2. Series'!AM:AM,'TK 15661.Bản quyền phim '!F27)</f>
        <v/>
      </c>
      <c r="AF27" s="76">
        <f>COUNTIF('KK3. Kids'!AF:AF,'TK 15661.Bản quyền phim '!F27)</f>
        <v/>
      </c>
      <c r="AG27" s="76" t="n"/>
      <c r="AH27" s="76">
        <f>IF(SUM(AD27:AG27)&gt;0,"OK",0)</f>
        <v/>
      </c>
    </row>
    <row r="28" hidden="1" s="578">
      <c r="A28" s="27" t="n"/>
      <c r="B28" s="74" t="inlineStr">
        <is>
          <t>K+1MOV021282</t>
        </is>
      </c>
      <c r="C28" s="708" t="inlineStr">
        <is>
          <t>VND</t>
        </is>
      </c>
      <c r="D28" s="708" t="inlineStr">
        <is>
          <t>S0001502</t>
        </is>
      </c>
      <c r="E28" s="708" t="inlineStr">
        <is>
          <t>Công ty TNHH Đối tác Chuyên nghiệp</t>
        </is>
      </c>
      <c r="F28" s="708" t="inlineStr">
        <is>
          <t>FEARLESS KUNGFU KING</t>
        </is>
      </c>
      <c r="G28" s="708" t="inlineStr">
        <is>
          <t>Movies International</t>
        </is>
      </c>
      <c r="H28" s="83" t="n">
        <v>1</v>
      </c>
      <c r="I28" s="83" t="n">
        <v>5</v>
      </c>
      <c r="J28" s="83">
        <f>H28*I28</f>
        <v/>
      </c>
      <c r="K28" s="83" t="n">
        <v>83672381</v>
      </c>
      <c r="L28" s="83" t="n">
        <v>16734476.2</v>
      </c>
      <c r="M28" s="83">
        <f>J28-Q28</f>
        <v/>
      </c>
      <c r="N28" s="83">
        <f>K28-R28</f>
        <v/>
      </c>
      <c r="O28" s="517" t="n">
        <v>44531</v>
      </c>
      <c r="P28" s="517" t="n">
        <v>46356</v>
      </c>
      <c r="Q28" s="83" t="n">
        <v>1</v>
      </c>
      <c r="R28" s="84" t="n">
        <v>16734476.2</v>
      </c>
      <c r="S28" s="83" t="n">
        <v>0</v>
      </c>
      <c r="T28" s="84" t="n">
        <v>0</v>
      </c>
      <c r="U28" s="83" t="n">
        <v>1</v>
      </c>
      <c r="V28" s="84">
        <f>U28*L28</f>
        <v/>
      </c>
      <c r="W28" s="83">
        <f>Q28+S28-U28</f>
        <v/>
      </c>
      <c r="X28" s="84">
        <f>R28+T28-V28</f>
        <v/>
      </c>
      <c r="Y28" s="85" t="inlineStr">
        <is>
          <t>P221ZZMO01</t>
        </is>
      </c>
      <c r="Z28" s="86" t="inlineStr">
        <is>
          <t>15661</t>
        </is>
      </c>
      <c r="AA28" s="86" t="inlineStr">
        <is>
          <t>33561</t>
        </is>
      </c>
      <c r="AB28" s="86" t="inlineStr">
        <is>
          <t>6277651</t>
        </is>
      </c>
      <c r="AC28" s="86" t="n"/>
      <c r="AD28" s="76">
        <f>COUNTIF('KK1. Movies'!AI:AI,'TK 15661.Bản quyền phim '!F28)</f>
        <v/>
      </c>
      <c r="AE28" s="76">
        <f>COUNTIF('KK2. Series'!AM:AM,'TK 15661.Bản quyền phim '!F28)</f>
        <v/>
      </c>
      <c r="AF28" s="76">
        <f>COUNTIF('KK3. Kids'!AF:AF,'TK 15661.Bản quyền phim '!F28)</f>
        <v/>
      </c>
      <c r="AG28" s="76" t="n"/>
      <c r="AH28" s="76">
        <f>IF(SUM(AD28:AG28)&gt;0,"OK",0)</f>
        <v/>
      </c>
    </row>
    <row r="29" hidden="1" s="578">
      <c r="A29" s="27" t="n"/>
      <c r="B29" s="74" t="inlineStr">
        <is>
          <t>K+1MOV021283</t>
        </is>
      </c>
      <c r="C29" s="708" t="inlineStr">
        <is>
          <t>VND</t>
        </is>
      </c>
      <c r="D29" s="708" t="inlineStr">
        <is>
          <t>S0001502</t>
        </is>
      </c>
      <c r="E29" s="708" t="inlineStr">
        <is>
          <t>Công ty TNHH Đối tác Chuyên nghiệp</t>
        </is>
      </c>
      <c r="F29" s="708" t="inlineStr">
        <is>
          <t>MATCHLESS MULAN</t>
        </is>
      </c>
      <c r="G29" s="708" t="inlineStr">
        <is>
          <t>Movies International</t>
        </is>
      </c>
      <c r="H29" s="83" t="n">
        <v>1</v>
      </c>
      <c r="I29" s="83" t="n">
        <v>5</v>
      </c>
      <c r="J29" s="83">
        <f>H29*I29</f>
        <v/>
      </c>
      <c r="K29" s="83" t="n">
        <v>83672381</v>
      </c>
      <c r="L29" s="83" t="n">
        <v>16734476.2</v>
      </c>
      <c r="M29" s="83">
        <f>J29-Q29</f>
        <v/>
      </c>
      <c r="N29" s="83">
        <f>K29-R29</f>
        <v/>
      </c>
      <c r="O29" s="517" t="n">
        <v>44489</v>
      </c>
      <c r="P29" s="517" t="n">
        <v>46131</v>
      </c>
      <c r="Q29" s="83" t="n">
        <v>1</v>
      </c>
      <c r="R29" s="84" t="n">
        <v>16734476.2</v>
      </c>
      <c r="S29" s="83" t="n">
        <v>0</v>
      </c>
      <c r="T29" s="84" t="n">
        <v>0</v>
      </c>
      <c r="U29" s="83" t="n">
        <v>1</v>
      </c>
      <c r="V29" s="84">
        <f>U29*L29</f>
        <v/>
      </c>
      <c r="W29" s="83">
        <f>Q29+S29-U29</f>
        <v/>
      </c>
      <c r="X29" s="84">
        <f>R29+T29-V29</f>
        <v/>
      </c>
      <c r="Y29" s="85" t="inlineStr">
        <is>
          <t>P221ZZMO01</t>
        </is>
      </c>
      <c r="Z29" s="86" t="inlineStr">
        <is>
          <t>15661</t>
        </is>
      </c>
      <c r="AA29" s="86" t="inlineStr">
        <is>
          <t>33561</t>
        </is>
      </c>
      <c r="AB29" s="86" t="inlineStr">
        <is>
          <t>6277651</t>
        </is>
      </c>
      <c r="AC29" s="86" t="n"/>
      <c r="AD29" s="76">
        <f>COUNTIF('KK1. Movies'!AI:AI,'TK 15661.Bản quyền phim '!F29)</f>
        <v/>
      </c>
      <c r="AE29" s="76">
        <f>COUNTIF('KK2. Series'!AM:AM,'TK 15661.Bản quyền phim '!F29)</f>
        <v/>
      </c>
      <c r="AF29" s="76">
        <f>COUNTIF('KK3. Kids'!AF:AF,'TK 15661.Bản quyền phim '!F29)</f>
        <v/>
      </c>
      <c r="AG29" s="76" t="n"/>
      <c r="AH29" s="76">
        <f>IF(SUM(AD29:AG29)&gt;0,"OK",0)</f>
        <v/>
      </c>
    </row>
    <row r="30" hidden="1" s="578">
      <c r="A30" s="27" t="n"/>
      <c r="B30" s="74" t="inlineStr">
        <is>
          <t>K+1MOV021284</t>
        </is>
      </c>
      <c r="C30" s="708" t="inlineStr">
        <is>
          <t>VND</t>
        </is>
      </c>
      <c r="D30" s="708" t="inlineStr">
        <is>
          <t>S0001502</t>
        </is>
      </c>
      <c r="E30" s="708" t="inlineStr">
        <is>
          <t>Công ty TNHH Đối tác Chuyên nghiệp</t>
        </is>
      </c>
      <c r="F30" s="708" t="inlineStr">
        <is>
          <t>LOVE IN BLOOD</t>
        </is>
      </c>
      <c r="G30" s="708" t="inlineStr">
        <is>
          <t>Movies International</t>
        </is>
      </c>
      <c r="H30" s="83" t="n">
        <v>1</v>
      </c>
      <c r="I30" s="83" t="n">
        <v>5</v>
      </c>
      <c r="J30" s="83">
        <f>H30*I30</f>
        <v/>
      </c>
      <c r="K30" s="83" t="n">
        <v>83672381</v>
      </c>
      <c r="L30" s="83" t="n">
        <v>16734476.2</v>
      </c>
      <c r="M30" s="83">
        <f>J30-Q30</f>
        <v/>
      </c>
      <c r="N30" s="83">
        <f>K30-R30</f>
        <v/>
      </c>
      <c r="O30" s="517" t="n">
        <v>44461</v>
      </c>
      <c r="P30" s="517" t="n">
        <v>46102</v>
      </c>
      <c r="Q30" s="83" t="n">
        <v>1</v>
      </c>
      <c r="R30" s="84" t="n">
        <v>16734476.2</v>
      </c>
      <c r="S30" s="83" t="n">
        <v>0</v>
      </c>
      <c r="T30" s="84" t="n">
        <v>0</v>
      </c>
      <c r="U30" s="83" t="n">
        <v>1</v>
      </c>
      <c r="V30" s="84">
        <f>U30*L30</f>
        <v/>
      </c>
      <c r="W30" s="83">
        <f>Q30+S30-U30</f>
        <v/>
      </c>
      <c r="X30" s="84">
        <f>R30+T30-V30</f>
        <v/>
      </c>
      <c r="Y30" s="85" t="inlineStr">
        <is>
          <t>P221ZZMO01</t>
        </is>
      </c>
      <c r="Z30" s="86" t="inlineStr">
        <is>
          <t>15661</t>
        </is>
      </c>
      <c r="AA30" s="86" t="inlineStr">
        <is>
          <t>33561</t>
        </is>
      </c>
      <c r="AB30" s="86" t="inlineStr">
        <is>
          <t>6277651</t>
        </is>
      </c>
      <c r="AC30" s="86" t="n"/>
      <c r="AD30" s="76">
        <f>COUNTIF('KK1. Movies'!AI:AI,'TK 15661.Bản quyền phim '!F30)</f>
        <v/>
      </c>
      <c r="AE30" s="76">
        <f>COUNTIF('KK2. Series'!AM:AM,'TK 15661.Bản quyền phim '!F30)</f>
        <v/>
      </c>
      <c r="AF30" s="76">
        <f>COUNTIF('KK3. Kids'!AF:AF,'TK 15661.Bản quyền phim '!F30)</f>
        <v/>
      </c>
      <c r="AG30" s="76" t="n"/>
      <c r="AH30" s="76">
        <f>IF(SUM(AD30:AG30)&gt;0,"OK",0)</f>
        <v/>
      </c>
    </row>
    <row r="31" hidden="1" s="578">
      <c r="A31" s="27" t="n"/>
      <c r="B31" s="74" t="inlineStr">
        <is>
          <t>K+1MOV021285</t>
        </is>
      </c>
      <c r="C31" s="708" t="inlineStr">
        <is>
          <t>VND</t>
        </is>
      </c>
      <c r="D31" s="708" t="inlineStr">
        <is>
          <t>S0001502</t>
        </is>
      </c>
      <c r="E31" s="708" t="inlineStr">
        <is>
          <t>Công ty TNHH Đối tác Chuyên nghiệp</t>
        </is>
      </c>
      <c r="F31" s="708" t="inlineStr">
        <is>
          <t>GOD OF WAR</t>
        </is>
      </c>
      <c r="G31" s="708" t="inlineStr">
        <is>
          <t>Movies International</t>
        </is>
      </c>
      <c r="H31" s="83" t="n">
        <v>1</v>
      </c>
      <c r="I31" s="83" t="n">
        <v>5</v>
      </c>
      <c r="J31" s="83">
        <f>H31*I31</f>
        <v/>
      </c>
      <c r="K31" s="83" t="n">
        <v>83672381</v>
      </c>
      <c r="L31" s="83" t="n">
        <v>16734476.2</v>
      </c>
      <c r="M31" s="83">
        <f>J31-Q31</f>
        <v/>
      </c>
      <c r="N31" s="83">
        <f>K31-R31</f>
        <v/>
      </c>
      <c r="O31" s="517" t="n">
        <v>44475</v>
      </c>
      <c r="P31" s="517" t="n">
        <v>46117</v>
      </c>
      <c r="Q31" s="83" t="n">
        <v>1</v>
      </c>
      <c r="R31" s="84" t="n">
        <v>16734476.2</v>
      </c>
      <c r="S31" s="83" t="n">
        <v>0</v>
      </c>
      <c r="T31" s="84" t="n">
        <v>0</v>
      </c>
      <c r="U31" s="83" t="n">
        <v>1</v>
      </c>
      <c r="V31" s="84">
        <f>U31*L31</f>
        <v/>
      </c>
      <c r="W31" s="83">
        <f>Q31+S31-U31</f>
        <v/>
      </c>
      <c r="X31" s="84">
        <f>R31+T31-V31</f>
        <v/>
      </c>
      <c r="Y31" s="85" t="inlineStr">
        <is>
          <t>P221ZZMO01</t>
        </is>
      </c>
      <c r="Z31" s="86" t="inlineStr">
        <is>
          <t>15661</t>
        </is>
      </c>
      <c r="AA31" s="86" t="inlineStr">
        <is>
          <t>33561</t>
        </is>
      </c>
      <c r="AB31" s="86" t="inlineStr">
        <is>
          <t>6277651</t>
        </is>
      </c>
      <c r="AC31" s="86" t="n"/>
      <c r="AD31" s="76">
        <f>COUNTIF('KK1. Movies'!AI:AI,'TK 15661.Bản quyền phim '!F31)</f>
        <v/>
      </c>
      <c r="AE31" s="76">
        <f>COUNTIF('KK2. Series'!AM:AM,'TK 15661.Bản quyền phim '!F31)</f>
        <v/>
      </c>
      <c r="AF31" s="76">
        <f>COUNTIF('KK3. Kids'!AF:AF,'TK 15661.Bản quyền phim '!F31)</f>
        <v/>
      </c>
      <c r="AG31" s="76" t="n"/>
      <c r="AH31" s="76">
        <f>IF(SUM(AD31:AG31)&gt;0,"OK",0)</f>
        <v/>
      </c>
    </row>
    <row r="32" hidden="1" ht="15.6" customHeight="1" s="578">
      <c r="A32" s="27" t="n"/>
      <c r="B32" s="74" t="inlineStr">
        <is>
          <t>K+1MOV021286</t>
        </is>
      </c>
      <c r="C32" s="708" t="inlineStr">
        <is>
          <t>VND</t>
        </is>
      </c>
      <c r="D32" s="708" t="inlineStr">
        <is>
          <t>S0001502</t>
        </is>
      </c>
      <c r="E32" s="708" t="inlineStr">
        <is>
          <t>Công ty TNHH Đối tác Chuyên nghiệp</t>
        </is>
      </c>
      <c r="F32" s="708" t="inlineStr">
        <is>
          <t>TAOIST MASTER：KYLIN</t>
        </is>
      </c>
      <c r="G32" s="708" t="inlineStr">
        <is>
          <t>Movies International</t>
        </is>
      </c>
      <c r="H32" s="83" t="n">
        <v>1</v>
      </c>
      <c r="I32" s="83" t="n">
        <v>5</v>
      </c>
      <c r="J32" s="83">
        <f>H32*I32</f>
        <v/>
      </c>
      <c r="K32" s="83" t="n">
        <v>83672381</v>
      </c>
      <c r="L32" s="83" t="n">
        <v>16734476.2</v>
      </c>
      <c r="M32" s="83">
        <f>J32-Q32</f>
        <v/>
      </c>
      <c r="N32" s="83">
        <f>K32-R32</f>
        <v/>
      </c>
      <c r="O32" s="517" t="n">
        <v>44561</v>
      </c>
      <c r="P32" s="517" t="n">
        <v>46203</v>
      </c>
      <c r="Q32" s="83" t="n">
        <v>1</v>
      </c>
      <c r="R32" s="84" t="n">
        <v>16734476.2</v>
      </c>
      <c r="S32" s="83" t="n">
        <v>0</v>
      </c>
      <c r="T32" s="84" t="n">
        <v>0</v>
      </c>
      <c r="U32" s="83" t="n">
        <v>1</v>
      </c>
      <c r="V32" s="84">
        <f>U32*L32</f>
        <v/>
      </c>
      <c r="W32" s="83">
        <f>Q32+S32-U32</f>
        <v/>
      </c>
      <c r="X32" s="84">
        <f>R32+T32-V32</f>
        <v/>
      </c>
      <c r="Y32" s="85" t="inlineStr">
        <is>
          <t>P221ZZMO01</t>
        </is>
      </c>
      <c r="Z32" s="86" t="inlineStr">
        <is>
          <t>15661</t>
        </is>
      </c>
      <c r="AA32" s="86" t="inlineStr">
        <is>
          <t>33561</t>
        </is>
      </c>
      <c r="AB32" s="86" t="inlineStr">
        <is>
          <t>6277651</t>
        </is>
      </c>
      <c r="AC32" s="87" t="inlineStr">
        <is>
          <t>Movies</t>
        </is>
      </c>
      <c r="AD32" s="76">
        <f>COUNTIF('KK1. Movies'!AI:AI,'TK 15661.Bản quyền phim '!F32)</f>
        <v/>
      </c>
      <c r="AE32" s="76">
        <f>COUNTIF('KK2. Series'!AM:AM,'TK 15661.Bản quyền phim '!F32)</f>
        <v/>
      </c>
      <c r="AF32" s="76">
        <f>COUNTIF('KK3. Kids'!AF:AF,'TK 15661.Bản quyền phim '!F32)</f>
        <v/>
      </c>
      <c r="AG32" s="76" t="n"/>
      <c r="AH32" s="76">
        <f>IF(SUM(AD32:AG32)&gt;0,"OK",0)</f>
        <v/>
      </c>
    </row>
    <row r="33" hidden="1" s="578">
      <c r="A33" s="27" t="n"/>
      <c r="B33" s="74" t="inlineStr">
        <is>
          <t>K+1MOV021287</t>
        </is>
      </c>
      <c r="C33" s="708" t="inlineStr">
        <is>
          <t>VND</t>
        </is>
      </c>
      <c r="D33" s="708" t="inlineStr">
        <is>
          <t>S0001502</t>
        </is>
      </c>
      <c r="E33" s="708" t="inlineStr">
        <is>
          <t>Công ty TNHH Đối tác Chuyên nghiệp</t>
        </is>
      </c>
      <c r="F33" s="708" t="inlineStr">
        <is>
          <t>THE RISE OF HERO</t>
        </is>
      </c>
      <c r="G33" s="708" t="inlineStr">
        <is>
          <t>Movies International</t>
        </is>
      </c>
      <c r="H33" s="83" t="n">
        <v>1</v>
      </c>
      <c r="I33" s="83" t="n">
        <v>5</v>
      </c>
      <c r="J33" s="83">
        <f>H33*I33</f>
        <v/>
      </c>
      <c r="K33" s="83" t="n">
        <v>0</v>
      </c>
      <c r="L33" s="83" t="n">
        <v>0</v>
      </c>
      <c r="M33" s="83">
        <f>J33-Q33</f>
        <v/>
      </c>
      <c r="N33" s="83">
        <f>K33-R33</f>
        <v/>
      </c>
      <c r="O33" s="517" t="n">
        <v>44559</v>
      </c>
      <c r="P33" s="517" t="n">
        <v>46201</v>
      </c>
      <c r="Q33" s="83" t="n">
        <v>5</v>
      </c>
      <c r="R33" s="84" t="n">
        <v>0</v>
      </c>
      <c r="S33" s="83" t="n">
        <v>0</v>
      </c>
      <c r="T33" s="84" t="n">
        <v>0</v>
      </c>
      <c r="U33" s="83" t="n">
        <v>0</v>
      </c>
      <c r="V33" s="84">
        <f>U33*L33</f>
        <v/>
      </c>
      <c r="W33" s="83">
        <f>Q33+S33-U33</f>
        <v/>
      </c>
      <c r="X33" s="84">
        <f>R33+T33-V33</f>
        <v/>
      </c>
      <c r="Y33" s="85" t="inlineStr">
        <is>
          <t>P221ZZMO01</t>
        </is>
      </c>
      <c r="Z33" s="86" t="inlineStr">
        <is>
          <t>15661</t>
        </is>
      </c>
      <c r="AA33" s="86" t="inlineStr">
        <is>
          <t>33561</t>
        </is>
      </c>
      <c r="AB33" s="86" t="inlineStr">
        <is>
          <t>6277651</t>
        </is>
      </c>
      <c r="AC33" s="86" t="n"/>
      <c r="AD33" s="76">
        <f>COUNTIF('KK1. Movies'!AI:AI,'TK 15661.Bản quyền phim '!F33)</f>
        <v/>
      </c>
      <c r="AE33" s="76">
        <f>COUNTIF('KK2. Series'!AM:AM,'TK 15661.Bản quyền phim '!F33)</f>
        <v/>
      </c>
      <c r="AF33" s="76">
        <f>COUNTIF('KK3. Kids'!AF:AF,'TK 15661.Bản quyền phim '!F33)</f>
        <v/>
      </c>
      <c r="AG33" s="76" t="n"/>
      <c r="AH33" s="76">
        <f>IF(SUM(AD33:AG33)&gt;0,"OK",0)</f>
        <v/>
      </c>
    </row>
    <row r="34" hidden="1" s="578">
      <c r="A34" s="27" t="n"/>
      <c r="B34" s="74" t="inlineStr">
        <is>
          <t>K+1MOV021288</t>
        </is>
      </c>
      <c r="C34" s="708" t="inlineStr">
        <is>
          <t>VND</t>
        </is>
      </c>
      <c r="D34" s="708" t="inlineStr">
        <is>
          <t>S0001502</t>
        </is>
      </c>
      <c r="E34" s="708" t="inlineStr">
        <is>
          <t>Công ty TNHH Đối tác Chuyên nghiệp</t>
        </is>
      </c>
      <c r="F34" s="708" t="inlineStr">
        <is>
          <t>SWORDSMAN</t>
        </is>
      </c>
      <c r="G34" s="708" t="inlineStr">
        <is>
          <t>Movies International</t>
        </is>
      </c>
      <c r="H34" s="83" t="n">
        <v>1</v>
      </c>
      <c r="I34" s="83" t="n">
        <v>5</v>
      </c>
      <c r="J34" s="83">
        <f>H34*I34</f>
        <v/>
      </c>
      <c r="K34" s="83" t="n">
        <v>83672381</v>
      </c>
      <c r="L34" s="83" t="n">
        <v>16734476.2</v>
      </c>
      <c r="M34" s="83">
        <f>J34-Q34</f>
        <v/>
      </c>
      <c r="N34" s="83">
        <f>K34-R34</f>
        <v/>
      </c>
      <c r="O34" s="517" t="n">
        <v>44503</v>
      </c>
      <c r="P34" s="517" t="n">
        <v>46144</v>
      </c>
      <c r="Q34" s="83" t="n">
        <v>1</v>
      </c>
      <c r="R34" s="84" t="n">
        <v>16734476.2</v>
      </c>
      <c r="S34" s="83" t="n">
        <v>0</v>
      </c>
      <c r="T34" s="84" t="n">
        <v>0</v>
      </c>
      <c r="U34" s="83" t="n">
        <v>1</v>
      </c>
      <c r="V34" s="84">
        <f>U34*L34</f>
        <v/>
      </c>
      <c r="W34" s="83">
        <f>Q34+S34-U34</f>
        <v/>
      </c>
      <c r="X34" s="84">
        <f>R34+T34-V34</f>
        <v/>
      </c>
      <c r="Y34" s="85" t="inlineStr">
        <is>
          <t>P221ZZMO01</t>
        </is>
      </c>
      <c r="Z34" s="86" t="inlineStr">
        <is>
          <t>15661</t>
        </is>
      </c>
      <c r="AA34" s="86" t="inlineStr">
        <is>
          <t>33561</t>
        </is>
      </c>
      <c r="AB34" s="86" t="inlineStr">
        <is>
          <t>6277651</t>
        </is>
      </c>
      <c r="AC34" s="86" t="n"/>
      <c r="AD34" s="76">
        <f>COUNTIF('KK1. Movies'!AI:AI,'TK 15661.Bản quyền phim '!F34)</f>
        <v/>
      </c>
      <c r="AE34" s="76">
        <f>COUNTIF('KK2. Series'!AM:AM,'TK 15661.Bản quyền phim '!F34)</f>
        <v/>
      </c>
      <c r="AF34" s="76">
        <f>COUNTIF('KK3. Kids'!AF:AF,'TK 15661.Bản quyền phim '!F34)</f>
        <v/>
      </c>
      <c r="AG34" s="76" t="n"/>
      <c r="AH34" s="76">
        <f>IF(SUM(AD34:AG34)&gt;0,"OK",0)</f>
        <v/>
      </c>
    </row>
    <row r="35" hidden="1" ht="15.6" customHeight="1" s="578">
      <c r="A35" s="27" t="n"/>
      <c r="B35" s="74" t="inlineStr">
        <is>
          <t>K+1MOV021332</t>
        </is>
      </c>
      <c r="C35" s="708" t="inlineStr">
        <is>
          <t>VND</t>
        </is>
      </c>
      <c r="D35" s="708" t="inlineStr">
        <is>
          <t>S0001502</t>
        </is>
      </c>
      <c r="E35" s="708" t="inlineStr">
        <is>
          <t>Công ty TNHH Đối tác Chuyên nghiệp</t>
        </is>
      </c>
      <c r="F35" s="708" t="inlineStr">
        <is>
          <t>TAICHI HERRO</t>
        </is>
      </c>
      <c r="G35" s="708" t="inlineStr">
        <is>
          <t>Movies International</t>
        </is>
      </c>
      <c r="H35" s="83" t="n">
        <v>1</v>
      </c>
      <c r="I35" s="83" t="n">
        <v>5</v>
      </c>
      <c r="J35" s="83">
        <f>H35*I35</f>
        <v/>
      </c>
      <c r="K35" s="83" t="n">
        <v>83672381</v>
      </c>
      <c r="L35" s="83" t="n">
        <v>16734476.2</v>
      </c>
      <c r="M35" s="83">
        <f>J35-Q35</f>
        <v/>
      </c>
      <c r="N35" s="83">
        <f>K35-R35</f>
        <v/>
      </c>
      <c r="O35" s="517" t="n">
        <v>44559</v>
      </c>
      <c r="P35" s="517" t="n">
        <v>46201</v>
      </c>
      <c r="Q35" s="83" t="n">
        <v>1</v>
      </c>
      <c r="R35" s="84" t="n">
        <v>16734476.2</v>
      </c>
      <c r="S35" s="83" t="n">
        <v>0</v>
      </c>
      <c r="T35" s="84" t="n">
        <v>0</v>
      </c>
      <c r="U35" s="83" t="n">
        <v>1</v>
      </c>
      <c r="V35" s="84">
        <f>U35*L35</f>
        <v/>
      </c>
      <c r="W35" s="83">
        <f>Q35+S35-U35</f>
        <v/>
      </c>
      <c r="X35" s="84">
        <f>R35+T35-V35</f>
        <v/>
      </c>
      <c r="Y35" s="85" t="inlineStr">
        <is>
          <t>P221ZZMO01</t>
        </is>
      </c>
      <c r="Z35" s="86" t="inlineStr">
        <is>
          <t>15661</t>
        </is>
      </c>
      <c r="AA35" s="86" t="inlineStr">
        <is>
          <t>33561</t>
        </is>
      </c>
      <c r="AB35" s="86" t="inlineStr">
        <is>
          <t>6277651</t>
        </is>
      </c>
      <c r="AC35" s="87" t="inlineStr">
        <is>
          <t>Movies</t>
        </is>
      </c>
      <c r="AD35" s="76">
        <f>COUNTIF('KK1. Movies'!AI:AI,'TK 15661.Bản quyền phim '!F35)</f>
        <v/>
      </c>
      <c r="AE35" s="76">
        <f>COUNTIF('KK2. Series'!AM:AM,'TK 15661.Bản quyền phim '!F35)</f>
        <v/>
      </c>
      <c r="AF35" s="76">
        <f>COUNTIF('KK3. Kids'!AF:AF,'TK 15661.Bản quyền phim '!F35)</f>
        <v/>
      </c>
      <c r="AG35" s="76" t="n"/>
      <c r="AH35" s="76">
        <f>IF(SUM(AD35:AG35)&gt;0,"OK",0)</f>
        <v/>
      </c>
    </row>
    <row r="36" hidden="1" ht="15.6" customHeight="1" s="578">
      <c r="A36" s="27" t="n"/>
      <c r="B36" s="74" t="inlineStr">
        <is>
          <t>K+1MOV022018</t>
        </is>
      </c>
      <c r="C36" s="708" t="inlineStr">
        <is>
          <t>VND</t>
        </is>
      </c>
      <c r="D36" s="708" t="inlineStr">
        <is>
          <t>S0001328</t>
        </is>
      </c>
      <c r="E36" s="708" t="inlineStr">
        <is>
          <t>Công ty TNHH Skyline Media</t>
        </is>
      </c>
      <c r="F36" s="708" t="inlineStr">
        <is>
          <t>New Year Blues</t>
        </is>
      </c>
      <c r="G36" s="708" t="inlineStr">
        <is>
          <t>Movies International</t>
        </is>
      </c>
      <c r="H36" s="83" t="n">
        <v>1</v>
      </c>
      <c r="I36" s="83" t="n">
        <v>4</v>
      </c>
      <c r="J36" s="83">
        <f>H36*I36</f>
        <v/>
      </c>
      <c r="K36" s="83" t="n">
        <v>130571429</v>
      </c>
      <c r="L36" s="83" t="n">
        <v>32642857.25</v>
      </c>
      <c r="M36" s="83">
        <f>J36-Q36</f>
        <v/>
      </c>
      <c r="N36" s="83">
        <f>K36-R36</f>
        <v/>
      </c>
      <c r="O36" s="517" t="n">
        <v>44563</v>
      </c>
      <c r="P36" s="517" t="n">
        <v>46023</v>
      </c>
      <c r="Q36" s="83" t="n">
        <v>1</v>
      </c>
      <c r="R36" s="84" t="n">
        <v>32642857.25</v>
      </c>
      <c r="S36" s="83" t="n">
        <v>0</v>
      </c>
      <c r="T36" s="84" t="n">
        <v>0</v>
      </c>
      <c r="U36" s="83" t="n">
        <v>1</v>
      </c>
      <c r="V36" s="84">
        <f>U36*L36</f>
        <v/>
      </c>
      <c r="W36" s="83">
        <f>Q36+S36-U36</f>
        <v/>
      </c>
      <c r="X36" s="84">
        <f>R36+T36-V36</f>
        <v/>
      </c>
      <c r="Y36" s="85" t="inlineStr">
        <is>
          <t>P221ZZMO01</t>
        </is>
      </c>
      <c r="Z36" s="86" t="inlineStr">
        <is>
          <t>15661</t>
        </is>
      </c>
      <c r="AA36" s="86" t="inlineStr">
        <is>
          <t>33561</t>
        </is>
      </c>
      <c r="AB36" s="86" t="inlineStr">
        <is>
          <t>6277651</t>
        </is>
      </c>
      <c r="AC36" s="87" t="inlineStr">
        <is>
          <t>Movies</t>
        </is>
      </c>
      <c r="AD36" s="76">
        <f>COUNTIF('KK1. Movies'!AI:AI,'TK 15661.Bản quyền phim '!F36)</f>
        <v/>
      </c>
      <c r="AE36" s="76">
        <f>COUNTIF('KK2. Series'!AM:AM,'TK 15661.Bản quyền phim '!F36)</f>
        <v/>
      </c>
      <c r="AF36" s="76">
        <f>COUNTIF('KK3. Kids'!AF:AF,'TK 15661.Bản quyền phim '!F36)</f>
        <v/>
      </c>
      <c r="AG36" s="76" t="n"/>
      <c r="AH36" s="76">
        <f>IF(SUM(AD36:AG36)&gt;0,"OK",0)</f>
        <v/>
      </c>
    </row>
    <row r="37" hidden="1" ht="15.6" customHeight="1" s="578">
      <c r="A37" s="27" t="n"/>
      <c r="B37" s="74" t="inlineStr">
        <is>
          <t>K+1MOV022019</t>
        </is>
      </c>
      <c r="C37" s="708" t="inlineStr">
        <is>
          <t>VND</t>
        </is>
      </c>
      <c r="D37" s="708" t="inlineStr">
        <is>
          <t>S0001328</t>
        </is>
      </c>
      <c r="E37" s="708" t="inlineStr">
        <is>
          <t>Công ty TNHH Skyline Media</t>
        </is>
      </c>
      <c r="F37" s="708" t="inlineStr">
        <is>
          <t>Mother Gamer</t>
        </is>
      </c>
      <c r="G37" s="708" t="inlineStr">
        <is>
          <t>Movies International</t>
        </is>
      </c>
      <c r="H37" s="83" t="n">
        <v>1</v>
      </c>
      <c r="I37" s="83" t="n">
        <v>4</v>
      </c>
      <c r="J37" s="83">
        <f>H37*I37</f>
        <v/>
      </c>
      <c r="K37" s="83" t="n">
        <v>119690476</v>
      </c>
      <c r="L37" s="83" t="n">
        <v>29922619</v>
      </c>
      <c r="M37" s="83">
        <f>J37-Q37</f>
        <v/>
      </c>
      <c r="N37" s="83">
        <f>K37-R37</f>
        <v/>
      </c>
      <c r="O37" s="517" t="n">
        <v>44567</v>
      </c>
      <c r="P37" s="517" t="n">
        <v>46058</v>
      </c>
      <c r="Q37" s="83" t="n">
        <v>1</v>
      </c>
      <c r="R37" s="84" t="n">
        <v>29922619</v>
      </c>
      <c r="S37" s="83" t="n">
        <v>0</v>
      </c>
      <c r="T37" s="84" t="n">
        <v>0</v>
      </c>
      <c r="U37" s="83" t="n">
        <v>1</v>
      </c>
      <c r="V37" s="84">
        <f>U37*L37</f>
        <v/>
      </c>
      <c r="W37" s="83">
        <f>Q37+S37-U37</f>
        <v/>
      </c>
      <c r="X37" s="84">
        <f>R37+T37-V37</f>
        <v/>
      </c>
      <c r="Y37" s="85" t="inlineStr">
        <is>
          <t>P221ZZMO01</t>
        </is>
      </c>
      <c r="Z37" s="86" t="inlineStr">
        <is>
          <t>15661</t>
        </is>
      </c>
      <c r="AA37" s="86" t="inlineStr">
        <is>
          <t>33561</t>
        </is>
      </c>
      <c r="AB37" s="86" t="inlineStr">
        <is>
          <t>6277651</t>
        </is>
      </c>
      <c r="AC37" s="87" t="inlineStr">
        <is>
          <t>Movies</t>
        </is>
      </c>
      <c r="AD37" s="76">
        <f>COUNTIF('KK1. Movies'!AI:AI,'TK 15661.Bản quyền phim '!F37)</f>
        <v/>
      </c>
      <c r="AE37" s="76">
        <f>COUNTIF('KK2. Series'!AM:AM,'TK 15661.Bản quyền phim '!F37)</f>
        <v/>
      </c>
      <c r="AF37" s="76">
        <f>COUNTIF('KK3. Kids'!AF:AF,'TK 15661.Bản quyền phim '!F37)</f>
        <v/>
      </c>
      <c r="AG37" s="76" t="n"/>
      <c r="AH37" s="76">
        <f>IF(SUM(AD37:AG37)&gt;0,"OK",0)</f>
        <v/>
      </c>
    </row>
    <row r="38" hidden="1" ht="15.6" customHeight="1" s="578">
      <c r="A38" s="27" t="n"/>
      <c r="B38" s="74" t="inlineStr">
        <is>
          <t>K+1MOV022026</t>
        </is>
      </c>
      <c r="C38" s="708" t="inlineStr">
        <is>
          <t>VND</t>
        </is>
      </c>
      <c r="D38" s="708" t="inlineStr">
        <is>
          <t>S0001328</t>
        </is>
      </c>
      <c r="E38" s="708" t="inlineStr">
        <is>
          <t>Công ty TNHH Skyline Media</t>
        </is>
      </c>
      <c r="F38" s="708" t="inlineStr">
        <is>
          <t>Hand Rolled Cigarette</t>
        </is>
      </c>
      <c r="G38" s="708" t="inlineStr">
        <is>
          <t>Movies International</t>
        </is>
      </c>
      <c r="H38" s="83" t="n">
        <v>1</v>
      </c>
      <c r="I38" s="83" t="n">
        <v>4</v>
      </c>
      <c r="J38" s="83">
        <f>H38*I38</f>
        <v/>
      </c>
      <c r="K38" s="83" t="n">
        <v>130571429</v>
      </c>
      <c r="L38" s="83" t="n">
        <v>32642857.25</v>
      </c>
      <c r="M38" s="83">
        <f>J38-Q38</f>
        <v/>
      </c>
      <c r="N38" s="83">
        <f>K38-R38</f>
        <v/>
      </c>
      <c r="O38" s="517" t="n">
        <v>44748</v>
      </c>
      <c r="P38" s="517" t="n">
        <v>46208</v>
      </c>
      <c r="Q38" s="83" t="n">
        <v>1</v>
      </c>
      <c r="R38" s="84" t="n">
        <v>32642857.25</v>
      </c>
      <c r="S38" s="83" t="n">
        <v>0</v>
      </c>
      <c r="T38" s="84" t="n">
        <v>0</v>
      </c>
      <c r="U38" s="83" t="n">
        <v>1</v>
      </c>
      <c r="V38" s="84">
        <f>U38*L38</f>
        <v/>
      </c>
      <c r="W38" s="83">
        <f>Q38+S38-U38</f>
        <v/>
      </c>
      <c r="X38" s="84">
        <f>R38+T38-V38</f>
        <v/>
      </c>
      <c r="Y38" s="85" t="inlineStr">
        <is>
          <t>P221ZZMO01</t>
        </is>
      </c>
      <c r="Z38" s="86" t="inlineStr">
        <is>
          <t>15661</t>
        </is>
      </c>
      <c r="AA38" s="86" t="inlineStr">
        <is>
          <t>33561</t>
        </is>
      </c>
      <c r="AB38" s="86" t="inlineStr">
        <is>
          <t>6277651</t>
        </is>
      </c>
      <c r="AC38" s="87" t="inlineStr">
        <is>
          <t>Movies</t>
        </is>
      </c>
      <c r="AD38" s="76">
        <f>COUNTIF('KK1. Movies'!AI:AI,'TK 15661.Bản quyền phim '!F38)</f>
        <v/>
      </c>
      <c r="AE38" s="76">
        <f>COUNTIF('KK2. Series'!AM:AM,'TK 15661.Bản quyền phim '!F38)</f>
        <v/>
      </c>
      <c r="AF38" s="76">
        <f>COUNTIF('KK3. Kids'!AF:AF,'TK 15661.Bản quyền phim '!F38)</f>
        <v/>
      </c>
      <c r="AG38" s="76" t="n"/>
      <c r="AH38" s="76">
        <f>IF(SUM(AD38:AG38)&gt;0,"OK",0)</f>
        <v/>
      </c>
    </row>
    <row r="39" hidden="1" ht="15.6" customHeight="1" s="578">
      <c r="A39" s="27" t="n"/>
      <c r="B39" s="74" t="inlineStr">
        <is>
          <t>K+1MOV022027</t>
        </is>
      </c>
      <c r="C39" s="708" t="inlineStr">
        <is>
          <t>VND</t>
        </is>
      </c>
      <c r="D39" s="708" t="inlineStr">
        <is>
          <t>S0001328</t>
        </is>
      </c>
      <c r="E39" s="708" t="inlineStr">
        <is>
          <t>Công ty TNHH Skyline Media</t>
        </is>
      </c>
      <c r="F39" s="708" t="inlineStr">
        <is>
          <t>Signal: The Movie</t>
        </is>
      </c>
      <c r="G39" s="708" t="inlineStr">
        <is>
          <t>Movies International</t>
        </is>
      </c>
      <c r="H39" s="83" t="n">
        <v>1</v>
      </c>
      <c r="I39" s="83" t="n">
        <v>4</v>
      </c>
      <c r="J39" s="83">
        <f>H39*I39</f>
        <v/>
      </c>
      <c r="K39" s="83" t="n">
        <v>108809524</v>
      </c>
      <c r="L39" s="83" t="n">
        <v>27202381</v>
      </c>
      <c r="M39" s="83">
        <f>J39-Q39</f>
        <v/>
      </c>
      <c r="N39" s="83">
        <f>K39-R39</f>
        <v/>
      </c>
      <c r="O39" s="517" t="n">
        <v>44755</v>
      </c>
      <c r="P39" s="517" t="n">
        <v>46215</v>
      </c>
      <c r="Q39" s="83" t="n">
        <v>1</v>
      </c>
      <c r="R39" s="84" t="n">
        <v>27202381</v>
      </c>
      <c r="S39" s="83" t="n">
        <v>0</v>
      </c>
      <c r="T39" s="84" t="n">
        <v>0</v>
      </c>
      <c r="U39" s="83" t="n">
        <v>1</v>
      </c>
      <c r="V39" s="84">
        <f>U39*L39</f>
        <v/>
      </c>
      <c r="W39" s="83">
        <f>Q39+S39-U39</f>
        <v/>
      </c>
      <c r="X39" s="84">
        <f>R39+T39-V39</f>
        <v/>
      </c>
      <c r="Y39" s="85" t="inlineStr">
        <is>
          <t>P221ZZMO01</t>
        </is>
      </c>
      <c r="Z39" s="86" t="inlineStr">
        <is>
          <t>15661</t>
        </is>
      </c>
      <c r="AA39" s="86" t="inlineStr">
        <is>
          <t>33561</t>
        </is>
      </c>
      <c r="AB39" s="86" t="inlineStr">
        <is>
          <t>6277651</t>
        </is>
      </c>
      <c r="AC39" s="87" t="inlineStr">
        <is>
          <t>Movies</t>
        </is>
      </c>
      <c r="AD39" s="76">
        <f>COUNTIF('KK1. Movies'!AI:AI,'TK 15661.Bản quyền phim '!F39)</f>
        <v/>
      </c>
      <c r="AE39" s="76">
        <f>COUNTIF('KK2. Series'!AM:AM,'TK 15661.Bản quyền phim '!F39)</f>
        <v/>
      </c>
      <c r="AF39" s="76">
        <f>COUNTIF('KK3. Kids'!AF:AF,'TK 15661.Bản quyền phim '!F39)</f>
        <v/>
      </c>
      <c r="AG39" s="76" t="n"/>
      <c r="AH39" s="76">
        <f>IF(SUM(AD39:AG39)&gt;0,"OK",0)</f>
        <v/>
      </c>
    </row>
    <row r="40" hidden="1" ht="15.6" customHeight="1" s="578">
      <c r="A40" s="27" t="n"/>
      <c r="B40" s="74" t="inlineStr">
        <is>
          <t>K+1MOV022030</t>
        </is>
      </c>
      <c r="C40" s="708" t="inlineStr">
        <is>
          <t>VND</t>
        </is>
      </c>
      <c r="D40" s="708" t="inlineStr">
        <is>
          <t>S0001328</t>
        </is>
      </c>
      <c r="E40" s="708" t="inlineStr">
        <is>
          <t>Công ty TNHH Skyline Media</t>
        </is>
      </c>
      <c r="F40" s="708" t="inlineStr">
        <is>
          <t>Home Sweet Home</t>
        </is>
      </c>
      <c r="G40" s="708" t="inlineStr">
        <is>
          <t>Movies International</t>
        </is>
      </c>
      <c r="H40" s="83" t="n">
        <v>1</v>
      </c>
      <c r="I40" s="83" t="n">
        <v>4</v>
      </c>
      <c r="J40" s="83">
        <f>H40*I40</f>
        <v/>
      </c>
      <c r="K40" s="83" t="n">
        <v>130571429</v>
      </c>
      <c r="L40" s="83" t="n">
        <v>32642857.25</v>
      </c>
      <c r="M40" s="83">
        <f>J40-Q40</f>
        <v/>
      </c>
      <c r="N40" s="83">
        <f>K40-R40</f>
        <v/>
      </c>
      <c r="O40" s="517" t="n">
        <v>44792</v>
      </c>
      <c r="P40" s="517" t="n">
        <v>46344</v>
      </c>
      <c r="Q40" s="83" t="n">
        <v>1</v>
      </c>
      <c r="R40" s="84" t="n">
        <v>32642857.25</v>
      </c>
      <c r="S40" s="83" t="n">
        <v>0</v>
      </c>
      <c r="T40" s="84" t="n">
        <v>0</v>
      </c>
      <c r="U40" s="83" t="n">
        <v>1</v>
      </c>
      <c r="V40" s="84">
        <f>U40*L40</f>
        <v/>
      </c>
      <c r="W40" s="83">
        <f>Q40+S40-U40</f>
        <v/>
      </c>
      <c r="X40" s="84">
        <f>R40+T40-V40</f>
        <v/>
      </c>
      <c r="Y40" s="85" t="inlineStr">
        <is>
          <t>P221ZZMO01</t>
        </is>
      </c>
      <c r="Z40" s="86" t="inlineStr">
        <is>
          <t>15661</t>
        </is>
      </c>
      <c r="AA40" s="86" t="inlineStr">
        <is>
          <t>33561</t>
        </is>
      </c>
      <c r="AB40" s="86" t="inlineStr">
        <is>
          <t>6277651</t>
        </is>
      </c>
      <c r="AC40" s="87" t="inlineStr">
        <is>
          <t>Movies</t>
        </is>
      </c>
      <c r="AD40" s="76">
        <f>COUNTIF('KK1. Movies'!AI:AI,'TK 15661.Bản quyền phim '!F40)</f>
        <v/>
      </c>
      <c r="AE40" s="76">
        <f>COUNTIF('KK2. Series'!AM:AM,'TK 15661.Bản quyền phim '!F40)</f>
        <v/>
      </c>
      <c r="AF40" s="76">
        <f>COUNTIF('KK3. Kids'!AF:AF,'TK 15661.Bản quyền phim '!F40)</f>
        <v/>
      </c>
      <c r="AG40" s="76" t="n"/>
      <c r="AH40" s="76">
        <f>IF(SUM(AD40:AG40)&gt;0,"OK",0)</f>
        <v/>
      </c>
    </row>
    <row r="41" hidden="1" ht="15.6" customHeight="1" s="578">
      <c r="A41" s="30">
        <f>+U41-H41</f>
        <v/>
      </c>
      <c r="B41" s="74" t="inlineStr">
        <is>
          <t>K+2SER022115</t>
        </is>
      </c>
      <c r="C41" s="708" t="inlineStr">
        <is>
          <t>USD</t>
        </is>
      </c>
      <c r="D41" s="708" t="inlineStr">
        <is>
          <t>S0002262</t>
        </is>
      </c>
      <c r="E41" s="708" t="inlineStr">
        <is>
          <t>IQIYI INTERNATIONAL SINGAPORE PTE. LTD.</t>
        </is>
      </c>
      <c r="F41" s="708" t="inlineStr">
        <is>
          <t>Luo Yang (Lạc Dương)</t>
        </is>
      </c>
      <c r="G41" s="708" t="inlineStr">
        <is>
          <t>Series Asian</t>
        </is>
      </c>
      <c r="H41" s="83" t="n">
        <v>39</v>
      </c>
      <c r="I41" s="83" t="n">
        <v>4</v>
      </c>
      <c r="J41" s="83">
        <f>H41*I41</f>
        <v/>
      </c>
      <c r="K41" s="83" t="n">
        <v>2280380960</v>
      </c>
      <c r="L41" s="83" t="n">
        <v>14617826.66666667</v>
      </c>
      <c r="M41" s="83">
        <f>J41-Q41</f>
        <v/>
      </c>
      <c r="N41" s="83">
        <f>K41-R41</f>
        <v/>
      </c>
      <c r="O41" s="517" t="n">
        <v>44638</v>
      </c>
      <c r="P41" s="517" t="n">
        <v>46098</v>
      </c>
      <c r="Q41" s="83" t="n">
        <v>39</v>
      </c>
      <c r="R41" s="84" t="n">
        <v>570095240</v>
      </c>
      <c r="S41" s="83" t="n">
        <v>0</v>
      </c>
      <c r="T41" s="84" t="n">
        <v>0</v>
      </c>
      <c r="U41" s="83" t="n">
        <v>39</v>
      </c>
      <c r="V41" s="84">
        <f>U41*L41</f>
        <v/>
      </c>
      <c r="W41" s="83">
        <f>Q41+S41-U41</f>
        <v/>
      </c>
      <c r="X41" s="84">
        <f>R41+T41-V41</f>
        <v/>
      </c>
      <c r="Y41" s="85" t="inlineStr">
        <is>
          <t>P221ZZSR01</t>
        </is>
      </c>
      <c r="Z41" s="86" t="inlineStr">
        <is>
          <t>15661</t>
        </is>
      </c>
      <c r="AA41" s="86" t="inlineStr">
        <is>
          <t>33561</t>
        </is>
      </c>
      <c r="AB41" s="86" t="inlineStr">
        <is>
          <t>6277651</t>
        </is>
      </c>
      <c r="AC41" s="87" t="inlineStr">
        <is>
          <t>Series</t>
        </is>
      </c>
      <c r="AD41" s="76">
        <f>COUNTIF('KK1. Movies'!AI:AI,'TK 15661.Bản quyền phim '!F41)</f>
        <v/>
      </c>
      <c r="AE41" s="76">
        <f>COUNTIF('KK2. Series'!AM:AM,'TK 15661.Bản quyền phim '!F41)</f>
        <v/>
      </c>
      <c r="AF41" s="76">
        <f>COUNTIF('KK3. Kids'!AF:AF,'TK 15661.Bản quyền phim '!F41)</f>
        <v/>
      </c>
      <c r="AG41" s="76" t="n"/>
      <c r="AH41" s="76">
        <f>IF(SUM(AD41:AG41)&gt;0,"OK",0)</f>
        <v/>
      </c>
    </row>
    <row r="42" hidden="1" s="578">
      <c r="A42" s="30">
        <f>(U42-H42)*L42</f>
        <v/>
      </c>
      <c r="B42" s="74" t="inlineStr">
        <is>
          <t>K+2SER022116</t>
        </is>
      </c>
      <c r="C42" s="708" t="inlineStr">
        <is>
          <t>USD</t>
        </is>
      </c>
      <c r="D42" s="708" t="inlineStr">
        <is>
          <t>S0002262</t>
        </is>
      </c>
      <c r="E42" s="708" t="inlineStr">
        <is>
          <t>IQIYI INTERNATIONAL SINGAPORE PTE. LTD.</t>
        </is>
      </c>
      <c r="F42" s="708" t="inlineStr">
        <is>
          <t>Ideal City</t>
        </is>
      </c>
      <c r="G42" s="708" t="inlineStr">
        <is>
          <t>Series Asian</t>
        </is>
      </c>
      <c r="H42" s="83" t="n">
        <v>40</v>
      </c>
      <c r="I42" s="83" t="n">
        <v>4</v>
      </c>
      <c r="J42" s="83">
        <f>H42*I42</f>
        <v/>
      </c>
      <c r="K42" s="83" t="n">
        <v>1647360000</v>
      </c>
      <c r="L42" s="83" t="n">
        <v>10296000</v>
      </c>
      <c r="M42" s="83">
        <f>J42-Q42</f>
        <v/>
      </c>
      <c r="N42" s="83">
        <f>K42-R42</f>
        <v/>
      </c>
      <c r="O42" s="517" t="n">
        <v>44642</v>
      </c>
      <c r="P42" s="517" t="n">
        <v>46102</v>
      </c>
      <c r="Q42" s="83" t="n">
        <v>40</v>
      </c>
      <c r="R42" s="84" t="n">
        <v>411840000</v>
      </c>
      <c r="S42" s="83" t="n">
        <v>0</v>
      </c>
      <c r="T42" s="84" t="n">
        <v>0</v>
      </c>
      <c r="U42" s="83" t="n">
        <v>0</v>
      </c>
      <c r="V42" s="84">
        <f>U42*L42</f>
        <v/>
      </c>
      <c r="W42" s="83">
        <f>Q42+S42-U42</f>
        <v/>
      </c>
      <c r="X42" s="84">
        <f>R42+T42-V42</f>
        <v/>
      </c>
      <c r="Y42" s="85" t="inlineStr">
        <is>
          <t>P221ZZSR01</t>
        </is>
      </c>
      <c r="Z42" s="86" t="inlineStr">
        <is>
          <t>15661</t>
        </is>
      </c>
      <c r="AA42" s="86" t="inlineStr">
        <is>
          <t>33561</t>
        </is>
      </c>
      <c r="AB42" s="86" t="inlineStr">
        <is>
          <t>6277651</t>
        </is>
      </c>
      <c r="AC42" s="86" t="n"/>
      <c r="AD42" s="76">
        <f>COUNTIF('KK1. Movies'!AI:AI,'TK 15661.Bản quyền phim '!F42)</f>
        <v/>
      </c>
      <c r="AE42" s="76">
        <f>COUNTIF('KK2. Series'!AM:AM,'TK 15661.Bản quyền phim '!F42)</f>
        <v/>
      </c>
      <c r="AF42" s="76">
        <f>COUNTIF('KK3. Kids'!AF:AF,'TK 15661.Bản quyền phim '!F42)</f>
        <v/>
      </c>
      <c r="AG42" s="76" t="n"/>
      <c r="AH42" s="76">
        <f>IF(SUM(AD42:AG42)&gt;0,"OK",0)</f>
        <v/>
      </c>
    </row>
    <row r="43" hidden="1" ht="15.6" customHeight="1" s="578">
      <c r="A43" s="27" t="n"/>
      <c r="B43" s="74" t="inlineStr">
        <is>
          <t>K+1MOV022156</t>
        </is>
      </c>
      <c r="C43" s="708" t="inlineStr">
        <is>
          <t>VND</t>
        </is>
      </c>
      <c r="D43" s="708" t="inlineStr">
        <is>
          <t>S0002025</t>
        </is>
      </c>
      <c r="E43" s="708" t="inlineStr">
        <is>
          <t>Công Ty TNHH TFILM STUDIO</t>
        </is>
      </c>
      <c r="F43" s="708" t="inlineStr">
        <is>
          <t>Listener: The Whispering (Người lắng nghe)</t>
        </is>
      </c>
      <c r="G43" s="708" t="inlineStr">
        <is>
          <t>Movies Vietnam</t>
        </is>
      </c>
      <c r="H43" s="83" t="n">
        <v>1</v>
      </c>
      <c r="I43" s="83" t="n">
        <v>5</v>
      </c>
      <c r="J43" s="83">
        <f>H43*I43</f>
        <v/>
      </c>
      <c r="K43" s="83" t="n">
        <v>547619048</v>
      </c>
      <c r="L43" s="83" t="n">
        <v>109523809.6</v>
      </c>
      <c r="M43" s="83">
        <f>J43-Q43</f>
        <v/>
      </c>
      <c r="N43" s="83">
        <f>K43-R43</f>
        <v/>
      </c>
      <c r="O43" s="517" t="n">
        <v>44708</v>
      </c>
      <c r="P43" s="517" t="n">
        <v>46533</v>
      </c>
      <c r="Q43" s="83" t="n">
        <v>2</v>
      </c>
      <c r="R43" s="84" t="n">
        <v>219047619.2</v>
      </c>
      <c r="S43" s="83" t="n">
        <v>0</v>
      </c>
      <c r="T43" s="84" t="n">
        <v>0</v>
      </c>
      <c r="U43" s="83" t="n">
        <v>1</v>
      </c>
      <c r="V43" s="84">
        <f>U43*L43</f>
        <v/>
      </c>
      <c r="W43" s="83">
        <f>Q43+S43-U43</f>
        <v/>
      </c>
      <c r="X43" s="84">
        <f>R43+T43-V43</f>
        <v/>
      </c>
      <c r="Y43" s="85" t="inlineStr">
        <is>
          <t>P221ZZMO02</t>
        </is>
      </c>
      <c r="Z43" s="86" t="inlineStr">
        <is>
          <t>15661</t>
        </is>
      </c>
      <c r="AA43" s="86" t="inlineStr">
        <is>
          <t>33561</t>
        </is>
      </c>
      <c r="AB43" s="86" t="inlineStr">
        <is>
          <t>6277651</t>
        </is>
      </c>
      <c r="AC43" s="87" t="inlineStr">
        <is>
          <t>Movies</t>
        </is>
      </c>
      <c r="AD43" s="76">
        <f>COUNTIF('KK1. Movies'!AI:AI,'TK 15661.Bản quyền phim '!F43)</f>
        <v/>
      </c>
      <c r="AE43" s="76">
        <f>COUNTIF('KK2. Series'!AM:AM,'TK 15661.Bản quyền phim '!F43)</f>
        <v/>
      </c>
      <c r="AF43" s="76">
        <f>COUNTIF('KK3. Kids'!AF:AF,'TK 15661.Bản quyền phim '!F43)</f>
        <v/>
      </c>
      <c r="AG43" s="76" t="n"/>
      <c r="AH43" s="76">
        <f>IF(SUM(AD43:AG43)&gt;0,"OK",0)</f>
        <v/>
      </c>
    </row>
    <row r="44" hidden="1" ht="15.6" customHeight="1" s="578">
      <c r="A44" s="27" t="n"/>
      <c r="B44" s="74" t="inlineStr">
        <is>
          <t>K+1MOV022157</t>
        </is>
      </c>
      <c r="C44" s="708" t="inlineStr">
        <is>
          <t>VND</t>
        </is>
      </c>
      <c r="D44" s="708" t="inlineStr">
        <is>
          <t>S0001328</t>
        </is>
      </c>
      <c r="E44" s="708" t="inlineStr">
        <is>
          <t>Công ty TNHH Skyline Media</t>
        </is>
      </c>
      <c r="F44" s="708" t="inlineStr">
        <is>
          <t>The Nightmares (Vô diện sát nhân)</t>
        </is>
      </c>
      <c r="G44" s="708" t="inlineStr">
        <is>
          <t>Movies Vietnam</t>
        </is>
      </c>
      <c r="H44" s="83" t="n">
        <v>1</v>
      </c>
      <c r="I44" s="83" t="n">
        <v>5</v>
      </c>
      <c r="J44" s="83">
        <f>H44*I44</f>
        <v/>
      </c>
      <c r="K44" s="83" t="n">
        <v>544047619</v>
      </c>
      <c r="L44" s="83" t="n">
        <v>108809523.8</v>
      </c>
      <c r="M44" s="83">
        <f>J44-Q44</f>
        <v/>
      </c>
      <c r="N44" s="83">
        <f>K44-R44</f>
        <v/>
      </c>
      <c r="O44" s="517" t="n">
        <v>44885</v>
      </c>
      <c r="P44" s="517" t="n">
        <v>46345</v>
      </c>
      <c r="Q44" s="83" t="n">
        <v>2</v>
      </c>
      <c r="R44" s="84" t="n">
        <v>217619047.6</v>
      </c>
      <c r="S44" s="83" t="n">
        <v>0</v>
      </c>
      <c r="T44" s="84" t="n">
        <v>0</v>
      </c>
      <c r="U44" s="83" t="n">
        <v>1</v>
      </c>
      <c r="V44" s="84">
        <f>U44*L44</f>
        <v/>
      </c>
      <c r="W44" s="83">
        <f>Q44+S44-U44</f>
        <v/>
      </c>
      <c r="X44" s="84">
        <f>R44+T44-V44</f>
        <v/>
      </c>
      <c r="Y44" s="85" t="inlineStr">
        <is>
          <t>P221ZZMO02</t>
        </is>
      </c>
      <c r="Z44" s="86" t="inlineStr">
        <is>
          <t>15661</t>
        </is>
      </c>
      <c r="AA44" s="86" t="inlineStr">
        <is>
          <t>33561</t>
        </is>
      </c>
      <c r="AB44" s="86" t="inlineStr">
        <is>
          <t>6277651</t>
        </is>
      </c>
      <c r="AC44" s="87" t="inlineStr">
        <is>
          <t>Movies</t>
        </is>
      </c>
      <c r="AD44" s="76">
        <f>COUNTIF('KK1. Movies'!AI:AI,'TK 15661.Bản quyền phim '!F44)</f>
        <v/>
      </c>
      <c r="AE44" s="76">
        <f>COUNTIF('KK2. Series'!AM:AM,'TK 15661.Bản quyền phim '!F44)</f>
        <v/>
      </c>
      <c r="AF44" s="76">
        <f>COUNTIF('KK3. Kids'!AF:AF,'TK 15661.Bản quyền phim '!F44)</f>
        <v/>
      </c>
      <c r="AG44" s="76" t="n"/>
      <c r="AH44" s="76">
        <f>IF(SUM(AD44:AG44)&gt;0,"OK",0)</f>
        <v/>
      </c>
    </row>
    <row r="45" hidden="1" ht="15.6" customHeight="1" s="578">
      <c r="A45" s="32" t="n"/>
      <c r="B45" s="74" t="inlineStr">
        <is>
          <t>K+5KID022189</t>
        </is>
      </c>
      <c r="C45" s="708" t="inlineStr">
        <is>
          <t>VND</t>
        </is>
      </c>
      <c r="D45" s="708" t="inlineStr">
        <is>
          <t>S0001502</t>
        </is>
      </c>
      <c r="E45" s="708" t="inlineStr">
        <is>
          <t>Công ty TNHH Đối tác Chuyên nghiệp</t>
        </is>
      </c>
      <c r="F45" s="708" t="inlineStr">
        <is>
          <t>Two Buddies and a Badger: The Great Big Beast(Chuyến Phiêu Lưu Trời Ơi Đất Hỡi)</t>
        </is>
      </c>
      <c r="G45" s="708" t="inlineStr">
        <is>
          <t>KIDS</t>
        </is>
      </c>
      <c r="H45" s="83" t="n">
        <v>1</v>
      </c>
      <c r="I45" s="83" t="n">
        <v>4</v>
      </c>
      <c r="J45" s="83">
        <f>H45*I45</f>
        <v/>
      </c>
      <c r="K45" s="83" t="n">
        <v>44247619</v>
      </c>
      <c r="L45" s="83" t="n">
        <v>11061904.75</v>
      </c>
      <c r="M45" s="83">
        <f>J45-Q45</f>
        <v/>
      </c>
      <c r="N45" s="83">
        <f>K45-R45</f>
        <v/>
      </c>
      <c r="O45" s="517" t="n">
        <v>44730</v>
      </c>
      <c r="P45" s="517" t="n">
        <v>46190</v>
      </c>
      <c r="Q45" s="83" t="n">
        <v>1</v>
      </c>
      <c r="R45" s="84" t="n">
        <v>11061904.75</v>
      </c>
      <c r="S45" s="83" t="n">
        <v>0</v>
      </c>
      <c r="T45" s="84" t="n">
        <v>0</v>
      </c>
      <c r="U45" s="83" t="n">
        <v>1</v>
      </c>
      <c r="V45" s="84">
        <f>U45*L45</f>
        <v/>
      </c>
      <c r="W45" s="83">
        <f>Q45+S45-U45</f>
        <v/>
      </c>
      <c r="X45" s="84">
        <f>R45+T45-V45</f>
        <v/>
      </c>
      <c r="Y45" s="85" t="inlineStr">
        <is>
          <t>P221ZZKI01</t>
        </is>
      </c>
      <c r="Z45" s="86" t="inlineStr">
        <is>
          <t>15661</t>
        </is>
      </c>
      <c r="AA45" s="86" t="inlineStr">
        <is>
          <t>33561</t>
        </is>
      </c>
      <c r="AB45" s="86" t="inlineStr">
        <is>
          <t>6277651</t>
        </is>
      </c>
      <c r="AC45" s="87" t="inlineStr">
        <is>
          <t>Movies</t>
        </is>
      </c>
      <c r="AD45" s="76">
        <f>COUNTIF('KK1. Movies'!AI:AI,'TK 15661.Bản quyền phim '!F45)</f>
        <v/>
      </c>
      <c r="AE45" s="76">
        <f>COUNTIF('KK2. Series'!AM:AM,'TK 15661.Bản quyền phim '!F45)</f>
        <v/>
      </c>
      <c r="AF45" s="76">
        <f>COUNTIF('KK3. Kids'!AF:AF,'TK 15661.Bản quyền phim '!F45)</f>
        <v/>
      </c>
      <c r="AG45" s="76" t="n"/>
      <c r="AH45" s="76">
        <f>IF(SUM(AD45:AG45)&gt;0,"OK",0)</f>
        <v/>
      </c>
    </row>
    <row r="46" hidden="1" ht="15.6" customHeight="1" s="578">
      <c r="A46" s="32" t="n"/>
      <c r="B46" s="74" t="inlineStr">
        <is>
          <t>K+5KID022190</t>
        </is>
      </c>
      <c r="C46" s="708" t="inlineStr">
        <is>
          <t>VND</t>
        </is>
      </c>
      <c r="D46" s="708" t="inlineStr">
        <is>
          <t>S0001502</t>
        </is>
      </c>
      <c r="E46" s="708" t="inlineStr">
        <is>
          <t>Công ty TNHH Đối tác Chuyên nghiệp</t>
        </is>
      </c>
      <c r="F46" s="708" t="inlineStr">
        <is>
          <t>Dreambuilders (Nào Mình Cùng Mơ!)</t>
        </is>
      </c>
      <c r="G46" s="708" t="inlineStr">
        <is>
          <t>KIDS</t>
        </is>
      </c>
      <c r="H46" s="83" t="n">
        <v>1</v>
      </c>
      <c r="I46" s="83" t="n">
        <v>4</v>
      </c>
      <c r="J46" s="83">
        <f>H46*I46</f>
        <v/>
      </c>
      <c r="K46" s="83" t="n">
        <v>44247619</v>
      </c>
      <c r="L46" s="83" t="n">
        <v>11061904.75</v>
      </c>
      <c r="M46" s="83">
        <f>J46-Q46</f>
        <v/>
      </c>
      <c r="N46" s="83">
        <f>K46-R46</f>
        <v/>
      </c>
      <c r="O46" s="517" t="n">
        <v>44737</v>
      </c>
      <c r="P46" s="517" t="n">
        <v>46197</v>
      </c>
      <c r="Q46" s="83" t="n">
        <v>1</v>
      </c>
      <c r="R46" s="84" t="n">
        <v>11061904.75</v>
      </c>
      <c r="S46" s="83" t="n">
        <v>0</v>
      </c>
      <c r="T46" s="84" t="n">
        <v>0</v>
      </c>
      <c r="U46" s="83" t="n">
        <v>1</v>
      </c>
      <c r="V46" s="84">
        <f>U46*L46</f>
        <v/>
      </c>
      <c r="W46" s="83">
        <f>Q46+S46-U46</f>
        <v/>
      </c>
      <c r="X46" s="84">
        <f>R46+T46-V46</f>
        <v/>
      </c>
      <c r="Y46" s="85" t="inlineStr">
        <is>
          <t>P221ZZKI01</t>
        </is>
      </c>
      <c r="Z46" s="86" t="inlineStr">
        <is>
          <t>15661</t>
        </is>
      </c>
      <c r="AA46" s="86" t="inlineStr">
        <is>
          <t>33561</t>
        </is>
      </c>
      <c r="AB46" s="86" t="inlineStr">
        <is>
          <t>6277651</t>
        </is>
      </c>
      <c r="AC46" s="87" t="inlineStr">
        <is>
          <t>Movies</t>
        </is>
      </c>
      <c r="AD46" s="76">
        <f>COUNTIF('KK1. Movies'!AI:AI,'TK 15661.Bản quyền phim '!F46)</f>
        <v/>
      </c>
      <c r="AE46" s="76">
        <f>COUNTIF('KK2. Series'!AM:AM,'TK 15661.Bản quyền phim '!F46)</f>
        <v/>
      </c>
      <c r="AF46" s="76">
        <f>COUNTIF('KK3. Kids'!AF:AF,'TK 15661.Bản quyền phim '!F46)</f>
        <v/>
      </c>
      <c r="AG46" s="76" t="n"/>
      <c r="AH46" s="76">
        <f>IF(SUM(AD46:AG46)&gt;0,"OK",0)</f>
        <v/>
      </c>
    </row>
    <row r="47" hidden="1" s="578">
      <c r="A47" s="32" t="n"/>
      <c r="B47" s="74" t="inlineStr">
        <is>
          <t>K+5KID022202</t>
        </is>
      </c>
      <c r="C47" s="708" t="inlineStr">
        <is>
          <t>USD</t>
        </is>
      </c>
      <c r="D47" s="708" t="inlineStr">
        <is>
          <t>S0002348</t>
        </is>
      </c>
      <c r="E47" s="708" t="inlineStr">
        <is>
          <t>9 Story Distribution International Ltd</t>
        </is>
      </c>
      <c r="F47" s="708" t="inlineStr">
        <is>
          <t>Daniel Tiger’s Neighbourhood, Season 1</t>
        </is>
      </c>
      <c r="G47" s="708" t="inlineStr">
        <is>
          <t>KIDS</t>
        </is>
      </c>
      <c r="H47" s="83" t="n">
        <v>80</v>
      </c>
      <c r="I47" s="83" t="n">
        <v>4</v>
      </c>
      <c r="J47" s="83">
        <f>H47*I47</f>
        <v/>
      </c>
      <c r="K47" s="83" t="n">
        <v>252720000</v>
      </c>
      <c r="L47" s="83" t="n">
        <v>789750</v>
      </c>
      <c r="M47" s="83">
        <f>J47-Q47</f>
        <v/>
      </c>
      <c r="N47" s="83">
        <f>K47-R47</f>
        <v/>
      </c>
      <c r="O47" s="517" t="n">
        <v>44682</v>
      </c>
      <c r="P47" s="517" t="n">
        <v>46142</v>
      </c>
      <c r="Q47" s="83" t="n">
        <v>80</v>
      </c>
      <c r="R47" s="84" t="n">
        <v>63180000</v>
      </c>
      <c r="S47" s="83" t="n">
        <v>0</v>
      </c>
      <c r="T47" s="84" t="n">
        <v>0</v>
      </c>
      <c r="U47" s="83" t="n">
        <v>80</v>
      </c>
      <c r="V47" s="84">
        <f>U47*L47</f>
        <v/>
      </c>
      <c r="W47" s="83">
        <f>Q47+S47-U47</f>
        <v/>
      </c>
      <c r="X47" s="84">
        <f>R47+T47-V47</f>
        <v/>
      </c>
      <c r="Y47" s="85" t="inlineStr">
        <is>
          <t>P221ZZKI01</t>
        </is>
      </c>
      <c r="Z47" s="86" t="inlineStr">
        <is>
          <t>15661</t>
        </is>
      </c>
      <c r="AA47" s="86" t="inlineStr">
        <is>
          <t>33561</t>
        </is>
      </c>
      <c r="AB47" s="86" t="inlineStr">
        <is>
          <t>6277651</t>
        </is>
      </c>
      <c r="AC47" s="86" t="inlineStr">
        <is>
          <t>Kids</t>
        </is>
      </c>
      <c r="AD47" s="76">
        <f>COUNTIF('KK1. Movies'!AI:AI,'TK 15661.Bản quyền phim '!F47)</f>
        <v/>
      </c>
      <c r="AE47" s="76">
        <f>COUNTIF('KK2. Series'!AM:AM,'TK 15661.Bản quyền phim '!F47)</f>
        <v/>
      </c>
      <c r="AF47" s="76">
        <f>COUNTIF('KK3. Kids'!AF:AF,'TK 15661.Bản quyền phim '!F47)</f>
        <v/>
      </c>
      <c r="AG47" s="76" t="n"/>
      <c r="AH47" s="76">
        <f>IF(SUM(AD47:AG47)&gt;0,"OK",0)</f>
        <v/>
      </c>
    </row>
    <row r="48" hidden="1" s="578">
      <c r="A48" s="30">
        <f>(U48-H48)*L48</f>
        <v/>
      </c>
      <c r="B48" s="74" t="inlineStr">
        <is>
          <t>K+5KID022203</t>
        </is>
      </c>
      <c r="C48" s="708" t="inlineStr">
        <is>
          <t>USD</t>
        </is>
      </c>
      <c r="D48" s="708" t="inlineStr">
        <is>
          <t>S0002348</t>
        </is>
      </c>
      <c r="E48" s="708" t="inlineStr">
        <is>
          <t>9 Story Distribution International Ltd</t>
        </is>
      </c>
      <c r="F48" s="708" t="inlineStr">
        <is>
          <t>Wild Kratts, Season 1</t>
        </is>
      </c>
      <c r="G48" s="708" t="inlineStr">
        <is>
          <t>KIDS</t>
        </is>
      </c>
      <c r="H48" s="83" t="n">
        <v>40</v>
      </c>
      <c r="I48" s="83" t="n">
        <v>4</v>
      </c>
      <c r="J48" s="83">
        <f>H48*I48</f>
        <v/>
      </c>
      <c r="K48" s="83" t="n">
        <v>252720000</v>
      </c>
      <c r="L48" s="83" t="n">
        <v>1579500</v>
      </c>
      <c r="M48" s="83">
        <f>J48-Q48</f>
        <v/>
      </c>
      <c r="N48" s="83">
        <f>K48-R48</f>
        <v/>
      </c>
      <c r="O48" s="517" t="n">
        <v>44682</v>
      </c>
      <c r="P48" s="517" t="n">
        <v>46142</v>
      </c>
      <c r="Q48" s="83" t="n">
        <v>80</v>
      </c>
      <c r="R48" s="84" t="n">
        <v>126360000</v>
      </c>
      <c r="S48" s="83" t="n">
        <v>0</v>
      </c>
      <c r="T48" s="84" t="n">
        <v>0</v>
      </c>
      <c r="U48" s="83" t="n">
        <v>40</v>
      </c>
      <c r="V48" s="84">
        <f>U48*L48</f>
        <v/>
      </c>
      <c r="W48" s="83">
        <f>Q48+S48-U48</f>
        <v/>
      </c>
      <c r="X48" s="84">
        <f>R48+T48-V48</f>
        <v/>
      </c>
      <c r="Y48" s="85" t="inlineStr">
        <is>
          <t>P221ZZKI01</t>
        </is>
      </c>
      <c r="Z48" s="86" t="inlineStr">
        <is>
          <t>15661</t>
        </is>
      </c>
      <c r="AA48" s="86" t="inlineStr">
        <is>
          <t>33561</t>
        </is>
      </c>
      <c r="AB48" s="86" t="inlineStr">
        <is>
          <t>6277651</t>
        </is>
      </c>
      <c r="AC48" s="86" t="inlineStr">
        <is>
          <t>Kids</t>
        </is>
      </c>
      <c r="AD48" s="76">
        <f>COUNTIF('KK1. Movies'!AI:AI,'TK 15661.Bản quyền phim '!F48)</f>
        <v/>
      </c>
      <c r="AE48" s="76">
        <f>COUNTIF('KK2. Series'!AM:AM,'TK 15661.Bản quyền phim '!F48)</f>
        <v/>
      </c>
      <c r="AF48" s="76">
        <f>COUNTIF('KK3. Kids'!AF:AF,'TK 15661.Bản quyền phim '!F48)</f>
        <v/>
      </c>
      <c r="AG48" s="76" t="n"/>
      <c r="AH48" s="76">
        <f>IF(SUM(AD48:AG48)&gt;0,"OK",0)</f>
        <v/>
      </c>
    </row>
    <row r="49" hidden="1" s="578">
      <c r="A49" s="32" t="n"/>
      <c r="B49" s="74" t="inlineStr">
        <is>
          <t>K+5KID022204</t>
        </is>
      </c>
      <c r="C49" s="708" t="inlineStr">
        <is>
          <t>USD</t>
        </is>
      </c>
      <c r="D49" s="708" t="inlineStr">
        <is>
          <t>S0002348</t>
        </is>
      </c>
      <c r="E49" s="708" t="inlineStr">
        <is>
          <t>9 Story Distribution International Ltd</t>
        </is>
      </c>
      <c r="F49" s="708" t="inlineStr">
        <is>
          <t>Peg and Cat, Season 1</t>
        </is>
      </c>
      <c r="G49" s="708" t="inlineStr">
        <is>
          <t>KIDS</t>
        </is>
      </c>
      <c r="H49" s="83" t="n">
        <v>80</v>
      </c>
      <c r="I49" s="83" t="n">
        <v>4</v>
      </c>
      <c r="J49" s="83">
        <f>H49*I49</f>
        <v/>
      </c>
      <c r="K49" s="83" t="n">
        <v>252720000</v>
      </c>
      <c r="L49" s="83" t="n">
        <v>789750</v>
      </c>
      <c r="M49" s="83">
        <f>J49-Q49</f>
        <v/>
      </c>
      <c r="N49" s="83">
        <f>K49-R49</f>
        <v/>
      </c>
      <c r="O49" s="517" t="n">
        <v>44727</v>
      </c>
      <c r="P49" s="517" t="n">
        <v>46187</v>
      </c>
      <c r="Q49" s="83" t="n">
        <v>80</v>
      </c>
      <c r="R49" s="84" t="n">
        <v>63180000</v>
      </c>
      <c r="S49" s="83" t="n">
        <v>0</v>
      </c>
      <c r="T49" s="84" t="n">
        <v>0</v>
      </c>
      <c r="U49" s="83" t="n">
        <v>80</v>
      </c>
      <c r="V49" s="84">
        <f>U49*L49</f>
        <v/>
      </c>
      <c r="W49" s="83">
        <f>Q49+S49-U49</f>
        <v/>
      </c>
      <c r="X49" s="84">
        <f>R49+T49-V49</f>
        <v/>
      </c>
      <c r="Y49" s="85" t="inlineStr">
        <is>
          <t>P221ZZKI01</t>
        </is>
      </c>
      <c r="Z49" s="86" t="inlineStr">
        <is>
          <t>15661</t>
        </is>
      </c>
      <c r="AA49" s="86" t="inlineStr">
        <is>
          <t>33561</t>
        </is>
      </c>
      <c r="AB49" s="86" t="inlineStr">
        <is>
          <t>6277651</t>
        </is>
      </c>
      <c r="AC49" s="86" t="inlineStr">
        <is>
          <t>Kids</t>
        </is>
      </c>
      <c r="AD49" s="76">
        <f>COUNTIF('KK1. Movies'!AI:AI,'TK 15661.Bản quyền phim '!F49)</f>
        <v/>
      </c>
      <c r="AE49" s="76">
        <f>COUNTIF('KK2. Series'!AM:AM,'TK 15661.Bản quyền phim '!F49)</f>
        <v/>
      </c>
      <c r="AF49" s="76">
        <f>COUNTIF('KK3. Kids'!AF:AF,'TK 15661.Bản quyền phim '!F49)</f>
        <v/>
      </c>
      <c r="AG49" s="76" t="n"/>
      <c r="AH49" s="76">
        <f>IF(SUM(AD49:AG49)&gt;0,"OK",0)</f>
        <v/>
      </c>
    </row>
    <row r="50" hidden="1" s="578">
      <c r="A50" s="30">
        <f>(U50-H50)*L50</f>
        <v/>
      </c>
      <c r="B50" s="74" t="inlineStr">
        <is>
          <t>K+5KID022205</t>
        </is>
      </c>
      <c r="C50" s="708" t="inlineStr">
        <is>
          <t>USD</t>
        </is>
      </c>
      <c r="D50" s="708" t="inlineStr">
        <is>
          <t>S0002348</t>
        </is>
      </c>
      <c r="E50" s="708" t="inlineStr">
        <is>
          <t>9 Story Distribution International Ltd</t>
        </is>
      </c>
      <c r="F50" s="708" t="inlineStr">
        <is>
          <t>Peg and Cat, Season 2</t>
        </is>
      </c>
      <c r="G50" s="708" t="inlineStr">
        <is>
          <t>KIDS</t>
        </is>
      </c>
      <c r="H50" s="83" t="n">
        <v>50</v>
      </c>
      <c r="I50" s="83" t="n">
        <v>4</v>
      </c>
      <c r="J50" s="83">
        <f>H50*I50</f>
        <v/>
      </c>
      <c r="K50" s="83" t="n">
        <v>157950000</v>
      </c>
      <c r="L50" s="83" t="n">
        <v>789750</v>
      </c>
      <c r="M50" s="83">
        <f>J50-Q50</f>
        <v/>
      </c>
      <c r="N50" s="83">
        <f>K50-R50</f>
        <v/>
      </c>
      <c r="O50" s="517" t="n">
        <v>44774</v>
      </c>
      <c r="P50" s="517" t="n">
        <v>46234</v>
      </c>
      <c r="Q50" s="83" t="n">
        <v>50</v>
      </c>
      <c r="R50" s="84" t="n">
        <v>39487500</v>
      </c>
      <c r="S50" s="83" t="n">
        <v>0</v>
      </c>
      <c r="T50" s="84" t="n">
        <v>0</v>
      </c>
      <c r="U50" s="83" t="n">
        <v>50</v>
      </c>
      <c r="V50" s="84">
        <f>U50*L50</f>
        <v/>
      </c>
      <c r="W50" s="83">
        <f>Q50+S50-U50</f>
        <v/>
      </c>
      <c r="X50" s="84">
        <f>R50+T50-V50</f>
        <v/>
      </c>
      <c r="Y50" s="85" t="inlineStr">
        <is>
          <t>P221ZZKI01</t>
        </is>
      </c>
      <c r="Z50" s="86" t="inlineStr">
        <is>
          <t>15661</t>
        </is>
      </c>
      <c r="AA50" s="86" t="inlineStr">
        <is>
          <t>33561</t>
        </is>
      </c>
      <c r="AB50" s="86" t="inlineStr">
        <is>
          <t>6277651</t>
        </is>
      </c>
      <c r="AC50" s="86" t="inlineStr">
        <is>
          <t>Kids</t>
        </is>
      </c>
      <c r="AD50" s="76">
        <f>COUNTIF('KK1. Movies'!AI:AI,'TK 15661.Bản quyền phim '!F50)</f>
        <v/>
      </c>
      <c r="AE50" s="76">
        <f>COUNTIF('KK2. Series'!AM:AM,'TK 15661.Bản quyền phim '!F50)</f>
        <v/>
      </c>
      <c r="AF50" s="76">
        <f>COUNTIF('KK3. Kids'!AF:AF,'TK 15661.Bản quyền phim '!F50)</f>
        <v/>
      </c>
      <c r="AG50" s="76" t="n"/>
      <c r="AH50" s="76">
        <f>IF(SUM(AD50:AG50)&gt;0,"OK",0)</f>
        <v/>
      </c>
    </row>
    <row r="51" hidden="1" ht="15.6" customHeight="1" s="578">
      <c r="A51" s="27" t="n"/>
      <c r="B51" s="74" t="inlineStr">
        <is>
          <t>K+1MOV022213</t>
        </is>
      </c>
      <c r="C51" s="708" t="inlineStr">
        <is>
          <t>VND</t>
        </is>
      </c>
      <c r="D51" s="708" t="inlineStr">
        <is>
          <t>S0001486</t>
        </is>
      </c>
      <c r="E51" s="708" t="inlineStr">
        <is>
          <t>Công ty TNHH Bình Hạnh Đan</t>
        </is>
      </c>
      <c r="F51" s="708" t="inlineStr">
        <is>
          <t>Maika – The Girl From Another Planet</t>
        </is>
      </c>
      <c r="G51" s="708" t="inlineStr">
        <is>
          <t>Movies Vietnam</t>
        </is>
      </c>
      <c r="H51" s="83" t="n">
        <v>1</v>
      </c>
      <c r="I51" s="83" t="n">
        <v>5</v>
      </c>
      <c r="J51" s="83">
        <f>H51*I51</f>
        <v/>
      </c>
      <c r="K51" s="83" t="n">
        <v>628533333</v>
      </c>
      <c r="L51" s="83" t="n">
        <v>125706666.6</v>
      </c>
      <c r="M51" s="83">
        <f>J51-Q51</f>
        <v/>
      </c>
      <c r="N51" s="83">
        <f>K51-R51</f>
        <v/>
      </c>
      <c r="O51" s="517" t="n">
        <v>44799</v>
      </c>
      <c r="P51" s="517" t="n">
        <v>46408</v>
      </c>
      <c r="Q51" s="83" t="n">
        <v>2</v>
      </c>
      <c r="R51" s="84" t="n">
        <v>251413333.2</v>
      </c>
      <c r="S51" s="83" t="n">
        <v>0</v>
      </c>
      <c r="T51" s="84" t="n">
        <v>0</v>
      </c>
      <c r="U51" s="83" t="n">
        <v>1</v>
      </c>
      <c r="V51" s="84">
        <f>U51*L51</f>
        <v/>
      </c>
      <c r="W51" s="83">
        <f>Q51+S51-U51</f>
        <v/>
      </c>
      <c r="X51" s="84">
        <f>R51+T51-V51</f>
        <v/>
      </c>
      <c r="Y51" s="85" t="inlineStr">
        <is>
          <t>P221ZZMO02</t>
        </is>
      </c>
      <c r="Z51" s="86" t="inlineStr">
        <is>
          <t>15661</t>
        </is>
      </c>
      <c r="AA51" s="86" t="inlineStr">
        <is>
          <t>33561</t>
        </is>
      </c>
      <c r="AB51" s="86" t="inlineStr">
        <is>
          <t>6277651</t>
        </is>
      </c>
      <c r="AC51" s="87" t="inlineStr">
        <is>
          <t>Movies</t>
        </is>
      </c>
      <c r="AD51" s="76">
        <f>COUNTIF('KK1. Movies'!AI:AI,'TK 15661.Bản quyền phim '!F51)</f>
        <v/>
      </c>
      <c r="AE51" s="76">
        <f>COUNTIF('KK2. Series'!AM:AM,'TK 15661.Bản quyền phim '!F51)</f>
        <v/>
      </c>
      <c r="AF51" s="76">
        <f>COUNTIF('KK3. Kids'!AF:AF,'TK 15661.Bản quyền phim '!F51)</f>
        <v/>
      </c>
      <c r="AG51" s="76" t="n"/>
      <c r="AH51" s="76">
        <f>IF(SUM(AD51:AG51)&gt;0,"OK",0)</f>
        <v/>
      </c>
    </row>
    <row r="52" hidden="1" ht="15.6" customHeight="1" s="578">
      <c r="A52" s="30">
        <f>(U52-H52)*L52</f>
        <v/>
      </c>
      <c r="B52" s="74" t="inlineStr">
        <is>
          <t>K+1SER022216</t>
        </is>
      </c>
      <c r="C52" s="708" t="inlineStr">
        <is>
          <t>USD</t>
        </is>
      </c>
      <c r="D52" s="708" t="inlineStr">
        <is>
          <t>S0002378</t>
        </is>
      </c>
      <c r="E52" s="708" t="inlineStr">
        <is>
          <t>CANAL+ MYANMAR HOLDING COMPANY PTE. LTD</t>
        </is>
      </c>
      <c r="F52" s="708" t="inlineStr">
        <is>
          <t>Lake Pyar S1</t>
        </is>
      </c>
      <c r="G52" s="708" t="inlineStr">
        <is>
          <t>Series International</t>
        </is>
      </c>
      <c r="H52" s="83" t="n">
        <v>8</v>
      </c>
      <c r="I52" s="83" t="n">
        <v>5</v>
      </c>
      <c r="J52" s="83">
        <f>H52*I52</f>
        <v/>
      </c>
      <c r="K52" s="83" t="n">
        <v>211555555.5555556</v>
      </c>
      <c r="L52" s="83" t="n">
        <v>5288888.888888889</v>
      </c>
      <c r="M52" s="83">
        <f>J52-Q52</f>
        <v/>
      </c>
      <c r="N52" s="83">
        <f>K52-R52</f>
        <v/>
      </c>
      <c r="O52" s="517" t="n">
        <v>44743</v>
      </c>
      <c r="P52" s="517" t="n">
        <v>46568</v>
      </c>
      <c r="Q52" s="83" t="n">
        <v>20</v>
      </c>
      <c r="R52" s="84" t="n">
        <v>105777777.7777778</v>
      </c>
      <c r="S52" s="83" t="n">
        <v>0</v>
      </c>
      <c r="T52" s="84" t="n">
        <v>0</v>
      </c>
      <c r="U52" s="83" t="n">
        <v>8</v>
      </c>
      <c r="V52" s="84">
        <f>U52*L52</f>
        <v/>
      </c>
      <c r="W52" s="83">
        <f>Q52+S52-U52</f>
        <v/>
      </c>
      <c r="X52" s="84">
        <f>R52+T52-V52</f>
        <v/>
      </c>
      <c r="Y52" s="85" t="inlineStr">
        <is>
          <t>P221ZZSR01</t>
        </is>
      </c>
      <c r="Z52" s="86" t="inlineStr">
        <is>
          <t>15661</t>
        </is>
      </c>
      <c r="AA52" s="86" t="inlineStr">
        <is>
          <t>33561</t>
        </is>
      </c>
      <c r="AB52" s="86" t="inlineStr">
        <is>
          <t>6277651</t>
        </is>
      </c>
      <c r="AC52" s="87" t="inlineStr">
        <is>
          <t>Series</t>
        </is>
      </c>
      <c r="AD52" s="76">
        <f>COUNTIF('KK1. Movies'!AI:AI,'TK 15661.Bản quyền phim '!F52)</f>
        <v/>
      </c>
      <c r="AE52" s="76">
        <f>COUNTIF('KK2. Series'!AM:AM,'TK 15661.Bản quyền phim '!F52)</f>
        <v/>
      </c>
      <c r="AF52" s="76">
        <f>COUNTIF('KK3. Kids'!AF:AF,'TK 15661.Bản quyền phim '!F52)</f>
        <v/>
      </c>
      <c r="AG52" s="76" t="n"/>
      <c r="AH52" s="76">
        <f>IF(SUM(AD52:AG52)&gt;0,"OK",0)</f>
        <v/>
      </c>
    </row>
    <row r="53" hidden="1" ht="15.6" customHeight="1" s="578">
      <c r="A53" s="30">
        <f>(U53-H53)*L53</f>
        <v/>
      </c>
      <c r="B53" s="74" t="inlineStr">
        <is>
          <t>K+1SER022217</t>
        </is>
      </c>
      <c r="C53" s="708" t="inlineStr">
        <is>
          <t>USD</t>
        </is>
      </c>
      <c r="D53" s="708" t="inlineStr">
        <is>
          <t>S0002378</t>
        </is>
      </c>
      <c r="E53" s="708" t="inlineStr">
        <is>
          <t>CANAL+ MYANMAR HOLDING COMPANY PTE. LTD</t>
        </is>
      </c>
      <c r="F53" s="708" t="inlineStr">
        <is>
          <t>Lake Pyar S2</t>
        </is>
      </c>
      <c r="G53" s="708" t="inlineStr">
        <is>
          <t>Series International</t>
        </is>
      </c>
      <c r="H53" s="83" t="n">
        <v>8</v>
      </c>
      <c r="I53" s="83" t="n">
        <v>5</v>
      </c>
      <c r="J53" s="83">
        <f>H53*I53</f>
        <v/>
      </c>
      <c r="K53" s="83" t="n">
        <v>211555555.5555556</v>
      </c>
      <c r="L53" s="83" t="n">
        <v>5288888.888888889</v>
      </c>
      <c r="M53" s="83">
        <f>J53-Q53</f>
        <v/>
      </c>
      <c r="N53" s="83">
        <f>K53-R53</f>
        <v/>
      </c>
      <c r="O53" s="517" t="n">
        <v>44743</v>
      </c>
      <c r="P53" s="517" t="n">
        <v>46568</v>
      </c>
      <c r="Q53" s="83" t="n">
        <v>24</v>
      </c>
      <c r="R53" s="84" t="n">
        <v>126933333.3333333</v>
      </c>
      <c r="S53" s="83" t="n">
        <v>0</v>
      </c>
      <c r="T53" s="84" t="n">
        <v>0</v>
      </c>
      <c r="U53" s="83" t="n">
        <v>8</v>
      </c>
      <c r="V53" s="84">
        <f>U53*L53</f>
        <v/>
      </c>
      <c r="W53" s="83">
        <f>Q53+S53-U53</f>
        <v/>
      </c>
      <c r="X53" s="84">
        <f>R53+T53-V53</f>
        <v/>
      </c>
      <c r="Y53" s="85" t="inlineStr">
        <is>
          <t>P221ZZSR01</t>
        </is>
      </c>
      <c r="Z53" s="86" t="inlineStr">
        <is>
          <t>15661</t>
        </is>
      </c>
      <c r="AA53" s="86" t="inlineStr">
        <is>
          <t>33561</t>
        </is>
      </c>
      <c r="AB53" s="86" t="inlineStr">
        <is>
          <t>6277651</t>
        </is>
      </c>
      <c r="AC53" s="87" t="inlineStr">
        <is>
          <t>Series</t>
        </is>
      </c>
      <c r="AD53" s="76">
        <f>COUNTIF('KK1. Movies'!AI:AI,'TK 15661.Bản quyền phim '!F53)</f>
        <v/>
      </c>
      <c r="AE53" s="76">
        <f>COUNTIF('KK2. Series'!AM:AM,'TK 15661.Bản quyền phim '!F53)</f>
        <v/>
      </c>
      <c r="AF53" s="76">
        <f>COUNTIF('KK3. Kids'!AF:AF,'TK 15661.Bản quyền phim '!F53)</f>
        <v/>
      </c>
      <c r="AG53" s="76" t="n"/>
      <c r="AH53" s="76">
        <f>IF(SUM(AD53:AG53)&gt;0,"OK",0)</f>
        <v/>
      </c>
    </row>
    <row r="54" hidden="1" ht="15.6" customHeight="1" s="578">
      <c r="B54" s="74" t="inlineStr">
        <is>
          <t>K+2SER022269</t>
        </is>
      </c>
      <c r="C54" s="708" t="inlineStr">
        <is>
          <t>USD</t>
        </is>
      </c>
      <c r="D54" s="708" t="inlineStr">
        <is>
          <t>SR0040</t>
        </is>
      </c>
      <c r="E54" s="708" t="inlineStr">
        <is>
          <t>King Content Co. Ltd</t>
        </is>
      </c>
      <c r="F54" s="708" t="inlineStr">
        <is>
          <t>Good job</t>
        </is>
      </c>
      <c r="G54" s="708" t="inlineStr">
        <is>
          <t>Series Asian</t>
        </is>
      </c>
      <c r="H54" s="83" t="n">
        <v>12</v>
      </c>
      <c r="I54" s="83" t="n">
        <v>3</v>
      </c>
      <c r="J54" s="83">
        <f>H54*I54</f>
        <v/>
      </c>
      <c r="K54" s="83" t="n">
        <v>542640000</v>
      </c>
      <c r="L54" s="83" t="n">
        <v>15073333.33333333</v>
      </c>
      <c r="M54" s="83">
        <f>J54-Q54</f>
        <v/>
      </c>
      <c r="N54" s="83">
        <f>K54-R54</f>
        <v/>
      </c>
      <c r="O54" s="517" t="n">
        <v>44945</v>
      </c>
      <c r="P54" s="517" t="n">
        <v>46040</v>
      </c>
      <c r="Q54" s="83" t="n">
        <v>12</v>
      </c>
      <c r="R54" s="84" t="n">
        <v>180880000</v>
      </c>
      <c r="S54" s="83" t="n">
        <v>0</v>
      </c>
      <c r="T54" s="84" t="n">
        <v>0</v>
      </c>
      <c r="U54" s="83" t="n">
        <v>12</v>
      </c>
      <c r="V54" s="84">
        <f>U54*L54</f>
        <v/>
      </c>
      <c r="W54" s="83">
        <f>Q54+S54-U54</f>
        <v/>
      </c>
      <c r="X54" s="84">
        <f>R54+T54-V54</f>
        <v/>
      </c>
      <c r="Y54" s="85" t="inlineStr">
        <is>
          <t>P221ZZSR01</t>
        </is>
      </c>
      <c r="Z54" s="86" t="inlineStr">
        <is>
          <t>15661</t>
        </is>
      </c>
      <c r="AA54" s="86" t="inlineStr">
        <is>
          <t>33561</t>
        </is>
      </c>
      <c r="AB54" s="86" t="inlineStr">
        <is>
          <t>6277651</t>
        </is>
      </c>
      <c r="AC54" s="87" t="inlineStr">
        <is>
          <t>Series</t>
        </is>
      </c>
      <c r="AD54" s="76">
        <f>COUNTIF('KK1. Movies'!AI:AI,'TK 15661.Bản quyền phim '!F54)</f>
        <v/>
      </c>
      <c r="AE54" s="76">
        <f>COUNTIF('KK2. Series'!AM:AM,'TK 15661.Bản quyền phim '!F54)</f>
        <v/>
      </c>
      <c r="AF54" s="76">
        <f>COUNTIF('KK3. Kids'!AF:AF,'TK 15661.Bản quyền phim '!F54)</f>
        <v/>
      </c>
      <c r="AG54" s="76" t="n"/>
      <c r="AH54" s="76">
        <f>IF(SUM(AD54:AG54)&gt;0,"OK",0)</f>
        <v/>
      </c>
    </row>
    <row r="55" hidden="1" ht="15.6" customHeight="1" s="578">
      <c r="B55" s="74" t="inlineStr">
        <is>
          <t>K+2SER022270</t>
        </is>
      </c>
      <c r="C55" s="708" t="inlineStr">
        <is>
          <t>USD</t>
        </is>
      </c>
      <c r="D55" s="708" t="inlineStr">
        <is>
          <t>SR0040</t>
        </is>
      </c>
      <c r="E55" s="708" t="inlineStr">
        <is>
          <t>King Content Co. Ltd</t>
        </is>
      </c>
      <c r="F55" s="708" t="inlineStr">
        <is>
          <t>King of tears - Lee Bangwon</t>
        </is>
      </c>
      <c r="G55" s="708" t="inlineStr">
        <is>
          <t>Series Asian</t>
        </is>
      </c>
      <c r="H55" s="83" t="n">
        <v>32</v>
      </c>
      <c r="I55" s="83" t="n">
        <v>3</v>
      </c>
      <c r="J55" s="83">
        <f>H55*I55</f>
        <v/>
      </c>
      <c r="K55" s="83" t="n">
        <v>2170560000</v>
      </c>
      <c r="L55" s="83" t="n">
        <v>22610000</v>
      </c>
      <c r="M55" s="83">
        <f>J55-Q55</f>
        <v/>
      </c>
      <c r="N55" s="83">
        <f>K55-R55</f>
        <v/>
      </c>
      <c r="O55" s="517" t="n">
        <v>44971</v>
      </c>
      <c r="P55" s="517" t="n">
        <v>46066</v>
      </c>
      <c r="Q55" s="83" t="n">
        <v>32</v>
      </c>
      <c r="R55" s="84" t="n">
        <v>723520000</v>
      </c>
      <c r="S55" s="83" t="n">
        <v>0</v>
      </c>
      <c r="T55" s="84" t="n">
        <v>0</v>
      </c>
      <c r="U55" s="83" t="n">
        <v>32</v>
      </c>
      <c r="V55" s="84">
        <f>U55*L55</f>
        <v/>
      </c>
      <c r="W55" s="83">
        <f>Q55+S55-U55</f>
        <v/>
      </c>
      <c r="X55" s="84">
        <f>R55+T55-V55</f>
        <v/>
      </c>
      <c r="Y55" s="85" t="inlineStr">
        <is>
          <t>P221ZZSR01</t>
        </is>
      </c>
      <c r="Z55" s="86" t="inlineStr">
        <is>
          <t>15661</t>
        </is>
      </c>
      <c r="AA55" s="86" t="inlineStr">
        <is>
          <t>33561</t>
        </is>
      </c>
      <c r="AB55" s="86" t="inlineStr">
        <is>
          <t>6277651</t>
        </is>
      </c>
      <c r="AC55" s="87" t="inlineStr">
        <is>
          <t>Series</t>
        </is>
      </c>
      <c r="AD55" s="76">
        <f>COUNTIF('KK1. Movies'!AI:AI,'TK 15661.Bản quyền phim '!F55)</f>
        <v/>
      </c>
      <c r="AE55" s="76">
        <f>COUNTIF('KK2. Series'!AM:AM,'TK 15661.Bản quyền phim '!F55)</f>
        <v/>
      </c>
      <c r="AF55" s="76">
        <f>COUNTIF('KK3. Kids'!AF:AF,'TK 15661.Bản quyền phim '!F55)</f>
        <v/>
      </c>
      <c r="AG55" s="76" t="n"/>
      <c r="AH55" s="76">
        <f>IF(SUM(AD55:AG55)&gt;0,"OK",0)</f>
        <v/>
      </c>
    </row>
    <row r="56" hidden="1" ht="15.6" customHeight="1" s="578">
      <c r="A56" s="30">
        <f>(U56-H56)*L56</f>
        <v/>
      </c>
      <c r="B56" s="74" t="inlineStr">
        <is>
          <t>K+1SER022271</t>
        </is>
      </c>
      <c r="C56" s="708" t="inlineStr">
        <is>
          <t>EUR</t>
        </is>
      </c>
      <c r="D56" s="708" t="inlineStr">
        <is>
          <t>S0001558</t>
        </is>
      </c>
      <c r="E56" s="708" t="inlineStr">
        <is>
          <t>StudioCanal TV Gmbh</t>
        </is>
      </c>
      <c r="F56" s="708" t="inlineStr">
        <is>
          <t>All those things we never said - season 1</t>
        </is>
      </c>
      <c r="G56" s="708" t="inlineStr">
        <is>
          <t>Series International</t>
        </is>
      </c>
      <c r="H56" s="83" t="n">
        <v>9</v>
      </c>
      <c r="I56" s="83" t="n">
        <v>10</v>
      </c>
      <c r="J56" s="83">
        <f>H56*I56</f>
        <v/>
      </c>
      <c r="K56" s="83" t="n">
        <v>1290000000</v>
      </c>
      <c r="L56" s="83" t="n">
        <v>14333333.33333333</v>
      </c>
      <c r="M56" s="83">
        <f>J56-Q56</f>
        <v/>
      </c>
      <c r="N56" s="83">
        <f>K56-R56</f>
        <v/>
      </c>
      <c r="O56" s="517" t="n">
        <v>44958</v>
      </c>
      <c r="P56" s="517" t="n">
        <v>48611</v>
      </c>
      <c r="Q56" s="83" t="n">
        <v>72</v>
      </c>
      <c r="R56" s="84" t="n">
        <v>1032000000</v>
      </c>
      <c r="S56" s="83" t="n">
        <v>0</v>
      </c>
      <c r="T56" s="84" t="n">
        <v>0</v>
      </c>
      <c r="U56" s="83" t="n">
        <v>9</v>
      </c>
      <c r="V56" s="84">
        <f>U56*L56</f>
        <v/>
      </c>
      <c r="W56" s="83">
        <f>Q56+S56-U56</f>
        <v/>
      </c>
      <c r="X56" s="84">
        <f>R56+T56-V56</f>
        <v/>
      </c>
      <c r="Y56" s="85" t="inlineStr">
        <is>
          <t>P221ZZSR01</t>
        </is>
      </c>
      <c r="Z56" s="86" t="inlineStr">
        <is>
          <t>15661</t>
        </is>
      </c>
      <c r="AA56" s="86" t="inlineStr">
        <is>
          <t>33561</t>
        </is>
      </c>
      <c r="AB56" s="86" t="inlineStr">
        <is>
          <t>6277651</t>
        </is>
      </c>
      <c r="AC56" s="87" t="inlineStr">
        <is>
          <t>Series</t>
        </is>
      </c>
      <c r="AD56" s="76">
        <f>COUNTIF('KK1. Movies'!AI:AI,'TK 15661.Bản quyền phim '!F56)</f>
        <v/>
      </c>
      <c r="AE56" s="76">
        <f>COUNTIF('KK2. Series'!AM:AM,'TK 15661.Bản quyền phim '!F56)</f>
        <v/>
      </c>
      <c r="AF56" s="76">
        <f>COUNTIF('KK3. Kids'!AF:AF,'TK 15661.Bản quyền phim '!F56)</f>
        <v/>
      </c>
      <c r="AG56" s="76" t="n"/>
      <c r="AH56" s="76">
        <f>IF(SUM(AD56:AG56)&gt;0,"OK",0)</f>
        <v/>
      </c>
    </row>
    <row r="57" hidden="1" ht="15.6" customHeight="1" s="578">
      <c r="A57" s="30">
        <f>(U57-H57)*L57</f>
        <v/>
      </c>
      <c r="B57" s="74" t="inlineStr">
        <is>
          <t>K+2SER023001</t>
        </is>
      </c>
      <c r="C57" s="708" t="inlineStr">
        <is>
          <t>USD</t>
        </is>
      </c>
      <c r="D57" s="708" t="inlineStr">
        <is>
          <t>SR0051</t>
        </is>
      </c>
      <c r="E57" s="708" t="inlineStr">
        <is>
          <t>YOUHUG MEDIA LIMITED</t>
        </is>
      </c>
      <c r="F57" s="708" t="inlineStr">
        <is>
          <t>Are you safe</t>
        </is>
      </c>
      <c r="G57" s="708" t="inlineStr">
        <is>
          <t>Series International</t>
        </is>
      </c>
      <c r="H57" s="83" t="n">
        <v>24</v>
      </c>
      <c r="I57" s="83" t="n">
        <v>5</v>
      </c>
      <c r="J57" s="83">
        <f>H57*I57</f>
        <v/>
      </c>
      <c r="K57" s="83" t="n">
        <v>573600000</v>
      </c>
      <c r="L57" s="83" t="n">
        <v>4780000</v>
      </c>
      <c r="M57" s="83">
        <f>J57-Q57</f>
        <v/>
      </c>
      <c r="N57" s="83">
        <f>K57-R57</f>
        <v/>
      </c>
      <c r="O57" s="517" t="n">
        <v>44971</v>
      </c>
      <c r="P57" s="517" t="n">
        <v>46796</v>
      </c>
      <c r="Q57" s="83" t="n">
        <v>72</v>
      </c>
      <c r="R57" s="84" t="n">
        <v>344160000</v>
      </c>
      <c r="S57" s="83" t="n">
        <v>0</v>
      </c>
      <c r="T57" s="84" t="n">
        <v>0</v>
      </c>
      <c r="U57" s="83" t="n">
        <v>24</v>
      </c>
      <c r="V57" s="84">
        <f>U57*L57</f>
        <v/>
      </c>
      <c r="W57" s="83">
        <f>Q57+S57-U57</f>
        <v/>
      </c>
      <c r="X57" s="84">
        <f>R57+T57-V57</f>
        <v/>
      </c>
      <c r="Y57" s="85" t="inlineStr">
        <is>
          <t>P221ZZSR01</t>
        </is>
      </c>
      <c r="Z57" s="86" t="inlineStr">
        <is>
          <t>15661</t>
        </is>
      </c>
      <c r="AA57" s="86" t="inlineStr">
        <is>
          <t>33561</t>
        </is>
      </c>
      <c r="AB57" s="86" t="inlineStr">
        <is>
          <t>6277651</t>
        </is>
      </c>
      <c r="AC57" s="87" t="inlineStr">
        <is>
          <t>Series</t>
        </is>
      </c>
      <c r="AD57" s="76">
        <f>COUNTIF('KK1. Movies'!AI:AI,'TK 15661.Bản quyền phim '!F57)</f>
        <v/>
      </c>
      <c r="AE57" s="76">
        <f>COUNTIF('KK2. Series'!AM:AM,'TK 15661.Bản quyền phim '!F57)</f>
        <v/>
      </c>
      <c r="AF57" s="76">
        <f>COUNTIF('KK3. Kids'!AF:AF,'TK 15661.Bản quyền phim '!F57)</f>
        <v/>
      </c>
      <c r="AG57" s="76" t="n"/>
      <c r="AH57" s="76">
        <f>IF(SUM(AD57:AG57)&gt;0,"OK",0)</f>
        <v/>
      </c>
    </row>
    <row r="58" hidden="1" ht="15.6" customHeight="1" s="578">
      <c r="A58" s="27" t="n"/>
      <c r="B58" s="74" t="inlineStr">
        <is>
          <t>K+1MOV023004</t>
        </is>
      </c>
      <c r="C58" s="708" t="inlineStr">
        <is>
          <t>VND</t>
        </is>
      </c>
      <c r="D58" s="708" t="inlineStr">
        <is>
          <t>S0001804</t>
        </is>
      </c>
      <c r="E58" s="708" t="inlineStr">
        <is>
          <t>CÔNG TY TNHH TRUYỀN THÔNG ROSES</t>
        </is>
      </c>
      <c r="F58" s="708" t="inlineStr">
        <is>
          <t>Hitman's Wife's Bodyguard</t>
        </is>
      </c>
      <c r="G58" s="708" t="inlineStr">
        <is>
          <t>Movies International</t>
        </is>
      </c>
      <c r="H58" s="83" t="n">
        <v>1</v>
      </c>
      <c r="I58" s="83" t="n">
        <v>3</v>
      </c>
      <c r="J58" s="83">
        <f>H58*I58</f>
        <v/>
      </c>
      <c r="K58" s="83" t="n">
        <v>90000000</v>
      </c>
      <c r="L58" s="83" t="n">
        <v>30000000</v>
      </c>
      <c r="M58" s="83">
        <f>J58-Q58</f>
        <v/>
      </c>
      <c r="N58" s="83">
        <f>K58-R58</f>
        <v/>
      </c>
      <c r="O58" s="517" t="n">
        <v>44951</v>
      </c>
      <c r="P58" s="517" t="n">
        <v>46046</v>
      </c>
      <c r="Q58" s="83" t="n">
        <v>1</v>
      </c>
      <c r="R58" s="84" t="n">
        <v>30000000</v>
      </c>
      <c r="S58" s="83" t="n">
        <v>0</v>
      </c>
      <c r="T58" s="84" t="n">
        <v>0</v>
      </c>
      <c r="U58" s="83" t="n">
        <v>1</v>
      </c>
      <c r="V58" s="84">
        <f>U58*L58</f>
        <v/>
      </c>
      <c r="W58" s="83">
        <f>Q58+S58-U58</f>
        <v/>
      </c>
      <c r="X58" s="84">
        <f>R58+T58-V58</f>
        <v/>
      </c>
      <c r="Y58" s="85" t="inlineStr">
        <is>
          <t>P221ZZMO01</t>
        </is>
      </c>
      <c r="Z58" s="86" t="inlineStr">
        <is>
          <t>15661</t>
        </is>
      </c>
      <c r="AA58" s="86" t="inlineStr">
        <is>
          <t>33561</t>
        </is>
      </c>
      <c r="AB58" s="86" t="inlineStr">
        <is>
          <t>6277651</t>
        </is>
      </c>
      <c r="AC58" s="87" t="inlineStr">
        <is>
          <t>Movies</t>
        </is>
      </c>
      <c r="AD58" s="76">
        <f>COUNTIF('KK1. Movies'!AI:AI,'TK 15661.Bản quyền phim '!F58)</f>
        <v/>
      </c>
      <c r="AE58" s="76">
        <f>COUNTIF('KK2. Series'!AM:AM,'TK 15661.Bản quyền phim '!F58)</f>
        <v/>
      </c>
      <c r="AF58" s="76">
        <f>COUNTIF('KK3. Kids'!AF:AF,'TK 15661.Bản quyền phim '!F58)</f>
        <v/>
      </c>
      <c r="AG58" s="76" t="n"/>
      <c r="AH58" s="76">
        <f>IF(SUM(AD58:AG58)&gt;0,"OK",0)</f>
        <v/>
      </c>
    </row>
    <row r="59" hidden="1" ht="15.6" customHeight="1" s="578">
      <c r="A59" s="27" t="n"/>
      <c r="B59" s="74" t="inlineStr">
        <is>
          <t>K+1MOV023005</t>
        </is>
      </c>
      <c r="C59" s="708" t="inlineStr">
        <is>
          <t>VND</t>
        </is>
      </c>
      <c r="D59" s="708" t="inlineStr">
        <is>
          <t>S0001804</t>
        </is>
      </c>
      <c r="E59" s="708" t="inlineStr">
        <is>
          <t>CÔNG TY TNHH TRUYỀN THÔNG ROSES</t>
        </is>
      </c>
      <c r="F59" s="708" t="inlineStr">
        <is>
          <t>The Personal History of David Copperfield</t>
        </is>
      </c>
      <c r="G59" s="708" t="inlineStr">
        <is>
          <t>Movies International</t>
        </is>
      </c>
      <c r="H59" s="83" t="n">
        <v>1</v>
      </c>
      <c r="I59" s="83" t="n">
        <v>3</v>
      </c>
      <c r="J59" s="83">
        <f>H59*I59</f>
        <v/>
      </c>
      <c r="K59" s="83" t="n">
        <v>81428571</v>
      </c>
      <c r="L59" s="83" t="n">
        <v>27142857</v>
      </c>
      <c r="M59" s="83">
        <f>J59-Q59</f>
        <v/>
      </c>
      <c r="N59" s="83">
        <f>K59-R59</f>
        <v/>
      </c>
      <c r="O59" s="517" t="n">
        <v>45029</v>
      </c>
      <c r="P59" s="517" t="n">
        <v>46124</v>
      </c>
      <c r="Q59" s="83" t="n">
        <v>1</v>
      </c>
      <c r="R59" s="84" t="n">
        <v>27142857</v>
      </c>
      <c r="S59" s="83" t="n">
        <v>0</v>
      </c>
      <c r="T59" s="84" t="n">
        <v>0</v>
      </c>
      <c r="U59" s="83" t="n">
        <v>1</v>
      </c>
      <c r="V59" s="84">
        <f>U59*L59</f>
        <v/>
      </c>
      <c r="W59" s="83">
        <f>Q59+S59-U59</f>
        <v/>
      </c>
      <c r="X59" s="84">
        <f>R59+T59-V59</f>
        <v/>
      </c>
      <c r="Y59" s="85" t="inlineStr">
        <is>
          <t>P221ZZMO01</t>
        </is>
      </c>
      <c r="Z59" s="86" t="inlineStr">
        <is>
          <t>15661</t>
        </is>
      </c>
      <c r="AA59" s="86" t="inlineStr">
        <is>
          <t>33561</t>
        </is>
      </c>
      <c r="AB59" s="86" t="inlineStr">
        <is>
          <t>6277651</t>
        </is>
      </c>
      <c r="AC59" s="87" t="inlineStr">
        <is>
          <t>Movies</t>
        </is>
      </c>
      <c r="AD59" s="76">
        <f>COUNTIF('KK1. Movies'!AI:AI,'TK 15661.Bản quyền phim '!F59)</f>
        <v/>
      </c>
      <c r="AE59" s="76">
        <f>COUNTIF('KK2. Series'!AM:AM,'TK 15661.Bản quyền phim '!F59)</f>
        <v/>
      </c>
      <c r="AF59" s="76">
        <f>COUNTIF('KK3. Kids'!AF:AF,'TK 15661.Bản quyền phim '!F59)</f>
        <v/>
      </c>
      <c r="AG59" s="76" t="n"/>
      <c r="AH59" s="76">
        <f>IF(SUM(AD59:AG59)&gt;0,"OK",0)</f>
        <v/>
      </c>
    </row>
    <row r="60" hidden="1" ht="15.6" customHeight="1" s="578">
      <c r="A60" s="27" t="n"/>
      <c r="B60" s="74" t="inlineStr">
        <is>
          <t>K+1MOV023006</t>
        </is>
      </c>
      <c r="C60" s="708" t="inlineStr">
        <is>
          <t>VND</t>
        </is>
      </c>
      <c r="D60" s="708" t="inlineStr">
        <is>
          <t>S0001804</t>
        </is>
      </c>
      <c r="E60" s="708" t="inlineStr">
        <is>
          <t>CÔNG TY TNHH TRUYỀN THÔNG ROSES</t>
        </is>
      </c>
      <c r="F60" s="708" t="inlineStr">
        <is>
          <t>SKYLIN3S</t>
        </is>
      </c>
      <c r="G60" s="708" t="inlineStr">
        <is>
          <t>Movies International</t>
        </is>
      </c>
      <c r="H60" s="83" t="n">
        <v>1</v>
      </c>
      <c r="I60" s="83" t="n">
        <v>3</v>
      </c>
      <c r="J60" s="83">
        <f>H60*I60</f>
        <v/>
      </c>
      <c r="K60" s="83" t="n">
        <v>72857143</v>
      </c>
      <c r="L60" s="83" t="n">
        <v>24285714.33333333</v>
      </c>
      <c r="M60" s="83">
        <f>J60-Q60</f>
        <v/>
      </c>
      <c r="N60" s="83">
        <f>K60-R60</f>
        <v/>
      </c>
      <c r="O60" s="517" t="n">
        <v>45042</v>
      </c>
      <c r="P60" s="517" t="n">
        <v>46137</v>
      </c>
      <c r="Q60" s="83" t="n">
        <v>1</v>
      </c>
      <c r="R60" s="84" t="n">
        <v>24285714.33333334</v>
      </c>
      <c r="S60" s="83" t="n">
        <v>0</v>
      </c>
      <c r="T60" s="84" t="n">
        <v>0</v>
      </c>
      <c r="U60" s="83" t="n">
        <v>1</v>
      </c>
      <c r="V60" s="84">
        <f>U60*L60</f>
        <v/>
      </c>
      <c r="W60" s="83">
        <f>Q60+S60-U60</f>
        <v/>
      </c>
      <c r="X60" s="84">
        <f>R60+T60-V60</f>
        <v/>
      </c>
      <c r="Y60" s="85" t="inlineStr">
        <is>
          <t>P221ZZMO01</t>
        </is>
      </c>
      <c r="Z60" s="86" t="inlineStr">
        <is>
          <t>15661</t>
        </is>
      </c>
      <c r="AA60" s="86" t="inlineStr">
        <is>
          <t>33561</t>
        </is>
      </c>
      <c r="AB60" s="86" t="inlineStr">
        <is>
          <t>6277651</t>
        </is>
      </c>
      <c r="AC60" s="87" t="inlineStr">
        <is>
          <t>Movies</t>
        </is>
      </c>
      <c r="AD60" s="76">
        <f>COUNTIF('KK1. Movies'!AI:AI,'TK 15661.Bản quyền phim '!F60)</f>
        <v/>
      </c>
      <c r="AE60" s="76">
        <f>COUNTIF('KK2. Series'!AM:AM,'TK 15661.Bản quyền phim '!F60)</f>
        <v/>
      </c>
      <c r="AF60" s="76">
        <f>COUNTIF('KK3. Kids'!AF:AF,'TK 15661.Bản quyền phim '!F60)</f>
        <v/>
      </c>
      <c r="AG60" s="76" t="n"/>
      <c r="AH60" s="76">
        <f>IF(SUM(AD60:AG60)&gt;0,"OK",0)</f>
        <v/>
      </c>
    </row>
    <row r="61" hidden="1" ht="15.6" customHeight="1" s="578">
      <c r="A61" s="27" t="n"/>
      <c r="B61" s="74" t="inlineStr">
        <is>
          <t>K+1MOV023007</t>
        </is>
      </c>
      <c r="C61" s="708" t="inlineStr">
        <is>
          <t>VND</t>
        </is>
      </c>
      <c r="D61" s="708" t="inlineStr">
        <is>
          <t>S0001804</t>
        </is>
      </c>
      <c r="E61" s="708" t="inlineStr">
        <is>
          <t>CÔNG TY TNHH TRUYỀN THÔNG ROSES</t>
        </is>
      </c>
      <c r="F61" s="708" t="inlineStr">
        <is>
          <t>Riam: Fighting Angel</t>
        </is>
      </c>
      <c r="G61" s="708" t="inlineStr">
        <is>
          <t>Movies International</t>
        </is>
      </c>
      <c r="H61" s="83" t="n">
        <v>1</v>
      </c>
      <c r="I61" s="83" t="n">
        <v>3</v>
      </c>
      <c r="J61" s="83">
        <f>H61*I61</f>
        <v/>
      </c>
      <c r="K61" s="83" t="n">
        <v>72857143</v>
      </c>
      <c r="L61" s="83" t="n">
        <v>24285714.33333333</v>
      </c>
      <c r="M61" s="83">
        <f>J61-Q61</f>
        <v/>
      </c>
      <c r="N61" s="83">
        <f>K61-R61</f>
        <v/>
      </c>
      <c r="O61" s="517" t="n">
        <v>45064</v>
      </c>
      <c r="P61" s="517" t="n">
        <v>46159</v>
      </c>
      <c r="Q61" s="83" t="n">
        <v>1</v>
      </c>
      <c r="R61" s="84" t="n">
        <v>24285714.33333334</v>
      </c>
      <c r="S61" s="83" t="n">
        <v>0</v>
      </c>
      <c r="T61" s="84" t="n">
        <v>0</v>
      </c>
      <c r="U61" s="83" t="n">
        <v>1</v>
      </c>
      <c r="V61" s="84">
        <f>U61*L61</f>
        <v/>
      </c>
      <c r="W61" s="83">
        <f>Q61+S61-U61</f>
        <v/>
      </c>
      <c r="X61" s="84">
        <f>R61+T61-V61</f>
        <v/>
      </c>
      <c r="Y61" s="85" t="inlineStr">
        <is>
          <t>P221ZZMO01</t>
        </is>
      </c>
      <c r="Z61" s="86" t="inlineStr">
        <is>
          <t>15661</t>
        </is>
      </c>
      <c r="AA61" s="86" t="inlineStr">
        <is>
          <t>33561</t>
        </is>
      </c>
      <c r="AB61" s="86" t="inlineStr">
        <is>
          <t>6277651</t>
        </is>
      </c>
      <c r="AC61" s="87" t="inlineStr">
        <is>
          <t>Movies</t>
        </is>
      </c>
      <c r="AD61" s="76">
        <f>COUNTIF('KK1. Movies'!AI:AI,'TK 15661.Bản quyền phim '!F61)</f>
        <v/>
      </c>
      <c r="AE61" s="76">
        <f>COUNTIF('KK2. Series'!AM:AM,'TK 15661.Bản quyền phim '!F61)</f>
        <v/>
      </c>
      <c r="AF61" s="76">
        <f>COUNTIF('KK3. Kids'!AF:AF,'TK 15661.Bản quyền phim '!F61)</f>
        <v/>
      </c>
      <c r="AG61" s="76" t="n"/>
      <c r="AH61" s="76">
        <f>IF(SUM(AD61:AG61)&gt;0,"OK",0)</f>
        <v/>
      </c>
    </row>
    <row r="62" hidden="1" ht="15.6" customHeight="1" s="578">
      <c r="A62" s="27" t="n"/>
      <c r="B62" s="74" t="inlineStr">
        <is>
          <t>K+1MOV023008</t>
        </is>
      </c>
      <c r="C62" s="708" t="inlineStr">
        <is>
          <t>VND</t>
        </is>
      </c>
      <c r="D62" s="708" t="inlineStr">
        <is>
          <t>S0001804</t>
        </is>
      </c>
      <c r="E62" s="708" t="inlineStr">
        <is>
          <t>CÔNG TY TNHH TRUYỀN THÔNG ROSES</t>
        </is>
      </c>
      <c r="F62" s="708" t="inlineStr">
        <is>
          <t>Escape Plan 2: Hades</t>
        </is>
      </c>
      <c r="G62" s="708" t="inlineStr">
        <is>
          <t>Movies International</t>
        </is>
      </c>
      <c r="H62" s="83" t="n">
        <v>1</v>
      </c>
      <c r="I62" s="83" t="n">
        <v>3</v>
      </c>
      <c r="J62" s="83">
        <f>H62*I62</f>
        <v/>
      </c>
      <c r="K62" s="83" t="n">
        <v>72857143</v>
      </c>
      <c r="L62" s="83" t="n">
        <v>24285714.33333333</v>
      </c>
      <c r="M62" s="83">
        <f>J62-Q62</f>
        <v/>
      </c>
      <c r="N62" s="83">
        <f>K62-R62</f>
        <v/>
      </c>
      <c r="O62" s="517" t="n">
        <v>45070</v>
      </c>
      <c r="P62" s="517" t="n">
        <v>46165</v>
      </c>
      <c r="Q62" s="83" t="n">
        <v>1</v>
      </c>
      <c r="R62" s="84" t="n">
        <v>24285714.33333334</v>
      </c>
      <c r="S62" s="83" t="n">
        <v>0</v>
      </c>
      <c r="T62" s="84" t="n">
        <v>0</v>
      </c>
      <c r="U62" s="83" t="n">
        <v>1</v>
      </c>
      <c r="V62" s="84">
        <f>U62*L62</f>
        <v/>
      </c>
      <c r="W62" s="83">
        <f>Q62+S62-U62</f>
        <v/>
      </c>
      <c r="X62" s="84">
        <f>R62+T62-V62</f>
        <v/>
      </c>
      <c r="Y62" s="85" t="inlineStr">
        <is>
          <t>P221ZZMO01</t>
        </is>
      </c>
      <c r="Z62" s="86" t="inlineStr">
        <is>
          <t>15661</t>
        </is>
      </c>
      <c r="AA62" s="86" t="inlineStr">
        <is>
          <t>33561</t>
        </is>
      </c>
      <c r="AB62" s="86" t="inlineStr">
        <is>
          <t>6277651</t>
        </is>
      </c>
      <c r="AC62" s="87" t="inlineStr">
        <is>
          <t>Movies</t>
        </is>
      </c>
      <c r="AD62" s="76">
        <f>COUNTIF('KK1. Movies'!AI:AI,'TK 15661.Bản quyền phim '!F62)</f>
        <v/>
      </c>
      <c r="AE62" s="76">
        <f>COUNTIF('KK2. Series'!AM:AM,'TK 15661.Bản quyền phim '!F62)</f>
        <v/>
      </c>
      <c r="AF62" s="76">
        <f>COUNTIF('KK3. Kids'!AF:AF,'TK 15661.Bản quyền phim '!F62)</f>
        <v/>
      </c>
      <c r="AG62" s="76" t="n"/>
      <c r="AH62" s="76">
        <f>IF(SUM(AD62:AG62)&gt;0,"OK",0)</f>
        <v/>
      </c>
    </row>
    <row r="63" hidden="1" s="578">
      <c r="A63" s="27" t="n"/>
      <c r="B63" s="74" t="inlineStr">
        <is>
          <t>K+1MOV023009</t>
        </is>
      </c>
      <c r="C63" s="708" t="inlineStr">
        <is>
          <t>VND</t>
        </is>
      </c>
      <c r="D63" s="708" t="inlineStr">
        <is>
          <t>S0001804</t>
        </is>
      </c>
      <c r="E63" s="708" t="inlineStr">
        <is>
          <t>CÔNG TY TNHH TRUYỀN THÔNG ROSES</t>
        </is>
      </c>
      <c r="F63" s="708" t="inlineStr">
        <is>
          <t>ROGUE</t>
        </is>
      </c>
      <c r="G63" s="708" t="inlineStr">
        <is>
          <t>Movies International</t>
        </is>
      </c>
      <c r="H63" s="83" t="n">
        <v>1</v>
      </c>
      <c r="I63" s="83" t="n">
        <v>3</v>
      </c>
      <c r="J63" s="83">
        <f>H63*I63</f>
        <v/>
      </c>
      <c r="K63" s="83" t="n">
        <v>72857143</v>
      </c>
      <c r="L63" s="83" t="n">
        <v>24285714.33333333</v>
      </c>
      <c r="M63" s="83">
        <f>J63-Q63</f>
        <v/>
      </c>
      <c r="N63" s="83">
        <f>K63-R63</f>
        <v/>
      </c>
      <c r="O63" s="517" t="n">
        <v>45077</v>
      </c>
      <c r="P63" s="517" t="n">
        <v>46172</v>
      </c>
      <c r="Q63" s="83" t="n">
        <v>1</v>
      </c>
      <c r="R63" s="84" t="n">
        <v>24285714.33333334</v>
      </c>
      <c r="S63" s="83" t="n">
        <v>0</v>
      </c>
      <c r="T63" s="84" t="n">
        <v>0</v>
      </c>
      <c r="U63" s="83" t="n">
        <v>1</v>
      </c>
      <c r="V63" s="84">
        <f>U63*L63</f>
        <v/>
      </c>
      <c r="W63" s="83">
        <f>Q63+S63-U63</f>
        <v/>
      </c>
      <c r="X63" s="84">
        <f>R63+T63-V63</f>
        <v/>
      </c>
      <c r="Y63" s="85" t="inlineStr">
        <is>
          <t>P221ZZMO01</t>
        </is>
      </c>
      <c r="Z63" s="86" t="inlineStr">
        <is>
          <t>15661</t>
        </is>
      </c>
      <c r="AA63" s="86" t="inlineStr">
        <is>
          <t>33561</t>
        </is>
      </c>
      <c r="AB63" s="86" t="inlineStr">
        <is>
          <t>6277651</t>
        </is>
      </c>
      <c r="AC63" s="86" t="n"/>
      <c r="AD63" s="76">
        <f>COUNTIF('KK1. Movies'!AI:AI,'TK 15661.Bản quyền phim '!F63)</f>
        <v/>
      </c>
      <c r="AE63" s="76">
        <f>COUNTIF('KK2. Series'!AM:AM,'TK 15661.Bản quyền phim '!F63)</f>
        <v/>
      </c>
      <c r="AF63" s="76">
        <f>COUNTIF('KK3. Kids'!AF:AF,'TK 15661.Bản quyền phim '!F63)</f>
        <v/>
      </c>
      <c r="AG63" s="76" t="n"/>
      <c r="AH63" s="76">
        <f>IF(SUM(AD63:AG63)&gt;0,"OK",0)</f>
        <v/>
      </c>
    </row>
    <row r="64" hidden="1" ht="15.6" customHeight="1" s="578">
      <c r="A64" s="27" t="n"/>
      <c r="B64" s="74" t="inlineStr">
        <is>
          <t>K+1MOV023010</t>
        </is>
      </c>
      <c r="C64" s="708" t="inlineStr">
        <is>
          <t>VND</t>
        </is>
      </c>
      <c r="D64" s="708" t="inlineStr">
        <is>
          <t>S0001804</t>
        </is>
      </c>
      <c r="E64" s="708" t="inlineStr">
        <is>
          <t>CÔNG TY TNHH TRUYỀN THÔNG ROSES</t>
        </is>
      </c>
      <c r="F64" s="708" t="inlineStr">
        <is>
          <t>THE LEDGE</t>
        </is>
      </c>
      <c r="G64" s="708" t="inlineStr">
        <is>
          <t>Movies International</t>
        </is>
      </c>
      <c r="H64" s="83" t="n">
        <v>1</v>
      </c>
      <c r="I64" s="83" t="n">
        <v>3</v>
      </c>
      <c r="J64" s="83">
        <f>H64*I64</f>
        <v/>
      </c>
      <c r="K64" s="83" t="n">
        <v>77142857</v>
      </c>
      <c r="L64" s="83" t="n">
        <v>25714285.66666667</v>
      </c>
      <c r="M64" s="83">
        <f>J64-Q64</f>
        <v/>
      </c>
      <c r="N64" s="83">
        <f>K64-R64</f>
        <v/>
      </c>
      <c r="O64" s="517" t="n">
        <v>45127</v>
      </c>
      <c r="P64" s="517" t="n">
        <v>46222</v>
      </c>
      <c r="Q64" s="83" t="n">
        <v>1</v>
      </c>
      <c r="R64" s="84" t="n">
        <v>25714285.66666666</v>
      </c>
      <c r="S64" s="83" t="n">
        <v>0</v>
      </c>
      <c r="T64" s="84" t="n">
        <v>0</v>
      </c>
      <c r="U64" s="83" t="n">
        <v>1</v>
      </c>
      <c r="V64" s="84">
        <f>U64*L64</f>
        <v/>
      </c>
      <c r="W64" s="83">
        <f>Q64+S64-U64</f>
        <v/>
      </c>
      <c r="X64" s="84">
        <f>R64+T64-V64</f>
        <v/>
      </c>
      <c r="Y64" s="85" t="inlineStr">
        <is>
          <t>P221ZZMO01</t>
        </is>
      </c>
      <c r="Z64" s="86" t="inlineStr">
        <is>
          <t>15661</t>
        </is>
      </c>
      <c r="AA64" s="86" t="inlineStr">
        <is>
          <t>33561</t>
        </is>
      </c>
      <c r="AB64" s="86" t="inlineStr">
        <is>
          <t>6277651</t>
        </is>
      </c>
      <c r="AC64" s="87" t="inlineStr">
        <is>
          <t>Movies</t>
        </is>
      </c>
      <c r="AD64" s="76">
        <f>COUNTIF('KK1. Movies'!AI:AI,'TK 15661.Bản quyền phim '!F64)</f>
        <v/>
      </c>
      <c r="AE64" s="76">
        <f>COUNTIF('KK2. Series'!AM:AM,'TK 15661.Bản quyền phim '!F64)</f>
        <v/>
      </c>
      <c r="AF64" s="76">
        <f>COUNTIF('KK3. Kids'!AF:AF,'TK 15661.Bản quyền phim '!F64)</f>
        <v/>
      </c>
      <c r="AG64" s="76" t="n"/>
      <c r="AH64" s="76">
        <f>IF(SUM(AD64:AG64)&gt;0,"OK",0)</f>
        <v/>
      </c>
    </row>
    <row r="65" hidden="1" ht="15.6" customHeight="1" s="578">
      <c r="A65" s="27" t="n"/>
      <c r="B65" s="74" t="inlineStr">
        <is>
          <t>K+1MOV023011</t>
        </is>
      </c>
      <c r="C65" s="708" t="inlineStr">
        <is>
          <t>VND</t>
        </is>
      </c>
      <c r="D65" s="708" t="inlineStr">
        <is>
          <t>S0001804</t>
        </is>
      </c>
      <c r="E65" s="708" t="inlineStr">
        <is>
          <t>CÔNG TY TNHH TRUYỀN THÔNG ROSES</t>
        </is>
      </c>
      <c r="F65" s="708" t="inlineStr">
        <is>
          <t>Horizon Line</t>
        </is>
      </c>
      <c r="G65" s="708" t="inlineStr">
        <is>
          <t>Movies International</t>
        </is>
      </c>
      <c r="H65" s="83" t="n">
        <v>1</v>
      </c>
      <c r="I65" s="83" t="n">
        <v>3</v>
      </c>
      <c r="J65" s="83">
        <f>H65*I65</f>
        <v/>
      </c>
      <c r="K65" s="83" t="n">
        <v>72857143</v>
      </c>
      <c r="L65" s="83" t="n">
        <v>24285714.33333333</v>
      </c>
      <c r="M65" s="83">
        <f>J65-Q65</f>
        <v/>
      </c>
      <c r="N65" s="83">
        <f>K65-R65</f>
        <v/>
      </c>
      <c r="O65" s="517" t="n">
        <v>45127</v>
      </c>
      <c r="P65" s="517" t="n">
        <v>46222</v>
      </c>
      <c r="Q65" s="83" t="n">
        <v>1</v>
      </c>
      <c r="R65" s="84" t="n">
        <v>24285714.33333334</v>
      </c>
      <c r="S65" s="83" t="n">
        <v>0</v>
      </c>
      <c r="T65" s="84" t="n">
        <v>0</v>
      </c>
      <c r="U65" s="83" t="n">
        <v>1</v>
      </c>
      <c r="V65" s="84">
        <f>U65*L65</f>
        <v/>
      </c>
      <c r="W65" s="83">
        <f>Q65+S65-U65</f>
        <v/>
      </c>
      <c r="X65" s="84">
        <f>R65+T65-V65</f>
        <v/>
      </c>
      <c r="Y65" s="85" t="inlineStr">
        <is>
          <t>P221ZZMO01</t>
        </is>
      </c>
      <c r="Z65" s="86" t="inlineStr">
        <is>
          <t>15661</t>
        </is>
      </c>
      <c r="AA65" s="86" t="inlineStr">
        <is>
          <t>33561</t>
        </is>
      </c>
      <c r="AB65" s="86" t="inlineStr">
        <is>
          <t>6277651</t>
        </is>
      </c>
      <c r="AC65" s="87" t="inlineStr">
        <is>
          <t>Movies</t>
        </is>
      </c>
      <c r="AD65" s="76">
        <f>COUNTIF('KK1. Movies'!AI:AI,'TK 15661.Bản quyền phim '!F65)</f>
        <v/>
      </c>
      <c r="AE65" s="76">
        <f>COUNTIF('KK2. Series'!AM:AM,'TK 15661.Bản quyền phim '!F65)</f>
        <v/>
      </c>
      <c r="AF65" s="76">
        <f>COUNTIF('KK3. Kids'!AF:AF,'TK 15661.Bản quyền phim '!F65)</f>
        <v/>
      </c>
      <c r="AG65" s="76" t="n"/>
      <c r="AH65" s="76">
        <f>IF(SUM(AD65:AG65)&gt;0,"OK",0)</f>
        <v/>
      </c>
    </row>
    <row r="66" hidden="1" ht="15.6" customHeight="1" s="578">
      <c r="A66" s="27" t="n"/>
      <c r="B66" s="74" t="inlineStr">
        <is>
          <t>K+1MOV023012</t>
        </is>
      </c>
      <c r="C66" s="708" t="inlineStr">
        <is>
          <t>VND</t>
        </is>
      </c>
      <c r="D66" s="708" t="inlineStr">
        <is>
          <t>S0001804</t>
        </is>
      </c>
      <c r="E66" s="708" t="inlineStr">
        <is>
          <t>CÔNG TY TNHH TRUYỀN THÔNG ROSES</t>
        </is>
      </c>
      <c r="F66" s="708" t="inlineStr">
        <is>
          <t>Triple Threat</t>
        </is>
      </c>
      <c r="G66" s="708" t="inlineStr">
        <is>
          <t>Movies International</t>
        </is>
      </c>
      <c r="H66" s="83" t="n">
        <v>1</v>
      </c>
      <c r="I66" s="83" t="n">
        <v>3</v>
      </c>
      <c r="J66" s="83">
        <f>H66*I66</f>
        <v/>
      </c>
      <c r="K66" s="83" t="n">
        <v>72857143</v>
      </c>
      <c r="L66" s="83" t="n">
        <v>24285714.33333333</v>
      </c>
      <c r="M66" s="83">
        <f>J66-Q66</f>
        <v/>
      </c>
      <c r="N66" s="83">
        <f>K66-R66</f>
        <v/>
      </c>
      <c r="O66" s="517" t="n">
        <v>45161</v>
      </c>
      <c r="P66" s="517" t="n">
        <v>46256</v>
      </c>
      <c r="Q66" s="83" t="n">
        <v>1</v>
      </c>
      <c r="R66" s="84" t="n">
        <v>24285714.33333334</v>
      </c>
      <c r="S66" s="83" t="n">
        <v>0</v>
      </c>
      <c r="T66" s="84" t="n">
        <v>0</v>
      </c>
      <c r="U66" s="83" t="n">
        <v>1</v>
      </c>
      <c r="V66" s="84">
        <f>U66*L66</f>
        <v/>
      </c>
      <c r="W66" s="83">
        <f>Q66+S66-U66</f>
        <v/>
      </c>
      <c r="X66" s="84">
        <f>R66+T66-V66</f>
        <v/>
      </c>
      <c r="Y66" s="85" t="inlineStr">
        <is>
          <t>P221ZZMO01</t>
        </is>
      </c>
      <c r="Z66" s="86" t="inlineStr">
        <is>
          <t>15661</t>
        </is>
      </c>
      <c r="AA66" s="86" t="inlineStr">
        <is>
          <t>33561</t>
        </is>
      </c>
      <c r="AB66" s="86" t="inlineStr">
        <is>
          <t>6277651</t>
        </is>
      </c>
      <c r="AC66" s="87" t="inlineStr">
        <is>
          <t>Movies</t>
        </is>
      </c>
      <c r="AD66" s="76">
        <f>COUNTIF('KK1. Movies'!AI:AI,'TK 15661.Bản quyền phim '!F66)</f>
        <v/>
      </c>
      <c r="AE66" s="76">
        <f>COUNTIF('KK2. Series'!AM:AM,'TK 15661.Bản quyền phim '!F66)</f>
        <v/>
      </c>
      <c r="AF66" s="76">
        <f>COUNTIF('KK3. Kids'!AF:AF,'TK 15661.Bản quyền phim '!F66)</f>
        <v/>
      </c>
      <c r="AG66" s="76" t="n"/>
      <c r="AH66" s="76">
        <f>IF(SUM(AD66:AG66)&gt;0,"OK",0)</f>
        <v/>
      </c>
    </row>
    <row r="67" hidden="1" ht="15.6" customHeight="1" s="578">
      <c r="A67" s="27" t="n"/>
      <c r="B67" s="74" t="inlineStr">
        <is>
          <t>K+1MOV023013</t>
        </is>
      </c>
      <c r="C67" s="708" t="inlineStr">
        <is>
          <t>VND</t>
        </is>
      </c>
      <c r="D67" s="708" t="inlineStr">
        <is>
          <t>S0001804</t>
        </is>
      </c>
      <c r="E67" s="708" t="inlineStr">
        <is>
          <t>CÔNG TY TNHH TRUYỀN THÔNG ROSES</t>
        </is>
      </c>
      <c r="F67" s="708" t="inlineStr">
        <is>
          <t>Dangerous</t>
        </is>
      </c>
      <c r="G67" s="708" t="inlineStr">
        <is>
          <t>Movies International</t>
        </is>
      </c>
      <c r="H67" s="83" t="n">
        <v>1</v>
      </c>
      <c r="I67" s="83" t="n">
        <v>3</v>
      </c>
      <c r="J67" s="83">
        <f>H67*I67</f>
        <v/>
      </c>
      <c r="K67" s="83" t="n">
        <v>64285714</v>
      </c>
      <c r="L67" s="83" t="n">
        <v>21428571.33333333</v>
      </c>
      <c r="M67" s="83">
        <f>J67-Q67</f>
        <v/>
      </c>
      <c r="N67" s="83">
        <f>K67-R67</f>
        <v/>
      </c>
      <c r="O67" s="517" t="n">
        <v>45168</v>
      </c>
      <c r="P67" s="517" t="n">
        <v>46263</v>
      </c>
      <c r="Q67" s="83" t="n">
        <v>1</v>
      </c>
      <c r="R67" s="84" t="n">
        <v>21428571.33333334</v>
      </c>
      <c r="S67" s="83" t="n">
        <v>0</v>
      </c>
      <c r="T67" s="84" t="n">
        <v>0</v>
      </c>
      <c r="U67" s="83" t="n">
        <v>1</v>
      </c>
      <c r="V67" s="84">
        <f>U67*L67</f>
        <v/>
      </c>
      <c r="W67" s="83">
        <f>Q67+S67-U67</f>
        <v/>
      </c>
      <c r="X67" s="84">
        <f>R67+T67-V67</f>
        <v/>
      </c>
      <c r="Y67" s="85" t="inlineStr">
        <is>
          <t>P221ZZMO01</t>
        </is>
      </c>
      <c r="Z67" s="86" t="inlineStr">
        <is>
          <t>15661</t>
        </is>
      </c>
      <c r="AA67" s="86" t="inlineStr">
        <is>
          <t>33561</t>
        </is>
      </c>
      <c r="AB67" s="86" t="inlineStr">
        <is>
          <t>6277651</t>
        </is>
      </c>
      <c r="AC67" s="87" t="inlineStr">
        <is>
          <t>Movies</t>
        </is>
      </c>
      <c r="AD67" s="76">
        <f>COUNTIF('KK1. Movies'!AI:AI,'TK 15661.Bản quyền phim '!F67)</f>
        <v/>
      </c>
      <c r="AE67" s="76">
        <f>COUNTIF('KK2. Series'!AM:AM,'TK 15661.Bản quyền phim '!F67)</f>
        <v/>
      </c>
      <c r="AF67" s="76">
        <f>COUNTIF('KK3. Kids'!AF:AF,'TK 15661.Bản quyền phim '!F67)</f>
        <v/>
      </c>
      <c r="AG67" s="76" t="n"/>
      <c r="AH67" s="76">
        <f>IF(SUM(AD67:AG67)&gt;0,"OK",0)</f>
        <v/>
      </c>
    </row>
    <row r="68" hidden="1" ht="15.6" customHeight="1" s="578">
      <c r="A68" s="27" t="n"/>
      <c r="B68" s="74" t="inlineStr">
        <is>
          <t>K+1MOV023014</t>
        </is>
      </c>
      <c r="C68" s="708" t="inlineStr">
        <is>
          <t>VND</t>
        </is>
      </c>
      <c r="D68" s="708" t="inlineStr">
        <is>
          <t>S0001804</t>
        </is>
      </c>
      <c r="E68" s="708" t="inlineStr">
        <is>
          <t>CÔNG TY TNHH TRUYỀN THÔNG ROSES</t>
        </is>
      </c>
      <c r="F68" s="708" t="inlineStr">
        <is>
          <t>The Farewell</t>
        </is>
      </c>
      <c r="G68" s="708" t="inlineStr">
        <is>
          <t>Movies International</t>
        </is>
      </c>
      <c r="H68" s="83" t="n">
        <v>1</v>
      </c>
      <c r="I68" s="83" t="n">
        <v>3</v>
      </c>
      <c r="J68" s="83">
        <f>H68*I68</f>
        <v/>
      </c>
      <c r="K68" s="83" t="n">
        <v>85714286</v>
      </c>
      <c r="L68" s="83" t="n">
        <v>28571428.66666667</v>
      </c>
      <c r="M68" s="83">
        <f>J68-Q68</f>
        <v/>
      </c>
      <c r="N68" s="83">
        <f>K68-R68</f>
        <v/>
      </c>
      <c r="O68" s="517" t="n">
        <v>45169</v>
      </c>
      <c r="P68" s="517" t="n">
        <v>46264</v>
      </c>
      <c r="Q68" s="83" t="n">
        <v>1</v>
      </c>
      <c r="R68" s="84" t="n">
        <v>28571428.66666666</v>
      </c>
      <c r="S68" s="83" t="n">
        <v>0</v>
      </c>
      <c r="T68" s="84" t="n">
        <v>0</v>
      </c>
      <c r="U68" s="83" t="n">
        <v>1</v>
      </c>
      <c r="V68" s="84">
        <f>U68*L68</f>
        <v/>
      </c>
      <c r="W68" s="83">
        <f>Q68+S68-U68</f>
        <v/>
      </c>
      <c r="X68" s="84">
        <f>R68+T68-V68</f>
        <v/>
      </c>
      <c r="Y68" s="85" t="inlineStr">
        <is>
          <t>P221ZZMO01</t>
        </is>
      </c>
      <c r="Z68" s="86" t="inlineStr">
        <is>
          <t>15661</t>
        </is>
      </c>
      <c r="AA68" s="86" t="inlineStr">
        <is>
          <t>33561</t>
        </is>
      </c>
      <c r="AB68" s="86" t="inlineStr">
        <is>
          <t>6277651</t>
        </is>
      </c>
      <c r="AC68" s="87" t="inlineStr">
        <is>
          <t>Movies</t>
        </is>
      </c>
      <c r="AD68" s="76">
        <f>COUNTIF('KK1. Movies'!AI:AI,'TK 15661.Bản quyền phim '!F68)</f>
        <v/>
      </c>
      <c r="AE68" s="76">
        <f>COUNTIF('KK2. Series'!AM:AM,'TK 15661.Bản quyền phim '!F68)</f>
        <v/>
      </c>
      <c r="AF68" s="76">
        <f>COUNTIF('KK3. Kids'!AF:AF,'TK 15661.Bản quyền phim '!F68)</f>
        <v/>
      </c>
      <c r="AG68" s="76" t="n"/>
      <c r="AH68" s="76">
        <f>IF(SUM(AD68:AG68)&gt;0,"OK",0)</f>
        <v/>
      </c>
    </row>
    <row r="69" hidden="1" ht="15.6" customHeight="1" s="578">
      <c r="A69" s="27" t="n"/>
      <c r="B69" s="74" t="inlineStr">
        <is>
          <t>K+1MOV023015</t>
        </is>
      </c>
      <c r="C69" s="708" t="inlineStr">
        <is>
          <t>VND</t>
        </is>
      </c>
      <c r="D69" s="708" t="inlineStr">
        <is>
          <t>S0001804</t>
        </is>
      </c>
      <c r="E69" s="708" t="inlineStr">
        <is>
          <t>CÔNG TY TNHH TRUYỀN THÔNG ROSES</t>
        </is>
      </c>
      <c r="F69" s="708" t="inlineStr">
        <is>
          <t>The Ice Road</t>
        </is>
      </c>
      <c r="G69" s="708" t="inlineStr">
        <is>
          <t>Movies International</t>
        </is>
      </c>
      <c r="H69" s="83" t="n">
        <v>1</v>
      </c>
      <c r="I69" s="83" t="n">
        <v>3</v>
      </c>
      <c r="J69" s="83">
        <f>H69*I69</f>
        <v/>
      </c>
      <c r="K69" s="83" t="n">
        <v>77142857</v>
      </c>
      <c r="L69" s="83" t="n">
        <v>25714285.66666667</v>
      </c>
      <c r="M69" s="83">
        <f>J69-Q69</f>
        <v/>
      </c>
      <c r="N69" s="83">
        <f>K69-R69</f>
        <v/>
      </c>
      <c r="O69" s="517" t="n">
        <v>45170</v>
      </c>
      <c r="P69" s="517" t="n">
        <v>46295</v>
      </c>
      <c r="Q69" s="83" t="n">
        <v>1</v>
      </c>
      <c r="R69" s="84" t="n">
        <v>25714285.66666666</v>
      </c>
      <c r="S69" s="83" t="n">
        <v>0</v>
      </c>
      <c r="T69" s="84" t="n">
        <v>0</v>
      </c>
      <c r="U69" s="83" t="n">
        <v>1</v>
      </c>
      <c r="V69" s="84">
        <f>U69*L69</f>
        <v/>
      </c>
      <c r="W69" s="83">
        <f>Q69+S69-U69</f>
        <v/>
      </c>
      <c r="X69" s="84">
        <f>R69+T69-V69</f>
        <v/>
      </c>
      <c r="Y69" s="85" t="inlineStr">
        <is>
          <t>P221ZZMO01</t>
        </is>
      </c>
      <c r="Z69" s="86" t="inlineStr">
        <is>
          <t>15661</t>
        </is>
      </c>
      <c r="AA69" s="86" t="inlineStr">
        <is>
          <t>33561</t>
        </is>
      </c>
      <c r="AB69" s="86" t="inlineStr">
        <is>
          <t>6277651</t>
        </is>
      </c>
      <c r="AC69" s="87" t="inlineStr">
        <is>
          <t>Movies</t>
        </is>
      </c>
      <c r="AD69" s="76">
        <f>COUNTIF('KK1. Movies'!AI:AI,'TK 15661.Bản quyền phim '!F69)</f>
        <v/>
      </c>
      <c r="AE69" s="76">
        <f>COUNTIF('KK2. Series'!AM:AM,'TK 15661.Bản quyền phim '!F69)</f>
        <v/>
      </c>
      <c r="AF69" s="76">
        <f>COUNTIF('KK3. Kids'!AF:AF,'TK 15661.Bản quyền phim '!F69)</f>
        <v/>
      </c>
      <c r="AG69" s="76" t="n"/>
      <c r="AH69" s="76">
        <f>IF(SUM(AD69:AG69)&gt;0,"OK",0)</f>
        <v/>
      </c>
    </row>
    <row r="70" hidden="1" ht="15.6" customHeight="1" s="578">
      <c r="A70" s="27" t="n"/>
      <c r="B70" s="74" t="inlineStr">
        <is>
          <t>K+1MOV023016</t>
        </is>
      </c>
      <c r="C70" s="708" t="inlineStr">
        <is>
          <t>VND</t>
        </is>
      </c>
      <c r="D70" s="708" t="inlineStr">
        <is>
          <t>S0001804</t>
        </is>
      </c>
      <c r="E70" s="708" t="inlineStr">
        <is>
          <t>CÔNG TY TNHH TRUYỀN THÔNG ROSES</t>
        </is>
      </c>
      <c r="F70" s="708" t="inlineStr">
        <is>
          <t>Ironbark/The Courier</t>
        </is>
      </c>
      <c r="G70" s="708" t="inlineStr">
        <is>
          <t>Movies International</t>
        </is>
      </c>
      <c r="H70" s="83" t="n">
        <v>1</v>
      </c>
      <c r="I70" s="83" t="n">
        <v>3</v>
      </c>
      <c r="J70" s="83">
        <f>H70*I70</f>
        <v/>
      </c>
      <c r="K70" s="83" t="n">
        <v>81428571</v>
      </c>
      <c r="L70" s="83" t="n">
        <v>27142857</v>
      </c>
      <c r="M70" s="83">
        <f>J70-Q70</f>
        <v/>
      </c>
      <c r="N70" s="83">
        <f>K70-R70</f>
        <v/>
      </c>
      <c r="O70" s="517" t="n">
        <v>45191</v>
      </c>
      <c r="P70" s="517" t="n">
        <v>46286</v>
      </c>
      <c r="Q70" s="83" t="n">
        <v>1</v>
      </c>
      <c r="R70" s="84" t="n">
        <v>27142857</v>
      </c>
      <c r="S70" s="83" t="n">
        <v>0</v>
      </c>
      <c r="T70" s="84" t="n">
        <v>0</v>
      </c>
      <c r="U70" s="83" t="n">
        <v>1</v>
      </c>
      <c r="V70" s="84">
        <f>U70*L70</f>
        <v/>
      </c>
      <c r="W70" s="83">
        <f>Q70+S70-U70</f>
        <v/>
      </c>
      <c r="X70" s="84">
        <f>R70+T70-V70</f>
        <v/>
      </c>
      <c r="Y70" s="85" t="inlineStr">
        <is>
          <t>P221ZZMO01</t>
        </is>
      </c>
      <c r="Z70" s="86" t="inlineStr">
        <is>
          <t>15661</t>
        </is>
      </c>
      <c r="AA70" s="86" t="inlineStr">
        <is>
          <t>33561</t>
        </is>
      </c>
      <c r="AB70" s="86" t="inlineStr">
        <is>
          <t>6277651</t>
        </is>
      </c>
      <c r="AC70" s="87" t="inlineStr">
        <is>
          <t>Movies</t>
        </is>
      </c>
      <c r="AD70" s="76">
        <f>COUNTIF('KK1. Movies'!AI:AI,'TK 15661.Bản quyền phim '!F70)</f>
        <v/>
      </c>
      <c r="AE70" s="76">
        <f>COUNTIF('KK2. Series'!AM:AM,'TK 15661.Bản quyền phim '!F70)</f>
        <v/>
      </c>
      <c r="AF70" s="76">
        <f>COUNTIF('KK3. Kids'!AF:AF,'TK 15661.Bản quyền phim '!F70)</f>
        <v/>
      </c>
      <c r="AG70" s="76" t="n"/>
      <c r="AH70" s="76">
        <f>IF(SUM(AD70:AG70)&gt;0,"OK",0)</f>
        <v/>
      </c>
    </row>
    <row r="71" hidden="1" ht="15.6" customHeight="1" s="578">
      <c r="A71" s="27" t="n"/>
      <c r="B71" s="74" t="inlineStr">
        <is>
          <t>K+5MOV023017</t>
        </is>
      </c>
      <c r="C71" s="708" t="inlineStr">
        <is>
          <t>VND</t>
        </is>
      </c>
      <c r="D71" s="708" t="inlineStr">
        <is>
          <t>S0001804</t>
        </is>
      </c>
      <c r="E71" s="708" t="inlineStr">
        <is>
          <t>CÔNG TY TNHH TRUYỀN THÔNG ROSES</t>
        </is>
      </c>
      <c r="F71" s="708" t="inlineStr">
        <is>
          <t>Ainbo</t>
        </is>
      </c>
      <c r="G71" s="708" t="inlineStr">
        <is>
          <t>Movies International</t>
        </is>
      </c>
      <c r="H71" s="83" t="n">
        <v>1</v>
      </c>
      <c r="I71" s="83" t="n">
        <v>3</v>
      </c>
      <c r="J71" s="83">
        <f>H71*I71</f>
        <v/>
      </c>
      <c r="K71" s="83" t="n">
        <v>77142857</v>
      </c>
      <c r="L71" s="83" t="n">
        <v>25714285.66666667</v>
      </c>
      <c r="M71" s="83">
        <f>J71-Q71</f>
        <v/>
      </c>
      <c r="N71" s="83">
        <f>K71-R71</f>
        <v/>
      </c>
      <c r="O71" s="517" t="n">
        <v>45192</v>
      </c>
      <c r="P71" s="517" t="n">
        <v>46287</v>
      </c>
      <c r="Q71" s="83" t="n">
        <v>1</v>
      </c>
      <c r="R71" s="84" t="n">
        <v>25714285.66666666</v>
      </c>
      <c r="S71" s="83" t="n">
        <v>0</v>
      </c>
      <c r="T71" s="84" t="n">
        <v>0</v>
      </c>
      <c r="U71" s="83" t="n">
        <v>1</v>
      </c>
      <c r="V71" s="84">
        <f>U71*L71</f>
        <v/>
      </c>
      <c r="W71" s="83">
        <f>Q71+S71-U71</f>
        <v/>
      </c>
      <c r="X71" s="84">
        <f>R71+T71-V71</f>
        <v/>
      </c>
      <c r="Y71" s="85" t="inlineStr">
        <is>
          <t>P221ZZMO01</t>
        </is>
      </c>
      <c r="Z71" s="86" t="inlineStr">
        <is>
          <t>15661</t>
        </is>
      </c>
      <c r="AA71" s="86" t="inlineStr">
        <is>
          <t>33561</t>
        </is>
      </c>
      <c r="AB71" s="86" t="inlineStr">
        <is>
          <t>6277651</t>
        </is>
      </c>
      <c r="AC71" s="87" t="inlineStr">
        <is>
          <t>Movies</t>
        </is>
      </c>
      <c r="AD71" s="76">
        <f>COUNTIF('KK1. Movies'!AI:AI,'TK 15661.Bản quyền phim '!F71)</f>
        <v/>
      </c>
      <c r="AE71" s="76">
        <f>COUNTIF('KK2. Series'!AM:AM,'TK 15661.Bản quyền phim '!F71)</f>
        <v/>
      </c>
      <c r="AF71" s="76">
        <f>COUNTIF('KK3. Kids'!AF:AF,'TK 15661.Bản quyền phim '!F71)</f>
        <v/>
      </c>
      <c r="AG71" s="76" t="n"/>
      <c r="AH71" s="76">
        <f>IF(SUM(AD71:AG71)&gt;0,"OK",0)</f>
        <v/>
      </c>
    </row>
    <row r="72" hidden="1" ht="15.6" customHeight="1" s="578">
      <c r="A72" s="27" t="n"/>
      <c r="B72" s="74" t="inlineStr">
        <is>
          <t>K+1MOV023018</t>
        </is>
      </c>
      <c r="C72" s="708" t="inlineStr">
        <is>
          <t>VND</t>
        </is>
      </c>
      <c r="D72" s="708" t="inlineStr">
        <is>
          <t>S0001804</t>
        </is>
      </c>
      <c r="E72" s="708" t="inlineStr">
        <is>
          <t>CÔNG TY TNHH TRUYỀN THÔNG ROSES</t>
        </is>
      </c>
      <c r="F72" s="708" t="inlineStr">
        <is>
          <t>My Spy</t>
        </is>
      </c>
      <c r="G72" s="708" t="inlineStr">
        <is>
          <t>Movies International</t>
        </is>
      </c>
      <c r="H72" s="83" t="n">
        <v>1</v>
      </c>
      <c r="I72" s="83" t="n">
        <v>3</v>
      </c>
      <c r="J72" s="83">
        <f>H72*I72</f>
        <v/>
      </c>
      <c r="K72" s="83" t="n">
        <v>81428571</v>
      </c>
      <c r="L72" s="83" t="n">
        <v>27142857</v>
      </c>
      <c r="M72" s="83">
        <f>J72-Q72</f>
        <v/>
      </c>
      <c r="N72" s="83">
        <f>K72-R72</f>
        <v/>
      </c>
      <c r="O72" s="517" t="n">
        <v>45197</v>
      </c>
      <c r="P72" s="517" t="n">
        <v>46292</v>
      </c>
      <c r="Q72" s="83" t="n">
        <v>1</v>
      </c>
      <c r="R72" s="84" t="n">
        <v>27142857</v>
      </c>
      <c r="S72" s="83" t="n">
        <v>0</v>
      </c>
      <c r="T72" s="84" t="n">
        <v>0</v>
      </c>
      <c r="U72" s="83" t="n">
        <v>1</v>
      </c>
      <c r="V72" s="84">
        <f>U72*L72</f>
        <v/>
      </c>
      <c r="W72" s="83">
        <f>Q72+S72-U72</f>
        <v/>
      </c>
      <c r="X72" s="84">
        <f>R72+T72-V72</f>
        <v/>
      </c>
      <c r="Y72" s="85" t="inlineStr">
        <is>
          <t>P221ZZMO01</t>
        </is>
      </c>
      <c r="Z72" s="86" t="inlineStr">
        <is>
          <t>15661</t>
        </is>
      </c>
      <c r="AA72" s="86" t="inlineStr">
        <is>
          <t>33561</t>
        </is>
      </c>
      <c r="AB72" s="86" t="inlineStr">
        <is>
          <t>6277651</t>
        </is>
      </c>
      <c r="AC72" s="87" t="inlineStr">
        <is>
          <t>Movies</t>
        </is>
      </c>
      <c r="AD72" s="76">
        <f>COUNTIF('KK1. Movies'!AI:AI,'TK 15661.Bản quyền phim '!F72)</f>
        <v/>
      </c>
      <c r="AE72" s="76">
        <f>COUNTIF('KK2. Series'!AM:AM,'TK 15661.Bản quyền phim '!F72)</f>
        <v/>
      </c>
      <c r="AF72" s="76">
        <f>COUNTIF('KK3. Kids'!AF:AF,'TK 15661.Bản quyền phim '!F72)</f>
        <v/>
      </c>
      <c r="AG72" s="76" t="n"/>
      <c r="AH72" s="76">
        <f>IF(SUM(AD72:AG72)&gt;0,"OK",0)</f>
        <v/>
      </c>
    </row>
    <row r="73" hidden="1" ht="15.6" customHeight="1" s="578">
      <c r="A73" s="27" t="n"/>
      <c r="B73" s="74" t="inlineStr">
        <is>
          <t>K+1MOV023019</t>
        </is>
      </c>
      <c r="C73" s="708" t="inlineStr">
        <is>
          <t>VND</t>
        </is>
      </c>
      <c r="D73" s="708" t="inlineStr">
        <is>
          <t>S0001804</t>
        </is>
      </c>
      <c r="E73" s="708" t="inlineStr">
        <is>
          <t>CÔNG TY TNHH TRUYỀN THÔNG ROSES</t>
        </is>
      </c>
      <c r="F73" s="708" t="inlineStr">
        <is>
          <t>AVA</t>
        </is>
      </c>
      <c r="G73" s="708" t="inlineStr">
        <is>
          <t>Movies International</t>
        </is>
      </c>
      <c r="H73" s="83" t="n">
        <v>1</v>
      </c>
      <c r="I73" s="83" t="n">
        <v>3</v>
      </c>
      <c r="J73" s="83">
        <f>H73*I73</f>
        <v/>
      </c>
      <c r="K73" s="83" t="n">
        <v>77142857</v>
      </c>
      <c r="L73" s="83" t="n">
        <v>25714285.66666667</v>
      </c>
      <c r="M73" s="83">
        <f>J73-Q73</f>
        <v/>
      </c>
      <c r="N73" s="83">
        <f>K73-R73</f>
        <v/>
      </c>
      <c r="O73" s="517" t="n">
        <v>45203</v>
      </c>
      <c r="P73" s="517" t="n">
        <v>46298</v>
      </c>
      <c r="Q73" s="83" t="n">
        <v>1</v>
      </c>
      <c r="R73" s="84" t="n">
        <v>25714285.66666666</v>
      </c>
      <c r="S73" s="83" t="n">
        <v>0</v>
      </c>
      <c r="T73" s="84" t="n">
        <v>0</v>
      </c>
      <c r="U73" s="83" t="n">
        <v>1</v>
      </c>
      <c r="V73" s="84">
        <f>U73*L73</f>
        <v/>
      </c>
      <c r="W73" s="83">
        <f>Q73+S73-U73</f>
        <v/>
      </c>
      <c r="X73" s="84">
        <f>R73+T73-V73</f>
        <v/>
      </c>
      <c r="Y73" s="85" t="inlineStr">
        <is>
          <t>P221ZZMO01</t>
        </is>
      </c>
      <c r="Z73" s="86" t="inlineStr">
        <is>
          <t>15661</t>
        </is>
      </c>
      <c r="AA73" s="86" t="inlineStr">
        <is>
          <t>33561</t>
        </is>
      </c>
      <c r="AB73" s="86" t="inlineStr">
        <is>
          <t>6277651</t>
        </is>
      </c>
      <c r="AC73" s="87" t="inlineStr">
        <is>
          <t>Movies</t>
        </is>
      </c>
      <c r="AD73" s="76">
        <f>COUNTIF('KK1. Movies'!AI:AI,'TK 15661.Bản quyền phim '!F73)</f>
        <v/>
      </c>
      <c r="AE73" s="76">
        <f>COUNTIF('KK2. Series'!AM:AM,'TK 15661.Bản quyền phim '!F73)</f>
        <v/>
      </c>
      <c r="AF73" s="76">
        <f>COUNTIF('KK3. Kids'!AF:AF,'TK 15661.Bản quyền phim '!F73)</f>
        <v/>
      </c>
      <c r="AG73" s="76" t="n"/>
      <c r="AH73" s="76">
        <f>IF(SUM(AD73:AG73)&gt;0,"OK",0)</f>
        <v/>
      </c>
    </row>
    <row r="74" hidden="1" ht="15.6" customHeight="1" s="578">
      <c r="A74" s="27" t="n"/>
      <c r="B74" s="74" t="inlineStr">
        <is>
          <t>K+1MOV023020</t>
        </is>
      </c>
      <c r="C74" s="708" t="inlineStr">
        <is>
          <t>VND</t>
        </is>
      </c>
      <c r="D74" s="708" t="inlineStr">
        <is>
          <t>S0001804</t>
        </is>
      </c>
      <c r="E74" s="708" t="inlineStr">
        <is>
          <t>CÔNG TY TNHH TRUYỀN THÔNG ROSES</t>
        </is>
      </c>
      <c r="F74" s="708" t="inlineStr">
        <is>
          <t>The Doorman</t>
        </is>
      </c>
      <c r="G74" s="708" t="inlineStr">
        <is>
          <t>Movies International</t>
        </is>
      </c>
      <c r="H74" s="83" t="n">
        <v>1</v>
      </c>
      <c r="I74" s="83" t="n">
        <v>3</v>
      </c>
      <c r="J74" s="83">
        <f>H74*I74</f>
        <v/>
      </c>
      <c r="K74" s="83" t="n">
        <v>72857143</v>
      </c>
      <c r="L74" s="83" t="n">
        <v>24285714.33333333</v>
      </c>
      <c r="M74" s="83">
        <f>J74-Q74</f>
        <v/>
      </c>
      <c r="N74" s="83">
        <f>K74-R74</f>
        <v/>
      </c>
      <c r="O74" s="517" t="n">
        <v>45210</v>
      </c>
      <c r="P74" s="517" t="n">
        <v>46305</v>
      </c>
      <c r="Q74" s="83" t="n">
        <v>2</v>
      </c>
      <c r="R74" s="84" t="n">
        <v>48571428.66666667</v>
      </c>
      <c r="S74" s="83" t="n">
        <v>0</v>
      </c>
      <c r="T74" s="84" t="n">
        <v>0</v>
      </c>
      <c r="U74" s="83" t="n">
        <v>1</v>
      </c>
      <c r="V74" s="84">
        <f>U74*L74</f>
        <v/>
      </c>
      <c r="W74" s="83">
        <f>Q74+S74-U74</f>
        <v/>
      </c>
      <c r="X74" s="84">
        <f>R74+T74-V74</f>
        <v/>
      </c>
      <c r="Y74" s="85" t="inlineStr">
        <is>
          <t>P221ZZMO01</t>
        </is>
      </c>
      <c r="Z74" s="86" t="inlineStr">
        <is>
          <t>15661</t>
        </is>
      </c>
      <c r="AA74" s="86" t="inlineStr">
        <is>
          <t>33561</t>
        </is>
      </c>
      <c r="AB74" s="86" t="inlineStr">
        <is>
          <t>6277651</t>
        </is>
      </c>
      <c r="AC74" s="87" t="inlineStr">
        <is>
          <t>Movies</t>
        </is>
      </c>
      <c r="AD74" s="76">
        <f>COUNTIF('KK1. Movies'!AI:AI,'TK 15661.Bản quyền phim '!F74)</f>
        <v/>
      </c>
      <c r="AE74" s="76">
        <f>COUNTIF('KK2. Series'!AM:AM,'TK 15661.Bản quyền phim '!F74)</f>
        <v/>
      </c>
      <c r="AF74" s="76">
        <f>COUNTIF('KK3. Kids'!AF:AF,'TK 15661.Bản quyền phim '!F74)</f>
        <v/>
      </c>
      <c r="AG74" s="76" t="n"/>
      <c r="AH74" s="76">
        <f>IF(SUM(AD74:AG74)&gt;0,"OK",0)</f>
        <v/>
      </c>
    </row>
    <row r="75" hidden="1" ht="15.6" customHeight="1" s="578">
      <c r="A75" s="27" t="n"/>
      <c r="B75" s="74" t="inlineStr">
        <is>
          <t>K+1MOV023021</t>
        </is>
      </c>
      <c r="C75" s="708" t="inlineStr">
        <is>
          <t>VND</t>
        </is>
      </c>
      <c r="D75" s="708" t="inlineStr">
        <is>
          <t>S0001804</t>
        </is>
      </c>
      <c r="E75" s="708" t="inlineStr">
        <is>
          <t>CÔNG TY TNHH TRUYỀN THÔNG ROSES</t>
        </is>
      </c>
      <c r="F75" s="708" t="inlineStr">
        <is>
          <t>Greta</t>
        </is>
      </c>
      <c r="G75" s="708" t="inlineStr">
        <is>
          <t>Movies International</t>
        </is>
      </c>
      <c r="H75" s="83" t="n">
        <v>1</v>
      </c>
      <c r="I75" s="83" t="n">
        <v>3</v>
      </c>
      <c r="J75" s="83">
        <f>H75*I75</f>
        <v/>
      </c>
      <c r="K75" s="83" t="n">
        <v>81428571</v>
      </c>
      <c r="L75" s="83" t="n">
        <v>27142857</v>
      </c>
      <c r="M75" s="83">
        <f>J75-Q75</f>
        <v/>
      </c>
      <c r="N75" s="83">
        <f>K75-R75</f>
        <v/>
      </c>
      <c r="O75" s="517" t="n">
        <v>45217</v>
      </c>
      <c r="P75" s="517" t="n">
        <v>46312</v>
      </c>
      <c r="Q75" s="83" t="n">
        <v>1</v>
      </c>
      <c r="R75" s="84" t="n">
        <v>27142857</v>
      </c>
      <c r="S75" s="83" t="n">
        <v>0</v>
      </c>
      <c r="T75" s="84" t="n">
        <v>0</v>
      </c>
      <c r="U75" s="83" t="n">
        <v>1</v>
      </c>
      <c r="V75" s="84">
        <f>U75*L75</f>
        <v/>
      </c>
      <c r="W75" s="83">
        <f>Q75+S75-U75</f>
        <v/>
      </c>
      <c r="X75" s="84">
        <f>R75+T75-V75</f>
        <v/>
      </c>
      <c r="Y75" s="85" t="inlineStr">
        <is>
          <t>P221ZZMO01</t>
        </is>
      </c>
      <c r="Z75" s="86" t="inlineStr">
        <is>
          <t>15661</t>
        </is>
      </c>
      <c r="AA75" s="86" t="inlineStr">
        <is>
          <t>33561</t>
        </is>
      </c>
      <c r="AB75" s="86" t="inlineStr">
        <is>
          <t>6277651</t>
        </is>
      </c>
      <c r="AC75" s="87" t="inlineStr">
        <is>
          <t>Movies</t>
        </is>
      </c>
      <c r="AD75" s="76">
        <f>COUNTIF('KK1. Movies'!AI:AI,'TK 15661.Bản quyền phim '!F75)</f>
        <v/>
      </c>
      <c r="AE75" s="76">
        <f>COUNTIF('KK2. Series'!AM:AM,'TK 15661.Bản quyền phim '!F75)</f>
        <v/>
      </c>
      <c r="AF75" s="76">
        <f>COUNTIF('KK3. Kids'!AF:AF,'TK 15661.Bản quyền phim '!F75)</f>
        <v/>
      </c>
      <c r="AG75" s="76" t="n"/>
      <c r="AH75" s="76">
        <f>IF(SUM(AD75:AG75)&gt;0,"OK",0)</f>
        <v/>
      </c>
    </row>
    <row r="76" hidden="1" ht="15.6" customHeight="1" s="578">
      <c r="A76" s="27" t="n"/>
      <c r="B76" s="74" t="inlineStr">
        <is>
          <t>K+1MOV023022</t>
        </is>
      </c>
      <c r="C76" s="708" t="inlineStr">
        <is>
          <t>VND</t>
        </is>
      </c>
      <c r="D76" s="708" t="inlineStr">
        <is>
          <t>S0001804</t>
        </is>
      </c>
      <c r="E76" s="708" t="inlineStr">
        <is>
          <t>CÔNG TY TNHH TRUYỀN THÔNG ROSES</t>
        </is>
      </c>
      <c r="F76" s="708" t="inlineStr">
        <is>
          <t>Door lock</t>
        </is>
      </c>
      <c r="G76" s="708" t="inlineStr">
        <is>
          <t>Movies International</t>
        </is>
      </c>
      <c r="H76" s="83" t="n">
        <v>1</v>
      </c>
      <c r="I76" s="83" t="n">
        <v>3</v>
      </c>
      <c r="J76" s="83">
        <f>H76*I76</f>
        <v/>
      </c>
      <c r="K76" s="83" t="n">
        <v>77142857</v>
      </c>
      <c r="L76" s="83" t="n">
        <v>25714285.66666667</v>
      </c>
      <c r="M76" s="83">
        <f>J76-Q76</f>
        <v/>
      </c>
      <c r="N76" s="83">
        <f>K76-R76</f>
        <v/>
      </c>
      <c r="O76" s="517" t="n">
        <v>45218</v>
      </c>
      <c r="P76" s="517" t="n">
        <v>46313</v>
      </c>
      <c r="Q76" s="83" t="n">
        <v>1</v>
      </c>
      <c r="R76" s="84" t="n">
        <v>25714285.66666666</v>
      </c>
      <c r="S76" s="83" t="n">
        <v>0</v>
      </c>
      <c r="T76" s="84" t="n">
        <v>0</v>
      </c>
      <c r="U76" s="83" t="n">
        <v>1</v>
      </c>
      <c r="V76" s="84">
        <f>U76*L76</f>
        <v/>
      </c>
      <c r="W76" s="83">
        <f>Q76+S76-U76</f>
        <v/>
      </c>
      <c r="X76" s="84">
        <f>R76+T76-V76</f>
        <v/>
      </c>
      <c r="Y76" s="85" t="inlineStr">
        <is>
          <t>P221ZZMO01</t>
        </is>
      </c>
      <c r="Z76" s="86" t="inlineStr">
        <is>
          <t>15661</t>
        </is>
      </c>
      <c r="AA76" s="86" t="inlineStr">
        <is>
          <t>33561</t>
        </is>
      </c>
      <c r="AB76" s="86" t="inlineStr">
        <is>
          <t>6277651</t>
        </is>
      </c>
      <c r="AC76" s="87" t="inlineStr">
        <is>
          <t>Movies</t>
        </is>
      </c>
      <c r="AD76" s="76">
        <f>COUNTIF('KK1. Movies'!AI:AI,'TK 15661.Bản quyền phim '!F76)</f>
        <v/>
      </c>
      <c r="AE76" s="76">
        <f>COUNTIF('KK2. Series'!AM:AM,'TK 15661.Bản quyền phim '!F76)</f>
        <v/>
      </c>
      <c r="AF76" s="76">
        <f>COUNTIF('KK3. Kids'!AF:AF,'TK 15661.Bản quyền phim '!F76)</f>
        <v/>
      </c>
      <c r="AG76" s="76" t="n"/>
      <c r="AH76" s="76">
        <f>IF(SUM(AD76:AG76)&gt;0,"OK",0)</f>
        <v/>
      </c>
    </row>
    <row r="77" hidden="1" ht="15.6" customHeight="1" s="578">
      <c r="A77" s="27" t="n"/>
      <c r="B77" s="74" t="inlineStr">
        <is>
          <t>K+5MOV023023</t>
        </is>
      </c>
      <c r="C77" s="708" t="inlineStr">
        <is>
          <t>VND</t>
        </is>
      </c>
      <c r="D77" s="708" t="inlineStr">
        <is>
          <t>S0001804</t>
        </is>
      </c>
      <c r="E77" s="708" t="inlineStr">
        <is>
          <t>CÔNG TY TNHH TRUYỀN THÔNG ROSES</t>
        </is>
      </c>
      <c r="F77" s="708" t="inlineStr">
        <is>
          <t>Happy Family</t>
        </is>
      </c>
      <c r="G77" s="708" t="inlineStr">
        <is>
          <t>Movies International</t>
        </is>
      </c>
      <c r="H77" s="83" t="n">
        <v>1</v>
      </c>
      <c r="I77" s="83" t="n">
        <v>3</v>
      </c>
      <c r="J77" s="83">
        <f>H77*I77</f>
        <v/>
      </c>
      <c r="K77" s="83" t="n">
        <v>77142857</v>
      </c>
      <c r="L77" s="83" t="n">
        <v>25714285.66666667</v>
      </c>
      <c r="M77" s="83">
        <f>J77-Q77</f>
        <v/>
      </c>
      <c r="N77" s="83">
        <f>K77-R77</f>
        <v/>
      </c>
      <c r="O77" s="517" t="n">
        <v>45227</v>
      </c>
      <c r="P77" s="517" t="n">
        <v>46322</v>
      </c>
      <c r="Q77" s="83" t="n">
        <v>1</v>
      </c>
      <c r="R77" s="84" t="n">
        <v>25714285.66666666</v>
      </c>
      <c r="S77" s="83" t="n">
        <v>0</v>
      </c>
      <c r="T77" s="84" t="n">
        <v>0</v>
      </c>
      <c r="U77" s="83" t="n">
        <v>1</v>
      </c>
      <c r="V77" s="84">
        <f>U77*L77</f>
        <v/>
      </c>
      <c r="W77" s="83">
        <f>Q77+S77-U77</f>
        <v/>
      </c>
      <c r="X77" s="84">
        <f>R77+T77-V77</f>
        <v/>
      </c>
      <c r="Y77" s="85" t="inlineStr">
        <is>
          <t>P221ZZMO01</t>
        </is>
      </c>
      <c r="Z77" s="86" t="inlineStr">
        <is>
          <t>15661</t>
        </is>
      </c>
      <c r="AA77" s="86" t="inlineStr">
        <is>
          <t>33561</t>
        </is>
      </c>
      <c r="AB77" s="86" t="inlineStr">
        <is>
          <t>6277651</t>
        </is>
      </c>
      <c r="AC77" s="87" t="inlineStr">
        <is>
          <t>Movies</t>
        </is>
      </c>
      <c r="AD77" s="76">
        <f>COUNTIF('KK1. Movies'!AI:AI,'TK 15661.Bản quyền phim '!F77)</f>
        <v/>
      </c>
      <c r="AE77" s="76">
        <f>COUNTIF('KK2. Series'!AM:AM,'TK 15661.Bản quyền phim '!F77)</f>
        <v/>
      </c>
      <c r="AF77" s="76">
        <f>COUNTIF('KK3. Kids'!AF:AF,'TK 15661.Bản quyền phim '!F77)</f>
        <v/>
      </c>
      <c r="AG77" s="76" t="n"/>
      <c r="AH77" s="76">
        <f>IF(SUM(AD77:AG77)&gt;0,"OK",0)</f>
        <v/>
      </c>
    </row>
    <row r="78" hidden="1" ht="15.6" customHeight="1" s="578">
      <c r="A78" s="27" t="n"/>
      <c r="B78" s="74" t="inlineStr">
        <is>
          <t>K+1MOV023024</t>
        </is>
      </c>
      <c r="C78" s="708" t="inlineStr">
        <is>
          <t>VND</t>
        </is>
      </c>
      <c r="D78" s="708" t="inlineStr">
        <is>
          <t>S0001804</t>
        </is>
      </c>
      <c r="E78" s="708" t="inlineStr">
        <is>
          <t>CÔNG TY TNHH TRUYỀN THÔNG ROSES</t>
        </is>
      </c>
      <c r="F78" s="708" t="inlineStr">
        <is>
          <t>Time Freak</t>
        </is>
      </c>
      <c r="G78" s="708" t="inlineStr">
        <is>
          <t>Movies International</t>
        </is>
      </c>
      <c r="H78" s="83" t="n">
        <v>1</v>
      </c>
      <c r="I78" s="83" t="n">
        <v>3</v>
      </c>
      <c r="J78" s="83">
        <f>H78*I78</f>
        <v/>
      </c>
      <c r="K78" s="83" t="n">
        <v>64285714</v>
      </c>
      <c r="L78" s="83" t="n">
        <v>21428571.33333333</v>
      </c>
      <c r="M78" s="83">
        <f>J78-Q78</f>
        <v/>
      </c>
      <c r="N78" s="83">
        <f>K78-R78</f>
        <v/>
      </c>
      <c r="O78" s="517" t="n">
        <v>45232</v>
      </c>
      <c r="P78" s="517" t="n">
        <v>46327</v>
      </c>
      <c r="Q78" s="83" t="n">
        <v>1</v>
      </c>
      <c r="R78" s="84" t="n">
        <v>21428571.33333334</v>
      </c>
      <c r="S78" s="83" t="n">
        <v>0</v>
      </c>
      <c r="T78" s="84" t="n">
        <v>0</v>
      </c>
      <c r="U78" s="83" t="n">
        <v>1</v>
      </c>
      <c r="V78" s="84">
        <f>U78*L78</f>
        <v/>
      </c>
      <c r="W78" s="83">
        <f>Q78+S78-U78</f>
        <v/>
      </c>
      <c r="X78" s="84">
        <f>R78+T78-V78</f>
        <v/>
      </c>
      <c r="Y78" s="85" t="inlineStr">
        <is>
          <t>P221ZZMO01</t>
        </is>
      </c>
      <c r="Z78" s="86" t="inlineStr">
        <is>
          <t>15661</t>
        </is>
      </c>
      <c r="AA78" s="86" t="inlineStr">
        <is>
          <t>33561</t>
        </is>
      </c>
      <c r="AB78" s="86" t="inlineStr">
        <is>
          <t>6277651</t>
        </is>
      </c>
      <c r="AC78" s="87" t="inlineStr">
        <is>
          <t>Movies</t>
        </is>
      </c>
      <c r="AD78" s="76">
        <f>COUNTIF('KK1. Movies'!AI:AI,'TK 15661.Bản quyền phim '!F78)</f>
        <v/>
      </c>
      <c r="AE78" s="76">
        <f>COUNTIF('KK2. Series'!AM:AM,'TK 15661.Bản quyền phim '!F78)</f>
        <v/>
      </c>
      <c r="AF78" s="76">
        <f>COUNTIF('KK3. Kids'!AF:AF,'TK 15661.Bản quyền phim '!F78)</f>
        <v/>
      </c>
      <c r="AG78" s="76" t="n"/>
      <c r="AH78" s="76">
        <f>IF(SUM(AD78:AG78)&gt;0,"OK",0)</f>
        <v/>
      </c>
    </row>
    <row r="79" hidden="1" ht="15.6" customHeight="1" s="578">
      <c r="A79" s="27" t="n"/>
      <c r="B79" s="74" t="inlineStr">
        <is>
          <t>K+1MOV023025</t>
        </is>
      </c>
      <c r="C79" s="708" t="inlineStr">
        <is>
          <t>VND</t>
        </is>
      </c>
      <c r="D79" s="708" t="inlineStr">
        <is>
          <t>S0001804</t>
        </is>
      </c>
      <c r="E79" s="708" t="inlineStr">
        <is>
          <t>CÔNG TY TNHH TRUYỀN THÔNG ROSES</t>
        </is>
      </c>
      <c r="F79" s="708" t="inlineStr">
        <is>
          <t>Wonder Wheel</t>
        </is>
      </c>
      <c r="G79" s="708" t="inlineStr">
        <is>
          <t>Movies International</t>
        </is>
      </c>
      <c r="H79" s="83" t="n">
        <v>1</v>
      </c>
      <c r="I79" s="83" t="n">
        <v>3</v>
      </c>
      <c r="J79" s="83">
        <f>H79*I79</f>
        <v/>
      </c>
      <c r="K79" s="83" t="n">
        <v>72857143</v>
      </c>
      <c r="L79" s="83" t="n">
        <v>24285714.33333333</v>
      </c>
      <c r="M79" s="83">
        <f>J79-Q79</f>
        <v/>
      </c>
      <c r="N79" s="83">
        <f>K79-R79</f>
        <v/>
      </c>
      <c r="O79" s="517" t="n">
        <v>45239</v>
      </c>
      <c r="P79" s="517" t="n">
        <v>46334</v>
      </c>
      <c r="Q79" s="83" t="n">
        <v>1</v>
      </c>
      <c r="R79" s="84" t="n">
        <v>24285714.33333334</v>
      </c>
      <c r="S79" s="83" t="n">
        <v>0</v>
      </c>
      <c r="T79" s="84" t="n">
        <v>0</v>
      </c>
      <c r="U79" s="83" t="n">
        <v>1</v>
      </c>
      <c r="V79" s="84">
        <f>U79*L79</f>
        <v/>
      </c>
      <c r="W79" s="83">
        <f>Q79+S79-U79</f>
        <v/>
      </c>
      <c r="X79" s="84">
        <f>R79+T79-V79</f>
        <v/>
      </c>
      <c r="Y79" s="85" t="inlineStr">
        <is>
          <t>P221ZZMO01</t>
        </is>
      </c>
      <c r="Z79" s="86" t="inlineStr">
        <is>
          <t>15661</t>
        </is>
      </c>
      <c r="AA79" s="86" t="inlineStr">
        <is>
          <t>33561</t>
        </is>
      </c>
      <c r="AB79" s="86" t="inlineStr">
        <is>
          <t>6277651</t>
        </is>
      </c>
      <c r="AC79" s="87" t="inlineStr">
        <is>
          <t>Movies</t>
        </is>
      </c>
      <c r="AD79" s="76">
        <f>COUNTIF('KK1. Movies'!AI:AI,'TK 15661.Bản quyền phim '!F79)</f>
        <v/>
      </c>
      <c r="AE79" s="76">
        <f>COUNTIF('KK2. Series'!AM:AM,'TK 15661.Bản quyền phim '!F79)</f>
        <v/>
      </c>
      <c r="AF79" s="76">
        <f>COUNTIF('KK3. Kids'!AF:AF,'TK 15661.Bản quyền phim '!F79)</f>
        <v/>
      </c>
      <c r="AG79" s="76" t="n"/>
      <c r="AH79" s="76">
        <f>IF(SUM(AD79:AG79)&gt;0,"OK",0)</f>
        <v/>
      </c>
    </row>
    <row r="80" hidden="1" ht="15.6" customHeight="1" s="578">
      <c r="A80" s="27" t="n"/>
      <c r="B80" s="74" t="inlineStr">
        <is>
          <t>K+1MOV023026</t>
        </is>
      </c>
      <c r="C80" s="708" t="inlineStr">
        <is>
          <t>VND</t>
        </is>
      </c>
      <c r="D80" s="708" t="inlineStr">
        <is>
          <t>S0001804</t>
        </is>
      </c>
      <c r="E80" s="708" t="inlineStr">
        <is>
          <t>CÔNG TY TNHH TRUYỀN THÔNG ROSES</t>
        </is>
      </c>
      <c r="F80" s="708" t="inlineStr">
        <is>
          <t>Seven Sundays</t>
        </is>
      </c>
      <c r="G80" s="708" t="inlineStr">
        <is>
          <t>Movies International</t>
        </is>
      </c>
      <c r="H80" s="83" t="n">
        <v>1</v>
      </c>
      <c r="I80" s="83" t="n">
        <v>3</v>
      </c>
      <c r="J80" s="83">
        <f>H80*I80</f>
        <v/>
      </c>
      <c r="K80" s="83" t="n">
        <v>72857143</v>
      </c>
      <c r="L80" s="83" t="n">
        <v>24285714.33333333</v>
      </c>
      <c r="M80" s="83">
        <f>J80-Q80</f>
        <v/>
      </c>
      <c r="N80" s="83">
        <f>K80-R80</f>
        <v/>
      </c>
      <c r="O80" s="517" t="n">
        <v>45267</v>
      </c>
      <c r="P80" s="517" t="n">
        <v>46362</v>
      </c>
      <c r="Q80" s="83" t="n">
        <v>1</v>
      </c>
      <c r="R80" s="84" t="n">
        <v>24285714.33333334</v>
      </c>
      <c r="S80" s="83" t="n">
        <v>0</v>
      </c>
      <c r="T80" s="84" t="n">
        <v>0</v>
      </c>
      <c r="U80" s="83" t="n">
        <v>1</v>
      </c>
      <c r="V80" s="84">
        <f>U80*L80</f>
        <v/>
      </c>
      <c r="W80" s="83">
        <f>Q80+S80-U80</f>
        <v/>
      </c>
      <c r="X80" s="84">
        <f>R80+T80-V80</f>
        <v/>
      </c>
      <c r="Y80" s="85" t="inlineStr">
        <is>
          <t>P221ZZMO01</t>
        </is>
      </c>
      <c r="Z80" s="86" t="inlineStr">
        <is>
          <t>15661</t>
        </is>
      </c>
      <c r="AA80" s="86" t="inlineStr">
        <is>
          <t>33561</t>
        </is>
      </c>
      <c r="AB80" s="86" t="inlineStr">
        <is>
          <t>6277651</t>
        </is>
      </c>
      <c r="AC80" s="87" t="inlineStr">
        <is>
          <t>Movies</t>
        </is>
      </c>
      <c r="AD80" s="76">
        <f>COUNTIF('KK1. Movies'!AI:AI,'TK 15661.Bản quyền phim '!F80)</f>
        <v/>
      </c>
      <c r="AE80" s="76">
        <f>COUNTIF('KK2. Series'!AM:AM,'TK 15661.Bản quyền phim '!F80)</f>
        <v/>
      </c>
      <c r="AF80" s="76">
        <f>COUNTIF('KK3. Kids'!AF:AF,'TK 15661.Bản quyền phim '!F80)</f>
        <v/>
      </c>
      <c r="AG80" s="76" t="n"/>
      <c r="AH80" s="76">
        <f>IF(SUM(AD80:AG80)&gt;0,"OK",0)</f>
        <v/>
      </c>
    </row>
    <row r="81" hidden="1" ht="15.6" customHeight="1" s="578">
      <c r="A81" s="27" t="n"/>
      <c r="B81" s="74" t="inlineStr">
        <is>
          <t>K+1MOV023027</t>
        </is>
      </c>
      <c r="C81" s="708" t="inlineStr">
        <is>
          <t>VND</t>
        </is>
      </c>
      <c r="D81" s="708" t="inlineStr">
        <is>
          <t>S0001804</t>
        </is>
      </c>
      <c r="E81" s="708" t="inlineStr">
        <is>
          <t>CÔNG TY TNHH TRUYỀN THÔNG ROSES</t>
        </is>
      </c>
      <c r="F81" s="708" t="inlineStr">
        <is>
          <t>More Than Family</t>
        </is>
      </c>
      <c r="G81" s="708" t="inlineStr">
        <is>
          <t>Movies International</t>
        </is>
      </c>
      <c r="H81" s="83" t="n">
        <v>1</v>
      </c>
      <c r="I81" s="83" t="n">
        <v>3</v>
      </c>
      <c r="J81" s="83">
        <f>H81*I81</f>
        <v/>
      </c>
      <c r="K81" s="83" t="n">
        <v>77142857</v>
      </c>
      <c r="L81" s="83" t="n">
        <v>25714285.66666667</v>
      </c>
      <c r="M81" s="83">
        <f>J81-Q81</f>
        <v/>
      </c>
      <c r="N81" s="83">
        <f>K81-R81</f>
        <v/>
      </c>
      <c r="O81" s="517" t="n">
        <v>45274</v>
      </c>
      <c r="P81" s="517" t="n">
        <v>46369</v>
      </c>
      <c r="Q81" s="83" t="n">
        <v>1</v>
      </c>
      <c r="R81" s="84" t="n">
        <v>25714285.66666666</v>
      </c>
      <c r="S81" s="83" t="n">
        <v>0</v>
      </c>
      <c r="T81" s="84" t="n">
        <v>0</v>
      </c>
      <c r="U81" s="83" t="n">
        <v>1</v>
      </c>
      <c r="V81" s="84">
        <f>U81*L81</f>
        <v/>
      </c>
      <c r="W81" s="83">
        <f>Q81+S81-U81</f>
        <v/>
      </c>
      <c r="X81" s="84">
        <f>R81+T81-V81</f>
        <v/>
      </c>
      <c r="Y81" s="85" t="inlineStr">
        <is>
          <t>P221ZZMO01</t>
        </is>
      </c>
      <c r="Z81" s="86" t="inlineStr">
        <is>
          <t>15661</t>
        </is>
      </c>
      <c r="AA81" s="86" t="inlineStr">
        <is>
          <t>33561</t>
        </is>
      </c>
      <c r="AB81" s="86" t="inlineStr">
        <is>
          <t>6277651</t>
        </is>
      </c>
      <c r="AC81" s="87" t="inlineStr">
        <is>
          <t>Movies</t>
        </is>
      </c>
      <c r="AD81" s="76">
        <f>COUNTIF('KK1. Movies'!AI:AI,'TK 15661.Bản quyền phim '!F81)</f>
        <v/>
      </c>
      <c r="AE81" s="76">
        <f>COUNTIF('KK2. Series'!AM:AM,'TK 15661.Bản quyền phim '!F81)</f>
        <v/>
      </c>
      <c r="AF81" s="76">
        <f>COUNTIF('KK3. Kids'!AF:AF,'TK 15661.Bản quyền phim '!F81)</f>
        <v/>
      </c>
      <c r="AG81" s="76" t="n"/>
      <c r="AH81" s="76">
        <f>IF(SUM(AD81:AG81)&gt;0,"OK",0)</f>
        <v/>
      </c>
    </row>
    <row r="82" hidden="1" s="578">
      <c r="A82" s="32" t="n"/>
      <c r="B82" s="74" t="inlineStr">
        <is>
          <t>K+5KID023029</t>
        </is>
      </c>
      <c r="C82" s="708" t="inlineStr">
        <is>
          <t>USD</t>
        </is>
      </c>
      <c r="D82" s="708" t="inlineStr">
        <is>
          <t>S0002429</t>
        </is>
      </c>
      <c r="E82" s="708" t="inlineStr">
        <is>
          <t xml:space="preserve">CYBER GROUP STUDIO </t>
        </is>
      </c>
      <c r="F82" s="708" t="inlineStr">
        <is>
          <t>TAFFY season 1</t>
        </is>
      </c>
      <c r="G82" s="708" t="inlineStr">
        <is>
          <t>KIDS</t>
        </is>
      </c>
      <c r="H82" s="83" t="n">
        <v>78</v>
      </c>
      <c r="I82" s="83" t="n">
        <v>3</v>
      </c>
      <c r="J82" s="83">
        <f>H82*I82</f>
        <v/>
      </c>
      <c r="K82" s="83" t="n">
        <v>186420000</v>
      </c>
      <c r="L82" s="83" t="n">
        <v>796666.6666666667</v>
      </c>
      <c r="M82" s="83">
        <f>J82-Q82</f>
        <v/>
      </c>
      <c r="N82" s="83">
        <f>K82-R82</f>
        <v/>
      </c>
      <c r="O82" s="517" t="n">
        <v>45108</v>
      </c>
      <c r="P82" s="517" t="n">
        <v>46203</v>
      </c>
      <c r="Q82" s="83" t="n">
        <v>78</v>
      </c>
      <c r="R82" s="84" t="n">
        <v>62139999.99999999</v>
      </c>
      <c r="S82" s="83" t="n">
        <v>0</v>
      </c>
      <c r="T82" s="84" t="n">
        <v>0</v>
      </c>
      <c r="U82" s="83" t="n">
        <v>78</v>
      </c>
      <c r="V82" s="84">
        <f>U82*L82</f>
        <v/>
      </c>
      <c r="W82" s="83">
        <f>Q82+S82-U82</f>
        <v/>
      </c>
      <c r="X82" s="84">
        <f>R82+T82-V82</f>
        <v/>
      </c>
      <c r="Y82" s="85" t="inlineStr">
        <is>
          <t>P221ZZKI01</t>
        </is>
      </c>
      <c r="Z82" s="86" t="inlineStr">
        <is>
          <t>15661</t>
        </is>
      </c>
      <c r="AA82" s="86" t="inlineStr">
        <is>
          <t>33561</t>
        </is>
      </c>
      <c r="AB82" s="86" t="inlineStr">
        <is>
          <t>6277651</t>
        </is>
      </c>
      <c r="AC82" s="86" t="inlineStr">
        <is>
          <t>Kids</t>
        </is>
      </c>
      <c r="AD82" s="76">
        <f>COUNTIF('KK1. Movies'!AI:AI,'TK 15661.Bản quyền phim '!F82)</f>
        <v/>
      </c>
      <c r="AE82" s="76">
        <f>COUNTIF('KK2. Series'!AM:AM,'TK 15661.Bản quyền phim '!F82)</f>
        <v/>
      </c>
      <c r="AF82" s="76">
        <f>COUNTIF('KK3. Kids'!AF:AF,'TK 15661.Bản quyền phim '!F82)</f>
        <v/>
      </c>
      <c r="AG82" s="76" t="n"/>
      <c r="AH82" s="76">
        <f>IF(SUM(AD82:AG82)&gt;0,"OK",0)</f>
        <v/>
      </c>
    </row>
    <row r="83" hidden="1" s="578">
      <c r="A83" s="30">
        <f>(U83-H83)*L83</f>
        <v/>
      </c>
      <c r="B83" s="74" t="inlineStr">
        <is>
          <t>K+5KID023030</t>
        </is>
      </c>
      <c r="C83" s="708" t="inlineStr">
        <is>
          <t>USD</t>
        </is>
      </c>
      <c r="D83" s="708" t="inlineStr">
        <is>
          <t>S0002429</t>
        </is>
      </c>
      <c r="E83" s="708" t="inlineStr">
        <is>
          <t xml:space="preserve">CYBER GROUP STUDIO </t>
        </is>
      </c>
      <c r="F83" s="708" t="inlineStr">
        <is>
          <t>TAFFY season 2</t>
        </is>
      </c>
      <c r="G83" s="708" t="inlineStr">
        <is>
          <t>KIDS</t>
        </is>
      </c>
      <c r="H83" s="83" t="n">
        <v>78</v>
      </c>
      <c r="I83" s="83" t="n">
        <v>3</v>
      </c>
      <c r="J83" s="83">
        <f>H83*I83</f>
        <v/>
      </c>
      <c r="K83" s="83" t="n">
        <v>186420000</v>
      </c>
      <c r="L83" s="83" t="n">
        <v>796666.6666666667</v>
      </c>
      <c r="M83" s="83">
        <f>J83-Q83</f>
        <v/>
      </c>
      <c r="N83" s="83">
        <f>K83-R83</f>
        <v/>
      </c>
      <c r="O83" s="517" t="n">
        <v>45108</v>
      </c>
      <c r="P83" s="517" t="n">
        <v>46203</v>
      </c>
      <c r="Q83" s="83" t="n">
        <v>78</v>
      </c>
      <c r="R83" s="84" t="n">
        <v>62139999.99999999</v>
      </c>
      <c r="S83" s="83" t="n">
        <v>0</v>
      </c>
      <c r="T83" s="84" t="n">
        <v>0</v>
      </c>
      <c r="U83" s="83" t="n">
        <v>78</v>
      </c>
      <c r="V83" s="84">
        <f>U83*L83</f>
        <v/>
      </c>
      <c r="W83" s="83">
        <f>Q83+S83-U83</f>
        <v/>
      </c>
      <c r="X83" s="84">
        <f>R83+T83-V83</f>
        <v/>
      </c>
      <c r="Y83" s="85" t="inlineStr">
        <is>
          <t>P221ZZKI01</t>
        </is>
      </c>
      <c r="Z83" s="86" t="inlineStr">
        <is>
          <t>15661</t>
        </is>
      </c>
      <c r="AA83" s="86" t="inlineStr">
        <is>
          <t>33561</t>
        </is>
      </c>
      <c r="AB83" s="86" t="inlineStr">
        <is>
          <t>6277651</t>
        </is>
      </c>
      <c r="AC83" s="86" t="inlineStr">
        <is>
          <t>Kids</t>
        </is>
      </c>
      <c r="AD83" s="76">
        <f>COUNTIF('KK1. Movies'!AI:AI,'TK 15661.Bản quyền phim '!F83)</f>
        <v/>
      </c>
      <c r="AE83" s="76">
        <f>COUNTIF('KK2. Series'!AM:AM,'TK 15661.Bản quyền phim '!F83)</f>
        <v/>
      </c>
      <c r="AF83" s="76">
        <f>COUNTIF('KK3. Kids'!AF:AF,'TK 15661.Bản quyền phim '!F83)</f>
        <v/>
      </c>
      <c r="AG83" s="76" t="n"/>
      <c r="AH83" s="76">
        <f>IF(SUM(AD83:AG83)&gt;0,"OK",0)</f>
        <v/>
      </c>
    </row>
    <row r="84" hidden="1" s="578">
      <c r="A84" s="32" t="n"/>
      <c r="B84" s="74" t="inlineStr">
        <is>
          <t>K+5KID023060</t>
        </is>
      </c>
      <c r="C84" s="708" t="inlineStr">
        <is>
          <t>USD</t>
        </is>
      </c>
      <c r="D84" s="708" t="inlineStr">
        <is>
          <t>S0002295</t>
        </is>
      </c>
      <c r="E84" s="708" t="inlineStr">
        <is>
          <t>MEDIATOON DISTRIBUTION</t>
        </is>
      </c>
      <c r="F84" s="708" t="inlineStr">
        <is>
          <t>LIVING WITH DAD</t>
        </is>
      </c>
      <c r="G84" s="708" t="inlineStr">
        <is>
          <t>KIDS</t>
        </is>
      </c>
      <c r="H84" s="83" t="n">
        <v>52</v>
      </c>
      <c r="I84" s="83" t="n">
        <v>3</v>
      </c>
      <c r="J84" s="83">
        <f>H84*I84</f>
        <v/>
      </c>
      <c r="K84" s="83" t="n">
        <v>186420000</v>
      </c>
      <c r="L84" s="83" t="n">
        <v>1195000</v>
      </c>
      <c r="M84" s="83">
        <f>J84-Q84</f>
        <v/>
      </c>
      <c r="N84" s="83">
        <f>K84-R84</f>
        <v/>
      </c>
      <c r="O84" s="517" t="n">
        <v>45160</v>
      </c>
      <c r="P84" s="517" t="n">
        <v>46255</v>
      </c>
      <c r="Q84" s="83" t="n">
        <v>52</v>
      </c>
      <c r="R84" s="84" t="n">
        <v>62140000</v>
      </c>
      <c r="S84" s="83" t="n">
        <v>0</v>
      </c>
      <c r="T84" s="84" t="n">
        <v>0</v>
      </c>
      <c r="U84" s="83" t="n">
        <v>52</v>
      </c>
      <c r="V84" s="84">
        <f>U84*L84</f>
        <v/>
      </c>
      <c r="W84" s="83">
        <f>Q84+S84-U84</f>
        <v/>
      </c>
      <c r="X84" s="84">
        <f>R84+T84-V84</f>
        <v/>
      </c>
      <c r="Y84" s="85" t="inlineStr">
        <is>
          <t>P221ZZKI01</t>
        </is>
      </c>
      <c r="Z84" s="86" t="inlineStr">
        <is>
          <t>15661</t>
        </is>
      </c>
      <c r="AA84" s="86" t="inlineStr">
        <is>
          <t>33561</t>
        </is>
      </c>
      <c r="AB84" s="86" t="inlineStr">
        <is>
          <t>6277651</t>
        </is>
      </c>
      <c r="AC84" s="86" t="inlineStr">
        <is>
          <t>Kids</t>
        </is>
      </c>
      <c r="AD84" s="76">
        <f>COUNTIF('KK1. Movies'!AI:AI,'TK 15661.Bản quyền phim '!F84)</f>
        <v/>
      </c>
      <c r="AE84" s="76">
        <f>COUNTIF('KK2. Series'!AM:AM,'TK 15661.Bản quyền phim '!F84)</f>
        <v/>
      </c>
      <c r="AF84" s="76">
        <f>COUNTIF('KK3. Kids'!AF:AF,'TK 15661.Bản quyền phim '!F84)</f>
        <v/>
      </c>
      <c r="AG84" s="76" t="n"/>
      <c r="AH84" s="76">
        <f>IF(SUM(AD84:AG84)&gt;0,"OK",0)</f>
        <v/>
      </c>
    </row>
    <row r="85" hidden="1" s="578">
      <c r="A85" s="32" t="n"/>
      <c r="B85" s="74" t="inlineStr">
        <is>
          <t>K+5KID023061</t>
        </is>
      </c>
      <c r="C85" s="708" t="inlineStr">
        <is>
          <t>USD</t>
        </is>
      </c>
      <c r="D85" s="708" t="inlineStr">
        <is>
          <t>S0002295</t>
        </is>
      </c>
      <c r="E85" s="708" t="inlineStr">
        <is>
          <t>MEDIATOON DISTRIBUTION</t>
        </is>
      </c>
      <c r="F85" s="708" t="inlineStr">
        <is>
          <t>CONTRAPTUS</t>
        </is>
      </c>
      <c r="G85" s="708" t="inlineStr">
        <is>
          <t>KIDS</t>
        </is>
      </c>
      <c r="H85" s="83" t="n">
        <v>78</v>
      </c>
      <c r="I85" s="83" t="n">
        <v>3</v>
      </c>
      <c r="J85" s="83">
        <f>H85*I85</f>
        <v/>
      </c>
      <c r="K85" s="83" t="n">
        <v>186420000</v>
      </c>
      <c r="L85" s="83" t="n">
        <v>796666.6666666667</v>
      </c>
      <c r="M85" s="83">
        <f>J85-Q85</f>
        <v/>
      </c>
      <c r="N85" s="83">
        <f>K85-R85</f>
        <v/>
      </c>
      <c r="O85" s="517" t="n">
        <v>45065</v>
      </c>
      <c r="P85" s="517" t="n">
        <v>46160</v>
      </c>
      <c r="Q85" s="83" t="n">
        <v>78</v>
      </c>
      <c r="R85" s="84" t="n">
        <v>62139999.99999999</v>
      </c>
      <c r="S85" s="83" t="n">
        <v>0</v>
      </c>
      <c r="T85" s="84" t="n">
        <v>0</v>
      </c>
      <c r="U85" s="83" t="n">
        <v>78</v>
      </c>
      <c r="V85" s="84">
        <f>U85*L85</f>
        <v/>
      </c>
      <c r="W85" s="83">
        <f>Q85+S85-U85</f>
        <v/>
      </c>
      <c r="X85" s="84">
        <f>R85+T85-V85</f>
        <v/>
      </c>
      <c r="Y85" s="85" t="inlineStr">
        <is>
          <t>P221ZZKI01</t>
        </is>
      </c>
      <c r="Z85" s="86" t="inlineStr">
        <is>
          <t>15661</t>
        </is>
      </c>
      <c r="AA85" s="86" t="inlineStr">
        <is>
          <t>33561</t>
        </is>
      </c>
      <c r="AB85" s="86" t="inlineStr">
        <is>
          <t>6277651</t>
        </is>
      </c>
      <c r="AC85" s="86" t="inlineStr">
        <is>
          <t>Kids</t>
        </is>
      </c>
      <c r="AD85" s="76">
        <f>COUNTIF('KK1. Movies'!AI:AI,'TK 15661.Bản quyền phim '!F85)</f>
        <v/>
      </c>
      <c r="AE85" s="76">
        <f>COUNTIF('KK2. Series'!AM:AM,'TK 15661.Bản quyền phim '!F85)</f>
        <v/>
      </c>
      <c r="AF85" s="76">
        <f>COUNTIF('KK3. Kids'!AF:AF,'TK 15661.Bản quyền phim '!F85)</f>
        <v/>
      </c>
      <c r="AG85" s="76" t="n"/>
      <c r="AH85" s="76">
        <f>IF(SUM(AD85:AG85)&gt;0,"OK",0)</f>
        <v/>
      </c>
    </row>
    <row r="86" hidden="1" s="578">
      <c r="A86" s="32" t="n"/>
      <c r="B86" s="74" t="inlineStr">
        <is>
          <t>K+5KID023062</t>
        </is>
      </c>
      <c r="C86" s="708" t="inlineStr">
        <is>
          <t>USD</t>
        </is>
      </c>
      <c r="D86" s="708" t="inlineStr">
        <is>
          <t>S0002295</t>
        </is>
      </c>
      <c r="E86" s="708" t="inlineStr">
        <is>
          <t>MEDIATOON DISTRIBUTION</t>
        </is>
      </c>
      <c r="F86" s="708" t="inlineStr">
        <is>
          <t>THE GARFIELD SHOW Season 2</t>
        </is>
      </c>
      <c r="G86" s="708" t="inlineStr">
        <is>
          <t>KIDS</t>
        </is>
      </c>
      <c r="H86" s="83" t="n">
        <v>52</v>
      </c>
      <c r="I86" s="83" t="n">
        <v>3</v>
      </c>
      <c r="J86" s="83">
        <f>H86*I86</f>
        <v/>
      </c>
      <c r="K86" s="83" t="n">
        <v>186420000</v>
      </c>
      <c r="L86" s="83" t="n">
        <v>1195000</v>
      </c>
      <c r="M86" s="83">
        <f>J86-Q86</f>
        <v/>
      </c>
      <c r="N86" s="83">
        <f>K86-R86</f>
        <v/>
      </c>
      <c r="O86" s="517" t="n">
        <v>45208</v>
      </c>
      <c r="P86" s="517" t="n">
        <v>46303</v>
      </c>
      <c r="Q86" s="83" t="n">
        <v>52</v>
      </c>
      <c r="R86" s="84" t="n">
        <v>62140000</v>
      </c>
      <c r="S86" s="83" t="n">
        <v>0</v>
      </c>
      <c r="T86" s="84" t="n">
        <v>0</v>
      </c>
      <c r="U86" s="83" t="n">
        <v>52</v>
      </c>
      <c r="V86" s="84">
        <f>U86*L86</f>
        <v/>
      </c>
      <c r="W86" s="83">
        <f>Q86+S86-U86</f>
        <v/>
      </c>
      <c r="X86" s="84">
        <f>R86+T86-V86</f>
        <v/>
      </c>
      <c r="Y86" s="85" t="inlineStr">
        <is>
          <t>P221ZZKI01</t>
        </is>
      </c>
      <c r="Z86" s="86" t="inlineStr">
        <is>
          <t>15661</t>
        </is>
      </c>
      <c r="AA86" s="86" t="inlineStr">
        <is>
          <t>33561</t>
        </is>
      </c>
      <c r="AB86" s="86" t="inlineStr">
        <is>
          <t>6277651</t>
        </is>
      </c>
      <c r="AC86" s="86" t="inlineStr">
        <is>
          <t>Kids</t>
        </is>
      </c>
      <c r="AD86" s="76">
        <f>COUNTIF('KK1. Movies'!AI:AI,'TK 15661.Bản quyền phim '!F86)</f>
        <v/>
      </c>
      <c r="AE86" s="76">
        <f>COUNTIF('KK2. Series'!AM:AM,'TK 15661.Bản quyền phim '!F86)</f>
        <v/>
      </c>
      <c r="AF86" s="76">
        <f>COUNTIF('KK3. Kids'!AF:AF,'TK 15661.Bản quyền phim '!F86)</f>
        <v/>
      </c>
      <c r="AG86" s="76" t="n"/>
      <c r="AH86" s="76">
        <f>IF(SUM(AD86:AG86)&gt;0,"OK",0)</f>
        <v/>
      </c>
    </row>
    <row r="87" hidden="1" ht="15.6" customHeight="1" s="578">
      <c r="A87" s="27" t="n"/>
      <c r="B87" s="74" t="inlineStr">
        <is>
          <t>K+1MOV023121</t>
        </is>
      </c>
      <c r="C87" s="708" t="inlineStr">
        <is>
          <t>VND</t>
        </is>
      </c>
      <c r="D87" s="708" t="inlineStr">
        <is>
          <t>S0002248</t>
        </is>
      </c>
      <c r="E87" s="708" t="inlineStr">
        <is>
          <t>Công ty TNHH giải trí CJ HK</t>
        </is>
      </c>
      <c r="F87" s="708" t="inlineStr">
        <is>
          <t>FAMILY SWAP (Bố là con gái mẹ tôi)</t>
        </is>
      </c>
      <c r="G87" s="708" t="inlineStr">
        <is>
          <t>Movies International</t>
        </is>
      </c>
      <c r="H87" s="83" t="n">
        <v>1</v>
      </c>
      <c r="I87" s="83" t="n">
        <v>3</v>
      </c>
      <c r="J87" s="83">
        <f>H87*I87</f>
        <v/>
      </c>
      <c r="K87" s="83" t="n">
        <v>95238095</v>
      </c>
      <c r="L87" s="83" t="n">
        <v>31746031.66666667</v>
      </c>
      <c r="M87" s="83">
        <f>J87-Q87</f>
        <v/>
      </c>
      <c r="N87" s="83">
        <f>K87-R87</f>
        <v/>
      </c>
      <c r="O87" s="517" t="n">
        <v>44931</v>
      </c>
      <c r="P87" s="517" t="n">
        <v>46026</v>
      </c>
      <c r="Q87" s="83" t="n">
        <v>1</v>
      </c>
      <c r="R87" s="84" t="n">
        <v>31746031.66666666</v>
      </c>
      <c r="S87" s="83" t="n">
        <v>0</v>
      </c>
      <c r="T87" s="84" t="n">
        <v>0</v>
      </c>
      <c r="U87" s="83" t="n">
        <v>1</v>
      </c>
      <c r="V87" s="84">
        <f>U87*L87</f>
        <v/>
      </c>
      <c r="W87" s="83">
        <f>Q87+S87-U87</f>
        <v/>
      </c>
      <c r="X87" s="84">
        <f>R87+T87-V87</f>
        <v/>
      </c>
      <c r="Y87" s="85" t="inlineStr">
        <is>
          <t>P221ZZMO01</t>
        </is>
      </c>
      <c r="Z87" s="86" t="inlineStr">
        <is>
          <t>15661</t>
        </is>
      </c>
      <c r="AA87" s="86" t="inlineStr">
        <is>
          <t>33561</t>
        </is>
      </c>
      <c r="AB87" s="86" t="inlineStr">
        <is>
          <t>6277651</t>
        </is>
      </c>
      <c r="AC87" s="87" t="inlineStr">
        <is>
          <t>Movies</t>
        </is>
      </c>
      <c r="AD87" s="76">
        <f>COUNTIF('KK1. Movies'!AI:AI,'TK 15661.Bản quyền phim '!F87)</f>
        <v/>
      </c>
      <c r="AE87" s="76">
        <f>COUNTIF('KK2. Series'!AM:AM,'TK 15661.Bản quyền phim '!F87)</f>
        <v/>
      </c>
      <c r="AF87" s="76">
        <f>COUNTIF('KK3. Kids'!AF:AF,'TK 15661.Bản quyền phim '!F87)</f>
        <v/>
      </c>
      <c r="AG87" s="76" t="n"/>
      <c r="AH87" s="76">
        <f>IF(SUM(AD87:AG87)&gt;0,"OK",0)</f>
        <v/>
      </c>
    </row>
    <row r="88" hidden="1" ht="15.6" customHeight="1" s="578">
      <c r="A88" s="27" t="n"/>
      <c r="B88" s="74" t="inlineStr">
        <is>
          <t>K+1MOV023122</t>
        </is>
      </c>
      <c r="C88" s="708" t="inlineStr">
        <is>
          <t>VND</t>
        </is>
      </c>
      <c r="D88" s="708" t="inlineStr">
        <is>
          <t>S0002248</t>
        </is>
      </c>
      <c r="E88" s="708" t="inlineStr">
        <is>
          <t>Công ty TNHH giải trí CJ HK</t>
        </is>
      </c>
      <c r="F88" s="708" t="inlineStr">
        <is>
          <t>6/45 (Bỗng dưng trúng số)</t>
        </is>
      </c>
      <c r="G88" s="708" t="inlineStr">
        <is>
          <t>Movies International</t>
        </is>
      </c>
      <c r="H88" s="83" t="n">
        <v>1</v>
      </c>
      <c r="I88" s="83" t="n">
        <v>3</v>
      </c>
      <c r="J88" s="83">
        <f>H88*I88</f>
        <v/>
      </c>
      <c r="K88" s="83" t="n">
        <v>171428571</v>
      </c>
      <c r="L88" s="83" t="n">
        <v>57142857</v>
      </c>
      <c r="M88" s="83">
        <f>J88-Q88</f>
        <v/>
      </c>
      <c r="N88" s="83">
        <f>K88-R88</f>
        <v/>
      </c>
      <c r="O88" s="517" t="n">
        <v>44948</v>
      </c>
      <c r="P88" s="517" t="n">
        <v>46043</v>
      </c>
      <c r="Q88" s="83" t="n">
        <v>1</v>
      </c>
      <c r="R88" s="84" t="n">
        <v>57142857</v>
      </c>
      <c r="S88" s="83" t="n">
        <v>0</v>
      </c>
      <c r="T88" s="84" t="n">
        <v>0</v>
      </c>
      <c r="U88" s="83" t="n">
        <v>1</v>
      </c>
      <c r="V88" s="84">
        <f>U88*L88</f>
        <v/>
      </c>
      <c r="W88" s="83">
        <f>Q88+S88-U88</f>
        <v/>
      </c>
      <c r="X88" s="84">
        <f>R88+T88-V88</f>
        <v/>
      </c>
      <c r="Y88" s="85" t="inlineStr">
        <is>
          <t>P221ZZMO01</t>
        </is>
      </c>
      <c r="Z88" s="86" t="inlineStr">
        <is>
          <t>15661</t>
        </is>
      </c>
      <c r="AA88" s="86" t="inlineStr">
        <is>
          <t>33561</t>
        </is>
      </c>
      <c r="AB88" s="86" t="inlineStr">
        <is>
          <t>6277651</t>
        </is>
      </c>
      <c r="AC88" s="87" t="inlineStr">
        <is>
          <t>Movies</t>
        </is>
      </c>
      <c r="AD88" s="76">
        <f>COUNTIF('KK1. Movies'!AI:AI,'TK 15661.Bản quyền phim '!F88)</f>
        <v/>
      </c>
      <c r="AE88" s="76">
        <f>COUNTIF('KK2. Series'!AM:AM,'TK 15661.Bản quyền phim '!F88)</f>
        <v/>
      </c>
      <c r="AF88" s="76">
        <f>COUNTIF('KK3. Kids'!AF:AF,'TK 15661.Bản quyền phim '!F88)</f>
        <v/>
      </c>
      <c r="AG88" s="76" t="n"/>
      <c r="AH88" s="76">
        <f>IF(SUM(AD88:AG88)&gt;0,"OK",0)</f>
        <v/>
      </c>
    </row>
    <row r="89" hidden="1" ht="15.6" customHeight="1" s="578">
      <c r="A89" s="27" t="n"/>
      <c r="B89" s="74" t="inlineStr">
        <is>
          <t>K+1MOV023123</t>
        </is>
      </c>
      <c r="C89" s="708" t="inlineStr">
        <is>
          <t>VND</t>
        </is>
      </c>
      <c r="D89" s="708" t="inlineStr">
        <is>
          <t>S0002248</t>
        </is>
      </c>
      <c r="E89" s="708" t="inlineStr">
        <is>
          <t>Công ty TNHH giải trí CJ HK</t>
        </is>
      </c>
      <c r="F89" s="708" t="inlineStr">
        <is>
          <t>HOUSE WITH A CLOCK IN ITS WALLS (Ngôi nhà có chiếc đồng hồ ma thuật)</t>
        </is>
      </c>
      <c r="G89" s="708" t="inlineStr">
        <is>
          <t>Movies International</t>
        </is>
      </c>
      <c r="H89" s="83" t="n">
        <v>1</v>
      </c>
      <c r="I89" s="83" t="n">
        <v>3</v>
      </c>
      <c r="J89" s="83">
        <f>H89*I89</f>
        <v/>
      </c>
      <c r="K89" s="83" t="n">
        <v>85714286</v>
      </c>
      <c r="L89" s="83" t="n">
        <v>28571428.66666667</v>
      </c>
      <c r="M89" s="83">
        <f>J89-Q89</f>
        <v/>
      </c>
      <c r="N89" s="83">
        <f>K89-R89</f>
        <v/>
      </c>
      <c r="O89" s="517" t="n">
        <v>44952</v>
      </c>
      <c r="P89" s="517" t="n">
        <v>46047</v>
      </c>
      <c r="Q89" s="83" t="n">
        <v>1</v>
      </c>
      <c r="R89" s="84" t="n">
        <v>28571428.66666666</v>
      </c>
      <c r="S89" s="83" t="n">
        <v>0</v>
      </c>
      <c r="T89" s="84" t="n">
        <v>0</v>
      </c>
      <c r="U89" s="83" t="n">
        <v>1</v>
      </c>
      <c r="V89" s="84">
        <f>U89*L89</f>
        <v/>
      </c>
      <c r="W89" s="83">
        <f>Q89+S89-U89</f>
        <v/>
      </c>
      <c r="X89" s="84">
        <f>R89+T89-V89</f>
        <v/>
      </c>
      <c r="Y89" s="85" t="inlineStr">
        <is>
          <t>P221ZZMO01</t>
        </is>
      </c>
      <c r="Z89" s="86" t="inlineStr">
        <is>
          <t>15661</t>
        </is>
      </c>
      <c r="AA89" s="86" t="inlineStr">
        <is>
          <t>33561</t>
        </is>
      </c>
      <c r="AB89" s="86" t="inlineStr">
        <is>
          <t>6277651</t>
        </is>
      </c>
      <c r="AC89" s="87" t="inlineStr">
        <is>
          <t>Movies</t>
        </is>
      </c>
      <c r="AD89" s="76">
        <f>COUNTIF('KK1. Movies'!AI:AI,'TK 15661.Bản quyền phim '!F89)</f>
        <v/>
      </c>
      <c r="AE89" s="76">
        <f>COUNTIF('KK2. Series'!AM:AM,'TK 15661.Bản quyền phim '!F89)</f>
        <v/>
      </c>
      <c r="AF89" s="76">
        <f>COUNTIF('KK3. Kids'!AF:AF,'TK 15661.Bản quyền phim '!F89)</f>
        <v/>
      </c>
      <c r="AG89" s="76" t="n"/>
      <c r="AH89" s="76">
        <f>IF(SUM(AD89:AG89)&gt;0,"OK",0)</f>
        <v/>
      </c>
    </row>
    <row r="90" hidden="1" ht="15.6" customHeight="1" s="578">
      <c r="A90" s="27" t="n"/>
      <c r="B90" s="74" t="inlineStr">
        <is>
          <t>K+1MOV023124</t>
        </is>
      </c>
      <c r="C90" s="708" t="inlineStr">
        <is>
          <t>VND</t>
        </is>
      </c>
      <c r="D90" s="708" t="inlineStr">
        <is>
          <t>S0002248</t>
        </is>
      </c>
      <c r="E90" s="708" t="inlineStr">
        <is>
          <t>Công ty TNHH giải trí CJ HK</t>
        </is>
      </c>
      <c r="F90" s="708" t="inlineStr">
        <is>
          <t>LOVE AGAIN (Chồng cũ tình mới)</t>
        </is>
      </c>
      <c r="G90" s="708" t="inlineStr">
        <is>
          <t>Movies International</t>
        </is>
      </c>
      <c r="H90" s="83" t="n">
        <v>1</v>
      </c>
      <c r="I90" s="83" t="n">
        <v>3</v>
      </c>
      <c r="J90" s="83">
        <f>H90*I90</f>
        <v/>
      </c>
      <c r="K90" s="83" t="n">
        <v>95238095</v>
      </c>
      <c r="L90" s="83" t="n">
        <v>31746031.66666667</v>
      </c>
      <c r="M90" s="83">
        <f>J90-Q90</f>
        <v/>
      </c>
      <c r="N90" s="83">
        <f>K90-R90</f>
        <v/>
      </c>
      <c r="O90" s="517" t="n">
        <v>44966</v>
      </c>
      <c r="P90" s="517" t="n">
        <v>46061</v>
      </c>
      <c r="Q90" s="83" t="n">
        <v>1</v>
      </c>
      <c r="R90" s="84" t="n">
        <v>31746031.66666666</v>
      </c>
      <c r="S90" s="83" t="n">
        <v>0</v>
      </c>
      <c r="T90" s="84" t="n">
        <v>0</v>
      </c>
      <c r="U90" s="83" t="n">
        <v>1</v>
      </c>
      <c r="V90" s="84">
        <f>U90*L90</f>
        <v/>
      </c>
      <c r="W90" s="83">
        <f>Q90+S90-U90</f>
        <v/>
      </c>
      <c r="X90" s="84">
        <f>R90+T90-V90</f>
        <v/>
      </c>
      <c r="Y90" s="85" t="inlineStr">
        <is>
          <t>P221ZZMO01</t>
        </is>
      </c>
      <c r="Z90" s="86" t="inlineStr">
        <is>
          <t>15661</t>
        </is>
      </c>
      <c r="AA90" s="86" t="inlineStr">
        <is>
          <t>33561</t>
        </is>
      </c>
      <c r="AB90" s="86" t="inlineStr">
        <is>
          <t>6277651</t>
        </is>
      </c>
      <c r="AC90" s="87" t="inlineStr">
        <is>
          <t>Movies</t>
        </is>
      </c>
      <c r="AD90" s="76">
        <f>COUNTIF('KK1. Movies'!AI:AI,'TK 15661.Bản quyền phim '!F90)</f>
        <v/>
      </c>
      <c r="AE90" s="76">
        <f>COUNTIF('KK2. Series'!AM:AM,'TK 15661.Bản quyền phim '!F90)</f>
        <v/>
      </c>
      <c r="AF90" s="76">
        <f>COUNTIF('KK3. Kids'!AF:AF,'TK 15661.Bản quyền phim '!F90)</f>
        <v/>
      </c>
      <c r="AG90" s="76" t="n"/>
      <c r="AH90" s="76">
        <f>IF(SUM(AD90:AG90)&gt;0,"OK",0)</f>
        <v/>
      </c>
    </row>
    <row r="91" hidden="1" ht="15.6" customHeight="1" s="578">
      <c r="A91" s="27" t="n"/>
      <c r="B91" s="74" t="inlineStr">
        <is>
          <t>K+1MOV023125</t>
        </is>
      </c>
      <c r="C91" s="708" t="inlineStr">
        <is>
          <t>VND</t>
        </is>
      </c>
      <c r="D91" s="708" t="inlineStr">
        <is>
          <t>S0002248</t>
        </is>
      </c>
      <c r="E91" s="708" t="inlineStr">
        <is>
          <t>Công ty TNHH giải trí CJ HK</t>
        </is>
      </c>
      <c r="F91" s="708" t="inlineStr">
        <is>
          <t>THE POST (Bí mật lầu năm góc)</t>
        </is>
      </c>
      <c r="G91" s="708" t="inlineStr">
        <is>
          <t>Movies International</t>
        </is>
      </c>
      <c r="H91" s="83" t="n">
        <v>1</v>
      </c>
      <c r="I91" s="83" t="n">
        <v>3</v>
      </c>
      <c r="J91" s="83">
        <f>H91*I91</f>
        <v/>
      </c>
      <c r="K91" s="83" t="n">
        <v>104761905</v>
      </c>
      <c r="L91" s="83" t="n">
        <v>34920635</v>
      </c>
      <c r="M91" s="83">
        <f>J91-Q91</f>
        <v/>
      </c>
      <c r="N91" s="83">
        <f>K91-R91</f>
        <v/>
      </c>
      <c r="O91" s="517" t="n">
        <v>44987</v>
      </c>
      <c r="P91" s="517" t="n">
        <v>46082</v>
      </c>
      <c r="Q91" s="83" t="n">
        <v>1</v>
      </c>
      <c r="R91" s="84" t="n">
        <v>34920635</v>
      </c>
      <c r="S91" s="83" t="n">
        <v>0</v>
      </c>
      <c r="T91" s="84" t="n">
        <v>0</v>
      </c>
      <c r="U91" s="83" t="n">
        <v>1</v>
      </c>
      <c r="V91" s="84">
        <f>U91*L91</f>
        <v/>
      </c>
      <c r="W91" s="83">
        <f>Q91+S91-U91</f>
        <v/>
      </c>
      <c r="X91" s="84">
        <f>R91+T91-V91</f>
        <v/>
      </c>
      <c r="Y91" s="85" t="inlineStr">
        <is>
          <t>P221ZZMO01</t>
        </is>
      </c>
      <c r="Z91" s="86" t="inlineStr">
        <is>
          <t>15661</t>
        </is>
      </c>
      <c r="AA91" s="86" t="inlineStr">
        <is>
          <t>33561</t>
        </is>
      </c>
      <c r="AB91" s="86" t="inlineStr">
        <is>
          <t>6277651</t>
        </is>
      </c>
      <c r="AC91" s="87" t="inlineStr">
        <is>
          <t>Movies</t>
        </is>
      </c>
      <c r="AD91" s="76">
        <f>COUNTIF('KK1. Movies'!AI:AI,'TK 15661.Bản quyền phim '!F91)</f>
        <v/>
      </c>
      <c r="AE91" s="76">
        <f>COUNTIF('KK2. Series'!AM:AM,'TK 15661.Bản quyền phim '!F91)</f>
        <v/>
      </c>
      <c r="AF91" s="76">
        <f>COUNTIF('KK3. Kids'!AF:AF,'TK 15661.Bản quyền phim '!F91)</f>
        <v/>
      </c>
      <c r="AG91" s="76" t="n"/>
      <c r="AH91" s="76">
        <f>IF(SUM(AD91:AG91)&gt;0,"OK",0)</f>
        <v/>
      </c>
    </row>
    <row r="92" hidden="1" ht="15.6" customHeight="1" s="578">
      <c r="A92" s="27" t="n"/>
      <c r="B92" s="74" t="inlineStr">
        <is>
          <t>K+1MOV023126</t>
        </is>
      </c>
      <c r="C92" s="708" t="inlineStr">
        <is>
          <t>VND</t>
        </is>
      </c>
      <c r="D92" s="708" t="inlineStr">
        <is>
          <t>S0002248</t>
        </is>
      </c>
      <c r="E92" s="708" t="inlineStr">
        <is>
          <t>Công ty TNHH giải trí CJ HK</t>
        </is>
      </c>
      <c r="F92" s="708" t="inlineStr">
        <is>
          <t>7 DAYS IN ENTEBBE (7 ngày ở Entebbe)</t>
        </is>
      </c>
      <c r="G92" s="708" t="inlineStr">
        <is>
          <t>Movies International</t>
        </is>
      </c>
      <c r="H92" s="83" t="n">
        <v>1</v>
      </c>
      <c r="I92" s="83" t="n">
        <v>3</v>
      </c>
      <c r="J92" s="83">
        <f>H92*I92</f>
        <v/>
      </c>
      <c r="K92" s="83" t="n">
        <v>61904762</v>
      </c>
      <c r="L92" s="83" t="n">
        <v>20634920.66666667</v>
      </c>
      <c r="M92" s="83">
        <f>J92-Q92</f>
        <v/>
      </c>
      <c r="N92" s="83">
        <f>K92-R92</f>
        <v/>
      </c>
      <c r="O92" s="517" t="n">
        <v>45021</v>
      </c>
      <c r="P92" s="517" t="n">
        <v>46116</v>
      </c>
      <c r="Q92" s="83" t="n">
        <v>1</v>
      </c>
      <c r="R92" s="84" t="n">
        <v>20634920.66666666</v>
      </c>
      <c r="S92" s="83" t="n">
        <v>0</v>
      </c>
      <c r="T92" s="84" t="n">
        <v>0</v>
      </c>
      <c r="U92" s="83" t="n">
        <v>1</v>
      </c>
      <c r="V92" s="84">
        <f>U92*L92</f>
        <v/>
      </c>
      <c r="W92" s="83">
        <f>Q92+S92-U92</f>
        <v/>
      </c>
      <c r="X92" s="84">
        <f>R92+T92-V92</f>
        <v/>
      </c>
      <c r="Y92" s="85" t="inlineStr">
        <is>
          <t>P221ZZMO01</t>
        </is>
      </c>
      <c r="Z92" s="86" t="inlineStr">
        <is>
          <t>15661</t>
        </is>
      </c>
      <c r="AA92" s="86" t="inlineStr">
        <is>
          <t>33561</t>
        </is>
      </c>
      <c r="AB92" s="86" t="inlineStr">
        <is>
          <t>6277651</t>
        </is>
      </c>
      <c r="AC92" s="87" t="inlineStr">
        <is>
          <t>Movies</t>
        </is>
      </c>
      <c r="AD92" s="76">
        <f>COUNTIF('KK1. Movies'!AI:AI,'TK 15661.Bản quyền phim '!F92)</f>
        <v/>
      </c>
      <c r="AE92" s="76">
        <f>COUNTIF('KK2. Series'!AM:AM,'TK 15661.Bản quyền phim '!F92)</f>
        <v/>
      </c>
      <c r="AF92" s="76">
        <f>COUNTIF('KK3. Kids'!AF:AF,'TK 15661.Bản quyền phim '!F92)</f>
        <v/>
      </c>
      <c r="AG92" s="76" t="n"/>
      <c r="AH92" s="76">
        <f>IF(SUM(AD92:AG92)&gt;0,"OK",0)</f>
        <v/>
      </c>
    </row>
    <row r="93" hidden="1" ht="15.6" customHeight="1" s="578">
      <c r="A93" s="27" t="n"/>
      <c r="B93" s="74" t="inlineStr">
        <is>
          <t>K+1MOV023127</t>
        </is>
      </c>
      <c r="C93" s="708" t="inlineStr">
        <is>
          <t>VND</t>
        </is>
      </c>
      <c r="D93" s="708" t="inlineStr">
        <is>
          <t>S0002248</t>
        </is>
      </c>
      <c r="E93" s="708" t="inlineStr">
        <is>
          <t>Công ty TNHH giải trí CJ HK</t>
        </is>
      </c>
      <c r="F93" s="708" t="inlineStr">
        <is>
          <t>ANCHOR (Bản tin chết)</t>
        </is>
      </c>
      <c r="G93" s="708" t="inlineStr">
        <is>
          <t>Movies International</t>
        </is>
      </c>
      <c r="H93" s="83" t="n">
        <v>1</v>
      </c>
      <c r="I93" s="83" t="n">
        <v>3</v>
      </c>
      <c r="J93" s="83">
        <f>H93*I93</f>
        <v/>
      </c>
      <c r="K93" s="83" t="n">
        <v>95238095</v>
      </c>
      <c r="L93" s="83" t="n">
        <v>31746031.66666667</v>
      </c>
      <c r="M93" s="83">
        <f>J93-Q93</f>
        <v/>
      </c>
      <c r="N93" s="83">
        <f>K93-R93</f>
        <v/>
      </c>
      <c r="O93" s="517" t="n">
        <v>45098</v>
      </c>
      <c r="P93" s="517" t="n">
        <v>46193</v>
      </c>
      <c r="Q93" s="83" t="n">
        <v>1</v>
      </c>
      <c r="R93" s="84" t="n">
        <v>31746031.66666666</v>
      </c>
      <c r="S93" s="83" t="n">
        <v>0</v>
      </c>
      <c r="T93" s="84" t="n">
        <v>0</v>
      </c>
      <c r="U93" s="83" t="n">
        <v>1</v>
      </c>
      <c r="V93" s="84">
        <f>U93*L93</f>
        <v/>
      </c>
      <c r="W93" s="83">
        <f>Q93+S93-U93</f>
        <v/>
      </c>
      <c r="X93" s="84">
        <f>R93+T93-V93</f>
        <v/>
      </c>
      <c r="Y93" s="85" t="inlineStr">
        <is>
          <t>P221ZZMO01</t>
        </is>
      </c>
      <c r="Z93" s="86" t="inlineStr">
        <is>
          <t>15661</t>
        </is>
      </c>
      <c r="AA93" s="86" t="inlineStr">
        <is>
          <t>33561</t>
        </is>
      </c>
      <c r="AB93" s="86" t="inlineStr">
        <is>
          <t>6277651</t>
        </is>
      </c>
      <c r="AC93" s="87" t="inlineStr">
        <is>
          <t>Movies</t>
        </is>
      </c>
      <c r="AD93" s="76">
        <f>COUNTIF('KK1. Movies'!AI:AI,'TK 15661.Bản quyền phim '!F93)</f>
        <v/>
      </c>
      <c r="AE93" s="76">
        <f>COUNTIF('KK2. Series'!AM:AM,'TK 15661.Bản quyền phim '!F93)</f>
        <v/>
      </c>
      <c r="AF93" s="76">
        <f>COUNTIF('KK3. Kids'!AF:AF,'TK 15661.Bản quyền phim '!F93)</f>
        <v/>
      </c>
      <c r="AG93" s="76" t="n"/>
      <c r="AH93" s="76">
        <f>IF(SUM(AD93:AG93)&gt;0,"OK",0)</f>
        <v/>
      </c>
    </row>
    <row r="94" hidden="1" ht="15.6" customHeight="1" s="578">
      <c r="A94" s="27" t="n"/>
      <c r="B94" s="74" t="inlineStr">
        <is>
          <t>K+1MOV023128</t>
        </is>
      </c>
      <c r="C94" s="708" t="inlineStr">
        <is>
          <t>VND</t>
        </is>
      </c>
      <c r="D94" s="708" t="inlineStr">
        <is>
          <t>S0002248</t>
        </is>
      </c>
      <c r="E94" s="708" t="inlineStr">
        <is>
          <t>Công ty TNHH giải trí CJ HK</t>
        </is>
      </c>
      <c r="F94" s="708" t="inlineStr">
        <is>
          <t>BARB AND STAR GO TO VISTA DEL MAR (Barb &amp; star: Hội hè hồi xuân)</t>
        </is>
      </c>
      <c r="G94" s="708" t="inlineStr">
        <is>
          <t>Movies International</t>
        </is>
      </c>
      <c r="H94" s="83" t="n">
        <v>1</v>
      </c>
      <c r="I94" s="83" t="n">
        <v>3</v>
      </c>
      <c r="J94" s="83">
        <f>H94*I94</f>
        <v/>
      </c>
      <c r="K94" s="83" t="n">
        <v>95238095</v>
      </c>
      <c r="L94" s="83" t="n">
        <v>31746031.66666667</v>
      </c>
      <c r="M94" s="83">
        <f>J94-Q94</f>
        <v/>
      </c>
      <c r="N94" s="83">
        <f>K94-R94</f>
        <v/>
      </c>
      <c r="O94" s="517" t="n">
        <v>45183</v>
      </c>
      <c r="P94" s="517" t="n">
        <v>46278</v>
      </c>
      <c r="Q94" s="83" t="n">
        <v>1</v>
      </c>
      <c r="R94" s="84" t="n">
        <v>31746031.66666666</v>
      </c>
      <c r="S94" s="83" t="n">
        <v>0</v>
      </c>
      <c r="T94" s="84" t="n">
        <v>0</v>
      </c>
      <c r="U94" s="83" t="n">
        <v>1</v>
      </c>
      <c r="V94" s="84">
        <f>U94*L94</f>
        <v/>
      </c>
      <c r="W94" s="83">
        <f>Q94+S94-U94</f>
        <v/>
      </c>
      <c r="X94" s="84">
        <f>R94+T94-V94</f>
        <v/>
      </c>
      <c r="Y94" s="85" t="inlineStr">
        <is>
          <t>P221ZZMO01</t>
        </is>
      </c>
      <c r="Z94" s="86" t="inlineStr">
        <is>
          <t>15661</t>
        </is>
      </c>
      <c r="AA94" s="86" t="inlineStr">
        <is>
          <t>33561</t>
        </is>
      </c>
      <c r="AB94" s="86" t="inlineStr">
        <is>
          <t>6277651</t>
        </is>
      </c>
      <c r="AC94" s="87" t="inlineStr">
        <is>
          <t>Movies</t>
        </is>
      </c>
      <c r="AD94" s="76">
        <f>COUNTIF('KK1. Movies'!AI:AI,'TK 15661.Bản quyền phim '!F94)</f>
        <v/>
      </c>
      <c r="AE94" s="76">
        <f>COUNTIF('KK2. Series'!AM:AM,'TK 15661.Bản quyền phim '!F94)</f>
        <v/>
      </c>
      <c r="AF94" s="76">
        <f>COUNTIF('KK3. Kids'!AF:AF,'TK 15661.Bản quyền phim '!F94)</f>
        <v/>
      </c>
      <c r="AG94" s="76" t="n"/>
      <c r="AH94" s="76">
        <f>IF(SUM(AD94:AG94)&gt;0,"OK",0)</f>
        <v/>
      </c>
    </row>
    <row r="95" hidden="1" ht="15.6" customHeight="1" s="578">
      <c r="A95" s="27" t="n"/>
      <c r="B95" s="74" t="inlineStr">
        <is>
          <t>K+1MOV023129</t>
        </is>
      </c>
      <c r="C95" s="708" t="inlineStr">
        <is>
          <t>VND</t>
        </is>
      </c>
      <c r="D95" s="708" t="inlineStr">
        <is>
          <t>S0002248</t>
        </is>
      </c>
      <c r="E95" s="708" t="inlineStr">
        <is>
          <t>Công ty TNHH giải trí CJ HK</t>
        </is>
      </c>
      <c r="F95" s="708" t="inlineStr">
        <is>
          <t>MY GIRL (Điều ước cuối của tù nhân 2037)</t>
        </is>
      </c>
      <c r="G95" s="708" t="inlineStr">
        <is>
          <t>Movies International</t>
        </is>
      </c>
      <c r="H95" s="83" t="n">
        <v>1</v>
      </c>
      <c r="I95" s="83" t="n">
        <v>3</v>
      </c>
      <c r="J95" s="83">
        <f>H95*I95</f>
        <v/>
      </c>
      <c r="K95" s="83" t="n">
        <v>95238095</v>
      </c>
      <c r="L95" s="83" t="n">
        <v>31746031.66666667</v>
      </c>
      <c r="M95" s="83">
        <f>J95-Q95</f>
        <v/>
      </c>
      <c r="N95" s="83">
        <f>K95-R95</f>
        <v/>
      </c>
      <c r="O95" s="517" t="n">
        <v>45190</v>
      </c>
      <c r="P95" s="517" t="n">
        <v>46285</v>
      </c>
      <c r="Q95" s="83" t="n">
        <v>1</v>
      </c>
      <c r="R95" s="84" t="n">
        <v>31746031.66666666</v>
      </c>
      <c r="S95" s="83" t="n">
        <v>0</v>
      </c>
      <c r="T95" s="84" t="n">
        <v>0</v>
      </c>
      <c r="U95" s="83" t="n">
        <v>1</v>
      </c>
      <c r="V95" s="84">
        <f>U95*L95</f>
        <v/>
      </c>
      <c r="W95" s="83">
        <f>Q95+S95-U95</f>
        <v/>
      </c>
      <c r="X95" s="84">
        <f>R95+T95-V95</f>
        <v/>
      </c>
      <c r="Y95" s="85" t="inlineStr">
        <is>
          <t>P221ZZMO01</t>
        </is>
      </c>
      <c r="Z95" s="86" t="inlineStr">
        <is>
          <t>15661</t>
        </is>
      </c>
      <c r="AA95" s="86" t="inlineStr">
        <is>
          <t>33561</t>
        </is>
      </c>
      <c r="AB95" s="86" t="inlineStr">
        <is>
          <t>6277651</t>
        </is>
      </c>
      <c r="AC95" s="87" t="inlineStr">
        <is>
          <t>Movies</t>
        </is>
      </c>
      <c r="AD95" s="76">
        <f>COUNTIF('KK1. Movies'!AI:AI,'TK 15661.Bản quyền phim '!F95)</f>
        <v/>
      </c>
      <c r="AE95" s="76">
        <f>COUNTIF('KK2. Series'!AM:AM,'TK 15661.Bản quyền phim '!F95)</f>
        <v/>
      </c>
      <c r="AF95" s="76">
        <f>COUNTIF('KK3. Kids'!AF:AF,'TK 15661.Bản quyền phim '!F95)</f>
        <v/>
      </c>
      <c r="AG95" s="76" t="n"/>
      <c r="AH95" s="76">
        <f>IF(SUM(AD95:AG95)&gt;0,"OK",0)</f>
        <v/>
      </c>
    </row>
    <row r="96" hidden="1" ht="15.6" customHeight="1" s="578">
      <c r="A96" s="27" t="n"/>
      <c r="B96" s="74" t="inlineStr">
        <is>
          <t>K+1MOV023130</t>
        </is>
      </c>
      <c r="C96" s="708" t="inlineStr">
        <is>
          <t>VND</t>
        </is>
      </c>
      <c r="D96" s="708" t="inlineStr">
        <is>
          <t>S0002248</t>
        </is>
      </c>
      <c r="E96" s="708" t="inlineStr">
        <is>
          <t>Công ty TNHH giải trí CJ HK</t>
        </is>
      </c>
      <c r="F96" s="708" t="inlineStr">
        <is>
          <t>I CAN SPEAK (Tiếng Anh là chuyện nhỏ)</t>
        </is>
      </c>
      <c r="G96" s="708" t="inlineStr">
        <is>
          <t>Movies International</t>
        </is>
      </c>
      <c r="H96" s="83" t="n">
        <v>1</v>
      </c>
      <c r="I96" s="83" t="n">
        <v>3</v>
      </c>
      <c r="J96" s="83">
        <f>H96*I96</f>
        <v/>
      </c>
      <c r="K96" s="83" t="n">
        <v>95238095</v>
      </c>
      <c r="L96" s="83" t="n">
        <v>31746031.66666667</v>
      </c>
      <c r="M96" s="83">
        <f>J96-Q96</f>
        <v/>
      </c>
      <c r="N96" s="83">
        <f>K96-R96</f>
        <v/>
      </c>
      <c r="O96" s="517" t="n">
        <v>45212</v>
      </c>
      <c r="P96" s="517" t="n">
        <v>46307</v>
      </c>
      <c r="Q96" s="83" t="n">
        <v>1</v>
      </c>
      <c r="R96" s="84" t="n">
        <v>31746031.66666666</v>
      </c>
      <c r="S96" s="83" t="n">
        <v>0</v>
      </c>
      <c r="T96" s="84" t="n">
        <v>0</v>
      </c>
      <c r="U96" s="83" t="n">
        <v>1</v>
      </c>
      <c r="V96" s="84">
        <f>U96*L96</f>
        <v/>
      </c>
      <c r="W96" s="83">
        <f>Q96+S96-U96</f>
        <v/>
      </c>
      <c r="X96" s="84">
        <f>R96+T96-V96</f>
        <v/>
      </c>
      <c r="Y96" s="85" t="inlineStr">
        <is>
          <t>P221ZZMO01</t>
        </is>
      </c>
      <c r="Z96" s="86" t="inlineStr">
        <is>
          <t>15661</t>
        </is>
      </c>
      <c r="AA96" s="86" t="inlineStr">
        <is>
          <t>33561</t>
        </is>
      </c>
      <c r="AB96" s="86" t="inlineStr">
        <is>
          <t>6277651</t>
        </is>
      </c>
      <c r="AC96" s="87" t="inlineStr">
        <is>
          <t>Movies</t>
        </is>
      </c>
      <c r="AD96" s="76">
        <f>COUNTIF('KK1. Movies'!AI:AI,'TK 15661.Bản quyền phim '!F96)</f>
        <v/>
      </c>
      <c r="AE96" s="76">
        <f>COUNTIF('KK2. Series'!AM:AM,'TK 15661.Bản quyền phim '!F96)</f>
        <v/>
      </c>
      <c r="AF96" s="76">
        <f>COUNTIF('KK3. Kids'!AF:AF,'TK 15661.Bản quyền phim '!F96)</f>
        <v/>
      </c>
      <c r="AG96" s="76" t="n"/>
      <c r="AH96" s="76">
        <f>IF(SUM(AD96:AG96)&gt;0,"OK",0)</f>
        <v/>
      </c>
    </row>
    <row r="97" hidden="1" ht="15.6" customHeight="1" s="578">
      <c r="A97" s="27" t="n"/>
      <c r="B97" s="74" t="inlineStr">
        <is>
          <t>K+1MOV023131</t>
        </is>
      </c>
      <c r="C97" s="708" t="inlineStr">
        <is>
          <t>VND</t>
        </is>
      </c>
      <c r="D97" s="708" t="inlineStr">
        <is>
          <t>S0002248</t>
        </is>
      </c>
      <c r="E97" s="708" t="inlineStr">
        <is>
          <t>Công ty TNHH giải trí CJ HK</t>
        </is>
      </c>
      <c r="F97" s="708" t="inlineStr">
        <is>
          <t>HAPPY ENDING (Mình yêu nhau đi)</t>
        </is>
      </c>
      <c r="G97" s="708" t="inlineStr">
        <is>
          <t>Movies International</t>
        </is>
      </c>
      <c r="H97" s="83" t="n">
        <v>1</v>
      </c>
      <c r="I97" s="83" t="n">
        <v>3</v>
      </c>
      <c r="J97" s="83">
        <f>H97*I97</f>
        <v/>
      </c>
      <c r="K97" s="83" t="n">
        <v>95238095</v>
      </c>
      <c r="L97" s="83" t="n">
        <v>31746031.66666667</v>
      </c>
      <c r="M97" s="83">
        <f>J97-Q97</f>
        <v/>
      </c>
      <c r="N97" s="83">
        <f>K97-R97</f>
        <v/>
      </c>
      <c r="O97" s="517" t="n">
        <v>45246</v>
      </c>
      <c r="P97" s="517" t="n">
        <v>46341</v>
      </c>
      <c r="Q97" s="83" t="n">
        <v>1</v>
      </c>
      <c r="R97" s="84" t="n">
        <v>31746031.66666666</v>
      </c>
      <c r="S97" s="83" t="n">
        <v>0</v>
      </c>
      <c r="T97" s="84" t="n">
        <v>0</v>
      </c>
      <c r="U97" s="83" t="n">
        <v>1</v>
      </c>
      <c r="V97" s="84">
        <f>U97*L97</f>
        <v/>
      </c>
      <c r="W97" s="83">
        <f>Q97+S97-U97</f>
        <v/>
      </c>
      <c r="X97" s="84">
        <f>R97+T97-V97</f>
        <v/>
      </c>
      <c r="Y97" s="85" t="inlineStr">
        <is>
          <t>P221ZZMO01</t>
        </is>
      </c>
      <c r="Z97" s="86" t="inlineStr">
        <is>
          <t>15661</t>
        </is>
      </c>
      <c r="AA97" s="86" t="inlineStr">
        <is>
          <t>33561</t>
        </is>
      </c>
      <c r="AB97" s="86" t="inlineStr">
        <is>
          <t>6277651</t>
        </is>
      </c>
      <c r="AC97" s="87" t="inlineStr">
        <is>
          <t>Movies</t>
        </is>
      </c>
      <c r="AD97" s="76">
        <f>COUNTIF('KK1. Movies'!AI:AI,'TK 15661.Bản quyền phim '!F97)</f>
        <v/>
      </c>
      <c r="AE97" s="76">
        <f>COUNTIF('KK2. Series'!AM:AM,'TK 15661.Bản quyền phim '!F97)</f>
        <v/>
      </c>
      <c r="AF97" s="76">
        <f>COUNTIF('KK3. Kids'!AF:AF,'TK 15661.Bản quyền phim '!F97)</f>
        <v/>
      </c>
      <c r="AG97" s="76" t="n"/>
      <c r="AH97" s="76">
        <f>IF(SUM(AD97:AG97)&gt;0,"OK",0)</f>
        <v/>
      </c>
    </row>
    <row r="98" hidden="1" ht="15.6" customHeight="1" s="578">
      <c r="A98" s="27" t="n"/>
      <c r="B98" s="74" t="inlineStr">
        <is>
          <t>K+1MOV023132</t>
        </is>
      </c>
      <c r="C98" s="708" t="inlineStr">
        <is>
          <t>VND</t>
        </is>
      </c>
      <c r="D98" s="708" t="inlineStr">
        <is>
          <t>S0002248</t>
        </is>
      </c>
      <c r="E98" s="708" t="inlineStr">
        <is>
          <t>Công ty TNHH giải trí CJ HK</t>
        </is>
      </c>
      <c r="F98" s="708" t="inlineStr">
        <is>
          <t>THE GIRL ON THE TRAIN (Cô gái trên tàu)</t>
        </is>
      </c>
      <c r="G98" s="708" t="inlineStr">
        <is>
          <t>Movies International</t>
        </is>
      </c>
      <c r="H98" s="83" t="n">
        <v>1</v>
      </c>
      <c r="I98" s="83" t="n">
        <v>3</v>
      </c>
      <c r="J98" s="83">
        <f>H98*I98</f>
        <v/>
      </c>
      <c r="K98" s="83" t="n">
        <v>85714286</v>
      </c>
      <c r="L98" s="83" t="n">
        <v>28571428.66666667</v>
      </c>
      <c r="M98" s="83">
        <f>J98-Q98</f>
        <v/>
      </c>
      <c r="N98" s="83">
        <f>K98-R98</f>
        <v/>
      </c>
      <c r="O98" s="517" t="n">
        <v>45275</v>
      </c>
      <c r="P98" s="517" t="n">
        <v>46370</v>
      </c>
      <c r="Q98" s="83" t="n">
        <v>1</v>
      </c>
      <c r="R98" s="84" t="n">
        <v>28571428.66666666</v>
      </c>
      <c r="S98" s="83" t="n">
        <v>0</v>
      </c>
      <c r="T98" s="84" t="n">
        <v>0</v>
      </c>
      <c r="U98" s="83" t="n">
        <v>1</v>
      </c>
      <c r="V98" s="84">
        <f>U98*L98</f>
        <v/>
      </c>
      <c r="W98" s="83">
        <f>Q98+S98-U98</f>
        <v/>
      </c>
      <c r="X98" s="84">
        <f>R98+T98-V98</f>
        <v/>
      </c>
      <c r="Y98" s="85" t="inlineStr">
        <is>
          <t>P221ZZMO01</t>
        </is>
      </c>
      <c r="Z98" s="86" t="inlineStr">
        <is>
          <t>15661</t>
        </is>
      </c>
      <c r="AA98" s="86" t="inlineStr">
        <is>
          <t>33561</t>
        </is>
      </c>
      <c r="AB98" s="86" t="inlineStr">
        <is>
          <t>6277651</t>
        </is>
      </c>
      <c r="AC98" s="87" t="inlineStr">
        <is>
          <t>Movies</t>
        </is>
      </c>
      <c r="AD98" s="76">
        <f>COUNTIF('KK1. Movies'!AI:AI,'TK 15661.Bản quyền phim '!F98)</f>
        <v/>
      </c>
      <c r="AE98" s="76">
        <f>COUNTIF('KK2. Series'!AM:AM,'TK 15661.Bản quyền phim '!F98)</f>
        <v/>
      </c>
      <c r="AF98" s="76">
        <f>COUNTIF('KK3. Kids'!AF:AF,'TK 15661.Bản quyền phim '!F98)</f>
        <v/>
      </c>
      <c r="AG98" s="76" t="n"/>
      <c r="AH98" s="76">
        <f>IF(SUM(AD98:AG98)&gt;0,"OK",0)</f>
        <v/>
      </c>
    </row>
    <row r="99" hidden="1" ht="15.6" customHeight="1" s="578">
      <c r="A99" s="27" t="n"/>
      <c r="B99" s="74" t="inlineStr">
        <is>
          <t>K+1MOV023133</t>
        </is>
      </c>
      <c r="C99" s="708" t="inlineStr">
        <is>
          <t>VND</t>
        </is>
      </c>
      <c r="D99" s="708" t="inlineStr">
        <is>
          <t>S0002248</t>
        </is>
      </c>
      <c r="E99" s="708" t="inlineStr">
        <is>
          <t>Công ty TNHH giải trí CJ HK</t>
        </is>
      </c>
      <c r="F99" s="708" t="inlineStr">
        <is>
          <t>A DOG'S PURPOSE (Mục đích sống của một chú chó)</t>
        </is>
      </c>
      <c r="G99" s="708" t="inlineStr">
        <is>
          <t>Movies International</t>
        </is>
      </c>
      <c r="H99" s="83" t="n">
        <v>1</v>
      </c>
      <c r="I99" s="83" t="n">
        <v>3</v>
      </c>
      <c r="J99" s="83">
        <f>H99*I99</f>
        <v/>
      </c>
      <c r="K99" s="83" t="n">
        <v>61904762</v>
      </c>
      <c r="L99" s="83" t="n">
        <v>20634920.66666667</v>
      </c>
      <c r="M99" s="83">
        <f>J99-Q99</f>
        <v/>
      </c>
      <c r="N99" s="83">
        <f>K99-R99</f>
        <v/>
      </c>
      <c r="O99" s="517" t="n">
        <v>45281</v>
      </c>
      <c r="P99" s="517" t="n">
        <v>46376</v>
      </c>
      <c r="Q99" s="83" t="n">
        <v>1</v>
      </c>
      <c r="R99" s="84" t="n">
        <v>20634920.66666666</v>
      </c>
      <c r="S99" s="83" t="n">
        <v>0</v>
      </c>
      <c r="T99" s="84" t="n">
        <v>0</v>
      </c>
      <c r="U99" s="83" t="n">
        <v>1</v>
      </c>
      <c r="V99" s="84">
        <f>U99*L99</f>
        <v/>
      </c>
      <c r="W99" s="83">
        <f>Q99+S99-U99</f>
        <v/>
      </c>
      <c r="X99" s="84">
        <f>R99+T99-V99</f>
        <v/>
      </c>
      <c r="Y99" s="85" t="inlineStr">
        <is>
          <t>P221ZZMO01</t>
        </is>
      </c>
      <c r="Z99" s="86" t="inlineStr">
        <is>
          <t>15661</t>
        </is>
      </c>
      <c r="AA99" s="86" t="inlineStr">
        <is>
          <t>33561</t>
        </is>
      </c>
      <c r="AB99" s="86" t="inlineStr">
        <is>
          <t>6277651</t>
        </is>
      </c>
      <c r="AC99" s="87" t="inlineStr">
        <is>
          <t>Movies</t>
        </is>
      </c>
      <c r="AD99" s="76">
        <f>COUNTIF('KK1. Movies'!AI:AI,'TK 15661.Bản quyền phim '!F99)</f>
        <v/>
      </c>
      <c r="AE99" s="76">
        <f>COUNTIF('KK2. Series'!AM:AM,'TK 15661.Bản quyền phim '!F99)</f>
        <v/>
      </c>
      <c r="AF99" s="76">
        <f>COUNTIF('KK3. Kids'!AF:AF,'TK 15661.Bản quyền phim '!F99)</f>
        <v/>
      </c>
      <c r="AG99" s="76" t="n"/>
      <c r="AH99" s="76">
        <f>IF(SUM(AD99:AG99)&gt;0,"OK",0)</f>
        <v/>
      </c>
    </row>
    <row r="100" hidden="1" ht="15.6" customHeight="1" s="578">
      <c r="A100" s="27" t="n"/>
      <c r="B100" s="74" t="inlineStr">
        <is>
          <t>K+1MOV023134</t>
        </is>
      </c>
      <c r="C100" s="708" t="inlineStr">
        <is>
          <t>VND</t>
        </is>
      </c>
      <c r="D100" s="708" t="inlineStr">
        <is>
          <t>S0001502</t>
        </is>
      </c>
      <c r="E100" s="708" t="inlineStr">
        <is>
          <t>Công ty TNHH Đối tác Chuyên nghiệp</t>
        </is>
      </c>
      <c r="F100" s="708" t="inlineStr">
        <is>
          <t>Gringo</t>
        </is>
      </c>
      <c r="G100" s="708" t="inlineStr">
        <is>
          <t>Movies International</t>
        </is>
      </c>
      <c r="H100" s="83" t="n">
        <v>1</v>
      </c>
      <c r="I100" s="83" t="n">
        <v>3</v>
      </c>
      <c r="J100" s="83">
        <f>H100*I100</f>
        <v/>
      </c>
      <c r="K100" s="83" t="n">
        <v>80729314</v>
      </c>
      <c r="L100" s="83" t="n">
        <v>26909771.33333333</v>
      </c>
      <c r="M100" s="83">
        <f>J100-Q100</f>
        <v/>
      </c>
      <c r="N100" s="83">
        <f>K100-R100</f>
        <v/>
      </c>
      <c r="O100" s="517" t="n">
        <v>44930</v>
      </c>
      <c r="P100" s="517" t="n">
        <v>46025</v>
      </c>
      <c r="Q100" s="83" t="n">
        <v>1</v>
      </c>
      <c r="R100" s="84" t="n">
        <v>26909771.33333334</v>
      </c>
      <c r="S100" s="83" t="n">
        <v>0</v>
      </c>
      <c r="T100" s="84" t="n">
        <v>0</v>
      </c>
      <c r="U100" s="83" t="n">
        <v>1</v>
      </c>
      <c r="V100" s="84">
        <f>U100*L100</f>
        <v/>
      </c>
      <c r="W100" s="83">
        <f>Q100+S100-U100</f>
        <v/>
      </c>
      <c r="X100" s="84">
        <f>R100+T100-V100</f>
        <v/>
      </c>
      <c r="Y100" s="85" t="inlineStr">
        <is>
          <t>P221ZZMO01</t>
        </is>
      </c>
      <c r="Z100" s="86" t="inlineStr">
        <is>
          <t>15661</t>
        </is>
      </c>
      <c r="AA100" s="86" t="inlineStr">
        <is>
          <t>33561</t>
        </is>
      </c>
      <c r="AB100" s="86" t="inlineStr">
        <is>
          <t>6277651</t>
        </is>
      </c>
      <c r="AC100" s="87" t="inlineStr">
        <is>
          <t>Movies</t>
        </is>
      </c>
      <c r="AD100" s="76">
        <f>COUNTIF('KK1. Movies'!AI:AI,'TK 15661.Bản quyền phim '!F100)</f>
        <v/>
      </c>
      <c r="AE100" s="76">
        <f>COUNTIF('KK2. Series'!AM:AM,'TK 15661.Bản quyền phim '!F100)</f>
        <v/>
      </c>
      <c r="AF100" s="76">
        <f>COUNTIF('KK3. Kids'!AF:AF,'TK 15661.Bản quyền phim '!F100)</f>
        <v/>
      </c>
      <c r="AG100" s="76" t="n"/>
      <c r="AH100" s="76">
        <f>IF(SUM(AD100:AG100)&gt;0,"OK",0)</f>
        <v/>
      </c>
    </row>
    <row r="101" hidden="1" ht="15.6" customHeight="1" s="578">
      <c r="A101" s="27" t="n"/>
      <c r="B101" s="74" t="inlineStr">
        <is>
          <t>K+1MOV023136</t>
        </is>
      </c>
      <c r="C101" s="708" t="inlineStr">
        <is>
          <t>VND</t>
        </is>
      </c>
      <c r="D101" s="708" t="inlineStr">
        <is>
          <t>S0001502</t>
        </is>
      </c>
      <c r="E101" s="708" t="inlineStr">
        <is>
          <t>Công ty TNHH Đối tác Chuyên nghiệp</t>
        </is>
      </c>
      <c r="F101" s="708" t="inlineStr">
        <is>
          <t>Best Friend</t>
        </is>
      </c>
      <c r="G101" s="708" t="inlineStr">
        <is>
          <t>Movies International</t>
        </is>
      </c>
      <c r="H101" s="83" t="n">
        <v>1</v>
      </c>
      <c r="I101" s="83" t="n">
        <v>3</v>
      </c>
      <c r="J101" s="83">
        <f>H101*I101</f>
        <v/>
      </c>
      <c r="K101" s="83" t="n">
        <v>80729314</v>
      </c>
      <c r="L101" s="83" t="n">
        <v>26909771.33333333</v>
      </c>
      <c r="M101" s="83">
        <f>J101-Q101</f>
        <v/>
      </c>
      <c r="N101" s="83">
        <f>K101-R101</f>
        <v/>
      </c>
      <c r="O101" s="517" t="n">
        <v>44938</v>
      </c>
      <c r="P101" s="517" t="n">
        <v>46033</v>
      </c>
      <c r="Q101" s="83" t="n">
        <v>1</v>
      </c>
      <c r="R101" s="84" t="n">
        <v>26909771.33333334</v>
      </c>
      <c r="S101" s="83" t="n">
        <v>0</v>
      </c>
      <c r="T101" s="84" t="n">
        <v>0</v>
      </c>
      <c r="U101" s="83" t="n">
        <v>1</v>
      </c>
      <c r="V101" s="84">
        <f>U101*L101</f>
        <v/>
      </c>
      <c r="W101" s="83">
        <f>Q101+S101-U101</f>
        <v/>
      </c>
      <c r="X101" s="84">
        <f>R101+T101-V101</f>
        <v/>
      </c>
      <c r="Y101" s="85" t="inlineStr">
        <is>
          <t>P221ZZMO01</t>
        </is>
      </c>
      <c r="Z101" s="86" t="inlineStr">
        <is>
          <t>15661</t>
        </is>
      </c>
      <c r="AA101" s="86" t="inlineStr">
        <is>
          <t>33561</t>
        </is>
      </c>
      <c r="AB101" s="86" t="inlineStr">
        <is>
          <t>6277651</t>
        </is>
      </c>
      <c r="AC101" s="87" t="inlineStr">
        <is>
          <t>Movies</t>
        </is>
      </c>
      <c r="AD101" s="76">
        <f>COUNTIF('KK1. Movies'!AI:AI,'TK 15661.Bản quyền phim '!F101)</f>
        <v/>
      </c>
      <c r="AE101" s="76">
        <f>COUNTIF('KK2. Series'!AM:AM,'TK 15661.Bản quyền phim '!F101)</f>
        <v/>
      </c>
      <c r="AF101" s="76">
        <f>COUNTIF('KK3. Kids'!AF:AF,'TK 15661.Bản quyền phim '!F101)</f>
        <v/>
      </c>
      <c r="AG101" s="76" t="n"/>
      <c r="AH101" s="76">
        <f>IF(SUM(AD101:AG101)&gt;0,"OK",0)</f>
        <v/>
      </c>
    </row>
    <row r="102" hidden="1" ht="15.6" customHeight="1" s="578">
      <c r="A102" s="27" t="n"/>
      <c r="B102" s="74" t="inlineStr">
        <is>
          <t>K+1MOV023139</t>
        </is>
      </c>
      <c r="C102" s="708" t="inlineStr">
        <is>
          <t>VND</t>
        </is>
      </c>
      <c r="D102" s="708" t="inlineStr">
        <is>
          <t>S0001502</t>
        </is>
      </c>
      <c r="E102" s="708" t="inlineStr">
        <is>
          <t>Công ty TNHH Đối tác Chuyên nghiệp</t>
        </is>
      </c>
      <c r="F102" s="708" t="inlineStr">
        <is>
          <t>Superwho?</t>
        </is>
      </c>
      <c r="G102" s="708" t="inlineStr">
        <is>
          <t>Movies International</t>
        </is>
      </c>
      <c r="H102" s="83" t="n">
        <v>1</v>
      </c>
      <c r="I102" s="83" t="n">
        <v>3</v>
      </c>
      <c r="J102" s="83">
        <f>H102*I102</f>
        <v/>
      </c>
      <c r="K102" s="83" t="n">
        <v>80729314</v>
      </c>
      <c r="L102" s="83" t="n">
        <v>26909771.33333333</v>
      </c>
      <c r="M102" s="83">
        <f>J102-Q102</f>
        <v/>
      </c>
      <c r="N102" s="83">
        <f>K102-R102</f>
        <v/>
      </c>
      <c r="O102" s="517" t="n">
        <v>44945</v>
      </c>
      <c r="P102" s="517" t="n">
        <v>46040</v>
      </c>
      <c r="Q102" s="83" t="n">
        <v>1</v>
      </c>
      <c r="R102" s="84" t="n">
        <v>26909771.33333334</v>
      </c>
      <c r="S102" s="83" t="n">
        <v>0</v>
      </c>
      <c r="T102" s="84" t="n">
        <v>0</v>
      </c>
      <c r="U102" s="83" t="n">
        <v>1</v>
      </c>
      <c r="V102" s="84">
        <f>U102*L102</f>
        <v/>
      </c>
      <c r="W102" s="83">
        <f>Q102+S102-U102</f>
        <v/>
      </c>
      <c r="X102" s="84">
        <f>R102+T102-V102</f>
        <v/>
      </c>
      <c r="Y102" s="85" t="inlineStr">
        <is>
          <t>P221ZZMO01</t>
        </is>
      </c>
      <c r="Z102" s="86" t="inlineStr">
        <is>
          <t>15661</t>
        </is>
      </c>
      <c r="AA102" s="86" t="inlineStr">
        <is>
          <t>33561</t>
        </is>
      </c>
      <c r="AB102" s="86" t="inlineStr">
        <is>
          <t>6277651</t>
        </is>
      </c>
      <c r="AC102" s="87" t="inlineStr">
        <is>
          <t>Movies</t>
        </is>
      </c>
      <c r="AD102" s="76">
        <f>COUNTIF('KK1. Movies'!AI:AI,'TK 15661.Bản quyền phim '!F102)</f>
        <v/>
      </c>
      <c r="AE102" s="76">
        <f>COUNTIF('KK2. Series'!AM:AM,'TK 15661.Bản quyền phim '!F102)</f>
        <v/>
      </c>
      <c r="AF102" s="76">
        <f>COUNTIF('KK3. Kids'!AF:AF,'TK 15661.Bản quyền phim '!F102)</f>
        <v/>
      </c>
      <c r="AG102" s="76" t="n"/>
      <c r="AH102" s="76">
        <f>IF(SUM(AD102:AG102)&gt;0,"OK",0)</f>
        <v/>
      </c>
    </row>
    <row r="103" hidden="1" ht="15.6" customHeight="1" s="578">
      <c r="A103" s="27" t="n"/>
      <c r="B103" s="74" t="inlineStr">
        <is>
          <t>K+1MOV023140</t>
        </is>
      </c>
      <c r="C103" s="708" t="inlineStr">
        <is>
          <t>VND</t>
        </is>
      </c>
      <c r="D103" s="708" t="inlineStr">
        <is>
          <t>S0001502</t>
        </is>
      </c>
      <c r="E103" s="708" t="inlineStr">
        <is>
          <t>Công ty TNHH Đối tác Chuyên nghiệp</t>
        </is>
      </c>
      <c r="F103" s="708" t="inlineStr">
        <is>
          <t>Sicario: Day of the Soldado</t>
        </is>
      </c>
      <c r="G103" s="708" t="inlineStr">
        <is>
          <t>Movies International</t>
        </is>
      </c>
      <c r="H103" s="83" t="n">
        <v>1</v>
      </c>
      <c r="I103" s="83" t="n">
        <v>3</v>
      </c>
      <c r="J103" s="83">
        <f>H103*I103</f>
        <v/>
      </c>
      <c r="K103" s="83" t="n">
        <v>80729314</v>
      </c>
      <c r="L103" s="83" t="n">
        <v>26909771.33333333</v>
      </c>
      <c r="M103" s="83">
        <f>J103-Q103</f>
        <v/>
      </c>
      <c r="N103" s="83">
        <f>K103-R103</f>
        <v/>
      </c>
      <c r="O103" s="517" t="n">
        <v>44960</v>
      </c>
      <c r="P103" s="517" t="n">
        <v>46055</v>
      </c>
      <c r="Q103" s="83" t="n">
        <v>1</v>
      </c>
      <c r="R103" s="84" t="n">
        <v>26909771.33333334</v>
      </c>
      <c r="S103" s="83" t="n">
        <v>0</v>
      </c>
      <c r="T103" s="84" t="n">
        <v>0</v>
      </c>
      <c r="U103" s="83" t="n">
        <v>1</v>
      </c>
      <c r="V103" s="84">
        <f>U103*L103</f>
        <v/>
      </c>
      <c r="W103" s="83">
        <f>Q103+S103-U103</f>
        <v/>
      </c>
      <c r="X103" s="84">
        <f>R103+T103-V103</f>
        <v/>
      </c>
      <c r="Y103" s="85" t="inlineStr">
        <is>
          <t>P221ZZMO01</t>
        </is>
      </c>
      <c r="Z103" s="86" t="inlineStr">
        <is>
          <t>15661</t>
        </is>
      </c>
      <c r="AA103" s="86" t="inlineStr">
        <is>
          <t>33561</t>
        </is>
      </c>
      <c r="AB103" s="86" t="inlineStr">
        <is>
          <t>6277651</t>
        </is>
      </c>
      <c r="AC103" s="87" t="inlineStr">
        <is>
          <t>Movies</t>
        </is>
      </c>
      <c r="AD103" s="76">
        <f>COUNTIF('KK1. Movies'!AI:AI,'TK 15661.Bản quyền phim '!F103)</f>
        <v/>
      </c>
      <c r="AE103" s="76">
        <f>COUNTIF('KK2. Series'!AM:AM,'TK 15661.Bản quyền phim '!F103)</f>
        <v/>
      </c>
      <c r="AF103" s="76">
        <f>COUNTIF('KK3. Kids'!AF:AF,'TK 15661.Bản quyền phim '!F103)</f>
        <v/>
      </c>
      <c r="AG103" s="76" t="n"/>
      <c r="AH103" s="76">
        <f>IF(SUM(AD103:AG103)&gt;0,"OK",0)</f>
        <v/>
      </c>
    </row>
    <row r="104" hidden="1" ht="15.6" customHeight="1" s="578">
      <c r="A104" s="27" t="n"/>
      <c r="B104" s="74" t="inlineStr">
        <is>
          <t>K+1MOV023147</t>
        </is>
      </c>
      <c r="C104" s="708" t="inlineStr">
        <is>
          <t>VND</t>
        </is>
      </c>
      <c r="D104" s="708" t="inlineStr">
        <is>
          <t>S0001502</t>
        </is>
      </c>
      <c r="E104" s="708" t="inlineStr">
        <is>
          <t>Công ty TNHH Đối tác Chuyên nghiệp</t>
        </is>
      </c>
      <c r="F104" s="708" t="inlineStr">
        <is>
          <t>Countdown (US)</t>
        </is>
      </c>
      <c r="G104" s="708" t="inlineStr">
        <is>
          <t>Movies International</t>
        </is>
      </c>
      <c r="H104" s="83" t="n">
        <v>1</v>
      </c>
      <c r="I104" s="83" t="n">
        <v>3</v>
      </c>
      <c r="J104" s="83">
        <f>H104*I104</f>
        <v/>
      </c>
      <c r="K104" s="83" t="n">
        <v>80729314</v>
      </c>
      <c r="L104" s="83" t="n">
        <v>26909771.33333333</v>
      </c>
      <c r="M104" s="83">
        <f>J104-Q104</f>
        <v/>
      </c>
      <c r="N104" s="83">
        <f>K104-R104</f>
        <v/>
      </c>
      <c r="O104" s="517" t="n">
        <v>45014</v>
      </c>
      <c r="P104" s="517" t="n">
        <v>46109</v>
      </c>
      <c r="Q104" s="83" t="n">
        <v>1</v>
      </c>
      <c r="R104" s="84" t="n">
        <v>26909771.33333334</v>
      </c>
      <c r="S104" s="83" t="n">
        <v>0</v>
      </c>
      <c r="T104" s="84" t="n">
        <v>0</v>
      </c>
      <c r="U104" s="83" t="n">
        <v>1</v>
      </c>
      <c r="V104" s="84">
        <f>U104*L104</f>
        <v/>
      </c>
      <c r="W104" s="83">
        <f>Q104+S104-U104</f>
        <v/>
      </c>
      <c r="X104" s="84">
        <f>R104+T104-V104</f>
        <v/>
      </c>
      <c r="Y104" s="85" t="inlineStr">
        <is>
          <t>P221ZZMO01</t>
        </is>
      </c>
      <c r="Z104" s="86" t="inlineStr">
        <is>
          <t>15661</t>
        </is>
      </c>
      <c r="AA104" s="86" t="inlineStr">
        <is>
          <t>33561</t>
        </is>
      </c>
      <c r="AB104" s="86" t="inlineStr">
        <is>
          <t>6277651</t>
        </is>
      </c>
      <c r="AC104" s="87" t="inlineStr">
        <is>
          <t>Movies</t>
        </is>
      </c>
      <c r="AD104" s="76">
        <f>COUNTIF('KK1. Movies'!AI:AI,'TK 15661.Bản quyền phim '!F104)</f>
        <v/>
      </c>
      <c r="AE104" s="76">
        <f>COUNTIF('KK2. Series'!AM:AM,'TK 15661.Bản quyền phim '!F104)</f>
        <v/>
      </c>
      <c r="AF104" s="76">
        <f>COUNTIF('KK3. Kids'!AF:AF,'TK 15661.Bản quyền phim '!F104)</f>
        <v/>
      </c>
      <c r="AG104" s="76" t="n"/>
      <c r="AH104" s="76">
        <f>IF(SUM(AD104:AG104)&gt;0,"OK",0)</f>
        <v/>
      </c>
    </row>
    <row r="105" hidden="1" ht="15.6" customHeight="1" s="578">
      <c r="A105" s="27" t="n"/>
      <c r="B105" s="74" t="inlineStr">
        <is>
          <t>K+1MOV023153</t>
        </is>
      </c>
      <c r="C105" s="708" t="inlineStr">
        <is>
          <t>VND</t>
        </is>
      </c>
      <c r="D105" s="708" t="inlineStr">
        <is>
          <t>S0001502</t>
        </is>
      </c>
      <c r="E105" s="708" t="inlineStr">
        <is>
          <t>Công ty TNHH Đối tác Chuyên nghiệp</t>
        </is>
      </c>
      <c r="F105" s="708" t="inlineStr">
        <is>
          <t>My Love</t>
        </is>
      </c>
      <c r="G105" s="708" t="inlineStr">
        <is>
          <t>Movies International</t>
        </is>
      </c>
      <c r="H105" s="83" t="n">
        <v>1</v>
      </c>
      <c r="I105" s="83" t="n">
        <v>3</v>
      </c>
      <c r="J105" s="83">
        <f>H105*I105</f>
        <v/>
      </c>
      <c r="K105" s="83" t="n">
        <v>80729314</v>
      </c>
      <c r="L105" s="83" t="n">
        <v>26909771.33333333</v>
      </c>
      <c r="M105" s="83">
        <f>J105-Q105</f>
        <v/>
      </c>
      <c r="N105" s="83">
        <f>K105-R105</f>
        <v/>
      </c>
      <c r="O105" s="517" t="n">
        <v>45051</v>
      </c>
      <c r="P105" s="517" t="n">
        <v>46146</v>
      </c>
      <c r="Q105" s="83" t="n">
        <v>1</v>
      </c>
      <c r="R105" s="84" t="n">
        <v>26909771.33333334</v>
      </c>
      <c r="S105" s="83" t="n">
        <v>0</v>
      </c>
      <c r="T105" s="84" t="n">
        <v>0</v>
      </c>
      <c r="U105" s="83" t="n">
        <v>1</v>
      </c>
      <c r="V105" s="84">
        <f>U105*L105</f>
        <v/>
      </c>
      <c r="W105" s="83">
        <f>Q105+S105-U105</f>
        <v/>
      </c>
      <c r="X105" s="84">
        <f>R105+T105-V105</f>
        <v/>
      </c>
      <c r="Y105" s="85" t="inlineStr">
        <is>
          <t>P221ZZMO01</t>
        </is>
      </c>
      <c r="Z105" s="86" t="inlineStr">
        <is>
          <t>15661</t>
        </is>
      </c>
      <c r="AA105" s="86" t="inlineStr">
        <is>
          <t>33561</t>
        </is>
      </c>
      <c r="AB105" s="86" t="inlineStr">
        <is>
          <t>6277651</t>
        </is>
      </c>
      <c r="AC105" s="87" t="inlineStr">
        <is>
          <t>Movies</t>
        </is>
      </c>
      <c r="AD105" s="76">
        <f>COUNTIF('KK1. Movies'!AI:AI,'TK 15661.Bản quyền phim '!F105)</f>
        <v/>
      </c>
      <c r="AE105" s="76">
        <f>COUNTIF('KK2. Series'!AM:AM,'TK 15661.Bản quyền phim '!F105)</f>
        <v/>
      </c>
      <c r="AF105" s="76">
        <f>COUNTIF('KK3. Kids'!AF:AF,'TK 15661.Bản quyền phim '!F105)</f>
        <v/>
      </c>
      <c r="AG105" s="76" t="n"/>
      <c r="AH105" s="76">
        <f>IF(SUM(AD105:AG105)&gt;0,"OK",0)</f>
        <v/>
      </c>
    </row>
    <row r="106" hidden="1" ht="15.6" customHeight="1" s="578">
      <c r="A106" s="27" t="n"/>
      <c r="B106" s="74" t="inlineStr">
        <is>
          <t>K+1MOV023154</t>
        </is>
      </c>
      <c r="C106" s="708" t="inlineStr">
        <is>
          <t>VND</t>
        </is>
      </c>
      <c r="D106" s="708" t="inlineStr">
        <is>
          <t>S0001502</t>
        </is>
      </c>
      <c r="E106" s="708" t="inlineStr">
        <is>
          <t>Công ty TNHH Đối tác Chuyên nghiệp</t>
        </is>
      </c>
      <c r="F106" s="708" t="inlineStr">
        <is>
          <t>Pipeline</t>
        </is>
      </c>
      <c r="G106" s="708" t="inlineStr">
        <is>
          <t>Movies International</t>
        </is>
      </c>
      <c r="H106" s="83" t="n">
        <v>1</v>
      </c>
      <c r="I106" s="83" t="n">
        <v>3</v>
      </c>
      <c r="J106" s="83">
        <f>H106*I106</f>
        <v/>
      </c>
      <c r="K106" s="83" t="n">
        <v>80729314</v>
      </c>
      <c r="L106" s="83" t="n">
        <v>26909771.33333333</v>
      </c>
      <c r="M106" s="83">
        <f>J106-Q106</f>
        <v/>
      </c>
      <c r="N106" s="83">
        <f>K106-R106</f>
        <v/>
      </c>
      <c r="O106" s="517" t="n">
        <v>45058</v>
      </c>
      <c r="P106" s="517" t="n">
        <v>46153</v>
      </c>
      <c r="Q106" s="83" t="n">
        <v>1</v>
      </c>
      <c r="R106" s="84" t="n">
        <v>26909771.33333334</v>
      </c>
      <c r="S106" s="83" t="n">
        <v>0</v>
      </c>
      <c r="T106" s="84" t="n">
        <v>0</v>
      </c>
      <c r="U106" s="83" t="n">
        <v>1</v>
      </c>
      <c r="V106" s="84">
        <f>U106*L106</f>
        <v/>
      </c>
      <c r="W106" s="83">
        <f>Q106+S106-U106</f>
        <v/>
      </c>
      <c r="X106" s="84">
        <f>R106+T106-V106</f>
        <v/>
      </c>
      <c r="Y106" s="85" t="inlineStr">
        <is>
          <t>P221ZZMO01</t>
        </is>
      </c>
      <c r="Z106" s="86" t="inlineStr">
        <is>
          <t>15661</t>
        </is>
      </c>
      <c r="AA106" s="86" t="inlineStr">
        <is>
          <t>33561</t>
        </is>
      </c>
      <c r="AB106" s="86" t="inlineStr">
        <is>
          <t>6277651</t>
        </is>
      </c>
      <c r="AC106" s="87" t="inlineStr">
        <is>
          <t>Movies</t>
        </is>
      </c>
      <c r="AD106" s="76">
        <f>COUNTIF('KK1. Movies'!AI:AI,'TK 15661.Bản quyền phim '!F106)</f>
        <v/>
      </c>
      <c r="AE106" s="76">
        <f>COUNTIF('KK2. Series'!AM:AM,'TK 15661.Bản quyền phim '!F106)</f>
        <v/>
      </c>
      <c r="AF106" s="76">
        <f>COUNTIF('KK3. Kids'!AF:AF,'TK 15661.Bản quyền phim '!F106)</f>
        <v/>
      </c>
      <c r="AG106" s="76" t="n"/>
      <c r="AH106" s="76">
        <f>IF(SUM(AD106:AG106)&gt;0,"OK",0)</f>
        <v/>
      </c>
    </row>
    <row r="107" hidden="1" ht="15.6" customHeight="1" s="578">
      <c r="A107" s="27" t="n"/>
      <c r="B107" s="74" t="inlineStr">
        <is>
          <t>K+1MOV023155</t>
        </is>
      </c>
      <c r="C107" s="708" t="inlineStr">
        <is>
          <t>VND</t>
        </is>
      </c>
      <c r="D107" s="708" t="inlineStr">
        <is>
          <t>S0001502</t>
        </is>
      </c>
      <c r="E107" s="708" t="inlineStr">
        <is>
          <t>Công ty TNHH Đối tác Chuyên nghiệp</t>
        </is>
      </c>
      <c r="F107" s="708" t="inlineStr">
        <is>
          <t>Hard Hit</t>
        </is>
      </c>
      <c r="G107" s="708" t="inlineStr">
        <is>
          <t>Movies International</t>
        </is>
      </c>
      <c r="H107" s="83" t="n">
        <v>1</v>
      </c>
      <c r="I107" s="83" t="n">
        <v>3</v>
      </c>
      <c r="J107" s="83">
        <f>H107*I107</f>
        <v/>
      </c>
      <c r="K107" s="83" t="n">
        <v>80729314</v>
      </c>
      <c r="L107" s="83" t="n">
        <v>26909771.33333333</v>
      </c>
      <c r="M107" s="83">
        <f>J107-Q107</f>
        <v/>
      </c>
      <c r="N107" s="83">
        <f>K107-R107</f>
        <v/>
      </c>
      <c r="O107" s="517" t="n">
        <v>45072</v>
      </c>
      <c r="P107" s="517" t="n">
        <v>46167</v>
      </c>
      <c r="Q107" s="83" t="n">
        <v>1</v>
      </c>
      <c r="R107" s="84" t="n">
        <v>26909771.33333334</v>
      </c>
      <c r="S107" s="83" t="n">
        <v>0</v>
      </c>
      <c r="T107" s="84" t="n">
        <v>0</v>
      </c>
      <c r="U107" s="83" t="n">
        <v>1</v>
      </c>
      <c r="V107" s="84">
        <f>U107*L107</f>
        <v/>
      </c>
      <c r="W107" s="83">
        <f>Q107+S107-U107</f>
        <v/>
      </c>
      <c r="X107" s="84">
        <f>R107+T107-V107</f>
        <v/>
      </c>
      <c r="Y107" s="85" t="inlineStr">
        <is>
          <t>P221ZZMO01</t>
        </is>
      </c>
      <c r="Z107" s="86" t="inlineStr">
        <is>
          <t>15661</t>
        </is>
      </c>
      <c r="AA107" s="86" t="inlineStr">
        <is>
          <t>33561</t>
        </is>
      </c>
      <c r="AB107" s="86" t="inlineStr">
        <is>
          <t>6277651</t>
        </is>
      </c>
      <c r="AC107" s="87" t="inlineStr">
        <is>
          <t>Movies</t>
        </is>
      </c>
      <c r="AD107" s="76">
        <f>COUNTIF('KK1. Movies'!AI:AI,'TK 15661.Bản quyền phim '!F107)</f>
        <v/>
      </c>
      <c r="AE107" s="76">
        <f>COUNTIF('KK2. Series'!AM:AM,'TK 15661.Bản quyền phim '!F107)</f>
        <v/>
      </c>
      <c r="AF107" s="76">
        <f>COUNTIF('KK3. Kids'!AF:AF,'TK 15661.Bản quyền phim '!F107)</f>
        <v/>
      </c>
      <c r="AG107" s="76" t="n"/>
      <c r="AH107" s="76">
        <f>IF(SUM(AD107:AG107)&gt;0,"OK",0)</f>
        <v/>
      </c>
    </row>
    <row r="108" hidden="1" ht="15.6" customHeight="1" s="578">
      <c r="A108" s="27" t="n"/>
      <c r="B108" s="74" t="inlineStr">
        <is>
          <t>K+1MOV023159</t>
        </is>
      </c>
      <c r="C108" s="708" t="inlineStr">
        <is>
          <t>VND</t>
        </is>
      </c>
      <c r="D108" s="708" t="inlineStr">
        <is>
          <t>S0001502</t>
        </is>
      </c>
      <c r="E108" s="708" t="inlineStr">
        <is>
          <t>Công ty TNHH Đối tác Chuyên nghiệp</t>
        </is>
      </c>
      <c r="F108" s="708" t="inlineStr">
        <is>
          <t>Kin</t>
        </is>
      </c>
      <c r="G108" s="708" t="inlineStr">
        <is>
          <t>Movies International</t>
        </is>
      </c>
      <c r="H108" s="83" t="n">
        <v>1</v>
      </c>
      <c r="I108" s="83" t="n">
        <v>3</v>
      </c>
      <c r="J108" s="83">
        <f>H108*I108</f>
        <v/>
      </c>
      <c r="K108" s="83" t="n">
        <v>80729314</v>
      </c>
      <c r="L108" s="83" t="n">
        <v>26909771.33333333</v>
      </c>
      <c r="M108" s="83">
        <f>J108-Q108</f>
        <v/>
      </c>
      <c r="N108" s="83">
        <f>K108-R108</f>
        <v/>
      </c>
      <c r="O108" s="517" t="n">
        <v>45084</v>
      </c>
      <c r="P108" s="517" t="n">
        <v>46179</v>
      </c>
      <c r="Q108" s="83" t="n">
        <v>1</v>
      </c>
      <c r="R108" s="84" t="n">
        <v>26909771.33333334</v>
      </c>
      <c r="S108" s="83" t="n">
        <v>0</v>
      </c>
      <c r="T108" s="84" t="n">
        <v>0</v>
      </c>
      <c r="U108" s="83" t="n">
        <v>1</v>
      </c>
      <c r="V108" s="84">
        <f>U108*L108</f>
        <v/>
      </c>
      <c r="W108" s="83">
        <f>Q108+S108-U108</f>
        <v/>
      </c>
      <c r="X108" s="84">
        <f>R108+T108-V108</f>
        <v/>
      </c>
      <c r="Y108" s="85" t="inlineStr">
        <is>
          <t>P221ZZMO01</t>
        </is>
      </c>
      <c r="Z108" s="86" t="inlineStr">
        <is>
          <t>15661</t>
        </is>
      </c>
      <c r="AA108" s="86" t="inlineStr">
        <is>
          <t>33561</t>
        </is>
      </c>
      <c r="AB108" s="86" t="inlineStr">
        <is>
          <t>6277651</t>
        </is>
      </c>
      <c r="AC108" s="87" t="inlineStr">
        <is>
          <t>Movies</t>
        </is>
      </c>
      <c r="AD108" s="76">
        <f>COUNTIF('KK1. Movies'!AI:AI,'TK 15661.Bản quyền phim '!F108)</f>
        <v/>
      </c>
      <c r="AE108" s="76">
        <f>COUNTIF('KK2. Series'!AM:AM,'TK 15661.Bản quyền phim '!F108)</f>
        <v/>
      </c>
      <c r="AF108" s="76">
        <f>COUNTIF('KK3. Kids'!AF:AF,'TK 15661.Bản quyền phim '!F108)</f>
        <v/>
      </c>
      <c r="AG108" s="76" t="n"/>
      <c r="AH108" s="76">
        <f>IF(SUM(AD108:AG108)&gt;0,"OK",0)</f>
        <v/>
      </c>
    </row>
    <row r="109" hidden="1" ht="15.6" customHeight="1" s="578">
      <c r="A109" s="27" t="n"/>
      <c r="B109" s="74" t="inlineStr">
        <is>
          <t>K+1MOV023160</t>
        </is>
      </c>
      <c r="C109" s="708" t="inlineStr">
        <is>
          <t>VND</t>
        </is>
      </c>
      <c r="D109" s="708" t="inlineStr">
        <is>
          <t>S0001502</t>
        </is>
      </c>
      <c r="E109" s="708" t="inlineStr">
        <is>
          <t>Công ty TNHH Đối tác Chuyên nghiệp</t>
        </is>
      </c>
      <c r="F109" s="708" t="inlineStr">
        <is>
          <t>Adrift</t>
        </is>
      </c>
      <c r="G109" s="708" t="inlineStr">
        <is>
          <t>Movies International</t>
        </is>
      </c>
      <c r="H109" s="83" t="n">
        <v>1</v>
      </c>
      <c r="I109" s="83" t="n">
        <v>3</v>
      </c>
      <c r="J109" s="83">
        <f>H109*I109</f>
        <v/>
      </c>
      <c r="K109" s="83" t="n">
        <v>80729314</v>
      </c>
      <c r="L109" s="83" t="n">
        <v>26909771.33333333</v>
      </c>
      <c r="M109" s="83">
        <f>J109-Q109</f>
        <v/>
      </c>
      <c r="N109" s="83">
        <f>K109-R109</f>
        <v/>
      </c>
      <c r="O109" s="517" t="n">
        <v>45113</v>
      </c>
      <c r="P109" s="517" t="n">
        <v>46208</v>
      </c>
      <c r="Q109" s="83" t="n">
        <v>1</v>
      </c>
      <c r="R109" s="84" t="n">
        <v>26909771.33333334</v>
      </c>
      <c r="S109" s="83" t="n">
        <v>0</v>
      </c>
      <c r="T109" s="84" t="n">
        <v>0</v>
      </c>
      <c r="U109" s="83" t="n">
        <v>1</v>
      </c>
      <c r="V109" s="84">
        <f>U109*L109</f>
        <v/>
      </c>
      <c r="W109" s="83">
        <f>Q109+S109-U109</f>
        <v/>
      </c>
      <c r="X109" s="84">
        <f>R109+T109-V109</f>
        <v/>
      </c>
      <c r="Y109" s="85" t="inlineStr">
        <is>
          <t>P221ZZMO01</t>
        </is>
      </c>
      <c r="Z109" s="86" t="inlineStr">
        <is>
          <t>15661</t>
        </is>
      </c>
      <c r="AA109" s="86" t="inlineStr">
        <is>
          <t>33561</t>
        </is>
      </c>
      <c r="AB109" s="86" t="inlineStr">
        <is>
          <t>6277651</t>
        </is>
      </c>
      <c r="AC109" s="87" t="inlineStr">
        <is>
          <t>Movies</t>
        </is>
      </c>
      <c r="AD109" s="76">
        <f>COUNTIF('KK1. Movies'!AI:AI,'TK 15661.Bản quyền phim '!F109)</f>
        <v/>
      </c>
      <c r="AE109" s="76">
        <f>COUNTIF('KK2. Series'!AM:AM,'TK 15661.Bản quyền phim '!F109)</f>
        <v/>
      </c>
      <c r="AF109" s="76">
        <f>COUNTIF('KK3. Kids'!AF:AF,'TK 15661.Bản quyền phim '!F109)</f>
        <v/>
      </c>
      <c r="AG109" s="76" t="n"/>
      <c r="AH109" s="76">
        <f>IF(SUM(AD109:AG109)&gt;0,"OK",0)</f>
        <v/>
      </c>
    </row>
    <row r="110" hidden="1" ht="15.6" customHeight="1" s="578">
      <c r="A110" s="27" t="n"/>
      <c r="B110" s="74" t="inlineStr">
        <is>
          <t>K+1MOV023161</t>
        </is>
      </c>
      <c r="C110" s="708" t="inlineStr">
        <is>
          <t>VND</t>
        </is>
      </c>
      <c r="D110" s="708" t="inlineStr">
        <is>
          <t>S0001502</t>
        </is>
      </c>
      <c r="E110" s="708" t="inlineStr">
        <is>
          <t>Công ty TNHH Đối tác Chuyên nghiệp</t>
        </is>
      </c>
      <c r="F110" s="708" t="inlineStr">
        <is>
          <t>The Upside</t>
        </is>
      </c>
      <c r="G110" s="708" t="inlineStr">
        <is>
          <t>Movies International</t>
        </is>
      </c>
      <c r="H110" s="83" t="n">
        <v>1</v>
      </c>
      <c r="I110" s="83" t="n">
        <v>3</v>
      </c>
      <c r="J110" s="83">
        <f>H110*I110</f>
        <v/>
      </c>
      <c r="K110" s="83" t="n">
        <v>80729314</v>
      </c>
      <c r="L110" s="83" t="n">
        <v>26909771.33333333</v>
      </c>
      <c r="M110" s="83">
        <f>J110-Q110</f>
        <v/>
      </c>
      <c r="N110" s="83">
        <f>K110-R110</f>
        <v/>
      </c>
      <c r="O110" s="517" t="n">
        <v>45176</v>
      </c>
      <c r="P110" s="517" t="n">
        <v>46271</v>
      </c>
      <c r="Q110" s="83" t="n">
        <v>1</v>
      </c>
      <c r="R110" s="84" t="n">
        <v>26909771.33333334</v>
      </c>
      <c r="S110" s="83" t="n">
        <v>0</v>
      </c>
      <c r="T110" s="84" t="n">
        <v>0</v>
      </c>
      <c r="U110" s="83" t="n">
        <v>1</v>
      </c>
      <c r="V110" s="84">
        <f>U110*L110</f>
        <v/>
      </c>
      <c r="W110" s="83">
        <f>Q110+S110-U110</f>
        <v/>
      </c>
      <c r="X110" s="84">
        <f>R110+T110-V110</f>
        <v/>
      </c>
      <c r="Y110" s="85" t="inlineStr">
        <is>
          <t>P221ZZMO01</t>
        </is>
      </c>
      <c r="Z110" s="86" t="inlineStr">
        <is>
          <t>15661</t>
        </is>
      </c>
      <c r="AA110" s="86" t="inlineStr">
        <is>
          <t>33561</t>
        </is>
      </c>
      <c r="AB110" s="86" t="inlineStr">
        <is>
          <t>6277651</t>
        </is>
      </c>
      <c r="AC110" s="87" t="inlineStr">
        <is>
          <t>Movies</t>
        </is>
      </c>
      <c r="AD110" s="76">
        <f>COUNTIF('KK1. Movies'!AI:AI,'TK 15661.Bản quyền phim '!F110)</f>
        <v/>
      </c>
      <c r="AE110" s="76">
        <f>COUNTIF('KK2. Series'!AM:AM,'TK 15661.Bản quyền phim '!F110)</f>
        <v/>
      </c>
      <c r="AF110" s="76">
        <f>COUNTIF('KK3. Kids'!AF:AF,'TK 15661.Bản quyền phim '!F110)</f>
        <v/>
      </c>
      <c r="AG110" s="76" t="n"/>
      <c r="AH110" s="76">
        <f>IF(SUM(AD110:AG110)&gt;0,"OK",0)</f>
        <v/>
      </c>
    </row>
    <row r="111" hidden="1" s="578">
      <c r="A111" s="32" t="n"/>
      <c r="B111" s="74" t="inlineStr">
        <is>
          <t>K+5KID023162</t>
        </is>
      </c>
      <c r="C111" s="708" t="inlineStr">
        <is>
          <t>USD</t>
        </is>
      </c>
      <c r="D111" s="708" t="inlineStr">
        <is>
          <t>S0002297</t>
        </is>
      </c>
      <c r="E111" s="708" t="inlineStr">
        <is>
          <t>ROI VISUAL Co., Ltd.</t>
        </is>
      </c>
      <c r="F111" s="708" t="inlineStr">
        <is>
          <t>ROBOCAR POLI ORIGINAL SERIES season 3</t>
        </is>
      </c>
      <c r="G111" s="708" t="inlineStr">
        <is>
          <t>KIDS</t>
        </is>
      </c>
      <c r="H111" s="83" t="n">
        <v>26</v>
      </c>
      <c r="I111" s="83" t="n">
        <v>3</v>
      </c>
      <c r="J111" s="83">
        <f>H111*I111</f>
        <v/>
      </c>
      <c r="K111" s="83" t="n">
        <v>62140000</v>
      </c>
      <c r="L111" s="83" t="n">
        <v>796666.6666666667</v>
      </c>
      <c r="M111" s="83">
        <f>J111-Q111</f>
        <v/>
      </c>
      <c r="N111" s="83">
        <f>K111-R111</f>
        <v/>
      </c>
      <c r="O111" s="517" t="n">
        <v>44936</v>
      </c>
      <c r="P111" s="517" t="n">
        <v>46031</v>
      </c>
      <c r="Q111" s="83" t="n">
        <v>26</v>
      </c>
      <c r="R111" s="84" t="n">
        <v>20713333.33333333</v>
      </c>
      <c r="S111" s="83" t="n">
        <v>0</v>
      </c>
      <c r="T111" s="84" t="n">
        <v>0</v>
      </c>
      <c r="U111" s="83" t="n">
        <v>26</v>
      </c>
      <c r="V111" s="84">
        <f>U111*L111</f>
        <v/>
      </c>
      <c r="W111" s="83">
        <f>Q111+S111-U111</f>
        <v/>
      </c>
      <c r="X111" s="84">
        <f>R111+T111-V111</f>
        <v/>
      </c>
      <c r="Y111" s="85" t="inlineStr">
        <is>
          <t>P221ZZKI01</t>
        </is>
      </c>
      <c r="Z111" s="86" t="inlineStr">
        <is>
          <t>15661</t>
        </is>
      </c>
      <c r="AA111" s="86" t="inlineStr">
        <is>
          <t>33561</t>
        </is>
      </c>
      <c r="AB111" s="86" t="inlineStr">
        <is>
          <t>6277651</t>
        </is>
      </c>
      <c r="AC111" s="86" t="inlineStr">
        <is>
          <t>Kids</t>
        </is>
      </c>
      <c r="AD111" s="76">
        <f>COUNTIF('KK1. Movies'!AI:AI,'TK 15661.Bản quyền phim '!F111)</f>
        <v/>
      </c>
      <c r="AE111" s="76">
        <f>COUNTIF('KK2. Series'!AM:AM,'TK 15661.Bản quyền phim '!F111)</f>
        <v/>
      </c>
      <c r="AF111" s="76">
        <f>COUNTIF('KK3. Kids'!AF:AF,'TK 15661.Bản quyền phim '!F111)</f>
        <v/>
      </c>
      <c r="AG111" s="76" t="n"/>
      <c r="AH111" s="76">
        <f>IF(SUM(AD111:AG111)&gt;0,"OK",0)</f>
        <v/>
      </c>
    </row>
    <row r="112" hidden="1" s="578">
      <c r="A112" s="32" t="n"/>
      <c r="B112" s="74" t="inlineStr">
        <is>
          <t>K+5KID023163</t>
        </is>
      </c>
      <c r="C112" s="708" t="inlineStr">
        <is>
          <t>USD</t>
        </is>
      </c>
      <c r="D112" s="708" t="inlineStr">
        <is>
          <t>S0002297</t>
        </is>
      </c>
      <c r="E112" s="708" t="inlineStr">
        <is>
          <t>ROI VISUAL Co., Ltd.</t>
        </is>
      </c>
      <c r="F112" s="708" t="inlineStr">
        <is>
          <t>ROBOCAR POLI ORIGINAL SERIES season 4</t>
        </is>
      </c>
      <c r="G112" s="708" t="inlineStr">
        <is>
          <t>KIDS</t>
        </is>
      </c>
      <c r="H112" s="83" t="n">
        <v>26</v>
      </c>
      <c r="I112" s="83" t="n">
        <v>3</v>
      </c>
      <c r="J112" s="83">
        <f>H112*I112</f>
        <v/>
      </c>
      <c r="K112" s="83" t="n">
        <v>62140000</v>
      </c>
      <c r="L112" s="83" t="n">
        <v>796666.6666666667</v>
      </c>
      <c r="M112" s="83">
        <f>J112-Q112</f>
        <v/>
      </c>
      <c r="N112" s="83">
        <f>K112-R112</f>
        <v/>
      </c>
      <c r="O112" s="517" t="n">
        <v>44953</v>
      </c>
      <c r="P112" s="517" t="n">
        <v>46048</v>
      </c>
      <c r="Q112" s="83" t="n">
        <v>26</v>
      </c>
      <c r="R112" s="84" t="n">
        <v>20713333.33333333</v>
      </c>
      <c r="S112" s="83" t="n">
        <v>0</v>
      </c>
      <c r="T112" s="84" t="n">
        <v>0</v>
      </c>
      <c r="U112" s="83" t="n">
        <v>26</v>
      </c>
      <c r="V112" s="84">
        <f>U112*L112</f>
        <v/>
      </c>
      <c r="W112" s="83">
        <f>Q112+S112-U112</f>
        <v/>
      </c>
      <c r="X112" s="84">
        <f>R112+T112-V112</f>
        <v/>
      </c>
      <c r="Y112" s="85" t="inlineStr">
        <is>
          <t>P221ZZKI01</t>
        </is>
      </c>
      <c r="Z112" s="86" t="inlineStr">
        <is>
          <t>15661</t>
        </is>
      </c>
      <c r="AA112" s="86" t="inlineStr">
        <is>
          <t>33561</t>
        </is>
      </c>
      <c r="AB112" s="86" t="inlineStr">
        <is>
          <t>6277651</t>
        </is>
      </c>
      <c r="AC112" s="86" t="inlineStr">
        <is>
          <t>Kids</t>
        </is>
      </c>
      <c r="AD112" s="76">
        <f>COUNTIF('KK1. Movies'!AI:AI,'TK 15661.Bản quyền phim '!F112)</f>
        <v/>
      </c>
      <c r="AE112" s="76">
        <f>COUNTIF('KK2. Series'!AM:AM,'TK 15661.Bản quyền phim '!F112)</f>
        <v/>
      </c>
      <c r="AF112" s="76">
        <f>COUNTIF('KK3. Kids'!AF:AF,'TK 15661.Bản quyền phim '!F112)</f>
        <v/>
      </c>
      <c r="AG112" s="76" t="n"/>
      <c r="AH112" s="76">
        <f>IF(SUM(AD112:AG112)&gt;0,"OK",0)</f>
        <v/>
      </c>
    </row>
    <row r="113" hidden="1" ht="15.6" customHeight="1" s="578">
      <c r="A113" s="27" t="n"/>
      <c r="B113" s="74" t="inlineStr">
        <is>
          <t>K+1MOV023164</t>
        </is>
      </c>
      <c r="C113" s="708" t="inlineStr">
        <is>
          <t>VND</t>
        </is>
      </c>
      <c r="D113" s="708" t="inlineStr">
        <is>
          <t>S0001328</t>
        </is>
      </c>
      <c r="E113" s="708" t="inlineStr">
        <is>
          <t>Công ty TNHH Skyline Media</t>
        </is>
      </c>
      <c r="F113" s="708" t="inlineStr">
        <is>
          <t>The Night Clerk</t>
        </is>
      </c>
      <c r="G113" s="708" t="inlineStr">
        <is>
          <t>Movies International</t>
        </is>
      </c>
      <c r="H113" s="83" t="n">
        <v>1</v>
      </c>
      <c r="I113" s="83" t="n">
        <v>3</v>
      </c>
      <c r="J113" s="83">
        <f>H113*I113</f>
        <v/>
      </c>
      <c r="K113" s="83" t="n">
        <v>93676381</v>
      </c>
      <c r="L113" s="83" t="n">
        <v>31225460.33333333</v>
      </c>
      <c r="M113" s="83">
        <f>J113-Q113</f>
        <v/>
      </c>
      <c r="N113" s="83">
        <f>K113-R113</f>
        <v/>
      </c>
      <c r="O113" s="517" t="n">
        <v>44937</v>
      </c>
      <c r="P113" s="517" t="n">
        <v>46032</v>
      </c>
      <c r="Q113" s="83" t="n">
        <v>1</v>
      </c>
      <c r="R113" s="84" t="n">
        <v>31225460.33333334</v>
      </c>
      <c r="S113" s="83" t="n">
        <v>0</v>
      </c>
      <c r="T113" s="84" t="n">
        <v>0</v>
      </c>
      <c r="U113" s="83" t="n">
        <v>1</v>
      </c>
      <c r="V113" s="84">
        <f>U113*L113</f>
        <v/>
      </c>
      <c r="W113" s="83">
        <f>Q113+S113-U113</f>
        <v/>
      </c>
      <c r="X113" s="84">
        <f>R113+T113-V113</f>
        <v/>
      </c>
      <c r="Y113" s="85" t="inlineStr">
        <is>
          <t>P221ZZMO01</t>
        </is>
      </c>
      <c r="Z113" s="86" t="inlineStr">
        <is>
          <t>15661</t>
        </is>
      </c>
      <c r="AA113" s="86" t="inlineStr">
        <is>
          <t>33561</t>
        </is>
      </c>
      <c r="AB113" s="86" t="inlineStr">
        <is>
          <t>6277651</t>
        </is>
      </c>
      <c r="AC113" s="87" t="inlineStr">
        <is>
          <t>Movies</t>
        </is>
      </c>
      <c r="AD113" s="76">
        <f>COUNTIF('KK1. Movies'!AI:AI,'TK 15661.Bản quyền phim '!F113)</f>
        <v/>
      </c>
      <c r="AE113" s="76">
        <f>COUNTIF('KK2. Series'!AM:AM,'TK 15661.Bản quyền phim '!F113)</f>
        <v/>
      </c>
      <c r="AF113" s="76">
        <f>COUNTIF('KK3. Kids'!AF:AF,'TK 15661.Bản quyền phim '!F113)</f>
        <v/>
      </c>
      <c r="AG113" s="76" t="n"/>
      <c r="AH113" s="76">
        <f>IF(SUM(AD113:AG113)&gt;0,"OK",0)</f>
        <v/>
      </c>
    </row>
    <row r="114" hidden="1" ht="15.6" customHeight="1" s="578">
      <c r="A114" s="27" t="n"/>
      <c r="B114" s="74" t="inlineStr">
        <is>
          <t>K+1MOV023165</t>
        </is>
      </c>
      <c r="C114" s="708" t="inlineStr">
        <is>
          <t>VND</t>
        </is>
      </c>
      <c r="D114" s="708" t="inlineStr">
        <is>
          <t>S0001328</t>
        </is>
      </c>
      <c r="E114" s="708" t="inlineStr">
        <is>
          <t>Công ty TNHH Skyline Media</t>
        </is>
      </c>
      <c r="F114" s="708" t="inlineStr">
        <is>
          <t>Shock Wave</t>
        </is>
      </c>
      <c r="G114" s="708" t="inlineStr">
        <is>
          <t>Movies International</t>
        </is>
      </c>
      <c r="H114" s="83" t="n">
        <v>1</v>
      </c>
      <c r="I114" s="83" t="n">
        <v>3</v>
      </c>
      <c r="J114" s="83">
        <f>H114*I114</f>
        <v/>
      </c>
      <c r="K114" s="83" t="n">
        <v>71658286</v>
      </c>
      <c r="L114" s="83" t="n">
        <v>23886095.33333333</v>
      </c>
      <c r="M114" s="83">
        <f>J114-Q114</f>
        <v/>
      </c>
      <c r="N114" s="83">
        <f>K114-R114</f>
        <v/>
      </c>
      <c r="O114" s="517" t="n">
        <v>44958</v>
      </c>
      <c r="P114" s="517" t="n">
        <v>46053</v>
      </c>
      <c r="Q114" s="83" t="n">
        <v>1</v>
      </c>
      <c r="R114" s="84" t="n">
        <v>23886095.33333334</v>
      </c>
      <c r="S114" s="83" t="n">
        <v>0</v>
      </c>
      <c r="T114" s="84" t="n">
        <v>0</v>
      </c>
      <c r="U114" s="83" t="n">
        <v>1</v>
      </c>
      <c r="V114" s="84">
        <f>U114*L114</f>
        <v/>
      </c>
      <c r="W114" s="83">
        <f>Q114+S114-U114</f>
        <v/>
      </c>
      <c r="X114" s="84">
        <f>R114+T114-V114</f>
        <v/>
      </c>
      <c r="Y114" s="85" t="inlineStr">
        <is>
          <t>P221ZZMO01</t>
        </is>
      </c>
      <c r="Z114" s="86" t="inlineStr">
        <is>
          <t>15661</t>
        </is>
      </c>
      <c r="AA114" s="86" t="inlineStr">
        <is>
          <t>33561</t>
        </is>
      </c>
      <c r="AB114" s="86" t="inlineStr">
        <is>
          <t>6277651</t>
        </is>
      </c>
      <c r="AC114" s="87" t="inlineStr">
        <is>
          <t>Movies</t>
        </is>
      </c>
      <c r="AD114" s="76">
        <f>COUNTIF('KK1. Movies'!AI:AI,'TK 15661.Bản quyền phim '!F114)</f>
        <v/>
      </c>
      <c r="AE114" s="76">
        <f>COUNTIF('KK2. Series'!AM:AM,'TK 15661.Bản quyền phim '!F114)</f>
        <v/>
      </c>
      <c r="AF114" s="76">
        <f>COUNTIF('KK3. Kids'!AF:AF,'TK 15661.Bản quyền phim '!F114)</f>
        <v/>
      </c>
      <c r="AG114" s="76" t="n"/>
      <c r="AH114" s="76">
        <f>IF(SUM(AD114:AG114)&gt;0,"OK",0)</f>
        <v/>
      </c>
    </row>
    <row r="115" hidden="1" ht="15.6" customHeight="1" s="578">
      <c r="A115" s="27" t="n"/>
      <c r="B115" s="74" t="inlineStr">
        <is>
          <t>K+1MOV023166</t>
        </is>
      </c>
      <c r="C115" s="708" t="inlineStr">
        <is>
          <t>VND</t>
        </is>
      </c>
      <c r="D115" s="708" t="inlineStr">
        <is>
          <t>S0001328</t>
        </is>
      </c>
      <c r="E115" s="708" t="inlineStr">
        <is>
          <t>Công ty TNHH Skyline Media</t>
        </is>
      </c>
      <c r="F115" s="708" t="inlineStr">
        <is>
          <t>Shock Wave 2</t>
        </is>
      </c>
      <c r="G115" s="708" t="inlineStr">
        <is>
          <t>Movies International</t>
        </is>
      </c>
      <c r="H115" s="83" t="n">
        <v>1</v>
      </c>
      <c r="I115" s="83" t="n">
        <v>3</v>
      </c>
      <c r="J115" s="83">
        <f>H115*I115</f>
        <v/>
      </c>
      <c r="K115" s="83" t="n">
        <v>146427238</v>
      </c>
      <c r="L115" s="83" t="n">
        <v>48809079.33333334</v>
      </c>
      <c r="M115" s="83">
        <f>J115-Q115</f>
        <v/>
      </c>
      <c r="N115" s="83">
        <f>K115-R115</f>
        <v/>
      </c>
      <c r="O115" s="517" t="n">
        <v>44965</v>
      </c>
      <c r="P115" s="517" t="n">
        <v>46060</v>
      </c>
      <c r="Q115" s="83" t="n">
        <v>1</v>
      </c>
      <c r="R115" s="84" t="n">
        <v>48809079.33333332</v>
      </c>
      <c r="S115" s="83" t="n">
        <v>0</v>
      </c>
      <c r="T115" s="84" t="n">
        <v>0</v>
      </c>
      <c r="U115" s="83" t="n">
        <v>1</v>
      </c>
      <c r="V115" s="84">
        <f>U115*L115</f>
        <v/>
      </c>
      <c r="W115" s="83">
        <f>Q115+S115-U115</f>
        <v/>
      </c>
      <c r="X115" s="84">
        <f>R115+T115-V115</f>
        <v/>
      </c>
      <c r="Y115" s="85" t="inlineStr">
        <is>
          <t>P221ZZMO01</t>
        </is>
      </c>
      <c r="Z115" s="86" t="inlineStr">
        <is>
          <t>15661</t>
        </is>
      </c>
      <c r="AA115" s="86" t="inlineStr">
        <is>
          <t>33561</t>
        </is>
      </c>
      <c r="AB115" s="86" t="inlineStr">
        <is>
          <t>6277651</t>
        </is>
      </c>
      <c r="AC115" s="87" t="inlineStr">
        <is>
          <t>Movies</t>
        </is>
      </c>
      <c r="AD115" s="76">
        <f>COUNTIF('KK1. Movies'!AI:AI,'TK 15661.Bản quyền phim '!F115)</f>
        <v/>
      </c>
      <c r="AE115" s="76">
        <f>COUNTIF('KK2. Series'!AM:AM,'TK 15661.Bản quyền phim '!F115)</f>
        <v/>
      </c>
      <c r="AF115" s="76">
        <f>COUNTIF('KK3. Kids'!AF:AF,'TK 15661.Bản quyền phim '!F115)</f>
        <v/>
      </c>
      <c r="AG115" s="76" t="n"/>
      <c r="AH115" s="76">
        <f>IF(SUM(AD115:AG115)&gt;0,"OK",0)</f>
        <v/>
      </c>
    </row>
    <row r="116" hidden="1" ht="15.6" customHeight="1" s="578">
      <c r="A116" s="27" t="n"/>
      <c r="B116" s="74" t="inlineStr">
        <is>
          <t>K+1MOV023167</t>
        </is>
      </c>
      <c r="C116" s="708" t="inlineStr">
        <is>
          <t>VND</t>
        </is>
      </c>
      <c r="D116" s="708" t="inlineStr">
        <is>
          <t>S0001328</t>
        </is>
      </c>
      <c r="E116" s="708" t="inlineStr">
        <is>
          <t>Công ty TNHH Skyline Media</t>
        </is>
      </c>
      <c r="F116" s="708" t="inlineStr">
        <is>
          <t>Spiritwalker</t>
        </is>
      </c>
      <c r="G116" s="708" t="inlineStr">
        <is>
          <t>Movies International</t>
        </is>
      </c>
      <c r="H116" s="83" t="n">
        <v>1</v>
      </c>
      <c r="I116" s="83" t="n">
        <v>3</v>
      </c>
      <c r="J116" s="83">
        <f>H116*I116</f>
        <v/>
      </c>
      <c r="K116" s="83" t="n">
        <v>140316190</v>
      </c>
      <c r="L116" s="83" t="n">
        <v>46772063.33333334</v>
      </c>
      <c r="M116" s="83">
        <f>J116-Q116</f>
        <v/>
      </c>
      <c r="N116" s="83">
        <f>K116-R116</f>
        <v/>
      </c>
      <c r="O116" s="517" t="n">
        <v>45000</v>
      </c>
      <c r="P116" s="517" t="n">
        <v>46067</v>
      </c>
      <c r="Q116" s="83" t="n">
        <v>1</v>
      </c>
      <c r="R116" s="84" t="n">
        <v>46772063.33333332</v>
      </c>
      <c r="S116" s="83" t="n">
        <v>0</v>
      </c>
      <c r="T116" s="84" t="n">
        <v>0</v>
      </c>
      <c r="U116" s="83" t="n">
        <v>1</v>
      </c>
      <c r="V116" s="84">
        <f>U116*L116</f>
        <v/>
      </c>
      <c r="W116" s="83">
        <f>Q116+S116-U116</f>
        <v/>
      </c>
      <c r="X116" s="84">
        <f>R116+T116-V116</f>
        <v/>
      </c>
      <c r="Y116" s="85" t="inlineStr">
        <is>
          <t>P221ZZMO01</t>
        </is>
      </c>
      <c r="Z116" s="86" t="inlineStr">
        <is>
          <t>15661</t>
        </is>
      </c>
      <c r="AA116" s="86" t="inlineStr">
        <is>
          <t>33561</t>
        </is>
      </c>
      <c r="AB116" s="86" t="inlineStr">
        <is>
          <t>6277651</t>
        </is>
      </c>
      <c r="AC116" s="87" t="inlineStr">
        <is>
          <t>Movies</t>
        </is>
      </c>
      <c r="AD116" s="76">
        <f>COUNTIF('KK1. Movies'!AI:AI,'TK 15661.Bản quyền phim '!F116)</f>
        <v/>
      </c>
      <c r="AE116" s="76">
        <f>COUNTIF('KK2. Series'!AM:AM,'TK 15661.Bản quyền phim '!F116)</f>
        <v/>
      </c>
      <c r="AF116" s="76">
        <f>COUNTIF('KK3. Kids'!AF:AF,'TK 15661.Bản quyền phim '!F116)</f>
        <v/>
      </c>
      <c r="AG116" s="76" t="n"/>
      <c r="AH116" s="76">
        <f>IF(SUM(AD116:AG116)&gt;0,"OK",0)</f>
        <v/>
      </c>
    </row>
    <row r="117" hidden="1" ht="15.6" customHeight="1" s="578">
      <c r="A117" s="27" t="n"/>
      <c r="B117" s="74" t="inlineStr">
        <is>
          <t>K+1MOV023168</t>
        </is>
      </c>
      <c r="C117" s="708" t="inlineStr">
        <is>
          <t>VND</t>
        </is>
      </c>
      <c r="D117" s="708" t="inlineStr">
        <is>
          <t>S0001328</t>
        </is>
      </c>
      <c r="E117" s="708" t="inlineStr">
        <is>
          <t>Công ty TNHH Skyline Media</t>
        </is>
      </c>
      <c r="F117" s="708" t="inlineStr">
        <is>
          <t>Good Time</t>
        </is>
      </c>
      <c r="G117" s="708" t="inlineStr">
        <is>
          <t>Movies International</t>
        </is>
      </c>
      <c r="H117" s="83" t="n">
        <v>1</v>
      </c>
      <c r="I117" s="83" t="n">
        <v>3</v>
      </c>
      <c r="J117" s="83">
        <f>H117*I117</f>
        <v/>
      </c>
      <c r="K117" s="83" t="n">
        <v>50800000</v>
      </c>
      <c r="L117" s="83" t="n">
        <v>16933333.33333333</v>
      </c>
      <c r="M117" s="83">
        <f>J117-Q117</f>
        <v/>
      </c>
      <c r="N117" s="83">
        <f>K117-R117</f>
        <v/>
      </c>
      <c r="O117" s="517" t="n">
        <v>45007</v>
      </c>
      <c r="P117" s="517" t="n">
        <v>46102</v>
      </c>
      <c r="Q117" s="83" t="n">
        <v>1</v>
      </c>
      <c r="R117" s="84" t="n">
        <v>16933333.33333334</v>
      </c>
      <c r="S117" s="83" t="n">
        <v>0</v>
      </c>
      <c r="T117" s="84" t="n">
        <v>0</v>
      </c>
      <c r="U117" s="83" t="n">
        <v>1</v>
      </c>
      <c r="V117" s="84">
        <f>U117*L117</f>
        <v/>
      </c>
      <c r="W117" s="83">
        <f>Q117+S117-U117</f>
        <v/>
      </c>
      <c r="X117" s="84">
        <f>R117+T117-V117</f>
        <v/>
      </c>
      <c r="Y117" s="85" t="inlineStr">
        <is>
          <t>P221ZZMO01</t>
        </is>
      </c>
      <c r="Z117" s="86" t="inlineStr">
        <is>
          <t>15661</t>
        </is>
      </c>
      <c r="AA117" s="86" t="inlineStr">
        <is>
          <t>33561</t>
        </is>
      </c>
      <c r="AB117" s="86" t="inlineStr">
        <is>
          <t>6277651</t>
        </is>
      </c>
      <c r="AC117" s="87" t="inlineStr">
        <is>
          <t>Movies</t>
        </is>
      </c>
      <c r="AD117" s="76">
        <f>COUNTIF('KK1. Movies'!AI:AI,'TK 15661.Bản quyền phim '!F117)</f>
        <v/>
      </c>
      <c r="AE117" s="76">
        <f>COUNTIF('KK2. Series'!AM:AM,'TK 15661.Bản quyền phim '!F117)</f>
        <v/>
      </c>
      <c r="AF117" s="76">
        <f>COUNTIF('KK3. Kids'!AF:AF,'TK 15661.Bản quyền phim '!F117)</f>
        <v/>
      </c>
      <c r="AG117" s="76" t="n"/>
      <c r="AH117" s="76">
        <f>IF(SUM(AD117:AG117)&gt;0,"OK",0)</f>
        <v/>
      </c>
    </row>
    <row r="118" hidden="1" ht="15.6" customHeight="1" s="578">
      <c r="A118" s="27" t="n"/>
      <c r="B118" s="74" t="inlineStr">
        <is>
          <t>K+1MOV023169</t>
        </is>
      </c>
      <c r="C118" s="708" t="inlineStr">
        <is>
          <t>VND</t>
        </is>
      </c>
      <c r="D118" s="708" t="inlineStr">
        <is>
          <t>S0001328</t>
        </is>
      </c>
      <c r="E118" s="708" t="inlineStr">
        <is>
          <t>Công ty TNHH Skyline Media</t>
        </is>
      </c>
      <c r="F118" s="708" t="inlineStr">
        <is>
          <t>Mary Shelley</t>
        </is>
      </c>
      <c r="G118" s="708" t="inlineStr">
        <is>
          <t>Movies International</t>
        </is>
      </c>
      <c r="H118" s="83" t="n">
        <v>1</v>
      </c>
      <c r="I118" s="83" t="n">
        <v>3</v>
      </c>
      <c r="J118" s="83">
        <f>H118*I118</f>
        <v/>
      </c>
      <c r="K118" s="83" t="n">
        <v>50800000</v>
      </c>
      <c r="L118" s="83" t="n">
        <v>16933333.33333333</v>
      </c>
      <c r="M118" s="83">
        <f>J118-Q118</f>
        <v/>
      </c>
      <c r="N118" s="83">
        <f>K118-R118</f>
        <v/>
      </c>
      <c r="O118" s="517" t="n">
        <v>45022</v>
      </c>
      <c r="P118" s="517" t="n">
        <v>46361</v>
      </c>
      <c r="Q118" s="83" t="n">
        <v>1</v>
      </c>
      <c r="R118" s="84" t="n">
        <v>16933333.33333334</v>
      </c>
      <c r="S118" s="83" t="n">
        <v>0</v>
      </c>
      <c r="T118" s="84" t="n">
        <v>0</v>
      </c>
      <c r="U118" s="83" t="n">
        <v>1</v>
      </c>
      <c r="V118" s="84">
        <f>U118*L118</f>
        <v/>
      </c>
      <c r="W118" s="83">
        <f>Q118+S118-U118</f>
        <v/>
      </c>
      <c r="X118" s="84">
        <f>R118+T118-V118</f>
        <v/>
      </c>
      <c r="Y118" s="85" t="inlineStr">
        <is>
          <t>P221ZZMO01</t>
        </is>
      </c>
      <c r="Z118" s="86" t="inlineStr">
        <is>
          <t>15661</t>
        </is>
      </c>
      <c r="AA118" s="86" t="inlineStr">
        <is>
          <t>33561</t>
        </is>
      </c>
      <c r="AB118" s="86" t="inlineStr">
        <is>
          <t>6277651</t>
        </is>
      </c>
      <c r="AC118" s="87" t="inlineStr">
        <is>
          <t>Movies</t>
        </is>
      </c>
      <c r="AD118" s="76">
        <f>COUNTIF('KK1. Movies'!AI:AI,'TK 15661.Bản quyền phim '!F118)</f>
        <v/>
      </c>
      <c r="AE118" s="76">
        <f>COUNTIF('KK2. Series'!AM:AM,'TK 15661.Bản quyền phim '!F118)</f>
        <v/>
      </c>
      <c r="AF118" s="76">
        <f>COUNTIF('KK3. Kids'!AF:AF,'TK 15661.Bản quyền phim '!F118)</f>
        <v/>
      </c>
      <c r="AG118" s="76" t="n"/>
      <c r="AH118" s="76">
        <f>IF(SUM(AD118:AG118)&gt;0,"OK",0)</f>
        <v/>
      </c>
    </row>
    <row r="119" hidden="1" ht="15.6" customHeight="1" s="578">
      <c r="A119" s="27" t="n"/>
      <c r="B119" s="74" t="inlineStr">
        <is>
          <t>K+1MOV023171</t>
        </is>
      </c>
      <c r="C119" s="708" t="inlineStr">
        <is>
          <t>VND</t>
        </is>
      </c>
      <c r="D119" s="708" t="inlineStr">
        <is>
          <t>S0001328</t>
        </is>
      </c>
      <c r="E119" s="708" t="inlineStr">
        <is>
          <t>Công ty TNHH Skyline Media</t>
        </is>
      </c>
      <c r="F119" s="708" t="inlineStr">
        <is>
          <t>The Voice Of Sin</t>
        </is>
      </c>
      <c r="G119" s="708" t="inlineStr">
        <is>
          <t>Movies International</t>
        </is>
      </c>
      <c r="H119" s="83" t="n">
        <v>1</v>
      </c>
      <c r="I119" s="83" t="n">
        <v>3</v>
      </c>
      <c r="J119" s="83">
        <f>H119*I119</f>
        <v/>
      </c>
      <c r="K119" s="83" t="n">
        <v>125000000</v>
      </c>
      <c r="L119" s="83" t="n">
        <v>41666666.66666666</v>
      </c>
      <c r="M119" s="83">
        <f>J119-Q119</f>
        <v/>
      </c>
      <c r="N119" s="83">
        <f>K119-R119</f>
        <v/>
      </c>
      <c r="O119" s="517" t="n">
        <v>45065</v>
      </c>
      <c r="P119" s="517" t="n">
        <v>46160</v>
      </c>
      <c r="Q119" s="83" t="n">
        <v>1</v>
      </c>
      <c r="R119" s="84" t="n">
        <v>41666666.66666668</v>
      </c>
      <c r="S119" s="83" t="n">
        <v>0</v>
      </c>
      <c r="T119" s="84" t="n">
        <v>0</v>
      </c>
      <c r="U119" s="83" t="n">
        <v>1</v>
      </c>
      <c r="V119" s="84">
        <f>U119*L119</f>
        <v/>
      </c>
      <c r="W119" s="83">
        <f>Q119+S119-U119</f>
        <v/>
      </c>
      <c r="X119" s="84">
        <f>R119+T119-V119</f>
        <v/>
      </c>
      <c r="Y119" s="85" t="inlineStr">
        <is>
          <t>P221ZZMO01</t>
        </is>
      </c>
      <c r="Z119" s="86" t="inlineStr">
        <is>
          <t>15661</t>
        </is>
      </c>
      <c r="AA119" s="86" t="inlineStr">
        <is>
          <t>33561</t>
        </is>
      </c>
      <c r="AB119" s="86" t="inlineStr">
        <is>
          <t>6277651</t>
        </is>
      </c>
      <c r="AC119" s="87" t="inlineStr">
        <is>
          <t>Movies</t>
        </is>
      </c>
      <c r="AD119" s="76">
        <f>COUNTIF('KK1. Movies'!AI:AI,'TK 15661.Bản quyền phim '!F119)</f>
        <v/>
      </c>
      <c r="AE119" s="76">
        <f>COUNTIF('KK2. Series'!AM:AM,'TK 15661.Bản quyền phim '!F119)</f>
        <v/>
      </c>
      <c r="AF119" s="76">
        <f>COUNTIF('KK3. Kids'!AF:AF,'TK 15661.Bản quyền phim '!F119)</f>
        <v/>
      </c>
      <c r="AG119" s="76" t="n"/>
      <c r="AH119" s="76">
        <f>IF(SUM(AD119:AG119)&gt;0,"OK",0)</f>
        <v/>
      </c>
    </row>
    <row r="120" hidden="1" ht="15.6" customHeight="1" s="578">
      <c r="A120" s="27" t="n"/>
      <c r="B120" s="74" t="inlineStr">
        <is>
          <t>K+1MOV023172</t>
        </is>
      </c>
      <c r="C120" s="708" t="inlineStr">
        <is>
          <t>VND</t>
        </is>
      </c>
      <c r="D120" s="708" t="inlineStr">
        <is>
          <t>S0001328</t>
        </is>
      </c>
      <c r="E120" s="708" t="inlineStr">
        <is>
          <t>Công ty TNHH Skyline Media</t>
        </is>
      </c>
      <c r="F120" s="708" t="inlineStr">
        <is>
          <t>Arctic</t>
        </is>
      </c>
      <c r="G120" s="708" t="inlineStr">
        <is>
          <t>Movies International</t>
        </is>
      </c>
      <c r="H120" s="83" t="n">
        <v>1</v>
      </c>
      <c r="I120" s="83" t="n">
        <v>3</v>
      </c>
      <c r="J120" s="83">
        <f>H120*I120</f>
        <v/>
      </c>
      <c r="K120" s="83" t="n">
        <v>71658286</v>
      </c>
      <c r="L120" s="83" t="n">
        <v>23886095.33333333</v>
      </c>
      <c r="M120" s="83">
        <f>J120-Q120</f>
        <v/>
      </c>
      <c r="N120" s="83">
        <f>K120-R120</f>
        <v/>
      </c>
      <c r="O120" s="517" t="n">
        <v>45065</v>
      </c>
      <c r="P120" s="517" t="n">
        <v>46160</v>
      </c>
      <c r="Q120" s="83" t="n">
        <v>1</v>
      </c>
      <c r="R120" s="84" t="n">
        <v>23886095.33333334</v>
      </c>
      <c r="S120" s="83" t="n">
        <v>0</v>
      </c>
      <c r="T120" s="84" t="n">
        <v>0</v>
      </c>
      <c r="U120" s="83" t="n">
        <v>1</v>
      </c>
      <c r="V120" s="84">
        <f>U120*L120</f>
        <v/>
      </c>
      <c r="W120" s="83">
        <f>Q120+S120-U120</f>
        <v/>
      </c>
      <c r="X120" s="84">
        <f>R120+T120-V120</f>
        <v/>
      </c>
      <c r="Y120" s="85" t="inlineStr">
        <is>
          <t>P221ZZMO01</t>
        </is>
      </c>
      <c r="Z120" s="86" t="inlineStr">
        <is>
          <t>15661</t>
        </is>
      </c>
      <c r="AA120" s="86" t="inlineStr">
        <is>
          <t>33561</t>
        </is>
      </c>
      <c r="AB120" s="86" t="inlineStr">
        <is>
          <t>6277651</t>
        </is>
      </c>
      <c r="AC120" s="87" t="inlineStr">
        <is>
          <t>Movies</t>
        </is>
      </c>
      <c r="AD120" s="76">
        <f>COUNTIF('KK1. Movies'!AI:AI,'TK 15661.Bản quyền phim '!F120)</f>
        <v/>
      </c>
      <c r="AE120" s="76">
        <f>COUNTIF('KK2. Series'!AM:AM,'TK 15661.Bản quyền phim '!F120)</f>
        <v/>
      </c>
      <c r="AF120" s="76">
        <f>COUNTIF('KK3. Kids'!AF:AF,'TK 15661.Bản quyền phim '!F120)</f>
        <v/>
      </c>
      <c r="AG120" s="76" t="n"/>
      <c r="AH120" s="76">
        <f>IF(SUM(AD120:AG120)&gt;0,"OK",0)</f>
        <v/>
      </c>
    </row>
    <row r="121" hidden="1" ht="15.6" customHeight="1" s="578">
      <c r="A121" s="27" t="n"/>
      <c r="B121" s="74" t="inlineStr">
        <is>
          <t>K+1MOV023173</t>
        </is>
      </c>
      <c r="C121" s="708" t="inlineStr">
        <is>
          <t>VND</t>
        </is>
      </c>
      <c r="D121" s="708" t="inlineStr">
        <is>
          <t>S0001328</t>
        </is>
      </c>
      <c r="E121" s="708" t="inlineStr">
        <is>
          <t>Công ty TNHH Skyline Media</t>
        </is>
      </c>
      <c r="F121" s="708" t="inlineStr">
        <is>
          <t>Bye Bye Morons</t>
        </is>
      </c>
      <c r="G121" s="708" t="inlineStr">
        <is>
          <t>Movies International</t>
        </is>
      </c>
      <c r="H121" s="83" t="n">
        <v>1</v>
      </c>
      <c r="I121" s="83" t="n">
        <v>3</v>
      </c>
      <c r="J121" s="83">
        <f>H121*I121</f>
        <v/>
      </c>
      <c r="K121" s="83" t="n">
        <v>93676381</v>
      </c>
      <c r="L121" s="83" t="n">
        <v>31225460.33333333</v>
      </c>
      <c r="M121" s="83">
        <f>J121-Q121</f>
        <v/>
      </c>
      <c r="N121" s="83">
        <f>K121-R121</f>
        <v/>
      </c>
      <c r="O121" s="517" t="n">
        <v>45065</v>
      </c>
      <c r="P121" s="517" t="n">
        <v>46160</v>
      </c>
      <c r="Q121" s="83" t="n">
        <v>1</v>
      </c>
      <c r="R121" s="84" t="n">
        <v>31225460.33333334</v>
      </c>
      <c r="S121" s="83" t="n">
        <v>0</v>
      </c>
      <c r="T121" s="84" t="n">
        <v>0</v>
      </c>
      <c r="U121" s="83" t="n">
        <v>1</v>
      </c>
      <c r="V121" s="84">
        <f>U121*L121</f>
        <v/>
      </c>
      <c r="W121" s="83">
        <f>Q121+S121-U121</f>
        <v/>
      </c>
      <c r="X121" s="84">
        <f>R121+T121-V121</f>
        <v/>
      </c>
      <c r="Y121" s="85" t="inlineStr">
        <is>
          <t>P221ZZMO01</t>
        </is>
      </c>
      <c r="Z121" s="86" t="inlineStr">
        <is>
          <t>15661</t>
        </is>
      </c>
      <c r="AA121" s="86" t="inlineStr">
        <is>
          <t>33561</t>
        </is>
      </c>
      <c r="AB121" s="86" t="inlineStr">
        <is>
          <t>6277651</t>
        </is>
      </c>
      <c r="AC121" s="87" t="inlineStr">
        <is>
          <t>Movies</t>
        </is>
      </c>
      <c r="AD121" s="76">
        <f>COUNTIF('KK1. Movies'!AI:AI,'TK 15661.Bản quyền phim '!F121)</f>
        <v/>
      </c>
      <c r="AE121" s="76">
        <f>COUNTIF('KK2. Series'!AM:AM,'TK 15661.Bản quyền phim '!F121)</f>
        <v/>
      </c>
      <c r="AF121" s="76">
        <f>COUNTIF('KK3. Kids'!AF:AF,'TK 15661.Bản quyền phim '!F121)</f>
        <v/>
      </c>
      <c r="AG121" s="76" t="n"/>
      <c r="AH121" s="76">
        <f>IF(SUM(AD121:AG121)&gt;0,"OK",0)</f>
        <v/>
      </c>
    </row>
    <row r="122" hidden="1" ht="15.6" customHeight="1" s="578">
      <c r="A122" s="27" t="n"/>
      <c r="B122" s="74" t="inlineStr">
        <is>
          <t>K+1MOV023174</t>
        </is>
      </c>
      <c r="C122" s="708" t="inlineStr">
        <is>
          <t>VND</t>
        </is>
      </c>
      <c r="D122" s="708" t="inlineStr">
        <is>
          <t>S0001328</t>
        </is>
      </c>
      <c r="E122" s="708" t="inlineStr">
        <is>
          <t>Công ty TNHH Skyline Media</t>
        </is>
      </c>
      <c r="F122" s="708" t="inlineStr">
        <is>
          <t>Winter's Bone</t>
        </is>
      </c>
      <c r="G122" s="708" t="inlineStr">
        <is>
          <t>Movies International</t>
        </is>
      </c>
      <c r="H122" s="83" t="n">
        <v>1</v>
      </c>
      <c r="I122" s="83" t="n">
        <v>3</v>
      </c>
      <c r="J122" s="83">
        <f>H122*I122</f>
        <v/>
      </c>
      <c r="K122" s="83" t="n">
        <v>25000000</v>
      </c>
      <c r="L122" s="83" t="n">
        <v>8333333.333333333</v>
      </c>
      <c r="M122" s="83">
        <f>J122-Q122</f>
        <v/>
      </c>
      <c r="N122" s="83">
        <f>K122-R122</f>
        <v/>
      </c>
      <c r="O122" s="517" t="n">
        <v>45065</v>
      </c>
      <c r="P122" s="517" t="n">
        <v>46160</v>
      </c>
      <c r="Q122" s="83" t="n">
        <v>1</v>
      </c>
      <c r="R122" s="84" t="n">
        <v>8333333.333333335</v>
      </c>
      <c r="S122" s="83" t="n">
        <v>0</v>
      </c>
      <c r="T122" s="84" t="n">
        <v>0</v>
      </c>
      <c r="U122" s="83" t="n">
        <v>1</v>
      </c>
      <c r="V122" s="84">
        <f>U122*L122</f>
        <v/>
      </c>
      <c r="W122" s="83">
        <f>Q122+S122-U122</f>
        <v/>
      </c>
      <c r="X122" s="84">
        <f>R122+T122-V122</f>
        <v/>
      </c>
      <c r="Y122" s="85" t="inlineStr">
        <is>
          <t>P221ZZMO01</t>
        </is>
      </c>
      <c r="Z122" s="86" t="inlineStr">
        <is>
          <t>15661</t>
        </is>
      </c>
      <c r="AA122" s="86" t="inlineStr">
        <is>
          <t>33561</t>
        </is>
      </c>
      <c r="AB122" s="86" t="inlineStr">
        <is>
          <t>6277651</t>
        </is>
      </c>
      <c r="AC122" s="87" t="inlineStr">
        <is>
          <t>Movies</t>
        </is>
      </c>
      <c r="AD122" s="76">
        <f>COUNTIF('KK1. Movies'!AI:AI,'TK 15661.Bản quyền phim '!F122)</f>
        <v/>
      </c>
      <c r="AE122" s="76">
        <f>COUNTIF('KK2. Series'!AM:AM,'TK 15661.Bản quyền phim '!F122)</f>
        <v/>
      </c>
      <c r="AF122" s="76">
        <f>COUNTIF('KK3. Kids'!AF:AF,'TK 15661.Bản quyền phim '!F122)</f>
        <v/>
      </c>
      <c r="AG122" s="76" t="n"/>
      <c r="AH122" s="76">
        <f>IF(SUM(AD122:AG122)&gt;0,"OK",0)</f>
        <v/>
      </c>
    </row>
    <row r="123" hidden="1" ht="15.6" customHeight="1" s="578">
      <c r="A123" s="27" t="n"/>
      <c r="B123" s="74" t="inlineStr">
        <is>
          <t>K+1MOV023175</t>
        </is>
      </c>
      <c r="C123" s="708" t="inlineStr">
        <is>
          <t>VND</t>
        </is>
      </c>
      <c r="D123" s="708" t="inlineStr">
        <is>
          <t>S0001328</t>
        </is>
      </c>
      <c r="E123" s="708" t="inlineStr">
        <is>
          <t>Công ty TNHH Skyline Media</t>
        </is>
      </c>
      <c r="F123" s="708" t="inlineStr">
        <is>
          <t>We Made A Beautiful Bouquet</t>
        </is>
      </c>
      <c r="G123" s="708" t="inlineStr">
        <is>
          <t>Movies International</t>
        </is>
      </c>
      <c r="H123" s="83" t="n">
        <v>1</v>
      </c>
      <c r="I123" s="83" t="n">
        <v>3</v>
      </c>
      <c r="J123" s="83">
        <f>H123*I123</f>
        <v/>
      </c>
      <c r="K123" s="83" t="n">
        <v>125000000</v>
      </c>
      <c r="L123" s="83" t="n">
        <v>41666666.66666666</v>
      </c>
      <c r="M123" s="83">
        <f>J123-Q123</f>
        <v/>
      </c>
      <c r="N123" s="83">
        <f>K123-R123</f>
        <v/>
      </c>
      <c r="O123" s="517" t="n">
        <v>45065</v>
      </c>
      <c r="P123" s="517" t="n">
        <v>46160</v>
      </c>
      <c r="Q123" s="83" t="n">
        <v>1</v>
      </c>
      <c r="R123" s="84" t="n">
        <v>41666666.66666668</v>
      </c>
      <c r="S123" s="83" t="n">
        <v>0</v>
      </c>
      <c r="T123" s="84" t="n">
        <v>0</v>
      </c>
      <c r="U123" s="83" t="n">
        <v>1</v>
      </c>
      <c r="V123" s="84">
        <f>U123*L123</f>
        <v/>
      </c>
      <c r="W123" s="83">
        <f>Q123+S123-U123</f>
        <v/>
      </c>
      <c r="X123" s="84">
        <f>R123+T123-V123</f>
        <v/>
      </c>
      <c r="Y123" s="85" t="inlineStr">
        <is>
          <t>P221ZZMO01</t>
        </is>
      </c>
      <c r="Z123" s="86" t="inlineStr">
        <is>
          <t>15661</t>
        </is>
      </c>
      <c r="AA123" s="86" t="inlineStr">
        <is>
          <t>33561</t>
        </is>
      </c>
      <c r="AB123" s="86" t="inlineStr">
        <is>
          <t>6277651</t>
        </is>
      </c>
      <c r="AC123" s="87" t="inlineStr">
        <is>
          <t>Movies</t>
        </is>
      </c>
      <c r="AD123" s="76">
        <f>COUNTIF('KK1. Movies'!AI:AI,'TK 15661.Bản quyền phim '!F123)</f>
        <v/>
      </c>
      <c r="AE123" s="76">
        <f>COUNTIF('KK2. Series'!AM:AM,'TK 15661.Bản quyền phim '!F123)</f>
        <v/>
      </c>
      <c r="AF123" s="76">
        <f>COUNTIF('KK3. Kids'!AF:AF,'TK 15661.Bản quyền phim '!F123)</f>
        <v/>
      </c>
      <c r="AG123" s="76" t="n"/>
      <c r="AH123" s="76">
        <f>IF(SUM(AD123:AG123)&gt;0,"OK",0)</f>
        <v/>
      </c>
    </row>
    <row r="124" hidden="1" ht="15.6" customHeight="1" s="578">
      <c r="A124" s="27" t="n"/>
      <c r="B124" s="74" t="inlineStr">
        <is>
          <t>K+1MOV023176</t>
        </is>
      </c>
      <c r="C124" s="708" t="inlineStr">
        <is>
          <t>VND</t>
        </is>
      </c>
      <c r="D124" s="708" t="inlineStr">
        <is>
          <t>S0001328</t>
        </is>
      </c>
      <c r="E124" s="708" t="inlineStr">
        <is>
          <t>Công ty TNHH Skyline Media</t>
        </is>
      </c>
      <c r="F124" s="708" t="inlineStr">
        <is>
          <t>Blithe Spirit</t>
        </is>
      </c>
      <c r="G124" s="708" t="inlineStr">
        <is>
          <t>Movies International</t>
        </is>
      </c>
      <c r="H124" s="83" t="n">
        <v>1</v>
      </c>
      <c r="I124" s="83" t="n">
        <v>3</v>
      </c>
      <c r="J124" s="83">
        <f>H124*I124</f>
        <v/>
      </c>
      <c r="K124" s="83" t="n">
        <v>93676381</v>
      </c>
      <c r="L124" s="83" t="n">
        <v>31225460.33333333</v>
      </c>
      <c r="M124" s="83">
        <f>J124-Q124</f>
        <v/>
      </c>
      <c r="N124" s="83">
        <f>K124-R124</f>
        <v/>
      </c>
      <c r="O124" s="517" t="n">
        <v>45065</v>
      </c>
      <c r="P124" s="517" t="n">
        <v>46160</v>
      </c>
      <c r="Q124" s="83" t="n">
        <v>2</v>
      </c>
      <c r="R124" s="84" t="n">
        <v>62450920.66666667</v>
      </c>
      <c r="S124" s="83" t="n">
        <v>0</v>
      </c>
      <c r="T124" s="84" t="n">
        <v>0</v>
      </c>
      <c r="U124" s="83" t="n">
        <v>1</v>
      </c>
      <c r="V124" s="84">
        <f>U124*L124</f>
        <v/>
      </c>
      <c r="W124" s="83">
        <f>Q124+S124-U124</f>
        <v/>
      </c>
      <c r="X124" s="84">
        <f>R124+T124-V124</f>
        <v/>
      </c>
      <c r="Y124" s="85" t="inlineStr">
        <is>
          <t>P221ZZMO01</t>
        </is>
      </c>
      <c r="Z124" s="86" t="inlineStr">
        <is>
          <t>15661</t>
        </is>
      </c>
      <c r="AA124" s="86" t="inlineStr">
        <is>
          <t>33561</t>
        </is>
      </c>
      <c r="AB124" s="86" t="inlineStr">
        <is>
          <t>6277651</t>
        </is>
      </c>
      <c r="AC124" s="87" t="inlineStr">
        <is>
          <t>Movies</t>
        </is>
      </c>
      <c r="AD124" s="76">
        <f>COUNTIF('KK1. Movies'!AI:AI,'TK 15661.Bản quyền phim '!F124)</f>
        <v/>
      </c>
      <c r="AE124" s="76">
        <f>COUNTIF('KK2. Series'!AM:AM,'TK 15661.Bản quyền phim '!F124)</f>
        <v/>
      </c>
      <c r="AF124" s="76">
        <f>COUNTIF('KK3. Kids'!AF:AF,'TK 15661.Bản quyền phim '!F124)</f>
        <v/>
      </c>
      <c r="AG124" s="76" t="n"/>
      <c r="AH124" s="76">
        <f>IF(SUM(AD124:AG124)&gt;0,"OK",0)</f>
        <v/>
      </c>
    </row>
    <row r="125" hidden="1" ht="15.6" customHeight="1" s="578">
      <c r="B125" s="74" t="inlineStr">
        <is>
          <t>K+2SER023177</t>
        </is>
      </c>
      <c r="C125" s="708" t="inlineStr">
        <is>
          <t>VND</t>
        </is>
      </c>
      <c r="D125" s="708" t="inlineStr">
        <is>
          <t>SR0047</t>
        </is>
      </c>
      <c r="E125" s="708" t="inlineStr">
        <is>
          <t xml:space="preserve">CÔNG TY CỔ PHẦN TRUYỀN THÔNG TK-L </t>
        </is>
      </c>
      <c r="F125" s="708" t="inlineStr">
        <is>
          <t>The Wind Blows From Long Xi (Phong khởi Lũng Tây)</t>
        </is>
      </c>
      <c r="G125" s="708" t="inlineStr">
        <is>
          <t>Series Asian</t>
        </is>
      </c>
      <c r="H125" s="83" t="n">
        <v>24</v>
      </c>
      <c r="I125" s="83" t="n">
        <v>3</v>
      </c>
      <c r="J125" s="83">
        <f>H125*I125</f>
        <v/>
      </c>
      <c r="K125" s="83" t="n">
        <v>914285714</v>
      </c>
      <c r="L125" s="83" t="n">
        <v>12698412.69444444</v>
      </c>
      <c r="M125" s="83">
        <f>J125-Q125</f>
        <v/>
      </c>
      <c r="N125" s="83">
        <f>K125-R125</f>
        <v/>
      </c>
      <c r="O125" s="517" t="n">
        <v>44937</v>
      </c>
      <c r="P125" s="517" t="n">
        <v>46033</v>
      </c>
      <c r="Q125" s="83" t="n">
        <v>24</v>
      </c>
      <c r="R125" s="84" t="n">
        <v>304761904.6666667</v>
      </c>
      <c r="S125" s="83" t="n">
        <v>0</v>
      </c>
      <c r="T125" s="84" t="n">
        <v>0</v>
      </c>
      <c r="U125" s="83" t="n">
        <v>24</v>
      </c>
      <c r="V125" s="84">
        <f>U125*L125</f>
        <v/>
      </c>
      <c r="W125" s="83">
        <f>Q125+S125-U125</f>
        <v/>
      </c>
      <c r="X125" s="84">
        <f>R125+T125-V125</f>
        <v/>
      </c>
      <c r="Y125" s="85" t="inlineStr">
        <is>
          <t>P221ZZSR01</t>
        </is>
      </c>
      <c r="Z125" s="86" t="inlineStr">
        <is>
          <t>15661</t>
        </is>
      </c>
      <c r="AA125" s="86" t="inlineStr">
        <is>
          <t>33561</t>
        </is>
      </c>
      <c r="AB125" s="86" t="inlineStr">
        <is>
          <t>6277651</t>
        </is>
      </c>
      <c r="AC125" s="87" t="inlineStr">
        <is>
          <t>Series</t>
        </is>
      </c>
      <c r="AD125" s="76">
        <f>COUNTIF('KK1. Movies'!AI:AI,'TK 15661.Bản quyền phim '!F125)</f>
        <v/>
      </c>
      <c r="AE125" s="76">
        <f>COUNTIF('KK2. Series'!AM:AM,'TK 15661.Bản quyền phim '!F125)</f>
        <v/>
      </c>
      <c r="AF125" s="76">
        <f>COUNTIF('KK3. Kids'!AF:AF,'TK 15661.Bản quyền phim '!F125)</f>
        <v/>
      </c>
      <c r="AG125" s="76" t="n"/>
      <c r="AH125" s="76">
        <f>IF(SUM(AD125:AG125)&gt;0,"OK",0)</f>
        <v/>
      </c>
    </row>
    <row r="126" hidden="1" ht="15.6" customHeight="1" s="578">
      <c r="A126" s="30">
        <f>(U126-H126)*L126</f>
        <v/>
      </c>
      <c r="B126" s="74" t="inlineStr">
        <is>
          <t>K+2SER023178</t>
        </is>
      </c>
      <c r="C126" s="708" t="inlineStr">
        <is>
          <t>USD</t>
        </is>
      </c>
      <c r="D126" s="708" t="inlineStr">
        <is>
          <t>S0002419</t>
        </is>
      </c>
      <c r="E126" s="708" t="inlineStr">
        <is>
          <t>PCCW Vuclip (Singapore) Pte. Ltd.</t>
        </is>
      </c>
      <c r="F126" s="708" t="inlineStr">
        <is>
          <t>Taxi Driver Season 2</t>
        </is>
      </c>
      <c r="G126" s="708" t="inlineStr">
        <is>
          <t>Series Asian</t>
        </is>
      </c>
      <c r="H126" s="83" t="n">
        <v>16</v>
      </c>
      <c r="I126" s="83" t="n">
        <v>4</v>
      </c>
      <c r="J126" s="83">
        <f>H126*I126</f>
        <v/>
      </c>
      <c r="K126" s="83" t="n">
        <v>2974211600</v>
      </c>
      <c r="L126" s="83" t="n">
        <v>46472056.25</v>
      </c>
      <c r="M126" s="83">
        <f>J126-Q126</f>
        <v/>
      </c>
      <c r="N126" s="83">
        <f>K126-R126</f>
        <v/>
      </c>
      <c r="O126" s="517" t="n">
        <v>44974</v>
      </c>
      <c r="P126" s="517" t="n">
        <v>46434</v>
      </c>
      <c r="Q126" s="83" t="n">
        <v>32</v>
      </c>
      <c r="R126" s="84" t="n">
        <v>1487105800</v>
      </c>
      <c r="S126" s="83" t="n">
        <v>0</v>
      </c>
      <c r="T126" s="84" t="n">
        <v>0</v>
      </c>
      <c r="U126" s="83" t="n">
        <v>16</v>
      </c>
      <c r="V126" s="84">
        <f>U126*L126</f>
        <v/>
      </c>
      <c r="W126" s="83">
        <f>Q126+S126-U126</f>
        <v/>
      </c>
      <c r="X126" s="84">
        <f>R126+T126-V126</f>
        <v/>
      </c>
      <c r="Y126" s="85" t="inlineStr">
        <is>
          <t>P221ZZSR01</t>
        </is>
      </c>
      <c r="Z126" s="86" t="inlineStr">
        <is>
          <t>15661</t>
        </is>
      </c>
      <c r="AA126" s="86" t="inlineStr">
        <is>
          <t>33561</t>
        </is>
      </c>
      <c r="AB126" s="86" t="inlineStr">
        <is>
          <t>6277651</t>
        </is>
      </c>
      <c r="AC126" s="87" t="inlineStr">
        <is>
          <t>Series</t>
        </is>
      </c>
      <c r="AD126" s="76">
        <f>COUNTIF('KK1. Movies'!AI:AI,'TK 15661.Bản quyền phim '!F126)</f>
        <v/>
      </c>
      <c r="AE126" s="76">
        <f>COUNTIF('KK2. Series'!AM:AM,'TK 15661.Bản quyền phim '!F126)</f>
        <v/>
      </c>
      <c r="AF126" s="76">
        <f>COUNTIF('KK3. Kids'!AF:AF,'TK 15661.Bản quyền phim '!F126)</f>
        <v/>
      </c>
      <c r="AG126" s="76" t="n"/>
      <c r="AH126" s="76">
        <f>IF(SUM(AD126:AG126)&gt;0,"OK",0)</f>
        <v/>
      </c>
    </row>
    <row r="127" hidden="1" ht="15.6" customHeight="1" s="578">
      <c r="A127" s="30">
        <f>(U127-H127)*L127</f>
        <v/>
      </c>
      <c r="B127" s="74" t="inlineStr">
        <is>
          <t>K+2SER023179</t>
        </is>
      </c>
      <c r="C127" s="708" t="inlineStr">
        <is>
          <t>USD</t>
        </is>
      </c>
      <c r="D127" s="708" t="inlineStr">
        <is>
          <t>S0002419</t>
        </is>
      </c>
      <c r="E127" s="708" t="inlineStr">
        <is>
          <t>PCCW Vuclip (Singapore) Pte. Ltd.</t>
        </is>
      </c>
      <c r="F127" s="708" t="inlineStr">
        <is>
          <t>Delivery Man</t>
        </is>
      </c>
      <c r="G127" s="708" t="inlineStr">
        <is>
          <t>Series Asian</t>
        </is>
      </c>
      <c r="H127" s="83" t="n">
        <v>12</v>
      </c>
      <c r="I127" s="83" t="n">
        <v>4</v>
      </c>
      <c r="J127" s="83">
        <f>H127*I127</f>
        <v/>
      </c>
      <c r="K127" s="83" t="n">
        <v>1274658700</v>
      </c>
      <c r="L127" s="83" t="n">
        <v>26555389.58333334</v>
      </c>
      <c r="M127" s="83">
        <f>J127-Q127</f>
        <v/>
      </c>
      <c r="N127" s="83">
        <f>K127-R127</f>
        <v/>
      </c>
      <c r="O127" s="517" t="n">
        <v>44986</v>
      </c>
      <c r="P127" s="517" t="n">
        <v>46446</v>
      </c>
      <c r="Q127" s="83" t="n">
        <v>24</v>
      </c>
      <c r="R127" s="84" t="n">
        <v>637329350</v>
      </c>
      <c r="S127" s="83" t="n">
        <v>0</v>
      </c>
      <c r="T127" s="84" t="n">
        <v>0</v>
      </c>
      <c r="U127" s="83" t="n">
        <v>12</v>
      </c>
      <c r="V127" s="84">
        <f>U127*L127</f>
        <v/>
      </c>
      <c r="W127" s="83">
        <f>Q127+S127-U127</f>
        <v/>
      </c>
      <c r="X127" s="84">
        <f>R127+T127-V127</f>
        <v/>
      </c>
      <c r="Y127" s="85" t="inlineStr">
        <is>
          <t>P221ZZSR01</t>
        </is>
      </c>
      <c r="Z127" s="86" t="inlineStr">
        <is>
          <t>15661</t>
        </is>
      </c>
      <c r="AA127" s="86" t="inlineStr">
        <is>
          <t>33561</t>
        </is>
      </c>
      <c r="AB127" s="86" t="inlineStr">
        <is>
          <t>6277651</t>
        </is>
      </c>
      <c r="AC127" s="87" t="inlineStr">
        <is>
          <t>Series</t>
        </is>
      </c>
      <c r="AD127" s="76">
        <f>COUNTIF('KK1. Movies'!AI:AI,'TK 15661.Bản quyền phim '!F127)</f>
        <v/>
      </c>
      <c r="AE127" s="76">
        <f>COUNTIF('KK2. Series'!AM:AM,'TK 15661.Bản quyền phim '!F127)</f>
        <v/>
      </c>
      <c r="AF127" s="76">
        <f>COUNTIF('KK3. Kids'!AF:AF,'TK 15661.Bản quyền phim '!F127)</f>
        <v/>
      </c>
      <c r="AG127" s="76" t="n"/>
      <c r="AH127" s="76">
        <f>IF(SUM(AD127:AG127)&gt;0,"OK",0)</f>
        <v/>
      </c>
    </row>
    <row r="128" hidden="1" ht="15.6" customHeight="1" s="578">
      <c r="A128" s="27" t="n"/>
      <c r="B128" s="74" t="inlineStr">
        <is>
          <t>K+1MOV023196</t>
        </is>
      </c>
      <c r="C128" s="708" t="inlineStr">
        <is>
          <t>USD</t>
        </is>
      </c>
      <c r="D128" s="708" t="inlineStr">
        <is>
          <t>SR0040</t>
        </is>
      </c>
      <c r="E128" s="708" t="inlineStr">
        <is>
          <t>King Content Co. Ltd</t>
        </is>
      </c>
      <c r="F128" s="708" t="inlineStr">
        <is>
          <t>Last princess</t>
        </is>
      </c>
      <c r="G128" s="708" t="inlineStr">
        <is>
          <t>Movies International</t>
        </is>
      </c>
      <c r="H128" s="83" t="n">
        <v>1</v>
      </c>
      <c r="I128" s="83" t="n">
        <v>3</v>
      </c>
      <c r="J128" s="83">
        <f>H128*I128</f>
        <v/>
      </c>
      <c r="K128" s="83" t="n">
        <v>94400000</v>
      </c>
      <c r="L128" s="83" t="n">
        <v>31466666.66666666</v>
      </c>
      <c r="M128" s="83">
        <f>J128-Q128</f>
        <v/>
      </c>
      <c r="N128" s="83">
        <f>K128-R128</f>
        <v/>
      </c>
      <c r="O128" s="517" t="n">
        <v>45147</v>
      </c>
      <c r="P128" s="517" t="n">
        <v>46242</v>
      </c>
      <c r="Q128" s="83" t="n">
        <v>1</v>
      </c>
      <c r="R128" s="84" t="n">
        <v>31466666.66666667</v>
      </c>
      <c r="S128" s="83" t="n">
        <v>0</v>
      </c>
      <c r="T128" s="84" t="n">
        <v>0</v>
      </c>
      <c r="U128" s="83" t="n">
        <v>1</v>
      </c>
      <c r="V128" s="84">
        <f>U128*L128</f>
        <v/>
      </c>
      <c r="W128" s="83">
        <f>Q128+S128-U128</f>
        <v/>
      </c>
      <c r="X128" s="84">
        <f>R128+T128-V128</f>
        <v/>
      </c>
      <c r="Y128" s="85" t="inlineStr">
        <is>
          <t>P221ZZMO01</t>
        </is>
      </c>
      <c r="Z128" s="86" t="inlineStr">
        <is>
          <t>15661</t>
        </is>
      </c>
      <c r="AA128" s="86" t="inlineStr">
        <is>
          <t>33561</t>
        </is>
      </c>
      <c r="AB128" s="86" t="inlineStr">
        <is>
          <t>6277651</t>
        </is>
      </c>
      <c r="AC128" s="87" t="inlineStr">
        <is>
          <t>Movies</t>
        </is>
      </c>
      <c r="AD128" s="76">
        <f>COUNTIF('KK1. Movies'!AI:AI,'TK 15661.Bản quyền phim '!F128)</f>
        <v/>
      </c>
      <c r="AE128" s="76">
        <f>COUNTIF('KK2. Series'!AM:AM,'TK 15661.Bản quyền phim '!F128)</f>
        <v/>
      </c>
      <c r="AF128" s="76">
        <f>COUNTIF('KK3. Kids'!AF:AF,'TK 15661.Bản quyền phim '!F128)</f>
        <v/>
      </c>
      <c r="AG128" s="76" t="n"/>
      <c r="AH128" s="76">
        <f>IF(SUM(AD128:AG128)&gt;0,"OK",0)</f>
        <v/>
      </c>
    </row>
    <row r="129" hidden="1" ht="15.6" customHeight="1" s="578">
      <c r="A129" s="27" t="n"/>
      <c r="B129" s="74" t="inlineStr">
        <is>
          <t>K+1MOV023197</t>
        </is>
      </c>
      <c r="C129" s="708" t="inlineStr">
        <is>
          <t>USD</t>
        </is>
      </c>
      <c r="D129" s="708" t="inlineStr">
        <is>
          <t>SR0040</t>
        </is>
      </c>
      <c r="E129" s="708" t="inlineStr">
        <is>
          <t>King Content Co. Ltd</t>
        </is>
      </c>
      <c r="F129" s="708" t="inlineStr">
        <is>
          <t>The woman who ran away</t>
        </is>
      </c>
      <c r="G129" s="708" t="inlineStr">
        <is>
          <t>Movies International</t>
        </is>
      </c>
      <c r="H129" s="83" t="n">
        <v>1</v>
      </c>
      <c r="I129" s="83" t="n">
        <v>3</v>
      </c>
      <c r="J129" s="83">
        <f>H129*I129</f>
        <v/>
      </c>
      <c r="K129" s="83" t="n">
        <v>87320000</v>
      </c>
      <c r="L129" s="83" t="n">
        <v>29106666.66666666</v>
      </c>
      <c r="M129" s="83">
        <f>J129-Q129</f>
        <v/>
      </c>
      <c r="N129" s="83">
        <f>K129-R129</f>
        <v/>
      </c>
      <c r="O129" s="517" t="n">
        <v>45147</v>
      </c>
      <c r="P129" s="517" t="n">
        <v>46242</v>
      </c>
      <c r="Q129" s="83" t="n">
        <v>1</v>
      </c>
      <c r="R129" s="84" t="n">
        <v>29106666.66666667</v>
      </c>
      <c r="S129" s="83" t="n">
        <v>0</v>
      </c>
      <c r="T129" s="84" t="n">
        <v>0</v>
      </c>
      <c r="U129" s="83" t="n">
        <v>1</v>
      </c>
      <c r="V129" s="84">
        <f>U129*L129</f>
        <v/>
      </c>
      <c r="W129" s="83">
        <f>Q129+S129-U129</f>
        <v/>
      </c>
      <c r="X129" s="84">
        <f>R129+T129-V129</f>
        <v/>
      </c>
      <c r="Y129" s="85" t="inlineStr">
        <is>
          <t>P221ZZMO01</t>
        </is>
      </c>
      <c r="Z129" s="86" t="inlineStr">
        <is>
          <t>15661</t>
        </is>
      </c>
      <c r="AA129" s="86" t="inlineStr">
        <is>
          <t>33561</t>
        </is>
      </c>
      <c r="AB129" s="86" t="inlineStr">
        <is>
          <t>6277651</t>
        </is>
      </c>
      <c r="AC129" s="87" t="inlineStr">
        <is>
          <t>Movies</t>
        </is>
      </c>
      <c r="AD129" s="76">
        <f>COUNTIF('KK1. Movies'!AI:AI,'TK 15661.Bản quyền phim '!F129)</f>
        <v/>
      </c>
      <c r="AE129" s="76">
        <f>COUNTIF('KK2. Series'!AM:AM,'TK 15661.Bản quyền phim '!F129)</f>
        <v/>
      </c>
      <c r="AF129" s="76">
        <f>COUNTIF('KK3. Kids'!AF:AF,'TK 15661.Bản quyền phim '!F129)</f>
        <v/>
      </c>
      <c r="AG129" s="76" t="n"/>
      <c r="AH129" s="76">
        <f>IF(SUM(AD129:AG129)&gt;0,"OK",0)</f>
        <v/>
      </c>
    </row>
    <row r="130" hidden="1" ht="15.6" customHeight="1" s="578">
      <c r="A130" s="27" t="n"/>
      <c r="B130" s="74" t="inlineStr">
        <is>
          <t>K+1MOV023198</t>
        </is>
      </c>
      <c r="C130" s="708" t="inlineStr">
        <is>
          <t>USD</t>
        </is>
      </c>
      <c r="D130" s="708" t="inlineStr">
        <is>
          <t>SR0040</t>
        </is>
      </c>
      <c r="E130" s="708" t="inlineStr">
        <is>
          <t>King Content Co. Ltd</t>
        </is>
      </c>
      <c r="F130" s="708" t="inlineStr">
        <is>
          <t>Faceless Boss</t>
        </is>
      </c>
      <c r="G130" s="708" t="inlineStr">
        <is>
          <t>Movies International</t>
        </is>
      </c>
      <c r="H130" s="83" t="n">
        <v>1</v>
      </c>
      <c r="I130" s="83" t="n">
        <v>3</v>
      </c>
      <c r="J130" s="83">
        <f>H130*I130</f>
        <v/>
      </c>
      <c r="K130" s="83" t="n">
        <v>75520000</v>
      </c>
      <c r="L130" s="83" t="n">
        <v>25173333.33333334</v>
      </c>
      <c r="M130" s="83">
        <f>J130-Q130</f>
        <v/>
      </c>
      <c r="N130" s="83">
        <f>K130-R130</f>
        <v/>
      </c>
      <c r="O130" s="517" t="n">
        <v>45147</v>
      </c>
      <c r="P130" s="517" t="n">
        <v>46242</v>
      </c>
      <c r="Q130" s="83" t="n">
        <v>1</v>
      </c>
      <c r="R130" s="84" t="n">
        <v>25173333.33333333</v>
      </c>
      <c r="S130" s="83" t="n">
        <v>0</v>
      </c>
      <c r="T130" s="84" t="n">
        <v>0</v>
      </c>
      <c r="U130" s="83" t="n">
        <v>1</v>
      </c>
      <c r="V130" s="84">
        <f>U130*L130</f>
        <v/>
      </c>
      <c r="W130" s="83">
        <f>Q130+S130-U130</f>
        <v/>
      </c>
      <c r="X130" s="84">
        <f>R130+T130-V130</f>
        <v/>
      </c>
      <c r="Y130" s="85" t="inlineStr">
        <is>
          <t>P221ZZMO01</t>
        </is>
      </c>
      <c r="Z130" s="86" t="inlineStr">
        <is>
          <t>15661</t>
        </is>
      </c>
      <c r="AA130" s="86" t="inlineStr">
        <is>
          <t>33561</t>
        </is>
      </c>
      <c r="AB130" s="86" t="inlineStr">
        <is>
          <t>6277651</t>
        </is>
      </c>
      <c r="AC130" s="87" t="inlineStr">
        <is>
          <t>Movies</t>
        </is>
      </c>
      <c r="AD130" s="76">
        <f>COUNTIF('KK1. Movies'!AI:AI,'TK 15661.Bản quyền phim '!F130)</f>
        <v/>
      </c>
      <c r="AE130" s="76">
        <f>COUNTIF('KK2. Series'!AM:AM,'TK 15661.Bản quyền phim '!F130)</f>
        <v/>
      </c>
      <c r="AF130" s="76">
        <f>COUNTIF('KK3. Kids'!AF:AF,'TK 15661.Bản quyền phim '!F130)</f>
        <v/>
      </c>
      <c r="AG130" s="76" t="n"/>
      <c r="AH130" s="76">
        <f>IF(SUM(AD130:AG130)&gt;0,"OK",0)</f>
        <v/>
      </c>
    </row>
    <row r="131" hidden="1" ht="15.6" customHeight="1" s="578">
      <c r="A131" s="27" t="n"/>
      <c r="B131" s="74" t="inlineStr">
        <is>
          <t>K+1MOV023199</t>
        </is>
      </c>
      <c r="C131" s="708" t="inlineStr">
        <is>
          <t>USD</t>
        </is>
      </c>
      <c r="D131" s="708" t="inlineStr">
        <is>
          <t>SR0040</t>
        </is>
      </c>
      <c r="E131" s="708" t="inlineStr">
        <is>
          <t>King Content Co. Ltd</t>
        </is>
      </c>
      <c r="F131" s="708" t="inlineStr">
        <is>
          <t>Scent of Ghost</t>
        </is>
      </c>
      <c r="G131" s="708" t="inlineStr">
        <is>
          <t>Movies International</t>
        </is>
      </c>
      <c r="H131" s="83" t="n">
        <v>1</v>
      </c>
      <c r="I131" s="83" t="n">
        <v>3</v>
      </c>
      <c r="J131" s="83">
        <f>H131*I131</f>
        <v/>
      </c>
      <c r="K131" s="83" t="n">
        <v>75520000</v>
      </c>
      <c r="L131" s="83" t="n">
        <v>25173333.33333334</v>
      </c>
      <c r="M131" s="83">
        <f>J131-Q131</f>
        <v/>
      </c>
      <c r="N131" s="83">
        <f>K131-R131</f>
        <v/>
      </c>
      <c r="O131" s="517" t="n">
        <v>45147</v>
      </c>
      <c r="P131" s="517" t="n">
        <v>46242</v>
      </c>
      <c r="Q131" s="83" t="n">
        <v>1</v>
      </c>
      <c r="R131" s="84" t="n">
        <v>25173333.33333333</v>
      </c>
      <c r="S131" s="83" t="n">
        <v>0</v>
      </c>
      <c r="T131" s="84" t="n">
        <v>0</v>
      </c>
      <c r="U131" s="83" t="n">
        <v>1</v>
      </c>
      <c r="V131" s="84">
        <f>U131*L131</f>
        <v/>
      </c>
      <c r="W131" s="83">
        <f>Q131+S131-U131</f>
        <v/>
      </c>
      <c r="X131" s="84">
        <f>R131+T131-V131</f>
        <v/>
      </c>
      <c r="Y131" s="85" t="inlineStr">
        <is>
          <t>P221ZZMO01</t>
        </is>
      </c>
      <c r="Z131" s="86" t="inlineStr">
        <is>
          <t>15661</t>
        </is>
      </c>
      <c r="AA131" s="86" t="inlineStr">
        <is>
          <t>33561</t>
        </is>
      </c>
      <c r="AB131" s="86" t="inlineStr">
        <is>
          <t>6277651</t>
        </is>
      </c>
      <c r="AC131" s="87" t="inlineStr">
        <is>
          <t>Movies</t>
        </is>
      </c>
      <c r="AD131" s="76">
        <f>COUNTIF('KK1. Movies'!AI:AI,'TK 15661.Bản quyền phim '!F131)</f>
        <v/>
      </c>
      <c r="AE131" s="76">
        <f>COUNTIF('KK2. Series'!AM:AM,'TK 15661.Bản quyền phim '!F131)</f>
        <v/>
      </c>
      <c r="AF131" s="76">
        <f>COUNTIF('KK3. Kids'!AF:AF,'TK 15661.Bản quyền phim '!F131)</f>
        <v/>
      </c>
      <c r="AG131" s="76" t="n"/>
      <c r="AH131" s="76">
        <f>IF(SUM(AD131:AG131)&gt;0,"OK",0)</f>
        <v/>
      </c>
    </row>
    <row r="132" hidden="1" ht="15.6" customHeight="1" s="578">
      <c r="A132" s="30">
        <f>(U132-H132)*L132</f>
        <v/>
      </c>
      <c r="B132" s="74" t="inlineStr">
        <is>
          <t>K+2SER023200</t>
        </is>
      </c>
      <c r="C132" s="708" t="inlineStr">
        <is>
          <t>VND</t>
        </is>
      </c>
      <c r="D132" s="708" t="inlineStr">
        <is>
          <t>S0001818</t>
        </is>
      </c>
      <c r="E132" s="708" t="inlineStr">
        <is>
          <t>Công ty TNHH Truyền thông và Giải trí HT</t>
        </is>
      </c>
      <c r="F132" s="708" t="inlineStr">
        <is>
          <t>Strange Tales of Tang Dynasty (Đường triều qủy sự lục)</t>
        </is>
      </c>
      <c r="G132" s="708" t="inlineStr">
        <is>
          <t>Series Asian</t>
        </is>
      </c>
      <c r="H132" s="83" t="n">
        <v>36</v>
      </c>
      <c r="I132" s="83" t="n">
        <v>3</v>
      </c>
      <c r="J132" s="83">
        <f>H132*I132</f>
        <v/>
      </c>
      <c r="K132" s="83" t="n">
        <v>1411428571</v>
      </c>
      <c r="L132" s="83" t="n">
        <v>13068783.06481482</v>
      </c>
      <c r="M132" s="83">
        <f>J132-Q132</f>
        <v/>
      </c>
      <c r="N132" s="83">
        <f>K132-R132</f>
        <v/>
      </c>
      <c r="O132" s="517" t="n">
        <v>45015</v>
      </c>
      <c r="P132" s="517" t="n">
        <v>46110</v>
      </c>
      <c r="Q132" s="83" t="n">
        <v>36</v>
      </c>
      <c r="R132" s="84" t="n">
        <v>470476190.3333333</v>
      </c>
      <c r="S132" s="83" t="n">
        <v>0</v>
      </c>
      <c r="T132" s="84" t="n">
        <v>0</v>
      </c>
      <c r="U132" s="83" t="n">
        <v>36</v>
      </c>
      <c r="V132" s="84">
        <f>U132*L132</f>
        <v/>
      </c>
      <c r="W132" s="83">
        <f>Q132+S132-U132</f>
        <v/>
      </c>
      <c r="X132" s="84">
        <f>R132+T132-V132</f>
        <v/>
      </c>
      <c r="Y132" s="85" t="inlineStr">
        <is>
          <t>P221ZZSR01</t>
        </is>
      </c>
      <c r="Z132" s="86" t="inlineStr">
        <is>
          <t>15661</t>
        </is>
      </c>
      <c r="AA132" s="86" t="inlineStr">
        <is>
          <t>33561</t>
        </is>
      </c>
      <c r="AB132" s="86" t="inlineStr">
        <is>
          <t>6277651</t>
        </is>
      </c>
      <c r="AC132" s="87" t="inlineStr">
        <is>
          <t>Series</t>
        </is>
      </c>
      <c r="AD132" s="76">
        <f>COUNTIF('KK1. Movies'!AI:AI,'TK 15661.Bản quyền phim '!F132)</f>
        <v/>
      </c>
      <c r="AE132" s="76">
        <f>COUNTIF('KK2. Series'!AM:AM,'TK 15661.Bản quyền phim '!F132)</f>
        <v/>
      </c>
      <c r="AF132" s="76">
        <f>COUNTIF('KK3. Kids'!AF:AF,'TK 15661.Bản quyền phim '!F132)</f>
        <v/>
      </c>
      <c r="AG132" s="76" t="n"/>
      <c r="AH132" s="76">
        <f>IF(SUM(AD132:AG132)&gt;0,"OK",0)</f>
        <v/>
      </c>
    </row>
    <row r="133" hidden="1" s="578">
      <c r="A133" s="32" t="n"/>
      <c r="B133" s="74" t="inlineStr">
        <is>
          <t>K+5KID023201</t>
        </is>
      </c>
      <c r="C133" s="708" t="inlineStr">
        <is>
          <t>USD</t>
        </is>
      </c>
      <c r="D133" s="708" t="inlineStr">
        <is>
          <t>S0002433</t>
        </is>
      </c>
      <c r="E133" s="708" t="inlineStr">
        <is>
          <t>ANIMAVISION Limited Liability Company</t>
        </is>
      </c>
      <c r="F133" s="708" t="inlineStr">
        <is>
          <t>Tunes of Rockoons</t>
        </is>
      </c>
      <c r="G133" s="708" t="inlineStr">
        <is>
          <t>KIDS</t>
        </is>
      </c>
      <c r="H133" s="83" t="n">
        <v>52</v>
      </c>
      <c r="I133" s="83" t="n">
        <v>3</v>
      </c>
      <c r="J133" s="83">
        <f>H133*I133</f>
        <v/>
      </c>
      <c r="K133" s="83" t="n">
        <v>143724000</v>
      </c>
      <c r="L133" s="83" t="n">
        <v>921307.6923076924</v>
      </c>
      <c r="M133" s="83">
        <f>J133-Q133</f>
        <v/>
      </c>
      <c r="N133" s="83">
        <f>K133-R133</f>
        <v/>
      </c>
      <c r="O133" s="517" t="n">
        <v>45065</v>
      </c>
      <c r="P133" s="517" t="n">
        <v>46160</v>
      </c>
      <c r="Q133" s="83" t="n">
        <v>52</v>
      </c>
      <c r="R133" s="84" t="n">
        <v>47908000</v>
      </c>
      <c r="S133" s="83" t="n">
        <v>0</v>
      </c>
      <c r="T133" s="84" t="n">
        <v>0</v>
      </c>
      <c r="U133" s="83" t="n">
        <v>52</v>
      </c>
      <c r="V133" s="84">
        <f>U133*L133</f>
        <v/>
      </c>
      <c r="W133" s="83">
        <f>Q133+S133-U133</f>
        <v/>
      </c>
      <c r="X133" s="84">
        <f>R133+T133-V133</f>
        <v/>
      </c>
      <c r="Y133" s="85" t="inlineStr">
        <is>
          <t>P221ZZKI01</t>
        </is>
      </c>
      <c r="Z133" s="86" t="inlineStr">
        <is>
          <t>15661</t>
        </is>
      </c>
      <c r="AA133" s="86" t="inlineStr">
        <is>
          <t>33561</t>
        </is>
      </c>
      <c r="AB133" s="86" t="inlineStr">
        <is>
          <t>6277651</t>
        </is>
      </c>
      <c r="AC133" s="86" t="inlineStr">
        <is>
          <t>Kids</t>
        </is>
      </c>
      <c r="AD133" s="76">
        <f>COUNTIF('KK1. Movies'!AI:AI,'TK 15661.Bản quyền phim '!F133)</f>
        <v/>
      </c>
      <c r="AE133" s="76">
        <f>COUNTIF('KK2. Series'!AM:AM,'TK 15661.Bản quyền phim '!F133)</f>
        <v/>
      </c>
      <c r="AF133" s="76">
        <f>COUNTIF('KK3. Kids'!AF:AF,'TK 15661.Bản quyền phim '!F133)</f>
        <v/>
      </c>
      <c r="AG133" s="76" t="n"/>
      <c r="AH133" s="76">
        <f>IF(SUM(AD133:AG133)&gt;0,"OK",0)</f>
        <v/>
      </c>
    </row>
    <row r="134" hidden="1" s="578">
      <c r="A134" s="32" t="n"/>
      <c r="B134" s="74" t="inlineStr">
        <is>
          <t>K+5KID023202</t>
        </is>
      </c>
      <c r="C134" s="708" t="inlineStr">
        <is>
          <t>USD</t>
        </is>
      </c>
      <c r="D134" s="708" t="inlineStr">
        <is>
          <t>S0002433</t>
        </is>
      </c>
      <c r="E134" s="708" t="inlineStr">
        <is>
          <t>ANIMAVISION Limited Liability Company</t>
        </is>
      </c>
      <c r="F134" s="708" t="inlineStr">
        <is>
          <t>I'll get you</t>
        </is>
      </c>
      <c r="G134" s="708" t="inlineStr">
        <is>
          <t>KIDS</t>
        </is>
      </c>
      <c r="H134" s="83" t="n">
        <v>26</v>
      </c>
      <c r="I134" s="83" t="n">
        <v>3</v>
      </c>
      <c r="J134" s="83">
        <f>H134*I134</f>
        <v/>
      </c>
      <c r="K134" s="83" t="n">
        <v>71036000</v>
      </c>
      <c r="L134" s="83" t="n">
        <v>910717.9487179487</v>
      </c>
      <c r="M134" s="83">
        <f>J134-Q134</f>
        <v/>
      </c>
      <c r="N134" s="83">
        <f>K134-R134</f>
        <v/>
      </c>
      <c r="O134" s="517" t="n">
        <v>45189</v>
      </c>
      <c r="P134" s="517" t="n">
        <v>46284</v>
      </c>
      <c r="Q134" s="83" t="n">
        <v>26</v>
      </c>
      <c r="R134" s="84" t="n">
        <v>23678666.66666666</v>
      </c>
      <c r="S134" s="83" t="n">
        <v>0</v>
      </c>
      <c r="T134" s="84" t="n">
        <v>0</v>
      </c>
      <c r="U134" s="83" t="n">
        <v>26</v>
      </c>
      <c r="V134" s="84">
        <f>U134*L134</f>
        <v/>
      </c>
      <c r="W134" s="83">
        <f>Q134+S134-U134</f>
        <v/>
      </c>
      <c r="X134" s="84">
        <f>R134+T134-V134</f>
        <v/>
      </c>
      <c r="Y134" s="85" t="inlineStr">
        <is>
          <t>P221ZZKI01</t>
        </is>
      </c>
      <c r="Z134" s="86" t="inlineStr">
        <is>
          <t>15661</t>
        </is>
      </c>
      <c r="AA134" s="86" t="inlineStr">
        <is>
          <t>33561</t>
        </is>
      </c>
      <c r="AB134" s="86" t="inlineStr">
        <is>
          <t>6277651</t>
        </is>
      </c>
      <c r="AC134" s="86" t="inlineStr">
        <is>
          <t>Kids</t>
        </is>
      </c>
      <c r="AD134" s="76">
        <f>COUNTIF('KK1. Movies'!AI:AI,'TK 15661.Bản quyền phim '!F134)</f>
        <v/>
      </c>
      <c r="AE134" s="76">
        <f>COUNTIF('KK2. Series'!AM:AM,'TK 15661.Bản quyền phim '!F134)</f>
        <v/>
      </c>
      <c r="AF134" s="76">
        <f>COUNTIF('KK3. Kids'!AF:AF,'TK 15661.Bản quyền phim '!F134)</f>
        <v/>
      </c>
      <c r="AG134" s="76" t="n"/>
      <c r="AH134" s="76">
        <f>IF(SUM(AD134:AG134)&gt;0,"OK",0)</f>
        <v/>
      </c>
    </row>
    <row r="135" hidden="1" ht="15.6" customHeight="1" s="578">
      <c r="B135" s="74" t="inlineStr">
        <is>
          <t>K+2SER023204</t>
        </is>
      </c>
      <c r="C135" s="708" t="inlineStr">
        <is>
          <t>VND</t>
        </is>
      </c>
      <c r="D135" s="708" t="inlineStr">
        <is>
          <t>S0001502</t>
        </is>
      </c>
      <c r="E135" s="708" t="inlineStr">
        <is>
          <t>Công ty TNHH Đối tác Chuyên nghiệp</t>
        </is>
      </c>
      <c r="F135" s="708" t="inlineStr">
        <is>
          <t>Reborn Rich (Cậu út nhà tài phiệt)</t>
        </is>
      </c>
      <c r="G135" s="708" t="inlineStr">
        <is>
          <t>Series Asian</t>
        </is>
      </c>
      <c r="H135" s="83" t="n">
        <v>26</v>
      </c>
      <c r="I135" s="83" t="n">
        <v>3</v>
      </c>
      <c r="J135" s="83">
        <f>H135*I135</f>
        <v/>
      </c>
      <c r="K135" s="83" t="n">
        <v>1354169143</v>
      </c>
      <c r="L135" s="83" t="n">
        <v>17361142.85897436</v>
      </c>
      <c r="M135" s="83">
        <f>J135-Q135</f>
        <v/>
      </c>
      <c r="N135" s="83">
        <f>K135-R135</f>
        <v/>
      </c>
      <c r="O135" s="517" t="n">
        <v>45019</v>
      </c>
      <c r="P135" s="517" t="n">
        <v>46114</v>
      </c>
      <c r="Q135" s="83" t="n">
        <v>26</v>
      </c>
      <c r="R135" s="84" t="n">
        <v>451389714.3333333</v>
      </c>
      <c r="S135" s="83" t="n">
        <v>0</v>
      </c>
      <c r="T135" s="84" t="n">
        <v>0</v>
      </c>
      <c r="U135" s="83" t="n">
        <v>26</v>
      </c>
      <c r="V135" s="84">
        <f>U135*L135</f>
        <v/>
      </c>
      <c r="W135" s="83">
        <f>Q135+S135-U135</f>
        <v/>
      </c>
      <c r="X135" s="84">
        <f>R135+T135-V135</f>
        <v/>
      </c>
      <c r="Y135" s="85" t="inlineStr">
        <is>
          <t>P221ZZSR01</t>
        </is>
      </c>
      <c r="Z135" s="86" t="inlineStr">
        <is>
          <t>15661</t>
        </is>
      </c>
      <c r="AA135" s="86" t="inlineStr">
        <is>
          <t>33561</t>
        </is>
      </c>
      <c r="AB135" s="86" t="inlineStr">
        <is>
          <t>6277651</t>
        </is>
      </c>
      <c r="AC135" s="87" t="inlineStr">
        <is>
          <t>Series</t>
        </is>
      </c>
      <c r="AD135" s="76">
        <f>COUNTIF('KK1. Movies'!AI:AI,'TK 15661.Bản quyền phim '!F135)</f>
        <v/>
      </c>
      <c r="AE135" s="76">
        <f>COUNTIF('KK2. Series'!AM:AM,'TK 15661.Bản quyền phim '!F135)</f>
        <v/>
      </c>
      <c r="AF135" s="76">
        <f>COUNTIF('KK3. Kids'!AF:AF,'TK 15661.Bản quyền phim '!F135)</f>
        <v/>
      </c>
      <c r="AG135" s="76" t="n"/>
      <c r="AH135" s="76">
        <f>IF(SUM(AD135:AG135)&gt;0,"OK",0)</f>
        <v/>
      </c>
    </row>
    <row r="136" hidden="1" s="578">
      <c r="A136" s="32" t="n"/>
      <c r="B136" s="74" t="inlineStr">
        <is>
          <t>K+5KID023205</t>
        </is>
      </c>
      <c r="C136" s="708" t="inlineStr">
        <is>
          <t>USD</t>
        </is>
      </c>
      <c r="D136" s="708" t="inlineStr">
        <is>
          <t>S0002434</t>
        </is>
      </c>
      <c r="E136" s="708" t="inlineStr">
        <is>
          <t>MOONBUG ENTERTAINMENT LIMITED</t>
        </is>
      </c>
      <c r="F136" s="708" t="inlineStr">
        <is>
          <t>Oddbods season 1</t>
        </is>
      </c>
      <c r="G136" s="708" t="inlineStr">
        <is>
          <t>KIDS</t>
        </is>
      </c>
      <c r="H136" s="83" t="n">
        <v>60</v>
      </c>
      <c r="I136" s="83" t="n">
        <v>3</v>
      </c>
      <c r="J136" s="83">
        <f>H136*I136</f>
        <v/>
      </c>
      <c r="K136" s="83" t="n">
        <v>156468000</v>
      </c>
      <c r="L136" s="83" t="n">
        <v>869266.6666666667</v>
      </c>
      <c r="M136" s="83">
        <f>J136-Q136</f>
        <v/>
      </c>
      <c r="N136" s="83">
        <f>K136-R136</f>
        <v/>
      </c>
      <c r="O136" s="517" t="n">
        <v>44998</v>
      </c>
      <c r="P136" s="517" t="n">
        <v>46093</v>
      </c>
      <c r="Q136" s="83" t="n">
        <v>60</v>
      </c>
      <c r="R136" s="84" t="n">
        <v>52155999.99999999</v>
      </c>
      <c r="S136" s="83" t="n">
        <v>0</v>
      </c>
      <c r="T136" s="84" t="n">
        <v>0</v>
      </c>
      <c r="U136" s="83" t="n">
        <v>60</v>
      </c>
      <c r="V136" s="84">
        <f>U136*L136</f>
        <v/>
      </c>
      <c r="W136" s="83">
        <f>Q136+S136-U136</f>
        <v/>
      </c>
      <c r="X136" s="84">
        <f>R136+T136-V136</f>
        <v/>
      </c>
      <c r="Y136" s="85" t="inlineStr">
        <is>
          <t>P221ZZKI01</t>
        </is>
      </c>
      <c r="Z136" s="86" t="inlineStr">
        <is>
          <t>15661</t>
        </is>
      </c>
      <c r="AA136" s="86" t="inlineStr">
        <is>
          <t>33561</t>
        </is>
      </c>
      <c r="AB136" s="86" t="inlineStr">
        <is>
          <t>6277651</t>
        </is>
      </c>
      <c r="AC136" s="86" t="inlineStr">
        <is>
          <t>Kids</t>
        </is>
      </c>
      <c r="AD136" s="76">
        <f>COUNTIF('KK1. Movies'!AI:AI,'TK 15661.Bản quyền phim '!F136)</f>
        <v/>
      </c>
      <c r="AE136" s="76">
        <f>COUNTIF('KK2. Series'!AM:AM,'TK 15661.Bản quyền phim '!F136)</f>
        <v/>
      </c>
      <c r="AF136" s="76">
        <f>COUNTIF('KK3. Kids'!AF:AF,'TK 15661.Bản quyền phim '!F136)</f>
        <v/>
      </c>
      <c r="AG136" s="76" t="n"/>
      <c r="AH136" s="76">
        <f>IF(SUM(AD136:AG136)&gt;0,"OK",0)</f>
        <v/>
      </c>
    </row>
    <row r="137" hidden="1" s="578">
      <c r="A137" s="32" t="n"/>
      <c r="B137" s="74" t="inlineStr">
        <is>
          <t>K+5KID023206</t>
        </is>
      </c>
      <c r="C137" s="708" t="inlineStr">
        <is>
          <t>USD</t>
        </is>
      </c>
      <c r="D137" s="708" t="inlineStr">
        <is>
          <t>S0002434</t>
        </is>
      </c>
      <c r="E137" s="708" t="inlineStr">
        <is>
          <t>MOONBUG ENTERTAINMENT LIMITED</t>
        </is>
      </c>
      <c r="F137" s="708" t="inlineStr">
        <is>
          <t>Oddbods season 2</t>
        </is>
      </c>
      <c r="G137" s="708" t="inlineStr">
        <is>
          <t>KIDS</t>
        </is>
      </c>
      <c r="H137" s="83" t="n">
        <v>60</v>
      </c>
      <c r="I137" s="83" t="n">
        <v>3</v>
      </c>
      <c r="J137" s="83">
        <f>H137*I137</f>
        <v/>
      </c>
      <c r="K137" s="83" t="n">
        <v>156468000</v>
      </c>
      <c r="L137" s="83" t="n">
        <v>869266.6666666667</v>
      </c>
      <c r="M137" s="83">
        <f>J137-Q137</f>
        <v/>
      </c>
      <c r="N137" s="83">
        <f>K137-R137</f>
        <v/>
      </c>
      <c r="O137" s="517" t="n">
        <v>45026</v>
      </c>
      <c r="P137" s="517" t="n">
        <v>46121</v>
      </c>
      <c r="Q137" s="83" t="n">
        <v>60</v>
      </c>
      <c r="R137" s="84" t="n">
        <v>52155999.99999999</v>
      </c>
      <c r="S137" s="83" t="n">
        <v>0</v>
      </c>
      <c r="T137" s="84" t="n">
        <v>0</v>
      </c>
      <c r="U137" s="83" t="n">
        <v>60</v>
      </c>
      <c r="V137" s="84">
        <f>U137*L137</f>
        <v/>
      </c>
      <c r="W137" s="83">
        <f>Q137+S137-U137</f>
        <v/>
      </c>
      <c r="X137" s="84">
        <f>R137+T137-V137</f>
        <v/>
      </c>
      <c r="Y137" s="85" t="inlineStr">
        <is>
          <t>P221ZZKI01</t>
        </is>
      </c>
      <c r="Z137" s="86" t="inlineStr">
        <is>
          <t>15661</t>
        </is>
      </c>
      <c r="AA137" s="86" t="inlineStr">
        <is>
          <t>33561</t>
        </is>
      </c>
      <c r="AB137" s="86" t="inlineStr">
        <is>
          <t>6277651</t>
        </is>
      </c>
      <c r="AC137" s="86" t="inlineStr">
        <is>
          <t>Kids</t>
        </is>
      </c>
      <c r="AD137" s="76">
        <f>COUNTIF('KK1. Movies'!AI:AI,'TK 15661.Bản quyền phim '!F137)</f>
        <v/>
      </c>
      <c r="AE137" s="76">
        <f>COUNTIF('KK2. Series'!AM:AM,'TK 15661.Bản quyền phim '!F137)</f>
        <v/>
      </c>
      <c r="AF137" s="76">
        <f>COUNTIF('KK3. Kids'!AF:AF,'TK 15661.Bản quyền phim '!F137)</f>
        <v/>
      </c>
      <c r="AG137" s="76" t="n"/>
      <c r="AH137" s="76">
        <f>IF(SUM(AD137:AG137)&gt;0,"OK",0)</f>
        <v/>
      </c>
    </row>
    <row r="138" hidden="1" s="578">
      <c r="A138" s="32" t="n"/>
      <c r="B138" s="74" t="inlineStr">
        <is>
          <t>K+5KID023207</t>
        </is>
      </c>
      <c r="C138" s="708" t="inlineStr">
        <is>
          <t>USD</t>
        </is>
      </c>
      <c r="D138" s="708" t="inlineStr">
        <is>
          <t>S0002434</t>
        </is>
      </c>
      <c r="E138" s="708" t="inlineStr">
        <is>
          <t>MOONBUG ENTERTAINMENT LIMITED</t>
        </is>
      </c>
      <c r="F138" s="708" t="inlineStr">
        <is>
          <t>Oddbods season 3</t>
        </is>
      </c>
      <c r="G138" s="708" t="inlineStr">
        <is>
          <t>KIDS</t>
        </is>
      </c>
      <c r="H138" s="83" t="n">
        <v>60</v>
      </c>
      <c r="I138" s="83" t="n">
        <v>3</v>
      </c>
      <c r="J138" s="83">
        <f>H138*I138</f>
        <v/>
      </c>
      <c r="K138" s="83" t="n">
        <v>156468000</v>
      </c>
      <c r="L138" s="83" t="n">
        <v>869266.6666666667</v>
      </c>
      <c r="M138" s="83">
        <f>J138-Q138</f>
        <v/>
      </c>
      <c r="N138" s="83">
        <f>K138-R138</f>
        <v/>
      </c>
      <c r="O138" s="517" t="n">
        <v>45054</v>
      </c>
      <c r="P138" s="517" t="n">
        <v>46149</v>
      </c>
      <c r="Q138" s="83" t="n">
        <v>60</v>
      </c>
      <c r="R138" s="84" t="n">
        <v>52155999.99999999</v>
      </c>
      <c r="S138" s="83" t="n">
        <v>0</v>
      </c>
      <c r="T138" s="84" t="n">
        <v>0</v>
      </c>
      <c r="U138" s="83" t="n">
        <v>60</v>
      </c>
      <c r="V138" s="84">
        <f>U138*L138</f>
        <v/>
      </c>
      <c r="W138" s="83">
        <f>Q138+S138-U138</f>
        <v/>
      </c>
      <c r="X138" s="84">
        <f>R138+T138-V138</f>
        <v/>
      </c>
      <c r="Y138" s="85" t="inlineStr">
        <is>
          <t>P221ZZKI01</t>
        </is>
      </c>
      <c r="Z138" s="86" t="inlineStr">
        <is>
          <t>15661</t>
        </is>
      </c>
      <c r="AA138" s="86" t="inlineStr">
        <is>
          <t>33561</t>
        </is>
      </c>
      <c r="AB138" s="86" t="inlineStr">
        <is>
          <t>6277651</t>
        </is>
      </c>
      <c r="AC138" s="86" t="inlineStr">
        <is>
          <t>Kids</t>
        </is>
      </c>
      <c r="AD138" s="76">
        <f>COUNTIF('KK1. Movies'!AI:AI,'TK 15661.Bản quyền phim '!F138)</f>
        <v/>
      </c>
      <c r="AE138" s="76">
        <f>COUNTIF('KK2. Series'!AM:AM,'TK 15661.Bản quyền phim '!F138)</f>
        <v/>
      </c>
      <c r="AF138" s="76">
        <f>COUNTIF('KK3. Kids'!AF:AF,'TK 15661.Bản quyền phim '!F138)</f>
        <v/>
      </c>
      <c r="AG138" s="76" t="n"/>
      <c r="AH138" s="76">
        <f>IF(SUM(AD138:AG138)&gt;0,"OK",0)</f>
        <v/>
      </c>
    </row>
    <row r="139" hidden="1" s="578">
      <c r="A139" s="30">
        <f>(U139-H139)*L139</f>
        <v/>
      </c>
      <c r="B139" s="74" t="inlineStr">
        <is>
          <t>K+5KID023208</t>
        </is>
      </c>
      <c r="C139" s="708" t="inlineStr">
        <is>
          <t>USD</t>
        </is>
      </c>
      <c r="D139" s="708" t="inlineStr">
        <is>
          <t>S0002434</t>
        </is>
      </c>
      <c r="E139" s="708" t="inlineStr">
        <is>
          <t>MOONBUG ENTERTAINMENT LIMITED</t>
        </is>
      </c>
      <c r="F139" s="708" t="inlineStr">
        <is>
          <t>Oddbods Specials: Zee Force Five</t>
        </is>
      </c>
      <c r="G139" s="708" t="inlineStr">
        <is>
          <t>KIDS</t>
        </is>
      </c>
      <c r="H139" s="83" t="n">
        <v>1</v>
      </c>
      <c r="I139" s="83" t="n">
        <v>3</v>
      </c>
      <c r="J139" s="83">
        <f>H139*I139</f>
        <v/>
      </c>
      <c r="K139" s="83" t="n">
        <v>2596000</v>
      </c>
      <c r="L139" s="83" t="n">
        <v>865333.3333333333</v>
      </c>
      <c r="M139" s="83">
        <f>J139-Q139</f>
        <v/>
      </c>
      <c r="N139" s="83">
        <f>K139-R139</f>
        <v/>
      </c>
      <c r="O139" s="517" t="n">
        <v>45024</v>
      </c>
      <c r="P139" s="517" t="n">
        <v>46119</v>
      </c>
      <c r="Q139" s="83" t="n">
        <v>1</v>
      </c>
      <c r="R139" s="84" t="n">
        <v>865333.3333333335</v>
      </c>
      <c r="S139" s="83" t="n">
        <v>0</v>
      </c>
      <c r="T139" s="84" t="n">
        <v>0</v>
      </c>
      <c r="U139" s="83" t="n">
        <v>1</v>
      </c>
      <c r="V139" s="84">
        <f>U139*L139</f>
        <v/>
      </c>
      <c r="W139" s="83">
        <f>Q139+S139-U139</f>
        <v/>
      </c>
      <c r="X139" s="84">
        <f>R139+T139-V139</f>
        <v/>
      </c>
      <c r="Y139" s="85" t="inlineStr">
        <is>
          <t>P221ZZKI01</t>
        </is>
      </c>
      <c r="Z139" s="86" t="inlineStr">
        <is>
          <t>15661</t>
        </is>
      </c>
      <c r="AA139" s="86" t="inlineStr">
        <is>
          <t>33561</t>
        </is>
      </c>
      <c r="AB139" s="86" t="inlineStr">
        <is>
          <t>6277651</t>
        </is>
      </c>
      <c r="AC139" s="86" t="inlineStr">
        <is>
          <t>Kids</t>
        </is>
      </c>
      <c r="AD139" s="76">
        <f>COUNTIF('KK1. Movies'!AI:AI,'TK 15661.Bản quyền phim '!F139)</f>
        <v/>
      </c>
      <c r="AE139" s="76">
        <f>COUNTIF('KK2. Series'!AM:AM,'TK 15661.Bản quyền phim '!F139)</f>
        <v/>
      </c>
      <c r="AF139" s="76">
        <f>COUNTIF('KK3. Kids'!AF:AF,'TK 15661.Bản quyền phim '!F139)</f>
        <v/>
      </c>
      <c r="AG139" s="76" t="n"/>
      <c r="AH139" s="76">
        <f>IF(SUM(AD139:AG139)&gt;0,"OK",0)</f>
        <v/>
      </c>
    </row>
    <row r="140" hidden="1" s="578">
      <c r="A140" s="30">
        <f>(U140-H140)*L140</f>
        <v/>
      </c>
      <c r="B140" s="74" t="inlineStr">
        <is>
          <t>K+5KID023209</t>
        </is>
      </c>
      <c r="C140" s="708" t="inlineStr">
        <is>
          <t>USD</t>
        </is>
      </c>
      <c r="D140" s="708" t="inlineStr">
        <is>
          <t>S0002434</t>
        </is>
      </c>
      <c r="E140" s="708" t="inlineStr">
        <is>
          <t>MOONBUG ENTERTAINMENT LIMITED</t>
        </is>
      </c>
      <c r="F140" s="708" t="inlineStr">
        <is>
          <t>Oddbods Specials: The Festive Menace</t>
        </is>
      </c>
      <c r="G140" s="708" t="inlineStr">
        <is>
          <t>KIDS</t>
        </is>
      </c>
      <c r="H140" s="83" t="n">
        <v>1</v>
      </c>
      <c r="I140" s="83" t="n">
        <v>3</v>
      </c>
      <c r="J140" s="83">
        <f>H140*I140</f>
        <v/>
      </c>
      <c r="K140" s="83" t="n">
        <v>2596000</v>
      </c>
      <c r="L140" s="83" t="n">
        <v>865333.3333333333</v>
      </c>
      <c r="M140" s="83">
        <f>J140-Q140</f>
        <v/>
      </c>
      <c r="N140" s="83">
        <f>K140-R140</f>
        <v/>
      </c>
      <c r="O140" s="517" t="n">
        <v>45025</v>
      </c>
      <c r="P140" s="517" t="n">
        <v>46121</v>
      </c>
      <c r="Q140" s="83" t="n">
        <v>2</v>
      </c>
      <c r="R140" s="84" t="n">
        <v>1730666.66666667</v>
      </c>
      <c r="S140" s="83" t="n">
        <v>0</v>
      </c>
      <c r="T140" s="84" t="n">
        <v>0</v>
      </c>
      <c r="U140" s="83" t="n">
        <v>1</v>
      </c>
      <c r="V140" s="84">
        <f>U140*L140</f>
        <v/>
      </c>
      <c r="W140" s="83">
        <f>Q140+S140-U140</f>
        <v/>
      </c>
      <c r="X140" s="84">
        <f>R140+T140-V140</f>
        <v/>
      </c>
      <c r="Y140" s="85" t="inlineStr">
        <is>
          <t>P221ZZKI01</t>
        </is>
      </c>
      <c r="Z140" s="86" t="inlineStr">
        <is>
          <t>15661</t>
        </is>
      </c>
      <c r="AA140" s="86" t="inlineStr">
        <is>
          <t>33561</t>
        </is>
      </c>
      <c r="AB140" s="86" t="inlineStr">
        <is>
          <t>6277651</t>
        </is>
      </c>
      <c r="AC140" s="86" t="inlineStr">
        <is>
          <t>Kids</t>
        </is>
      </c>
      <c r="AD140" s="76">
        <f>COUNTIF('KK1. Movies'!AI:AI,'TK 15661.Bản quyền phim '!F140)</f>
        <v/>
      </c>
      <c r="AE140" s="76">
        <f>COUNTIF('KK2. Series'!AM:AM,'TK 15661.Bản quyền phim '!F140)</f>
        <v/>
      </c>
      <c r="AF140" s="76">
        <f>COUNTIF('KK3. Kids'!AF:AF,'TK 15661.Bản quyền phim '!F140)</f>
        <v/>
      </c>
      <c r="AG140" s="76" t="n"/>
      <c r="AH140" s="76">
        <f>IF(SUM(AD140:AG140)&gt;0,"OK",0)</f>
        <v/>
      </c>
    </row>
    <row r="141" hidden="1" s="578">
      <c r="A141" s="32" t="n"/>
      <c r="B141" s="74" t="inlineStr">
        <is>
          <t>K+5KID023210</t>
        </is>
      </c>
      <c r="C141" s="708" t="inlineStr">
        <is>
          <t>USD</t>
        </is>
      </c>
      <c r="D141" s="708" t="inlineStr">
        <is>
          <t>S0002434</t>
        </is>
      </c>
      <c r="E141" s="708" t="inlineStr">
        <is>
          <t>MOONBUG ENTERTAINMENT LIMITED</t>
        </is>
      </c>
      <c r="F141" s="708" t="inlineStr">
        <is>
          <t>Cocomelon</t>
        </is>
      </c>
      <c r="G141" s="708" t="inlineStr">
        <is>
          <t>KIDS</t>
        </is>
      </c>
      <c r="H141" s="83" t="n">
        <v>180</v>
      </c>
      <c r="I141" s="83" t="n">
        <v>3</v>
      </c>
      <c r="J141" s="83">
        <f>H141*I141</f>
        <v/>
      </c>
      <c r="K141" s="83" t="n">
        <v>469404000</v>
      </c>
      <c r="L141" s="83" t="n">
        <v>869266.6666666667</v>
      </c>
      <c r="M141" s="83">
        <f>J141-Q141</f>
        <v/>
      </c>
      <c r="N141" s="83">
        <f>K141-R141</f>
        <v/>
      </c>
      <c r="O141" s="517" t="n">
        <v>45027</v>
      </c>
      <c r="P141" s="517" t="n">
        <v>46122</v>
      </c>
      <c r="Q141" s="83" t="n">
        <v>180</v>
      </c>
      <c r="R141" s="84" t="n">
        <v>156468000</v>
      </c>
      <c r="S141" s="83" t="n">
        <v>0</v>
      </c>
      <c r="T141" s="84" t="n">
        <v>0</v>
      </c>
      <c r="U141" s="83" t="n">
        <v>180</v>
      </c>
      <c r="V141" s="84">
        <f>U141*L141</f>
        <v/>
      </c>
      <c r="W141" s="83">
        <f>Q141+S141-U141</f>
        <v/>
      </c>
      <c r="X141" s="84">
        <f>R141+T141-V141</f>
        <v/>
      </c>
      <c r="Y141" s="85" t="inlineStr">
        <is>
          <t>P221ZZKI01</t>
        </is>
      </c>
      <c r="Z141" s="86" t="inlineStr">
        <is>
          <t>15661</t>
        </is>
      </c>
      <c r="AA141" s="86" t="inlineStr">
        <is>
          <t>33561</t>
        </is>
      </c>
      <c r="AB141" s="86" t="inlineStr">
        <is>
          <t>6277651</t>
        </is>
      </c>
      <c r="AC141" s="86" t="inlineStr">
        <is>
          <t>Kids</t>
        </is>
      </c>
      <c r="AD141" s="76">
        <f>COUNTIF('KK1. Movies'!AI:AI,'TK 15661.Bản quyền phim '!F141)</f>
        <v/>
      </c>
      <c r="AE141" s="76">
        <f>COUNTIF('KK2. Series'!AM:AM,'TK 15661.Bản quyền phim '!F141)</f>
        <v/>
      </c>
      <c r="AF141" s="76">
        <f>COUNTIF('KK3. Kids'!AF:AF,'TK 15661.Bản quyền phim '!F141)</f>
        <v/>
      </c>
      <c r="AG141" s="76" t="n"/>
      <c r="AH141" s="76">
        <f>IF(SUM(AD141:AG141)&gt;0,"OK",0)</f>
        <v/>
      </c>
    </row>
    <row r="142" hidden="1" ht="15.6" customHeight="1" s="578">
      <c r="A142" s="30">
        <f>(U142-H142)*L142</f>
        <v/>
      </c>
      <c r="B142" s="74" t="inlineStr">
        <is>
          <t>K+2SER023211</t>
        </is>
      </c>
      <c r="C142" s="708" t="inlineStr">
        <is>
          <t>USD</t>
        </is>
      </c>
      <c r="D142" s="708" t="inlineStr">
        <is>
          <t>S0002262</t>
        </is>
      </c>
      <c r="E142" s="708" t="inlineStr">
        <is>
          <t>IQIYI INTERNATIONAL SINGAPORE PTE. LTD.</t>
        </is>
      </c>
      <c r="F142" s="708" t="inlineStr">
        <is>
          <t>Greatness Ordinary</t>
        </is>
      </c>
      <c r="G142" s="708" t="inlineStr">
        <is>
          <t>Series Asian</t>
        </is>
      </c>
      <c r="H142" s="83" t="n">
        <v>38</v>
      </c>
      <c r="I142" s="83" t="n">
        <v>4</v>
      </c>
      <c r="J142" s="83">
        <f>H142*I142</f>
        <v/>
      </c>
      <c r="K142" s="83" t="n">
        <v>1494658800</v>
      </c>
      <c r="L142" s="83" t="n">
        <v>9833281.578947369</v>
      </c>
      <c r="M142" s="83">
        <f>J142-Q142</f>
        <v/>
      </c>
      <c r="N142" s="83">
        <f>K142-R142</f>
        <v/>
      </c>
      <c r="O142" s="517" t="n">
        <v>45041</v>
      </c>
      <c r="P142" s="517" t="n">
        <v>46501</v>
      </c>
      <c r="Q142" s="83" t="n">
        <v>76</v>
      </c>
      <c r="R142" s="84" t="n">
        <v>747329400</v>
      </c>
      <c r="S142" s="83" t="n">
        <v>0</v>
      </c>
      <c r="T142" s="84" t="n">
        <v>0</v>
      </c>
      <c r="U142" s="83" t="n">
        <v>38</v>
      </c>
      <c r="V142" s="84">
        <f>U142*L142</f>
        <v/>
      </c>
      <c r="W142" s="83">
        <f>Q142+S142-U142</f>
        <v/>
      </c>
      <c r="X142" s="84">
        <f>R142+T142-V142</f>
        <v/>
      </c>
      <c r="Y142" s="85" t="inlineStr">
        <is>
          <t>P221ZZSR01</t>
        </is>
      </c>
      <c r="Z142" s="86" t="inlineStr">
        <is>
          <t>15661</t>
        </is>
      </c>
      <c r="AA142" s="86" t="inlineStr">
        <is>
          <t>33561</t>
        </is>
      </c>
      <c r="AB142" s="86" t="inlineStr">
        <is>
          <t>6277651</t>
        </is>
      </c>
      <c r="AC142" s="87" t="inlineStr">
        <is>
          <t>Series</t>
        </is>
      </c>
      <c r="AD142" s="76">
        <f>COUNTIF('KK1. Movies'!AI:AI,'TK 15661.Bản quyền phim '!F142)</f>
        <v/>
      </c>
      <c r="AE142" s="76">
        <f>COUNTIF('KK2. Series'!AM:AM,'TK 15661.Bản quyền phim '!F142)</f>
        <v/>
      </c>
      <c r="AF142" s="76">
        <f>COUNTIF('KK3. Kids'!AF:AF,'TK 15661.Bản quyền phim '!F142)</f>
        <v/>
      </c>
      <c r="AG142" s="76" t="n"/>
      <c r="AH142" s="76">
        <f>IF(SUM(AD142:AG142)&gt;0,"OK",0)</f>
        <v/>
      </c>
    </row>
    <row r="143" hidden="1" ht="15.6" customHeight="1" s="578">
      <c r="B143" s="74" t="inlineStr">
        <is>
          <t>K+2SER023212</t>
        </is>
      </c>
      <c r="C143" s="708" t="inlineStr">
        <is>
          <t>USD</t>
        </is>
      </c>
      <c r="D143" s="708" t="inlineStr">
        <is>
          <t>S0002419</t>
        </is>
      </c>
      <c r="E143" s="708" t="inlineStr">
        <is>
          <t>PCCW Vuclip (Singapore) Pte. Ltd.</t>
        </is>
      </c>
      <c r="F143" s="708" t="inlineStr">
        <is>
          <t>The Secret Romantic Guesthouse</t>
        </is>
      </c>
      <c r="G143" s="708" t="inlineStr">
        <is>
          <t>Series Asian</t>
        </is>
      </c>
      <c r="H143" s="83" t="n">
        <v>18</v>
      </c>
      <c r="I143" s="83" t="n">
        <v>3</v>
      </c>
      <c r="J143" s="83">
        <f>H143*I143</f>
        <v/>
      </c>
      <c r="K143" s="83" t="n">
        <v>944000000</v>
      </c>
      <c r="L143" s="83" t="n">
        <v>17481481.48148148</v>
      </c>
      <c r="M143" s="83">
        <f>J143-Q143</f>
        <v/>
      </c>
      <c r="N143" s="83">
        <f>K143-R143</f>
        <v/>
      </c>
      <c r="O143" s="517" t="n">
        <v>45005</v>
      </c>
      <c r="P143" s="517" t="n">
        <v>46100</v>
      </c>
      <c r="Q143" s="83" t="n">
        <v>18</v>
      </c>
      <c r="R143" s="84" t="n">
        <v>314666666.6666666</v>
      </c>
      <c r="S143" s="83" t="n">
        <v>0</v>
      </c>
      <c r="T143" s="84" t="n">
        <v>0</v>
      </c>
      <c r="U143" s="83" t="n">
        <v>18</v>
      </c>
      <c r="V143" s="84">
        <f>U143*L143</f>
        <v/>
      </c>
      <c r="W143" s="83">
        <f>Q143+S143-U143</f>
        <v/>
      </c>
      <c r="X143" s="84">
        <f>R143+T143-V143</f>
        <v/>
      </c>
      <c r="Y143" s="85" t="inlineStr">
        <is>
          <t>P221ZZSR01</t>
        </is>
      </c>
      <c r="Z143" s="86" t="inlineStr">
        <is>
          <t>15661</t>
        </is>
      </c>
      <c r="AA143" s="86" t="inlineStr">
        <is>
          <t>33561</t>
        </is>
      </c>
      <c r="AB143" s="86" t="inlineStr">
        <is>
          <t>6277651</t>
        </is>
      </c>
      <c r="AC143" s="87" t="inlineStr">
        <is>
          <t>Series</t>
        </is>
      </c>
      <c r="AD143" s="76">
        <f>COUNTIF('KK1. Movies'!AI:AI,'TK 15661.Bản quyền phim '!F143)</f>
        <v/>
      </c>
      <c r="AE143" s="76">
        <f>COUNTIF('KK2. Series'!AM:AM,'TK 15661.Bản quyền phim '!F143)</f>
        <v/>
      </c>
      <c r="AF143" s="76">
        <f>COUNTIF('KK3. Kids'!AF:AF,'TK 15661.Bản quyền phim '!F143)</f>
        <v/>
      </c>
      <c r="AG143" s="76" t="n"/>
      <c r="AH143" s="76">
        <f>IF(SUM(AD143:AG143)&gt;0,"OK",0)</f>
        <v/>
      </c>
    </row>
    <row r="144" hidden="1" ht="15.6" customHeight="1" s="578">
      <c r="A144" s="27" t="n"/>
      <c r="B144" s="74" t="inlineStr">
        <is>
          <t>K+1MOV023213</t>
        </is>
      </c>
      <c r="C144" s="708" t="inlineStr">
        <is>
          <t>VND</t>
        </is>
      </c>
      <c r="D144" s="708" t="inlineStr">
        <is>
          <t>S0001804</t>
        </is>
      </c>
      <c r="E144" s="708" t="inlineStr">
        <is>
          <t>CÔNG TY TNHH TRUYỀN THÔNG ROSES</t>
        </is>
      </c>
      <c r="F144" s="708" t="inlineStr">
        <is>
          <t>The Amazing Maurice</t>
        </is>
      </c>
      <c r="G144" s="708" t="inlineStr">
        <is>
          <t>Movies International</t>
        </is>
      </c>
      <c r="H144" s="83" t="n">
        <v>1</v>
      </c>
      <c r="I144" s="83" t="n">
        <v>3</v>
      </c>
      <c r="J144" s="83">
        <f>H144*I144</f>
        <v/>
      </c>
      <c r="K144" s="83" t="n">
        <v>63809524</v>
      </c>
      <c r="L144" s="83" t="n">
        <v>21269841.33333333</v>
      </c>
      <c r="M144" s="83">
        <f>J144-Q144</f>
        <v/>
      </c>
      <c r="N144" s="83">
        <f>K144-R144</f>
        <v/>
      </c>
      <c r="O144" s="517" t="n">
        <v>45052</v>
      </c>
      <c r="P144" s="517" t="n">
        <v>46147</v>
      </c>
      <c r="Q144" s="83" t="n">
        <v>1</v>
      </c>
      <c r="R144" s="84" t="n">
        <v>21269841.33333334</v>
      </c>
      <c r="S144" s="83" t="n">
        <v>0</v>
      </c>
      <c r="T144" s="84" t="n">
        <v>0</v>
      </c>
      <c r="U144" s="83" t="n">
        <v>1</v>
      </c>
      <c r="V144" s="84">
        <f>U144*L144</f>
        <v/>
      </c>
      <c r="W144" s="83">
        <f>Q144+S144-U144</f>
        <v/>
      </c>
      <c r="X144" s="84">
        <f>R144+T144-V144</f>
        <v/>
      </c>
      <c r="Y144" s="85" t="inlineStr">
        <is>
          <t>P221ZZMO01</t>
        </is>
      </c>
      <c r="Z144" s="86" t="inlineStr">
        <is>
          <t>15661</t>
        </is>
      </c>
      <c r="AA144" s="86" t="inlineStr">
        <is>
          <t>33561</t>
        </is>
      </c>
      <c r="AB144" s="86" t="inlineStr">
        <is>
          <t>6277651</t>
        </is>
      </c>
      <c r="AC144" s="87" t="inlineStr">
        <is>
          <t>Movies</t>
        </is>
      </c>
      <c r="AD144" s="76">
        <f>COUNTIF('KK1. Movies'!AI:AI,'TK 15661.Bản quyền phim '!F144)</f>
        <v/>
      </c>
      <c r="AE144" s="76">
        <f>COUNTIF('KK2. Series'!AM:AM,'TK 15661.Bản quyền phim '!F144)</f>
        <v/>
      </c>
      <c r="AF144" s="76">
        <f>COUNTIF('KK3. Kids'!AF:AF,'TK 15661.Bản quyền phim '!F144)</f>
        <v/>
      </c>
      <c r="AG144" s="76" t="n"/>
      <c r="AH144" s="76">
        <f>IF(SUM(AD144:AG144)&gt;0,"OK",0)</f>
        <v/>
      </c>
    </row>
    <row r="145" hidden="1" ht="15.6" customHeight="1" s="578">
      <c r="A145" s="27" t="n"/>
      <c r="B145" s="74" t="inlineStr">
        <is>
          <t>K+5MOV023214</t>
        </is>
      </c>
      <c r="C145" s="708" t="inlineStr">
        <is>
          <t>VND</t>
        </is>
      </c>
      <c r="D145" s="708" t="inlineStr">
        <is>
          <t>S0001804</t>
        </is>
      </c>
      <c r="E145" s="708" t="inlineStr">
        <is>
          <t>CÔNG TY TNHH TRUYỀN THÔNG ROSES</t>
        </is>
      </c>
      <c r="F145" s="708" t="inlineStr">
        <is>
          <t>Blazing Samurai/ Paws of Fury: The Legend of Hank</t>
        </is>
      </c>
      <c r="G145" s="708" t="inlineStr">
        <is>
          <t>Movies International</t>
        </is>
      </c>
      <c r="H145" s="83" t="n">
        <v>1</v>
      </c>
      <c r="I145" s="83" t="n">
        <v>3</v>
      </c>
      <c r="J145" s="83">
        <f>H145*I145</f>
        <v/>
      </c>
      <c r="K145" s="83" t="n">
        <v>63809524</v>
      </c>
      <c r="L145" s="83" t="n">
        <v>21269841.33333333</v>
      </c>
      <c r="M145" s="83">
        <f>J145-Q145</f>
        <v/>
      </c>
      <c r="N145" s="83">
        <f>K145-R145</f>
        <v/>
      </c>
      <c r="O145" s="517" t="n">
        <v>45157</v>
      </c>
      <c r="P145" s="517" t="n">
        <v>46252</v>
      </c>
      <c r="Q145" s="83" t="n">
        <v>1</v>
      </c>
      <c r="R145" s="84" t="n">
        <v>21269841.33333334</v>
      </c>
      <c r="S145" s="83" t="n">
        <v>0</v>
      </c>
      <c r="T145" s="84" t="n">
        <v>0</v>
      </c>
      <c r="U145" s="83" t="n">
        <v>1</v>
      </c>
      <c r="V145" s="84">
        <f>U145*L145</f>
        <v/>
      </c>
      <c r="W145" s="83">
        <f>Q145+S145-U145</f>
        <v/>
      </c>
      <c r="X145" s="84">
        <f>R145+T145-V145</f>
        <v/>
      </c>
      <c r="Y145" s="85" t="inlineStr">
        <is>
          <t>P221ZZMO01</t>
        </is>
      </c>
      <c r="Z145" s="86" t="inlineStr">
        <is>
          <t>15661</t>
        </is>
      </c>
      <c r="AA145" s="86" t="inlineStr">
        <is>
          <t>33561</t>
        </is>
      </c>
      <c r="AB145" s="86" t="inlineStr">
        <is>
          <t>6277651</t>
        </is>
      </c>
      <c r="AC145" s="87" t="inlineStr">
        <is>
          <t>Movies</t>
        </is>
      </c>
      <c r="AD145" s="76">
        <f>COUNTIF('KK1. Movies'!AI:AI,'TK 15661.Bản quyền phim '!F145)</f>
        <v/>
      </c>
      <c r="AE145" s="76">
        <f>COUNTIF('KK2. Series'!AM:AM,'TK 15661.Bản quyền phim '!F145)</f>
        <v/>
      </c>
      <c r="AF145" s="76">
        <f>COUNTIF('KK3. Kids'!AF:AF,'TK 15661.Bản quyền phim '!F145)</f>
        <v/>
      </c>
      <c r="AG145" s="76" t="n"/>
      <c r="AH145" s="76">
        <f>IF(SUM(AD145:AG145)&gt;0,"OK",0)</f>
        <v/>
      </c>
    </row>
    <row r="146" hidden="1" ht="15.6" customHeight="1" s="578">
      <c r="A146" s="27" t="n"/>
      <c r="B146" s="74" t="inlineStr">
        <is>
          <t>K+5MOV023215</t>
        </is>
      </c>
      <c r="C146" s="708" t="inlineStr">
        <is>
          <t>VND</t>
        </is>
      </c>
      <c r="D146" s="708" t="inlineStr">
        <is>
          <t>S0001804</t>
        </is>
      </c>
      <c r="E146" s="708" t="inlineStr">
        <is>
          <t>CÔNG TY TNHH TRUYỀN THÔNG ROSES</t>
        </is>
      </c>
      <c r="F146" s="708" t="inlineStr">
        <is>
          <t>Space Dogs: Return to Earth</t>
        </is>
      </c>
      <c r="G146" s="708" t="inlineStr">
        <is>
          <t>Movies International</t>
        </is>
      </c>
      <c r="H146" s="83" t="n">
        <v>1</v>
      </c>
      <c r="I146" s="83" t="n">
        <v>3</v>
      </c>
      <c r="J146" s="83">
        <f>H146*I146</f>
        <v/>
      </c>
      <c r="K146" s="83" t="n">
        <v>63809524</v>
      </c>
      <c r="L146" s="83" t="n">
        <v>21269841.33333333</v>
      </c>
      <c r="M146" s="83">
        <f>J146-Q146</f>
        <v/>
      </c>
      <c r="N146" s="83">
        <f>K146-R146</f>
        <v/>
      </c>
      <c r="O146" s="517" t="n">
        <v>45206</v>
      </c>
      <c r="P146" s="517" t="n">
        <v>46301</v>
      </c>
      <c r="Q146" s="83" t="n">
        <v>1</v>
      </c>
      <c r="R146" s="84" t="n">
        <v>21269841.33333334</v>
      </c>
      <c r="S146" s="83" t="n">
        <v>0</v>
      </c>
      <c r="T146" s="84" t="n">
        <v>0</v>
      </c>
      <c r="U146" s="83" t="n">
        <v>1</v>
      </c>
      <c r="V146" s="84">
        <f>U146*L146</f>
        <v/>
      </c>
      <c r="W146" s="83">
        <f>Q146+S146-U146</f>
        <v/>
      </c>
      <c r="X146" s="84">
        <f>R146+T146-V146</f>
        <v/>
      </c>
      <c r="Y146" s="85" t="inlineStr">
        <is>
          <t>P221ZZMO01</t>
        </is>
      </c>
      <c r="Z146" s="86" t="inlineStr">
        <is>
          <t>15661</t>
        </is>
      </c>
      <c r="AA146" s="86" t="inlineStr">
        <is>
          <t>33561</t>
        </is>
      </c>
      <c r="AB146" s="86" t="inlineStr">
        <is>
          <t>6277651</t>
        </is>
      </c>
      <c r="AC146" s="87" t="inlineStr">
        <is>
          <t>Movies</t>
        </is>
      </c>
      <c r="AD146" s="76">
        <f>COUNTIF('KK1. Movies'!AI:AI,'TK 15661.Bản quyền phim '!F146)</f>
        <v/>
      </c>
      <c r="AE146" s="76">
        <f>COUNTIF('KK2. Series'!AM:AM,'TK 15661.Bản quyền phim '!F146)</f>
        <v/>
      </c>
      <c r="AF146" s="76">
        <f>COUNTIF('KK3. Kids'!AF:AF,'TK 15661.Bản quyền phim '!F146)</f>
        <v/>
      </c>
      <c r="AG146" s="76" t="n"/>
      <c r="AH146" s="76">
        <f>IF(SUM(AD146:AG146)&gt;0,"OK",0)</f>
        <v/>
      </c>
    </row>
    <row r="147" hidden="1" ht="15.6" customHeight="1" s="578">
      <c r="A147" s="30">
        <f>(U147-H147)*L147</f>
        <v/>
      </c>
      <c r="B147" s="74" t="inlineStr">
        <is>
          <t>K+1SER023217</t>
        </is>
      </c>
      <c r="C147" s="708" t="inlineStr">
        <is>
          <t>USD</t>
        </is>
      </c>
      <c r="D147" s="708" t="inlineStr">
        <is>
          <t>S0002378</t>
        </is>
      </c>
      <c r="E147" s="708" t="inlineStr">
        <is>
          <t>CANAL+ MYANMAR HOLDING COMPANY PTE. LTD</t>
        </is>
      </c>
      <c r="F147" s="708" t="inlineStr">
        <is>
          <t>Crying Forest</t>
        </is>
      </c>
      <c r="G147" s="708" t="inlineStr">
        <is>
          <t>Series International</t>
        </is>
      </c>
      <c r="H147" s="83" t="n">
        <v>10</v>
      </c>
      <c r="I147" s="83" t="n">
        <v>5</v>
      </c>
      <c r="J147" s="83">
        <f>H147*I147</f>
        <v/>
      </c>
      <c r="K147" s="83" t="n">
        <v>419560800</v>
      </c>
      <c r="L147" s="83" t="n">
        <v>8391216</v>
      </c>
      <c r="M147" s="83">
        <f>J147-Q147</f>
        <v/>
      </c>
      <c r="N147" s="83">
        <f>K147-R147</f>
        <v/>
      </c>
      <c r="O147" s="517" t="n">
        <v>45017</v>
      </c>
      <c r="P147" s="517" t="n">
        <v>46843</v>
      </c>
      <c r="Q147" s="83" t="n">
        <v>30</v>
      </c>
      <c r="R147" s="84" t="n">
        <v>251736480</v>
      </c>
      <c r="S147" s="83" t="n">
        <v>0</v>
      </c>
      <c r="T147" s="84" t="n">
        <v>0</v>
      </c>
      <c r="U147" s="83" t="n">
        <v>10</v>
      </c>
      <c r="V147" s="84">
        <f>U147*L147</f>
        <v/>
      </c>
      <c r="W147" s="83">
        <f>Q147+S147-U147</f>
        <v/>
      </c>
      <c r="X147" s="84">
        <f>R147+T147-V147</f>
        <v/>
      </c>
      <c r="Y147" s="85" t="inlineStr">
        <is>
          <t>P221ZZSR01</t>
        </is>
      </c>
      <c r="Z147" s="86" t="inlineStr">
        <is>
          <t>15661</t>
        </is>
      </c>
      <c r="AA147" s="86" t="inlineStr">
        <is>
          <t>33561</t>
        </is>
      </c>
      <c r="AB147" s="86" t="inlineStr">
        <is>
          <t>6277651</t>
        </is>
      </c>
      <c r="AC147" s="87" t="inlineStr">
        <is>
          <t>Series</t>
        </is>
      </c>
      <c r="AD147" s="76">
        <f>COUNTIF('KK1. Movies'!AI:AI,'TK 15661.Bản quyền phim '!F147)</f>
        <v/>
      </c>
      <c r="AE147" s="76">
        <f>COUNTIF('KK2. Series'!AM:AM,'TK 15661.Bản quyền phim '!F147)</f>
        <v/>
      </c>
      <c r="AF147" s="76">
        <f>COUNTIF('KK3. Kids'!AF:AF,'TK 15661.Bản quyền phim '!F147)</f>
        <v/>
      </c>
      <c r="AG147" s="76" t="n"/>
      <c r="AH147" s="76">
        <f>IF(SUM(AD147:AG147)&gt;0,"OK",0)</f>
        <v/>
      </c>
    </row>
    <row r="148" hidden="1" ht="15.6" customHeight="1" s="578">
      <c r="A148" s="30">
        <f>(U148-H148)*L148</f>
        <v/>
      </c>
      <c r="B148" s="74" t="inlineStr">
        <is>
          <t>K+2SER023218</t>
        </is>
      </c>
      <c r="C148" s="708" t="inlineStr">
        <is>
          <t>USD</t>
        </is>
      </c>
      <c r="D148" s="708" t="inlineStr">
        <is>
          <t>S0002432</t>
        </is>
      </c>
      <c r="E148" s="708" t="inlineStr">
        <is>
          <t>YOUKU INFORMATION TECHNOLOGY(Beijing) CO., LTD.</t>
        </is>
      </c>
      <c r="F148" s="708" t="inlineStr">
        <is>
          <t>DAY AND NIGHT</t>
        </is>
      </c>
      <c r="G148" s="708" t="inlineStr">
        <is>
          <t>Series Asian</t>
        </is>
      </c>
      <c r="H148" s="83" t="n">
        <v>32</v>
      </c>
      <c r="I148" s="83" t="n">
        <v>4</v>
      </c>
      <c r="J148" s="83">
        <f>H148*I148</f>
        <v/>
      </c>
      <c r="K148" s="83" t="n">
        <v>755200000</v>
      </c>
      <c r="L148" s="83" t="n">
        <v>5900000</v>
      </c>
      <c r="M148" s="83">
        <f>J148-Q148</f>
        <v/>
      </c>
      <c r="N148" s="83">
        <f>K148-R148</f>
        <v/>
      </c>
      <c r="O148" s="517" t="n">
        <v>45107</v>
      </c>
      <c r="P148" s="517" t="n">
        <v>46567</v>
      </c>
      <c r="Q148" s="83" t="n">
        <v>64</v>
      </c>
      <c r="R148" s="84" t="n">
        <v>377600000</v>
      </c>
      <c r="S148" s="83" t="n">
        <v>0</v>
      </c>
      <c r="T148" s="84" t="n">
        <v>0</v>
      </c>
      <c r="U148" s="83" t="n">
        <v>0</v>
      </c>
      <c r="V148" s="84">
        <f>U148*L148</f>
        <v/>
      </c>
      <c r="W148" s="83">
        <f>Q148+S148-U148</f>
        <v/>
      </c>
      <c r="X148" s="84">
        <f>R148+T148-V148</f>
        <v/>
      </c>
      <c r="Y148" s="85" t="inlineStr">
        <is>
          <t>P221ZZSR01</t>
        </is>
      </c>
      <c r="Z148" s="86" t="inlineStr">
        <is>
          <t>15661</t>
        </is>
      </c>
      <c r="AA148" s="86" t="inlineStr">
        <is>
          <t>33561</t>
        </is>
      </c>
      <c r="AB148" s="86" t="inlineStr">
        <is>
          <t>6277651</t>
        </is>
      </c>
      <c r="AC148" s="87" t="inlineStr">
        <is>
          <t>Series</t>
        </is>
      </c>
      <c r="AD148" s="76">
        <f>COUNTIF('KK1. Movies'!AI:AI,'TK 15661.Bản quyền phim '!F148)</f>
        <v/>
      </c>
      <c r="AE148" s="76">
        <f>COUNTIF('KK2. Series'!AM:AM,'TK 15661.Bản quyền phim '!F148)</f>
        <v/>
      </c>
      <c r="AF148" s="76">
        <f>COUNTIF('KK3. Kids'!AF:AF,'TK 15661.Bản quyền phim '!F148)</f>
        <v/>
      </c>
      <c r="AG148" s="76" t="n"/>
      <c r="AH148" s="76">
        <f>IF(SUM(AD148:AG148)&gt;0,"OK",0)</f>
        <v/>
      </c>
    </row>
    <row r="149" hidden="1" s="578">
      <c r="A149" s="30">
        <f>(U149-H149)*L149</f>
        <v/>
      </c>
      <c r="B149" s="74" t="inlineStr">
        <is>
          <t>K+5KID023219</t>
        </is>
      </c>
      <c r="C149" s="708" t="inlineStr">
        <is>
          <t>USD</t>
        </is>
      </c>
      <c r="D149" s="708" t="inlineStr">
        <is>
          <t>S0002327</t>
        </is>
      </c>
      <c r="E149" s="708" t="inlineStr">
        <is>
          <t>XILAM ANIMATION</t>
        </is>
      </c>
      <c r="F149" s="708" t="inlineStr">
        <is>
          <t>OGGY AND THE COCKROACHES - Season 5</t>
        </is>
      </c>
      <c r="G149" s="708" t="inlineStr">
        <is>
          <t>KIDS</t>
        </is>
      </c>
      <c r="H149" s="83" t="n">
        <v>76</v>
      </c>
      <c r="I149" s="83" t="n">
        <v>3</v>
      </c>
      <c r="J149" s="83">
        <f>H149*I149</f>
        <v/>
      </c>
      <c r="K149" s="83" t="n">
        <v>219739600</v>
      </c>
      <c r="L149" s="83" t="n">
        <v>963770.1754385965</v>
      </c>
      <c r="M149" s="83">
        <f>J149-Q149</f>
        <v/>
      </c>
      <c r="N149" s="83">
        <f>K149-R149</f>
        <v/>
      </c>
      <c r="O149" s="517" t="n">
        <v>45078</v>
      </c>
      <c r="P149" s="517" t="n">
        <v>46173</v>
      </c>
      <c r="Q149" s="83" t="n">
        <v>76</v>
      </c>
      <c r="R149" s="84" t="n">
        <v>73246533.33333336</v>
      </c>
      <c r="S149" s="83" t="n">
        <v>0</v>
      </c>
      <c r="T149" s="84" t="n">
        <v>0</v>
      </c>
      <c r="U149" s="83" t="n">
        <v>76</v>
      </c>
      <c r="V149" s="84">
        <f>U149*L149</f>
        <v/>
      </c>
      <c r="W149" s="83">
        <f>Q149+S149-U149</f>
        <v/>
      </c>
      <c r="X149" s="84">
        <f>R149+T149-V149</f>
        <v/>
      </c>
      <c r="Y149" s="85" t="inlineStr">
        <is>
          <t>P221ZZKI01</t>
        </is>
      </c>
      <c r="Z149" s="86" t="inlineStr">
        <is>
          <t>15661</t>
        </is>
      </c>
      <c r="AA149" s="86" t="inlineStr">
        <is>
          <t>33561</t>
        </is>
      </c>
      <c r="AB149" s="86" t="inlineStr">
        <is>
          <t>6277651</t>
        </is>
      </c>
      <c r="AC149" s="86" t="inlineStr">
        <is>
          <t>Kids</t>
        </is>
      </c>
      <c r="AD149" s="76">
        <f>COUNTIF('KK1. Movies'!AI:AI,'TK 15661.Bản quyền phim '!F149)</f>
        <v/>
      </c>
      <c r="AE149" s="76">
        <f>COUNTIF('KK2. Series'!AM:AM,'TK 15661.Bản quyền phim '!F149)</f>
        <v/>
      </c>
      <c r="AF149" s="76">
        <f>COUNTIF('KK3. Kids'!AF:AF,'TK 15661.Bản quyền phim '!F149)</f>
        <v/>
      </c>
      <c r="AG149" s="76" t="n"/>
      <c r="AH149" s="76">
        <f>IF(SUM(AD149:AG149)&gt;0,"OK",0)</f>
        <v/>
      </c>
    </row>
    <row r="150" hidden="1" s="578">
      <c r="A150" s="30">
        <f>(U150-H150)*L150</f>
        <v/>
      </c>
      <c r="B150" s="74" t="inlineStr">
        <is>
          <t>K+5KID023220</t>
        </is>
      </c>
      <c r="C150" s="708" t="inlineStr">
        <is>
          <t>USD</t>
        </is>
      </c>
      <c r="D150" s="708" t="inlineStr">
        <is>
          <t>S0002327</t>
        </is>
      </c>
      <c r="E150" s="708" t="inlineStr">
        <is>
          <t>XILAM ANIMATION</t>
        </is>
      </c>
      <c r="F150" s="708" t="inlineStr">
        <is>
          <t>OGGY AND THE COCKROACHES - Season 6</t>
        </is>
      </c>
      <c r="G150" s="708" t="inlineStr">
        <is>
          <t>KIDS</t>
        </is>
      </c>
      <c r="H150" s="83" t="n">
        <v>78</v>
      </c>
      <c r="I150" s="83" t="n">
        <v>3</v>
      </c>
      <c r="J150" s="83">
        <f>H150*I150</f>
        <v/>
      </c>
      <c r="K150" s="83" t="n">
        <v>219739600</v>
      </c>
      <c r="L150" s="83" t="n">
        <v>939058.1196581196</v>
      </c>
      <c r="M150" s="83">
        <f>J150-Q150</f>
        <v/>
      </c>
      <c r="N150" s="83">
        <f>K150-R150</f>
        <v/>
      </c>
      <c r="O150" s="517" t="n">
        <v>45078</v>
      </c>
      <c r="P150" s="517" t="n">
        <v>46173</v>
      </c>
      <c r="Q150" s="83" t="n">
        <v>78</v>
      </c>
      <c r="R150" s="84" t="n">
        <v>73246533.33333336</v>
      </c>
      <c r="S150" s="83" t="n">
        <v>0</v>
      </c>
      <c r="T150" s="84" t="n">
        <v>0</v>
      </c>
      <c r="U150" s="83" t="n">
        <v>78</v>
      </c>
      <c r="V150" s="84">
        <f>U150*L150</f>
        <v/>
      </c>
      <c r="W150" s="83">
        <f>Q150+S150-U150</f>
        <v/>
      </c>
      <c r="X150" s="84">
        <f>R150+T150-V150</f>
        <v/>
      </c>
      <c r="Y150" s="85" t="inlineStr">
        <is>
          <t>P221ZZKI01</t>
        </is>
      </c>
      <c r="Z150" s="86" t="inlineStr">
        <is>
          <t>15661</t>
        </is>
      </c>
      <c r="AA150" s="86" t="inlineStr">
        <is>
          <t>33561</t>
        </is>
      </c>
      <c r="AB150" s="86" t="inlineStr">
        <is>
          <t>6277651</t>
        </is>
      </c>
      <c r="AC150" s="86" t="inlineStr">
        <is>
          <t>Kids</t>
        </is>
      </c>
      <c r="AD150" s="76">
        <f>COUNTIF('KK1. Movies'!AI:AI,'TK 15661.Bản quyền phim '!F150)</f>
        <v/>
      </c>
      <c r="AE150" s="76">
        <f>COUNTIF('KK2. Series'!AM:AM,'TK 15661.Bản quyền phim '!F150)</f>
        <v/>
      </c>
      <c r="AF150" s="76">
        <f>COUNTIF('KK3. Kids'!AF:AF,'TK 15661.Bản quyền phim '!F150)</f>
        <v/>
      </c>
      <c r="AG150" s="76" t="n"/>
      <c r="AH150" s="76">
        <f>IF(SUM(AD150:AG150)&gt;0,"OK",0)</f>
        <v/>
      </c>
    </row>
    <row r="151" hidden="1" s="578">
      <c r="A151" s="30">
        <f>(U151-H151)*L151</f>
        <v/>
      </c>
      <c r="B151" s="74" t="inlineStr">
        <is>
          <t>K+5KID023221</t>
        </is>
      </c>
      <c r="C151" s="708" t="inlineStr">
        <is>
          <t>USD</t>
        </is>
      </c>
      <c r="D151" s="708" t="inlineStr">
        <is>
          <t>S0002327</t>
        </is>
      </c>
      <c r="E151" s="708" t="inlineStr">
        <is>
          <t>XILAM ANIMATION</t>
        </is>
      </c>
      <c r="F151" s="708" t="inlineStr">
        <is>
          <t>OGGY AND THE COCKROACHES - Season 7</t>
        </is>
      </c>
      <c r="G151" s="708" t="inlineStr">
        <is>
          <t>KIDS</t>
        </is>
      </c>
      <c r="H151" s="83" t="n">
        <v>78</v>
      </c>
      <c r="I151" s="83" t="n">
        <v>3</v>
      </c>
      <c r="J151" s="83">
        <f>H151*I151</f>
        <v/>
      </c>
      <c r="K151" s="83" t="n">
        <v>219739600</v>
      </c>
      <c r="L151" s="83" t="n">
        <v>939058.1196581196</v>
      </c>
      <c r="M151" s="83">
        <f>J151-Q151</f>
        <v/>
      </c>
      <c r="N151" s="83">
        <f>K151-R151</f>
        <v/>
      </c>
      <c r="O151" s="517" t="n">
        <v>45078</v>
      </c>
      <c r="P151" s="517" t="n">
        <v>46173</v>
      </c>
      <c r="Q151" s="83" t="n">
        <v>78</v>
      </c>
      <c r="R151" s="84" t="n">
        <v>73246533.33333336</v>
      </c>
      <c r="S151" s="83" t="n">
        <v>0</v>
      </c>
      <c r="T151" s="84" t="n">
        <v>0</v>
      </c>
      <c r="U151" s="83" t="n">
        <v>78</v>
      </c>
      <c r="V151" s="84">
        <f>U151*L151</f>
        <v/>
      </c>
      <c r="W151" s="83">
        <f>Q151+S151-U151</f>
        <v/>
      </c>
      <c r="X151" s="84">
        <f>R151+T151-V151</f>
        <v/>
      </c>
      <c r="Y151" s="85" t="inlineStr">
        <is>
          <t>P221ZZKI01</t>
        </is>
      </c>
      <c r="Z151" s="86" t="inlineStr">
        <is>
          <t>15661</t>
        </is>
      </c>
      <c r="AA151" s="86" t="inlineStr">
        <is>
          <t>33561</t>
        </is>
      </c>
      <c r="AB151" s="86" t="inlineStr">
        <is>
          <t>6277651</t>
        </is>
      </c>
      <c r="AC151" s="86" t="inlineStr">
        <is>
          <t>Kids</t>
        </is>
      </c>
      <c r="AD151" s="76">
        <f>COUNTIF('KK1. Movies'!AI:AI,'TK 15661.Bản quyền phim '!F151)</f>
        <v/>
      </c>
      <c r="AE151" s="76">
        <f>COUNTIF('KK2. Series'!AM:AM,'TK 15661.Bản quyền phim '!F151)</f>
        <v/>
      </c>
      <c r="AF151" s="76">
        <f>COUNTIF('KK3. Kids'!AF:AF,'TK 15661.Bản quyền phim '!F151)</f>
        <v/>
      </c>
      <c r="AG151" s="76" t="n"/>
      <c r="AH151" s="76">
        <f>IF(SUM(AD151:AG151)&gt;0,"OK",0)</f>
        <v/>
      </c>
    </row>
    <row r="152" hidden="1" ht="15.6" customHeight="1" s="578">
      <c r="A152" s="30">
        <f>(U152-H152)*L152</f>
        <v/>
      </c>
      <c r="B152" s="74" t="inlineStr">
        <is>
          <t>K+1SER023222</t>
        </is>
      </c>
      <c r="C152" s="708" t="inlineStr">
        <is>
          <t>EUR</t>
        </is>
      </c>
      <c r="D152" s="708" t="inlineStr">
        <is>
          <t>S0001558</t>
        </is>
      </c>
      <c r="E152" s="708" t="inlineStr">
        <is>
          <t>StudioCanal TV Gmbh</t>
        </is>
      </c>
      <c r="F152" s="708" t="inlineStr">
        <is>
          <t>B.R.I - Season 1</t>
        </is>
      </c>
      <c r="G152" s="708" t="inlineStr">
        <is>
          <t>Series International</t>
        </is>
      </c>
      <c r="H152" s="83" t="n">
        <v>8</v>
      </c>
      <c r="I152" s="83" t="n">
        <v>7</v>
      </c>
      <c r="J152" s="83">
        <f>H152*I152</f>
        <v/>
      </c>
      <c r="K152" s="83" t="n">
        <v>1032000000</v>
      </c>
      <c r="L152" s="83" t="n">
        <v>18428571.42857143</v>
      </c>
      <c r="M152" s="83">
        <f>J152-Q152</f>
        <v/>
      </c>
      <c r="N152" s="83">
        <f>K152-R152</f>
        <v/>
      </c>
      <c r="O152" s="517" t="n">
        <v>45096</v>
      </c>
      <c r="P152" s="517" t="n">
        <v>47652</v>
      </c>
      <c r="Q152" s="83" t="n">
        <v>40</v>
      </c>
      <c r="R152" s="84" t="n">
        <v>737142857.1428571</v>
      </c>
      <c r="S152" s="83" t="n">
        <v>0</v>
      </c>
      <c r="T152" s="84" t="n">
        <v>0</v>
      </c>
      <c r="U152" s="83" t="n">
        <v>8</v>
      </c>
      <c r="V152" s="84">
        <f>U152*L152</f>
        <v/>
      </c>
      <c r="W152" s="83">
        <f>Q152+S152-U152</f>
        <v/>
      </c>
      <c r="X152" s="84">
        <f>R152+T152-V152</f>
        <v/>
      </c>
      <c r="Y152" s="85" t="inlineStr">
        <is>
          <t>P221ZZSR01</t>
        </is>
      </c>
      <c r="Z152" s="86" t="inlineStr">
        <is>
          <t>15661</t>
        </is>
      </c>
      <c r="AA152" s="86" t="inlineStr">
        <is>
          <t>33561</t>
        </is>
      </c>
      <c r="AB152" s="86" t="inlineStr">
        <is>
          <t>6277651</t>
        </is>
      </c>
      <c r="AC152" s="87" t="inlineStr">
        <is>
          <t>Series</t>
        </is>
      </c>
      <c r="AD152" s="76">
        <f>COUNTIF('KK1. Movies'!AI:AI,'TK 15661.Bản quyền phim '!F152)</f>
        <v/>
      </c>
      <c r="AE152" s="76">
        <f>COUNTIF('KK2. Series'!AM:AM,'TK 15661.Bản quyền phim '!F152)</f>
        <v/>
      </c>
      <c r="AF152" s="76">
        <f>COUNTIF('KK3. Kids'!AF:AF,'TK 15661.Bản quyền phim '!F152)</f>
        <v/>
      </c>
      <c r="AG152" s="76" t="n"/>
      <c r="AH152" s="76">
        <f>IF(SUM(AD152:AG152)&gt;0,"OK",0)</f>
        <v/>
      </c>
    </row>
    <row r="153" hidden="1" ht="15.6" customHeight="1" s="578">
      <c r="A153" s="30">
        <f>(U153-H153)*L153</f>
        <v/>
      </c>
      <c r="B153" s="74" t="inlineStr">
        <is>
          <t>K+2SER023223</t>
        </is>
      </c>
      <c r="C153" s="708" t="inlineStr">
        <is>
          <t>USD</t>
        </is>
      </c>
      <c r="D153" s="708" t="inlineStr">
        <is>
          <t>S0002262</t>
        </is>
      </c>
      <c r="E153" s="708" t="inlineStr">
        <is>
          <t>IQIYI INTERNATIONAL SINGAPORE PTE. LTD.</t>
        </is>
      </c>
      <c r="F153" s="708" t="inlineStr">
        <is>
          <t>Under The Microscope</t>
        </is>
      </c>
      <c r="G153" s="708" t="inlineStr">
        <is>
          <t>Series Asian</t>
        </is>
      </c>
      <c r="H153" s="83" t="n">
        <v>14</v>
      </c>
      <c r="I153" s="83" t="n">
        <v>4</v>
      </c>
      <c r="J153" s="83">
        <f>H153*I153</f>
        <v/>
      </c>
      <c r="K153" s="83" t="n">
        <v>605741200</v>
      </c>
      <c r="L153" s="83" t="n">
        <v>10816807.14285714</v>
      </c>
      <c r="M153" s="83">
        <f>J153-Q153</f>
        <v/>
      </c>
      <c r="N153" s="83">
        <f>K153-R153</f>
        <v/>
      </c>
      <c r="O153" s="517" t="n">
        <v>45107</v>
      </c>
      <c r="P153" s="517" t="n">
        <v>46567</v>
      </c>
      <c r="Q153" s="83" t="n">
        <v>28</v>
      </c>
      <c r="R153" s="84" t="n">
        <v>302870600</v>
      </c>
      <c r="S153" s="83" t="n">
        <v>0</v>
      </c>
      <c r="T153" s="84" t="n">
        <v>0</v>
      </c>
      <c r="U153" s="83" t="n">
        <v>14</v>
      </c>
      <c r="V153" s="84">
        <f>U153*L153</f>
        <v/>
      </c>
      <c r="W153" s="83">
        <f>Q153+S153-U153</f>
        <v/>
      </c>
      <c r="X153" s="84">
        <f>R153+T153-V153</f>
        <v/>
      </c>
      <c r="Y153" s="85" t="inlineStr">
        <is>
          <t>P221ZZSR01</t>
        </is>
      </c>
      <c r="Z153" s="86" t="inlineStr">
        <is>
          <t>15661</t>
        </is>
      </c>
      <c r="AA153" s="86" t="inlineStr">
        <is>
          <t>33561</t>
        </is>
      </c>
      <c r="AB153" s="86" t="inlineStr">
        <is>
          <t>6277651</t>
        </is>
      </c>
      <c r="AC153" s="87" t="inlineStr">
        <is>
          <t>Series</t>
        </is>
      </c>
      <c r="AD153" s="76">
        <f>COUNTIF('KK1. Movies'!AI:AI,'TK 15661.Bản quyền phim '!F153)</f>
        <v/>
      </c>
      <c r="AE153" s="76">
        <f>COUNTIF('KK2. Series'!AM:AM,'TK 15661.Bản quyền phim '!F153)</f>
        <v/>
      </c>
      <c r="AF153" s="76">
        <f>COUNTIF('KK3. Kids'!AF:AF,'TK 15661.Bản quyền phim '!F153)</f>
        <v/>
      </c>
      <c r="AG153" s="76" t="n"/>
      <c r="AH153" s="76">
        <f>IF(SUM(AD153:AG153)&gt;0,"OK",0)</f>
        <v/>
      </c>
    </row>
    <row r="154" hidden="1" ht="15.6" customHeight="1" s="578">
      <c r="A154" s="30">
        <f>(U154-H154)*L154</f>
        <v/>
      </c>
      <c r="B154" s="74" t="inlineStr">
        <is>
          <t>K+2SER023224</t>
        </is>
      </c>
      <c r="C154" s="708" t="inlineStr">
        <is>
          <t>USD</t>
        </is>
      </c>
      <c r="D154" s="708" t="inlineStr">
        <is>
          <t>S0002464</t>
        </is>
      </c>
      <c r="E154" s="708" t="inlineStr">
        <is>
          <t>Content Wavve Corp.</t>
        </is>
      </c>
      <c r="F154" s="708" t="inlineStr">
        <is>
          <t>One day off</t>
        </is>
      </c>
      <c r="G154" s="708" t="inlineStr">
        <is>
          <t>Series Asian</t>
        </is>
      </c>
      <c r="H154" s="83" t="n">
        <v>8</v>
      </c>
      <c r="I154" s="83" t="n">
        <v>4</v>
      </c>
      <c r="J154" s="83">
        <f>H154*I154</f>
        <v/>
      </c>
      <c r="K154" s="83" t="n">
        <v>283200000</v>
      </c>
      <c r="L154" s="83" t="n">
        <v>8850000</v>
      </c>
      <c r="M154" s="83">
        <f>J154-Q154</f>
        <v/>
      </c>
      <c r="N154" s="83">
        <f>K154-R154</f>
        <v/>
      </c>
      <c r="O154" s="517" t="n">
        <v>45071</v>
      </c>
      <c r="P154" s="517" t="n">
        <v>46531</v>
      </c>
      <c r="Q154" s="83" t="n">
        <v>16</v>
      </c>
      <c r="R154" s="84" t="n">
        <v>141600000</v>
      </c>
      <c r="S154" s="83" t="n">
        <v>0</v>
      </c>
      <c r="T154" s="84" t="n">
        <v>0</v>
      </c>
      <c r="U154" s="83" t="n">
        <v>8</v>
      </c>
      <c r="V154" s="84">
        <f>U154*L154</f>
        <v/>
      </c>
      <c r="W154" s="83">
        <f>Q154+S154-U154</f>
        <v/>
      </c>
      <c r="X154" s="84">
        <f>R154+T154-V154</f>
        <v/>
      </c>
      <c r="Y154" s="85" t="inlineStr">
        <is>
          <t>P221ZZSR01</t>
        </is>
      </c>
      <c r="Z154" s="86" t="inlineStr">
        <is>
          <t>15661</t>
        </is>
      </c>
      <c r="AA154" s="86" t="inlineStr">
        <is>
          <t>33561</t>
        </is>
      </c>
      <c r="AB154" s="86" t="inlineStr">
        <is>
          <t>6277651</t>
        </is>
      </c>
      <c r="AC154" s="87" t="inlineStr">
        <is>
          <t>Series</t>
        </is>
      </c>
      <c r="AD154" s="76">
        <f>COUNTIF('KK1. Movies'!AI:AI,'TK 15661.Bản quyền phim '!F154)</f>
        <v/>
      </c>
      <c r="AE154" s="76">
        <f>COUNTIF('KK2. Series'!AM:AM,'TK 15661.Bản quyền phim '!F154)</f>
        <v/>
      </c>
      <c r="AF154" s="76">
        <f>COUNTIF('KK3. Kids'!AF:AF,'TK 15661.Bản quyền phim '!F154)</f>
        <v/>
      </c>
      <c r="AG154" s="76" t="n"/>
      <c r="AH154" s="76">
        <f>IF(SUM(AD154:AG154)&gt;0,"OK",0)</f>
        <v/>
      </c>
    </row>
    <row r="155" hidden="1" ht="15.6" customHeight="1" s="578">
      <c r="A155" s="30">
        <f>(U155-H155)*L155</f>
        <v/>
      </c>
      <c r="B155" s="74" t="inlineStr">
        <is>
          <t>K+2SER023225</t>
        </is>
      </c>
      <c r="C155" s="708" t="inlineStr">
        <is>
          <t>USD</t>
        </is>
      </c>
      <c r="D155" s="708" t="inlineStr">
        <is>
          <t>S0002459</t>
        </is>
      </c>
      <c r="E155" s="708" t="inlineStr">
        <is>
          <t>Lian Contents Co., Ltd.</t>
        </is>
      </c>
      <c r="F155" s="708" t="inlineStr">
        <is>
          <t>Durian’s Affair</t>
        </is>
      </c>
      <c r="G155" s="708" t="inlineStr">
        <is>
          <t>Series Asian</t>
        </is>
      </c>
      <c r="H155" s="83" t="n">
        <v>16</v>
      </c>
      <c r="I155" s="83" t="n">
        <v>4</v>
      </c>
      <c r="J155" s="83">
        <f>H155*I155</f>
        <v/>
      </c>
      <c r="K155" s="83" t="n">
        <v>1048889728</v>
      </c>
      <c r="L155" s="83" t="n">
        <v>16388902</v>
      </c>
      <c r="M155" s="83">
        <f>J155-Q155</f>
        <v/>
      </c>
      <c r="N155" s="83">
        <f>K155-R155</f>
        <v/>
      </c>
      <c r="O155" s="517" t="n">
        <v>45101</v>
      </c>
      <c r="P155" s="517" t="n">
        <v>46561</v>
      </c>
      <c r="Q155" s="83" t="n">
        <v>32</v>
      </c>
      <c r="R155" s="84" t="n">
        <v>524444864.0000001</v>
      </c>
      <c r="S155" s="83" t="n">
        <v>0</v>
      </c>
      <c r="T155" s="84" t="n">
        <v>0</v>
      </c>
      <c r="U155" s="83" t="n">
        <v>16</v>
      </c>
      <c r="V155" s="84">
        <f>U155*L155</f>
        <v/>
      </c>
      <c r="W155" s="83">
        <f>Q155+S155-U155</f>
        <v/>
      </c>
      <c r="X155" s="84">
        <f>R155+T155-V155</f>
        <v/>
      </c>
      <c r="Y155" s="85" t="inlineStr">
        <is>
          <t>P221ZZSR01</t>
        </is>
      </c>
      <c r="Z155" s="86" t="inlineStr">
        <is>
          <t>15661</t>
        </is>
      </c>
      <c r="AA155" s="86" t="inlineStr">
        <is>
          <t>33561</t>
        </is>
      </c>
      <c r="AB155" s="86" t="inlineStr">
        <is>
          <t>6277651</t>
        </is>
      </c>
      <c r="AC155" s="87" t="inlineStr">
        <is>
          <t>Series</t>
        </is>
      </c>
      <c r="AD155" s="76">
        <f>COUNTIF('KK1. Movies'!AI:AI,'TK 15661.Bản quyền phim '!F155)</f>
        <v/>
      </c>
      <c r="AE155" s="76">
        <f>COUNTIF('KK2. Series'!AM:AM,'TK 15661.Bản quyền phim '!F155)</f>
        <v/>
      </c>
      <c r="AF155" s="76">
        <f>COUNTIF('KK3. Kids'!AF:AF,'TK 15661.Bản quyền phim '!F155)</f>
        <v/>
      </c>
      <c r="AG155" s="76" t="n"/>
      <c r="AH155" s="76">
        <f>IF(SUM(AD155:AG155)&gt;0,"OK",0)</f>
        <v/>
      </c>
    </row>
    <row r="156" hidden="1" ht="15.6" customHeight="1" s="578">
      <c r="A156" s="30">
        <f>(U156-H156)*L156</f>
        <v/>
      </c>
      <c r="B156" s="74" t="inlineStr">
        <is>
          <t>K+2SER023226</t>
        </is>
      </c>
      <c r="C156" s="708" t="inlineStr">
        <is>
          <t>USD</t>
        </is>
      </c>
      <c r="D156" s="708" t="inlineStr">
        <is>
          <t>S0002250</t>
        </is>
      </c>
      <c r="E156" s="708" t="inlineStr">
        <is>
          <t>SLL Joongang Co., Ltd.</t>
        </is>
      </c>
      <c r="F156" s="708" t="inlineStr">
        <is>
          <t>Miraculous Brothers</t>
        </is>
      </c>
      <c r="G156" s="708" t="inlineStr">
        <is>
          <t>Series Asian</t>
        </is>
      </c>
      <c r="H156" s="83" t="n">
        <v>16</v>
      </c>
      <c r="I156" s="83" t="n">
        <v>4</v>
      </c>
      <c r="J156" s="83">
        <f>H156*I156</f>
        <v/>
      </c>
      <c r="K156" s="83" t="n">
        <v>1510400000</v>
      </c>
      <c r="L156" s="83" t="n">
        <v>23600000</v>
      </c>
      <c r="M156" s="83">
        <f>J156-Q156</f>
        <v/>
      </c>
      <c r="N156" s="83">
        <f>K156-R156</f>
        <v/>
      </c>
      <c r="O156" s="517" t="n">
        <v>45105</v>
      </c>
      <c r="P156" s="517" t="n">
        <v>46565</v>
      </c>
      <c r="Q156" s="83" t="n">
        <v>32</v>
      </c>
      <c r="R156" s="84" t="n">
        <v>755200000</v>
      </c>
      <c r="S156" s="83" t="n">
        <v>0</v>
      </c>
      <c r="T156" s="84" t="n">
        <v>0</v>
      </c>
      <c r="U156" s="83" t="n">
        <v>16</v>
      </c>
      <c r="V156" s="84">
        <f>U156*L156</f>
        <v/>
      </c>
      <c r="W156" s="83">
        <f>Q156+S156-U156</f>
        <v/>
      </c>
      <c r="X156" s="84">
        <f>R156+T156-V156</f>
        <v/>
      </c>
      <c r="Y156" s="85" t="inlineStr">
        <is>
          <t>P221ZZSR01</t>
        </is>
      </c>
      <c r="Z156" s="86" t="inlineStr">
        <is>
          <t>15661</t>
        </is>
      </c>
      <c r="AA156" s="86" t="inlineStr">
        <is>
          <t>33561</t>
        </is>
      </c>
      <c r="AB156" s="86" t="inlineStr">
        <is>
          <t>6277651</t>
        </is>
      </c>
      <c r="AC156" s="87" t="inlineStr">
        <is>
          <t>Series</t>
        </is>
      </c>
      <c r="AD156" s="76">
        <f>COUNTIF('KK1. Movies'!AI:AI,'TK 15661.Bản quyền phim '!F156)</f>
        <v/>
      </c>
      <c r="AE156" s="76">
        <f>COUNTIF('KK2. Series'!AM:AM,'TK 15661.Bản quyền phim '!F156)</f>
        <v/>
      </c>
      <c r="AF156" s="76">
        <f>COUNTIF('KK3. Kids'!AF:AF,'TK 15661.Bản quyền phim '!F156)</f>
        <v/>
      </c>
      <c r="AG156" s="76" t="n"/>
      <c r="AH156" s="76">
        <f>IF(SUM(AD156:AG156)&gt;0,"OK",0)</f>
        <v/>
      </c>
    </row>
    <row r="157" hidden="1" ht="15.6" customHeight="1" s="578">
      <c r="A157" s="30">
        <f>(U157-H157)*L157</f>
        <v/>
      </c>
      <c r="B157" s="74" t="inlineStr">
        <is>
          <t>K+2SER023227</t>
        </is>
      </c>
      <c r="C157" s="708" t="inlineStr">
        <is>
          <t>USD</t>
        </is>
      </c>
      <c r="D157" s="708" t="inlineStr">
        <is>
          <t>SR0051</t>
        </is>
      </c>
      <c r="E157" s="708" t="inlineStr">
        <is>
          <t>YOUHUG MEDIA LIMITED</t>
        </is>
      </c>
      <c r="F157" s="708" t="inlineStr">
        <is>
          <t>My Fireworks on Earth/Fireworks of My Heart (Khói lửa nhân gian của tôi)</t>
        </is>
      </c>
      <c r="G157" s="708" t="inlineStr">
        <is>
          <t>Series Asian</t>
        </is>
      </c>
      <c r="H157" s="83" t="n">
        <v>40</v>
      </c>
      <c r="I157" s="83" t="n">
        <v>5</v>
      </c>
      <c r="J157" s="83">
        <f>H157*I157</f>
        <v/>
      </c>
      <c r="K157" s="83" t="n">
        <v>2832000000</v>
      </c>
      <c r="L157" s="83" t="n">
        <v>14160000</v>
      </c>
      <c r="M157" s="83">
        <f>J157-Q157</f>
        <v/>
      </c>
      <c r="N157" s="83">
        <f>K157-R157</f>
        <v/>
      </c>
      <c r="O157" s="517" t="n">
        <v>45112</v>
      </c>
      <c r="P157" s="517" t="n">
        <v>46938</v>
      </c>
      <c r="Q157" s="83" t="n">
        <v>120</v>
      </c>
      <c r="R157" s="84" t="n">
        <v>1699200000</v>
      </c>
      <c r="S157" s="83" t="n">
        <v>0</v>
      </c>
      <c r="T157" s="84" t="n">
        <v>0</v>
      </c>
      <c r="U157" s="83" t="n">
        <v>40</v>
      </c>
      <c r="V157" s="84">
        <f>U157*L157</f>
        <v/>
      </c>
      <c r="W157" s="83">
        <f>Q157+S157-U157</f>
        <v/>
      </c>
      <c r="X157" s="84">
        <f>R157+T157-V157</f>
        <v/>
      </c>
      <c r="Y157" s="85" t="inlineStr">
        <is>
          <t>P221ZZSR01</t>
        </is>
      </c>
      <c r="Z157" s="86" t="inlineStr">
        <is>
          <t>15661</t>
        </is>
      </c>
      <c r="AA157" s="86" t="inlineStr">
        <is>
          <t>33561</t>
        </is>
      </c>
      <c r="AB157" s="86" t="inlineStr">
        <is>
          <t>6277651</t>
        </is>
      </c>
      <c r="AC157" s="87" t="inlineStr">
        <is>
          <t>Series</t>
        </is>
      </c>
      <c r="AD157" s="76">
        <f>COUNTIF('KK1. Movies'!AI:AI,'TK 15661.Bản quyền phim '!F157)</f>
        <v/>
      </c>
      <c r="AE157" s="76">
        <f>COUNTIF('KK2. Series'!AM:AM,'TK 15661.Bản quyền phim '!F157)</f>
        <v/>
      </c>
      <c r="AF157" s="76">
        <f>COUNTIF('KK3. Kids'!AF:AF,'TK 15661.Bản quyền phim '!F157)</f>
        <v/>
      </c>
      <c r="AG157" s="76" t="n"/>
      <c r="AH157" s="76">
        <f>IF(SUM(AD157:AG157)&gt;0,"OK",0)</f>
        <v/>
      </c>
    </row>
    <row r="158" hidden="1" ht="15.6" customHeight="1" s="578">
      <c r="A158" s="30">
        <f>(U158-H158)*L158</f>
        <v/>
      </c>
      <c r="B158" s="74" t="inlineStr">
        <is>
          <t>K+2SER023231</t>
        </is>
      </c>
      <c r="C158" s="708" t="inlineStr">
        <is>
          <t>USD</t>
        </is>
      </c>
      <c r="D158" s="708" t="inlineStr">
        <is>
          <t>S0002471</t>
        </is>
      </c>
      <c r="E158" s="708" t="inlineStr">
        <is>
          <t>KT StudioGenie Co., Ltd.</t>
        </is>
      </c>
      <c r="F158" s="708" t="inlineStr">
        <is>
          <t>Nemesis</t>
        </is>
      </c>
      <c r="G158" s="708" t="inlineStr">
        <is>
          <t>Series Asian</t>
        </is>
      </c>
      <c r="H158" s="83" t="n">
        <v>3</v>
      </c>
      <c r="I158" s="83" t="n">
        <v>5</v>
      </c>
      <c r="J158" s="83">
        <f>H158*I158</f>
        <v/>
      </c>
      <c r="K158" s="83" t="n">
        <v>107100000</v>
      </c>
      <c r="L158" s="83" t="n">
        <v>7140000</v>
      </c>
      <c r="M158" s="83">
        <f>J158-Q158</f>
        <v/>
      </c>
      <c r="N158" s="83">
        <f>K158-R158</f>
        <v/>
      </c>
      <c r="O158" s="517" t="n">
        <v>45107</v>
      </c>
      <c r="P158" s="517" t="n">
        <v>46933</v>
      </c>
      <c r="Q158" s="83" t="n">
        <v>9</v>
      </c>
      <c r="R158" s="84" t="n">
        <v>64260000</v>
      </c>
      <c r="S158" s="83" t="n">
        <v>0</v>
      </c>
      <c r="T158" s="84" t="n">
        <v>0</v>
      </c>
      <c r="U158" s="83" t="n">
        <v>3</v>
      </c>
      <c r="V158" s="84">
        <f>U158*L158</f>
        <v/>
      </c>
      <c r="W158" s="83">
        <f>Q158+S158-U158</f>
        <v/>
      </c>
      <c r="X158" s="84">
        <f>R158+T158-V158</f>
        <v/>
      </c>
      <c r="Y158" s="85" t="inlineStr">
        <is>
          <t>P221ZZSR01</t>
        </is>
      </c>
      <c r="Z158" s="86" t="inlineStr">
        <is>
          <t>15661</t>
        </is>
      </c>
      <c r="AA158" s="86" t="inlineStr">
        <is>
          <t>33561</t>
        </is>
      </c>
      <c r="AB158" s="86" t="inlineStr">
        <is>
          <t>6277651</t>
        </is>
      </c>
      <c r="AC158" s="87" t="inlineStr">
        <is>
          <t>Series</t>
        </is>
      </c>
      <c r="AD158" s="76">
        <f>COUNTIF('KK1. Movies'!AI:AI,'TK 15661.Bản quyền phim '!F158)</f>
        <v/>
      </c>
      <c r="AE158" s="76">
        <f>COUNTIF('KK2. Series'!AM:AM,'TK 15661.Bản quyền phim '!F158)</f>
        <v/>
      </c>
      <c r="AF158" s="76">
        <f>COUNTIF('KK3. Kids'!AF:AF,'TK 15661.Bản quyền phim '!F158)</f>
        <v/>
      </c>
      <c r="AG158" s="76" t="n"/>
      <c r="AH158" s="76">
        <f>IF(SUM(AD158:AG158)&gt;0,"OK",0)</f>
        <v/>
      </c>
    </row>
    <row r="159" hidden="1" ht="15.6" customHeight="1" s="578">
      <c r="A159" s="30">
        <f>(U159-H159)*L159</f>
        <v/>
      </c>
      <c r="B159" s="74" t="inlineStr">
        <is>
          <t>K+2SER023232</t>
        </is>
      </c>
      <c r="C159" s="708" t="inlineStr">
        <is>
          <t>USD</t>
        </is>
      </c>
      <c r="D159" s="708" t="inlineStr">
        <is>
          <t>S0002471</t>
        </is>
      </c>
      <c r="E159" s="708" t="inlineStr">
        <is>
          <t>KT StudioGenie Co., Ltd.</t>
        </is>
      </c>
      <c r="F159" s="708" t="inlineStr">
        <is>
          <t>Crime Puzzle</t>
        </is>
      </c>
      <c r="G159" s="708" t="inlineStr">
        <is>
          <t>Series Asian</t>
        </is>
      </c>
      <c r="H159" s="83" t="n">
        <v>10</v>
      </c>
      <c r="I159" s="83" t="n">
        <v>5</v>
      </c>
      <c r="J159" s="83">
        <f>H159*I159</f>
        <v/>
      </c>
      <c r="K159" s="83" t="n">
        <v>476000000</v>
      </c>
      <c r="L159" s="83" t="n">
        <v>9520000</v>
      </c>
      <c r="M159" s="83">
        <f>J159-Q159</f>
        <v/>
      </c>
      <c r="N159" s="83">
        <f>K159-R159</f>
        <v/>
      </c>
      <c r="O159" s="517" t="n">
        <v>45107</v>
      </c>
      <c r="P159" s="517" t="n">
        <v>46933</v>
      </c>
      <c r="Q159" s="83" t="n">
        <v>30</v>
      </c>
      <c r="R159" s="84" t="n">
        <v>285600000</v>
      </c>
      <c r="S159" s="83" t="n">
        <v>0</v>
      </c>
      <c r="T159" s="84" t="n">
        <v>0</v>
      </c>
      <c r="U159" s="83" t="n">
        <v>10</v>
      </c>
      <c r="V159" s="84">
        <f>U159*L159</f>
        <v/>
      </c>
      <c r="W159" s="83">
        <f>Q159+S159-U159</f>
        <v/>
      </c>
      <c r="X159" s="84">
        <f>R159+T159-V159</f>
        <v/>
      </c>
      <c r="Y159" s="85" t="inlineStr">
        <is>
          <t>P221ZZSR01</t>
        </is>
      </c>
      <c r="Z159" s="86" t="inlineStr">
        <is>
          <t>15661</t>
        </is>
      </c>
      <c r="AA159" s="86" t="inlineStr">
        <is>
          <t>33561</t>
        </is>
      </c>
      <c r="AB159" s="86" t="inlineStr">
        <is>
          <t>6277651</t>
        </is>
      </c>
      <c r="AC159" s="87" t="inlineStr">
        <is>
          <t>Series</t>
        </is>
      </c>
      <c r="AD159" s="76">
        <f>COUNTIF('KK1. Movies'!AI:AI,'TK 15661.Bản quyền phim '!F159)</f>
        <v/>
      </c>
      <c r="AE159" s="76">
        <f>COUNTIF('KK2. Series'!AM:AM,'TK 15661.Bản quyền phim '!F159)</f>
        <v/>
      </c>
      <c r="AF159" s="76">
        <f>COUNTIF('KK3. Kids'!AF:AF,'TK 15661.Bản quyền phim '!F159)</f>
        <v/>
      </c>
      <c r="AG159" s="76" t="n"/>
      <c r="AH159" s="76">
        <f>IF(SUM(AD159:AG159)&gt;0,"OK",0)</f>
        <v/>
      </c>
    </row>
    <row r="160" hidden="1" ht="15.6" customHeight="1" s="578">
      <c r="A160" s="30">
        <f>(U160-H160)*L160</f>
        <v/>
      </c>
      <c r="B160" s="74" t="inlineStr">
        <is>
          <t>K+1SER023234</t>
        </is>
      </c>
      <c r="C160" s="708" t="inlineStr">
        <is>
          <t>USD</t>
        </is>
      </c>
      <c r="D160" s="708" t="inlineStr">
        <is>
          <t>S0002419</t>
        </is>
      </c>
      <c r="E160" s="708" t="inlineStr">
        <is>
          <t>PCCW Vuclip (Singapore) Pte. Ltd.</t>
        </is>
      </c>
      <c r="F160" s="708" t="inlineStr">
        <is>
          <t>The Escape of the Seven</t>
        </is>
      </c>
      <c r="G160" s="708" t="inlineStr">
        <is>
          <t>Series Asian</t>
        </is>
      </c>
      <c r="H160" s="83" t="n">
        <v>17</v>
      </c>
      <c r="I160" s="83" t="n">
        <v>4</v>
      </c>
      <c r="J160" s="83">
        <f>H160*I160</f>
        <v/>
      </c>
      <c r="K160" s="83" t="n">
        <v>3626666666.666667</v>
      </c>
      <c r="L160" s="83" t="n">
        <v>53333333.33333334</v>
      </c>
      <c r="M160" s="83">
        <f>J160-Q160</f>
        <v/>
      </c>
      <c r="N160" s="83">
        <f>K160-R160</f>
        <v/>
      </c>
      <c r="O160" s="517" t="n">
        <v>45184</v>
      </c>
      <c r="P160" s="517" t="n">
        <v>46644</v>
      </c>
      <c r="Q160" s="83" t="n">
        <v>34</v>
      </c>
      <c r="R160" s="84" t="n">
        <v>1813333333.333333</v>
      </c>
      <c r="S160" s="83" t="n">
        <v>0</v>
      </c>
      <c r="T160" s="84" t="n">
        <v>0</v>
      </c>
      <c r="U160" s="83" t="n">
        <v>17</v>
      </c>
      <c r="V160" s="84">
        <f>U160*L160</f>
        <v/>
      </c>
      <c r="W160" s="83">
        <f>Q160+S160-U160</f>
        <v/>
      </c>
      <c r="X160" s="84">
        <f>R160+T160-V160</f>
        <v/>
      </c>
      <c r="Y160" s="85" t="inlineStr">
        <is>
          <t>P221ZZSR01</t>
        </is>
      </c>
      <c r="Z160" s="86" t="inlineStr">
        <is>
          <t>15661</t>
        </is>
      </c>
      <c r="AA160" s="86" t="inlineStr">
        <is>
          <t>33561</t>
        </is>
      </c>
      <c r="AB160" s="86" t="inlineStr">
        <is>
          <t>6277651</t>
        </is>
      </c>
      <c r="AC160" s="87" t="inlineStr">
        <is>
          <t>Series</t>
        </is>
      </c>
      <c r="AD160" s="76">
        <f>COUNTIF('KK1. Movies'!AI:AI,'TK 15661.Bản quyền phim '!F160)</f>
        <v/>
      </c>
      <c r="AE160" s="76">
        <f>COUNTIF('KK2. Series'!AM:AM,'TK 15661.Bản quyền phim '!F160)</f>
        <v/>
      </c>
      <c r="AF160" s="76">
        <f>COUNTIF('KK3. Kids'!AF:AF,'TK 15661.Bản quyền phim '!F160)</f>
        <v/>
      </c>
      <c r="AG160" s="76" t="n"/>
      <c r="AH160" s="76">
        <f>IF(SUM(AD160:AG160)&gt;0,"OK",0)</f>
        <v/>
      </c>
    </row>
    <row r="161" hidden="1" ht="15.6" customHeight="1" s="578">
      <c r="A161" s="30">
        <f>(U161-H161)*L161</f>
        <v/>
      </c>
      <c r="B161" s="74" t="inlineStr">
        <is>
          <t>K+1SER023235</t>
        </is>
      </c>
      <c r="C161" s="708" t="inlineStr">
        <is>
          <t>USD</t>
        </is>
      </c>
      <c r="D161" s="708" t="inlineStr">
        <is>
          <t>S0002419</t>
        </is>
      </c>
      <c r="E161" s="708" t="inlineStr">
        <is>
          <t>PCCW Vuclip (Singapore) Pte. Ltd.</t>
        </is>
      </c>
      <c r="F161" s="708" t="inlineStr">
        <is>
          <t>The Matchmakers</t>
        </is>
      </c>
      <c r="G161" s="708" t="inlineStr">
        <is>
          <t>Series Asian</t>
        </is>
      </c>
      <c r="H161" s="83" t="n">
        <v>16</v>
      </c>
      <c r="I161" s="83" t="n">
        <v>4</v>
      </c>
      <c r="J161" s="83">
        <f>H161*I161</f>
        <v/>
      </c>
      <c r="K161" s="83" t="n">
        <v>1280000000</v>
      </c>
      <c r="L161" s="83" t="n">
        <v>20000000</v>
      </c>
      <c r="M161" s="83">
        <f>J161-Q161</f>
        <v/>
      </c>
      <c r="N161" s="83">
        <f>K161-R161</f>
        <v/>
      </c>
      <c r="O161" s="517" t="n">
        <v>45229</v>
      </c>
      <c r="P161" s="517" t="n">
        <v>46689</v>
      </c>
      <c r="Q161" s="83" t="n">
        <v>32</v>
      </c>
      <c r="R161" s="84" t="n">
        <v>640000000</v>
      </c>
      <c r="S161" s="83" t="n">
        <v>0</v>
      </c>
      <c r="T161" s="84" t="n">
        <v>0</v>
      </c>
      <c r="U161" s="83" t="n">
        <v>16</v>
      </c>
      <c r="V161" s="84">
        <f>U161*L161</f>
        <v/>
      </c>
      <c r="W161" s="83">
        <f>Q161+S161-U161</f>
        <v/>
      </c>
      <c r="X161" s="84">
        <f>R161+T161-V161</f>
        <v/>
      </c>
      <c r="Y161" s="85" t="inlineStr">
        <is>
          <t>P221ZZSR01</t>
        </is>
      </c>
      <c r="Z161" s="86" t="inlineStr">
        <is>
          <t>15661</t>
        </is>
      </c>
      <c r="AA161" s="86" t="inlineStr">
        <is>
          <t>33561</t>
        </is>
      </c>
      <c r="AB161" s="86" t="inlineStr">
        <is>
          <t>6277651</t>
        </is>
      </c>
      <c r="AC161" s="87" t="inlineStr">
        <is>
          <t>Series</t>
        </is>
      </c>
      <c r="AD161" s="76">
        <f>COUNTIF('KK1. Movies'!AI:AI,'TK 15661.Bản quyền phim '!F161)</f>
        <v/>
      </c>
      <c r="AE161" s="76">
        <f>COUNTIF('KK2. Series'!AM:AM,'TK 15661.Bản quyền phim '!F161)</f>
        <v/>
      </c>
      <c r="AF161" s="76">
        <f>COUNTIF('KK3. Kids'!AF:AF,'TK 15661.Bản quyền phim '!F161)</f>
        <v/>
      </c>
      <c r="AG161" s="76" t="n"/>
      <c r="AH161" s="76">
        <f>IF(SUM(AD161:AG161)&gt;0,"OK",0)</f>
        <v/>
      </c>
    </row>
    <row r="162" hidden="1" s="578">
      <c r="A162" s="32" t="n"/>
      <c r="B162" s="74" t="inlineStr">
        <is>
          <t>K+5KID023236</t>
        </is>
      </c>
      <c r="C162" s="708" t="inlineStr">
        <is>
          <t>USD</t>
        </is>
      </c>
      <c r="D162" s="708" t="inlineStr">
        <is>
          <t>S0002431</t>
        </is>
      </c>
      <c r="E162" s="708" t="inlineStr">
        <is>
          <t>Jetpack Distribution Limited</t>
        </is>
      </c>
      <c r="F162" s="708" t="inlineStr">
        <is>
          <t>Talking Tom &amp; Friends S2</t>
        </is>
      </c>
      <c r="G162" s="708" t="inlineStr">
        <is>
          <t>KIDS</t>
        </is>
      </c>
      <c r="H162" s="83" t="n">
        <v>26</v>
      </c>
      <c r="I162" s="83" t="n">
        <v>3</v>
      </c>
      <c r="J162" s="83">
        <f>H162*I162</f>
        <v/>
      </c>
      <c r="K162" s="83" t="n">
        <v>93600000</v>
      </c>
      <c r="L162" s="83" t="n">
        <v>1200000</v>
      </c>
      <c r="M162" s="83">
        <f>J162-Q162</f>
        <v/>
      </c>
      <c r="N162" s="83">
        <f>K162-R162</f>
        <v/>
      </c>
      <c r="O162" s="517" t="n">
        <v>45261</v>
      </c>
      <c r="P162" s="517" t="n">
        <v>46356</v>
      </c>
      <c r="Q162" s="83" t="n">
        <v>26</v>
      </c>
      <c r="R162" s="84" t="n">
        <v>31200000</v>
      </c>
      <c r="S162" s="83" t="n">
        <v>0</v>
      </c>
      <c r="T162" s="84" t="n">
        <v>0</v>
      </c>
      <c r="U162" s="83" t="n">
        <v>26</v>
      </c>
      <c r="V162" s="84">
        <f>U162*L162</f>
        <v/>
      </c>
      <c r="W162" s="83">
        <f>Q162+S162-U162</f>
        <v/>
      </c>
      <c r="X162" s="84">
        <f>R162+T162-V162</f>
        <v/>
      </c>
      <c r="Y162" s="85" t="inlineStr">
        <is>
          <t>P221ZZKI01</t>
        </is>
      </c>
      <c r="Z162" s="86" t="inlineStr">
        <is>
          <t>15661</t>
        </is>
      </c>
      <c r="AA162" s="86" t="inlineStr">
        <is>
          <t>33561</t>
        </is>
      </c>
      <c r="AB162" s="86" t="inlineStr">
        <is>
          <t>6277651</t>
        </is>
      </c>
      <c r="AC162" s="86" t="inlineStr">
        <is>
          <t>Kids</t>
        </is>
      </c>
      <c r="AD162" s="76">
        <f>COUNTIF('KK1. Movies'!AI:AI,'TK 15661.Bản quyền phim '!F162)</f>
        <v/>
      </c>
      <c r="AE162" s="76">
        <f>COUNTIF('KK2. Series'!AM:AM,'TK 15661.Bản quyền phim '!F162)</f>
        <v/>
      </c>
      <c r="AF162" s="76">
        <f>COUNTIF('KK3. Kids'!AF:AF,'TK 15661.Bản quyền phim '!F162)</f>
        <v/>
      </c>
      <c r="AG162" s="76" t="n"/>
      <c r="AH162" s="76">
        <f>IF(SUM(AD162:AG162)&gt;0,"OK",0)</f>
        <v/>
      </c>
    </row>
    <row r="163" hidden="1" s="578">
      <c r="A163" s="32" t="n"/>
      <c r="B163" s="74" t="inlineStr">
        <is>
          <t>K+5KID023237</t>
        </is>
      </c>
      <c r="C163" s="708" t="inlineStr">
        <is>
          <t>USD</t>
        </is>
      </c>
      <c r="D163" s="708" t="inlineStr">
        <is>
          <t>S0002431</t>
        </is>
      </c>
      <c r="E163" s="708" t="inlineStr">
        <is>
          <t>Jetpack Distribution Limited</t>
        </is>
      </c>
      <c r="F163" s="708" t="inlineStr">
        <is>
          <t>Talking Tom &amp; Friends S3</t>
        </is>
      </c>
      <c r="G163" s="708" t="inlineStr">
        <is>
          <t>KIDS</t>
        </is>
      </c>
      <c r="H163" s="83" t="n">
        <v>26</v>
      </c>
      <c r="I163" s="83" t="n">
        <v>3</v>
      </c>
      <c r="J163" s="83">
        <f>H163*I163</f>
        <v/>
      </c>
      <c r="K163" s="83" t="n">
        <v>93600000</v>
      </c>
      <c r="L163" s="83" t="n">
        <v>1200000</v>
      </c>
      <c r="M163" s="83">
        <f>J163-Q163</f>
        <v/>
      </c>
      <c r="N163" s="83">
        <f>K163-R163</f>
        <v/>
      </c>
      <c r="O163" s="517" t="n">
        <v>45261</v>
      </c>
      <c r="P163" s="517" t="n">
        <v>46356</v>
      </c>
      <c r="Q163" s="83" t="n">
        <v>26</v>
      </c>
      <c r="R163" s="84" t="n">
        <v>31200000</v>
      </c>
      <c r="S163" s="83" t="n">
        <v>0</v>
      </c>
      <c r="T163" s="84" t="n">
        <v>0</v>
      </c>
      <c r="U163" s="83" t="n">
        <v>26</v>
      </c>
      <c r="V163" s="84">
        <f>U163*L163</f>
        <v/>
      </c>
      <c r="W163" s="83">
        <f>Q163+S163-U163</f>
        <v/>
      </c>
      <c r="X163" s="84">
        <f>R163+T163-V163</f>
        <v/>
      </c>
      <c r="Y163" s="85" t="inlineStr">
        <is>
          <t>P221ZZKI01</t>
        </is>
      </c>
      <c r="Z163" s="86" t="inlineStr">
        <is>
          <t>15661</t>
        </is>
      </c>
      <c r="AA163" s="86" t="inlineStr">
        <is>
          <t>33561</t>
        </is>
      </c>
      <c r="AB163" s="86" t="inlineStr">
        <is>
          <t>6277651</t>
        </is>
      </c>
      <c r="AC163" s="86" t="inlineStr">
        <is>
          <t>Kids</t>
        </is>
      </c>
      <c r="AD163" s="76">
        <f>COUNTIF('KK1. Movies'!AI:AI,'TK 15661.Bản quyền phim '!F163)</f>
        <v/>
      </c>
      <c r="AE163" s="76">
        <f>COUNTIF('KK2. Series'!AM:AM,'TK 15661.Bản quyền phim '!F163)</f>
        <v/>
      </c>
      <c r="AF163" s="76">
        <f>COUNTIF('KK3. Kids'!AF:AF,'TK 15661.Bản quyền phim '!F163)</f>
        <v/>
      </c>
      <c r="AG163" s="76" t="n"/>
      <c r="AH163" s="76">
        <f>IF(SUM(AD163:AG163)&gt;0,"OK",0)</f>
        <v/>
      </c>
    </row>
    <row r="164">
      <c r="A164" s="32" t="n"/>
      <c r="B164" s="74" t="inlineStr">
        <is>
          <t>K+5KID023238</t>
        </is>
      </c>
      <c r="C164" s="708" t="inlineStr">
        <is>
          <t>USD</t>
        </is>
      </c>
      <c r="D164" s="708" t="inlineStr">
        <is>
          <t>S0002484</t>
        </is>
      </c>
      <c r="E164" s="708" t="inlineStr">
        <is>
          <t>GULLANE (THOMAS) LIMITED</t>
        </is>
      </c>
      <c r="F164" s="708" t="inlineStr">
        <is>
          <t>Thomas &amp; Friends Series 25</t>
        </is>
      </c>
      <c r="G164" s="708" t="inlineStr">
        <is>
          <t>KIDS</t>
        </is>
      </c>
      <c r="H164" s="83" t="n">
        <v>52</v>
      </c>
      <c r="I164" s="83" t="n">
        <v>3</v>
      </c>
      <c r="J164" s="83">
        <f>H164*I164</f>
        <v/>
      </c>
      <c r="K164" s="83" t="n">
        <v>247416000</v>
      </c>
      <c r="L164" s="83" t="n">
        <v>1586000</v>
      </c>
      <c r="M164" s="83">
        <f>J164-Q164</f>
        <v/>
      </c>
      <c r="N164" s="83">
        <f>K164-R164</f>
        <v/>
      </c>
      <c r="O164" s="517" t="n">
        <v>45200</v>
      </c>
      <c r="P164" s="517" t="n">
        <v>46295</v>
      </c>
      <c r="Q164" s="83" t="n">
        <v>52</v>
      </c>
      <c r="R164" s="84" t="n">
        <v>82472000</v>
      </c>
      <c r="S164" s="83" t="n">
        <v>0</v>
      </c>
      <c r="T164" s="84" t="n">
        <v>0</v>
      </c>
      <c r="U164" s="83" t="n">
        <v>52</v>
      </c>
      <c r="V164" s="84">
        <f>U164*L164</f>
        <v/>
      </c>
      <c r="W164" s="83">
        <f>Q164+S164-U164</f>
        <v/>
      </c>
      <c r="X164" s="84">
        <f>R164+T164-V164</f>
        <v/>
      </c>
      <c r="Y164" s="85" t="inlineStr">
        <is>
          <t>P221ZZKI01</t>
        </is>
      </c>
      <c r="Z164" s="86" t="inlineStr">
        <is>
          <t>15661</t>
        </is>
      </c>
      <c r="AA164" s="86" t="inlineStr">
        <is>
          <t>33561</t>
        </is>
      </c>
      <c r="AB164" s="86" t="inlineStr">
        <is>
          <t>6277651</t>
        </is>
      </c>
      <c r="AC164" s="86" t="inlineStr">
        <is>
          <t>Kids</t>
        </is>
      </c>
      <c r="AD164" s="76">
        <f>COUNTIF('KK1. Movies'!AI:AI,'TK 15661.Bản quyền phim '!F164)</f>
        <v/>
      </c>
      <c r="AE164" s="76">
        <f>COUNTIF('KK2. Series'!AM:AM,'TK 15661.Bản quyền phim '!F164)</f>
        <v/>
      </c>
      <c r="AF164" s="76">
        <f>COUNTIF('KK3. Kids'!AF:AF,'TK 15661.Bản quyền phim '!F164)</f>
        <v/>
      </c>
      <c r="AG164" s="76" t="n"/>
      <c r="AH164" s="76">
        <f>IF(SUM(AD164:AG164)&gt;0,"OK",0)</f>
        <v/>
      </c>
    </row>
    <row r="165" hidden="1" s="578">
      <c r="A165" s="30">
        <f>(U165-H165)*L165</f>
        <v/>
      </c>
      <c r="B165" s="74" t="inlineStr">
        <is>
          <t>K+5KID023239</t>
        </is>
      </c>
      <c r="C165" s="708" t="inlineStr">
        <is>
          <t>USD</t>
        </is>
      </c>
      <c r="D165" s="708" t="inlineStr">
        <is>
          <t>S0002484</t>
        </is>
      </c>
      <c r="E165" s="708" t="inlineStr">
        <is>
          <t>GULLANE (THOMAS) LIMITED</t>
        </is>
      </c>
      <c r="F165" s="708" t="inlineStr">
        <is>
          <t>Thomas &amp; Friends Series 25 Special – Race for the Sodor Cup</t>
        </is>
      </c>
      <c r="G165" s="708" t="inlineStr">
        <is>
          <t>KIDS</t>
        </is>
      </c>
      <c r="H165" s="83" t="n">
        <v>1</v>
      </c>
      <c r="I165" s="83" t="n">
        <v>3</v>
      </c>
      <c r="J165" s="83">
        <f>H165*I165</f>
        <v/>
      </c>
      <c r="K165" s="83" t="n">
        <v>25864000</v>
      </c>
      <c r="L165" s="83" t="n">
        <v>8621333.333333332</v>
      </c>
      <c r="M165" s="83">
        <f>J165-Q165</f>
        <v/>
      </c>
      <c r="N165" s="83">
        <f>K165-R165</f>
        <v/>
      </c>
      <c r="O165" s="517" t="n">
        <v>45200</v>
      </c>
      <c r="P165" s="517" t="n">
        <v>46295</v>
      </c>
      <c r="Q165" s="83" t="n">
        <v>1</v>
      </c>
      <c r="R165" s="84" t="n">
        <v>8621333.333333336</v>
      </c>
      <c r="S165" s="83" t="n">
        <v>0</v>
      </c>
      <c r="T165" s="84" t="n">
        <v>0</v>
      </c>
      <c r="U165" s="83" t="n">
        <v>1</v>
      </c>
      <c r="V165" s="84">
        <f>U165*L165</f>
        <v/>
      </c>
      <c r="W165" s="83">
        <f>Q165+S165-U165</f>
        <v/>
      </c>
      <c r="X165" s="84">
        <f>R165+T165-V165</f>
        <v/>
      </c>
      <c r="Y165" s="85" t="inlineStr">
        <is>
          <t>P221ZZKI01</t>
        </is>
      </c>
      <c r="Z165" s="86" t="inlineStr">
        <is>
          <t>15661</t>
        </is>
      </c>
      <c r="AA165" s="86" t="inlineStr">
        <is>
          <t>33561</t>
        </is>
      </c>
      <c r="AB165" s="86" t="inlineStr">
        <is>
          <t>6277651</t>
        </is>
      </c>
      <c r="AC165" s="86" t="n"/>
      <c r="AD165" s="76">
        <f>COUNTIF('KK1. Movies'!AI:AI,'TK 15661.Bản quyền phim '!F165)</f>
        <v/>
      </c>
      <c r="AE165" s="76">
        <f>COUNTIF('KK2. Series'!AM:AM,'TK 15661.Bản quyền phim '!F165)</f>
        <v/>
      </c>
      <c r="AF165" s="76">
        <f>COUNTIF('KK3. Kids'!AF:AF,'TK 15661.Bản quyền phim '!F165)</f>
        <v/>
      </c>
      <c r="AG165" s="76" t="n"/>
      <c r="AH165" s="76">
        <f>IF(SUM(AD165:AG165)&gt;0,"OK",0)</f>
        <v/>
      </c>
    </row>
    <row r="166" hidden="1" ht="15.6" customHeight="1" s="578">
      <c r="A166" s="30">
        <f>(U166-H166)*L166</f>
        <v/>
      </c>
      <c r="B166" s="74" t="inlineStr">
        <is>
          <t>K+2SER023240</t>
        </is>
      </c>
      <c r="C166" s="708" t="inlineStr">
        <is>
          <t>USD</t>
        </is>
      </c>
      <c r="D166" s="708" t="inlineStr">
        <is>
          <t>S0002490</t>
        </is>
      </c>
      <c r="E166" s="708" t="inlineStr">
        <is>
          <t>China Huace Global Media Co., Ltd.</t>
        </is>
      </c>
      <c r="F166" s="708" t="inlineStr">
        <is>
          <t>ONLY FOR LOVE (TRÊU NHẦM YÊU THẬT)</t>
        </is>
      </c>
      <c r="G166" s="708" t="inlineStr">
        <is>
          <t>Series Asian</t>
        </is>
      </c>
      <c r="H166" s="83" t="n">
        <v>36</v>
      </c>
      <c r="I166" s="83" t="n">
        <v>5</v>
      </c>
      <c r="J166" s="83">
        <f>H166*I166</f>
        <v/>
      </c>
      <c r="K166" s="83" t="n">
        <v>3416000000</v>
      </c>
      <c r="L166" s="83" t="n">
        <v>18977777.77777778</v>
      </c>
      <c r="M166" s="83">
        <f>J166-Q166</f>
        <v/>
      </c>
      <c r="N166" s="83">
        <f>K166-R166</f>
        <v/>
      </c>
      <c r="O166" s="517" t="n">
        <v>45233</v>
      </c>
      <c r="P166" s="517" t="n">
        <v>47059</v>
      </c>
      <c r="Q166" s="83" t="n">
        <v>108</v>
      </c>
      <c r="R166" s="84" t="n">
        <v>2049600000</v>
      </c>
      <c r="S166" s="83" t="n">
        <v>0</v>
      </c>
      <c r="T166" s="84" t="n">
        <v>0</v>
      </c>
      <c r="U166" s="83" t="n">
        <v>36</v>
      </c>
      <c r="V166" s="84">
        <f>U166*L166</f>
        <v/>
      </c>
      <c r="W166" s="83">
        <f>Q166+S166-U166</f>
        <v/>
      </c>
      <c r="X166" s="84">
        <f>R166+T166-V166</f>
        <v/>
      </c>
      <c r="Y166" s="85" t="inlineStr">
        <is>
          <t>P221ZZSR01</t>
        </is>
      </c>
      <c r="Z166" s="86" t="inlineStr">
        <is>
          <t>15661</t>
        </is>
      </c>
      <c r="AA166" s="86" t="inlineStr">
        <is>
          <t>33561</t>
        </is>
      </c>
      <c r="AB166" s="86" t="inlineStr">
        <is>
          <t>6277651</t>
        </is>
      </c>
      <c r="AC166" s="87" t="inlineStr">
        <is>
          <t>Series</t>
        </is>
      </c>
      <c r="AD166" s="76">
        <f>COUNTIF('KK1. Movies'!AI:AI,'TK 15661.Bản quyền phim '!F166)</f>
        <v/>
      </c>
      <c r="AE166" s="76">
        <f>COUNTIF('KK2. Series'!AM:AM,'TK 15661.Bản quyền phim '!F166)</f>
        <v/>
      </c>
      <c r="AF166" s="76">
        <f>COUNTIF('KK3. Kids'!AF:AF,'TK 15661.Bản quyền phim '!F166)</f>
        <v/>
      </c>
      <c r="AG166" s="76" t="n"/>
      <c r="AH166" s="76">
        <f>IF(SUM(AD166:AG166)&gt;0,"OK",0)</f>
        <v/>
      </c>
    </row>
    <row r="167" hidden="1" ht="15.6" customHeight="1" s="578">
      <c r="A167" s="30">
        <f>(U167-H167)*L167</f>
        <v/>
      </c>
      <c r="B167" s="74" t="inlineStr">
        <is>
          <t>K+2SER023241</t>
        </is>
      </c>
      <c r="C167" s="708" t="inlineStr">
        <is>
          <t>USD</t>
        </is>
      </c>
      <c r="D167" s="708" t="inlineStr">
        <is>
          <t>S0002495</t>
        </is>
      </c>
      <c r="E167" s="708" t="inlineStr">
        <is>
          <t>LG Uplus Corporation</t>
        </is>
      </c>
      <c r="F167" s="708" t="inlineStr">
        <is>
          <t>Night has come</t>
        </is>
      </c>
      <c r="G167" s="708" t="inlineStr">
        <is>
          <t>Series Asian</t>
        </is>
      </c>
      <c r="H167" s="83" t="n">
        <v>12</v>
      </c>
      <c r="I167" s="83" t="n">
        <v>4</v>
      </c>
      <c r="J167" s="83">
        <f>H167*I167</f>
        <v/>
      </c>
      <c r="K167" s="83" t="n">
        <v>439200000</v>
      </c>
      <c r="L167" s="83" t="n">
        <v>9150000</v>
      </c>
      <c r="M167" s="83">
        <f>J167-Q167</f>
        <v/>
      </c>
      <c r="N167" s="83">
        <f>K167-R167</f>
        <v/>
      </c>
      <c r="O167" s="517" t="n">
        <v>45264</v>
      </c>
      <c r="P167" s="517" t="n">
        <v>46724</v>
      </c>
      <c r="Q167" s="83" t="n">
        <v>24</v>
      </c>
      <c r="R167" s="84" t="n">
        <v>219600000</v>
      </c>
      <c r="S167" s="83" t="n">
        <v>0</v>
      </c>
      <c r="T167" s="84" t="n">
        <v>0</v>
      </c>
      <c r="U167" s="83" t="n">
        <v>12</v>
      </c>
      <c r="V167" s="84">
        <f>U167*L167</f>
        <v/>
      </c>
      <c r="W167" s="83">
        <f>Q167+S167-U167</f>
        <v/>
      </c>
      <c r="X167" s="84">
        <f>R167+T167-V167</f>
        <v/>
      </c>
      <c r="Y167" s="85" t="inlineStr">
        <is>
          <t>P221ZZSR01</t>
        </is>
      </c>
      <c r="Z167" s="86" t="inlineStr">
        <is>
          <t>15661</t>
        </is>
      </c>
      <c r="AA167" s="86" t="inlineStr">
        <is>
          <t>33561</t>
        </is>
      </c>
      <c r="AB167" s="86" t="inlineStr">
        <is>
          <t>6277651</t>
        </is>
      </c>
      <c r="AC167" s="87" t="inlineStr">
        <is>
          <t>Series</t>
        </is>
      </c>
      <c r="AD167" s="76">
        <f>COUNTIF('KK1. Movies'!AI:AI,'TK 15661.Bản quyền phim '!F167)</f>
        <v/>
      </c>
      <c r="AE167" s="76">
        <f>COUNTIF('KK2. Series'!AM:AM,'TK 15661.Bản quyền phim '!F167)</f>
        <v/>
      </c>
      <c r="AF167" s="76">
        <f>COUNTIF('KK3. Kids'!AF:AF,'TK 15661.Bản quyền phim '!F167)</f>
        <v/>
      </c>
      <c r="AG167" s="76" t="n"/>
      <c r="AH167" s="76">
        <f>IF(SUM(AD167:AG167)&gt;0,"OK",0)</f>
        <v/>
      </c>
    </row>
    <row r="168" hidden="1" ht="15.6" customHeight="1" s="578">
      <c r="A168" s="30">
        <f>(U168-H168)*L168</f>
        <v/>
      </c>
      <c r="B168" s="74" t="inlineStr">
        <is>
          <t>K+1SER023242</t>
        </is>
      </c>
      <c r="C168" s="708" t="inlineStr">
        <is>
          <t>USD</t>
        </is>
      </c>
      <c r="D168" s="708" t="inlineStr">
        <is>
          <t>S0002505</t>
        </is>
      </c>
      <c r="E168" s="708" t="inlineStr">
        <is>
          <t>Linmon Media International Co., Limited</t>
        </is>
      </c>
      <c r="F168" s="708" t="inlineStr">
        <is>
          <t>A JOURNEY TO LOVE (Nhất niệm quan sơn)</t>
        </is>
      </c>
      <c r="G168" s="708" t="inlineStr">
        <is>
          <t>Series Asian</t>
        </is>
      </c>
      <c r="H168" s="83" t="n">
        <v>40</v>
      </c>
      <c r="I168" s="83" t="n">
        <v>5</v>
      </c>
      <c r="J168" s="83">
        <f>H168*I168</f>
        <v/>
      </c>
      <c r="K168" s="83" t="n">
        <v>1952000000</v>
      </c>
      <c r="L168" s="83" t="n">
        <v>9760000</v>
      </c>
      <c r="M168" s="83">
        <f>J168-Q168</f>
        <v/>
      </c>
      <c r="N168" s="83">
        <f>K168-R168</f>
        <v/>
      </c>
      <c r="O168" s="517" t="n">
        <v>45287</v>
      </c>
      <c r="P168" s="517" t="n">
        <v>47113</v>
      </c>
      <c r="Q168" s="83" t="n">
        <v>160</v>
      </c>
      <c r="R168" s="84" t="n">
        <v>1561600000</v>
      </c>
      <c r="S168" s="83" t="n">
        <v>0</v>
      </c>
      <c r="T168" s="84" t="n">
        <v>0</v>
      </c>
      <c r="U168" s="83" t="n">
        <v>40</v>
      </c>
      <c r="V168" s="84">
        <f>U168*L168</f>
        <v/>
      </c>
      <c r="W168" s="83">
        <f>Q168+S168-U168</f>
        <v/>
      </c>
      <c r="X168" s="84">
        <f>R168+T168-V168</f>
        <v/>
      </c>
      <c r="Y168" s="85" t="inlineStr">
        <is>
          <t>P221ZZSR01</t>
        </is>
      </c>
      <c r="Z168" s="86" t="inlineStr">
        <is>
          <t>15661</t>
        </is>
      </c>
      <c r="AA168" s="86" t="inlineStr">
        <is>
          <t>33561</t>
        </is>
      </c>
      <c r="AB168" s="86" t="inlineStr">
        <is>
          <t>6277651</t>
        </is>
      </c>
      <c r="AC168" s="87" t="inlineStr">
        <is>
          <t>Series</t>
        </is>
      </c>
      <c r="AD168" s="76">
        <f>COUNTIF('KK1. Movies'!AI:AI,'TK 15661.Bản quyền phim '!F168)</f>
        <v/>
      </c>
      <c r="AE168" s="76">
        <f>COUNTIF('KK2. Series'!AM:AM,'TK 15661.Bản quyền phim '!F168)</f>
        <v/>
      </c>
      <c r="AF168" s="76">
        <f>COUNTIF('KK3. Kids'!AF:AF,'TK 15661.Bản quyền phim '!F168)</f>
        <v/>
      </c>
      <c r="AG168" s="76" t="n"/>
      <c r="AH168" s="76">
        <f>IF(SUM(AD168:AG168)&gt;0,"OK",0)</f>
        <v/>
      </c>
    </row>
    <row r="169" hidden="1" ht="15.6" customHeight="1" s="578">
      <c r="A169" s="27" t="n"/>
      <c r="B169" s="74" t="inlineStr">
        <is>
          <t>K+5MOV024001</t>
        </is>
      </c>
      <c r="C169" s="708" t="inlineStr">
        <is>
          <t>VND</t>
        </is>
      </c>
      <c r="D169" s="708" t="inlineStr">
        <is>
          <t>S0002248</t>
        </is>
      </c>
      <c r="E169" s="708" t="inlineStr">
        <is>
          <t>Công ty TNHH giải trí CJ HK</t>
        </is>
      </c>
      <c r="F169" s="708" t="inlineStr">
        <is>
          <t>ARGONUTS (CHUỘT NHÍ VÀ SỨ MỆNH THẦN BIỂN)</t>
        </is>
      </c>
      <c r="G169" s="708" t="inlineStr">
        <is>
          <t>Movies International</t>
        </is>
      </c>
      <c r="H169" s="83" t="n">
        <v>1</v>
      </c>
      <c r="I169" s="83" t="n">
        <v>3</v>
      </c>
      <c r="J169" s="83">
        <f>H169*I169</f>
        <v/>
      </c>
      <c r="K169" s="83" t="n">
        <v>95238095</v>
      </c>
      <c r="L169" s="83" t="n">
        <v>31746031.66666667</v>
      </c>
      <c r="M169" s="83">
        <f>J169-Q169</f>
        <v/>
      </c>
      <c r="N169" s="83">
        <f>K169-R169</f>
        <v/>
      </c>
      <c r="O169" s="517" t="n">
        <v>45318</v>
      </c>
      <c r="P169" s="517" t="n">
        <v>46403</v>
      </c>
      <c r="Q169" s="83" t="n">
        <v>2</v>
      </c>
      <c r="R169" s="84" t="n">
        <v>63492063.33333333</v>
      </c>
      <c r="S169" s="83" t="n">
        <v>0</v>
      </c>
      <c r="T169" s="84" t="n">
        <v>0</v>
      </c>
      <c r="U169" s="83" t="n">
        <v>1</v>
      </c>
      <c r="V169" s="84">
        <f>U169*L169</f>
        <v/>
      </c>
      <c r="W169" s="83">
        <f>Q169+S169-U169</f>
        <v/>
      </c>
      <c r="X169" s="84">
        <f>R169+T169-V169</f>
        <v/>
      </c>
      <c r="Y169" s="85" t="inlineStr">
        <is>
          <t>P221ZZMO01</t>
        </is>
      </c>
      <c r="Z169" s="86" t="inlineStr">
        <is>
          <t>15661</t>
        </is>
      </c>
      <c r="AA169" s="86" t="inlineStr">
        <is>
          <t>33561</t>
        </is>
      </c>
      <c r="AB169" s="86" t="inlineStr">
        <is>
          <t>6277651</t>
        </is>
      </c>
      <c r="AC169" s="87" t="inlineStr">
        <is>
          <t>Movies</t>
        </is>
      </c>
      <c r="AD169" s="76">
        <f>COUNTIF('KK1. Movies'!AI:AI,'TK 15661.Bản quyền phim '!F169)</f>
        <v/>
      </c>
      <c r="AE169" s="76">
        <f>COUNTIF('KK2. Series'!AM:AM,'TK 15661.Bản quyền phim '!F169)</f>
        <v/>
      </c>
      <c r="AF169" s="76">
        <f>COUNTIF('KK3. Kids'!AF:AF,'TK 15661.Bản quyền phim '!F169)</f>
        <v/>
      </c>
      <c r="AG169" s="76" t="n"/>
      <c r="AH169" s="76">
        <f>IF(SUM(AD169:AG169)&gt;0,"OK",0)</f>
        <v/>
      </c>
    </row>
    <row r="170" hidden="1" ht="15.6" customHeight="1" s="578">
      <c r="A170" s="27" t="n"/>
      <c r="B170" s="74" t="inlineStr">
        <is>
          <t>K+5MOV024002</t>
        </is>
      </c>
      <c r="C170" s="708" t="inlineStr">
        <is>
          <t>VND</t>
        </is>
      </c>
      <c r="D170" s="708" t="inlineStr">
        <is>
          <t>S0002248</t>
        </is>
      </c>
      <c r="E170" s="708" t="inlineStr">
        <is>
          <t>Công ty TNHH giải trí CJ HK</t>
        </is>
      </c>
      <c r="F170" s="708" t="inlineStr">
        <is>
          <t>AROUND THE WORLD IN 80 DAYS (KHỈ CON LON TON THẾ GIỚI)</t>
        </is>
      </c>
      <c r="G170" s="708" t="inlineStr">
        <is>
          <t>Movies International</t>
        </is>
      </c>
      <c r="H170" s="83" t="n">
        <v>1</v>
      </c>
      <c r="I170" s="83" t="n">
        <v>3</v>
      </c>
      <c r="J170" s="83">
        <f>H170*I170</f>
        <v/>
      </c>
      <c r="K170" s="83" t="n">
        <v>57142857</v>
      </c>
      <c r="L170" s="83" t="n">
        <v>19047619</v>
      </c>
      <c r="M170" s="83">
        <f>J170-Q170</f>
        <v/>
      </c>
      <c r="N170" s="83">
        <f>K170-R170</f>
        <v/>
      </c>
      <c r="O170" s="517" t="n">
        <v>45304</v>
      </c>
      <c r="P170" s="517" t="n">
        <v>46399</v>
      </c>
      <c r="Q170" s="83" t="n">
        <v>2</v>
      </c>
      <c r="R170" s="84" t="n">
        <v>38095238</v>
      </c>
      <c r="S170" s="83" t="n">
        <v>0</v>
      </c>
      <c r="T170" s="84" t="n">
        <v>0</v>
      </c>
      <c r="U170" s="83" t="n">
        <v>1</v>
      </c>
      <c r="V170" s="84">
        <f>U170*L170</f>
        <v/>
      </c>
      <c r="W170" s="83">
        <f>Q170+S170-U170</f>
        <v/>
      </c>
      <c r="X170" s="84">
        <f>R170+T170-V170</f>
        <v/>
      </c>
      <c r="Y170" s="85" t="inlineStr">
        <is>
          <t>P221ZZMO01</t>
        </is>
      </c>
      <c r="Z170" s="86" t="inlineStr">
        <is>
          <t>15661</t>
        </is>
      </c>
      <c r="AA170" s="86" t="inlineStr">
        <is>
          <t>33561</t>
        </is>
      </c>
      <c r="AB170" s="86" t="inlineStr">
        <is>
          <t>6277651</t>
        </is>
      </c>
      <c r="AC170" s="87" t="inlineStr">
        <is>
          <t>Movies</t>
        </is>
      </c>
      <c r="AD170" s="76">
        <f>COUNTIF('KK1. Movies'!AI:AI,'TK 15661.Bản quyền phim '!F170)</f>
        <v/>
      </c>
      <c r="AE170" s="76">
        <f>COUNTIF('KK2. Series'!AM:AM,'TK 15661.Bản quyền phim '!F170)</f>
        <v/>
      </c>
      <c r="AF170" s="76">
        <f>COUNTIF('KK3. Kids'!AF:AF,'TK 15661.Bản quyền phim '!F170)</f>
        <v/>
      </c>
      <c r="AG170" s="76" t="n"/>
      <c r="AH170" s="76">
        <f>IF(SUM(AD170:AG170)&gt;0,"OK",0)</f>
        <v/>
      </c>
    </row>
    <row r="171" hidden="1" ht="15.6" customHeight="1" s="578">
      <c r="A171" s="27" t="n"/>
      <c r="B171" s="74" t="inlineStr">
        <is>
          <t>K+1MOV024003</t>
        </is>
      </c>
      <c r="C171" s="708" t="inlineStr">
        <is>
          <t>VND</t>
        </is>
      </c>
      <c r="D171" s="708" t="inlineStr">
        <is>
          <t>S0002248</t>
        </is>
      </c>
      <c r="E171" s="708" t="inlineStr">
        <is>
          <t>Công ty TNHH giải trí CJ HK</t>
        </is>
      </c>
      <c r="F171" s="708" t="inlineStr">
        <is>
          <t>BEAR MAN (ĐẦU GẤU ĐỤNG ĐẦU ĐẤT)</t>
        </is>
      </c>
      <c r="G171" s="708" t="inlineStr">
        <is>
          <t>Movies International</t>
        </is>
      </c>
      <c r="H171" s="83" t="n">
        <v>1</v>
      </c>
      <c r="I171" s="83" t="n">
        <v>3</v>
      </c>
      <c r="J171" s="83">
        <f>H171*I171</f>
        <v/>
      </c>
      <c r="K171" s="83" t="n">
        <v>104761905</v>
      </c>
      <c r="L171" s="83" t="n">
        <v>34920635</v>
      </c>
      <c r="M171" s="83">
        <f>J171-Q171</f>
        <v/>
      </c>
      <c r="N171" s="83">
        <f>K171-R171</f>
        <v/>
      </c>
      <c r="O171" s="517" t="n">
        <v>45518</v>
      </c>
      <c r="P171" s="517" t="n">
        <v>46612</v>
      </c>
      <c r="Q171" s="83" t="n">
        <v>2</v>
      </c>
      <c r="R171" s="84" t="n">
        <v>69841270</v>
      </c>
      <c r="S171" s="83" t="n">
        <v>0</v>
      </c>
      <c r="T171" s="84" t="n">
        <v>0</v>
      </c>
      <c r="U171" s="83" t="n">
        <v>1</v>
      </c>
      <c r="V171" s="84">
        <f>U171*L171</f>
        <v/>
      </c>
      <c r="W171" s="83">
        <f>Q171+S171-U171</f>
        <v/>
      </c>
      <c r="X171" s="84">
        <f>R171+T171-V171</f>
        <v/>
      </c>
      <c r="Y171" s="85" t="inlineStr">
        <is>
          <t>P221ZZMO01</t>
        </is>
      </c>
      <c r="Z171" s="86" t="inlineStr">
        <is>
          <t>15661</t>
        </is>
      </c>
      <c r="AA171" s="86" t="inlineStr">
        <is>
          <t>33561</t>
        </is>
      </c>
      <c r="AB171" s="86" t="inlineStr">
        <is>
          <t>6277651</t>
        </is>
      </c>
      <c r="AC171" s="87" t="inlineStr">
        <is>
          <t>Movies</t>
        </is>
      </c>
      <c r="AD171" s="76">
        <f>COUNTIF('KK1. Movies'!AI:AI,'TK 15661.Bản quyền phim '!F171)</f>
        <v/>
      </c>
      <c r="AE171" s="76">
        <f>COUNTIF('KK2. Series'!AM:AM,'TK 15661.Bản quyền phim '!F171)</f>
        <v/>
      </c>
      <c r="AF171" s="76">
        <f>COUNTIF('KK3. Kids'!AF:AF,'TK 15661.Bản quyền phim '!F171)</f>
        <v/>
      </c>
      <c r="AG171" s="76" t="n"/>
      <c r="AH171" s="76">
        <f>IF(SUM(AD171:AG171)&gt;0,"OK",0)</f>
        <v/>
      </c>
    </row>
    <row r="172" hidden="1" ht="15.6" customHeight="1" s="578">
      <c r="A172" s="27" t="n"/>
      <c r="B172" s="74" t="inlineStr">
        <is>
          <t>K+1MOV024004</t>
        </is>
      </c>
      <c r="C172" s="708" t="inlineStr">
        <is>
          <t>VND</t>
        </is>
      </c>
      <c r="D172" s="708" t="inlineStr">
        <is>
          <t>S0002248</t>
        </is>
      </c>
      <c r="E172" s="708" t="inlineStr">
        <is>
          <t>Công ty TNHH giải trí CJ HK</t>
        </is>
      </c>
      <c r="F172" s="708" t="inlineStr">
        <is>
          <t>BRAVE CITIZEN (CÔ GIÁO EM LÀ SỐ 1)</t>
        </is>
      </c>
      <c r="G172" s="708" t="inlineStr">
        <is>
          <t>Movies International</t>
        </is>
      </c>
      <c r="H172" s="83" t="n">
        <v>1</v>
      </c>
      <c r="I172" s="83" t="n">
        <v>3</v>
      </c>
      <c r="J172" s="83">
        <f>H172*I172</f>
        <v/>
      </c>
      <c r="K172" s="83" t="n">
        <v>152380952</v>
      </c>
      <c r="L172" s="83" t="n">
        <v>50793650.66666666</v>
      </c>
      <c r="M172" s="83">
        <f>J172-Q172</f>
        <v/>
      </c>
      <c r="N172" s="83">
        <f>K172-R172</f>
        <v/>
      </c>
      <c r="O172" s="517" t="n">
        <v>45401</v>
      </c>
      <c r="P172" s="517" t="n">
        <v>46495</v>
      </c>
      <c r="Q172" s="83" t="n">
        <v>2</v>
      </c>
      <c r="R172" s="84" t="n">
        <v>101587301.3333333</v>
      </c>
      <c r="S172" s="83" t="n">
        <v>0</v>
      </c>
      <c r="T172" s="84" t="n">
        <v>0</v>
      </c>
      <c r="U172" s="83" t="n">
        <v>1</v>
      </c>
      <c r="V172" s="84">
        <f>U172*L172</f>
        <v/>
      </c>
      <c r="W172" s="83">
        <f>Q172+S172-U172</f>
        <v/>
      </c>
      <c r="X172" s="84">
        <f>R172+T172-V172</f>
        <v/>
      </c>
      <c r="Y172" s="85" t="inlineStr">
        <is>
          <t>P221ZZMO01</t>
        </is>
      </c>
      <c r="Z172" s="86" t="inlineStr">
        <is>
          <t>15661</t>
        </is>
      </c>
      <c r="AA172" s="86" t="inlineStr">
        <is>
          <t>33561</t>
        </is>
      </c>
      <c r="AB172" s="86" t="inlineStr">
        <is>
          <t>6277651</t>
        </is>
      </c>
      <c r="AC172" s="87" t="inlineStr">
        <is>
          <t>Movies</t>
        </is>
      </c>
      <c r="AD172" s="76">
        <f>COUNTIF('KK1. Movies'!AI:AI,'TK 15661.Bản quyền phim '!F172)</f>
        <v/>
      </c>
      <c r="AE172" s="76">
        <f>COUNTIF('KK2. Series'!AM:AM,'TK 15661.Bản quyền phim '!F172)</f>
        <v/>
      </c>
      <c r="AF172" s="76">
        <f>COUNTIF('KK3. Kids'!AF:AF,'TK 15661.Bản quyền phim '!F172)</f>
        <v/>
      </c>
      <c r="AG172" s="76" t="n"/>
      <c r="AH172" s="76">
        <f>IF(SUM(AD172:AG172)&gt;0,"OK",0)</f>
        <v/>
      </c>
    </row>
    <row r="173" hidden="1" ht="15.6" customHeight="1" s="578">
      <c r="A173" s="27" t="n"/>
      <c r="B173" s="74" t="inlineStr">
        <is>
          <t>K+1MOV024005</t>
        </is>
      </c>
      <c r="C173" s="708" t="inlineStr">
        <is>
          <t>VND</t>
        </is>
      </c>
      <c r="D173" s="708" t="inlineStr">
        <is>
          <t>S0002248</t>
        </is>
      </c>
      <c r="E173" s="708" t="inlineStr">
        <is>
          <t>Công ty TNHH giải trí CJ HK</t>
        </is>
      </c>
      <c r="F173" s="708" t="inlineStr">
        <is>
          <t>COBWEB (CÚ MÁY ĂN TIỀN)</t>
        </is>
      </c>
      <c r="G173" s="708" t="inlineStr">
        <is>
          <t>Movies International</t>
        </is>
      </c>
      <c r="H173" s="83" t="n">
        <v>1</v>
      </c>
      <c r="I173" s="83" t="n">
        <v>3</v>
      </c>
      <c r="J173" s="83">
        <f>H173*I173</f>
        <v/>
      </c>
      <c r="K173" s="83" t="n">
        <v>114285714</v>
      </c>
      <c r="L173" s="83" t="n">
        <v>38095238</v>
      </c>
      <c r="M173" s="83">
        <f>J173-Q173</f>
        <v/>
      </c>
      <c r="N173" s="83">
        <f>K173-R173</f>
        <v/>
      </c>
      <c r="O173" s="517" t="n">
        <v>45546</v>
      </c>
      <c r="P173" s="517" t="n">
        <v>46640</v>
      </c>
      <c r="Q173" s="83" t="n">
        <v>2</v>
      </c>
      <c r="R173" s="84" t="n">
        <v>76190476</v>
      </c>
      <c r="S173" s="83" t="n">
        <v>0</v>
      </c>
      <c r="T173" s="84" t="n">
        <v>0</v>
      </c>
      <c r="U173" s="83" t="n">
        <v>1</v>
      </c>
      <c r="V173" s="84">
        <f>U173*L173</f>
        <v/>
      </c>
      <c r="W173" s="83">
        <f>Q173+S173-U173</f>
        <v/>
      </c>
      <c r="X173" s="84">
        <f>R173+T173-V173</f>
        <v/>
      </c>
      <c r="Y173" s="85" t="inlineStr">
        <is>
          <t>P221ZZMO01</t>
        </is>
      </c>
      <c r="Z173" s="86" t="inlineStr">
        <is>
          <t>15661</t>
        </is>
      </c>
      <c r="AA173" s="86" t="inlineStr">
        <is>
          <t>33561</t>
        </is>
      </c>
      <c r="AB173" s="86" t="inlineStr">
        <is>
          <t>6277651</t>
        </is>
      </c>
      <c r="AC173" s="87" t="inlineStr">
        <is>
          <t>Movies</t>
        </is>
      </c>
      <c r="AD173" s="76">
        <f>COUNTIF('KK1. Movies'!AI:AI,'TK 15661.Bản quyền phim '!F173)</f>
        <v/>
      </c>
      <c r="AE173" s="76">
        <f>COUNTIF('KK2. Series'!AM:AM,'TK 15661.Bản quyền phim '!F173)</f>
        <v/>
      </c>
      <c r="AF173" s="76">
        <f>COUNTIF('KK3. Kids'!AF:AF,'TK 15661.Bản quyền phim '!F173)</f>
        <v/>
      </c>
      <c r="AG173" s="76" t="n"/>
      <c r="AH173" s="76">
        <f>IF(SUM(AD173:AG173)&gt;0,"OK",0)</f>
        <v/>
      </c>
    </row>
    <row r="174" hidden="1" ht="15.6" customHeight="1" s="578">
      <c r="A174" s="27" t="n"/>
      <c r="B174" s="74" t="inlineStr">
        <is>
          <t>K+2MOV024006</t>
        </is>
      </c>
      <c r="C174" s="708" t="inlineStr">
        <is>
          <t>VND</t>
        </is>
      </c>
      <c r="D174" s="708" t="inlineStr">
        <is>
          <t>S0002248</t>
        </is>
      </c>
      <c r="E174" s="708" t="inlineStr">
        <is>
          <t>Công ty TNHH giải trí CJ HK</t>
        </is>
      </c>
      <c r="F174" s="708" t="inlineStr">
        <is>
          <t>CONTORTED (NHÀ KHO CHẾT CHÓC)</t>
        </is>
      </c>
      <c r="G174" s="708" t="inlineStr">
        <is>
          <t>Movies International</t>
        </is>
      </c>
      <c r="H174" s="83" t="n">
        <v>1</v>
      </c>
      <c r="I174" s="83" t="n">
        <v>3</v>
      </c>
      <c r="J174" s="83">
        <f>H174*I174</f>
        <v/>
      </c>
      <c r="K174" s="83" t="n">
        <v>85714286</v>
      </c>
      <c r="L174" s="83" t="n">
        <v>28571428.66666667</v>
      </c>
      <c r="M174" s="83">
        <f>J174-Q174</f>
        <v/>
      </c>
      <c r="N174" s="83">
        <f>K174-R174</f>
        <v/>
      </c>
      <c r="O174" s="517" t="n">
        <v>45566</v>
      </c>
      <c r="P174" s="517" t="n">
        <v>46660</v>
      </c>
      <c r="Q174" s="83" t="n">
        <v>2</v>
      </c>
      <c r="R174" s="84" t="n">
        <v>57142857.33333333</v>
      </c>
      <c r="S174" s="83" t="n">
        <v>0</v>
      </c>
      <c r="T174" s="84" t="n">
        <v>0</v>
      </c>
      <c r="U174" s="83" t="n">
        <v>1</v>
      </c>
      <c r="V174" s="84">
        <f>U174*L174</f>
        <v/>
      </c>
      <c r="W174" s="83">
        <f>Q174+S174-U174</f>
        <v/>
      </c>
      <c r="X174" s="84">
        <f>R174+T174-V174</f>
        <v/>
      </c>
      <c r="Y174" s="85" t="inlineStr">
        <is>
          <t>P221ZZMO01</t>
        </is>
      </c>
      <c r="Z174" s="86" t="inlineStr">
        <is>
          <t>15661</t>
        </is>
      </c>
      <c r="AA174" s="86" t="inlineStr">
        <is>
          <t>33561</t>
        </is>
      </c>
      <c r="AB174" s="86" t="inlineStr">
        <is>
          <t>6277651</t>
        </is>
      </c>
      <c r="AC174" s="87" t="inlineStr">
        <is>
          <t>Movies</t>
        </is>
      </c>
      <c r="AD174" s="76">
        <f>COUNTIF('KK1. Movies'!AI:AI,'TK 15661.Bản quyền phim '!F174)</f>
        <v/>
      </c>
      <c r="AE174" s="76">
        <f>COUNTIF('KK2. Series'!AM:AM,'TK 15661.Bản quyền phim '!F174)</f>
        <v/>
      </c>
      <c r="AF174" s="76">
        <f>COUNTIF('KK3. Kids'!AF:AF,'TK 15661.Bản quyền phim '!F174)</f>
        <v/>
      </c>
      <c r="AG174" s="76" t="n"/>
      <c r="AH174" s="76">
        <f>IF(SUM(AD174:AG174)&gt;0,"OK",0)</f>
        <v/>
      </c>
    </row>
    <row r="175" hidden="1" ht="15.6" customHeight="1" s="578">
      <c r="A175" s="27" t="n"/>
      <c r="B175" s="74" t="inlineStr">
        <is>
          <t>K+2MOV024007</t>
        </is>
      </c>
      <c r="C175" s="708" t="inlineStr">
        <is>
          <t>VND</t>
        </is>
      </c>
      <c r="D175" s="708" t="inlineStr">
        <is>
          <t>S0002248</t>
        </is>
      </c>
      <c r="E175" s="708" t="inlineStr">
        <is>
          <t>Công ty TNHH giải trí CJ HK</t>
        </is>
      </c>
      <c r="F175" s="708" t="inlineStr">
        <is>
          <t>DEVILS (THANH TRA SÁT NHÂN)</t>
        </is>
      </c>
      <c r="G175" s="708" t="inlineStr">
        <is>
          <t>Movies International</t>
        </is>
      </c>
      <c r="H175" s="83" t="n">
        <v>1</v>
      </c>
      <c r="I175" s="83" t="n">
        <v>3</v>
      </c>
      <c r="J175" s="83">
        <f>H175*I175</f>
        <v/>
      </c>
      <c r="K175" s="83" t="n">
        <v>83809524</v>
      </c>
      <c r="L175" s="83" t="n">
        <v>27936508</v>
      </c>
      <c r="M175" s="83">
        <f>J175-Q175</f>
        <v/>
      </c>
      <c r="N175" s="83">
        <f>K175-R175</f>
        <v/>
      </c>
      <c r="O175" s="517" t="n">
        <v>45344</v>
      </c>
      <c r="P175" s="517" t="n">
        <v>46439</v>
      </c>
      <c r="Q175" s="83" t="n">
        <v>2</v>
      </c>
      <c r="R175" s="84" t="n">
        <v>55873016</v>
      </c>
      <c r="S175" s="83" t="n">
        <v>0</v>
      </c>
      <c r="T175" s="84" t="n">
        <v>0</v>
      </c>
      <c r="U175" s="83" t="n">
        <v>1</v>
      </c>
      <c r="V175" s="84">
        <f>U175*L175</f>
        <v/>
      </c>
      <c r="W175" s="83">
        <f>Q175+S175-U175</f>
        <v/>
      </c>
      <c r="X175" s="84">
        <f>R175+T175-V175</f>
        <v/>
      </c>
      <c r="Y175" s="85" t="inlineStr">
        <is>
          <t>P221ZZMO01</t>
        </is>
      </c>
      <c r="Z175" s="86" t="inlineStr">
        <is>
          <t>15661</t>
        </is>
      </c>
      <c r="AA175" s="86" t="inlineStr">
        <is>
          <t>33561</t>
        </is>
      </c>
      <c r="AB175" s="86" t="inlineStr">
        <is>
          <t>6277651</t>
        </is>
      </c>
      <c r="AC175" s="87" t="inlineStr">
        <is>
          <t>Movies</t>
        </is>
      </c>
      <c r="AD175" s="76">
        <f>COUNTIF('KK1. Movies'!AI:AI,'TK 15661.Bản quyền phim '!F175)</f>
        <v/>
      </c>
      <c r="AE175" s="76">
        <f>COUNTIF('KK2. Series'!AM:AM,'TK 15661.Bản quyền phim '!F175)</f>
        <v/>
      </c>
      <c r="AF175" s="76">
        <f>COUNTIF('KK3. Kids'!AF:AF,'TK 15661.Bản quyền phim '!F175)</f>
        <v/>
      </c>
      <c r="AG175" s="76" t="n"/>
      <c r="AH175" s="76">
        <f>IF(SUM(AD175:AG175)&gt;0,"OK",0)</f>
        <v/>
      </c>
    </row>
    <row r="176" hidden="1" ht="15.6" customHeight="1" s="578">
      <c r="A176" s="27" t="n"/>
      <c r="B176" s="74" t="inlineStr">
        <is>
          <t>K+2MOV024008</t>
        </is>
      </c>
      <c r="C176" s="708" t="inlineStr">
        <is>
          <t>VND</t>
        </is>
      </c>
      <c r="D176" s="708" t="inlineStr">
        <is>
          <t>S0002248</t>
        </is>
      </c>
      <c r="E176" s="708" t="inlineStr">
        <is>
          <t>Công ty TNHH giải trí CJ HK</t>
        </is>
      </c>
      <c r="F176" s="708" t="inlineStr">
        <is>
          <t>GUIMOON: THE LIGHTLESS DOOR (CỔNG ĐỊA NGỤC)</t>
        </is>
      </c>
      <c r="G176" s="708" t="inlineStr">
        <is>
          <t>Movies International</t>
        </is>
      </c>
      <c r="H176" s="83" t="n">
        <v>1</v>
      </c>
      <c r="I176" s="83" t="n">
        <v>3</v>
      </c>
      <c r="J176" s="83">
        <f>H176*I176</f>
        <v/>
      </c>
      <c r="K176" s="83" t="n">
        <v>85714286</v>
      </c>
      <c r="L176" s="83" t="n">
        <v>28571428.66666667</v>
      </c>
      <c r="M176" s="83">
        <f>J176-Q176</f>
        <v/>
      </c>
      <c r="N176" s="83">
        <f>K176-R176</f>
        <v/>
      </c>
      <c r="O176" s="517" t="n">
        <v>45566</v>
      </c>
      <c r="P176" s="517" t="n">
        <v>46660</v>
      </c>
      <c r="Q176" s="83" t="n">
        <v>2</v>
      </c>
      <c r="R176" s="84" t="n">
        <v>57142857.33333333</v>
      </c>
      <c r="S176" s="83" t="n">
        <v>0</v>
      </c>
      <c r="T176" s="84" t="n">
        <v>0</v>
      </c>
      <c r="U176" s="83" t="n">
        <v>1</v>
      </c>
      <c r="V176" s="84">
        <f>U176*L176</f>
        <v/>
      </c>
      <c r="W176" s="83">
        <f>Q176+S176-U176</f>
        <v/>
      </c>
      <c r="X176" s="84">
        <f>R176+T176-V176</f>
        <v/>
      </c>
      <c r="Y176" s="85" t="inlineStr">
        <is>
          <t>P221ZZMO01</t>
        </is>
      </c>
      <c r="Z176" s="86" t="inlineStr">
        <is>
          <t>15661</t>
        </is>
      </c>
      <c r="AA176" s="86" t="inlineStr">
        <is>
          <t>33561</t>
        </is>
      </c>
      <c r="AB176" s="86" t="inlineStr">
        <is>
          <t>6277651</t>
        </is>
      </c>
      <c r="AC176" s="87" t="inlineStr">
        <is>
          <t>Movies</t>
        </is>
      </c>
      <c r="AD176" s="76">
        <f>COUNTIF('KK1. Movies'!AI:AI,'TK 15661.Bản quyền phim '!F176)</f>
        <v/>
      </c>
      <c r="AE176" s="76">
        <f>COUNTIF('KK2. Series'!AM:AM,'TK 15661.Bản quyền phim '!F176)</f>
        <v/>
      </c>
      <c r="AF176" s="76">
        <f>COUNTIF('KK3. Kids'!AF:AF,'TK 15661.Bản quyền phim '!F176)</f>
        <v/>
      </c>
      <c r="AG176" s="76" t="n"/>
      <c r="AH176" s="76">
        <f>IF(SUM(AD176:AG176)&gt;0,"OK",0)</f>
        <v/>
      </c>
    </row>
    <row r="177" hidden="1" ht="15.6" customHeight="1" s="578">
      <c r="A177" s="27" t="n"/>
      <c r="B177" s="74" t="inlineStr">
        <is>
          <t>K+2MOV024009</t>
        </is>
      </c>
      <c r="C177" s="708" t="inlineStr">
        <is>
          <t>VND</t>
        </is>
      </c>
      <c r="D177" s="708" t="inlineStr">
        <is>
          <t>S0002248</t>
        </is>
      </c>
      <c r="E177" s="708" t="inlineStr">
        <is>
          <t>Công ty TNHH giải trí CJ HK</t>
        </is>
      </c>
      <c r="F177" s="708" t="inlineStr">
        <is>
          <t>LIVESTREAM (LIVESTREAM)</t>
        </is>
      </c>
      <c r="G177" s="708" t="inlineStr">
        <is>
          <t>Movies International</t>
        </is>
      </c>
      <c r="H177" s="83" t="n">
        <v>1</v>
      </c>
      <c r="I177" s="83" t="n">
        <v>3</v>
      </c>
      <c r="J177" s="83">
        <f>H177*I177</f>
        <v/>
      </c>
      <c r="K177" s="83" t="n">
        <v>76190476</v>
      </c>
      <c r="L177" s="83" t="n">
        <v>25396825.33333333</v>
      </c>
      <c r="M177" s="83">
        <f>J177-Q177</f>
        <v/>
      </c>
      <c r="N177" s="83">
        <f>K177-R177</f>
        <v/>
      </c>
      <c r="O177" s="517" t="n">
        <v>45379</v>
      </c>
      <c r="P177" s="517" t="n">
        <v>46473</v>
      </c>
      <c r="Q177" s="83" t="n">
        <v>2</v>
      </c>
      <c r="R177" s="84" t="n">
        <v>50793650.66666667</v>
      </c>
      <c r="S177" s="83" t="n">
        <v>0</v>
      </c>
      <c r="T177" s="84" t="n">
        <v>0</v>
      </c>
      <c r="U177" s="83" t="n">
        <v>1</v>
      </c>
      <c r="V177" s="84">
        <f>U177*L177</f>
        <v/>
      </c>
      <c r="W177" s="83">
        <f>Q177+S177-U177</f>
        <v/>
      </c>
      <c r="X177" s="84">
        <f>R177+T177-V177</f>
        <v/>
      </c>
      <c r="Y177" s="85" t="inlineStr">
        <is>
          <t>P221ZZMO01</t>
        </is>
      </c>
      <c r="Z177" s="86" t="inlineStr">
        <is>
          <t>15661</t>
        </is>
      </c>
      <c r="AA177" s="86" t="inlineStr">
        <is>
          <t>33561</t>
        </is>
      </c>
      <c r="AB177" s="86" t="inlineStr">
        <is>
          <t>6277651</t>
        </is>
      </c>
      <c r="AC177" s="87" t="inlineStr">
        <is>
          <t>Movies</t>
        </is>
      </c>
      <c r="AD177" s="76">
        <f>COUNTIF('KK1. Movies'!AI:AI,'TK 15661.Bản quyền phim '!F177)</f>
        <v/>
      </c>
      <c r="AE177" s="76">
        <f>COUNTIF('KK2. Series'!AM:AM,'TK 15661.Bản quyền phim '!F177)</f>
        <v/>
      </c>
      <c r="AF177" s="76">
        <f>COUNTIF('KK3. Kids'!AF:AF,'TK 15661.Bản quyền phim '!F177)</f>
        <v/>
      </c>
      <c r="AG177" s="76" t="n"/>
      <c r="AH177" s="76">
        <f>IF(SUM(AD177:AG177)&gt;0,"OK",0)</f>
        <v/>
      </c>
    </row>
    <row r="178" hidden="1" ht="15.6" customHeight="1" s="578">
      <c r="A178" s="27" t="n"/>
      <c r="B178" s="74" t="inlineStr">
        <is>
          <t>K+1MOV024010</t>
        </is>
      </c>
      <c r="C178" s="708" t="inlineStr">
        <is>
          <t>VND</t>
        </is>
      </c>
      <c r="D178" s="708" t="inlineStr">
        <is>
          <t>S0002248</t>
        </is>
      </c>
      <c r="E178" s="708" t="inlineStr">
        <is>
          <t>Công ty TNHH giải trí CJ HK</t>
        </is>
      </c>
      <c r="F178" s="708" t="inlineStr">
        <is>
          <t>LOVE RESET (YÊU LẠI VỢ NGẦU)</t>
        </is>
      </c>
      <c r="G178" s="708" t="inlineStr">
        <is>
          <t>Movies International</t>
        </is>
      </c>
      <c r="H178" s="83" t="n">
        <v>1</v>
      </c>
      <c r="I178" s="83" t="n">
        <v>3</v>
      </c>
      <c r="J178" s="83">
        <f>H178*I178</f>
        <v/>
      </c>
      <c r="K178" s="83" t="n">
        <v>223809524</v>
      </c>
      <c r="L178" s="83" t="n">
        <v>74603174.66666667</v>
      </c>
      <c r="M178" s="83">
        <f>J178-Q178</f>
        <v/>
      </c>
      <c r="N178" s="83">
        <f>K178-R178</f>
        <v/>
      </c>
      <c r="O178" s="517" t="n">
        <v>45332</v>
      </c>
      <c r="P178" s="517" t="n">
        <v>46427</v>
      </c>
      <c r="Q178" s="83" t="n">
        <v>2</v>
      </c>
      <c r="R178" s="84" t="n">
        <v>149206349.3333333</v>
      </c>
      <c r="S178" s="83" t="n">
        <v>0</v>
      </c>
      <c r="T178" s="84" t="n">
        <v>0</v>
      </c>
      <c r="U178" s="83" t="n">
        <v>1</v>
      </c>
      <c r="V178" s="84">
        <f>U178*L178</f>
        <v/>
      </c>
      <c r="W178" s="83">
        <f>Q178+S178-U178</f>
        <v/>
      </c>
      <c r="X178" s="84">
        <f>R178+T178-V178</f>
        <v/>
      </c>
      <c r="Y178" s="85" t="inlineStr">
        <is>
          <t>P221ZZMO01</t>
        </is>
      </c>
      <c r="Z178" s="86" t="inlineStr">
        <is>
          <t>15661</t>
        </is>
      </c>
      <c r="AA178" s="86" t="inlineStr">
        <is>
          <t>33561</t>
        </is>
      </c>
      <c r="AB178" s="86" t="inlineStr">
        <is>
          <t>6277651</t>
        </is>
      </c>
      <c r="AC178" s="87" t="inlineStr">
        <is>
          <t>Movies</t>
        </is>
      </c>
      <c r="AD178" s="76">
        <f>COUNTIF('KK1. Movies'!AI:AI,'TK 15661.Bản quyền phim '!F178)</f>
        <v/>
      </c>
      <c r="AE178" s="76">
        <f>COUNTIF('KK2. Series'!AM:AM,'TK 15661.Bản quyền phim '!F178)</f>
        <v/>
      </c>
      <c r="AF178" s="76">
        <f>COUNTIF('KK3. Kids'!AF:AF,'TK 15661.Bản quyền phim '!F178)</f>
        <v/>
      </c>
      <c r="AG178" s="76" t="n"/>
      <c r="AH178" s="76">
        <f>IF(SUM(AD178:AG178)&gt;0,"OK",0)</f>
        <v/>
      </c>
    </row>
    <row r="179" hidden="1" ht="15.6" customHeight="1" s="578">
      <c r="A179" s="27" t="n"/>
      <c r="B179" s="74" t="inlineStr">
        <is>
          <t>K+5MOV024011</t>
        </is>
      </c>
      <c r="C179" s="708" t="inlineStr">
        <is>
          <t>VND</t>
        </is>
      </c>
      <c r="D179" s="708" t="inlineStr">
        <is>
          <t>S0002248</t>
        </is>
      </c>
      <c r="E179" s="708" t="inlineStr">
        <is>
          <t>Công ty TNHH giải trí CJ HK</t>
        </is>
      </c>
      <c r="F179" s="708" t="inlineStr">
        <is>
          <t>MOONBOUND (ĐẠI NÁO CUNG TRĂNG)</t>
        </is>
      </c>
      <c r="G179" s="708" t="inlineStr">
        <is>
          <t>Movies International</t>
        </is>
      </c>
      <c r="H179" s="83" t="n">
        <v>1</v>
      </c>
      <c r="I179" s="83" t="n">
        <v>3</v>
      </c>
      <c r="J179" s="83">
        <f>H179*I179</f>
        <v/>
      </c>
      <c r="K179" s="83" t="n">
        <v>66666667</v>
      </c>
      <c r="L179" s="83" t="n">
        <v>22222222.33333333</v>
      </c>
      <c r="M179" s="83">
        <f>J179-Q179</f>
        <v/>
      </c>
      <c r="N179" s="83">
        <f>K179-R179</f>
        <v/>
      </c>
      <c r="O179" s="517" t="n">
        <v>45374</v>
      </c>
      <c r="P179" s="517" t="n">
        <v>46468</v>
      </c>
      <c r="Q179" s="83" t="n">
        <v>2</v>
      </c>
      <c r="R179" s="84" t="n">
        <v>44444444.66666667</v>
      </c>
      <c r="S179" s="83" t="n">
        <v>0</v>
      </c>
      <c r="T179" s="84" t="n">
        <v>0</v>
      </c>
      <c r="U179" s="83" t="n">
        <v>1</v>
      </c>
      <c r="V179" s="84">
        <f>U179*L179</f>
        <v/>
      </c>
      <c r="W179" s="83">
        <f>Q179+S179-U179</f>
        <v/>
      </c>
      <c r="X179" s="84">
        <f>R179+T179-V179</f>
        <v/>
      </c>
      <c r="Y179" s="85" t="inlineStr">
        <is>
          <t>P221ZZMO01</t>
        </is>
      </c>
      <c r="Z179" s="86" t="inlineStr">
        <is>
          <t>15661</t>
        </is>
      </c>
      <c r="AA179" s="86" t="inlineStr">
        <is>
          <t>33561</t>
        </is>
      </c>
      <c r="AB179" s="86" t="inlineStr">
        <is>
          <t>6277651</t>
        </is>
      </c>
      <c r="AC179" s="87" t="inlineStr">
        <is>
          <t>Movies</t>
        </is>
      </c>
      <c r="AD179" s="76">
        <f>COUNTIF('KK1. Movies'!AI:AI,'TK 15661.Bản quyền phim '!F179)</f>
        <v/>
      </c>
      <c r="AE179" s="76">
        <f>COUNTIF('KK2. Series'!AM:AM,'TK 15661.Bản quyền phim '!F179)</f>
        <v/>
      </c>
      <c r="AF179" s="76">
        <f>COUNTIF('KK3. Kids'!AF:AF,'TK 15661.Bản quyền phim '!F179)</f>
        <v/>
      </c>
      <c r="AG179" s="76" t="n"/>
      <c r="AH179" s="76">
        <f>IF(SUM(AD179:AG179)&gt;0,"OK",0)</f>
        <v/>
      </c>
    </row>
    <row r="180" hidden="1" ht="15.6" customHeight="1" s="578">
      <c r="A180" s="27" t="n"/>
      <c r="B180" s="74" t="inlineStr">
        <is>
          <t>K+2MOV024012</t>
        </is>
      </c>
      <c r="C180" s="708" t="inlineStr">
        <is>
          <t>VND</t>
        </is>
      </c>
      <c r="D180" s="708" t="inlineStr">
        <is>
          <t>S0002248</t>
        </is>
      </c>
      <c r="E180" s="708" t="inlineStr">
        <is>
          <t>Công ty TNHH giải trí CJ HK</t>
        </is>
      </c>
      <c r="F180" s="708" t="inlineStr">
        <is>
          <t>RANSOMED (BỘ ĐÔI BÁO THỦ)</t>
        </is>
      </c>
      <c r="G180" s="708" t="inlineStr">
        <is>
          <t>Movies International</t>
        </is>
      </c>
      <c r="H180" s="83" t="n">
        <v>1</v>
      </c>
      <c r="I180" s="83" t="n">
        <v>3</v>
      </c>
      <c r="J180" s="83">
        <f>H180*I180</f>
        <v/>
      </c>
      <c r="K180" s="83" t="n">
        <v>152380952</v>
      </c>
      <c r="L180" s="83" t="n">
        <v>50793650.66666666</v>
      </c>
      <c r="M180" s="83">
        <f>J180-Q180</f>
        <v/>
      </c>
      <c r="N180" s="83">
        <f>K180-R180</f>
        <v/>
      </c>
      <c r="O180" s="517" t="n">
        <v>45333</v>
      </c>
      <c r="P180" s="517" t="n">
        <v>46428</v>
      </c>
      <c r="Q180" s="83" t="n">
        <v>2</v>
      </c>
      <c r="R180" s="84" t="n">
        <v>101587301.3333333</v>
      </c>
      <c r="S180" s="83" t="n">
        <v>0</v>
      </c>
      <c r="T180" s="84" t="n">
        <v>0</v>
      </c>
      <c r="U180" s="83" t="n">
        <v>1</v>
      </c>
      <c r="V180" s="84">
        <f>U180*L180</f>
        <v/>
      </c>
      <c r="W180" s="83">
        <f>Q180+S180-U180</f>
        <v/>
      </c>
      <c r="X180" s="84">
        <f>R180+T180-V180</f>
        <v/>
      </c>
      <c r="Y180" s="85" t="inlineStr">
        <is>
          <t>P221ZZMO01</t>
        </is>
      </c>
      <c r="Z180" s="86" t="inlineStr">
        <is>
          <t>15661</t>
        </is>
      </c>
      <c r="AA180" s="86" t="inlineStr">
        <is>
          <t>33561</t>
        </is>
      </c>
      <c r="AB180" s="86" t="inlineStr">
        <is>
          <t>6277651</t>
        </is>
      </c>
      <c r="AC180" s="87" t="inlineStr">
        <is>
          <t>Movies</t>
        </is>
      </c>
      <c r="AD180" s="76">
        <f>COUNTIF('KK1. Movies'!AI:AI,'TK 15661.Bản quyền phim '!F180)</f>
        <v/>
      </c>
      <c r="AE180" s="76">
        <f>COUNTIF('KK2. Series'!AM:AM,'TK 15661.Bản quyền phim '!F180)</f>
        <v/>
      </c>
      <c r="AF180" s="76">
        <f>COUNTIF('KK3. Kids'!AF:AF,'TK 15661.Bản quyền phim '!F180)</f>
        <v/>
      </c>
      <c r="AG180" s="76" t="n"/>
      <c r="AH180" s="76">
        <f>IF(SUM(AD180:AG180)&gt;0,"OK",0)</f>
        <v/>
      </c>
    </row>
    <row r="181" hidden="1" ht="15.6" customHeight="1" s="578">
      <c r="A181" s="27" t="n"/>
      <c r="B181" s="74" t="inlineStr">
        <is>
          <t>K+2MOV024013</t>
        </is>
      </c>
      <c r="C181" s="708" t="inlineStr">
        <is>
          <t>VND</t>
        </is>
      </c>
      <c r="D181" s="708" t="inlineStr">
        <is>
          <t>S0002248</t>
        </is>
      </c>
      <c r="E181" s="708" t="inlineStr">
        <is>
          <t>Công ty TNHH giải trí CJ HK</t>
        </is>
      </c>
      <c r="F181" s="708" t="inlineStr">
        <is>
          <t>RECALLED (TRIỆU HỒI)</t>
        </is>
      </c>
      <c r="G181" s="708" t="inlineStr">
        <is>
          <t>Movies International</t>
        </is>
      </c>
      <c r="H181" s="83" t="n">
        <v>1</v>
      </c>
      <c r="I181" s="83" t="n">
        <v>3</v>
      </c>
      <c r="J181" s="83">
        <f>H181*I181</f>
        <v/>
      </c>
      <c r="K181" s="83" t="n">
        <v>57142857</v>
      </c>
      <c r="L181" s="83" t="n">
        <v>19047619</v>
      </c>
      <c r="M181" s="83">
        <f>J181-Q181</f>
        <v/>
      </c>
      <c r="N181" s="83">
        <f>K181-R181</f>
        <v/>
      </c>
      <c r="O181" s="517" t="n">
        <v>45386</v>
      </c>
      <c r="P181" s="517" t="n">
        <v>46480</v>
      </c>
      <c r="Q181" s="83" t="n">
        <v>2</v>
      </c>
      <c r="R181" s="84" t="n">
        <v>38095238</v>
      </c>
      <c r="S181" s="83" t="n">
        <v>0</v>
      </c>
      <c r="T181" s="84" t="n">
        <v>0</v>
      </c>
      <c r="U181" s="83" t="n">
        <v>1</v>
      </c>
      <c r="V181" s="84">
        <f>U181*L181</f>
        <v/>
      </c>
      <c r="W181" s="83">
        <f>Q181+S181-U181</f>
        <v/>
      </c>
      <c r="X181" s="84">
        <f>R181+T181-V181</f>
        <v/>
      </c>
      <c r="Y181" s="85" t="inlineStr">
        <is>
          <t>P221ZZMO01</t>
        </is>
      </c>
      <c r="Z181" s="86" t="inlineStr">
        <is>
          <t>15661</t>
        </is>
      </c>
      <c r="AA181" s="86" t="inlineStr">
        <is>
          <t>33561</t>
        </is>
      </c>
      <c r="AB181" s="86" t="inlineStr">
        <is>
          <t>6277651</t>
        </is>
      </c>
      <c r="AC181" s="87" t="inlineStr">
        <is>
          <t>Movies</t>
        </is>
      </c>
      <c r="AD181" s="76">
        <f>COUNTIF('KK1. Movies'!AI:AI,'TK 15661.Bản quyền phim '!F181)</f>
        <v/>
      </c>
      <c r="AE181" s="76">
        <f>COUNTIF('KK2. Series'!AM:AM,'TK 15661.Bản quyền phim '!F181)</f>
        <v/>
      </c>
      <c r="AF181" s="76">
        <f>COUNTIF('KK3. Kids'!AF:AF,'TK 15661.Bản quyền phim '!F181)</f>
        <v/>
      </c>
      <c r="AG181" s="76" t="n"/>
      <c r="AH181" s="76">
        <f>IF(SUM(AD181:AG181)&gt;0,"OK",0)</f>
        <v/>
      </c>
    </row>
    <row r="182" hidden="1" ht="15.6" customHeight="1" s="578">
      <c r="A182" s="27" t="n"/>
      <c r="B182" s="74" t="inlineStr">
        <is>
          <t>K+1MOV024014</t>
        </is>
      </c>
      <c r="C182" s="708" t="inlineStr">
        <is>
          <t>VND</t>
        </is>
      </c>
      <c r="D182" s="708" t="inlineStr">
        <is>
          <t>S0002248</t>
        </is>
      </c>
      <c r="E182" s="708" t="inlineStr">
        <is>
          <t>Công ty TNHH giải trí CJ HK</t>
        </is>
      </c>
      <c r="F182" s="708" t="inlineStr">
        <is>
          <t>STILLWATER</t>
        </is>
      </c>
      <c r="G182" s="708" t="inlineStr">
        <is>
          <t>Movies International</t>
        </is>
      </c>
      <c r="H182" s="83" t="n">
        <v>1</v>
      </c>
      <c r="I182" s="83" t="n">
        <v>3</v>
      </c>
      <c r="J182" s="83">
        <f>H182*I182</f>
        <v/>
      </c>
      <c r="K182" s="83" t="n">
        <v>95238095</v>
      </c>
      <c r="L182" s="83" t="n">
        <v>31746031.66666667</v>
      </c>
      <c r="M182" s="83">
        <f>J182-Q182</f>
        <v/>
      </c>
      <c r="N182" s="83">
        <f>K182-R182</f>
        <v/>
      </c>
      <c r="O182" s="517" t="n">
        <v>45394</v>
      </c>
      <c r="P182" s="517" t="n">
        <v>46488</v>
      </c>
      <c r="Q182" s="83" t="n">
        <v>2</v>
      </c>
      <c r="R182" s="84" t="n">
        <v>63492063.33333333</v>
      </c>
      <c r="S182" s="83" t="n">
        <v>0</v>
      </c>
      <c r="T182" s="84" t="n">
        <v>0</v>
      </c>
      <c r="U182" s="83" t="n">
        <v>1</v>
      </c>
      <c r="V182" s="84">
        <f>U182*L182</f>
        <v/>
      </c>
      <c r="W182" s="83">
        <f>Q182+S182-U182</f>
        <v/>
      </c>
      <c r="X182" s="84">
        <f>R182+T182-V182</f>
        <v/>
      </c>
      <c r="Y182" s="85" t="inlineStr">
        <is>
          <t>P221ZZMO01</t>
        </is>
      </c>
      <c r="Z182" s="86" t="inlineStr">
        <is>
          <t>15661</t>
        </is>
      </c>
      <c r="AA182" s="86" t="inlineStr">
        <is>
          <t>33561</t>
        </is>
      </c>
      <c r="AB182" s="86" t="inlineStr">
        <is>
          <t>6277651</t>
        </is>
      </c>
      <c r="AC182" s="87" t="inlineStr">
        <is>
          <t>Movies</t>
        </is>
      </c>
      <c r="AD182" s="76">
        <f>COUNTIF('KK1. Movies'!AI:AI,'TK 15661.Bản quyền phim '!F182)</f>
        <v/>
      </c>
      <c r="AE182" s="76">
        <f>COUNTIF('KK2. Series'!AM:AM,'TK 15661.Bản quyền phim '!F182)</f>
        <v/>
      </c>
      <c r="AF182" s="76">
        <f>COUNTIF('KK3. Kids'!AF:AF,'TK 15661.Bản quyền phim '!F182)</f>
        <v/>
      </c>
      <c r="AG182" s="76" t="n"/>
      <c r="AH182" s="76">
        <f>IF(SUM(AD182:AG182)&gt;0,"OK",0)</f>
        <v/>
      </c>
    </row>
    <row r="183" hidden="1" ht="15.6" customHeight="1" s="578">
      <c r="A183" s="27" t="n"/>
      <c r="B183" s="74" t="inlineStr">
        <is>
          <t>K+1MOV024015</t>
        </is>
      </c>
      <c r="C183" s="708" t="inlineStr">
        <is>
          <t>VND</t>
        </is>
      </c>
      <c r="D183" s="708" t="inlineStr">
        <is>
          <t>S0002248</t>
        </is>
      </c>
      <c r="E183" s="708" t="inlineStr">
        <is>
          <t>Công ty TNHH giải trí CJ HK</t>
        </is>
      </c>
      <c r="F183" s="708" t="inlineStr">
        <is>
          <t>TAKE CARE OF MY MOM (HÃY CHĂM SÓC MẸ)</t>
        </is>
      </c>
      <c r="G183" s="708" t="inlineStr">
        <is>
          <t>Movies International</t>
        </is>
      </c>
      <c r="H183" s="83" t="n">
        <v>1</v>
      </c>
      <c r="I183" s="83" t="n">
        <v>3</v>
      </c>
      <c r="J183" s="83">
        <f>H183*I183</f>
        <v/>
      </c>
      <c r="K183" s="83" t="n">
        <v>66666667</v>
      </c>
      <c r="L183" s="83" t="n">
        <v>22222222.33333333</v>
      </c>
      <c r="M183" s="83">
        <f>J183-Q183</f>
        <v/>
      </c>
      <c r="N183" s="83">
        <f>K183-R183</f>
        <v/>
      </c>
      <c r="O183" s="517" t="n">
        <v>45574</v>
      </c>
      <c r="P183" s="517" t="n">
        <v>46668</v>
      </c>
      <c r="Q183" s="83" t="n">
        <v>2</v>
      </c>
      <c r="R183" s="84" t="n">
        <v>44444444.66666667</v>
      </c>
      <c r="S183" s="83" t="n">
        <v>0</v>
      </c>
      <c r="T183" s="84" t="n">
        <v>0</v>
      </c>
      <c r="U183" s="83" t="n">
        <v>1</v>
      </c>
      <c r="V183" s="84">
        <f>U183*L183</f>
        <v/>
      </c>
      <c r="W183" s="83">
        <f>Q183+S183-U183</f>
        <v/>
      </c>
      <c r="X183" s="84">
        <f>R183+T183-V183</f>
        <v/>
      </c>
      <c r="Y183" s="85" t="inlineStr">
        <is>
          <t>P221ZZMO01</t>
        </is>
      </c>
      <c r="Z183" s="86" t="inlineStr">
        <is>
          <t>15661</t>
        </is>
      </c>
      <c r="AA183" s="86" t="inlineStr">
        <is>
          <t>33561</t>
        </is>
      </c>
      <c r="AB183" s="86" t="inlineStr">
        <is>
          <t>6277651</t>
        </is>
      </c>
      <c r="AC183" s="87" t="inlineStr">
        <is>
          <t>Movies</t>
        </is>
      </c>
      <c r="AD183" s="76">
        <f>COUNTIF('KK1. Movies'!AI:AI,'TK 15661.Bản quyền phim '!F183)</f>
        <v/>
      </c>
      <c r="AE183" s="76">
        <f>COUNTIF('KK2. Series'!AM:AM,'TK 15661.Bản quyền phim '!F183)</f>
        <v/>
      </c>
      <c r="AF183" s="76">
        <f>COUNTIF('KK3. Kids'!AF:AF,'TK 15661.Bản quyền phim '!F183)</f>
        <v/>
      </c>
      <c r="AG183" s="76" t="n"/>
      <c r="AH183" s="76">
        <f>IF(SUM(AD183:AG183)&gt;0,"OK",0)</f>
        <v/>
      </c>
    </row>
    <row r="184" hidden="1" ht="15.6" customHeight="1" s="578">
      <c r="A184" s="27" t="n"/>
      <c r="B184" s="74" t="inlineStr">
        <is>
          <t>K+1MOV024016</t>
        </is>
      </c>
      <c r="C184" s="708" t="inlineStr">
        <is>
          <t>VND</t>
        </is>
      </c>
      <c r="D184" s="708" t="inlineStr">
        <is>
          <t>S0002248</t>
        </is>
      </c>
      <c r="E184" s="708" t="inlineStr">
        <is>
          <t>Công ty TNHH giải trí CJ HK</t>
        </is>
      </c>
      <c r="F184" s="708" t="inlineStr">
        <is>
          <t>THE FABELMANS (THE FABELMANS: TUỔI TRẺ HUY HOÀNG)</t>
        </is>
      </c>
      <c r="G184" s="708" t="inlineStr">
        <is>
          <t>Movies International</t>
        </is>
      </c>
      <c r="H184" s="83" t="n">
        <v>1</v>
      </c>
      <c r="I184" s="83" t="n">
        <v>3</v>
      </c>
      <c r="J184" s="83">
        <f>H184*I184</f>
        <v/>
      </c>
      <c r="K184" s="83" t="n">
        <v>95238095</v>
      </c>
      <c r="L184" s="83" t="n">
        <v>31746031.66666667</v>
      </c>
      <c r="M184" s="83">
        <f>J184-Q184</f>
        <v/>
      </c>
      <c r="N184" s="83">
        <f>K184-R184</f>
        <v/>
      </c>
      <c r="O184" s="517" t="n">
        <v>45597</v>
      </c>
      <c r="P184" s="517" t="n">
        <v>46691</v>
      </c>
      <c r="Q184" s="83" t="n">
        <v>2</v>
      </c>
      <c r="R184" s="84" t="n">
        <v>63492063.33333333</v>
      </c>
      <c r="S184" s="83" t="n">
        <v>0</v>
      </c>
      <c r="T184" s="84" t="n">
        <v>0</v>
      </c>
      <c r="U184" s="83" t="n">
        <v>1</v>
      </c>
      <c r="V184" s="84">
        <f>U184*L184</f>
        <v/>
      </c>
      <c r="W184" s="83">
        <f>Q184+S184-U184</f>
        <v/>
      </c>
      <c r="X184" s="84">
        <f>R184+T184-V184</f>
        <v/>
      </c>
      <c r="Y184" s="85" t="inlineStr">
        <is>
          <t>P221ZZMO01</t>
        </is>
      </c>
      <c r="Z184" s="86" t="inlineStr">
        <is>
          <t>15661</t>
        </is>
      </c>
      <c r="AA184" s="86" t="inlineStr">
        <is>
          <t>33561</t>
        </is>
      </c>
      <c r="AB184" s="86" t="inlineStr">
        <is>
          <t>6277651</t>
        </is>
      </c>
      <c r="AC184" s="87" t="inlineStr">
        <is>
          <t>Movies</t>
        </is>
      </c>
      <c r="AD184" s="76">
        <f>COUNTIF('KK1. Movies'!AI:AI,'TK 15661.Bản quyền phim '!F184)</f>
        <v/>
      </c>
      <c r="AE184" s="76">
        <f>COUNTIF('KK2. Series'!AM:AM,'TK 15661.Bản quyền phim '!F184)</f>
        <v/>
      </c>
      <c r="AF184" s="76">
        <f>COUNTIF('KK3. Kids'!AF:AF,'TK 15661.Bản quyền phim '!F184)</f>
        <v/>
      </c>
      <c r="AG184" s="76" t="n"/>
      <c r="AH184" s="76">
        <f>IF(SUM(AD184:AG184)&gt;0,"OK",0)</f>
        <v/>
      </c>
    </row>
    <row r="185" hidden="1" ht="15.6" customHeight="1" s="578">
      <c r="A185" s="27" t="n"/>
      <c r="B185" s="74" t="inlineStr">
        <is>
          <t>K+2MOV024017</t>
        </is>
      </c>
      <c r="C185" s="708" t="inlineStr">
        <is>
          <t>VND</t>
        </is>
      </c>
      <c r="D185" s="708" t="inlineStr">
        <is>
          <t>S0002248</t>
        </is>
      </c>
      <c r="E185" s="708" t="inlineStr">
        <is>
          <t>Công ty TNHH giải trí CJ HK</t>
        </is>
      </c>
      <c r="F185" s="708" t="inlineStr">
        <is>
          <t>THE MEDIUM (ÂM HỒN NHẬP XÁC)</t>
        </is>
      </c>
      <c r="G185" s="708" t="inlineStr">
        <is>
          <t>Movies International</t>
        </is>
      </c>
      <c r="H185" s="83" t="n">
        <v>1</v>
      </c>
      <c r="I185" s="83" t="n">
        <v>3</v>
      </c>
      <c r="J185" s="83">
        <f>H185*I185</f>
        <v/>
      </c>
      <c r="K185" s="83" t="n">
        <v>85714286</v>
      </c>
      <c r="L185" s="83" t="n">
        <v>28571428.66666667</v>
      </c>
      <c r="M185" s="83">
        <f>J185-Q185</f>
        <v/>
      </c>
      <c r="N185" s="83">
        <f>K185-R185</f>
        <v/>
      </c>
      <c r="O185" s="517" t="n">
        <v>45566</v>
      </c>
      <c r="P185" s="517" t="n">
        <v>46660</v>
      </c>
      <c r="Q185" s="83" t="n">
        <v>2</v>
      </c>
      <c r="R185" s="84" t="n">
        <v>57142857.33333333</v>
      </c>
      <c r="S185" s="83" t="n">
        <v>0</v>
      </c>
      <c r="T185" s="84" t="n">
        <v>0</v>
      </c>
      <c r="U185" s="83" t="n">
        <v>1</v>
      </c>
      <c r="V185" s="84">
        <f>U185*L185</f>
        <v/>
      </c>
      <c r="W185" s="83">
        <f>Q185+S185-U185</f>
        <v/>
      </c>
      <c r="X185" s="84">
        <f>R185+T185-V185</f>
        <v/>
      </c>
      <c r="Y185" s="85" t="inlineStr">
        <is>
          <t>P221ZZMO01</t>
        </is>
      </c>
      <c r="Z185" s="86" t="inlineStr">
        <is>
          <t>15661</t>
        </is>
      </c>
      <c r="AA185" s="86" t="inlineStr">
        <is>
          <t>33561</t>
        </is>
      </c>
      <c r="AB185" s="86" t="inlineStr">
        <is>
          <t>6277651</t>
        </is>
      </c>
      <c r="AC185" s="87" t="inlineStr">
        <is>
          <t>Movies</t>
        </is>
      </c>
      <c r="AD185" s="76">
        <f>COUNTIF('KK1. Movies'!AI:AI,'TK 15661.Bản quyền phim '!F185)</f>
        <v/>
      </c>
      <c r="AE185" s="76">
        <f>COUNTIF('KK2. Series'!AM:AM,'TK 15661.Bản quyền phim '!F185)</f>
        <v/>
      </c>
      <c r="AF185" s="76">
        <f>COUNTIF('KK3. Kids'!AF:AF,'TK 15661.Bản quyền phim '!F185)</f>
        <v/>
      </c>
      <c r="AG185" s="76" t="n"/>
      <c r="AH185" s="76">
        <f>IF(SUM(AD185:AG185)&gt;0,"OK",0)</f>
        <v/>
      </c>
    </row>
    <row r="186" hidden="1" ht="15.6" customHeight="1" s="578">
      <c r="A186" s="30">
        <f>(U186-H186)*L186</f>
        <v/>
      </c>
      <c r="B186" s="74" t="inlineStr">
        <is>
          <t>K+1SER024018</t>
        </is>
      </c>
      <c r="C186" s="708" t="inlineStr">
        <is>
          <t>VND</t>
        </is>
      </c>
      <c r="D186" s="708" t="inlineStr">
        <is>
          <t>S0001617</t>
        </is>
      </c>
      <c r="E186" s="708" t="inlineStr">
        <is>
          <t>Công ty TNHH Truyền Thông Giải Trí Y&amp;K</t>
        </is>
      </c>
      <c r="F186" s="708" t="inlineStr">
        <is>
          <t>The Mask (Dã bình phàm: Điệp vụ sinh tử)</t>
        </is>
      </c>
      <c r="G186" s="708" t="inlineStr">
        <is>
          <t>Series Asian</t>
        </is>
      </c>
      <c r="H186" s="83" t="n">
        <v>31</v>
      </c>
      <c r="I186" s="83" t="n">
        <v>3</v>
      </c>
      <c r="J186" s="83">
        <f>H186*I186</f>
        <v/>
      </c>
      <c r="K186" s="83" t="n">
        <v>757330000</v>
      </c>
      <c r="L186" s="83" t="n">
        <v>8143333.333333333</v>
      </c>
      <c r="M186" s="83">
        <f>J186-Q186</f>
        <v/>
      </c>
      <c r="N186" s="83">
        <f>K186-R186</f>
        <v/>
      </c>
      <c r="O186" s="517" t="n">
        <v>45322</v>
      </c>
      <c r="P186" s="517" t="n">
        <v>46418</v>
      </c>
      <c r="Q186" s="83" t="n">
        <v>62</v>
      </c>
      <c r="R186" s="84" t="n">
        <v>504886666.6666667</v>
      </c>
      <c r="S186" s="83" t="n">
        <v>0</v>
      </c>
      <c r="T186" s="84" t="n">
        <v>0</v>
      </c>
      <c r="U186" s="83" t="n">
        <v>31</v>
      </c>
      <c r="V186" s="84">
        <f>U186*L186</f>
        <v/>
      </c>
      <c r="W186" s="83">
        <f>Q186+S186-U186</f>
        <v/>
      </c>
      <c r="X186" s="84">
        <f>R186+T186-V186</f>
        <v/>
      </c>
      <c r="Y186" s="85" t="inlineStr">
        <is>
          <t>P221ZZSR01</t>
        </is>
      </c>
      <c r="Z186" s="86" t="inlineStr">
        <is>
          <t>15661</t>
        </is>
      </c>
      <c r="AA186" s="86" t="inlineStr">
        <is>
          <t>33561</t>
        </is>
      </c>
      <c r="AB186" s="86" t="inlineStr">
        <is>
          <t>6277651</t>
        </is>
      </c>
      <c r="AC186" s="87" t="inlineStr">
        <is>
          <t>Series</t>
        </is>
      </c>
      <c r="AD186" s="76">
        <f>COUNTIF('KK1. Movies'!AI:AI,'TK 15661.Bản quyền phim '!F186)</f>
        <v/>
      </c>
      <c r="AE186" s="76">
        <f>COUNTIF('KK2. Series'!AM:AM,'TK 15661.Bản quyền phim '!F186)</f>
        <v/>
      </c>
      <c r="AF186" s="76">
        <f>COUNTIF('KK3. Kids'!AF:AF,'TK 15661.Bản quyền phim '!F186)</f>
        <v/>
      </c>
      <c r="AG186" s="76" t="n"/>
      <c r="AH186" s="76">
        <f>IF(SUM(AD186:AG186)&gt;0,"OK",0)</f>
        <v/>
      </c>
    </row>
    <row r="187" hidden="1" ht="15.6" customHeight="1" s="578">
      <c r="A187" s="27" t="n"/>
      <c r="B187" s="74" t="inlineStr">
        <is>
          <t>K+2MOV024019</t>
        </is>
      </c>
      <c r="C187" s="708" t="inlineStr">
        <is>
          <t>VND</t>
        </is>
      </c>
      <c r="D187" s="708" t="inlineStr">
        <is>
          <t>S0001804</t>
        </is>
      </c>
      <c r="E187" s="708" t="inlineStr">
        <is>
          <t>CÔNG TY TNHH TRUYỀN THÔNG ROSES</t>
        </is>
      </c>
      <c r="F187" s="708" t="inlineStr">
        <is>
          <t>The 355</t>
        </is>
      </c>
      <c r="G187" s="708" t="inlineStr">
        <is>
          <t>Movies International</t>
        </is>
      </c>
      <c r="H187" s="83" t="n">
        <v>1</v>
      </c>
      <c r="I187" s="83" t="n">
        <v>3</v>
      </c>
      <c r="J187" s="83">
        <f>H187*I187</f>
        <v/>
      </c>
      <c r="K187" s="83" t="n">
        <v>95238095</v>
      </c>
      <c r="L187" s="83" t="n">
        <v>31746031.66666667</v>
      </c>
      <c r="M187" s="83">
        <f>J187-Q187</f>
        <v/>
      </c>
      <c r="N187" s="83">
        <f>K187-R187</f>
        <v/>
      </c>
      <c r="O187" s="517" t="n">
        <v>45309</v>
      </c>
      <c r="P187" s="517" t="n">
        <v>46404</v>
      </c>
      <c r="Q187" s="83" t="n">
        <v>2</v>
      </c>
      <c r="R187" s="84" t="n">
        <v>63492063.33333333</v>
      </c>
      <c r="S187" s="83" t="n">
        <v>0</v>
      </c>
      <c r="T187" s="84" t="n">
        <v>0</v>
      </c>
      <c r="U187" s="83" t="n">
        <v>1</v>
      </c>
      <c r="V187" s="84">
        <f>U187*L187</f>
        <v/>
      </c>
      <c r="W187" s="83">
        <f>Q187+S187-U187</f>
        <v/>
      </c>
      <c r="X187" s="84">
        <f>R187+T187-V187</f>
        <v/>
      </c>
      <c r="Y187" s="85" t="inlineStr">
        <is>
          <t>P221ZZMO01</t>
        </is>
      </c>
      <c r="Z187" s="86" t="inlineStr">
        <is>
          <t>15661</t>
        </is>
      </c>
      <c r="AA187" s="86" t="inlineStr">
        <is>
          <t>33561</t>
        </is>
      </c>
      <c r="AB187" s="86" t="inlineStr">
        <is>
          <t>6277651</t>
        </is>
      </c>
      <c r="AC187" s="87" t="inlineStr">
        <is>
          <t>Movies</t>
        </is>
      </c>
      <c r="AD187" s="76">
        <f>COUNTIF('KK1. Movies'!AI:AI,'TK 15661.Bản quyền phim '!F187)</f>
        <v/>
      </c>
      <c r="AE187" s="76">
        <f>COUNTIF('KK2. Series'!AM:AM,'TK 15661.Bản quyền phim '!F187)</f>
        <v/>
      </c>
      <c r="AF187" s="76">
        <f>COUNTIF('KK3. Kids'!AF:AF,'TK 15661.Bản quyền phim '!F187)</f>
        <v/>
      </c>
      <c r="AG187" s="76" t="n"/>
      <c r="AH187" s="76">
        <f>IF(SUM(AD187:AG187)&gt;0,"OK",0)</f>
        <v/>
      </c>
    </row>
    <row r="188" hidden="1" ht="15.6" customHeight="1" s="578">
      <c r="A188" s="27" t="n"/>
      <c r="B188" s="74" t="inlineStr">
        <is>
          <t>K+1MOV024020</t>
        </is>
      </c>
      <c r="C188" s="708" t="inlineStr">
        <is>
          <t>VND</t>
        </is>
      </c>
      <c r="D188" s="708" t="inlineStr">
        <is>
          <t>S0001804</t>
        </is>
      </c>
      <c r="E188" s="708" t="inlineStr">
        <is>
          <t>CÔNG TY TNHH TRUYỀN THÔNG ROSES</t>
        </is>
      </c>
      <c r="F188" s="708" t="inlineStr">
        <is>
          <t>Moonfall</t>
        </is>
      </c>
      <c r="G188" s="708" t="inlineStr">
        <is>
          <t>Movies International</t>
        </is>
      </c>
      <c r="H188" s="83" t="n">
        <v>1</v>
      </c>
      <c r="I188" s="83" t="n">
        <v>3</v>
      </c>
      <c r="J188" s="83">
        <f>H188*I188</f>
        <v/>
      </c>
      <c r="K188" s="83" t="n">
        <v>90738095</v>
      </c>
      <c r="L188" s="83" t="n">
        <v>30246031.66666667</v>
      </c>
      <c r="M188" s="83">
        <f>J188-Q188</f>
        <v/>
      </c>
      <c r="N188" s="83">
        <f>K188-R188</f>
        <v/>
      </c>
      <c r="O188" s="517" t="n">
        <v>45310</v>
      </c>
      <c r="P188" s="517" t="n">
        <v>46405</v>
      </c>
      <c r="Q188" s="83" t="n">
        <v>2</v>
      </c>
      <c r="R188" s="84" t="n">
        <v>60492063.33333333</v>
      </c>
      <c r="S188" s="83" t="n">
        <v>0</v>
      </c>
      <c r="T188" s="84" t="n">
        <v>0</v>
      </c>
      <c r="U188" s="83" t="n">
        <v>1</v>
      </c>
      <c r="V188" s="84">
        <f>U188*L188</f>
        <v/>
      </c>
      <c r="W188" s="83">
        <f>Q188+S188-U188</f>
        <v/>
      </c>
      <c r="X188" s="84">
        <f>R188+T188-V188</f>
        <v/>
      </c>
      <c r="Y188" s="85" t="inlineStr">
        <is>
          <t>P221ZZMO01</t>
        </is>
      </c>
      <c r="Z188" s="86" t="inlineStr">
        <is>
          <t>15661</t>
        </is>
      </c>
      <c r="AA188" s="86" t="inlineStr">
        <is>
          <t>33561</t>
        </is>
      </c>
      <c r="AB188" s="86" t="inlineStr">
        <is>
          <t>6277651</t>
        </is>
      </c>
      <c r="AC188" s="87" t="inlineStr">
        <is>
          <t>Movies</t>
        </is>
      </c>
      <c r="AD188" s="76">
        <f>COUNTIF('KK1. Movies'!AI:AI,'TK 15661.Bản quyền phim '!F188)</f>
        <v/>
      </c>
      <c r="AE188" s="76">
        <f>COUNTIF('KK2. Series'!AM:AM,'TK 15661.Bản quyền phim '!F188)</f>
        <v/>
      </c>
      <c r="AF188" s="76">
        <f>COUNTIF('KK3. Kids'!AF:AF,'TK 15661.Bản quyền phim '!F188)</f>
        <v/>
      </c>
      <c r="AG188" s="76" t="n"/>
      <c r="AH188" s="76">
        <f>IF(SUM(AD188:AG188)&gt;0,"OK",0)</f>
        <v/>
      </c>
    </row>
    <row r="189" hidden="1" ht="15.6" customHeight="1" s="578">
      <c r="A189" s="27" t="n"/>
      <c r="B189" s="74" t="inlineStr">
        <is>
          <t>K+2MOV024021</t>
        </is>
      </c>
      <c r="C189" s="708" t="inlineStr">
        <is>
          <t>VND</t>
        </is>
      </c>
      <c r="D189" s="708" t="inlineStr">
        <is>
          <t>S0001804</t>
        </is>
      </c>
      <c r="E189" s="708" t="inlineStr">
        <is>
          <t>CÔNG TY TNHH TRUYỀN THÔNG ROSES</t>
        </is>
      </c>
      <c r="F189" s="708" t="inlineStr">
        <is>
          <t>Blacklight</t>
        </is>
      </c>
      <c r="G189" s="708" t="inlineStr">
        <is>
          <t>Movies International</t>
        </is>
      </c>
      <c r="H189" s="83" t="n">
        <v>1</v>
      </c>
      <c r="I189" s="83" t="n">
        <v>3</v>
      </c>
      <c r="J189" s="83">
        <f>H189*I189</f>
        <v/>
      </c>
      <c r="K189" s="83" t="n">
        <v>89761905</v>
      </c>
      <c r="L189" s="83" t="n">
        <v>29920635</v>
      </c>
      <c r="M189" s="83">
        <f>J189-Q189</f>
        <v/>
      </c>
      <c r="N189" s="83">
        <f>K189-R189</f>
        <v/>
      </c>
      <c r="O189" s="517" t="n">
        <v>45316</v>
      </c>
      <c r="P189" s="517" t="n">
        <v>46411</v>
      </c>
      <c r="Q189" s="83" t="n">
        <v>2</v>
      </c>
      <c r="R189" s="84" t="n">
        <v>59841270</v>
      </c>
      <c r="S189" s="83" t="n">
        <v>0</v>
      </c>
      <c r="T189" s="84" t="n">
        <v>0</v>
      </c>
      <c r="U189" s="83" t="n">
        <v>1</v>
      </c>
      <c r="V189" s="84">
        <f>U189*L189</f>
        <v/>
      </c>
      <c r="W189" s="83">
        <f>Q189+S189-U189</f>
        <v/>
      </c>
      <c r="X189" s="84">
        <f>R189+T189-V189</f>
        <v/>
      </c>
      <c r="Y189" s="85" t="inlineStr">
        <is>
          <t>P221ZZMO01</t>
        </is>
      </c>
      <c r="Z189" s="86" t="inlineStr">
        <is>
          <t>15661</t>
        </is>
      </c>
      <c r="AA189" s="86" t="inlineStr">
        <is>
          <t>33561</t>
        </is>
      </c>
      <c r="AB189" s="86" t="inlineStr">
        <is>
          <t>6277651</t>
        </is>
      </c>
      <c r="AC189" s="87" t="inlineStr">
        <is>
          <t>Movies</t>
        </is>
      </c>
      <c r="AD189" s="76">
        <f>COUNTIF('KK1. Movies'!AI:AI,'TK 15661.Bản quyền phim '!F189)</f>
        <v/>
      </c>
      <c r="AE189" s="76">
        <f>COUNTIF('KK2. Series'!AM:AM,'TK 15661.Bản quyền phim '!F189)</f>
        <v/>
      </c>
      <c r="AF189" s="76">
        <f>COUNTIF('KK3. Kids'!AF:AF,'TK 15661.Bản quyền phim '!F189)</f>
        <v/>
      </c>
      <c r="AG189" s="76" t="n"/>
      <c r="AH189" s="76">
        <f>IF(SUM(AD189:AG189)&gt;0,"OK",0)</f>
        <v/>
      </c>
    </row>
    <row r="190" hidden="1" ht="15.6" customHeight="1" s="578">
      <c r="A190" s="27" t="n"/>
      <c r="B190" s="74" t="inlineStr">
        <is>
          <t>K+1MOV024022</t>
        </is>
      </c>
      <c r="C190" s="708" t="inlineStr">
        <is>
          <t>VND</t>
        </is>
      </c>
      <c r="D190" s="708" t="inlineStr">
        <is>
          <t>S0001804</t>
        </is>
      </c>
      <c r="E190" s="708" t="inlineStr">
        <is>
          <t>CÔNG TY TNHH TRUYỀN THÔNG ROSES</t>
        </is>
      </c>
      <c r="F190" s="708" t="inlineStr">
        <is>
          <t>Wrath of Man</t>
        </is>
      </c>
      <c r="G190" s="708" t="inlineStr">
        <is>
          <t>Movies International</t>
        </is>
      </c>
      <c r="H190" s="83" t="n">
        <v>1</v>
      </c>
      <c r="I190" s="83" t="n">
        <v>3</v>
      </c>
      <c r="J190" s="83">
        <f>H190*I190</f>
        <v/>
      </c>
      <c r="K190" s="83" t="n">
        <v>117142857</v>
      </c>
      <c r="L190" s="83" t="n">
        <v>39047619</v>
      </c>
      <c r="M190" s="83">
        <f>J190-Q190</f>
        <v/>
      </c>
      <c r="N190" s="83">
        <f>K190-R190</f>
        <v/>
      </c>
      <c r="O190" s="517" t="n">
        <v>45317</v>
      </c>
      <c r="P190" s="517" t="n">
        <v>46402</v>
      </c>
      <c r="Q190" s="83" t="n">
        <v>2</v>
      </c>
      <c r="R190" s="84" t="n">
        <v>78095238</v>
      </c>
      <c r="S190" s="83" t="n">
        <v>0</v>
      </c>
      <c r="T190" s="84" t="n">
        <v>0</v>
      </c>
      <c r="U190" s="83" t="n">
        <v>1</v>
      </c>
      <c r="V190" s="84">
        <f>U190*L190</f>
        <v/>
      </c>
      <c r="W190" s="83">
        <f>Q190+S190-U190</f>
        <v/>
      </c>
      <c r="X190" s="84">
        <f>R190+T190-V190</f>
        <v/>
      </c>
      <c r="Y190" s="85" t="inlineStr">
        <is>
          <t>P221ZZMO01</t>
        </is>
      </c>
      <c r="Z190" s="86" t="inlineStr">
        <is>
          <t>15661</t>
        </is>
      </c>
      <c r="AA190" s="86" t="inlineStr">
        <is>
          <t>33561</t>
        </is>
      </c>
      <c r="AB190" s="86" t="inlineStr">
        <is>
          <t>6277651</t>
        </is>
      </c>
      <c r="AC190" s="87" t="inlineStr">
        <is>
          <t>Movies</t>
        </is>
      </c>
      <c r="AD190" s="76">
        <f>COUNTIF('KK1. Movies'!AI:AI,'TK 15661.Bản quyền phim '!F190)</f>
        <v/>
      </c>
      <c r="AE190" s="76">
        <f>COUNTIF('KK2. Series'!AM:AM,'TK 15661.Bản quyền phim '!F190)</f>
        <v/>
      </c>
      <c r="AF190" s="76">
        <f>COUNTIF('KK3. Kids'!AF:AF,'TK 15661.Bản quyền phim '!F190)</f>
        <v/>
      </c>
      <c r="AG190" s="76" t="n"/>
      <c r="AH190" s="76">
        <f>IF(SUM(AD190:AG190)&gt;0,"OK",0)</f>
        <v/>
      </c>
    </row>
    <row r="191" hidden="1" ht="15.6" customHeight="1" s="578">
      <c r="A191" s="27" t="n"/>
      <c r="B191" s="74" t="inlineStr">
        <is>
          <t>K+1MOV024023</t>
        </is>
      </c>
      <c r="C191" s="708" t="inlineStr">
        <is>
          <t>VND</t>
        </is>
      </c>
      <c r="D191" s="708" t="inlineStr">
        <is>
          <t>S0001804</t>
        </is>
      </c>
      <c r="E191" s="708" t="inlineStr">
        <is>
          <t>CÔNG TY TNHH TRUYỀN THÔNG ROSES</t>
        </is>
      </c>
      <c r="F191" s="708" t="inlineStr">
        <is>
          <t>Journey to China: The Mystery of the Dragon Seal</t>
        </is>
      </c>
      <c r="G191" s="708" t="inlineStr">
        <is>
          <t>Movies International</t>
        </is>
      </c>
      <c r="H191" s="83" t="n">
        <v>1</v>
      </c>
      <c r="I191" s="83" t="n">
        <v>3</v>
      </c>
      <c r="J191" s="83">
        <f>H191*I191</f>
        <v/>
      </c>
      <c r="K191" s="83" t="n">
        <v>88388095</v>
      </c>
      <c r="L191" s="83" t="n">
        <v>29462698.33333333</v>
      </c>
      <c r="M191" s="83">
        <f>J191-Q191</f>
        <v/>
      </c>
      <c r="N191" s="83">
        <f>K191-R191</f>
        <v/>
      </c>
      <c r="O191" s="517" t="n">
        <v>45338</v>
      </c>
      <c r="P191" s="517" t="n">
        <v>46433</v>
      </c>
      <c r="Q191" s="83" t="n">
        <v>2</v>
      </c>
      <c r="R191" s="84" t="n">
        <v>58925396.66666667</v>
      </c>
      <c r="S191" s="83" t="n">
        <v>0</v>
      </c>
      <c r="T191" s="84" t="n">
        <v>0</v>
      </c>
      <c r="U191" s="83" t="n">
        <v>1</v>
      </c>
      <c r="V191" s="84">
        <f>U191*L191</f>
        <v/>
      </c>
      <c r="W191" s="83">
        <f>Q191+S191-U191</f>
        <v/>
      </c>
      <c r="X191" s="84">
        <f>R191+T191-V191</f>
        <v/>
      </c>
      <c r="Y191" s="85" t="inlineStr">
        <is>
          <t>P221ZZMO01</t>
        </is>
      </c>
      <c r="Z191" s="86" t="inlineStr">
        <is>
          <t>15661</t>
        </is>
      </c>
      <c r="AA191" s="86" t="inlineStr">
        <is>
          <t>33561</t>
        </is>
      </c>
      <c r="AB191" s="86" t="inlineStr">
        <is>
          <t>6277651</t>
        </is>
      </c>
      <c r="AC191" s="87" t="inlineStr">
        <is>
          <t>Movies</t>
        </is>
      </c>
      <c r="AD191" s="76">
        <f>COUNTIF('KK1. Movies'!AI:AI,'TK 15661.Bản quyền phim '!F191)</f>
        <v/>
      </c>
      <c r="AE191" s="76">
        <f>COUNTIF('KK2. Series'!AM:AM,'TK 15661.Bản quyền phim '!F191)</f>
        <v/>
      </c>
      <c r="AF191" s="76">
        <f>COUNTIF('KK3. Kids'!AF:AF,'TK 15661.Bản quyền phim '!F191)</f>
        <v/>
      </c>
      <c r="AG191" s="76" t="n"/>
      <c r="AH191" s="76">
        <f>IF(SUM(AD191:AG191)&gt;0,"OK",0)</f>
        <v/>
      </c>
    </row>
    <row r="192" hidden="1" ht="15.6" customHeight="1" s="578">
      <c r="A192" s="27" t="n"/>
      <c r="B192" s="74" t="inlineStr">
        <is>
          <t>K+2MOV024024</t>
        </is>
      </c>
      <c r="C192" s="708" t="inlineStr">
        <is>
          <t>VND</t>
        </is>
      </c>
      <c r="D192" s="708" t="inlineStr">
        <is>
          <t>S0001804</t>
        </is>
      </c>
      <c r="E192" s="708" t="inlineStr">
        <is>
          <t>CÔNG TY TNHH TRUYỀN THÔNG ROSES</t>
        </is>
      </c>
      <c r="F192" s="708" t="inlineStr">
        <is>
          <t>Hypnotic</t>
        </is>
      </c>
      <c r="G192" s="708" t="inlineStr">
        <is>
          <t>Movies International</t>
        </is>
      </c>
      <c r="H192" s="83" t="n">
        <v>1</v>
      </c>
      <c r="I192" s="83" t="n">
        <v>3</v>
      </c>
      <c r="J192" s="83">
        <f>H192*I192</f>
        <v/>
      </c>
      <c r="K192" s="83" t="n">
        <v>95988095</v>
      </c>
      <c r="L192" s="83" t="n">
        <v>31996031.66666667</v>
      </c>
      <c r="M192" s="83">
        <f>J192-Q192</f>
        <v/>
      </c>
      <c r="N192" s="83">
        <f>K192-R192</f>
        <v/>
      </c>
      <c r="O192" s="517" t="n">
        <v>45554</v>
      </c>
      <c r="P192" s="517" t="n">
        <v>46648</v>
      </c>
      <c r="Q192" s="83" t="n">
        <v>2</v>
      </c>
      <c r="R192" s="84" t="n">
        <v>63992063.33333333</v>
      </c>
      <c r="S192" s="83" t="n">
        <v>0</v>
      </c>
      <c r="T192" s="84" t="n">
        <v>0</v>
      </c>
      <c r="U192" s="83" t="n">
        <v>1</v>
      </c>
      <c r="V192" s="84">
        <f>U192*L192</f>
        <v/>
      </c>
      <c r="W192" s="83">
        <f>Q192+S192-U192</f>
        <v/>
      </c>
      <c r="X192" s="84">
        <f>R192+T192-V192</f>
        <v/>
      </c>
      <c r="Y192" s="85" t="inlineStr">
        <is>
          <t>P221ZZMO01</t>
        </is>
      </c>
      <c r="Z192" s="86" t="inlineStr">
        <is>
          <t>15661</t>
        </is>
      </c>
      <c r="AA192" s="86" t="inlineStr">
        <is>
          <t>33561</t>
        </is>
      </c>
      <c r="AB192" s="86" t="inlineStr">
        <is>
          <t>6277651</t>
        </is>
      </c>
      <c r="AC192" s="87" t="inlineStr">
        <is>
          <t>Movies</t>
        </is>
      </c>
      <c r="AD192" s="76">
        <f>COUNTIF('KK1. Movies'!AI:AI,'TK 15661.Bản quyền phim '!F192)</f>
        <v/>
      </c>
      <c r="AE192" s="76">
        <f>COUNTIF('KK2. Series'!AM:AM,'TK 15661.Bản quyền phim '!F192)</f>
        <v/>
      </c>
      <c r="AF192" s="76">
        <f>COUNTIF('KK3. Kids'!AF:AF,'TK 15661.Bản quyền phim '!F192)</f>
        <v/>
      </c>
      <c r="AG192" s="76" t="n"/>
      <c r="AH192" s="76">
        <f>IF(SUM(AD192:AG192)&gt;0,"OK",0)</f>
        <v/>
      </c>
    </row>
    <row r="193" hidden="1" ht="15.6" customHeight="1" s="578">
      <c r="A193" s="27" t="n"/>
      <c r="B193" s="74" t="inlineStr">
        <is>
          <t>K+2MOV024025</t>
        </is>
      </c>
      <c r="C193" s="708" t="inlineStr">
        <is>
          <t>VND</t>
        </is>
      </c>
      <c r="D193" s="708" t="inlineStr">
        <is>
          <t>S0001804</t>
        </is>
      </c>
      <c r="E193" s="708" t="inlineStr">
        <is>
          <t>CÔNG TY TNHH TRUYỀN THÔNG ROSES</t>
        </is>
      </c>
      <c r="F193" s="708" t="inlineStr">
        <is>
          <t>Talk To Me</t>
        </is>
      </c>
      <c r="G193" s="708" t="inlineStr">
        <is>
          <t>Movies International</t>
        </is>
      </c>
      <c r="H193" s="83" t="n">
        <v>1</v>
      </c>
      <c r="I193" s="83" t="n">
        <v>3</v>
      </c>
      <c r="J193" s="83">
        <f>H193*I193</f>
        <v/>
      </c>
      <c r="K193" s="83" t="n">
        <v>103142857</v>
      </c>
      <c r="L193" s="83" t="n">
        <v>34380952.33333334</v>
      </c>
      <c r="M193" s="83">
        <f>J193-Q193</f>
        <v/>
      </c>
      <c r="N193" s="83">
        <f>K193-R193</f>
        <v/>
      </c>
      <c r="O193" s="517" t="n">
        <v>45575</v>
      </c>
      <c r="P193" s="517" t="n">
        <v>46669</v>
      </c>
      <c r="Q193" s="83" t="n">
        <v>2</v>
      </c>
      <c r="R193" s="84" t="n">
        <v>68761904.66666666</v>
      </c>
      <c r="S193" s="83" t="n">
        <v>0</v>
      </c>
      <c r="T193" s="84" t="n">
        <v>0</v>
      </c>
      <c r="U193" s="83" t="n">
        <v>1</v>
      </c>
      <c r="V193" s="84">
        <f>U193*L193</f>
        <v/>
      </c>
      <c r="W193" s="83">
        <f>Q193+S193-U193</f>
        <v/>
      </c>
      <c r="X193" s="84">
        <f>R193+T193-V193</f>
        <v/>
      </c>
      <c r="Y193" s="85" t="inlineStr">
        <is>
          <t>P221ZZMO01</t>
        </is>
      </c>
      <c r="Z193" s="86" t="inlineStr">
        <is>
          <t>15661</t>
        </is>
      </c>
      <c r="AA193" s="86" t="inlineStr">
        <is>
          <t>33561</t>
        </is>
      </c>
      <c r="AB193" s="86" t="inlineStr">
        <is>
          <t>6277651</t>
        </is>
      </c>
      <c r="AC193" s="87" t="inlineStr">
        <is>
          <t>Movies</t>
        </is>
      </c>
      <c r="AD193" s="76">
        <f>COUNTIF('KK1. Movies'!AI:AI,'TK 15661.Bản quyền phim '!F193)</f>
        <v/>
      </c>
      <c r="AE193" s="76">
        <f>COUNTIF('KK2. Series'!AM:AM,'TK 15661.Bản quyền phim '!F193)</f>
        <v/>
      </c>
      <c r="AF193" s="76">
        <f>COUNTIF('KK3. Kids'!AF:AF,'TK 15661.Bản quyền phim '!F193)</f>
        <v/>
      </c>
      <c r="AG193" s="76" t="n"/>
      <c r="AH193" s="76">
        <f>IF(SUM(AD193:AG193)&gt;0,"OK",0)</f>
        <v/>
      </c>
    </row>
    <row r="194" hidden="1" ht="15.6" customHeight="1" s="578">
      <c r="A194" s="27" t="n"/>
      <c r="B194" s="74" t="inlineStr">
        <is>
          <t>K+2MOV024027</t>
        </is>
      </c>
      <c r="C194" s="708" t="inlineStr">
        <is>
          <t>VND</t>
        </is>
      </c>
      <c r="D194" s="708" t="inlineStr">
        <is>
          <t>S0001328</t>
        </is>
      </c>
      <c r="E194" s="708" t="inlineStr">
        <is>
          <t>Công ty TNHH Skyline Media</t>
        </is>
      </c>
      <c r="F194" s="708" t="inlineStr">
        <is>
          <t>CALM WITH HORSES</t>
        </is>
      </c>
      <c r="G194" s="708" t="inlineStr">
        <is>
          <t>Movies International</t>
        </is>
      </c>
      <c r="H194" s="83" t="n">
        <v>1</v>
      </c>
      <c r="I194" s="83" t="n">
        <v>3</v>
      </c>
      <c r="J194" s="83">
        <f>H194*I194</f>
        <v/>
      </c>
      <c r="K194" s="83" t="n">
        <v>100000476</v>
      </c>
      <c r="L194" s="83" t="n">
        <v>33333492</v>
      </c>
      <c r="M194" s="83">
        <f>J194-Q194</f>
        <v/>
      </c>
      <c r="N194" s="83">
        <f>K194-R194</f>
        <v/>
      </c>
      <c r="O194" s="517" t="n">
        <v>45323</v>
      </c>
      <c r="P194" s="517" t="n">
        <v>46418</v>
      </c>
      <c r="Q194" s="83" t="n">
        <v>2</v>
      </c>
      <c r="R194" s="84" t="n">
        <v>66666984</v>
      </c>
      <c r="S194" s="83" t="n">
        <v>0</v>
      </c>
      <c r="T194" s="84" t="n">
        <v>0</v>
      </c>
      <c r="U194" s="83" t="n">
        <v>1</v>
      </c>
      <c r="V194" s="84">
        <f>U194*L194</f>
        <v/>
      </c>
      <c r="W194" s="83">
        <f>Q194+S194-U194</f>
        <v/>
      </c>
      <c r="X194" s="84">
        <f>R194+T194-V194</f>
        <v/>
      </c>
      <c r="Y194" s="85" t="inlineStr">
        <is>
          <t>P221ZZMO01</t>
        </is>
      </c>
      <c r="Z194" s="86" t="inlineStr">
        <is>
          <t>15661</t>
        </is>
      </c>
      <c r="AA194" s="86" t="inlineStr">
        <is>
          <t>33561</t>
        </is>
      </c>
      <c r="AB194" s="86" t="inlineStr">
        <is>
          <t>6277651</t>
        </is>
      </c>
      <c r="AC194" s="87" t="inlineStr">
        <is>
          <t>Movies</t>
        </is>
      </c>
      <c r="AD194" s="76">
        <f>COUNTIF('KK1. Movies'!AI:AI,'TK 15661.Bản quyền phim '!F194)</f>
        <v/>
      </c>
      <c r="AE194" s="76">
        <f>COUNTIF('KK2. Series'!AM:AM,'TK 15661.Bản quyền phim '!F194)</f>
        <v/>
      </c>
      <c r="AF194" s="76">
        <f>COUNTIF('KK3. Kids'!AF:AF,'TK 15661.Bản quyền phim '!F194)</f>
        <v/>
      </c>
      <c r="AG194" s="76" t="n"/>
      <c r="AH194" s="76">
        <f>IF(SUM(AD194:AG194)&gt;0,"OK",0)</f>
        <v/>
      </c>
    </row>
    <row r="195" hidden="1" ht="15.6" customHeight="1" s="578">
      <c r="A195" s="27" t="n"/>
      <c r="B195" s="74" t="inlineStr">
        <is>
          <t>K+1MOV024028</t>
        </is>
      </c>
      <c r="C195" s="708" t="inlineStr">
        <is>
          <t>VND</t>
        </is>
      </c>
      <c r="D195" s="708" t="inlineStr">
        <is>
          <t>S0001328</t>
        </is>
      </c>
      <c r="E195" s="708" t="inlineStr">
        <is>
          <t>Công ty TNHH Skyline Media</t>
        </is>
      </c>
      <c r="F195" s="708" t="inlineStr">
        <is>
          <t>LAST NIGHT</t>
        </is>
      </c>
      <c r="G195" s="708" t="inlineStr">
        <is>
          <t>Movies International</t>
        </is>
      </c>
      <c r="H195" s="83" t="n">
        <v>1</v>
      </c>
      <c r="I195" s="83" t="n">
        <v>3</v>
      </c>
      <c r="J195" s="83">
        <f>H195*I195</f>
        <v/>
      </c>
      <c r="K195" s="83" t="n">
        <v>100000476</v>
      </c>
      <c r="L195" s="83" t="n">
        <v>33333492</v>
      </c>
      <c r="M195" s="83">
        <f>J195-Q195</f>
        <v/>
      </c>
      <c r="N195" s="83">
        <f>K195-R195</f>
        <v/>
      </c>
      <c r="O195" s="517" t="n">
        <v>45323</v>
      </c>
      <c r="P195" s="517" t="n">
        <v>46418</v>
      </c>
      <c r="Q195" s="83" t="n">
        <v>2</v>
      </c>
      <c r="R195" s="84" t="n">
        <v>66666984</v>
      </c>
      <c r="S195" s="83" t="n">
        <v>0</v>
      </c>
      <c r="T195" s="84" t="n">
        <v>0</v>
      </c>
      <c r="U195" s="83" t="n">
        <v>1</v>
      </c>
      <c r="V195" s="84">
        <f>U195*L195</f>
        <v/>
      </c>
      <c r="W195" s="83">
        <f>Q195+S195-U195</f>
        <v/>
      </c>
      <c r="X195" s="84">
        <f>R195+T195-V195</f>
        <v/>
      </c>
      <c r="Y195" s="85" t="inlineStr">
        <is>
          <t>P221ZZMO01</t>
        </is>
      </c>
      <c r="Z195" s="86" t="inlineStr">
        <is>
          <t>15661</t>
        </is>
      </c>
      <c r="AA195" s="86" t="inlineStr">
        <is>
          <t>33561</t>
        </is>
      </c>
      <c r="AB195" s="86" t="inlineStr">
        <is>
          <t>6277651</t>
        </is>
      </c>
      <c r="AC195" s="87" t="inlineStr">
        <is>
          <t>Movies</t>
        </is>
      </c>
      <c r="AD195" s="76">
        <f>COUNTIF('KK1. Movies'!AI:AI,'TK 15661.Bản quyền phim '!F195)</f>
        <v/>
      </c>
      <c r="AE195" s="76">
        <f>COUNTIF('KK2. Series'!AM:AM,'TK 15661.Bản quyền phim '!F195)</f>
        <v/>
      </c>
      <c r="AF195" s="76">
        <f>COUNTIF('KK3. Kids'!AF:AF,'TK 15661.Bản quyền phim '!F195)</f>
        <v/>
      </c>
      <c r="AG195" s="76" t="n"/>
      <c r="AH195" s="76">
        <f>IF(SUM(AD195:AG195)&gt;0,"OK",0)</f>
        <v/>
      </c>
    </row>
    <row r="196" hidden="1" ht="15.6" customHeight="1" s="578">
      <c r="A196" s="27" t="n"/>
      <c r="B196" s="74" t="inlineStr">
        <is>
          <t>K+1MOV024029</t>
        </is>
      </c>
      <c r="C196" s="708" t="inlineStr">
        <is>
          <t>VND</t>
        </is>
      </c>
      <c r="D196" s="708" t="inlineStr">
        <is>
          <t>S0001328</t>
        </is>
      </c>
      <c r="E196" s="708" t="inlineStr">
        <is>
          <t>Công ty TNHH Skyline Media</t>
        </is>
      </c>
      <c r="F196" s="708" t="inlineStr">
        <is>
          <t>MANHUNT</t>
        </is>
      </c>
      <c r="G196" s="708" t="inlineStr">
        <is>
          <t>Movies International</t>
        </is>
      </c>
      <c r="H196" s="83" t="n">
        <v>1</v>
      </c>
      <c r="I196" s="83" t="n">
        <v>3</v>
      </c>
      <c r="J196" s="83">
        <f>H196*I196</f>
        <v/>
      </c>
      <c r="K196" s="83" t="n">
        <v>100000476</v>
      </c>
      <c r="L196" s="83" t="n">
        <v>33333492</v>
      </c>
      <c r="M196" s="83">
        <f>J196-Q196</f>
        <v/>
      </c>
      <c r="N196" s="83">
        <f>K196-R196</f>
        <v/>
      </c>
      <c r="O196" s="517" t="n">
        <v>45324</v>
      </c>
      <c r="P196" s="517" t="n">
        <v>46419</v>
      </c>
      <c r="Q196" s="83" t="n">
        <v>2</v>
      </c>
      <c r="R196" s="84" t="n">
        <v>66666984</v>
      </c>
      <c r="S196" s="83" t="n">
        <v>0</v>
      </c>
      <c r="T196" s="84" t="n">
        <v>0</v>
      </c>
      <c r="U196" s="83" t="n">
        <v>1</v>
      </c>
      <c r="V196" s="84">
        <f>U196*L196</f>
        <v/>
      </c>
      <c r="W196" s="83">
        <f>Q196+S196-U196</f>
        <v/>
      </c>
      <c r="X196" s="84">
        <f>R196+T196-V196</f>
        <v/>
      </c>
      <c r="Y196" s="85" t="inlineStr">
        <is>
          <t>P221ZZMO01</t>
        </is>
      </c>
      <c r="Z196" s="86" t="inlineStr">
        <is>
          <t>15661</t>
        </is>
      </c>
      <c r="AA196" s="86" t="inlineStr">
        <is>
          <t>33561</t>
        </is>
      </c>
      <c r="AB196" s="86" t="inlineStr">
        <is>
          <t>6277651</t>
        </is>
      </c>
      <c r="AC196" s="87" t="inlineStr">
        <is>
          <t>Movies</t>
        </is>
      </c>
      <c r="AD196" s="76">
        <f>COUNTIF('KK1. Movies'!AI:AI,'TK 15661.Bản quyền phim '!F196)</f>
        <v/>
      </c>
      <c r="AE196" s="76">
        <f>COUNTIF('KK2. Series'!AM:AM,'TK 15661.Bản quyền phim '!F196)</f>
        <v/>
      </c>
      <c r="AF196" s="76">
        <f>COUNTIF('KK3. Kids'!AF:AF,'TK 15661.Bản quyền phim '!F196)</f>
        <v/>
      </c>
      <c r="AG196" s="76" t="n"/>
      <c r="AH196" s="76">
        <f>IF(SUM(AD196:AG196)&gt;0,"OK",0)</f>
        <v/>
      </c>
    </row>
    <row r="197" hidden="1" ht="15.6" customHeight="1" s="578">
      <c r="A197" s="27" t="n"/>
      <c r="B197" s="74" t="inlineStr">
        <is>
          <t>K+1MOV024030</t>
        </is>
      </c>
      <c r="C197" s="708" t="inlineStr">
        <is>
          <t>VND</t>
        </is>
      </c>
      <c r="D197" s="708" t="inlineStr">
        <is>
          <t>S0001328</t>
        </is>
      </c>
      <c r="E197" s="708" t="inlineStr">
        <is>
          <t>Công ty TNHH Skyline Media</t>
        </is>
      </c>
      <c r="F197" s="708" t="inlineStr">
        <is>
          <t>VIVARIUM</t>
        </is>
      </c>
      <c r="G197" s="708" t="inlineStr">
        <is>
          <t>Movies International</t>
        </is>
      </c>
      <c r="H197" s="83" t="n">
        <v>1</v>
      </c>
      <c r="I197" s="83" t="n">
        <v>3</v>
      </c>
      <c r="J197" s="83">
        <f>H197*I197</f>
        <v/>
      </c>
      <c r="K197" s="83" t="n">
        <v>100000476</v>
      </c>
      <c r="L197" s="83" t="n">
        <v>33333492</v>
      </c>
      <c r="M197" s="83">
        <f>J197-Q197</f>
        <v/>
      </c>
      <c r="N197" s="83">
        <f>K197-R197</f>
        <v/>
      </c>
      <c r="O197" s="517" t="n">
        <v>45337</v>
      </c>
      <c r="P197" s="517" t="n">
        <v>46432</v>
      </c>
      <c r="Q197" s="83" t="n">
        <v>2</v>
      </c>
      <c r="R197" s="84" t="n">
        <v>66666984</v>
      </c>
      <c r="S197" s="83" t="n">
        <v>0</v>
      </c>
      <c r="T197" s="84" t="n">
        <v>0</v>
      </c>
      <c r="U197" s="83" t="n">
        <v>1</v>
      </c>
      <c r="V197" s="84">
        <f>U197*L197</f>
        <v/>
      </c>
      <c r="W197" s="83">
        <f>Q197+S197-U197</f>
        <v/>
      </c>
      <c r="X197" s="84">
        <f>R197+T197-V197</f>
        <v/>
      </c>
      <c r="Y197" s="85" t="inlineStr">
        <is>
          <t>P221ZZMO01</t>
        </is>
      </c>
      <c r="Z197" s="86" t="inlineStr">
        <is>
          <t>15661</t>
        </is>
      </c>
      <c r="AA197" s="86" t="inlineStr">
        <is>
          <t>33561</t>
        </is>
      </c>
      <c r="AB197" s="86" t="inlineStr">
        <is>
          <t>6277651</t>
        </is>
      </c>
      <c r="AC197" s="87" t="inlineStr">
        <is>
          <t>Movies</t>
        </is>
      </c>
      <c r="AD197" s="76">
        <f>COUNTIF('KK1. Movies'!AI:AI,'TK 15661.Bản quyền phim '!F197)</f>
        <v/>
      </c>
      <c r="AE197" s="76">
        <f>COUNTIF('KK2. Series'!AM:AM,'TK 15661.Bản quyền phim '!F197)</f>
        <v/>
      </c>
      <c r="AF197" s="76">
        <f>COUNTIF('KK3. Kids'!AF:AF,'TK 15661.Bản quyền phim '!F197)</f>
        <v/>
      </c>
      <c r="AG197" s="76" t="n"/>
      <c r="AH197" s="76">
        <f>IF(SUM(AD197:AG197)&gt;0,"OK",0)</f>
        <v/>
      </c>
    </row>
    <row r="198" hidden="1" ht="15.6" customHeight="1" s="578">
      <c r="A198" s="27" t="n"/>
      <c r="B198" s="74" t="inlineStr">
        <is>
          <t>K+1MOV024031</t>
        </is>
      </c>
      <c r="C198" s="708" t="inlineStr">
        <is>
          <t>VND</t>
        </is>
      </c>
      <c r="D198" s="708" t="inlineStr">
        <is>
          <t>S0001328</t>
        </is>
      </c>
      <c r="E198" s="708" t="inlineStr">
        <is>
          <t>Công ty TNHH Skyline Media</t>
        </is>
      </c>
      <c r="F198" s="708" t="inlineStr">
        <is>
          <t>THE HUMMINGBIRD PROJECT</t>
        </is>
      </c>
      <c r="G198" s="708" t="inlineStr">
        <is>
          <t>Movies International</t>
        </is>
      </c>
      <c r="H198" s="83" t="n">
        <v>1</v>
      </c>
      <c r="I198" s="83" t="n">
        <v>3</v>
      </c>
      <c r="J198" s="83">
        <f>H198*I198</f>
        <v/>
      </c>
      <c r="K198" s="83" t="n">
        <v>100000476</v>
      </c>
      <c r="L198" s="83" t="n">
        <v>33333492</v>
      </c>
      <c r="M198" s="83">
        <f>J198-Q198</f>
        <v/>
      </c>
      <c r="N198" s="83">
        <f>K198-R198</f>
        <v/>
      </c>
      <c r="O198" s="517" t="n">
        <v>45345</v>
      </c>
      <c r="P198" s="517" t="n">
        <v>46440</v>
      </c>
      <c r="Q198" s="83" t="n">
        <v>2</v>
      </c>
      <c r="R198" s="84" t="n">
        <v>66666984</v>
      </c>
      <c r="S198" s="83" t="n">
        <v>0</v>
      </c>
      <c r="T198" s="84" t="n">
        <v>0</v>
      </c>
      <c r="U198" s="83" t="n">
        <v>1</v>
      </c>
      <c r="V198" s="84">
        <f>U198*L198</f>
        <v/>
      </c>
      <c r="W198" s="83">
        <f>Q198+S198-U198</f>
        <v/>
      </c>
      <c r="X198" s="84">
        <f>R198+T198-V198</f>
        <v/>
      </c>
      <c r="Y198" s="85" t="inlineStr">
        <is>
          <t>P221ZZMO01</t>
        </is>
      </c>
      <c r="Z198" s="86" t="inlineStr">
        <is>
          <t>15661</t>
        </is>
      </c>
      <c r="AA198" s="86" t="inlineStr">
        <is>
          <t>33561</t>
        </is>
      </c>
      <c r="AB198" s="86" t="inlineStr">
        <is>
          <t>6277651</t>
        </is>
      </c>
      <c r="AC198" s="87" t="inlineStr">
        <is>
          <t>Movies</t>
        </is>
      </c>
      <c r="AD198" s="76">
        <f>COUNTIF('KK1. Movies'!AI:AI,'TK 15661.Bản quyền phim '!F198)</f>
        <v/>
      </c>
      <c r="AE198" s="76">
        <f>COUNTIF('KK2. Series'!AM:AM,'TK 15661.Bản quyền phim '!F198)</f>
        <v/>
      </c>
      <c r="AF198" s="76">
        <f>COUNTIF('KK3. Kids'!AF:AF,'TK 15661.Bản quyền phim '!F198)</f>
        <v/>
      </c>
      <c r="AG198" s="76" t="n"/>
      <c r="AH198" s="76">
        <f>IF(SUM(AD198:AG198)&gt;0,"OK",0)</f>
        <v/>
      </c>
    </row>
    <row r="199" hidden="1" ht="15.6" customHeight="1" s="578">
      <c r="A199" s="27" t="n"/>
      <c r="B199" s="74" t="inlineStr">
        <is>
          <t>K+1MOV024032</t>
        </is>
      </c>
      <c r="C199" s="708" t="inlineStr">
        <is>
          <t>VND</t>
        </is>
      </c>
      <c r="D199" s="708" t="inlineStr">
        <is>
          <t>S0001328</t>
        </is>
      </c>
      <c r="E199" s="708" t="inlineStr">
        <is>
          <t>Công ty TNHH Skyline Media</t>
        </is>
      </c>
      <c r="F199" s="708" t="inlineStr">
        <is>
          <t>THE KING'S DAUGHTER</t>
        </is>
      </c>
      <c r="G199" s="708" t="inlineStr">
        <is>
          <t>Movies International</t>
        </is>
      </c>
      <c r="H199" s="83" t="n">
        <v>1</v>
      </c>
      <c r="I199" s="83" t="n">
        <v>3</v>
      </c>
      <c r="J199" s="83">
        <f>H199*I199</f>
        <v/>
      </c>
      <c r="K199" s="83" t="n">
        <v>100000476</v>
      </c>
      <c r="L199" s="83" t="n">
        <v>33333492</v>
      </c>
      <c r="M199" s="83">
        <f>J199-Q199</f>
        <v/>
      </c>
      <c r="N199" s="83">
        <f>K199-R199</f>
        <v/>
      </c>
      <c r="O199" s="517" t="n">
        <v>45351</v>
      </c>
      <c r="P199" s="517" t="n">
        <v>46446</v>
      </c>
      <c r="Q199" s="83" t="n">
        <v>2</v>
      </c>
      <c r="R199" s="84" t="n">
        <v>66666984</v>
      </c>
      <c r="S199" s="83" t="n">
        <v>0</v>
      </c>
      <c r="T199" s="84" t="n">
        <v>0</v>
      </c>
      <c r="U199" s="83" t="n">
        <v>1</v>
      </c>
      <c r="V199" s="84">
        <f>U199*L199</f>
        <v/>
      </c>
      <c r="W199" s="83">
        <f>Q199+S199-U199</f>
        <v/>
      </c>
      <c r="X199" s="84">
        <f>R199+T199-V199</f>
        <v/>
      </c>
      <c r="Y199" s="85" t="inlineStr">
        <is>
          <t>P221ZZMO01</t>
        </is>
      </c>
      <c r="Z199" s="86" t="inlineStr">
        <is>
          <t>15661</t>
        </is>
      </c>
      <c r="AA199" s="86" t="inlineStr">
        <is>
          <t>33561</t>
        </is>
      </c>
      <c r="AB199" s="86" t="inlineStr">
        <is>
          <t>6277651</t>
        </is>
      </c>
      <c r="AC199" s="87" t="inlineStr">
        <is>
          <t>Movies</t>
        </is>
      </c>
      <c r="AD199" s="76">
        <f>COUNTIF('KK1. Movies'!AI:AI,'TK 15661.Bản quyền phim '!F199)</f>
        <v/>
      </c>
      <c r="AE199" s="76">
        <f>COUNTIF('KK2. Series'!AM:AM,'TK 15661.Bản quyền phim '!F199)</f>
        <v/>
      </c>
      <c r="AF199" s="76">
        <f>COUNTIF('KK3. Kids'!AF:AF,'TK 15661.Bản quyền phim '!F199)</f>
        <v/>
      </c>
      <c r="AG199" s="76" t="n"/>
      <c r="AH199" s="76">
        <f>IF(SUM(AD199:AG199)&gt;0,"OK",0)</f>
        <v/>
      </c>
    </row>
    <row r="200" hidden="1" ht="15.6" customHeight="1" s="578">
      <c r="A200" s="27" t="n"/>
      <c r="B200" s="74" t="inlineStr">
        <is>
          <t>K+1MOV024033</t>
        </is>
      </c>
      <c r="C200" s="708" t="inlineStr">
        <is>
          <t>VND</t>
        </is>
      </c>
      <c r="D200" s="708" t="inlineStr">
        <is>
          <t>S0001328</t>
        </is>
      </c>
      <c r="E200" s="708" t="inlineStr">
        <is>
          <t>Công ty TNHH Skyline Media</t>
        </is>
      </c>
      <c r="F200" s="708" t="inlineStr">
        <is>
          <t>DEATH NOTICE</t>
        </is>
      </c>
      <c r="G200" s="708" t="inlineStr">
        <is>
          <t>Movies International</t>
        </is>
      </c>
      <c r="H200" s="83" t="n">
        <v>1</v>
      </c>
      <c r="I200" s="83" t="n">
        <v>3</v>
      </c>
      <c r="J200" s="83">
        <f>H200*I200</f>
        <v/>
      </c>
      <c r="K200" s="83" t="n">
        <v>100000476</v>
      </c>
      <c r="L200" s="83" t="n">
        <v>33333492</v>
      </c>
      <c r="M200" s="83">
        <f>J200-Q200</f>
        <v/>
      </c>
      <c r="N200" s="83">
        <f>K200-R200</f>
        <v/>
      </c>
      <c r="O200" s="517" t="n">
        <v>45352</v>
      </c>
      <c r="P200" s="517" t="n">
        <v>46446</v>
      </c>
      <c r="Q200" s="83" t="n">
        <v>2</v>
      </c>
      <c r="R200" s="84" t="n">
        <v>66666984</v>
      </c>
      <c r="S200" s="83" t="n">
        <v>0</v>
      </c>
      <c r="T200" s="84" t="n">
        <v>0</v>
      </c>
      <c r="U200" s="83" t="n">
        <v>1</v>
      </c>
      <c r="V200" s="84">
        <f>U200*L200</f>
        <v/>
      </c>
      <c r="W200" s="83">
        <f>Q200+S200-U200</f>
        <v/>
      </c>
      <c r="X200" s="84">
        <f>R200+T200-V200</f>
        <v/>
      </c>
      <c r="Y200" s="85" t="inlineStr">
        <is>
          <t>P221ZZMO01</t>
        </is>
      </c>
      <c r="Z200" s="86" t="inlineStr">
        <is>
          <t>15661</t>
        </is>
      </c>
      <c r="AA200" s="86" t="inlineStr">
        <is>
          <t>33561</t>
        </is>
      </c>
      <c r="AB200" s="86" t="inlineStr">
        <is>
          <t>6277651</t>
        </is>
      </c>
      <c r="AC200" s="87" t="inlineStr">
        <is>
          <t>Movies</t>
        </is>
      </c>
      <c r="AD200" s="76">
        <f>COUNTIF('KK1. Movies'!AI:AI,'TK 15661.Bản quyền phim '!F200)</f>
        <v/>
      </c>
      <c r="AE200" s="76">
        <f>COUNTIF('KK2. Series'!AM:AM,'TK 15661.Bản quyền phim '!F200)</f>
        <v/>
      </c>
      <c r="AF200" s="76">
        <f>COUNTIF('KK3. Kids'!AF:AF,'TK 15661.Bản quyền phim '!F200)</f>
        <v/>
      </c>
      <c r="AG200" s="76" t="n"/>
      <c r="AH200" s="76">
        <f>IF(SUM(AD200:AG200)&gt;0,"OK",0)</f>
        <v/>
      </c>
    </row>
    <row r="201" hidden="1" ht="15.6" customHeight="1" s="578">
      <c r="A201" s="27" t="n"/>
      <c r="B201" s="74" t="inlineStr">
        <is>
          <t>K+1MOV024034</t>
        </is>
      </c>
      <c r="C201" s="708" t="inlineStr">
        <is>
          <t>VND</t>
        </is>
      </c>
      <c r="D201" s="708" t="inlineStr">
        <is>
          <t>S0001328</t>
        </is>
      </c>
      <c r="E201" s="708" t="inlineStr">
        <is>
          <t>Công ty TNHH Skyline Media</t>
        </is>
      </c>
      <c r="F201" s="708" t="inlineStr">
        <is>
          <t>THE WHISTLERS</t>
        </is>
      </c>
      <c r="G201" s="708" t="inlineStr">
        <is>
          <t>Movies International</t>
        </is>
      </c>
      <c r="H201" s="83" t="n">
        <v>1</v>
      </c>
      <c r="I201" s="83" t="n">
        <v>3</v>
      </c>
      <c r="J201" s="83">
        <f>H201*I201</f>
        <v/>
      </c>
      <c r="K201" s="83" t="n">
        <v>100000476</v>
      </c>
      <c r="L201" s="83" t="n">
        <v>33333492</v>
      </c>
      <c r="M201" s="83">
        <f>J201-Q201</f>
        <v/>
      </c>
      <c r="N201" s="83">
        <f>K201-R201</f>
        <v/>
      </c>
      <c r="O201" s="517" t="n">
        <v>45365</v>
      </c>
      <c r="P201" s="517" t="n">
        <v>46459</v>
      </c>
      <c r="Q201" s="83" t="n">
        <v>2</v>
      </c>
      <c r="R201" s="84" t="n">
        <v>66666984</v>
      </c>
      <c r="S201" s="83" t="n">
        <v>0</v>
      </c>
      <c r="T201" s="84" t="n">
        <v>0</v>
      </c>
      <c r="U201" s="83" t="n">
        <v>1</v>
      </c>
      <c r="V201" s="84">
        <f>U201*L201</f>
        <v/>
      </c>
      <c r="W201" s="83">
        <f>Q201+S201-U201</f>
        <v/>
      </c>
      <c r="X201" s="84">
        <f>R201+T201-V201</f>
        <v/>
      </c>
      <c r="Y201" s="85" t="inlineStr">
        <is>
          <t>P221ZZMO01</t>
        </is>
      </c>
      <c r="Z201" s="86" t="inlineStr">
        <is>
          <t>15661</t>
        </is>
      </c>
      <c r="AA201" s="86" t="inlineStr">
        <is>
          <t>33561</t>
        </is>
      </c>
      <c r="AB201" s="86" t="inlineStr">
        <is>
          <t>6277651</t>
        </is>
      </c>
      <c r="AC201" s="87" t="inlineStr">
        <is>
          <t>Movies</t>
        </is>
      </c>
      <c r="AD201" s="76">
        <f>COUNTIF('KK1. Movies'!AI:AI,'TK 15661.Bản quyền phim '!F201)</f>
        <v/>
      </c>
      <c r="AE201" s="76">
        <f>COUNTIF('KK2. Series'!AM:AM,'TK 15661.Bản quyền phim '!F201)</f>
        <v/>
      </c>
      <c r="AF201" s="76">
        <f>COUNTIF('KK3. Kids'!AF:AF,'TK 15661.Bản quyền phim '!F201)</f>
        <v/>
      </c>
      <c r="AG201" s="76" t="n"/>
      <c r="AH201" s="76">
        <f>IF(SUM(AD201:AG201)&gt;0,"OK",0)</f>
        <v/>
      </c>
    </row>
    <row r="202" hidden="1" ht="15.6" customHeight="1" s="578">
      <c r="A202" s="27" t="n"/>
      <c r="B202" s="74" t="inlineStr">
        <is>
          <t>K+1MOV024035</t>
        </is>
      </c>
      <c r="C202" s="708" t="inlineStr">
        <is>
          <t>VND</t>
        </is>
      </c>
      <c r="D202" s="708" t="inlineStr">
        <is>
          <t>S0001328</t>
        </is>
      </c>
      <c r="E202" s="708" t="inlineStr">
        <is>
          <t>Công ty TNHH Skyline Media</t>
        </is>
      </c>
      <c r="F202" s="708" t="inlineStr">
        <is>
          <t>THE WHITE STORM 2: DRUG LORDS</t>
        </is>
      </c>
      <c r="G202" s="708" t="inlineStr">
        <is>
          <t>Movies International</t>
        </is>
      </c>
      <c r="H202" s="83" t="n">
        <v>1</v>
      </c>
      <c r="I202" s="83" t="n">
        <v>3</v>
      </c>
      <c r="J202" s="83">
        <f>H202*I202</f>
        <v/>
      </c>
      <c r="K202" s="83" t="n">
        <v>100000476</v>
      </c>
      <c r="L202" s="83" t="n">
        <v>33333492</v>
      </c>
      <c r="M202" s="83">
        <f>J202-Q202</f>
        <v/>
      </c>
      <c r="N202" s="83">
        <f>K202-R202</f>
        <v/>
      </c>
      <c r="O202" s="517" t="n">
        <v>45366</v>
      </c>
      <c r="P202" s="517" t="n">
        <v>46460</v>
      </c>
      <c r="Q202" s="83" t="n">
        <v>2</v>
      </c>
      <c r="R202" s="84" t="n">
        <v>66666984</v>
      </c>
      <c r="S202" s="83" t="n">
        <v>0</v>
      </c>
      <c r="T202" s="84" t="n">
        <v>0</v>
      </c>
      <c r="U202" s="83" t="n">
        <v>1</v>
      </c>
      <c r="V202" s="84">
        <f>U202*L202</f>
        <v/>
      </c>
      <c r="W202" s="83">
        <f>Q202+S202-U202</f>
        <v/>
      </c>
      <c r="X202" s="84">
        <f>R202+T202-V202</f>
        <v/>
      </c>
      <c r="Y202" s="85" t="inlineStr">
        <is>
          <t>P221ZZMO01</t>
        </is>
      </c>
      <c r="Z202" s="86" t="inlineStr">
        <is>
          <t>15661</t>
        </is>
      </c>
      <c r="AA202" s="86" t="inlineStr">
        <is>
          <t>33561</t>
        </is>
      </c>
      <c r="AB202" s="86" t="inlineStr">
        <is>
          <t>6277651</t>
        </is>
      </c>
      <c r="AC202" s="87" t="inlineStr">
        <is>
          <t>Movies</t>
        </is>
      </c>
      <c r="AD202" s="76">
        <f>COUNTIF('KK1. Movies'!AI:AI,'TK 15661.Bản quyền phim '!F202)</f>
        <v/>
      </c>
      <c r="AE202" s="76">
        <f>COUNTIF('KK2. Series'!AM:AM,'TK 15661.Bản quyền phim '!F202)</f>
        <v/>
      </c>
      <c r="AF202" s="76">
        <f>COUNTIF('KK3. Kids'!AF:AF,'TK 15661.Bản quyền phim '!F202)</f>
        <v/>
      </c>
      <c r="AG202" s="76" t="n"/>
      <c r="AH202" s="76">
        <f>IF(SUM(AD202:AG202)&gt;0,"OK",0)</f>
        <v/>
      </c>
    </row>
    <row r="203" hidden="1" ht="15.6" customHeight="1" s="578">
      <c r="A203" s="27" t="n"/>
      <c r="B203" s="74" t="inlineStr">
        <is>
          <t>K+2MOV024036</t>
        </is>
      </c>
      <c r="C203" s="708" t="inlineStr">
        <is>
          <t>VND</t>
        </is>
      </c>
      <c r="D203" s="708" t="inlineStr">
        <is>
          <t>S0001328</t>
        </is>
      </c>
      <c r="E203" s="708" t="inlineStr">
        <is>
          <t>Công ty TNHH Skyline Media</t>
        </is>
      </c>
      <c r="F203" s="708" t="inlineStr">
        <is>
          <t>ANGEL OF MINE</t>
        </is>
      </c>
      <c r="G203" s="708" t="inlineStr">
        <is>
          <t>Movies International</t>
        </is>
      </c>
      <c r="H203" s="83" t="n">
        <v>1</v>
      </c>
      <c r="I203" s="83" t="n">
        <v>3</v>
      </c>
      <c r="J203" s="83">
        <f>H203*I203</f>
        <v/>
      </c>
      <c r="K203" s="83" t="n">
        <v>100000476</v>
      </c>
      <c r="L203" s="83" t="n">
        <v>33333492</v>
      </c>
      <c r="M203" s="83">
        <f>J203-Q203</f>
        <v/>
      </c>
      <c r="N203" s="83">
        <f>K203-R203</f>
        <v/>
      </c>
      <c r="O203" s="517" t="n">
        <v>45372</v>
      </c>
      <c r="P203" s="517" t="n">
        <v>46466</v>
      </c>
      <c r="Q203" s="83" t="n">
        <v>2</v>
      </c>
      <c r="R203" s="84" t="n">
        <v>66666984</v>
      </c>
      <c r="S203" s="83" t="n">
        <v>0</v>
      </c>
      <c r="T203" s="84" t="n">
        <v>0</v>
      </c>
      <c r="U203" s="83" t="n">
        <v>1</v>
      </c>
      <c r="V203" s="84">
        <f>U203*L203</f>
        <v/>
      </c>
      <c r="W203" s="83">
        <f>Q203+S203-U203</f>
        <v/>
      </c>
      <c r="X203" s="84">
        <f>R203+T203-V203</f>
        <v/>
      </c>
      <c r="Y203" s="85" t="inlineStr">
        <is>
          <t>P221ZZMO01</t>
        </is>
      </c>
      <c r="Z203" s="86" t="inlineStr">
        <is>
          <t>15661</t>
        </is>
      </c>
      <c r="AA203" s="86" t="inlineStr">
        <is>
          <t>33561</t>
        </is>
      </c>
      <c r="AB203" s="86" t="inlineStr">
        <is>
          <t>6277651</t>
        </is>
      </c>
      <c r="AC203" s="87" t="inlineStr">
        <is>
          <t>Movies</t>
        </is>
      </c>
      <c r="AD203" s="76">
        <f>COUNTIF('KK1. Movies'!AI:AI,'TK 15661.Bản quyền phim '!F203)</f>
        <v/>
      </c>
      <c r="AE203" s="76">
        <f>COUNTIF('KK2. Series'!AM:AM,'TK 15661.Bản quyền phim '!F203)</f>
        <v/>
      </c>
      <c r="AF203" s="76">
        <f>COUNTIF('KK3. Kids'!AF:AF,'TK 15661.Bản quyền phim '!F203)</f>
        <v/>
      </c>
      <c r="AG203" s="76" t="n"/>
      <c r="AH203" s="76">
        <f>IF(SUM(AD203:AG203)&gt;0,"OK",0)</f>
        <v/>
      </c>
    </row>
    <row r="204" hidden="1" ht="15.6" customHeight="1" s="578">
      <c r="A204" s="27" t="n"/>
      <c r="B204" s="74" t="inlineStr">
        <is>
          <t>K+1MOV024037</t>
        </is>
      </c>
      <c r="C204" s="708" t="inlineStr">
        <is>
          <t>VND</t>
        </is>
      </c>
      <c r="D204" s="708" t="inlineStr">
        <is>
          <t>S0001328</t>
        </is>
      </c>
      <c r="E204" s="708" t="inlineStr">
        <is>
          <t>Công ty TNHH Skyline Media</t>
        </is>
      </c>
      <c r="F204" s="708" t="inlineStr">
        <is>
          <t>THE WHITE STORM 3: HEAVEN OR HELL</t>
        </is>
      </c>
      <c r="G204" s="708" t="inlineStr">
        <is>
          <t>Movies International</t>
        </is>
      </c>
      <c r="H204" s="83" t="n">
        <v>1</v>
      </c>
      <c r="I204" s="83" t="n">
        <v>3</v>
      </c>
      <c r="J204" s="83">
        <f>H204*I204</f>
        <v/>
      </c>
      <c r="K204" s="83" t="n">
        <v>100000476</v>
      </c>
      <c r="L204" s="83" t="n">
        <v>33333492</v>
      </c>
      <c r="M204" s="83">
        <f>J204-Q204</f>
        <v/>
      </c>
      <c r="N204" s="83">
        <f>K204-R204</f>
        <v/>
      </c>
      <c r="O204" s="517" t="n">
        <v>45373</v>
      </c>
      <c r="P204" s="517" t="n">
        <v>46467</v>
      </c>
      <c r="Q204" s="83" t="n">
        <v>2</v>
      </c>
      <c r="R204" s="84" t="n">
        <v>66666984</v>
      </c>
      <c r="S204" s="83" t="n">
        <v>0</v>
      </c>
      <c r="T204" s="84" t="n">
        <v>0</v>
      </c>
      <c r="U204" s="83" t="n">
        <v>1</v>
      </c>
      <c r="V204" s="84">
        <f>U204*L204</f>
        <v/>
      </c>
      <c r="W204" s="83">
        <f>Q204+S204-U204</f>
        <v/>
      </c>
      <c r="X204" s="84">
        <f>R204+T204-V204</f>
        <v/>
      </c>
      <c r="Y204" s="85" t="inlineStr">
        <is>
          <t>P221ZZMO01</t>
        </is>
      </c>
      <c r="Z204" s="86" t="inlineStr">
        <is>
          <t>15661</t>
        </is>
      </c>
      <c r="AA204" s="86" t="inlineStr">
        <is>
          <t>33561</t>
        </is>
      </c>
      <c r="AB204" s="86" t="inlineStr">
        <is>
          <t>6277651</t>
        </is>
      </c>
      <c r="AC204" s="87" t="inlineStr">
        <is>
          <t>Movies</t>
        </is>
      </c>
      <c r="AD204" s="76">
        <f>COUNTIF('KK1. Movies'!AI:AI,'TK 15661.Bản quyền phim '!F204)</f>
        <v/>
      </c>
      <c r="AE204" s="76">
        <f>COUNTIF('KK2. Series'!AM:AM,'TK 15661.Bản quyền phim '!F204)</f>
        <v/>
      </c>
      <c r="AF204" s="76">
        <f>COUNTIF('KK3. Kids'!AF:AF,'TK 15661.Bản quyền phim '!F204)</f>
        <v/>
      </c>
      <c r="AG204" s="76" t="n"/>
      <c r="AH204" s="76">
        <f>IF(SUM(AD204:AG204)&gt;0,"OK",0)</f>
        <v/>
      </c>
    </row>
    <row r="205" hidden="1" ht="15.6" customHeight="1" s="578">
      <c r="A205" s="27" t="n"/>
      <c r="B205" s="74" t="inlineStr">
        <is>
          <t>K+1MOV024038</t>
        </is>
      </c>
      <c r="C205" s="708" t="inlineStr">
        <is>
          <t>VND</t>
        </is>
      </c>
      <c r="D205" s="708" t="inlineStr">
        <is>
          <t>S0001328</t>
        </is>
      </c>
      <c r="E205" s="708" t="inlineStr">
        <is>
          <t>Công ty TNHH Skyline Media</t>
        </is>
      </c>
      <c r="F205" s="708" t="inlineStr">
        <is>
          <t>KUNG FU MONSTER</t>
        </is>
      </c>
      <c r="G205" s="708" t="inlineStr">
        <is>
          <t>Movies International</t>
        </is>
      </c>
      <c r="H205" s="83" t="n">
        <v>1</v>
      </c>
      <c r="I205" s="83" t="n">
        <v>3</v>
      </c>
      <c r="J205" s="83">
        <f>H205*I205</f>
        <v/>
      </c>
      <c r="K205" s="83" t="n">
        <v>100000476</v>
      </c>
      <c r="L205" s="83" t="n">
        <v>33333492</v>
      </c>
      <c r="M205" s="83">
        <f>J205-Q205</f>
        <v/>
      </c>
      <c r="N205" s="83">
        <f>K205-R205</f>
        <v/>
      </c>
      <c r="O205" s="517" t="n">
        <v>45380</v>
      </c>
      <c r="P205" s="517" t="n">
        <v>46474</v>
      </c>
      <c r="Q205" s="83" t="n">
        <v>2</v>
      </c>
      <c r="R205" s="84" t="n">
        <v>66666984</v>
      </c>
      <c r="S205" s="83" t="n">
        <v>0</v>
      </c>
      <c r="T205" s="84" t="n">
        <v>0</v>
      </c>
      <c r="U205" s="83" t="n">
        <v>1</v>
      </c>
      <c r="V205" s="84">
        <f>U205*L205</f>
        <v/>
      </c>
      <c r="W205" s="83">
        <f>Q205+S205-U205</f>
        <v/>
      </c>
      <c r="X205" s="84">
        <f>R205+T205-V205</f>
        <v/>
      </c>
      <c r="Y205" s="85" t="inlineStr">
        <is>
          <t>P221ZZMO01</t>
        </is>
      </c>
      <c r="Z205" s="86" t="inlineStr">
        <is>
          <t>15661</t>
        </is>
      </c>
      <c r="AA205" s="86" t="inlineStr">
        <is>
          <t>33561</t>
        </is>
      </c>
      <c r="AB205" s="86" t="inlineStr">
        <is>
          <t>6277651</t>
        </is>
      </c>
      <c r="AC205" s="87" t="inlineStr">
        <is>
          <t>Movies</t>
        </is>
      </c>
      <c r="AD205" s="76">
        <f>COUNTIF('KK1. Movies'!AI:AI,'TK 15661.Bản quyền phim '!F205)</f>
        <v/>
      </c>
      <c r="AE205" s="76">
        <f>COUNTIF('KK2. Series'!AM:AM,'TK 15661.Bản quyền phim '!F205)</f>
        <v/>
      </c>
      <c r="AF205" s="76">
        <f>COUNTIF('KK3. Kids'!AF:AF,'TK 15661.Bản quyền phim '!F205)</f>
        <v/>
      </c>
      <c r="AG205" s="76" t="n"/>
      <c r="AH205" s="76">
        <f>IF(SUM(AD205:AG205)&gt;0,"OK",0)</f>
        <v/>
      </c>
    </row>
    <row r="206" hidden="1" ht="15.6" customHeight="1" s="578">
      <c r="A206" s="27" t="n"/>
      <c r="B206" s="74" t="inlineStr">
        <is>
          <t>K+1MOV024039</t>
        </is>
      </c>
      <c r="C206" s="708" t="inlineStr">
        <is>
          <t>VND</t>
        </is>
      </c>
      <c r="D206" s="708" t="inlineStr">
        <is>
          <t>S0001328</t>
        </is>
      </c>
      <c r="E206" s="708" t="inlineStr">
        <is>
          <t>Công ty TNHH Skyline Media</t>
        </is>
      </c>
      <c r="F206" s="708" t="inlineStr">
        <is>
          <t>ANATOMY OF A FALL</t>
        </is>
      </c>
      <c r="G206" s="708" t="inlineStr">
        <is>
          <t>Movies International</t>
        </is>
      </c>
      <c r="H206" s="83" t="n">
        <v>1</v>
      </c>
      <c r="I206" s="83" t="n">
        <v>3</v>
      </c>
      <c r="J206" s="83">
        <f>H206*I206</f>
        <v/>
      </c>
      <c r="K206" s="83" t="n">
        <v>100000476</v>
      </c>
      <c r="L206" s="83" t="n">
        <v>33333492</v>
      </c>
      <c r="M206" s="83">
        <f>J206-Q206</f>
        <v/>
      </c>
      <c r="N206" s="83">
        <f>K206-R206</f>
        <v/>
      </c>
      <c r="O206" s="517" t="n">
        <v>45383</v>
      </c>
      <c r="P206" s="517" t="n">
        <v>46477</v>
      </c>
      <c r="Q206" s="83" t="n">
        <v>2</v>
      </c>
      <c r="R206" s="84" t="n">
        <v>66666984</v>
      </c>
      <c r="S206" s="83" t="n">
        <v>0</v>
      </c>
      <c r="T206" s="84" t="n">
        <v>0</v>
      </c>
      <c r="U206" s="83" t="n">
        <v>1</v>
      </c>
      <c r="V206" s="84">
        <f>U206*L206</f>
        <v/>
      </c>
      <c r="W206" s="83">
        <f>Q206+S206-U206</f>
        <v/>
      </c>
      <c r="X206" s="84">
        <f>R206+T206-V206</f>
        <v/>
      </c>
      <c r="Y206" s="85" t="inlineStr">
        <is>
          <t>P221ZZMO01</t>
        </is>
      </c>
      <c r="Z206" s="86" t="inlineStr">
        <is>
          <t>15661</t>
        </is>
      </c>
      <c r="AA206" s="86" t="inlineStr">
        <is>
          <t>33561</t>
        </is>
      </c>
      <c r="AB206" s="86" t="inlineStr">
        <is>
          <t>6277651</t>
        </is>
      </c>
      <c r="AC206" s="87" t="inlineStr">
        <is>
          <t>Movies</t>
        </is>
      </c>
      <c r="AD206" s="76">
        <f>COUNTIF('KK1. Movies'!AI:AI,'TK 15661.Bản quyền phim '!F206)</f>
        <v/>
      </c>
      <c r="AE206" s="76">
        <f>COUNTIF('KK2. Series'!AM:AM,'TK 15661.Bản quyền phim '!F206)</f>
        <v/>
      </c>
      <c r="AF206" s="76">
        <f>COUNTIF('KK3. Kids'!AF:AF,'TK 15661.Bản quyền phim '!F206)</f>
        <v/>
      </c>
      <c r="AG206" s="76" t="n"/>
      <c r="AH206" s="76">
        <f>IF(SUM(AD206:AG206)&gt;0,"OK",0)</f>
        <v/>
      </c>
    </row>
    <row r="207" hidden="1" ht="15.6" customHeight="1" s="578">
      <c r="A207" s="27" t="n"/>
      <c r="B207" s="74" t="inlineStr">
        <is>
          <t>K+1MOV024040</t>
        </is>
      </c>
      <c r="C207" s="708" t="inlineStr">
        <is>
          <t>VND</t>
        </is>
      </c>
      <c r="D207" s="708" t="inlineStr">
        <is>
          <t>S0001328</t>
        </is>
      </c>
      <c r="E207" s="708" t="inlineStr">
        <is>
          <t>Công ty TNHH Skyline Media</t>
        </is>
      </c>
      <c r="F207" s="708" t="inlineStr">
        <is>
          <t>A LONG WAY DOWN</t>
        </is>
      </c>
      <c r="G207" s="708" t="inlineStr">
        <is>
          <t>Movies International</t>
        </is>
      </c>
      <c r="H207" s="83" t="n">
        <v>1</v>
      </c>
      <c r="I207" s="83" t="n">
        <v>3</v>
      </c>
      <c r="J207" s="83">
        <f>H207*I207</f>
        <v/>
      </c>
      <c r="K207" s="83" t="n">
        <v>100000476</v>
      </c>
      <c r="L207" s="83" t="n">
        <v>33333492</v>
      </c>
      <c r="M207" s="83">
        <f>J207-Q207</f>
        <v/>
      </c>
      <c r="N207" s="83">
        <f>K207-R207</f>
        <v/>
      </c>
      <c r="O207" s="517" t="n">
        <v>45385</v>
      </c>
      <c r="P207" s="517" t="n">
        <v>46479</v>
      </c>
      <c r="Q207" s="83" t="n">
        <v>2</v>
      </c>
      <c r="R207" s="84" t="n">
        <v>66666984</v>
      </c>
      <c r="S207" s="83" t="n">
        <v>0</v>
      </c>
      <c r="T207" s="84" t="n">
        <v>0</v>
      </c>
      <c r="U207" s="83" t="n">
        <v>1</v>
      </c>
      <c r="V207" s="84">
        <f>U207*L207</f>
        <v/>
      </c>
      <c r="W207" s="83">
        <f>Q207+S207-U207</f>
        <v/>
      </c>
      <c r="X207" s="84">
        <f>R207+T207-V207</f>
        <v/>
      </c>
      <c r="Y207" s="85" t="inlineStr">
        <is>
          <t>P221ZZMO01</t>
        </is>
      </c>
      <c r="Z207" s="86" t="inlineStr">
        <is>
          <t>15661</t>
        </is>
      </c>
      <c r="AA207" s="86" t="inlineStr">
        <is>
          <t>33561</t>
        </is>
      </c>
      <c r="AB207" s="86" t="inlineStr">
        <is>
          <t>6277651</t>
        </is>
      </c>
      <c r="AC207" s="87" t="inlineStr">
        <is>
          <t>Movies</t>
        </is>
      </c>
      <c r="AD207" s="76">
        <f>COUNTIF('KK1. Movies'!AI:AI,'TK 15661.Bản quyền phim '!F207)</f>
        <v/>
      </c>
      <c r="AE207" s="76">
        <f>COUNTIF('KK2. Series'!AM:AM,'TK 15661.Bản quyền phim '!F207)</f>
        <v/>
      </c>
      <c r="AF207" s="76">
        <f>COUNTIF('KK3. Kids'!AF:AF,'TK 15661.Bản quyền phim '!F207)</f>
        <v/>
      </c>
      <c r="AG207" s="76" t="n"/>
      <c r="AH207" s="76">
        <f>IF(SUM(AD207:AG207)&gt;0,"OK",0)</f>
        <v/>
      </c>
    </row>
    <row r="208" hidden="1" ht="15.6" customHeight="1" s="578">
      <c r="A208" s="27" t="n"/>
      <c r="B208" s="74" t="inlineStr">
        <is>
          <t>K+1MOV024041</t>
        </is>
      </c>
      <c r="C208" s="708" t="inlineStr">
        <is>
          <t>VND</t>
        </is>
      </c>
      <c r="D208" s="708" t="inlineStr">
        <is>
          <t>S0001328</t>
        </is>
      </c>
      <c r="E208" s="708" t="inlineStr">
        <is>
          <t>Công ty TNHH Skyline Media</t>
        </is>
      </c>
      <c r="F208" s="708" t="inlineStr">
        <is>
          <t>ALL ABOUT MY MOTHER</t>
        </is>
      </c>
      <c r="G208" s="708" t="inlineStr">
        <is>
          <t>Movies International</t>
        </is>
      </c>
      <c r="H208" s="83" t="n">
        <v>1</v>
      </c>
      <c r="I208" s="83" t="n">
        <v>3</v>
      </c>
      <c r="J208" s="83">
        <f>H208*I208</f>
        <v/>
      </c>
      <c r="K208" s="83" t="n">
        <v>100000476</v>
      </c>
      <c r="L208" s="83" t="n">
        <v>33333492</v>
      </c>
      <c r="M208" s="83">
        <f>J208-Q208</f>
        <v/>
      </c>
      <c r="N208" s="83">
        <f>K208-R208</f>
        <v/>
      </c>
      <c r="O208" s="517" t="n">
        <v>45567</v>
      </c>
      <c r="P208" s="517" t="n">
        <v>46661</v>
      </c>
      <c r="Q208" s="83" t="n">
        <v>2</v>
      </c>
      <c r="R208" s="84" t="n">
        <v>66666984</v>
      </c>
      <c r="S208" s="83" t="n">
        <v>0</v>
      </c>
      <c r="T208" s="84" t="n">
        <v>0</v>
      </c>
      <c r="U208" s="83" t="n">
        <v>1</v>
      </c>
      <c r="V208" s="84">
        <f>U208*L208</f>
        <v/>
      </c>
      <c r="W208" s="83">
        <f>Q208+S208-U208</f>
        <v/>
      </c>
      <c r="X208" s="84">
        <f>R208+T208-V208</f>
        <v/>
      </c>
      <c r="Y208" s="85" t="inlineStr">
        <is>
          <t>P221ZZMO01</t>
        </is>
      </c>
      <c r="Z208" s="86" t="inlineStr">
        <is>
          <t>15661</t>
        </is>
      </c>
      <c r="AA208" s="86" t="inlineStr">
        <is>
          <t>33561</t>
        </is>
      </c>
      <c r="AB208" s="86" t="inlineStr">
        <is>
          <t>6277651</t>
        </is>
      </c>
      <c r="AC208" s="87" t="inlineStr">
        <is>
          <t>Movies</t>
        </is>
      </c>
      <c r="AD208" s="76">
        <f>COUNTIF('KK1. Movies'!AI:AI,'TK 15661.Bản quyền phim '!F208)</f>
        <v/>
      </c>
      <c r="AE208" s="76">
        <f>COUNTIF('KK2. Series'!AM:AM,'TK 15661.Bản quyền phim '!F208)</f>
        <v/>
      </c>
      <c r="AF208" s="76">
        <f>COUNTIF('KK3. Kids'!AF:AF,'TK 15661.Bản quyền phim '!F208)</f>
        <v/>
      </c>
      <c r="AG208" s="76" t="n"/>
      <c r="AH208" s="76">
        <f>IF(SUM(AD208:AG208)&gt;0,"OK",0)</f>
        <v/>
      </c>
    </row>
    <row r="209" hidden="1" ht="15.6" customHeight="1" s="578">
      <c r="A209" s="27" t="n"/>
      <c r="B209" s="74" t="inlineStr">
        <is>
          <t>K+1MOV024042</t>
        </is>
      </c>
      <c r="C209" s="708" t="inlineStr">
        <is>
          <t>VND</t>
        </is>
      </c>
      <c r="D209" s="708" t="inlineStr">
        <is>
          <t>S0001328</t>
        </is>
      </c>
      <c r="E209" s="708" t="inlineStr">
        <is>
          <t>Công ty TNHH Skyline Media</t>
        </is>
      </c>
      <c r="F209" s="708" t="inlineStr">
        <is>
          <t>ON YOUR MARK</t>
        </is>
      </c>
      <c r="G209" s="708" t="inlineStr">
        <is>
          <t>Movies International</t>
        </is>
      </c>
      <c r="H209" s="83" t="n">
        <v>1</v>
      </c>
      <c r="I209" s="83" t="n">
        <v>3</v>
      </c>
      <c r="J209" s="83">
        <f>H209*I209</f>
        <v/>
      </c>
      <c r="K209" s="83" t="n">
        <v>100000476</v>
      </c>
      <c r="L209" s="83" t="n">
        <v>33333492</v>
      </c>
      <c r="M209" s="83">
        <f>J209-Q209</f>
        <v/>
      </c>
      <c r="N209" s="83">
        <f>K209-R209</f>
        <v/>
      </c>
      <c r="O209" s="517" t="n">
        <v>45602</v>
      </c>
      <c r="P209" s="517" t="n">
        <v>46696</v>
      </c>
      <c r="Q209" s="83" t="n">
        <v>2</v>
      </c>
      <c r="R209" s="84" t="n">
        <v>66666984</v>
      </c>
      <c r="S209" s="83" t="n">
        <v>0</v>
      </c>
      <c r="T209" s="84" t="n">
        <v>0</v>
      </c>
      <c r="U209" s="83" t="n">
        <v>1</v>
      </c>
      <c r="V209" s="84">
        <f>U209*L209</f>
        <v/>
      </c>
      <c r="W209" s="83">
        <f>Q209+S209-U209</f>
        <v/>
      </c>
      <c r="X209" s="84">
        <f>R209+T209-V209</f>
        <v/>
      </c>
      <c r="Y209" s="85" t="inlineStr">
        <is>
          <t>P221ZZMO01</t>
        </is>
      </c>
      <c r="Z209" s="86" t="inlineStr">
        <is>
          <t>15661</t>
        </is>
      </c>
      <c r="AA209" s="86" t="inlineStr">
        <is>
          <t>33561</t>
        </is>
      </c>
      <c r="AB209" s="86" t="inlineStr">
        <is>
          <t>6277651</t>
        </is>
      </c>
      <c r="AC209" s="87" t="inlineStr">
        <is>
          <t>Movies</t>
        </is>
      </c>
      <c r="AD209" s="76">
        <f>COUNTIF('KK1. Movies'!AI:AI,'TK 15661.Bản quyền phim '!F209)</f>
        <v/>
      </c>
      <c r="AE209" s="76">
        <f>COUNTIF('KK2. Series'!AM:AM,'TK 15661.Bản quyền phim '!F209)</f>
        <v/>
      </c>
      <c r="AF209" s="76">
        <f>COUNTIF('KK3. Kids'!AF:AF,'TK 15661.Bản quyền phim '!F209)</f>
        <v/>
      </c>
      <c r="AG209" s="76" t="n"/>
      <c r="AH209" s="76">
        <f>IF(SUM(AD209:AG209)&gt;0,"OK",0)</f>
        <v/>
      </c>
    </row>
    <row r="210" hidden="1" ht="15.6" customHeight="1" s="578">
      <c r="A210" s="27" t="n"/>
      <c r="B210" s="74" t="inlineStr">
        <is>
          <t>K+1MOV024043</t>
        </is>
      </c>
      <c r="C210" s="708" t="inlineStr">
        <is>
          <t>VND</t>
        </is>
      </c>
      <c r="D210" s="708" t="inlineStr">
        <is>
          <t>S0001328</t>
        </is>
      </c>
      <c r="E210" s="708" t="inlineStr">
        <is>
          <t>Công ty TNHH Skyline Media</t>
        </is>
      </c>
      <c r="F210" s="708" t="inlineStr">
        <is>
          <t>MAYBE I DO</t>
        </is>
      </c>
      <c r="G210" s="708" t="inlineStr">
        <is>
          <t>Movies International</t>
        </is>
      </c>
      <c r="H210" s="83" t="n">
        <v>1</v>
      </c>
      <c r="I210" s="83" t="n">
        <v>3</v>
      </c>
      <c r="J210" s="83">
        <f>H210*I210</f>
        <v/>
      </c>
      <c r="K210" s="83" t="n">
        <v>100000476</v>
      </c>
      <c r="L210" s="83" t="n">
        <v>33333492</v>
      </c>
      <c r="M210" s="83">
        <f>J210-Q210</f>
        <v/>
      </c>
      <c r="N210" s="83">
        <f>K210-R210</f>
        <v/>
      </c>
      <c r="O210" s="517" t="n">
        <v>45644</v>
      </c>
      <c r="P210" s="517" t="n">
        <v>46738</v>
      </c>
      <c r="Q210" s="83" t="n">
        <v>2</v>
      </c>
      <c r="R210" s="84" t="n">
        <v>66666984</v>
      </c>
      <c r="S210" s="83" t="n">
        <v>0</v>
      </c>
      <c r="T210" s="84" t="n">
        <v>0</v>
      </c>
      <c r="U210" s="83" t="n">
        <v>1</v>
      </c>
      <c r="V210" s="84">
        <f>U210*L210</f>
        <v/>
      </c>
      <c r="W210" s="83">
        <f>Q210+S210-U210</f>
        <v/>
      </c>
      <c r="X210" s="84">
        <f>R210+T210-V210</f>
        <v/>
      </c>
      <c r="Y210" s="85" t="inlineStr">
        <is>
          <t>P221ZZMO01</t>
        </is>
      </c>
      <c r="Z210" s="86" t="inlineStr">
        <is>
          <t>15661</t>
        </is>
      </c>
      <c r="AA210" s="86" t="inlineStr">
        <is>
          <t>33561</t>
        </is>
      </c>
      <c r="AB210" s="86" t="inlineStr">
        <is>
          <t>6277651</t>
        </is>
      </c>
      <c r="AC210" s="87" t="inlineStr">
        <is>
          <t>Movies</t>
        </is>
      </c>
      <c r="AD210" s="76">
        <f>COUNTIF('KK1. Movies'!AI:AI,'TK 15661.Bản quyền phim '!F210)</f>
        <v/>
      </c>
      <c r="AE210" s="76">
        <f>COUNTIF('KK2. Series'!AM:AM,'TK 15661.Bản quyền phim '!F210)</f>
        <v/>
      </c>
      <c r="AF210" s="76">
        <f>COUNTIF('KK3. Kids'!AF:AF,'TK 15661.Bản quyền phim '!F210)</f>
        <v/>
      </c>
      <c r="AG210" s="76" t="n"/>
      <c r="AH210" s="76">
        <f>IF(SUM(AD210:AG210)&gt;0,"OK",0)</f>
        <v/>
      </c>
    </row>
    <row r="211" hidden="1" ht="15.6" customHeight="1" s="578">
      <c r="A211" s="30">
        <f>(U211-H211)*L211</f>
        <v/>
      </c>
      <c r="B211" s="74" t="inlineStr">
        <is>
          <t>K+1SER024044</t>
        </is>
      </c>
      <c r="C211" s="708" t="inlineStr">
        <is>
          <t>EUR</t>
        </is>
      </c>
      <c r="D211" s="708" t="inlineStr">
        <is>
          <t>S0001558</t>
        </is>
      </c>
      <c r="E211" s="708" t="inlineStr">
        <is>
          <t>StudioCanal TV Gmbh</t>
        </is>
      </c>
      <c r="F211" s="708" t="inlineStr">
        <is>
          <t>OF MONEY AND BLOOD - SEASON 1</t>
        </is>
      </c>
      <c r="G211" s="708" t="inlineStr">
        <is>
          <t>Series International</t>
        </is>
      </c>
      <c r="H211" s="83" t="n">
        <v>12</v>
      </c>
      <c r="I211" s="83" t="n">
        <v>7</v>
      </c>
      <c r="J211" s="83">
        <f>H211*I211</f>
        <v/>
      </c>
      <c r="K211" s="83" t="n">
        <v>1071200000</v>
      </c>
      <c r="L211" s="83" t="n">
        <v>12752380.95238095</v>
      </c>
      <c r="M211" s="83">
        <f>J211-Q211</f>
        <v/>
      </c>
      <c r="N211" s="83">
        <f>K211-R211</f>
        <v/>
      </c>
      <c r="O211" s="517" t="n">
        <v>45291</v>
      </c>
      <c r="P211" s="517" t="n">
        <v>47847</v>
      </c>
      <c r="Q211" s="83" t="n">
        <v>72</v>
      </c>
      <c r="R211" s="84" t="n">
        <v>918171428.5714285</v>
      </c>
      <c r="S211" s="83" t="n">
        <v>0</v>
      </c>
      <c r="T211" s="84" t="n">
        <v>0</v>
      </c>
      <c r="U211" s="83" t="n">
        <v>12</v>
      </c>
      <c r="V211" s="84">
        <f>U211*L211</f>
        <v/>
      </c>
      <c r="W211" s="83">
        <f>Q211+S211-U211</f>
        <v/>
      </c>
      <c r="X211" s="84">
        <f>R211+T211-V211</f>
        <v/>
      </c>
      <c r="Y211" s="85" t="inlineStr">
        <is>
          <t>P221ZZSR01</t>
        </is>
      </c>
      <c r="Z211" s="86" t="inlineStr">
        <is>
          <t>15661</t>
        </is>
      </c>
      <c r="AA211" s="86" t="inlineStr">
        <is>
          <t>33561</t>
        </is>
      </c>
      <c r="AB211" s="86" t="inlineStr">
        <is>
          <t>6277651</t>
        </is>
      </c>
      <c r="AC211" s="87" t="inlineStr">
        <is>
          <t>Series</t>
        </is>
      </c>
      <c r="AD211" s="76">
        <f>COUNTIF('KK1. Movies'!AI:AI,'TK 15661.Bản quyền phim '!F211)</f>
        <v/>
      </c>
      <c r="AE211" s="76">
        <f>COUNTIF('KK2. Series'!AM:AM,'TK 15661.Bản quyền phim '!F211)</f>
        <v/>
      </c>
      <c r="AF211" s="76">
        <f>COUNTIF('KK3. Kids'!AF:AF,'TK 15661.Bản quyền phim '!F211)</f>
        <v/>
      </c>
      <c r="AG211" s="76" t="n"/>
      <c r="AH211" s="76">
        <f>IF(SUM(AD211:AG211)&gt;0,"OK",0)</f>
        <v/>
      </c>
    </row>
    <row r="212" hidden="1" s="578">
      <c r="A212" s="30">
        <f>(U212-H212)*L212</f>
        <v/>
      </c>
      <c r="B212" s="74" t="inlineStr">
        <is>
          <t>K+5KID024045</t>
        </is>
      </c>
      <c r="C212" s="708" t="inlineStr">
        <is>
          <t>USD</t>
        </is>
      </c>
      <c r="D212" s="708" t="inlineStr">
        <is>
          <t>S0002519</t>
        </is>
      </c>
      <c r="E212" s="708" t="inlineStr">
        <is>
          <t>POPS SINGAPORE PTE. LTD.</t>
        </is>
      </c>
      <c r="F212" s="708" t="inlineStr">
        <is>
          <t>Doraemon Season 12</t>
        </is>
      </c>
      <c r="G212" s="708" t="inlineStr">
        <is>
          <t>KIDS</t>
        </is>
      </c>
      <c r="H212" s="83" t="n">
        <v>52</v>
      </c>
      <c r="I212" s="83" t="n">
        <v>3</v>
      </c>
      <c r="J212" s="83">
        <f>H212*I212</f>
        <v/>
      </c>
      <c r="K212" s="83" t="n">
        <v>714255360</v>
      </c>
      <c r="L212" s="83" t="n">
        <v>4578560</v>
      </c>
      <c r="M212" s="83">
        <f>J212-Q212</f>
        <v/>
      </c>
      <c r="N212" s="83">
        <f>K212-R212</f>
        <v/>
      </c>
      <c r="O212" s="517" t="n">
        <v>45345</v>
      </c>
      <c r="P212" s="517" t="n">
        <v>46440</v>
      </c>
      <c r="Q212" s="83" t="n">
        <v>104</v>
      </c>
      <c r="R212" s="84" t="n">
        <v>476170240</v>
      </c>
      <c r="S212" s="83" t="n">
        <v>0</v>
      </c>
      <c r="T212" s="84" t="n">
        <v>0</v>
      </c>
      <c r="U212" s="83" t="n">
        <v>52</v>
      </c>
      <c r="V212" s="84">
        <f>U212*L212</f>
        <v/>
      </c>
      <c r="W212" s="83">
        <f>Q212+S212-U212</f>
        <v/>
      </c>
      <c r="X212" s="84">
        <f>R212+T212-V212</f>
        <v/>
      </c>
      <c r="Y212" s="85" t="inlineStr">
        <is>
          <t>P221ZZKI01</t>
        </is>
      </c>
      <c r="Z212" s="86" t="inlineStr">
        <is>
          <t>15661</t>
        </is>
      </c>
      <c r="AA212" s="86" t="inlineStr">
        <is>
          <t>33561</t>
        </is>
      </c>
      <c r="AB212" s="86" t="inlineStr">
        <is>
          <t>6277651</t>
        </is>
      </c>
      <c r="AC212" s="86" t="inlineStr">
        <is>
          <t>Kids</t>
        </is>
      </c>
      <c r="AD212" s="76">
        <f>COUNTIF('KK1. Movies'!AI:AI,'TK 15661.Bản quyền phim '!F212)</f>
        <v/>
      </c>
      <c r="AE212" s="76">
        <f>COUNTIF('KK2. Series'!AM:AM,'TK 15661.Bản quyền phim '!F212)</f>
        <v/>
      </c>
      <c r="AF212" s="76">
        <f>COUNTIF('KK3. Kids'!AF:AF,'TK 15661.Bản quyền phim '!F212)</f>
        <v/>
      </c>
      <c r="AG212" s="76" t="n"/>
      <c r="AH212" s="76">
        <f>IF(SUM(AD212:AG212)&gt;0,"OK",0)</f>
        <v/>
      </c>
    </row>
    <row r="213" hidden="1" ht="15.6" customHeight="1" s="578">
      <c r="A213" s="30">
        <f>(U213-H213)*L213</f>
        <v/>
      </c>
      <c r="B213" s="74" t="inlineStr">
        <is>
          <t>K+2SER024046</t>
        </is>
      </c>
      <c r="C213" s="708" t="inlineStr">
        <is>
          <t>USD</t>
        </is>
      </c>
      <c r="D213" s="708" t="inlineStr">
        <is>
          <t>S0002419</t>
        </is>
      </c>
      <c r="E213" s="708" t="inlineStr">
        <is>
          <t>PCCW Vuclip (Singapore) Pte. Ltd.</t>
        </is>
      </c>
      <c r="F213" s="708" t="inlineStr">
        <is>
          <t>Queen of Divorce (Nữ hoàng ly hôn)</t>
        </is>
      </c>
      <c r="G213" s="708" t="inlineStr">
        <is>
          <t>Series Asian</t>
        </is>
      </c>
      <c r="H213" s="83" t="n">
        <v>12</v>
      </c>
      <c r="I213" s="83" t="n">
        <v>4</v>
      </c>
      <c r="J213" s="83">
        <f>H213*I213</f>
        <v/>
      </c>
      <c r="K213" s="83" t="n">
        <v>981120000</v>
      </c>
      <c r="L213" s="83" t="n">
        <v>20440000</v>
      </c>
      <c r="M213" s="83">
        <f>J213-Q213</f>
        <v/>
      </c>
      <c r="N213" s="83">
        <f>K213-R213</f>
        <v/>
      </c>
      <c r="O213" s="517" t="n">
        <v>45322</v>
      </c>
      <c r="P213" s="517" t="n">
        <v>46782</v>
      </c>
      <c r="Q213" s="83" t="n">
        <v>36</v>
      </c>
      <c r="R213" s="84" t="n">
        <v>735840000</v>
      </c>
      <c r="S213" s="83" t="n">
        <v>0</v>
      </c>
      <c r="T213" s="84" t="n">
        <v>0</v>
      </c>
      <c r="U213" s="83" t="n">
        <v>12</v>
      </c>
      <c r="V213" s="84">
        <f>U213*L213</f>
        <v/>
      </c>
      <c r="W213" s="83">
        <f>Q213+S213-U213</f>
        <v/>
      </c>
      <c r="X213" s="84">
        <f>R213+T213-V213</f>
        <v/>
      </c>
      <c r="Y213" s="85" t="inlineStr">
        <is>
          <t>P221ZZSR01</t>
        </is>
      </c>
      <c r="Z213" s="86" t="inlineStr">
        <is>
          <t>15661</t>
        </is>
      </c>
      <c r="AA213" s="86" t="inlineStr">
        <is>
          <t>33561</t>
        </is>
      </c>
      <c r="AB213" s="86" t="inlineStr">
        <is>
          <t>6277651</t>
        </is>
      </c>
      <c r="AC213" s="87" t="inlineStr">
        <is>
          <t>Series</t>
        </is>
      </c>
      <c r="AD213" s="76">
        <f>COUNTIF('KK1. Movies'!AI:AI,'TK 15661.Bản quyền phim '!F213)</f>
        <v/>
      </c>
      <c r="AE213" s="76">
        <f>COUNTIF('KK2. Series'!AM:AM,'TK 15661.Bản quyền phim '!F213)</f>
        <v/>
      </c>
      <c r="AF213" s="76">
        <f>COUNTIF('KK3. Kids'!AF:AF,'TK 15661.Bản quyền phim '!F213)</f>
        <v/>
      </c>
      <c r="AG213" s="76" t="n"/>
      <c r="AH213" s="76">
        <f>IF(SUM(AD213:AG213)&gt;0,"OK",0)</f>
        <v/>
      </c>
    </row>
    <row r="214" hidden="1" s="578">
      <c r="A214" s="30">
        <f>(U214-H214)*L214</f>
        <v/>
      </c>
      <c r="B214" s="74" t="inlineStr">
        <is>
          <t>K+5KID024048</t>
        </is>
      </c>
      <c r="C214" s="708" t="inlineStr">
        <is>
          <t>USD</t>
        </is>
      </c>
      <c r="D214" s="708" t="inlineStr">
        <is>
          <t>S0002327</t>
        </is>
      </c>
      <c r="E214" s="708" t="inlineStr">
        <is>
          <t>XILAM ANIMATION</t>
        </is>
      </c>
      <c r="F214" s="708" t="inlineStr">
        <is>
          <t>OGGY AND THE COCKROACHES, NEXT GENERATION</t>
        </is>
      </c>
      <c r="G214" s="708" t="inlineStr">
        <is>
          <t>KIDS</t>
        </is>
      </c>
      <c r="H214" s="83" t="n">
        <v>78</v>
      </c>
      <c r="I214" s="83" t="n">
        <v>3</v>
      </c>
      <c r="J214" s="83">
        <f>H214*I214</f>
        <v/>
      </c>
      <c r="K214" s="83" t="n">
        <v>228380208</v>
      </c>
      <c r="L214" s="83" t="n">
        <v>975983.7948717949</v>
      </c>
      <c r="M214" s="83">
        <f>J214-Q214</f>
        <v/>
      </c>
      <c r="N214" s="83">
        <f>K214-R214</f>
        <v/>
      </c>
      <c r="O214" s="517" t="n">
        <v>45481</v>
      </c>
      <c r="P214" s="517" t="n">
        <v>46575</v>
      </c>
      <c r="Q214" s="83" t="n">
        <v>156</v>
      </c>
      <c r="R214" s="84" t="n">
        <v>152253472</v>
      </c>
      <c r="S214" s="83" t="n">
        <v>0</v>
      </c>
      <c r="T214" s="84" t="n">
        <v>0</v>
      </c>
      <c r="U214" s="83" t="n">
        <v>78</v>
      </c>
      <c r="V214" s="84">
        <f>U214*L214</f>
        <v/>
      </c>
      <c r="W214" s="83">
        <f>Q214+S214-U214</f>
        <v/>
      </c>
      <c r="X214" s="84">
        <f>R214+T214-V214</f>
        <v/>
      </c>
      <c r="Y214" s="85" t="inlineStr">
        <is>
          <t>P221ZZKI01</t>
        </is>
      </c>
      <c r="Z214" s="86" t="inlineStr">
        <is>
          <t>15661</t>
        </is>
      </c>
      <c r="AA214" s="86" t="inlineStr">
        <is>
          <t>33561</t>
        </is>
      </c>
      <c r="AB214" s="86" t="inlineStr">
        <is>
          <t>6277651</t>
        </is>
      </c>
      <c r="AC214" s="86" t="inlineStr">
        <is>
          <t>Kids</t>
        </is>
      </c>
      <c r="AD214" s="76">
        <f>COUNTIF('KK1. Movies'!AI:AI,'TK 15661.Bản quyền phim '!F214)</f>
        <v/>
      </c>
      <c r="AE214" s="76">
        <f>COUNTIF('KK2. Series'!AM:AM,'TK 15661.Bản quyền phim '!F214)</f>
        <v/>
      </c>
      <c r="AF214" s="76">
        <f>COUNTIF('KK3. Kids'!AF:AF,'TK 15661.Bản quyền phim '!F214)</f>
        <v/>
      </c>
      <c r="AG214" s="76" t="n"/>
      <c r="AH214" s="76">
        <f>IF(SUM(AD214:AG214)&gt;0,"OK",0)</f>
        <v/>
      </c>
    </row>
    <row r="215" hidden="1" s="578">
      <c r="A215" s="30">
        <f>(U215-H215)*L215</f>
        <v/>
      </c>
      <c r="B215" s="74" t="inlineStr">
        <is>
          <t>K+5KID024049</t>
        </is>
      </c>
      <c r="C215" s="708" t="inlineStr">
        <is>
          <t>USD</t>
        </is>
      </c>
      <c r="D215" s="708" t="inlineStr">
        <is>
          <t>S0002327</t>
        </is>
      </c>
      <c r="E215" s="708" t="inlineStr">
        <is>
          <t>XILAM ANIMATION</t>
        </is>
      </c>
      <c r="F215" s="708" t="inlineStr">
        <is>
          <t>OGGY OGGY - Season 1</t>
        </is>
      </c>
      <c r="G215" s="708" t="inlineStr">
        <is>
          <t>KIDS</t>
        </is>
      </c>
      <c r="H215" s="83" t="n">
        <v>78</v>
      </c>
      <c r="I215" s="83" t="n">
        <v>3</v>
      </c>
      <c r="J215" s="83">
        <f>H215*I215</f>
        <v/>
      </c>
      <c r="K215" s="83" t="n">
        <v>228380208</v>
      </c>
      <c r="L215" s="83" t="n">
        <v>975983.7948717949</v>
      </c>
      <c r="M215" s="83">
        <f>J215-Q215</f>
        <v/>
      </c>
      <c r="N215" s="83">
        <f>K215-R215</f>
        <v/>
      </c>
      <c r="O215" s="517" t="n">
        <v>45536</v>
      </c>
      <c r="P215" s="517" t="n">
        <v>46630</v>
      </c>
      <c r="Q215" s="83" t="n">
        <v>156</v>
      </c>
      <c r="R215" s="84" t="n">
        <v>152253472</v>
      </c>
      <c r="S215" s="83" t="n">
        <v>0</v>
      </c>
      <c r="T215" s="84" t="n">
        <v>0</v>
      </c>
      <c r="U215" s="83" t="n">
        <v>78</v>
      </c>
      <c r="V215" s="84">
        <f>U215*L215</f>
        <v/>
      </c>
      <c r="W215" s="83">
        <f>Q215+S215-U215</f>
        <v/>
      </c>
      <c r="X215" s="84">
        <f>R215+T215-V215</f>
        <v/>
      </c>
      <c r="Y215" s="85" t="inlineStr">
        <is>
          <t>P221ZZKI01</t>
        </is>
      </c>
      <c r="Z215" s="86" t="inlineStr">
        <is>
          <t>15661</t>
        </is>
      </c>
      <c r="AA215" s="86" t="inlineStr">
        <is>
          <t>33561</t>
        </is>
      </c>
      <c r="AB215" s="86" t="inlineStr">
        <is>
          <t>6277651</t>
        </is>
      </c>
      <c r="AC215" s="86" t="inlineStr">
        <is>
          <t>Kids</t>
        </is>
      </c>
      <c r="AD215" s="76">
        <f>COUNTIF('KK1. Movies'!AI:AI,'TK 15661.Bản quyền phim '!F215)</f>
        <v/>
      </c>
      <c r="AE215" s="76">
        <f>COUNTIF('KK2. Series'!AM:AM,'TK 15661.Bản quyền phim '!F215)</f>
        <v/>
      </c>
      <c r="AF215" s="76">
        <f>COUNTIF('KK3. Kids'!AF:AF,'TK 15661.Bản quyền phim '!F215)</f>
        <v/>
      </c>
      <c r="AG215" s="76" t="n"/>
      <c r="AH215" s="76">
        <f>IF(SUM(AD215:AG215)&gt;0,"OK",0)</f>
        <v/>
      </c>
    </row>
    <row r="216" hidden="1" s="578">
      <c r="A216" s="30">
        <f>(U216-H216)*L216</f>
        <v/>
      </c>
      <c r="B216" s="74" t="inlineStr">
        <is>
          <t>K+5KID024050</t>
        </is>
      </c>
      <c r="C216" s="708" t="inlineStr">
        <is>
          <t>USD</t>
        </is>
      </c>
      <c r="D216" s="708" t="inlineStr">
        <is>
          <t>S0002327</t>
        </is>
      </c>
      <c r="E216" s="708" t="inlineStr">
        <is>
          <t>XILAM ANIMATION</t>
        </is>
      </c>
      <c r="F216" s="708" t="inlineStr">
        <is>
          <t>ZIG &amp; SHARKO - Season 4</t>
        </is>
      </c>
      <c r="G216" s="708" t="inlineStr">
        <is>
          <t>KIDS</t>
        </is>
      </c>
      <c r="H216" s="83" t="n">
        <v>78</v>
      </c>
      <c r="I216" s="83" t="n">
        <v>3</v>
      </c>
      <c r="J216" s="83">
        <f>H216*I216</f>
        <v/>
      </c>
      <c r="K216" s="83" t="n">
        <v>228380208</v>
      </c>
      <c r="L216" s="83" t="n">
        <v>975983.7948717949</v>
      </c>
      <c r="M216" s="83">
        <f>J216-Q216</f>
        <v/>
      </c>
      <c r="N216" s="83">
        <f>K216-R216</f>
        <v/>
      </c>
      <c r="O216" s="517" t="n">
        <v>45453</v>
      </c>
      <c r="P216" s="517" t="n">
        <v>46547</v>
      </c>
      <c r="Q216" s="83" t="n">
        <v>156</v>
      </c>
      <c r="R216" s="84" t="n">
        <v>152253472</v>
      </c>
      <c r="S216" s="83" t="n">
        <v>0</v>
      </c>
      <c r="T216" s="84" t="n">
        <v>0</v>
      </c>
      <c r="U216" s="83" t="n">
        <v>78</v>
      </c>
      <c r="V216" s="84">
        <f>U216*L216</f>
        <v/>
      </c>
      <c r="W216" s="83">
        <f>Q216+S216-U216</f>
        <v/>
      </c>
      <c r="X216" s="84">
        <f>R216+T216-V216</f>
        <v/>
      </c>
      <c r="Y216" s="85" t="inlineStr">
        <is>
          <t>P221ZZKI01</t>
        </is>
      </c>
      <c r="Z216" s="86" t="inlineStr">
        <is>
          <t>15661</t>
        </is>
      </c>
      <c r="AA216" s="86" t="inlineStr">
        <is>
          <t>33561</t>
        </is>
      </c>
      <c r="AB216" s="86" t="inlineStr">
        <is>
          <t>6277651</t>
        </is>
      </c>
      <c r="AC216" s="86" t="inlineStr">
        <is>
          <t>Kids</t>
        </is>
      </c>
      <c r="AD216" s="76">
        <f>COUNTIF('KK1. Movies'!AI:AI,'TK 15661.Bản quyền phim '!F216)</f>
        <v/>
      </c>
      <c r="AE216" s="76">
        <f>COUNTIF('KK2. Series'!AM:AM,'TK 15661.Bản quyền phim '!F216)</f>
        <v/>
      </c>
      <c r="AF216" s="76">
        <f>COUNTIF('KK3. Kids'!AF:AF,'TK 15661.Bản quyền phim '!F216)</f>
        <v/>
      </c>
      <c r="AG216" s="76" t="n"/>
      <c r="AH216" s="76">
        <f>IF(SUM(AD216:AG216)&gt;0,"OK",0)</f>
        <v/>
      </c>
    </row>
    <row r="217">
      <c r="A217" s="30">
        <f>(U217-H217)*L217</f>
        <v/>
      </c>
      <c r="B217" s="74" t="inlineStr">
        <is>
          <t>K+5KID024051</t>
        </is>
      </c>
      <c r="C217" s="708" t="inlineStr">
        <is>
          <t>USD</t>
        </is>
      </c>
      <c r="D217" s="708" t="inlineStr">
        <is>
          <t>S0002518</t>
        </is>
      </c>
      <c r="E217" s="708" t="inlineStr">
        <is>
          <t>INTERNATIONAL MERCHANDISING, PROMOTION AND SERVICES (IMPS), SRL.</t>
        </is>
      </c>
      <c r="F217" s="708" t="inlineStr">
        <is>
          <t>SMURFS: THE LOST VILLAGE</t>
        </is>
      </c>
      <c r="G217" s="708" t="inlineStr">
        <is>
          <t>KIDS</t>
        </is>
      </c>
      <c r="H217" s="83" t="n">
        <v>53</v>
      </c>
      <c r="I217" s="83" t="n">
        <v>3</v>
      </c>
      <c r="J217" s="83">
        <f>H217*I217</f>
        <v/>
      </c>
      <c r="K217" s="83" t="n">
        <v>422494800</v>
      </c>
      <c r="L217" s="83" t="n">
        <v>2657200</v>
      </c>
      <c r="M217" s="83">
        <f>J217-Q217</f>
        <v/>
      </c>
      <c r="N217" s="83">
        <f>K217-R217</f>
        <v/>
      </c>
      <c r="O217" s="517" t="n">
        <v>45323</v>
      </c>
      <c r="P217" s="517" t="n">
        <v>46418</v>
      </c>
      <c r="Q217" s="83" t="n">
        <v>106</v>
      </c>
      <c r="R217" s="84" t="n">
        <v>281663200</v>
      </c>
      <c r="S217" s="83" t="n">
        <v>0</v>
      </c>
      <c r="T217" s="84" t="n">
        <v>0</v>
      </c>
      <c r="U217" s="83" t="n">
        <v>53</v>
      </c>
      <c r="V217" s="84">
        <f>U217*L217</f>
        <v/>
      </c>
      <c r="W217" s="83">
        <f>Q217+S217-U217</f>
        <v/>
      </c>
      <c r="X217" s="84">
        <f>R217+T217-V217</f>
        <v/>
      </c>
      <c r="Y217" s="85" t="inlineStr">
        <is>
          <t>P221ZZKI01</t>
        </is>
      </c>
      <c r="Z217" s="86" t="inlineStr">
        <is>
          <t>15661</t>
        </is>
      </c>
      <c r="AA217" s="86" t="inlineStr">
        <is>
          <t>33561</t>
        </is>
      </c>
      <c r="AB217" s="86" t="inlineStr">
        <is>
          <t>6277651</t>
        </is>
      </c>
      <c r="AC217" s="86" t="inlineStr">
        <is>
          <t>Kids</t>
        </is>
      </c>
      <c r="AD217" s="76">
        <f>COUNTIF('KK1. Movies'!AI:AI,'TK 15661.Bản quyền phim '!F217)</f>
        <v/>
      </c>
      <c r="AE217" s="76">
        <f>COUNTIF('KK2. Series'!AM:AM,'TK 15661.Bản quyền phim '!F217)</f>
        <v/>
      </c>
      <c r="AF217" s="76">
        <f>COUNTIF('KK3. Kids'!AF:AF,'TK 15661.Bản quyền phim '!F217)</f>
        <v/>
      </c>
      <c r="AG217" s="76" t="n"/>
      <c r="AH217" s="76">
        <f>IF(SUM(AD217:AG217)&gt;0,"OK",0)</f>
        <v/>
      </c>
    </row>
    <row r="218" hidden="1" ht="15.6" customHeight="1" s="578">
      <c r="A218" s="27" t="n"/>
      <c r="B218" s="74" t="inlineStr">
        <is>
          <t>K+1MOV024061</t>
        </is>
      </c>
      <c r="C218" s="708" t="inlineStr">
        <is>
          <t>USD</t>
        </is>
      </c>
      <c r="D218" s="708" t="inlineStr">
        <is>
          <t>S0002225</t>
        </is>
      </c>
      <c r="E218" s="708" t="inlineStr">
        <is>
          <t>CPT HOLDINGS INC.</t>
        </is>
      </c>
      <c r="F218" s="708" t="inlineStr">
        <is>
          <t>BURLESQUE</t>
        </is>
      </c>
      <c r="G218" s="708" t="inlineStr">
        <is>
          <t>Movies International</t>
        </is>
      </c>
      <c r="H218" s="83" t="n">
        <v>1</v>
      </c>
      <c r="I218" s="83" t="n">
        <v>2</v>
      </c>
      <c r="J218" s="83">
        <f>H218*I218</f>
        <v/>
      </c>
      <c r="K218" s="83" t="n">
        <v>79716000</v>
      </c>
      <c r="L218" s="83" t="n">
        <v>39858000</v>
      </c>
      <c r="M218" s="83">
        <f>J218-Q218</f>
        <v/>
      </c>
      <c r="N218" s="83">
        <f>K218-R218</f>
        <v/>
      </c>
      <c r="O218" s="517" t="n">
        <v>45505</v>
      </c>
      <c r="P218" s="517" t="n">
        <v>46053</v>
      </c>
      <c r="Q218" s="83" t="n">
        <v>1</v>
      </c>
      <c r="R218" s="84" t="n">
        <v>39858000</v>
      </c>
      <c r="S218" s="83" t="n">
        <v>0</v>
      </c>
      <c r="T218" s="84" t="n">
        <v>0</v>
      </c>
      <c r="U218" s="83" t="n">
        <v>1</v>
      </c>
      <c r="V218" s="84">
        <f>U218*L218</f>
        <v/>
      </c>
      <c r="W218" s="83">
        <f>Q218+S218-U218</f>
        <v/>
      </c>
      <c r="X218" s="84">
        <f>R218+T218-V218</f>
        <v/>
      </c>
      <c r="Y218" s="85" t="inlineStr">
        <is>
          <t>P221ZZMO01</t>
        </is>
      </c>
      <c r="Z218" s="86" t="inlineStr">
        <is>
          <t>15661</t>
        </is>
      </c>
      <c r="AA218" s="86" t="inlineStr">
        <is>
          <t>33561</t>
        </is>
      </c>
      <c r="AB218" s="86" t="inlineStr">
        <is>
          <t>6277651</t>
        </is>
      </c>
      <c r="AC218" s="87" t="inlineStr">
        <is>
          <t>Movies</t>
        </is>
      </c>
      <c r="AD218" s="76">
        <f>COUNTIF('KK1. Movies'!AI:AI,'TK 15661.Bản quyền phim '!F218)</f>
        <v/>
      </c>
      <c r="AE218" s="76">
        <f>COUNTIF('KK2. Series'!AM:AM,'TK 15661.Bản quyền phim '!F218)</f>
        <v/>
      </c>
      <c r="AF218" s="76">
        <f>COUNTIF('KK3. Kids'!AF:AF,'TK 15661.Bản quyền phim '!F218)</f>
        <v/>
      </c>
      <c r="AG218" s="76" t="n"/>
      <c r="AH218" s="76">
        <f>IF(SUM(AD218:AG218)&gt;0,"OK",0)</f>
        <v/>
      </c>
    </row>
    <row r="219" hidden="1" ht="15.6" customHeight="1" s="578">
      <c r="A219" s="27" t="n"/>
      <c r="B219" s="74" t="inlineStr">
        <is>
          <t>K+1MOV024063</t>
        </is>
      </c>
      <c r="C219" s="708" t="inlineStr">
        <is>
          <t>USD</t>
        </is>
      </c>
      <c r="D219" s="708" t="inlineStr">
        <is>
          <t>S0002225</t>
        </is>
      </c>
      <c r="E219" s="708" t="inlineStr">
        <is>
          <t>CPT HOLDINGS INC.</t>
        </is>
      </c>
      <c r="F219" s="708" t="inlineStr">
        <is>
          <t>DEATH AT A FUNERAL (2010)</t>
        </is>
      </c>
      <c r="G219" s="708" t="inlineStr">
        <is>
          <t>Movies International</t>
        </is>
      </c>
      <c r="H219" s="83" t="n">
        <v>1</v>
      </c>
      <c r="I219" s="83" t="n">
        <v>2</v>
      </c>
      <c r="J219" s="83">
        <f>H219*I219</f>
        <v/>
      </c>
      <c r="K219" s="83" t="n">
        <v>79716000</v>
      </c>
      <c r="L219" s="83" t="n">
        <v>39858000</v>
      </c>
      <c r="M219" s="83">
        <f>J219-Q219</f>
        <v/>
      </c>
      <c r="N219" s="83">
        <f>K219-R219</f>
        <v/>
      </c>
      <c r="O219" s="517" t="n">
        <v>45505</v>
      </c>
      <c r="P219" s="517" t="n">
        <v>46053</v>
      </c>
      <c r="Q219" s="83" t="n">
        <v>1</v>
      </c>
      <c r="R219" s="84" t="n">
        <v>39858000</v>
      </c>
      <c r="S219" s="83" t="n">
        <v>0</v>
      </c>
      <c r="T219" s="84" t="n">
        <v>0</v>
      </c>
      <c r="U219" s="83" t="n">
        <v>1</v>
      </c>
      <c r="V219" s="84">
        <f>U219*L219</f>
        <v/>
      </c>
      <c r="W219" s="83">
        <f>Q219+S219-U219</f>
        <v/>
      </c>
      <c r="X219" s="84">
        <f>R219+T219-V219</f>
        <v/>
      </c>
      <c r="Y219" s="85" t="inlineStr">
        <is>
          <t>P221ZZMO01</t>
        </is>
      </c>
      <c r="Z219" s="86" t="inlineStr">
        <is>
          <t>15661</t>
        </is>
      </c>
      <c r="AA219" s="86" t="inlineStr">
        <is>
          <t>33561</t>
        </is>
      </c>
      <c r="AB219" s="86" t="inlineStr">
        <is>
          <t>6277651</t>
        </is>
      </c>
      <c r="AC219" s="87" t="inlineStr">
        <is>
          <t>Movies</t>
        </is>
      </c>
      <c r="AD219" s="76">
        <f>COUNTIF('KK1. Movies'!AI:AI,'TK 15661.Bản quyền phim '!F219)</f>
        <v/>
      </c>
      <c r="AE219" s="76">
        <f>COUNTIF('KK2. Series'!AM:AM,'TK 15661.Bản quyền phim '!F219)</f>
        <v/>
      </c>
      <c r="AF219" s="76">
        <f>COUNTIF('KK3. Kids'!AF:AF,'TK 15661.Bản quyền phim '!F219)</f>
        <v/>
      </c>
      <c r="AG219" s="76" t="n"/>
      <c r="AH219" s="76">
        <f>IF(SUM(AD219:AG219)&gt;0,"OK",0)</f>
        <v/>
      </c>
    </row>
    <row r="220" hidden="1" ht="15.6" customHeight="1" s="578">
      <c r="A220" s="27" t="n"/>
      <c r="B220" s="74" t="inlineStr">
        <is>
          <t>K+1MOV024066</t>
        </is>
      </c>
      <c r="C220" s="708" t="inlineStr">
        <is>
          <t>USD</t>
        </is>
      </c>
      <c r="D220" s="708" t="inlineStr">
        <is>
          <t>S0002225</t>
        </is>
      </c>
      <c r="E220" s="708" t="inlineStr">
        <is>
          <t>CPT HOLDINGS INC.</t>
        </is>
      </c>
      <c r="F220" s="708" t="inlineStr">
        <is>
          <t>EASY A</t>
        </is>
      </c>
      <c r="G220" s="708" t="inlineStr">
        <is>
          <t>Movies International</t>
        </is>
      </c>
      <c r="H220" s="83" t="n">
        <v>1</v>
      </c>
      <c r="I220" s="83" t="n">
        <v>2</v>
      </c>
      <c r="J220" s="83">
        <f>H220*I220</f>
        <v/>
      </c>
      <c r="K220" s="83" t="n">
        <v>79716000</v>
      </c>
      <c r="L220" s="83" t="n">
        <v>39858000</v>
      </c>
      <c r="M220" s="83">
        <f>J220-Q220</f>
        <v/>
      </c>
      <c r="N220" s="83">
        <f>K220-R220</f>
        <v/>
      </c>
      <c r="O220" s="517" t="n">
        <v>45505</v>
      </c>
      <c r="P220" s="517" t="n">
        <v>46053</v>
      </c>
      <c r="Q220" s="83" t="n">
        <v>1</v>
      </c>
      <c r="R220" s="84" t="n">
        <v>39858000</v>
      </c>
      <c r="S220" s="83" t="n">
        <v>0</v>
      </c>
      <c r="T220" s="84" t="n">
        <v>0</v>
      </c>
      <c r="U220" s="83" t="n">
        <v>1</v>
      </c>
      <c r="V220" s="84">
        <f>U220*L220</f>
        <v/>
      </c>
      <c r="W220" s="83">
        <f>Q220+S220-U220</f>
        <v/>
      </c>
      <c r="X220" s="84">
        <f>R220+T220-V220</f>
        <v/>
      </c>
      <c r="Y220" s="85" t="inlineStr">
        <is>
          <t>P221ZZMO01</t>
        </is>
      </c>
      <c r="Z220" s="86" t="inlineStr">
        <is>
          <t>15661</t>
        </is>
      </c>
      <c r="AA220" s="86" t="inlineStr">
        <is>
          <t>33561</t>
        </is>
      </c>
      <c r="AB220" s="86" t="inlineStr">
        <is>
          <t>6277651</t>
        </is>
      </c>
      <c r="AC220" s="87" t="inlineStr">
        <is>
          <t>Movies</t>
        </is>
      </c>
      <c r="AD220" s="76">
        <f>COUNTIF('KK1. Movies'!AI:AI,'TK 15661.Bản quyền phim '!F220)</f>
        <v/>
      </c>
      <c r="AE220" s="76">
        <f>COUNTIF('KK2. Series'!AM:AM,'TK 15661.Bản quyền phim '!F220)</f>
        <v/>
      </c>
      <c r="AF220" s="76">
        <f>COUNTIF('KK3. Kids'!AF:AF,'TK 15661.Bản quyền phim '!F220)</f>
        <v/>
      </c>
      <c r="AG220" s="76" t="n"/>
      <c r="AH220" s="76">
        <f>IF(SUM(AD220:AG220)&gt;0,"OK",0)</f>
        <v/>
      </c>
    </row>
    <row r="221" hidden="1" ht="15.6" customHeight="1" s="578">
      <c r="A221" s="27" t="n"/>
      <c r="B221" s="74" t="inlineStr">
        <is>
          <t>K+1MOV024067</t>
        </is>
      </c>
      <c r="C221" s="708" t="inlineStr">
        <is>
          <t>USD</t>
        </is>
      </c>
      <c r="D221" s="708" t="inlineStr">
        <is>
          <t>S0002225</t>
        </is>
      </c>
      <c r="E221" s="708" t="inlineStr">
        <is>
          <t>CPT HOLDINGS INC.</t>
        </is>
      </c>
      <c r="F221" s="708" t="inlineStr">
        <is>
          <t>EAT PRAY LOVE</t>
        </is>
      </c>
      <c r="G221" s="708" t="inlineStr">
        <is>
          <t>Movies International</t>
        </is>
      </c>
      <c r="H221" s="83" t="n">
        <v>1</v>
      </c>
      <c r="I221" s="83" t="n">
        <v>2</v>
      </c>
      <c r="J221" s="83">
        <f>H221*I221</f>
        <v/>
      </c>
      <c r="K221" s="83" t="n">
        <v>79716000</v>
      </c>
      <c r="L221" s="83" t="n">
        <v>39858000</v>
      </c>
      <c r="M221" s="83">
        <f>J221-Q221</f>
        <v/>
      </c>
      <c r="N221" s="83">
        <f>K221-R221</f>
        <v/>
      </c>
      <c r="O221" s="517" t="n">
        <v>45505</v>
      </c>
      <c r="P221" s="517" t="n">
        <v>46053</v>
      </c>
      <c r="Q221" s="83" t="n">
        <v>1</v>
      </c>
      <c r="R221" s="84" t="n">
        <v>39858000</v>
      </c>
      <c r="S221" s="83" t="n">
        <v>0</v>
      </c>
      <c r="T221" s="84" t="n">
        <v>0</v>
      </c>
      <c r="U221" s="83" t="n">
        <v>1</v>
      </c>
      <c r="V221" s="84">
        <f>U221*L221</f>
        <v/>
      </c>
      <c r="W221" s="83">
        <f>Q221+S221-U221</f>
        <v/>
      </c>
      <c r="X221" s="84">
        <f>R221+T221-V221</f>
        <v/>
      </c>
      <c r="Y221" s="85" t="inlineStr">
        <is>
          <t>P221ZZMO01</t>
        </is>
      </c>
      <c r="Z221" s="86" t="inlineStr">
        <is>
          <t>15661</t>
        </is>
      </c>
      <c r="AA221" s="86" t="inlineStr">
        <is>
          <t>33561</t>
        </is>
      </c>
      <c r="AB221" s="86" t="inlineStr">
        <is>
          <t>6277651</t>
        </is>
      </c>
      <c r="AC221" s="87" t="inlineStr">
        <is>
          <t>Movies</t>
        </is>
      </c>
      <c r="AD221" s="76">
        <f>COUNTIF('KK1. Movies'!AI:AI,'TK 15661.Bản quyền phim '!F221)</f>
        <v/>
      </c>
      <c r="AE221" s="76">
        <f>COUNTIF('KK2. Series'!AM:AM,'TK 15661.Bản quyền phim '!F221)</f>
        <v/>
      </c>
      <c r="AF221" s="76">
        <f>COUNTIF('KK3. Kids'!AF:AF,'TK 15661.Bản quyền phim '!F221)</f>
        <v/>
      </c>
      <c r="AG221" s="76" t="n"/>
      <c r="AH221" s="76">
        <f>IF(SUM(AD221:AG221)&gt;0,"OK",0)</f>
        <v/>
      </c>
    </row>
    <row r="222" hidden="1" ht="15.6" customHeight="1" s="578">
      <c r="A222" s="27" t="n"/>
      <c r="B222" s="74" t="inlineStr">
        <is>
          <t>K+2MOV024069</t>
        </is>
      </c>
      <c r="C222" s="708" t="inlineStr">
        <is>
          <t>USD</t>
        </is>
      </c>
      <c r="D222" s="708" t="inlineStr">
        <is>
          <t>S0002225</t>
        </is>
      </c>
      <c r="E222" s="708" t="inlineStr">
        <is>
          <t>CPT HOLDINGS INC.</t>
        </is>
      </c>
      <c r="F222" s="708" t="inlineStr">
        <is>
          <t>HANNA (2011)</t>
        </is>
      </c>
      <c r="G222" s="708" t="inlineStr">
        <is>
          <t>Movies International</t>
        </is>
      </c>
      <c r="H222" s="83" t="n">
        <v>1</v>
      </c>
      <c r="I222" s="83" t="n">
        <v>2</v>
      </c>
      <c r="J222" s="83">
        <f>H222*I222</f>
        <v/>
      </c>
      <c r="K222" s="83" t="n">
        <v>79716000</v>
      </c>
      <c r="L222" s="83" t="n">
        <v>39858000</v>
      </c>
      <c r="M222" s="83">
        <f>J222-Q222</f>
        <v/>
      </c>
      <c r="N222" s="83">
        <f>K222-R222</f>
        <v/>
      </c>
      <c r="O222" s="517" t="n">
        <v>45505</v>
      </c>
      <c r="P222" s="517" t="n">
        <v>46053</v>
      </c>
      <c r="Q222" s="83" t="n">
        <v>1</v>
      </c>
      <c r="R222" s="84" t="n">
        <v>39858000</v>
      </c>
      <c r="S222" s="83" t="n">
        <v>0</v>
      </c>
      <c r="T222" s="84" t="n">
        <v>0</v>
      </c>
      <c r="U222" s="83" t="n">
        <v>1</v>
      </c>
      <c r="V222" s="84">
        <f>U222*L222</f>
        <v/>
      </c>
      <c r="W222" s="83">
        <f>Q222+S222-U222</f>
        <v/>
      </c>
      <c r="X222" s="84">
        <f>R222+T222-V222</f>
        <v/>
      </c>
      <c r="Y222" s="85" t="inlineStr">
        <is>
          <t>P221ZZMO01</t>
        </is>
      </c>
      <c r="Z222" s="86" t="inlineStr">
        <is>
          <t>15661</t>
        </is>
      </c>
      <c r="AA222" s="86" t="inlineStr">
        <is>
          <t>33561</t>
        </is>
      </c>
      <c r="AB222" s="86" t="inlineStr">
        <is>
          <t>6277651</t>
        </is>
      </c>
      <c r="AC222" s="87" t="inlineStr">
        <is>
          <t>Movies</t>
        </is>
      </c>
      <c r="AD222" s="76">
        <f>COUNTIF('KK1. Movies'!AI:AI,'TK 15661.Bản quyền phim '!F222)</f>
        <v/>
      </c>
      <c r="AE222" s="76">
        <f>COUNTIF('KK2. Series'!AM:AM,'TK 15661.Bản quyền phim '!F222)</f>
        <v/>
      </c>
      <c r="AF222" s="76">
        <f>COUNTIF('KK3. Kids'!AF:AF,'TK 15661.Bản quyền phim '!F222)</f>
        <v/>
      </c>
      <c r="AG222" s="76" t="n"/>
      <c r="AH222" s="76">
        <f>IF(SUM(AD222:AG222)&gt;0,"OK",0)</f>
        <v/>
      </c>
    </row>
    <row r="223" hidden="1" ht="15.6" customHeight="1" s="578">
      <c r="A223" s="27" t="n"/>
      <c r="B223" s="74" t="inlineStr">
        <is>
          <t>K+1MOV024070</t>
        </is>
      </c>
      <c r="C223" s="708" t="inlineStr">
        <is>
          <t>USD</t>
        </is>
      </c>
      <c r="D223" s="708" t="inlineStr">
        <is>
          <t>S0002225</t>
        </is>
      </c>
      <c r="E223" s="708" t="inlineStr">
        <is>
          <t>CPT HOLDINGS INC.</t>
        </is>
      </c>
      <c r="F223" s="708" t="inlineStr">
        <is>
          <t>HERE COMES THE BOOM</t>
        </is>
      </c>
      <c r="G223" s="708" t="inlineStr">
        <is>
          <t>Movies International</t>
        </is>
      </c>
      <c r="H223" s="83" t="n">
        <v>1</v>
      </c>
      <c r="I223" s="83" t="n">
        <v>2</v>
      </c>
      <c r="J223" s="83">
        <f>H223*I223</f>
        <v/>
      </c>
      <c r="K223" s="83" t="n">
        <v>79716000</v>
      </c>
      <c r="L223" s="83" t="n">
        <v>39858000</v>
      </c>
      <c r="M223" s="83">
        <f>J223-Q223</f>
        <v/>
      </c>
      <c r="N223" s="83">
        <f>K223-R223</f>
        <v/>
      </c>
      <c r="O223" s="517" t="n">
        <v>45505</v>
      </c>
      <c r="P223" s="517" t="n">
        <v>46053</v>
      </c>
      <c r="Q223" s="83" t="n">
        <v>1</v>
      </c>
      <c r="R223" s="84" t="n">
        <v>39858000</v>
      </c>
      <c r="S223" s="83" t="n">
        <v>0</v>
      </c>
      <c r="T223" s="84" t="n">
        <v>0</v>
      </c>
      <c r="U223" s="83" t="n">
        <v>1</v>
      </c>
      <c r="V223" s="84">
        <f>U223*L223</f>
        <v/>
      </c>
      <c r="W223" s="83">
        <f>Q223+S223-U223</f>
        <v/>
      </c>
      <c r="X223" s="84">
        <f>R223+T223-V223</f>
        <v/>
      </c>
      <c r="Y223" s="85" t="inlineStr">
        <is>
          <t>P221ZZMO01</t>
        </is>
      </c>
      <c r="Z223" s="86" t="inlineStr">
        <is>
          <t>15661</t>
        </is>
      </c>
      <c r="AA223" s="86" t="inlineStr">
        <is>
          <t>33561</t>
        </is>
      </c>
      <c r="AB223" s="86" t="inlineStr">
        <is>
          <t>6277651</t>
        </is>
      </c>
      <c r="AC223" s="87" t="inlineStr">
        <is>
          <t>Movies</t>
        </is>
      </c>
      <c r="AD223" s="76">
        <f>COUNTIF('KK1. Movies'!AI:AI,'TK 15661.Bản quyền phim '!F223)</f>
        <v/>
      </c>
      <c r="AE223" s="76">
        <f>COUNTIF('KK2. Series'!AM:AM,'TK 15661.Bản quyền phim '!F223)</f>
        <v/>
      </c>
      <c r="AF223" s="76">
        <f>COUNTIF('KK3. Kids'!AF:AF,'TK 15661.Bản quyền phim '!F223)</f>
        <v/>
      </c>
      <c r="AG223" s="76" t="n"/>
      <c r="AH223" s="76">
        <f>IF(SUM(AD223:AG223)&gt;0,"OK",0)</f>
        <v/>
      </c>
    </row>
    <row r="224" hidden="1" ht="15.6" customHeight="1" s="578">
      <c r="A224" s="27" t="n"/>
      <c r="B224" s="74" t="inlineStr">
        <is>
          <t>K+2MOV024072</t>
        </is>
      </c>
      <c r="C224" s="708" t="inlineStr">
        <is>
          <t>USD</t>
        </is>
      </c>
      <c r="D224" s="708" t="inlineStr">
        <is>
          <t>S0002225</t>
        </is>
      </c>
      <c r="E224" s="708" t="inlineStr">
        <is>
          <t>CPT HOLDINGS INC.</t>
        </is>
      </c>
      <c r="F224" s="708" t="inlineStr">
        <is>
          <t>MISS BALA (2019)</t>
        </is>
      </c>
      <c r="G224" s="708" t="inlineStr">
        <is>
          <t>Movies International</t>
        </is>
      </c>
      <c r="H224" s="83" t="n">
        <v>1</v>
      </c>
      <c r="I224" s="83" t="n">
        <v>2</v>
      </c>
      <c r="J224" s="83">
        <f>H224*I224</f>
        <v/>
      </c>
      <c r="K224" s="83" t="n">
        <v>79716000</v>
      </c>
      <c r="L224" s="83" t="n">
        <v>39858000</v>
      </c>
      <c r="M224" s="83">
        <f>J224-Q224</f>
        <v/>
      </c>
      <c r="N224" s="83">
        <f>K224-R224</f>
        <v/>
      </c>
      <c r="O224" s="517" t="n">
        <v>45505</v>
      </c>
      <c r="P224" s="517" t="n">
        <v>46053</v>
      </c>
      <c r="Q224" s="83" t="n">
        <v>1</v>
      </c>
      <c r="R224" s="84" t="n">
        <v>39858000</v>
      </c>
      <c r="S224" s="83" t="n">
        <v>0</v>
      </c>
      <c r="T224" s="84" t="n">
        <v>0</v>
      </c>
      <c r="U224" s="83" t="n">
        <v>1</v>
      </c>
      <c r="V224" s="84">
        <f>U224*L224</f>
        <v/>
      </c>
      <c r="W224" s="83">
        <f>Q224+S224-U224</f>
        <v/>
      </c>
      <c r="X224" s="84">
        <f>R224+T224-V224</f>
        <v/>
      </c>
      <c r="Y224" s="85" t="inlineStr">
        <is>
          <t>P221ZZMO01</t>
        </is>
      </c>
      <c r="Z224" s="86" t="inlineStr">
        <is>
          <t>15661</t>
        </is>
      </c>
      <c r="AA224" s="86" t="inlineStr">
        <is>
          <t>33561</t>
        </is>
      </c>
      <c r="AB224" s="86" t="inlineStr">
        <is>
          <t>6277651</t>
        </is>
      </c>
      <c r="AC224" s="87" t="inlineStr">
        <is>
          <t>Movies</t>
        </is>
      </c>
      <c r="AD224" s="76">
        <f>COUNTIF('KK1. Movies'!AI:AI,'TK 15661.Bản quyền phim '!F224)</f>
        <v/>
      </c>
      <c r="AE224" s="76">
        <f>COUNTIF('KK2. Series'!AM:AM,'TK 15661.Bản quyền phim '!F224)</f>
        <v/>
      </c>
      <c r="AF224" s="76">
        <f>COUNTIF('KK3. Kids'!AF:AF,'TK 15661.Bản quyền phim '!F224)</f>
        <v/>
      </c>
      <c r="AG224" s="76" t="n"/>
      <c r="AH224" s="76">
        <f>IF(SUM(AD224:AG224)&gt;0,"OK",0)</f>
        <v/>
      </c>
    </row>
    <row r="225" hidden="1" ht="15.6" customHeight="1" s="578">
      <c r="A225" s="27" t="n"/>
      <c r="B225" s="74" t="inlineStr">
        <is>
          <t>K+1MOV024073</t>
        </is>
      </c>
      <c r="C225" s="708" t="inlineStr">
        <is>
          <t>USD</t>
        </is>
      </c>
      <c r="D225" s="708" t="inlineStr">
        <is>
          <t>S0002225</t>
        </is>
      </c>
      <c r="E225" s="708" t="inlineStr">
        <is>
          <t>CPT HOLDINGS INC.</t>
        </is>
      </c>
      <c r="F225" s="708" t="inlineStr">
        <is>
          <t>MONEYBALL (2011)</t>
        </is>
      </c>
      <c r="G225" s="708" t="inlineStr">
        <is>
          <t>Movies International</t>
        </is>
      </c>
      <c r="H225" s="83" t="n">
        <v>1</v>
      </c>
      <c r="I225" s="83" t="n">
        <v>2</v>
      </c>
      <c r="J225" s="83">
        <f>H225*I225</f>
        <v/>
      </c>
      <c r="K225" s="83" t="n">
        <v>79716000</v>
      </c>
      <c r="L225" s="83" t="n">
        <v>39858000</v>
      </c>
      <c r="M225" s="83">
        <f>J225-Q225</f>
        <v/>
      </c>
      <c r="N225" s="83">
        <f>K225-R225</f>
        <v/>
      </c>
      <c r="O225" s="517" t="n">
        <v>45505</v>
      </c>
      <c r="P225" s="517" t="n">
        <v>46053</v>
      </c>
      <c r="Q225" s="83" t="n">
        <v>1</v>
      </c>
      <c r="R225" s="84" t="n">
        <v>39858000</v>
      </c>
      <c r="S225" s="83" t="n">
        <v>0</v>
      </c>
      <c r="T225" s="84" t="n">
        <v>0</v>
      </c>
      <c r="U225" s="83" t="n">
        <v>1</v>
      </c>
      <c r="V225" s="84">
        <f>U225*L225</f>
        <v/>
      </c>
      <c r="W225" s="83">
        <f>Q225+S225-U225</f>
        <v/>
      </c>
      <c r="X225" s="84">
        <f>R225+T225-V225</f>
        <v/>
      </c>
      <c r="Y225" s="85" t="inlineStr">
        <is>
          <t>P221ZZMO01</t>
        </is>
      </c>
      <c r="Z225" s="86" t="inlineStr">
        <is>
          <t>15661</t>
        </is>
      </c>
      <c r="AA225" s="86" t="inlineStr">
        <is>
          <t>33561</t>
        </is>
      </c>
      <c r="AB225" s="86" t="inlineStr">
        <is>
          <t>6277651</t>
        </is>
      </c>
      <c r="AC225" s="87" t="inlineStr">
        <is>
          <t>Movies</t>
        </is>
      </c>
      <c r="AD225" s="76">
        <f>COUNTIF('KK1. Movies'!AI:AI,'TK 15661.Bản quyền phim '!F225)</f>
        <v/>
      </c>
      <c r="AE225" s="76">
        <f>COUNTIF('KK2. Series'!AM:AM,'TK 15661.Bản quyền phim '!F225)</f>
        <v/>
      </c>
      <c r="AF225" s="76">
        <f>COUNTIF('KK3. Kids'!AF:AF,'TK 15661.Bản quyền phim '!F225)</f>
        <v/>
      </c>
      <c r="AG225" s="76" t="n"/>
      <c r="AH225" s="76">
        <f>IF(SUM(AD225:AG225)&gt;0,"OK",0)</f>
        <v/>
      </c>
    </row>
    <row r="226" hidden="1" ht="15.6" customHeight="1" s="578">
      <c r="A226" s="27" t="n"/>
      <c r="B226" s="74" t="inlineStr">
        <is>
          <t>K+2MOV024084</t>
        </is>
      </c>
      <c r="C226" s="708" t="inlineStr">
        <is>
          <t>USD</t>
        </is>
      </c>
      <c r="D226" s="708" t="inlineStr">
        <is>
          <t>S0002225</t>
        </is>
      </c>
      <c r="E226" s="708" t="inlineStr">
        <is>
          <t>CPT HOLDINGS INC.</t>
        </is>
      </c>
      <c r="F226" s="708" t="inlineStr">
        <is>
          <t>BRAVEST, THE (2019)</t>
        </is>
      </c>
      <c r="G226" s="708" t="inlineStr">
        <is>
          <t>Movies International</t>
        </is>
      </c>
      <c r="H226" s="83" t="n">
        <v>1</v>
      </c>
      <c r="I226" s="83" t="n">
        <v>2</v>
      </c>
      <c r="J226" s="83">
        <f>H226*I226</f>
        <v/>
      </c>
      <c r="K226" s="83" t="n">
        <v>79716000</v>
      </c>
      <c r="L226" s="83" t="n">
        <v>39858000</v>
      </c>
      <c r="M226" s="83">
        <f>J226-Q226</f>
        <v/>
      </c>
      <c r="N226" s="83">
        <f>K226-R226</f>
        <v/>
      </c>
      <c r="O226" s="517" t="n">
        <v>45747</v>
      </c>
      <c r="P226" s="517" t="n">
        <v>46294</v>
      </c>
      <c r="Q226" s="83" t="n">
        <v>1</v>
      </c>
      <c r="R226" s="84" t="n">
        <v>39858000</v>
      </c>
      <c r="S226" s="83" t="n">
        <v>0</v>
      </c>
      <c r="T226" s="84" t="n">
        <v>0</v>
      </c>
      <c r="U226" s="83" t="n">
        <v>1</v>
      </c>
      <c r="V226" s="84">
        <f>U226*L226</f>
        <v/>
      </c>
      <c r="W226" s="83">
        <f>Q226+S226-U226</f>
        <v/>
      </c>
      <c r="X226" s="84">
        <f>R226+T226-V226</f>
        <v/>
      </c>
      <c r="Y226" s="85" t="inlineStr">
        <is>
          <t>P221ZZMO01</t>
        </is>
      </c>
      <c r="Z226" s="86" t="inlineStr">
        <is>
          <t>15661</t>
        </is>
      </c>
      <c r="AA226" s="86" t="inlineStr">
        <is>
          <t>33561</t>
        </is>
      </c>
      <c r="AB226" s="86" t="inlineStr">
        <is>
          <t>6277651</t>
        </is>
      </c>
      <c r="AC226" s="87" t="inlineStr">
        <is>
          <t>Movies</t>
        </is>
      </c>
      <c r="AD226" s="76">
        <f>COUNTIF('KK1. Movies'!AI:AI,'TK 15661.Bản quyền phim '!F226)</f>
        <v/>
      </c>
      <c r="AE226" s="76">
        <f>COUNTIF('KK2. Series'!AM:AM,'TK 15661.Bản quyền phim '!F226)</f>
        <v/>
      </c>
      <c r="AF226" s="76">
        <f>COUNTIF('KK3. Kids'!AF:AF,'TK 15661.Bản quyền phim '!F226)</f>
        <v/>
      </c>
      <c r="AG226" s="76" t="n"/>
      <c r="AH226" s="76">
        <f>IF(SUM(AD226:AG226)&gt;0,"OK",0)</f>
        <v/>
      </c>
    </row>
    <row r="227" hidden="1" ht="15.6" customHeight="1" s="578">
      <c r="A227" s="27" t="n"/>
      <c r="B227" s="74" t="inlineStr">
        <is>
          <t>K+1MOV024085</t>
        </is>
      </c>
      <c r="C227" s="708" t="inlineStr">
        <is>
          <t>USD</t>
        </is>
      </c>
      <c r="D227" s="708" t="inlineStr">
        <is>
          <t>S0002418</t>
        </is>
      </c>
      <c r="E227" s="708" t="inlineStr">
        <is>
          <t>UNIVERSAL CITY STUDIOS PRODUCTIONS LLLP</t>
        </is>
      </c>
      <c r="F227" s="708" t="inlineStr">
        <is>
          <t>AMBULANCE (2022)</t>
        </is>
      </c>
      <c r="G227" s="708" t="inlineStr">
        <is>
          <t>Movies International</t>
        </is>
      </c>
      <c r="H227" s="83" t="n">
        <v>1</v>
      </c>
      <c r="I227" s="83" t="n">
        <v>2</v>
      </c>
      <c r="J227" s="83">
        <f>H227*I227</f>
        <v/>
      </c>
      <c r="K227" s="83" t="n">
        <v>97130880</v>
      </c>
      <c r="L227" s="83" t="n">
        <v>48565440</v>
      </c>
      <c r="M227" s="83">
        <f>J227-Q227</f>
        <v/>
      </c>
      <c r="N227" s="83">
        <f>K227-R227</f>
        <v/>
      </c>
      <c r="O227" s="517" t="n">
        <v>45513</v>
      </c>
      <c r="P227" s="517" t="n">
        <v>46242</v>
      </c>
      <c r="Q227" s="83" t="n">
        <v>1</v>
      </c>
      <c r="R227" s="84" t="n">
        <v>48565440</v>
      </c>
      <c r="S227" s="83" t="n">
        <v>0</v>
      </c>
      <c r="T227" s="84" t="n">
        <v>0</v>
      </c>
      <c r="U227" s="83" t="n">
        <v>1</v>
      </c>
      <c r="V227" s="84">
        <f>U227*L227</f>
        <v/>
      </c>
      <c r="W227" s="83">
        <f>Q227+S227-U227</f>
        <v/>
      </c>
      <c r="X227" s="84">
        <f>R227+T227-V227</f>
        <v/>
      </c>
      <c r="Y227" s="85" t="inlineStr">
        <is>
          <t>P221ZZMO01</t>
        </is>
      </c>
      <c r="Z227" s="86" t="inlineStr">
        <is>
          <t>15661</t>
        </is>
      </c>
      <c r="AA227" s="86" t="inlineStr">
        <is>
          <t>33561</t>
        </is>
      </c>
      <c r="AB227" s="86" t="inlineStr">
        <is>
          <t>6277651</t>
        </is>
      </c>
      <c r="AC227" s="87" t="inlineStr">
        <is>
          <t>Movies</t>
        </is>
      </c>
      <c r="AD227" s="76">
        <f>COUNTIF('KK1. Movies'!AI:AI,'TK 15661.Bản quyền phim '!F227)</f>
        <v/>
      </c>
      <c r="AE227" s="76">
        <f>COUNTIF('KK2. Series'!AM:AM,'TK 15661.Bản quyền phim '!F227)</f>
        <v/>
      </c>
      <c r="AF227" s="76">
        <f>COUNTIF('KK3. Kids'!AF:AF,'TK 15661.Bản quyền phim '!F227)</f>
        <v/>
      </c>
      <c r="AG227" s="76" t="n"/>
      <c r="AH227" s="76">
        <f>IF(SUM(AD227:AG227)&gt;0,"OK",0)</f>
        <v/>
      </c>
    </row>
    <row r="228" hidden="1" ht="15.6" customHeight="1" s="578">
      <c r="A228" s="27" t="n"/>
      <c r="B228" s="74" t="inlineStr">
        <is>
          <t>K+1MOV024086</t>
        </is>
      </c>
      <c r="C228" s="708" t="inlineStr">
        <is>
          <t>USD</t>
        </is>
      </c>
      <c r="D228" s="708" t="inlineStr">
        <is>
          <t>S0002418</t>
        </is>
      </c>
      <c r="E228" s="708" t="inlineStr">
        <is>
          <t>UNIVERSAL CITY STUDIOS PRODUCTIONS LLLP</t>
        </is>
      </c>
      <c r="F228" s="708" t="inlineStr">
        <is>
          <t>BLACK PHONE, THE (INTL)</t>
        </is>
      </c>
      <c r="G228" s="708" t="inlineStr">
        <is>
          <t>Movies International</t>
        </is>
      </c>
      <c r="H228" s="83" t="n">
        <v>1</v>
      </c>
      <c r="I228" s="83" t="n">
        <v>2</v>
      </c>
      <c r="J228" s="83">
        <f>H228*I228</f>
        <v/>
      </c>
      <c r="K228" s="83" t="n">
        <v>125828640</v>
      </c>
      <c r="L228" s="83" t="n">
        <v>62914320</v>
      </c>
      <c r="M228" s="83">
        <f>J228-Q228</f>
        <v/>
      </c>
      <c r="N228" s="83">
        <f>K228-R228</f>
        <v/>
      </c>
      <c r="O228" s="517" t="n">
        <v>45646</v>
      </c>
      <c r="P228" s="517" t="n">
        <v>46375</v>
      </c>
      <c r="Q228" s="83" t="n">
        <v>1</v>
      </c>
      <c r="R228" s="84" t="n">
        <v>62914320</v>
      </c>
      <c r="S228" s="83" t="n">
        <v>0</v>
      </c>
      <c r="T228" s="84" t="n">
        <v>0</v>
      </c>
      <c r="U228" s="83" t="n">
        <v>1</v>
      </c>
      <c r="V228" s="84">
        <f>U228*L228</f>
        <v/>
      </c>
      <c r="W228" s="83">
        <f>Q228+S228-U228</f>
        <v/>
      </c>
      <c r="X228" s="84">
        <f>R228+T228-V228</f>
        <v/>
      </c>
      <c r="Y228" s="85" t="inlineStr">
        <is>
          <t>P221ZZMO01</t>
        </is>
      </c>
      <c r="Z228" s="86" t="inlineStr">
        <is>
          <t>15661</t>
        </is>
      </c>
      <c r="AA228" s="86" t="inlineStr">
        <is>
          <t>33561</t>
        </is>
      </c>
      <c r="AB228" s="86" t="inlineStr">
        <is>
          <t>6277651</t>
        </is>
      </c>
      <c r="AC228" s="87" t="inlineStr">
        <is>
          <t>Movies</t>
        </is>
      </c>
      <c r="AD228" s="76">
        <f>COUNTIF('KK1. Movies'!AI:AI,'TK 15661.Bản quyền phim '!F228)</f>
        <v/>
      </c>
      <c r="AE228" s="76">
        <f>COUNTIF('KK2. Series'!AM:AM,'TK 15661.Bản quyền phim '!F228)</f>
        <v/>
      </c>
      <c r="AF228" s="76">
        <f>COUNTIF('KK3. Kids'!AF:AF,'TK 15661.Bản quyền phim '!F228)</f>
        <v/>
      </c>
      <c r="AG228" s="76" t="n"/>
      <c r="AH228" s="76">
        <f>IF(SUM(AD228:AG228)&gt;0,"OK",0)</f>
        <v/>
      </c>
    </row>
    <row r="229" hidden="1" ht="15.6" customHeight="1" s="578">
      <c r="A229" s="27" t="n"/>
      <c r="B229" s="74" t="inlineStr">
        <is>
          <t>K+1MOV024087</t>
        </is>
      </c>
      <c r="C229" s="708" t="inlineStr">
        <is>
          <t>USD</t>
        </is>
      </c>
      <c r="D229" s="708" t="inlineStr">
        <is>
          <t>S0002418</t>
        </is>
      </c>
      <c r="E229" s="708" t="inlineStr">
        <is>
          <t>UNIVERSAL CITY STUDIOS PRODUCTIONS LLLP</t>
        </is>
      </c>
      <c r="F229" s="708" t="inlineStr">
        <is>
          <t>CATS (2019)</t>
        </is>
      </c>
      <c r="G229" s="708" t="inlineStr">
        <is>
          <t>Movies International</t>
        </is>
      </c>
      <c r="H229" s="83" t="n">
        <v>1</v>
      </c>
      <c r="I229" s="83" t="n">
        <v>2</v>
      </c>
      <c r="J229" s="83">
        <f>H229*I229</f>
        <v/>
      </c>
      <c r="K229" s="83" t="n">
        <v>94923360</v>
      </c>
      <c r="L229" s="83" t="n">
        <v>47461680</v>
      </c>
      <c r="M229" s="83">
        <f>J229-Q229</f>
        <v/>
      </c>
      <c r="N229" s="83">
        <f>K229-R229</f>
        <v/>
      </c>
      <c r="O229" s="517" t="n">
        <v>45616</v>
      </c>
      <c r="P229" s="517" t="n">
        <v>46345</v>
      </c>
      <c r="Q229" s="83" t="n">
        <v>1</v>
      </c>
      <c r="R229" s="84" t="n">
        <v>47461680</v>
      </c>
      <c r="S229" s="83" t="n">
        <v>0</v>
      </c>
      <c r="T229" s="84" t="n">
        <v>0</v>
      </c>
      <c r="U229" s="83" t="n">
        <v>1</v>
      </c>
      <c r="V229" s="84">
        <f>U229*L229</f>
        <v/>
      </c>
      <c r="W229" s="83">
        <f>Q229+S229-U229</f>
        <v/>
      </c>
      <c r="X229" s="84">
        <f>R229+T229-V229</f>
        <v/>
      </c>
      <c r="Y229" s="85" t="inlineStr">
        <is>
          <t>P221ZZMO01</t>
        </is>
      </c>
      <c r="Z229" s="86" t="inlineStr">
        <is>
          <t>15661</t>
        </is>
      </c>
      <c r="AA229" s="86" t="inlineStr">
        <is>
          <t>33561</t>
        </is>
      </c>
      <c r="AB229" s="86" t="inlineStr">
        <is>
          <t>6277651</t>
        </is>
      </c>
      <c r="AC229" s="87" t="inlineStr">
        <is>
          <t>Movies</t>
        </is>
      </c>
      <c r="AD229" s="76">
        <f>COUNTIF('KK1. Movies'!AI:AI,'TK 15661.Bản quyền phim '!F229)</f>
        <v/>
      </c>
      <c r="AE229" s="76">
        <f>COUNTIF('KK2. Series'!AM:AM,'TK 15661.Bản quyền phim '!F229)</f>
        <v/>
      </c>
      <c r="AF229" s="76">
        <f>COUNTIF('KK3. Kids'!AF:AF,'TK 15661.Bản quyền phim '!F229)</f>
        <v/>
      </c>
      <c r="AG229" s="76" t="n"/>
      <c r="AH229" s="76">
        <f>IF(SUM(AD229:AG229)&gt;0,"OK",0)</f>
        <v/>
      </c>
    </row>
    <row r="230" hidden="1" ht="15.6" customHeight="1" s="578">
      <c r="A230" s="27" t="n"/>
      <c r="B230" s="74" t="inlineStr">
        <is>
          <t>K+1MOV024088</t>
        </is>
      </c>
      <c r="C230" s="708" t="inlineStr">
        <is>
          <t>USD</t>
        </is>
      </c>
      <c r="D230" s="708" t="inlineStr">
        <is>
          <t>S0002418</t>
        </is>
      </c>
      <c r="E230" s="708" t="inlineStr">
        <is>
          <t>UNIVERSAL CITY STUDIOS PRODUCTIONS LLLP</t>
        </is>
      </c>
      <c r="F230" s="708" t="inlineStr">
        <is>
          <t>DEAR EVAN HANSEN</t>
        </is>
      </c>
      <c r="G230" s="708" t="inlineStr">
        <is>
          <t>Movies International</t>
        </is>
      </c>
      <c r="H230" s="83" t="n">
        <v>1</v>
      </c>
      <c r="I230" s="83" t="n">
        <v>2</v>
      </c>
      <c r="J230" s="83">
        <f>H230*I230</f>
        <v/>
      </c>
      <c r="K230" s="83" t="n">
        <v>75791520</v>
      </c>
      <c r="L230" s="83" t="n">
        <v>37895760</v>
      </c>
      <c r="M230" s="83">
        <f>J230-Q230</f>
        <v/>
      </c>
      <c r="N230" s="83">
        <f>K230-R230</f>
        <v/>
      </c>
      <c r="O230" s="517" t="n">
        <v>45623</v>
      </c>
      <c r="P230" s="517" t="n">
        <v>46352</v>
      </c>
      <c r="Q230" s="83" t="n">
        <v>1</v>
      </c>
      <c r="R230" s="84" t="n">
        <v>37895760</v>
      </c>
      <c r="S230" s="83" t="n">
        <v>0</v>
      </c>
      <c r="T230" s="84" t="n">
        <v>0</v>
      </c>
      <c r="U230" s="83" t="n">
        <v>1</v>
      </c>
      <c r="V230" s="84">
        <f>U230*L230</f>
        <v/>
      </c>
      <c r="W230" s="83">
        <f>Q230+S230-U230</f>
        <v/>
      </c>
      <c r="X230" s="84">
        <f>R230+T230-V230</f>
        <v/>
      </c>
      <c r="Y230" s="85" t="inlineStr">
        <is>
          <t>P221ZZMO01</t>
        </is>
      </c>
      <c r="Z230" s="86" t="inlineStr">
        <is>
          <t>15661</t>
        </is>
      </c>
      <c r="AA230" s="86" t="inlineStr">
        <is>
          <t>33561</t>
        </is>
      </c>
      <c r="AB230" s="86" t="inlineStr">
        <is>
          <t>6277651</t>
        </is>
      </c>
      <c r="AC230" s="87" t="inlineStr">
        <is>
          <t>Movies</t>
        </is>
      </c>
      <c r="AD230" s="76">
        <f>COUNTIF('KK1. Movies'!AI:AI,'TK 15661.Bản quyền phim '!F230)</f>
        <v/>
      </c>
      <c r="AE230" s="76">
        <f>COUNTIF('KK2. Series'!AM:AM,'TK 15661.Bản quyền phim '!F230)</f>
        <v/>
      </c>
      <c r="AF230" s="76">
        <f>COUNTIF('KK3. Kids'!AF:AF,'TK 15661.Bản quyền phim '!F230)</f>
        <v/>
      </c>
      <c r="AG230" s="76" t="n"/>
      <c r="AH230" s="76">
        <f>IF(SUM(AD230:AG230)&gt;0,"OK",0)</f>
        <v/>
      </c>
    </row>
    <row r="231" hidden="1" ht="15.6" customHeight="1" s="578">
      <c r="A231" s="27" t="n"/>
      <c r="B231" s="74" t="inlineStr">
        <is>
          <t>K+1MOV024089</t>
        </is>
      </c>
      <c r="C231" s="708" t="inlineStr">
        <is>
          <t>USD</t>
        </is>
      </c>
      <c r="D231" s="708" t="inlineStr">
        <is>
          <t>S0002418</t>
        </is>
      </c>
      <c r="E231" s="708" t="inlineStr">
        <is>
          <t>UNIVERSAL CITY STUDIOS PRODUCTIONS LLLP</t>
        </is>
      </c>
      <c r="F231" s="708" t="inlineStr">
        <is>
          <t>DOWNTON ABBEY: A NEW ERA</t>
        </is>
      </c>
      <c r="G231" s="708" t="inlineStr">
        <is>
          <t>Movies International</t>
        </is>
      </c>
      <c r="H231" s="83" t="n">
        <v>1</v>
      </c>
      <c r="I231" s="83" t="n">
        <v>2</v>
      </c>
      <c r="J231" s="83">
        <f>H231*I231</f>
        <v/>
      </c>
      <c r="K231" s="83" t="n">
        <v>97130880</v>
      </c>
      <c r="L231" s="83" t="n">
        <v>48565440</v>
      </c>
      <c r="M231" s="83">
        <f>J231-Q231</f>
        <v/>
      </c>
      <c r="N231" s="83">
        <f>K231-R231</f>
        <v/>
      </c>
      <c r="O231" s="517" t="n">
        <v>45653</v>
      </c>
      <c r="P231" s="517" t="n">
        <v>46382</v>
      </c>
      <c r="Q231" s="83" t="n">
        <v>1</v>
      </c>
      <c r="R231" s="84" t="n">
        <v>48565440</v>
      </c>
      <c r="S231" s="83" t="n">
        <v>0</v>
      </c>
      <c r="T231" s="84" t="n">
        <v>0</v>
      </c>
      <c r="U231" s="83" t="n">
        <v>1</v>
      </c>
      <c r="V231" s="84">
        <f>U231*L231</f>
        <v/>
      </c>
      <c r="W231" s="83">
        <f>Q231+S231-U231</f>
        <v/>
      </c>
      <c r="X231" s="84">
        <f>R231+T231-V231</f>
        <v/>
      </c>
      <c r="Y231" s="85" t="inlineStr">
        <is>
          <t>P221ZZMO01</t>
        </is>
      </c>
      <c r="Z231" s="86" t="inlineStr">
        <is>
          <t>15661</t>
        </is>
      </c>
      <c r="AA231" s="86" t="inlineStr">
        <is>
          <t>33561</t>
        </is>
      </c>
      <c r="AB231" s="86" t="inlineStr">
        <is>
          <t>6277651</t>
        </is>
      </c>
      <c r="AC231" s="87" t="inlineStr">
        <is>
          <t>Movies</t>
        </is>
      </c>
      <c r="AD231" s="76">
        <f>COUNTIF('KK1. Movies'!AI:AI,'TK 15661.Bản quyền phim '!F231)</f>
        <v/>
      </c>
      <c r="AE231" s="76">
        <f>COUNTIF('KK2. Series'!AM:AM,'TK 15661.Bản quyền phim '!F231)</f>
        <v/>
      </c>
      <c r="AF231" s="76">
        <f>COUNTIF('KK3. Kids'!AF:AF,'TK 15661.Bản quyền phim '!F231)</f>
        <v/>
      </c>
      <c r="AG231" s="76" t="n"/>
      <c r="AH231" s="76">
        <f>IF(SUM(AD231:AG231)&gt;0,"OK",0)</f>
        <v/>
      </c>
    </row>
    <row r="232" hidden="1" ht="15.6" customHeight="1" s="578">
      <c r="A232" s="27" t="n"/>
      <c r="B232" s="74" t="inlineStr">
        <is>
          <t>K+2MOV024090</t>
        </is>
      </c>
      <c r="C232" s="708" t="inlineStr">
        <is>
          <t>USD</t>
        </is>
      </c>
      <c r="D232" s="708" t="inlineStr">
        <is>
          <t>S0002418</t>
        </is>
      </c>
      <c r="E232" s="708" t="inlineStr">
        <is>
          <t>UNIVERSAL CITY STUDIOS PRODUCTIONS LLLP</t>
        </is>
      </c>
      <c r="F232" s="708" t="inlineStr">
        <is>
          <t>FIRESTARTER (2022)</t>
        </is>
      </c>
      <c r="G232" s="708" t="inlineStr">
        <is>
          <t>Movies International</t>
        </is>
      </c>
      <c r="H232" s="83" t="n">
        <v>1</v>
      </c>
      <c r="I232" s="83" t="n">
        <v>2</v>
      </c>
      <c r="J232" s="83">
        <f>H232*I232</f>
        <v/>
      </c>
      <c r="K232" s="83" t="n">
        <v>97130880</v>
      </c>
      <c r="L232" s="83" t="n">
        <v>48565440</v>
      </c>
      <c r="M232" s="83">
        <f>J232-Q232</f>
        <v/>
      </c>
      <c r="N232" s="83">
        <f>K232-R232</f>
        <v/>
      </c>
      <c r="O232" s="517" t="n">
        <v>45617</v>
      </c>
      <c r="P232" s="517" t="n">
        <v>46346</v>
      </c>
      <c r="Q232" s="83" t="n">
        <v>1</v>
      </c>
      <c r="R232" s="84" t="n">
        <v>48565440</v>
      </c>
      <c r="S232" s="83" t="n">
        <v>0</v>
      </c>
      <c r="T232" s="84" t="n">
        <v>0</v>
      </c>
      <c r="U232" s="83" t="n">
        <v>1</v>
      </c>
      <c r="V232" s="84">
        <f>U232*L232</f>
        <v/>
      </c>
      <c r="W232" s="83">
        <f>Q232+S232-U232</f>
        <v/>
      </c>
      <c r="X232" s="84">
        <f>R232+T232-V232</f>
        <v/>
      </c>
      <c r="Y232" s="85" t="inlineStr">
        <is>
          <t>P221ZZMO01</t>
        </is>
      </c>
      <c r="Z232" s="86" t="inlineStr">
        <is>
          <t>15661</t>
        </is>
      </c>
      <c r="AA232" s="86" t="inlineStr">
        <is>
          <t>33561</t>
        </is>
      </c>
      <c r="AB232" s="86" t="inlineStr">
        <is>
          <t>6277651</t>
        </is>
      </c>
      <c r="AC232" s="87" t="inlineStr">
        <is>
          <t>Movies</t>
        </is>
      </c>
      <c r="AD232" s="76">
        <f>COUNTIF('KK1. Movies'!AI:AI,'TK 15661.Bản quyền phim '!F232)</f>
        <v/>
      </c>
      <c r="AE232" s="76">
        <f>COUNTIF('KK2. Series'!AM:AM,'TK 15661.Bản quyền phim '!F232)</f>
        <v/>
      </c>
      <c r="AF232" s="76">
        <f>COUNTIF('KK3. Kids'!AF:AF,'TK 15661.Bản quyền phim '!F232)</f>
        <v/>
      </c>
      <c r="AG232" s="76" t="n"/>
      <c r="AH232" s="76">
        <f>IF(SUM(AD232:AG232)&gt;0,"OK",0)</f>
        <v/>
      </c>
    </row>
    <row r="233" hidden="1" ht="15.6" customHeight="1" s="578">
      <c r="A233" s="27" t="n"/>
      <c r="B233" s="74" t="inlineStr">
        <is>
          <t>K+1MOV024091</t>
        </is>
      </c>
      <c r="C233" s="708" t="inlineStr">
        <is>
          <t>USD</t>
        </is>
      </c>
      <c r="D233" s="708" t="inlineStr">
        <is>
          <t>S0002418</t>
        </is>
      </c>
      <c r="E233" s="708" t="inlineStr">
        <is>
          <t>UNIVERSAL CITY STUDIOS PRODUCTIONS LLLP</t>
        </is>
      </c>
      <c r="F233" s="708" t="inlineStr">
        <is>
          <t>HUNT, THE</t>
        </is>
      </c>
      <c r="G233" s="708" t="inlineStr">
        <is>
          <t>Movies International</t>
        </is>
      </c>
      <c r="H233" s="83" t="n">
        <v>1</v>
      </c>
      <c r="I233" s="83" t="n">
        <v>2</v>
      </c>
      <c r="J233" s="83">
        <f>H233*I233</f>
        <v/>
      </c>
      <c r="K233" s="83" t="n">
        <v>94923360</v>
      </c>
      <c r="L233" s="83" t="n">
        <v>47461680</v>
      </c>
      <c r="M233" s="83">
        <f>J233-Q233</f>
        <v/>
      </c>
      <c r="N233" s="83">
        <f>K233-R233</f>
        <v/>
      </c>
      <c r="O233" s="517" t="n">
        <v>45414</v>
      </c>
      <c r="P233" s="517" t="n">
        <v>46143</v>
      </c>
      <c r="Q233" s="83" t="n">
        <v>1</v>
      </c>
      <c r="R233" s="84" t="n">
        <v>47461680</v>
      </c>
      <c r="S233" s="83" t="n">
        <v>0</v>
      </c>
      <c r="T233" s="84" t="n">
        <v>0</v>
      </c>
      <c r="U233" s="83" t="n">
        <v>1</v>
      </c>
      <c r="V233" s="84">
        <f>U233*L233</f>
        <v/>
      </c>
      <c r="W233" s="83">
        <f>Q233+S233-U233</f>
        <v/>
      </c>
      <c r="X233" s="84">
        <f>R233+T233-V233</f>
        <v/>
      </c>
      <c r="Y233" s="85" t="inlineStr">
        <is>
          <t>P221ZZMO01</t>
        </is>
      </c>
      <c r="Z233" s="86" t="inlineStr">
        <is>
          <t>15661</t>
        </is>
      </c>
      <c r="AA233" s="86" t="inlineStr">
        <is>
          <t>33561</t>
        </is>
      </c>
      <c r="AB233" s="86" t="inlineStr">
        <is>
          <t>6277651</t>
        </is>
      </c>
      <c r="AC233" s="87" t="inlineStr">
        <is>
          <t>Movies</t>
        </is>
      </c>
      <c r="AD233" s="76">
        <f>COUNTIF('KK1. Movies'!AI:AI,'TK 15661.Bản quyền phim '!F233)</f>
        <v/>
      </c>
      <c r="AE233" s="76">
        <f>COUNTIF('KK2. Series'!AM:AM,'TK 15661.Bản quyền phim '!F233)</f>
        <v/>
      </c>
      <c r="AF233" s="76">
        <f>COUNTIF('KK3. Kids'!AF:AF,'TK 15661.Bản quyền phim '!F233)</f>
        <v/>
      </c>
      <c r="AG233" s="76" t="n"/>
      <c r="AH233" s="76">
        <f>IF(SUM(AD233:AG233)&gt;0,"OK",0)</f>
        <v/>
      </c>
    </row>
    <row r="234" hidden="1" ht="15.6" customHeight="1" s="578">
      <c r="A234" s="27" t="n"/>
      <c r="B234" s="74" t="inlineStr">
        <is>
          <t>K+1MOV024092</t>
        </is>
      </c>
      <c r="C234" s="708" t="inlineStr">
        <is>
          <t>USD</t>
        </is>
      </c>
      <c r="D234" s="708" t="inlineStr">
        <is>
          <t>S0002418</t>
        </is>
      </c>
      <c r="E234" s="708" t="inlineStr">
        <is>
          <t>UNIVERSAL CITY STUDIOS PRODUCTIONS LLLP</t>
        </is>
      </c>
      <c r="F234" s="708" t="inlineStr">
        <is>
          <t>JURASSIC WORLD DOMINION</t>
        </is>
      </c>
      <c r="G234" s="708" t="inlineStr">
        <is>
          <t>Movies International</t>
        </is>
      </c>
      <c r="H234" s="83" t="n">
        <v>1</v>
      </c>
      <c r="I234" s="83" t="n">
        <v>2</v>
      </c>
      <c r="J234" s="83">
        <f>H234*I234</f>
        <v/>
      </c>
      <c r="K234" s="83" t="n">
        <v>181016640</v>
      </c>
      <c r="L234" s="83" t="n">
        <v>90508320</v>
      </c>
      <c r="M234" s="83">
        <f>J234-Q234</f>
        <v/>
      </c>
      <c r="N234" s="83">
        <f>K234-R234</f>
        <v/>
      </c>
      <c r="O234" s="517" t="n">
        <v>45639</v>
      </c>
      <c r="P234" s="517" t="n">
        <v>46368</v>
      </c>
      <c r="Q234" s="83" t="n">
        <v>1</v>
      </c>
      <c r="R234" s="84" t="n">
        <v>90508320</v>
      </c>
      <c r="S234" s="83" t="n">
        <v>0</v>
      </c>
      <c r="T234" s="84" t="n">
        <v>0</v>
      </c>
      <c r="U234" s="83" t="n">
        <v>1</v>
      </c>
      <c r="V234" s="84">
        <f>U234*L234</f>
        <v/>
      </c>
      <c r="W234" s="83">
        <f>Q234+S234-U234</f>
        <v/>
      </c>
      <c r="X234" s="84">
        <f>R234+T234-V234</f>
        <v/>
      </c>
      <c r="Y234" s="85" t="inlineStr">
        <is>
          <t>P221ZZMO01</t>
        </is>
      </c>
      <c r="Z234" s="86" t="inlineStr">
        <is>
          <t>15661</t>
        </is>
      </c>
      <c r="AA234" s="86" t="inlineStr">
        <is>
          <t>33561</t>
        </is>
      </c>
      <c r="AB234" s="86" t="inlineStr">
        <is>
          <t>6277651</t>
        </is>
      </c>
      <c r="AC234" s="87" t="inlineStr">
        <is>
          <t>Movies</t>
        </is>
      </c>
      <c r="AD234" s="76">
        <f>COUNTIF('KK1. Movies'!AI:AI,'TK 15661.Bản quyền phim '!F234)</f>
        <v/>
      </c>
      <c r="AE234" s="76">
        <f>COUNTIF('KK2. Series'!AM:AM,'TK 15661.Bản quyền phim '!F234)</f>
        <v/>
      </c>
      <c r="AF234" s="76">
        <f>COUNTIF('KK3. Kids'!AF:AF,'TK 15661.Bản quyền phim '!F234)</f>
        <v/>
      </c>
      <c r="AG234" s="76" t="n"/>
      <c r="AH234" s="76">
        <f>IF(SUM(AD234:AG234)&gt;0,"OK",0)</f>
        <v/>
      </c>
    </row>
    <row r="235" hidden="1" ht="15.6" customHeight="1" s="578">
      <c r="A235" s="27" t="n"/>
      <c r="B235" s="74" t="inlineStr">
        <is>
          <t>K+2MOV024093</t>
        </is>
      </c>
      <c r="C235" s="708" t="inlineStr">
        <is>
          <t>USD</t>
        </is>
      </c>
      <c r="D235" s="708" t="inlineStr">
        <is>
          <t>S0002418</t>
        </is>
      </c>
      <c r="E235" s="708" t="inlineStr">
        <is>
          <t>UNIVERSAL CITY STUDIOS PRODUCTIONS LLLP</t>
        </is>
      </c>
      <c r="F235" s="708" t="inlineStr">
        <is>
          <t>Last night in Soho</t>
        </is>
      </c>
      <c r="G235" s="708" t="inlineStr">
        <is>
          <t>Movies International</t>
        </is>
      </c>
      <c r="H235" s="83" t="n">
        <v>1</v>
      </c>
      <c r="I235" s="83" t="n">
        <v>2</v>
      </c>
      <c r="J235" s="83">
        <f>H235*I235</f>
        <v/>
      </c>
      <c r="K235" s="83" t="n">
        <v>75791520</v>
      </c>
      <c r="L235" s="83" t="n">
        <v>37895760</v>
      </c>
      <c r="M235" s="83">
        <f>J235-Q235</f>
        <v/>
      </c>
      <c r="N235" s="83">
        <f>K235-R235</f>
        <v/>
      </c>
      <c r="O235" s="517" t="n">
        <v>45422</v>
      </c>
      <c r="P235" s="517" t="n">
        <v>46151</v>
      </c>
      <c r="Q235" s="83" t="n">
        <v>1</v>
      </c>
      <c r="R235" s="84" t="n">
        <v>37895760</v>
      </c>
      <c r="S235" s="83" t="n">
        <v>0</v>
      </c>
      <c r="T235" s="84" t="n">
        <v>0</v>
      </c>
      <c r="U235" s="83" t="n">
        <v>1</v>
      </c>
      <c r="V235" s="84">
        <f>U235*L235</f>
        <v/>
      </c>
      <c r="W235" s="83">
        <f>Q235+S235-U235</f>
        <v/>
      </c>
      <c r="X235" s="84">
        <f>R235+T235-V235</f>
        <v/>
      </c>
      <c r="Y235" s="85" t="inlineStr">
        <is>
          <t>P221ZZMO01</t>
        </is>
      </c>
      <c r="Z235" s="86" t="inlineStr">
        <is>
          <t>15661</t>
        </is>
      </c>
      <c r="AA235" s="86" t="inlineStr">
        <is>
          <t>33561</t>
        </is>
      </c>
      <c r="AB235" s="86" t="inlineStr">
        <is>
          <t>6277651</t>
        </is>
      </c>
      <c r="AC235" s="87" t="inlineStr">
        <is>
          <t>Movies</t>
        </is>
      </c>
      <c r="AD235" s="76">
        <f>COUNTIF('KK1. Movies'!AI:AI,'TK 15661.Bản quyền phim '!F235)</f>
        <v/>
      </c>
      <c r="AE235" s="76">
        <f>COUNTIF('KK2. Series'!AM:AM,'TK 15661.Bản quyền phim '!F235)</f>
        <v/>
      </c>
      <c r="AF235" s="76">
        <f>COUNTIF('KK3. Kids'!AF:AF,'TK 15661.Bản quyền phim '!F235)</f>
        <v/>
      </c>
      <c r="AG235" s="76" t="n"/>
      <c r="AH235" s="76">
        <f>IF(SUM(AD235:AG235)&gt;0,"OK",0)</f>
        <v/>
      </c>
    </row>
    <row r="236" hidden="1" ht="15.6" customHeight="1" s="578">
      <c r="A236" s="27" t="n"/>
      <c r="B236" s="74" t="inlineStr">
        <is>
          <t>K+5MOV024094</t>
        </is>
      </c>
      <c r="C236" s="708" t="inlineStr">
        <is>
          <t>USD</t>
        </is>
      </c>
      <c r="D236" s="708" t="inlineStr">
        <is>
          <t>S0002418</t>
        </is>
      </c>
      <c r="E236" s="708" t="inlineStr">
        <is>
          <t>UNIVERSAL CITY STUDIOS PRODUCTIONS LLLP</t>
        </is>
      </c>
      <c r="F236" s="708" t="inlineStr">
        <is>
          <t>MINIONS: THE RISE OF GRU</t>
        </is>
      </c>
      <c r="G236" s="708" t="inlineStr">
        <is>
          <t>Movies International</t>
        </is>
      </c>
      <c r="H236" s="83" t="n">
        <v>1</v>
      </c>
      <c r="I236" s="83" t="n">
        <v>2</v>
      </c>
      <c r="J236" s="83">
        <f>H236*I236</f>
        <v/>
      </c>
      <c r="K236" s="83" t="n">
        <v>181016640</v>
      </c>
      <c r="L236" s="83" t="n">
        <v>90508320</v>
      </c>
      <c r="M236" s="83">
        <f>J236-Q236</f>
        <v/>
      </c>
      <c r="N236" s="83">
        <f>K236-R236</f>
        <v/>
      </c>
      <c r="O236" s="517" t="n">
        <v>45629</v>
      </c>
      <c r="P236" s="517" t="n">
        <v>46358</v>
      </c>
      <c r="Q236" s="83" t="n">
        <v>1</v>
      </c>
      <c r="R236" s="84" t="n">
        <v>90508320</v>
      </c>
      <c r="S236" s="83" t="n">
        <v>0</v>
      </c>
      <c r="T236" s="84" t="n">
        <v>0</v>
      </c>
      <c r="U236" s="83" t="n">
        <v>1</v>
      </c>
      <c r="V236" s="84">
        <f>U236*L236</f>
        <v/>
      </c>
      <c r="W236" s="83">
        <f>Q236+S236-U236</f>
        <v/>
      </c>
      <c r="X236" s="84">
        <f>R236+T236-V236</f>
        <v/>
      </c>
      <c r="Y236" s="85" t="inlineStr">
        <is>
          <t>P221ZZMO01</t>
        </is>
      </c>
      <c r="Z236" s="86" t="inlineStr">
        <is>
          <t>15661</t>
        </is>
      </c>
      <c r="AA236" s="86" t="inlineStr">
        <is>
          <t>33561</t>
        </is>
      </c>
      <c r="AB236" s="86" t="inlineStr">
        <is>
          <t>6277651</t>
        </is>
      </c>
      <c r="AC236" s="87" t="inlineStr">
        <is>
          <t>Movies</t>
        </is>
      </c>
      <c r="AD236" s="76">
        <f>COUNTIF('KK1. Movies'!AI:AI,'TK 15661.Bản quyền phim '!F236)</f>
        <v/>
      </c>
      <c r="AE236" s="76">
        <f>COUNTIF('KK2. Series'!AM:AM,'TK 15661.Bản quyền phim '!F236)</f>
        <v/>
      </c>
      <c r="AF236" s="76">
        <f>COUNTIF('KK3. Kids'!AF:AF,'TK 15661.Bản quyền phim '!F236)</f>
        <v/>
      </c>
      <c r="AG236" s="76" t="n"/>
      <c r="AH236" s="76">
        <f>IF(SUM(AD236:AG236)&gt;0,"OK",0)</f>
        <v/>
      </c>
    </row>
    <row r="237" hidden="1" ht="15.6" customHeight="1" s="578">
      <c r="A237" s="27" t="n"/>
      <c r="B237" s="74" t="inlineStr">
        <is>
          <t>K+1MOV024095</t>
        </is>
      </c>
      <c r="C237" s="708" t="inlineStr">
        <is>
          <t>USD</t>
        </is>
      </c>
      <c r="D237" s="708" t="inlineStr">
        <is>
          <t>S0002418</t>
        </is>
      </c>
      <c r="E237" s="708" t="inlineStr">
        <is>
          <t>UNIVERSAL CITY STUDIOS PRODUCTIONS LLLP</t>
        </is>
      </c>
      <c r="F237" s="708" t="inlineStr">
        <is>
          <t>PHANTOM THREAD</t>
        </is>
      </c>
      <c r="G237" s="708" t="inlineStr">
        <is>
          <t>Movies International</t>
        </is>
      </c>
      <c r="H237" s="83" t="n">
        <v>1</v>
      </c>
      <c r="I237" s="83" t="n">
        <v>2</v>
      </c>
      <c r="J237" s="83">
        <f>H237*I237</f>
        <v/>
      </c>
      <c r="K237" s="83" t="n">
        <v>97130880</v>
      </c>
      <c r="L237" s="83" t="n">
        <v>48565440</v>
      </c>
      <c r="M237" s="83">
        <f>J237-Q237</f>
        <v/>
      </c>
      <c r="N237" s="83">
        <f>K237-R237</f>
        <v/>
      </c>
      <c r="O237" s="517" t="n">
        <v>45359</v>
      </c>
      <c r="P237" s="517" t="n">
        <v>46088</v>
      </c>
      <c r="Q237" s="83" t="n">
        <v>1</v>
      </c>
      <c r="R237" s="84" t="n">
        <v>48565440</v>
      </c>
      <c r="S237" s="83" t="n">
        <v>0</v>
      </c>
      <c r="T237" s="84" t="n">
        <v>0</v>
      </c>
      <c r="U237" s="83" t="n">
        <v>1</v>
      </c>
      <c r="V237" s="84">
        <f>U237*L237</f>
        <v/>
      </c>
      <c r="W237" s="83">
        <f>Q237+S237-U237</f>
        <v/>
      </c>
      <c r="X237" s="84">
        <f>R237+T237-V237</f>
        <v/>
      </c>
      <c r="Y237" s="85" t="inlineStr">
        <is>
          <t>P221ZZMO01</t>
        </is>
      </c>
      <c r="Z237" s="86" t="inlineStr">
        <is>
          <t>15661</t>
        </is>
      </c>
      <c r="AA237" s="86" t="inlineStr">
        <is>
          <t>33561</t>
        </is>
      </c>
      <c r="AB237" s="86" t="inlineStr">
        <is>
          <t>6277651</t>
        </is>
      </c>
      <c r="AC237" s="87" t="inlineStr">
        <is>
          <t>Movies</t>
        </is>
      </c>
      <c r="AD237" s="76">
        <f>COUNTIF('KK1. Movies'!AI:AI,'TK 15661.Bản quyền phim '!F237)</f>
        <v/>
      </c>
      <c r="AE237" s="76">
        <f>COUNTIF('KK2. Series'!AM:AM,'TK 15661.Bản quyền phim '!F237)</f>
        <v/>
      </c>
      <c r="AF237" s="76">
        <f>COUNTIF('KK3. Kids'!AF:AF,'TK 15661.Bản quyền phim '!F237)</f>
        <v/>
      </c>
      <c r="AG237" s="76" t="n"/>
      <c r="AH237" s="76">
        <f>IF(SUM(AD237:AG237)&gt;0,"OK",0)</f>
        <v/>
      </c>
    </row>
    <row r="238" hidden="1" ht="15.6" customHeight="1" s="578">
      <c r="A238" s="27" t="n"/>
      <c r="B238" s="74" t="inlineStr">
        <is>
          <t>K+1MOV024096</t>
        </is>
      </c>
      <c r="C238" s="708" t="inlineStr">
        <is>
          <t>USD</t>
        </is>
      </c>
      <c r="D238" s="708" t="inlineStr">
        <is>
          <t>S0002418</t>
        </is>
      </c>
      <c r="E238" s="708" t="inlineStr">
        <is>
          <t>UNIVERSAL CITY STUDIOS PRODUCTIONS LLLP</t>
        </is>
      </c>
      <c r="F238" s="708" t="inlineStr">
        <is>
          <t>PROMISING YOUNG WOMAN</t>
        </is>
      </c>
      <c r="G238" s="708" t="inlineStr">
        <is>
          <t>Movies International</t>
        </is>
      </c>
      <c r="H238" s="83" t="n">
        <v>1</v>
      </c>
      <c r="I238" s="83" t="n">
        <v>2</v>
      </c>
      <c r="J238" s="83">
        <f>H238*I238</f>
        <v/>
      </c>
      <c r="K238" s="83" t="n">
        <v>75791520</v>
      </c>
      <c r="L238" s="83" t="n">
        <v>37895760</v>
      </c>
      <c r="M238" s="83">
        <f>J238-Q238</f>
        <v/>
      </c>
      <c r="N238" s="83">
        <f>K238-R238</f>
        <v/>
      </c>
      <c r="O238" s="517" t="n">
        <v>45360</v>
      </c>
      <c r="P238" s="517" t="n">
        <v>46089</v>
      </c>
      <c r="Q238" s="83" t="n">
        <v>1</v>
      </c>
      <c r="R238" s="84" t="n">
        <v>37895760</v>
      </c>
      <c r="S238" s="83" t="n">
        <v>0</v>
      </c>
      <c r="T238" s="84" t="n">
        <v>0</v>
      </c>
      <c r="U238" s="83" t="n">
        <v>1</v>
      </c>
      <c r="V238" s="84">
        <f>U238*L238</f>
        <v/>
      </c>
      <c r="W238" s="83">
        <f>Q238+S238-U238</f>
        <v/>
      </c>
      <c r="X238" s="84">
        <f>R238+T238-V238</f>
        <v/>
      </c>
      <c r="Y238" s="85" t="inlineStr">
        <is>
          <t>P221ZZMO01</t>
        </is>
      </c>
      <c r="Z238" s="86" t="inlineStr">
        <is>
          <t>15661</t>
        </is>
      </c>
      <c r="AA238" s="86" t="inlineStr">
        <is>
          <t>33561</t>
        </is>
      </c>
      <c r="AB238" s="86" t="inlineStr">
        <is>
          <t>6277651</t>
        </is>
      </c>
      <c r="AC238" s="87" t="inlineStr">
        <is>
          <t>Movies</t>
        </is>
      </c>
      <c r="AD238" s="76">
        <f>COUNTIF('KK1. Movies'!AI:AI,'TK 15661.Bản quyền phim '!F238)</f>
        <v/>
      </c>
      <c r="AE238" s="76">
        <f>COUNTIF('KK2. Series'!AM:AM,'TK 15661.Bản quyền phim '!F238)</f>
        <v/>
      </c>
      <c r="AF238" s="76">
        <f>COUNTIF('KK3. Kids'!AF:AF,'TK 15661.Bản quyền phim '!F238)</f>
        <v/>
      </c>
      <c r="AG238" s="76" t="n"/>
      <c r="AH238" s="76">
        <f>IF(SUM(AD238:AG238)&gt;0,"OK",0)</f>
        <v/>
      </c>
    </row>
    <row r="239" hidden="1" ht="15.6" customHeight="1" s="578">
      <c r="A239" s="27" t="n"/>
      <c r="B239" s="74" t="inlineStr">
        <is>
          <t>K+1MOV024097</t>
        </is>
      </c>
      <c r="C239" s="708" t="inlineStr">
        <is>
          <t>USD</t>
        </is>
      </c>
      <c r="D239" s="708" t="inlineStr">
        <is>
          <t>S0002418</t>
        </is>
      </c>
      <c r="E239" s="708" t="inlineStr">
        <is>
          <t>UNIVERSAL CITY STUDIOS PRODUCTIONS LLLP</t>
        </is>
      </c>
      <c r="F239" s="708" t="inlineStr">
        <is>
          <t>SING 2</t>
        </is>
      </c>
      <c r="G239" s="708" t="inlineStr">
        <is>
          <t>Movies International</t>
        </is>
      </c>
      <c r="H239" s="83" t="n">
        <v>1</v>
      </c>
      <c r="I239" s="83" t="n">
        <v>2</v>
      </c>
      <c r="J239" s="83">
        <f>H239*I239</f>
        <v/>
      </c>
      <c r="K239" s="83" t="n">
        <v>181016640</v>
      </c>
      <c r="L239" s="83" t="n">
        <v>90508320</v>
      </c>
      <c r="M239" s="83">
        <f>J239-Q239</f>
        <v/>
      </c>
      <c r="N239" s="83">
        <f>K239-R239</f>
        <v/>
      </c>
      <c r="O239" s="517" t="n">
        <v>45449</v>
      </c>
      <c r="P239" s="517" t="n">
        <v>46178</v>
      </c>
      <c r="Q239" s="83" t="n">
        <v>1</v>
      </c>
      <c r="R239" s="84" t="n">
        <v>90508320</v>
      </c>
      <c r="S239" s="83" t="n">
        <v>0</v>
      </c>
      <c r="T239" s="84" t="n">
        <v>0</v>
      </c>
      <c r="U239" s="83" t="n">
        <v>1</v>
      </c>
      <c r="V239" s="84">
        <f>U239*L239</f>
        <v/>
      </c>
      <c r="W239" s="83">
        <f>Q239+S239-U239</f>
        <v/>
      </c>
      <c r="X239" s="84">
        <f>R239+T239-V239</f>
        <v/>
      </c>
      <c r="Y239" s="85" t="inlineStr">
        <is>
          <t>P221ZZMO01</t>
        </is>
      </c>
      <c r="Z239" s="86" t="inlineStr">
        <is>
          <t>15661</t>
        </is>
      </c>
      <c r="AA239" s="86" t="inlineStr">
        <is>
          <t>33561</t>
        </is>
      </c>
      <c r="AB239" s="86" t="inlineStr">
        <is>
          <t>6277651</t>
        </is>
      </c>
      <c r="AC239" s="87" t="inlineStr">
        <is>
          <t>Movies</t>
        </is>
      </c>
      <c r="AD239" s="76">
        <f>COUNTIF('KK1. Movies'!AI:AI,'TK 15661.Bản quyền phim '!F239)</f>
        <v/>
      </c>
      <c r="AE239" s="76">
        <f>COUNTIF('KK2. Series'!AM:AM,'TK 15661.Bản quyền phim '!F239)</f>
        <v/>
      </c>
      <c r="AF239" s="76">
        <f>COUNTIF('KK3. Kids'!AF:AF,'TK 15661.Bản quyền phim '!F239)</f>
        <v/>
      </c>
      <c r="AG239" s="76" t="n"/>
      <c r="AH239" s="76">
        <f>IF(SUM(AD239:AG239)&gt;0,"OK",0)</f>
        <v/>
      </c>
    </row>
    <row r="240" hidden="1" ht="15.6" customHeight="1" s="578">
      <c r="A240" s="27" t="n"/>
      <c r="B240" s="74" t="inlineStr">
        <is>
          <t>K+5MOV024098</t>
        </is>
      </c>
      <c r="C240" s="708" t="inlineStr">
        <is>
          <t>USD</t>
        </is>
      </c>
      <c r="D240" s="708" t="inlineStr">
        <is>
          <t>S0002418</t>
        </is>
      </c>
      <c r="E240" s="708" t="inlineStr">
        <is>
          <t>UNIVERSAL CITY STUDIOS PRODUCTIONS LLLP</t>
        </is>
      </c>
      <c r="F240" s="708" t="inlineStr">
        <is>
          <t>CAPTAIN UNDERPANTS</t>
        </is>
      </c>
      <c r="G240" s="708" t="inlineStr">
        <is>
          <t>Movies International</t>
        </is>
      </c>
      <c r="H240" s="83" t="n">
        <v>1</v>
      </c>
      <c r="I240" s="83" t="n">
        <v>2</v>
      </c>
      <c r="J240" s="83">
        <f>H240*I240</f>
        <v/>
      </c>
      <c r="K240" s="83" t="n">
        <v>94923360</v>
      </c>
      <c r="L240" s="83" t="n">
        <v>47461680</v>
      </c>
      <c r="M240" s="83">
        <f>J240-Q240</f>
        <v/>
      </c>
      <c r="N240" s="83">
        <f>K240-R240</f>
        <v/>
      </c>
      <c r="O240" s="517" t="n">
        <v>45388</v>
      </c>
      <c r="P240" s="517" t="n">
        <v>46117</v>
      </c>
      <c r="Q240" s="83" t="n">
        <v>1</v>
      </c>
      <c r="R240" s="84" t="n">
        <v>47461680</v>
      </c>
      <c r="S240" s="83" t="n">
        <v>0</v>
      </c>
      <c r="T240" s="84" t="n">
        <v>0</v>
      </c>
      <c r="U240" s="83" t="n">
        <v>1</v>
      </c>
      <c r="V240" s="84">
        <f>U240*L240</f>
        <v/>
      </c>
      <c r="W240" s="83">
        <f>Q240+S240-U240</f>
        <v/>
      </c>
      <c r="X240" s="84">
        <f>R240+T240-V240</f>
        <v/>
      </c>
      <c r="Y240" s="85" t="inlineStr">
        <is>
          <t>P221ZZMO01</t>
        </is>
      </c>
      <c r="Z240" s="86" t="inlineStr">
        <is>
          <t>15661</t>
        </is>
      </c>
      <c r="AA240" s="86" t="inlineStr">
        <is>
          <t>33561</t>
        </is>
      </c>
      <c r="AB240" s="86" t="inlineStr">
        <is>
          <t>6277651</t>
        </is>
      </c>
      <c r="AC240" s="87" t="inlineStr">
        <is>
          <t>Movies</t>
        </is>
      </c>
      <c r="AD240" s="76">
        <f>COUNTIF('KK1. Movies'!AI:AI,'TK 15661.Bản quyền phim '!F240)</f>
        <v/>
      </c>
      <c r="AE240" s="76">
        <f>COUNTIF('KK2. Series'!AM:AM,'TK 15661.Bản quyền phim '!F240)</f>
        <v/>
      </c>
      <c r="AF240" s="76">
        <f>COUNTIF('KK3. Kids'!AF:AF,'TK 15661.Bản quyền phim '!F240)</f>
        <v/>
      </c>
      <c r="AG240" s="76" t="n"/>
      <c r="AH240" s="76">
        <f>IF(SUM(AD240:AG240)&gt;0,"OK",0)</f>
        <v/>
      </c>
    </row>
    <row r="241" hidden="1" ht="15.6" customHeight="1" s="578">
      <c r="A241" s="27" t="n"/>
      <c r="B241" s="74" t="inlineStr">
        <is>
          <t>K+1MOV024100</t>
        </is>
      </c>
      <c r="C241" s="708" t="inlineStr">
        <is>
          <t>USD</t>
        </is>
      </c>
      <c r="D241" s="708" t="inlineStr">
        <is>
          <t>S0002418</t>
        </is>
      </c>
      <c r="E241" s="708" t="inlineStr">
        <is>
          <t>UNIVERSAL CITY STUDIOS PRODUCTIONS LLLP</t>
        </is>
      </c>
      <c r="F241" s="708" t="inlineStr">
        <is>
          <t>EVEREST ('15)</t>
        </is>
      </c>
      <c r="G241" s="708" t="inlineStr">
        <is>
          <t>Movies International</t>
        </is>
      </c>
      <c r="H241" s="83" t="n">
        <v>1</v>
      </c>
      <c r="I241" s="83" t="n">
        <v>2</v>
      </c>
      <c r="J241" s="83">
        <f>H241*I241</f>
        <v/>
      </c>
      <c r="K241" s="83" t="n">
        <v>94923360</v>
      </c>
      <c r="L241" s="83" t="n">
        <v>47461680</v>
      </c>
      <c r="M241" s="83">
        <f>J241-Q241</f>
        <v/>
      </c>
      <c r="N241" s="83">
        <f>K241-R241</f>
        <v/>
      </c>
      <c r="O241" s="517" t="n">
        <v>45651</v>
      </c>
      <c r="P241" s="517" t="n">
        <v>46380</v>
      </c>
      <c r="Q241" s="83" t="n">
        <v>1</v>
      </c>
      <c r="R241" s="84" t="n">
        <v>47461680</v>
      </c>
      <c r="S241" s="83" t="n">
        <v>0</v>
      </c>
      <c r="T241" s="84" t="n">
        <v>0</v>
      </c>
      <c r="U241" s="83" t="n">
        <v>1</v>
      </c>
      <c r="V241" s="84">
        <f>U241*L241</f>
        <v/>
      </c>
      <c r="W241" s="83">
        <f>Q241+S241-U241</f>
        <v/>
      </c>
      <c r="X241" s="84">
        <f>R241+T241-V241</f>
        <v/>
      </c>
      <c r="Y241" s="85" t="inlineStr">
        <is>
          <t>P221ZZMO01</t>
        </is>
      </c>
      <c r="Z241" s="86" t="inlineStr">
        <is>
          <t>15661</t>
        </is>
      </c>
      <c r="AA241" s="86" t="inlineStr">
        <is>
          <t>33561</t>
        </is>
      </c>
      <c r="AB241" s="86" t="inlineStr">
        <is>
          <t>6277651</t>
        </is>
      </c>
      <c r="AC241" s="87" t="inlineStr">
        <is>
          <t>Movies</t>
        </is>
      </c>
      <c r="AD241" s="76">
        <f>COUNTIF('KK1. Movies'!AI:AI,'TK 15661.Bản quyền phim '!F241)</f>
        <v/>
      </c>
      <c r="AE241" s="76">
        <f>COUNTIF('KK2. Series'!AM:AM,'TK 15661.Bản quyền phim '!F241)</f>
        <v/>
      </c>
      <c r="AF241" s="76">
        <f>COUNTIF('KK3. Kids'!AF:AF,'TK 15661.Bản quyền phim '!F241)</f>
        <v/>
      </c>
      <c r="AG241" s="76" t="n"/>
      <c r="AH241" s="76">
        <f>IF(SUM(AD241:AG241)&gt;0,"OK",0)</f>
        <v/>
      </c>
    </row>
    <row r="242" hidden="1" ht="15.6" customHeight="1" s="578">
      <c r="A242" s="27" t="n"/>
      <c r="B242" s="74" t="inlineStr">
        <is>
          <t>K+1MOV024101</t>
        </is>
      </c>
      <c r="C242" s="708" t="inlineStr">
        <is>
          <t>USD</t>
        </is>
      </c>
      <c r="D242" s="708" t="inlineStr">
        <is>
          <t>S0002418</t>
        </is>
      </c>
      <c r="E242" s="708" t="inlineStr">
        <is>
          <t>UNIVERSAL CITY STUDIOS PRODUCTIONS LLLP</t>
        </is>
      </c>
      <c r="F242" s="708" t="inlineStr">
        <is>
          <t>FAST &amp; FURIOUS 6</t>
        </is>
      </c>
      <c r="G242" s="708" t="inlineStr">
        <is>
          <t>Movies International</t>
        </is>
      </c>
      <c r="H242" s="83" t="n">
        <v>1</v>
      </c>
      <c r="I242" s="83" t="n">
        <v>2</v>
      </c>
      <c r="J242" s="83">
        <f>H242*I242</f>
        <v/>
      </c>
      <c r="K242" s="83" t="n">
        <v>109640160</v>
      </c>
      <c r="L242" s="83" t="n">
        <v>54820080</v>
      </c>
      <c r="M242" s="83">
        <f>J242-Q242</f>
        <v/>
      </c>
      <c r="N242" s="83">
        <f>K242-R242</f>
        <v/>
      </c>
      <c r="O242" s="517" t="n">
        <v>45443</v>
      </c>
      <c r="P242" s="517" t="n">
        <v>46172</v>
      </c>
      <c r="Q242" s="83" t="n">
        <v>1</v>
      </c>
      <c r="R242" s="84" t="n">
        <v>54820080</v>
      </c>
      <c r="S242" s="83" t="n">
        <v>0</v>
      </c>
      <c r="T242" s="84" t="n">
        <v>0</v>
      </c>
      <c r="U242" s="83" t="n">
        <v>1</v>
      </c>
      <c r="V242" s="84">
        <f>U242*L242</f>
        <v/>
      </c>
      <c r="W242" s="83">
        <f>Q242+S242-U242</f>
        <v/>
      </c>
      <c r="X242" s="84">
        <f>R242+T242-V242</f>
        <v/>
      </c>
      <c r="Y242" s="85" t="inlineStr">
        <is>
          <t>P221ZZMO01</t>
        </is>
      </c>
      <c r="Z242" s="86" t="inlineStr">
        <is>
          <t>15661</t>
        </is>
      </c>
      <c r="AA242" s="86" t="inlineStr">
        <is>
          <t>33561</t>
        </is>
      </c>
      <c r="AB242" s="86" t="inlineStr">
        <is>
          <t>6277651</t>
        </is>
      </c>
      <c r="AC242" s="87" t="inlineStr">
        <is>
          <t>Movies</t>
        </is>
      </c>
      <c r="AD242" s="76">
        <f>COUNTIF('KK1. Movies'!AI:AI,'TK 15661.Bản quyền phim '!F242)</f>
        <v/>
      </c>
      <c r="AE242" s="76">
        <f>COUNTIF('KK2. Series'!AM:AM,'TK 15661.Bản quyền phim '!F242)</f>
        <v/>
      </c>
      <c r="AF242" s="76">
        <f>COUNTIF('KK3. Kids'!AF:AF,'TK 15661.Bản quyền phim '!F242)</f>
        <v/>
      </c>
      <c r="AG242" s="76" t="n"/>
      <c r="AH242" s="76">
        <f>IF(SUM(AD242:AG242)&gt;0,"OK",0)</f>
        <v/>
      </c>
    </row>
    <row r="243" hidden="1" ht="15.6" customHeight="1" s="578">
      <c r="A243" s="27" t="n"/>
      <c r="B243" s="74" t="inlineStr">
        <is>
          <t>K+1MOV024102</t>
        </is>
      </c>
      <c r="C243" s="708" t="inlineStr">
        <is>
          <t>USD</t>
        </is>
      </c>
      <c r="D243" s="708" t="inlineStr">
        <is>
          <t>S0002418</t>
        </is>
      </c>
      <c r="E243" s="708" t="inlineStr">
        <is>
          <t>UNIVERSAL CITY STUDIOS PRODUCTIONS LLLP</t>
        </is>
      </c>
      <c r="F243" s="708" t="inlineStr">
        <is>
          <t>GET ON UP</t>
        </is>
      </c>
      <c r="G243" s="708" t="inlineStr">
        <is>
          <t>Movies International</t>
        </is>
      </c>
      <c r="H243" s="83" t="n">
        <v>1</v>
      </c>
      <c r="I243" s="83" t="n">
        <v>2</v>
      </c>
      <c r="J243" s="83">
        <f>H243*I243</f>
        <v/>
      </c>
      <c r="K243" s="83" t="n">
        <v>94923360</v>
      </c>
      <c r="L243" s="83" t="n">
        <v>47461680</v>
      </c>
      <c r="M243" s="83">
        <f>J243-Q243</f>
        <v/>
      </c>
      <c r="N243" s="83">
        <f>K243-R243</f>
        <v/>
      </c>
      <c r="O243" s="517" t="n">
        <v>45441</v>
      </c>
      <c r="P243" s="517" t="n">
        <v>46170</v>
      </c>
      <c r="Q243" s="83" t="n">
        <v>1</v>
      </c>
      <c r="R243" s="84" t="n">
        <v>47461680</v>
      </c>
      <c r="S243" s="83" t="n">
        <v>0</v>
      </c>
      <c r="T243" s="84" t="n">
        <v>0</v>
      </c>
      <c r="U243" s="83" t="n">
        <v>1</v>
      </c>
      <c r="V243" s="84">
        <f>U243*L243</f>
        <v/>
      </c>
      <c r="W243" s="83">
        <f>Q243+S243-U243</f>
        <v/>
      </c>
      <c r="X243" s="84">
        <f>R243+T243-V243</f>
        <v/>
      </c>
      <c r="Y243" s="85" t="inlineStr">
        <is>
          <t>P221ZZMO01</t>
        </is>
      </c>
      <c r="Z243" s="86" t="inlineStr">
        <is>
          <t>15661</t>
        </is>
      </c>
      <c r="AA243" s="86" t="inlineStr">
        <is>
          <t>33561</t>
        </is>
      </c>
      <c r="AB243" s="86" t="inlineStr">
        <is>
          <t>6277651</t>
        </is>
      </c>
      <c r="AC243" s="87" t="inlineStr">
        <is>
          <t>Movies</t>
        </is>
      </c>
      <c r="AD243" s="76">
        <f>COUNTIF('KK1. Movies'!AI:AI,'TK 15661.Bản quyền phim '!F243)</f>
        <v/>
      </c>
      <c r="AE243" s="76">
        <f>COUNTIF('KK2. Series'!AM:AM,'TK 15661.Bản quyền phim '!F243)</f>
        <v/>
      </c>
      <c r="AF243" s="76">
        <f>COUNTIF('KK3. Kids'!AF:AF,'TK 15661.Bản quyền phim '!F243)</f>
        <v/>
      </c>
      <c r="AG243" s="76" t="n"/>
      <c r="AH243" s="76">
        <f>IF(SUM(AD243:AG243)&gt;0,"OK",0)</f>
        <v/>
      </c>
    </row>
    <row r="244" hidden="1" ht="15.6" customHeight="1" s="578">
      <c r="A244" s="27" t="n"/>
      <c r="B244" s="74" t="inlineStr">
        <is>
          <t>K+1MOV024104</t>
        </is>
      </c>
      <c r="C244" s="708" t="inlineStr">
        <is>
          <t>USD</t>
        </is>
      </c>
      <c r="D244" s="708" t="inlineStr">
        <is>
          <t>S0002418</t>
        </is>
      </c>
      <c r="E244" s="708" t="inlineStr">
        <is>
          <t>UNIVERSAL CITY STUDIOS PRODUCTIONS LLLP</t>
        </is>
      </c>
      <c r="F244" s="708" t="inlineStr">
        <is>
          <t>IN A VALLEY OF VIOLENCE</t>
        </is>
      </c>
      <c r="G244" s="708" t="inlineStr">
        <is>
          <t>Movies International</t>
        </is>
      </c>
      <c r="H244" s="83" t="n">
        <v>1</v>
      </c>
      <c r="I244" s="83" t="n">
        <v>2</v>
      </c>
      <c r="J244" s="83">
        <f>H244*I244</f>
        <v/>
      </c>
      <c r="K244" s="83" t="n">
        <v>94923360</v>
      </c>
      <c r="L244" s="83" t="n">
        <v>47461680</v>
      </c>
      <c r="M244" s="83">
        <f>J244-Q244</f>
        <v/>
      </c>
      <c r="N244" s="83">
        <f>K244-R244</f>
        <v/>
      </c>
      <c r="O244" s="517" t="n">
        <v>45533</v>
      </c>
      <c r="P244" s="517" t="n">
        <v>46262</v>
      </c>
      <c r="Q244" s="83" t="n">
        <v>1</v>
      </c>
      <c r="R244" s="84" t="n">
        <v>47461680</v>
      </c>
      <c r="S244" s="83" t="n">
        <v>0</v>
      </c>
      <c r="T244" s="84" t="n">
        <v>0</v>
      </c>
      <c r="U244" s="83" t="n">
        <v>1</v>
      </c>
      <c r="V244" s="84">
        <f>U244*L244</f>
        <v/>
      </c>
      <c r="W244" s="83">
        <f>Q244+S244-U244</f>
        <v/>
      </c>
      <c r="X244" s="84">
        <f>R244+T244-V244</f>
        <v/>
      </c>
      <c r="Y244" s="85" t="inlineStr">
        <is>
          <t>P221ZZMO01</t>
        </is>
      </c>
      <c r="Z244" s="86" t="inlineStr">
        <is>
          <t>15661</t>
        </is>
      </c>
      <c r="AA244" s="86" t="inlineStr">
        <is>
          <t>33561</t>
        </is>
      </c>
      <c r="AB244" s="86" t="inlineStr">
        <is>
          <t>6277651</t>
        </is>
      </c>
      <c r="AC244" s="87" t="inlineStr">
        <is>
          <t>Movies</t>
        </is>
      </c>
      <c r="AD244" s="76">
        <f>COUNTIF('KK1. Movies'!AI:AI,'TK 15661.Bản quyền phim '!F244)</f>
        <v/>
      </c>
      <c r="AE244" s="76">
        <f>COUNTIF('KK2. Series'!AM:AM,'TK 15661.Bản quyền phim '!F244)</f>
        <v/>
      </c>
      <c r="AF244" s="76">
        <f>COUNTIF('KK3. Kids'!AF:AF,'TK 15661.Bản quyền phim '!F244)</f>
        <v/>
      </c>
      <c r="AG244" s="76" t="n"/>
      <c r="AH244" s="76">
        <f>IF(SUM(AD244:AG244)&gt;0,"OK",0)</f>
        <v/>
      </c>
    </row>
    <row r="245" hidden="1" ht="15.6" customHeight="1" s="578">
      <c r="A245" s="27" t="n"/>
      <c r="B245" s="74" t="inlineStr">
        <is>
          <t>K+1MOV024106</t>
        </is>
      </c>
      <c r="C245" s="708" t="inlineStr">
        <is>
          <t>USD</t>
        </is>
      </c>
      <c r="D245" s="708" t="inlineStr">
        <is>
          <t>S0002418</t>
        </is>
      </c>
      <c r="E245" s="708" t="inlineStr">
        <is>
          <t>UNIVERSAL CITY STUDIOS PRODUCTIONS LLLP</t>
        </is>
      </c>
      <c r="F245" s="708" t="inlineStr">
        <is>
          <t>EMILY THE CRIMINAL</t>
        </is>
      </c>
      <c r="G245" s="708" t="inlineStr">
        <is>
          <t>Movies International</t>
        </is>
      </c>
      <c r="H245" s="83" t="n">
        <v>1</v>
      </c>
      <c r="I245" s="83" t="n">
        <v>2</v>
      </c>
      <c r="J245" s="83">
        <f>H245*I245</f>
        <v/>
      </c>
      <c r="K245" s="83" t="n">
        <v>94923360</v>
      </c>
      <c r="L245" s="83" t="n">
        <v>47461680</v>
      </c>
      <c r="M245" s="83">
        <f>J245-Q245</f>
        <v/>
      </c>
      <c r="N245" s="83">
        <f>K245-R245</f>
        <v/>
      </c>
      <c r="O245" s="517" t="n">
        <v>45519</v>
      </c>
      <c r="P245" s="517" t="n">
        <v>46248</v>
      </c>
      <c r="Q245" s="83" t="n">
        <v>1</v>
      </c>
      <c r="R245" s="84" t="n">
        <v>47461680</v>
      </c>
      <c r="S245" s="83" t="n">
        <v>0</v>
      </c>
      <c r="T245" s="84" t="n">
        <v>0</v>
      </c>
      <c r="U245" s="83" t="n">
        <v>1</v>
      </c>
      <c r="V245" s="84">
        <f>U245*L245</f>
        <v/>
      </c>
      <c r="W245" s="83">
        <f>Q245+S245-U245</f>
        <v/>
      </c>
      <c r="X245" s="84">
        <f>R245+T245-V245</f>
        <v/>
      </c>
      <c r="Y245" s="85" t="inlineStr">
        <is>
          <t>P221ZZMO01</t>
        </is>
      </c>
      <c r="Z245" s="86" t="inlineStr">
        <is>
          <t>15661</t>
        </is>
      </c>
      <c r="AA245" s="86" t="inlineStr">
        <is>
          <t>33561</t>
        </is>
      </c>
      <c r="AB245" s="86" t="inlineStr">
        <is>
          <t>6277651</t>
        </is>
      </c>
      <c r="AC245" s="87" t="inlineStr">
        <is>
          <t>Movies</t>
        </is>
      </c>
      <c r="AD245" s="76">
        <f>COUNTIF('KK1. Movies'!AI:AI,'TK 15661.Bản quyền phim '!F245)</f>
        <v/>
      </c>
      <c r="AE245" s="76">
        <f>COUNTIF('KK2. Series'!AM:AM,'TK 15661.Bản quyền phim '!F245)</f>
        <v/>
      </c>
      <c r="AF245" s="76">
        <f>COUNTIF('KK3. Kids'!AF:AF,'TK 15661.Bản quyền phim '!F245)</f>
        <v/>
      </c>
      <c r="AG245" s="76" t="n"/>
      <c r="AH245" s="76">
        <f>IF(SUM(AD245:AG245)&gt;0,"OK",0)</f>
        <v/>
      </c>
    </row>
    <row r="246" hidden="1" ht="15.6" customHeight="1" s="578">
      <c r="A246" s="27" t="n"/>
      <c r="B246" s="74" t="inlineStr">
        <is>
          <t>K+1MOV024108</t>
        </is>
      </c>
      <c r="C246" s="708" t="inlineStr">
        <is>
          <t>USD</t>
        </is>
      </c>
      <c r="D246" s="708" t="inlineStr">
        <is>
          <t>S0002418</t>
        </is>
      </c>
      <c r="E246" s="708" t="inlineStr">
        <is>
          <t>UNIVERSAL CITY STUDIOS PRODUCTIONS LLLP</t>
        </is>
      </c>
      <c r="F246" s="708" t="inlineStr">
        <is>
          <t>RIDE ALONG</t>
        </is>
      </c>
      <c r="G246" s="708" t="inlineStr">
        <is>
          <t>Movies International</t>
        </is>
      </c>
      <c r="H246" s="83" t="n">
        <v>1</v>
      </c>
      <c r="I246" s="83" t="n">
        <v>2</v>
      </c>
      <c r="J246" s="83">
        <f>H246*I246</f>
        <v/>
      </c>
      <c r="K246" s="83" t="n">
        <v>94923360</v>
      </c>
      <c r="L246" s="83" t="n">
        <v>47461680</v>
      </c>
      <c r="M246" s="83">
        <f>J246-Q246</f>
        <v/>
      </c>
      <c r="N246" s="83">
        <f>K246-R246</f>
        <v/>
      </c>
      <c r="O246" s="517" t="n">
        <v>45603</v>
      </c>
      <c r="P246" s="517" t="n">
        <v>46332</v>
      </c>
      <c r="Q246" s="83" t="n">
        <v>1</v>
      </c>
      <c r="R246" s="84" t="n">
        <v>47461680</v>
      </c>
      <c r="S246" s="83" t="n">
        <v>0</v>
      </c>
      <c r="T246" s="84" t="n">
        <v>0</v>
      </c>
      <c r="U246" s="83" t="n">
        <v>1</v>
      </c>
      <c r="V246" s="84">
        <f>U246*L246</f>
        <v/>
      </c>
      <c r="W246" s="83">
        <f>Q246+S246-U246</f>
        <v/>
      </c>
      <c r="X246" s="84">
        <f>R246+T246-V246</f>
        <v/>
      </c>
      <c r="Y246" s="85" t="inlineStr">
        <is>
          <t>P221ZZMO01</t>
        </is>
      </c>
      <c r="Z246" s="86" t="inlineStr">
        <is>
          <t>15661</t>
        </is>
      </c>
      <c r="AA246" s="86" t="inlineStr">
        <is>
          <t>33561</t>
        </is>
      </c>
      <c r="AB246" s="86" t="inlineStr">
        <is>
          <t>6277651</t>
        </is>
      </c>
      <c r="AC246" s="87" t="inlineStr">
        <is>
          <t>Movies</t>
        </is>
      </c>
      <c r="AD246" s="76">
        <f>COUNTIF('KK1. Movies'!AI:AI,'TK 15661.Bản quyền phim '!F246)</f>
        <v/>
      </c>
      <c r="AE246" s="76">
        <f>COUNTIF('KK2. Series'!AM:AM,'TK 15661.Bản quyền phim '!F246)</f>
        <v/>
      </c>
      <c r="AF246" s="76">
        <f>COUNTIF('KK3. Kids'!AF:AF,'TK 15661.Bản quyền phim '!F246)</f>
        <v/>
      </c>
      <c r="AG246" s="76" t="n"/>
      <c r="AH246" s="76">
        <f>IF(SUM(AD246:AG246)&gt;0,"OK",0)</f>
        <v/>
      </c>
    </row>
    <row r="247" hidden="1" ht="15.6" customHeight="1" s="578">
      <c r="A247" s="27" t="n"/>
      <c r="B247" s="74" t="inlineStr">
        <is>
          <t>K+1MOV024109</t>
        </is>
      </c>
      <c r="C247" s="708" t="inlineStr">
        <is>
          <t>USD</t>
        </is>
      </c>
      <c r="D247" s="708" t="inlineStr">
        <is>
          <t>S0002418</t>
        </is>
      </c>
      <c r="E247" s="708" t="inlineStr">
        <is>
          <t>UNIVERSAL CITY STUDIOS PRODUCTIONS LLLP</t>
        </is>
      </c>
      <c r="F247" s="708" t="inlineStr">
        <is>
          <t>RIDE ALONG 2</t>
        </is>
      </c>
      <c r="G247" s="708" t="inlineStr">
        <is>
          <t>Movies International</t>
        </is>
      </c>
      <c r="H247" s="83" t="n">
        <v>1</v>
      </c>
      <c r="I247" s="83" t="n">
        <v>2</v>
      </c>
      <c r="J247" s="83">
        <f>H247*I247</f>
        <v/>
      </c>
      <c r="K247" s="83" t="n">
        <v>94923360</v>
      </c>
      <c r="L247" s="83" t="n">
        <v>47461680</v>
      </c>
      <c r="M247" s="83">
        <f>J247-Q247</f>
        <v/>
      </c>
      <c r="N247" s="83">
        <f>K247-R247</f>
        <v/>
      </c>
      <c r="O247" s="517" t="n">
        <v>45610</v>
      </c>
      <c r="P247" s="517" t="n">
        <v>46339</v>
      </c>
      <c r="Q247" s="83" t="n">
        <v>1</v>
      </c>
      <c r="R247" s="84" t="n">
        <v>47461680</v>
      </c>
      <c r="S247" s="83" t="n">
        <v>0</v>
      </c>
      <c r="T247" s="84" t="n">
        <v>0</v>
      </c>
      <c r="U247" s="83" t="n">
        <v>1</v>
      </c>
      <c r="V247" s="84">
        <f>U247*L247</f>
        <v/>
      </c>
      <c r="W247" s="83">
        <f>Q247+S247-U247</f>
        <v/>
      </c>
      <c r="X247" s="84">
        <f>R247+T247-V247</f>
        <v/>
      </c>
      <c r="Y247" s="85" t="inlineStr">
        <is>
          <t>P221ZZMO01</t>
        </is>
      </c>
      <c r="Z247" s="86" t="inlineStr">
        <is>
          <t>15661</t>
        </is>
      </c>
      <c r="AA247" s="86" t="inlineStr">
        <is>
          <t>33561</t>
        </is>
      </c>
      <c r="AB247" s="86" t="inlineStr">
        <is>
          <t>6277651</t>
        </is>
      </c>
      <c r="AC247" s="87" t="inlineStr">
        <is>
          <t>Movies</t>
        </is>
      </c>
      <c r="AD247" s="76">
        <f>COUNTIF('KK1. Movies'!AI:AI,'TK 15661.Bản quyền phim '!F247)</f>
        <v/>
      </c>
      <c r="AE247" s="76">
        <f>COUNTIF('KK2. Series'!AM:AM,'TK 15661.Bản quyền phim '!F247)</f>
        <v/>
      </c>
      <c r="AF247" s="76">
        <f>COUNTIF('KK3. Kids'!AF:AF,'TK 15661.Bản quyền phim '!F247)</f>
        <v/>
      </c>
      <c r="AG247" s="76" t="n"/>
      <c r="AH247" s="76">
        <f>IF(SUM(AD247:AG247)&gt;0,"OK",0)</f>
        <v/>
      </c>
    </row>
    <row r="248" hidden="1" ht="15.6" customHeight="1" s="578">
      <c r="A248" s="27" t="n"/>
      <c r="B248" s="74" t="inlineStr">
        <is>
          <t>K+2MOV024110</t>
        </is>
      </c>
      <c r="C248" s="708" t="inlineStr">
        <is>
          <t>USD</t>
        </is>
      </c>
      <c r="D248" s="708" t="inlineStr">
        <is>
          <t>S0002418</t>
        </is>
      </c>
      <c r="E248" s="708" t="inlineStr">
        <is>
          <t>UNIVERSAL CITY STUDIOS PRODUCTIONS LLLP</t>
        </is>
      </c>
      <c r="F248" s="708" t="inlineStr">
        <is>
          <t>UPGRADE</t>
        </is>
      </c>
      <c r="G248" s="708" t="inlineStr">
        <is>
          <t>Movies International</t>
        </is>
      </c>
      <c r="H248" s="83" t="n">
        <v>1</v>
      </c>
      <c r="I248" s="83" t="n">
        <v>2</v>
      </c>
      <c r="J248" s="83">
        <f>H248*I248</f>
        <v/>
      </c>
      <c r="K248" s="83" t="n">
        <v>94923360</v>
      </c>
      <c r="L248" s="83" t="n">
        <v>47461680</v>
      </c>
      <c r="M248" s="83">
        <f>J248-Q248</f>
        <v/>
      </c>
      <c r="N248" s="83">
        <f>K248-R248</f>
        <v/>
      </c>
      <c r="O248" s="517" t="n">
        <v>45505</v>
      </c>
      <c r="P248" s="517" t="n">
        <v>46234</v>
      </c>
      <c r="Q248" s="83" t="n">
        <v>1</v>
      </c>
      <c r="R248" s="84" t="n">
        <v>47461680</v>
      </c>
      <c r="S248" s="83" t="n">
        <v>0</v>
      </c>
      <c r="T248" s="84" t="n">
        <v>0</v>
      </c>
      <c r="U248" s="83" t="n">
        <v>1</v>
      </c>
      <c r="V248" s="84">
        <f>U248*L248</f>
        <v/>
      </c>
      <c r="W248" s="83">
        <f>Q248+S248-U248</f>
        <v/>
      </c>
      <c r="X248" s="84">
        <f>R248+T248-V248</f>
        <v/>
      </c>
      <c r="Y248" s="85" t="inlineStr">
        <is>
          <t>P221ZZMO01</t>
        </is>
      </c>
      <c r="Z248" s="86" t="inlineStr">
        <is>
          <t>15661</t>
        </is>
      </c>
      <c r="AA248" s="86" t="inlineStr">
        <is>
          <t>33561</t>
        </is>
      </c>
      <c r="AB248" s="86" t="inlineStr">
        <is>
          <t>6277651</t>
        </is>
      </c>
      <c r="AC248" s="87" t="inlineStr">
        <is>
          <t>Movies</t>
        </is>
      </c>
      <c r="AD248" s="76">
        <f>COUNTIF('KK1. Movies'!AI:AI,'TK 15661.Bản quyền phim '!F248)</f>
        <v/>
      </c>
      <c r="AE248" s="76">
        <f>COUNTIF('KK2. Series'!AM:AM,'TK 15661.Bản quyền phim '!F248)</f>
        <v/>
      </c>
      <c r="AF248" s="76">
        <f>COUNTIF('KK3. Kids'!AF:AF,'TK 15661.Bản quyền phim '!F248)</f>
        <v/>
      </c>
      <c r="AG248" s="76" t="n"/>
      <c r="AH248" s="76">
        <f>IF(SUM(AD248:AG248)&gt;0,"OK",0)</f>
        <v/>
      </c>
    </row>
    <row r="249" hidden="1" ht="15.6" customHeight="1" s="578">
      <c r="A249" s="27" t="n"/>
      <c r="B249" s="74" t="inlineStr">
        <is>
          <t>K+2MOV024111</t>
        </is>
      </c>
      <c r="C249" s="708" t="inlineStr">
        <is>
          <t>USD</t>
        </is>
      </c>
      <c r="D249" s="708" t="inlineStr">
        <is>
          <t>S0002418</t>
        </is>
      </c>
      <c r="E249" s="708" t="inlineStr">
        <is>
          <t>UNIVERSAL CITY STUDIOS PRODUCTIONS LLLP</t>
        </is>
      </c>
      <c r="F249" s="708" t="inlineStr">
        <is>
          <t>WITCH, THE</t>
        </is>
      </c>
      <c r="G249" s="708" t="inlineStr">
        <is>
          <t>Movies International</t>
        </is>
      </c>
      <c r="H249" s="83" t="n">
        <v>1</v>
      </c>
      <c r="I249" s="83" t="n">
        <v>2</v>
      </c>
      <c r="J249" s="83">
        <f>H249*I249</f>
        <v/>
      </c>
      <c r="K249" s="83" t="n">
        <v>94923360</v>
      </c>
      <c r="L249" s="83" t="n">
        <v>47461680</v>
      </c>
      <c r="M249" s="83">
        <f>J249-Q249</f>
        <v/>
      </c>
      <c r="N249" s="83">
        <f>K249-R249</f>
        <v/>
      </c>
      <c r="O249" s="517" t="n">
        <v>45596</v>
      </c>
      <c r="P249" s="517" t="n">
        <v>46325</v>
      </c>
      <c r="Q249" s="83" t="n">
        <v>1</v>
      </c>
      <c r="R249" s="84" t="n">
        <v>47461680</v>
      </c>
      <c r="S249" s="83" t="n">
        <v>0</v>
      </c>
      <c r="T249" s="84" t="n">
        <v>0</v>
      </c>
      <c r="U249" s="83" t="n">
        <v>1</v>
      </c>
      <c r="V249" s="84">
        <f>U249*L249</f>
        <v/>
      </c>
      <c r="W249" s="83">
        <f>Q249+S249-U249</f>
        <v/>
      </c>
      <c r="X249" s="84">
        <f>R249+T249-V249</f>
        <v/>
      </c>
      <c r="Y249" s="85" t="inlineStr">
        <is>
          <t>P221ZZMO01</t>
        </is>
      </c>
      <c r="Z249" s="86" t="inlineStr">
        <is>
          <t>15661</t>
        </is>
      </c>
      <c r="AA249" s="86" t="inlineStr">
        <is>
          <t>33561</t>
        </is>
      </c>
      <c r="AB249" s="86" t="inlineStr">
        <is>
          <t>6277651</t>
        </is>
      </c>
      <c r="AC249" s="87" t="inlineStr">
        <is>
          <t>Movies</t>
        </is>
      </c>
      <c r="AD249" s="76">
        <f>COUNTIF('KK1. Movies'!AI:AI,'TK 15661.Bản quyền phim '!F249)</f>
        <v/>
      </c>
      <c r="AE249" s="76">
        <f>COUNTIF('KK2. Series'!AM:AM,'TK 15661.Bản quyền phim '!F249)</f>
        <v/>
      </c>
      <c r="AF249" s="76">
        <f>COUNTIF('KK3. Kids'!AF:AF,'TK 15661.Bản quyền phim '!F249)</f>
        <v/>
      </c>
      <c r="AG249" s="76" t="n"/>
      <c r="AH249" s="76">
        <f>IF(SUM(AD249:AG249)&gt;0,"OK",0)</f>
        <v/>
      </c>
    </row>
    <row r="250" hidden="1" ht="15.6" customHeight="1" s="578">
      <c r="B250" s="74" t="inlineStr">
        <is>
          <t>K+1SER024112</t>
        </is>
      </c>
      <c r="C250" s="708" t="inlineStr">
        <is>
          <t>USD</t>
        </is>
      </c>
      <c r="D250" s="708" t="inlineStr">
        <is>
          <t>S0002418</t>
        </is>
      </c>
      <c r="E250" s="708" t="inlineStr">
        <is>
          <t>UNIVERSAL CITY STUDIOS PRODUCTIONS LLLP</t>
        </is>
      </c>
      <c r="F250" s="708" t="inlineStr">
        <is>
          <t>GANGS OF LONDON season 2</t>
        </is>
      </c>
      <c r="G250" s="708" t="inlineStr">
        <is>
          <t>Series International</t>
        </is>
      </c>
      <c r="H250" s="83" t="n">
        <v>8</v>
      </c>
      <c r="I250" s="83" t="n">
        <v>2</v>
      </c>
      <c r="J250" s="83">
        <f>H250*I250</f>
        <v/>
      </c>
      <c r="K250" s="83" t="n">
        <v>335543040</v>
      </c>
      <c r="L250" s="83" t="n">
        <v>20971440</v>
      </c>
      <c r="M250" s="83">
        <f>J250-Q250</f>
        <v/>
      </c>
      <c r="N250" s="83">
        <f>K250-R250</f>
        <v/>
      </c>
      <c r="O250" s="517" t="n">
        <v>45369</v>
      </c>
      <c r="P250" s="517" t="n">
        <v>46098</v>
      </c>
      <c r="Q250" s="83" t="n">
        <v>8</v>
      </c>
      <c r="R250" s="84" t="n">
        <v>167771520</v>
      </c>
      <c r="S250" s="83" t="n">
        <v>0</v>
      </c>
      <c r="T250" s="84" t="n">
        <v>0</v>
      </c>
      <c r="U250" s="83" t="n">
        <v>8</v>
      </c>
      <c r="V250" s="84">
        <f>U250*L250</f>
        <v/>
      </c>
      <c r="W250" s="83">
        <f>Q250+S250-U250</f>
        <v/>
      </c>
      <c r="X250" s="84">
        <f>R250+T250-V250</f>
        <v/>
      </c>
      <c r="Y250" s="85" t="inlineStr">
        <is>
          <t>P221ZZSR01</t>
        </is>
      </c>
      <c r="Z250" s="86" t="inlineStr">
        <is>
          <t>15661</t>
        </is>
      </c>
      <c r="AA250" s="86" t="inlineStr">
        <is>
          <t>33561</t>
        </is>
      </c>
      <c r="AB250" s="86" t="inlineStr">
        <is>
          <t>6277651</t>
        </is>
      </c>
      <c r="AC250" s="87" t="inlineStr">
        <is>
          <t>Series</t>
        </is>
      </c>
      <c r="AD250" s="76">
        <f>COUNTIF('KK1. Movies'!AI:AI,'TK 15661.Bản quyền phim '!F250)</f>
        <v/>
      </c>
      <c r="AE250" s="76">
        <f>COUNTIF('KK2. Series'!AM:AM,'TK 15661.Bản quyền phim '!F250)</f>
        <v/>
      </c>
      <c r="AF250" s="76">
        <f>COUNTIF('KK3. Kids'!AF:AF,'TK 15661.Bản quyền phim '!F250)</f>
        <v/>
      </c>
      <c r="AG250" s="76" t="n"/>
      <c r="AH250" s="76">
        <f>IF(SUM(AD250:AG250)&gt;0,"OK",0)</f>
        <v/>
      </c>
    </row>
    <row r="251" hidden="1" s="578">
      <c r="A251" s="30">
        <f>+U251-H251</f>
        <v/>
      </c>
      <c r="B251" s="74" t="inlineStr">
        <is>
          <t>K+5SER024113</t>
        </is>
      </c>
      <c r="C251" s="708" t="inlineStr">
        <is>
          <t>USD</t>
        </is>
      </c>
      <c r="D251" s="708" t="inlineStr">
        <is>
          <t>S0002418</t>
        </is>
      </c>
      <c r="E251" s="708" t="inlineStr">
        <is>
          <t>UNIVERSAL CITY STUDIOS PRODUCTIONS LLLP</t>
        </is>
      </c>
      <c r="F251" s="708" t="inlineStr">
        <is>
          <t>DRAGONS: RIDERS OF BERK season 1</t>
        </is>
      </c>
      <c r="G251" s="708" t="inlineStr">
        <is>
          <t>Series International</t>
        </is>
      </c>
      <c r="H251" s="83" t="n">
        <v>20</v>
      </c>
      <c r="I251" s="83" t="n">
        <v>2</v>
      </c>
      <c r="J251" s="83">
        <f>H251*I251</f>
        <v/>
      </c>
      <c r="K251" s="83" t="n">
        <v>220752000</v>
      </c>
      <c r="L251" s="83" t="n">
        <v>5518800</v>
      </c>
      <c r="M251" s="83">
        <f>J251-Q251</f>
        <v/>
      </c>
      <c r="N251" s="83">
        <f>K251-R251</f>
        <v/>
      </c>
      <c r="O251" s="517" t="n">
        <v>45383</v>
      </c>
      <c r="P251" s="517" t="n">
        <v>46112</v>
      </c>
      <c r="Q251" s="83" t="n">
        <v>20</v>
      </c>
      <c r="R251" s="84" t="n">
        <v>110376000</v>
      </c>
      <c r="S251" s="83" t="n">
        <v>0</v>
      </c>
      <c r="T251" s="84" t="n">
        <v>0</v>
      </c>
      <c r="U251" s="83" t="n">
        <v>20</v>
      </c>
      <c r="V251" s="84">
        <f>U251*L251</f>
        <v/>
      </c>
      <c r="W251" s="83">
        <f>Q251+S251-U251</f>
        <v/>
      </c>
      <c r="X251" s="84">
        <f>R251+T251-V251</f>
        <v/>
      </c>
      <c r="Y251" s="85" t="inlineStr">
        <is>
          <t>P221ZZSR01</t>
        </is>
      </c>
      <c r="Z251" s="86" t="inlineStr">
        <is>
          <t>15661</t>
        </is>
      </c>
      <c r="AA251" s="86" t="inlineStr">
        <is>
          <t>33561</t>
        </is>
      </c>
      <c r="AB251" s="86" t="inlineStr">
        <is>
          <t>6277651</t>
        </is>
      </c>
      <c r="AC251" s="86" t="inlineStr">
        <is>
          <t>Kids</t>
        </is>
      </c>
      <c r="AD251" s="76">
        <f>COUNTIF('KK1. Movies'!AI:AI,'TK 15661.Bản quyền phim '!F251)</f>
        <v/>
      </c>
      <c r="AE251" s="76">
        <f>COUNTIF('KK2. Series'!AM:AM,'TK 15661.Bản quyền phim '!F251)</f>
        <v/>
      </c>
      <c r="AF251" s="76">
        <f>COUNTIF('KK3. Kids'!AF:AF,'TK 15661.Bản quyền phim '!F251)</f>
        <v/>
      </c>
      <c r="AG251" s="76" t="n"/>
      <c r="AH251" s="76">
        <f>IF(SUM(AD251:AG251)&gt;0,"OK",0)</f>
        <v/>
      </c>
    </row>
    <row r="252" hidden="1" s="578">
      <c r="A252" s="30">
        <f>(U252-H252)*L252</f>
        <v/>
      </c>
      <c r="B252" s="74" t="inlineStr">
        <is>
          <t>K+5SER024114</t>
        </is>
      </c>
      <c r="C252" s="708" t="inlineStr">
        <is>
          <t>USD</t>
        </is>
      </c>
      <c r="D252" s="708" t="inlineStr">
        <is>
          <t>S0002418</t>
        </is>
      </c>
      <c r="E252" s="708" t="inlineStr">
        <is>
          <t>UNIVERSAL CITY STUDIOS PRODUCTIONS LLLP</t>
        </is>
      </c>
      <c r="F252" s="708" t="inlineStr">
        <is>
          <t>MADAGASCAR: A LITTLE WILD season 2</t>
        </is>
      </c>
      <c r="G252" s="708" t="inlineStr">
        <is>
          <t>Series International</t>
        </is>
      </c>
      <c r="H252" s="83" t="n">
        <v>26</v>
      </c>
      <c r="I252" s="83" t="n">
        <v>2</v>
      </c>
      <c r="J252" s="83">
        <f>H252*I252</f>
        <v/>
      </c>
      <c r="K252" s="83" t="n">
        <v>286977600</v>
      </c>
      <c r="L252" s="83" t="n">
        <v>5518800</v>
      </c>
      <c r="M252" s="83">
        <f>J252-Q252</f>
        <v/>
      </c>
      <c r="N252" s="83">
        <f>K252-R252</f>
        <v/>
      </c>
      <c r="O252" s="517" t="n">
        <v>45474</v>
      </c>
      <c r="P252" s="517" t="n">
        <v>46210</v>
      </c>
      <c r="Q252" s="83" t="n">
        <v>26</v>
      </c>
      <c r="R252" s="84" t="n">
        <v>143488800</v>
      </c>
      <c r="S252" s="83" t="n">
        <v>0</v>
      </c>
      <c r="T252" s="84" t="n">
        <v>0</v>
      </c>
      <c r="U252" s="83" t="n">
        <v>26</v>
      </c>
      <c r="V252" s="84">
        <f>U252*L252</f>
        <v/>
      </c>
      <c r="W252" s="83">
        <f>Q252+S252-U252</f>
        <v/>
      </c>
      <c r="X252" s="84">
        <f>R252+T252-V252</f>
        <v/>
      </c>
      <c r="Y252" s="85" t="inlineStr">
        <is>
          <t>P221ZZSR01</t>
        </is>
      </c>
      <c r="Z252" s="86" t="inlineStr">
        <is>
          <t>15661</t>
        </is>
      </c>
      <c r="AA252" s="86" t="inlineStr">
        <is>
          <t>33561</t>
        </is>
      </c>
      <c r="AB252" s="86" t="inlineStr">
        <is>
          <t>6277651</t>
        </is>
      </c>
      <c r="AC252" s="86" t="inlineStr">
        <is>
          <t>Kids</t>
        </is>
      </c>
      <c r="AD252" s="76">
        <f>COUNTIF('KK1. Movies'!AI:AI,'TK 15661.Bản quyền phim '!F252)</f>
        <v/>
      </c>
      <c r="AE252" s="76">
        <f>COUNTIF('KK2. Series'!AM:AM,'TK 15661.Bản quyền phim '!F252)</f>
        <v/>
      </c>
      <c r="AF252" s="76">
        <f>COUNTIF('KK3. Kids'!AF:AF,'TK 15661.Bản quyền phim '!F252)</f>
        <v/>
      </c>
      <c r="AG252" s="76" t="n"/>
      <c r="AH252" s="76">
        <f>IF(SUM(AD252:AG252)&gt;0,"OK",0)</f>
        <v/>
      </c>
    </row>
    <row r="253" hidden="1" s="578">
      <c r="A253" s="30">
        <f>(U253-H253)*L253</f>
        <v/>
      </c>
      <c r="B253" s="74" t="inlineStr">
        <is>
          <t>K+5SER024115</t>
        </is>
      </c>
      <c r="C253" s="708" t="inlineStr">
        <is>
          <t>USD</t>
        </is>
      </c>
      <c r="D253" s="708" t="inlineStr">
        <is>
          <t>S0002418</t>
        </is>
      </c>
      <c r="E253" s="708" t="inlineStr">
        <is>
          <t>UNIVERSAL CITY STUDIOS PRODUCTIONS LLLP</t>
        </is>
      </c>
      <c r="F253" s="708" t="inlineStr">
        <is>
          <t>TROLLSTOPIA season 2</t>
        </is>
      </c>
      <c r="G253" s="708" t="inlineStr">
        <is>
          <t>Series International</t>
        </is>
      </c>
      <c r="H253" s="83" t="n">
        <v>26</v>
      </c>
      <c r="I253" s="83" t="n">
        <v>2</v>
      </c>
      <c r="J253" s="83">
        <f>H253*I253</f>
        <v/>
      </c>
      <c r="K253" s="83" t="n">
        <v>286977600</v>
      </c>
      <c r="L253" s="83" t="n">
        <v>5518800</v>
      </c>
      <c r="M253" s="83">
        <f>J253-Q253</f>
        <v/>
      </c>
      <c r="N253" s="83">
        <f>K253-R253</f>
        <v/>
      </c>
      <c r="O253" s="517" t="n">
        <v>45516</v>
      </c>
      <c r="P253" s="517" t="n">
        <v>46245</v>
      </c>
      <c r="Q253" s="83" t="n">
        <v>26</v>
      </c>
      <c r="R253" s="84" t="n">
        <v>143488800</v>
      </c>
      <c r="S253" s="83" t="n">
        <v>0</v>
      </c>
      <c r="T253" s="84" t="n">
        <v>0</v>
      </c>
      <c r="U253" s="83" t="n">
        <v>26</v>
      </c>
      <c r="V253" s="84">
        <f>U253*L253</f>
        <v/>
      </c>
      <c r="W253" s="83">
        <f>Q253+S253-U253</f>
        <v/>
      </c>
      <c r="X253" s="84">
        <f>R253+T253-V253</f>
        <v/>
      </c>
      <c r="Y253" s="85" t="inlineStr">
        <is>
          <t>P221ZZSR01</t>
        </is>
      </c>
      <c r="Z253" s="86" t="inlineStr">
        <is>
          <t>15661</t>
        </is>
      </c>
      <c r="AA253" s="86" t="inlineStr">
        <is>
          <t>33561</t>
        </is>
      </c>
      <c r="AB253" s="86" t="inlineStr">
        <is>
          <t>6277651</t>
        </is>
      </c>
      <c r="AC253" s="86" t="inlineStr">
        <is>
          <t>Kids</t>
        </is>
      </c>
      <c r="AD253" s="76">
        <f>COUNTIF('KK1. Movies'!AI:AI,'TK 15661.Bản quyền phim '!F253)</f>
        <v/>
      </c>
      <c r="AE253" s="76">
        <f>COUNTIF('KK2. Series'!AM:AM,'TK 15661.Bản quyền phim '!F253)</f>
        <v/>
      </c>
      <c r="AF253" s="76">
        <f>COUNTIF('KK3. Kids'!AF:AF,'TK 15661.Bản quyền phim '!F253)</f>
        <v/>
      </c>
      <c r="AG253" s="76" t="n"/>
      <c r="AH253" s="76">
        <f>IF(SUM(AD253:AG253)&gt;0,"OK",0)</f>
        <v/>
      </c>
    </row>
    <row r="254" hidden="1" s="578">
      <c r="B254" s="74" t="inlineStr">
        <is>
          <t>K+5SER024116</t>
        </is>
      </c>
      <c r="C254" s="708" t="inlineStr">
        <is>
          <t>USD</t>
        </is>
      </c>
      <c r="D254" s="708" t="inlineStr">
        <is>
          <t>S0002418</t>
        </is>
      </c>
      <c r="E254" s="708" t="inlineStr">
        <is>
          <t>UNIVERSAL CITY STUDIOS PRODUCTIONS LLLP</t>
        </is>
      </c>
      <c r="F254" s="708" t="inlineStr">
        <is>
          <t>TURBO F.A.S.T. season 1</t>
        </is>
      </c>
      <c r="G254" s="708" t="inlineStr">
        <is>
          <t>Series International</t>
        </is>
      </c>
      <c r="H254" s="83" t="n">
        <v>26</v>
      </c>
      <c r="I254" s="83" t="n">
        <v>2</v>
      </c>
      <c r="J254" s="83">
        <f>H254*I254</f>
        <v/>
      </c>
      <c r="K254" s="83" t="n">
        <v>286977600</v>
      </c>
      <c r="L254" s="83" t="n">
        <v>5518800</v>
      </c>
      <c r="M254" s="83">
        <f>J254-Q254</f>
        <v/>
      </c>
      <c r="N254" s="83">
        <f>K254-R254</f>
        <v/>
      </c>
      <c r="O254" s="517" t="n">
        <v>45423</v>
      </c>
      <c r="P254" s="517" t="n">
        <v>46152</v>
      </c>
      <c r="Q254" s="83" t="n">
        <v>26</v>
      </c>
      <c r="R254" s="84" t="n">
        <v>143488800</v>
      </c>
      <c r="S254" s="83" t="n">
        <v>0</v>
      </c>
      <c r="T254" s="84" t="n">
        <v>0</v>
      </c>
      <c r="U254" s="83" t="n">
        <v>26</v>
      </c>
      <c r="V254" s="84">
        <f>U254*L254</f>
        <v/>
      </c>
      <c r="W254" s="83">
        <f>Q254+S254-U254</f>
        <v/>
      </c>
      <c r="X254" s="84">
        <f>R254+T254-V254</f>
        <v/>
      </c>
      <c r="Y254" s="85" t="inlineStr">
        <is>
          <t>P221ZZSR01</t>
        </is>
      </c>
      <c r="Z254" s="86" t="inlineStr">
        <is>
          <t>15661</t>
        </is>
      </c>
      <c r="AA254" s="86" t="inlineStr">
        <is>
          <t>33561</t>
        </is>
      </c>
      <c r="AB254" s="86" t="inlineStr">
        <is>
          <t>6277651</t>
        </is>
      </c>
      <c r="AC254" s="86" t="inlineStr">
        <is>
          <t>Kids</t>
        </is>
      </c>
      <c r="AD254" s="76">
        <f>COUNTIF('KK1. Movies'!AI:AI,'TK 15661.Bản quyền phim '!F254)</f>
        <v/>
      </c>
      <c r="AE254" s="76">
        <f>COUNTIF('KK2. Series'!AM:AM,'TK 15661.Bản quyền phim '!F254)</f>
        <v/>
      </c>
      <c r="AF254" s="76">
        <f>COUNTIF('KK3. Kids'!AF:AF,'TK 15661.Bản quyền phim '!F254)</f>
        <v/>
      </c>
      <c r="AG254" s="76" t="n"/>
      <c r="AH254" s="76">
        <f>IF(SUM(AD254:AG254)&gt;0,"OK",0)</f>
        <v/>
      </c>
    </row>
    <row r="255" hidden="1" s="578">
      <c r="A255" s="30">
        <f>(U255-H255)*L255</f>
        <v/>
      </c>
      <c r="B255" s="74" t="inlineStr">
        <is>
          <t>K+5KID024117</t>
        </is>
      </c>
      <c r="C255" s="708" t="inlineStr">
        <is>
          <t>USD</t>
        </is>
      </c>
      <c r="D255" s="708" t="inlineStr">
        <is>
          <t>S0002295</t>
        </is>
      </c>
      <c r="E255" s="708" t="inlineStr">
        <is>
          <t>MEDIATOON DISTRIBUTION</t>
        </is>
      </c>
      <c r="F255" s="708" t="inlineStr">
        <is>
          <t>MARTIN MORNING – CGI SERIES</t>
        </is>
      </c>
      <c r="G255" s="708" t="inlineStr">
        <is>
          <t>KIDS</t>
        </is>
      </c>
      <c r="H255" s="83" t="n">
        <v>52</v>
      </c>
      <c r="I255" s="83" t="n">
        <v>3</v>
      </c>
      <c r="J255" s="83">
        <f>H255*I255</f>
        <v/>
      </c>
      <c r="K255" s="83" t="n">
        <v>193284000</v>
      </c>
      <c r="L255" s="83" t="n">
        <v>1239000</v>
      </c>
      <c r="M255" s="83">
        <f>J255-Q255</f>
        <v/>
      </c>
      <c r="N255" s="83">
        <f>K255-R255</f>
        <v/>
      </c>
      <c r="O255" s="517" t="n">
        <v>45416</v>
      </c>
      <c r="P255" s="517" t="n">
        <v>46510</v>
      </c>
      <c r="Q255" s="83" t="n">
        <v>104</v>
      </c>
      <c r="R255" s="84" t="n">
        <v>128856000</v>
      </c>
      <c r="S255" s="83" t="n">
        <v>0</v>
      </c>
      <c r="T255" s="84" t="n">
        <v>0</v>
      </c>
      <c r="U255" s="83" t="n">
        <v>52</v>
      </c>
      <c r="V255" s="84">
        <f>U255*L255</f>
        <v/>
      </c>
      <c r="W255" s="83">
        <f>Q255+S255-U255</f>
        <v/>
      </c>
      <c r="X255" s="84">
        <f>R255+T255-V255</f>
        <v/>
      </c>
      <c r="Y255" s="85" t="inlineStr">
        <is>
          <t>P221ZZKI01</t>
        </is>
      </c>
      <c r="Z255" s="86" t="inlineStr">
        <is>
          <t>15661</t>
        </is>
      </c>
      <c r="AA255" s="86" t="inlineStr">
        <is>
          <t>33561</t>
        </is>
      </c>
      <c r="AB255" s="86" t="inlineStr">
        <is>
          <t>6277651</t>
        </is>
      </c>
      <c r="AC255" s="86" t="inlineStr">
        <is>
          <t>Kids</t>
        </is>
      </c>
      <c r="AD255" s="76">
        <f>COUNTIF('KK1. Movies'!AI:AI,'TK 15661.Bản quyền phim '!F255)</f>
        <v/>
      </c>
      <c r="AE255" s="76">
        <f>COUNTIF('KK2. Series'!AM:AM,'TK 15661.Bản quyền phim '!F255)</f>
        <v/>
      </c>
      <c r="AF255" s="76">
        <f>COUNTIF('KK3. Kids'!AF:AF,'TK 15661.Bản quyền phim '!F255)</f>
        <v/>
      </c>
      <c r="AG255" s="76" t="n"/>
      <c r="AH255" s="76">
        <f>IF(SUM(AD255:AG255)&gt;0,"OK",0)</f>
        <v/>
      </c>
    </row>
    <row r="256" hidden="1" s="578">
      <c r="A256" s="30">
        <f>(U256-H256)*L256</f>
        <v/>
      </c>
      <c r="B256" s="74" t="inlineStr">
        <is>
          <t>K+5KID024118</t>
        </is>
      </c>
      <c r="C256" s="708" t="inlineStr">
        <is>
          <t>USD</t>
        </is>
      </c>
      <c r="D256" s="708" t="inlineStr">
        <is>
          <t>S0002295</t>
        </is>
      </c>
      <c r="E256" s="708" t="inlineStr">
        <is>
          <t>MEDIATOON DISTRIBUTION</t>
        </is>
      </c>
      <c r="F256" s="708" t="inlineStr">
        <is>
          <t>THE FOX BADGER FAMILY Season 2</t>
        </is>
      </c>
      <c r="G256" s="708" t="inlineStr">
        <is>
          <t>KIDS</t>
        </is>
      </c>
      <c r="H256" s="83" t="n">
        <v>52</v>
      </c>
      <c r="I256" s="83" t="n">
        <v>3</v>
      </c>
      <c r="J256" s="83">
        <f>H256*I256</f>
        <v/>
      </c>
      <c r="K256" s="83" t="n">
        <v>257712000</v>
      </c>
      <c r="L256" s="83" t="n">
        <v>1652000</v>
      </c>
      <c r="M256" s="83">
        <f>J256-Q256</f>
        <v/>
      </c>
      <c r="N256" s="83">
        <f>K256-R256</f>
        <v/>
      </c>
      <c r="O256" s="517" t="n">
        <v>45390</v>
      </c>
      <c r="P256" s="517" t="n">
        <v>46484</v>
      </c>
      <c r="Q256" s="83" t="n">
        <v>104</v>
      </c>
      <c r="R256" s="84" t="n">
        <v>171808000</v>
      </c>
      <c r="S256" s="83" t="n">
        <v>0</v>
      </c>
      <c r="T256" s="84" t="n">
        <v>0</v>
      </c>
      <c r="U256" s="83" t="n">
        <v>52</v>
      </c>
      <c r="V256" s="84">
        <f>U256*L256</f>
        <v/>
      </c>
      <c r="W256" s="83">
        <f>Q256+S256-U256</f>
        <v/>
      </c>
      <c r="X256" s="84">
        <f>R256+T256-V256</f>
        <v/>
      </c>
      <c r="Y256" s="85" t="inlineStr">
        <is>
          <t>P221ZZKI01</t>
        </is>
      </c>
      <c r="Z256" s="86" t="inlineStr">
        <is>
          <t>15661</t>
        </is>
      </c>
      <c r="AA256" s="86" t="inlineStr">
        <is>
          <t>33561</t>
        </is>
      </c>
      <c r="AB256" s="86" t="inlineStr">
        <is>
          <t>6277651</t>
        </is>
      </c>
      <c r="AC256" s="86" t="inlineStr">
        <is>
          <t>Kids</t>
        </is>
      </c>
      <c r="AD256" s="76">
        <f>COUNTIF('KK1. Movies'!AI:AI,'TK 15661.Bản quyền phim '!F256)</f>
        <v/>
      </c>
      <c r="AE256" s="76">
        <f>COUNTIF('KK2. Series'!AM:AM,'TK 15661.Bản quyền phim '!F256)</f>
        <v/>
      </c>
      <c r="AF256" s="76">
        <f>COUNTIF('KK3. Kids'!AF:AF,'TK 15661.Bản quyền phim '!F256)</f>
        <v/>
      </c>
      <c r="AG256" s="76" t="n"/>
      <c r="AH256" s="76">
        <f>IF(SUM(AD256:AG256)&gt;0,"OK",0)</f>
        <v/>
      </c>
    </row>
    <row r="257" hidden="1" ht="15.6" customHeight="1" s="578">
      <c r="A257" s="30">
        <f>(U257-H257)*L257</f>
        <v/>
      </c>
      <c r="B257" s="74" t="inlineStr">
        <is>
          <t>K+2SER024119</t>
        </is>
      </c>
      <c r="C257" s="708" t="inlineStr">
        <is>
          <t>USD</t>
        </is>
      </c>
      <c r="D257" s="708" t="inlineStr">
        <is>
          <t>S0002531</t>
        </is>
      </c>
      <c r="E257" s="708" t="inlineStr">
        <is>
          <t>NEW CLASSICS TELEVISION ENTERTAINMENT INVESTMENT CO.LTD.</t>
        </is>
      </c>
      <c r="F257" s="708" t="inlineStr">
        <is>
          <t>The Legend of Shen Li (Dữ phượng hành)</t>
        </is>
      </c>
      <c r="G257" s="708" t="inlineStr">
        <is>
          <t>Series Asian</t>
        </is>
      </c>
      <c r="H257" s="83" t="n">
        <v>39</v>
      </c>
      <c r="I257" s="83" t="n">
        <v>5</v>
      </c>
      <c r="J257" s="83">
        <f>H257*I257</f>
        <v/>
      </c>
      <c r="K257" s="83" t="n">
        <v>3221400000</v>
      </c>
      <c r="L257" s="83" t="n">
        <v>16520000</v>
      </c>
      <c r="M257" s="83">
        <f>J257-Q257</f>
        <v/>
      </c>
      <c r="N257" s="83">
        <f>K257-R257</f>
        <v/>
      </c>
      <c r="O257" s="517" t="n">
        <v>45369</v>
      </c>
      <c r="P257" s="517" t="n">
        <v>47194</v>
      </c>
      <c r="Q257" s="83" t="n">
        <v>156</v>
      </c>
      <c r="R257" s="84" t="n">
        <v>2577120000</v>
      </c>
      <c r="S257" s="83" t="n">
        <v>0</v>
      </c>
      <c r="T257" s="84" t="n">
        <v>0</v>
      </c>
      <c r="U257" s="83" t="n">
        <v>39</v>
      </c>
      <c r="V257" s="84">
        <f>U257*L257</f>
        <v/>
      </c>
      <c r="W257" s="83">
        <f>Q257+S257-U257</f>
        <v/>
      </c>
      <c r="X257" s="84">
        <f>R257+T257-V257</f>
        <v/>
      </c>
      <c r="Y257" s="85" t="inlineStr">
        <is>
          <t>P221ZZSR01</t>
        </is>
      </c>
      <c r="Z257" s="86" t="inlineStr">
        <is>
          <t>15661</t>
        </is>
      </c>
      <c r="AA257" s="86" t="inlineStr">
        <is>
          <t>33561</t>
        </is>
      </c>
      <c r="AB257" s="86" t="inlineStr">
        <is>
          <t>6277651</t>
        </is>
      </c>
      <c r="AC257" s="87" t="inlineStr">
        <is>
          <t>Series</t>
        </is>
      </c>
      <c r="AD257" s="76">
        <f>COUNTIF('KK1. Movies'!AI:AI,'TK 15661.Bản quyền phim '!F257)</f>
        <v/>
      </c>
      <c r="AE257" s="76">
        <f>COUNTIF('KK2. Series'!AM:AM,'TK 15661.Bản quyền phim '!F257)</f>
        <v/>
      </c>
      <c r="AF257" s="76">
        <f>COUNTIF('KK3. Kids'!AF:AF,'TK 15661.Bản quyền phim '!F257)</f>
        <v/>
      </c>
      <c r="AG257" s="76" t="n"/>
      <c r="AH257" s="76">
        <f>IF(SUM(AD257:AG257)&gt;0,"OK",0)</f>
        <v/>
      </c>
    </row>
    <row r="258" hidden="1" ht="15.6" customHeight="1" s="578">
      <c r="A258" s="30">
        <f>(U258-H258)*L258</f>
        <v/>
      </c>
      <c r="B258" s="74" t="inlineStr">
        <is>
          <t>K+2SER024120</t>
        </is>
      </c>
      <c r="C258" s="708" t="inlineStr">
        <is>
          <t>USD</t>
        </is>
      </c>
      <c r="D258" s="708" t="inlineStr">
        <is>
          <t>S0002419</t>
        </is>
      </c>
      <c r="E258" s="708" t="inlineStr">
        <is>
          <t>PCCW Vuclip (Singapore) Pte. Ltd.</t>
        </is>
      </c>
      <c r="F258" s="708" t="inlineStr">
        <is>
          <t>The Escape Of The Seven: Resurrection</t>
        </is>
      </c>
      <c r="G258" s="708" t="inlineStr">
        <is>
          <t>Series Asian</t>
        </is>
      </c>
      <c r="H258" s="83" t="n">
        <v>16</v>
      </c>
      <c r="I258" s="83" t="n">
        <v>4</v>
      </c>
      <c r="J258" s="83">
        <f>H258*I258</f>
        <v/>
      </c>
      <c r="K258" s="83" t="n">
        <v>3524261160</v>
      </c>
      <c r="L258" s="83" t="n">
        <v>55066580.625</v>
      </c>
      <c r="M258" s="83">
        <f>J258-Q258</f>
        <v/>
      </c>
      <c r="N258" s="83">
        <f>K258-R258</f>
        <v/>
      </c>
      <c r="O258" s="517" t="n">
        <v>45380</v>
      </c>
      <c r="P258" s="517" t="n">
        <v>46840</v>
      </c>
      <c r="Q258" s="83" t="n">
        <v>48</v>
      </c>
      <c r="R258" s="84" t="n">
        <v>2643195870</v>
      </c>
      <c r="S258" s="83" t="n">
        <v>0</v>
      </c>
      <c r="T258" s="84" t="n">
        <v>0</v>
      </c>
      <c r="U258" s="83" t="n">
        <v>16</v>
      </c>
      <c r="V258" s="84">
        <f>U258*L258</f>
        <v/>
      </c>
      <c r="W258" s="83">
        <f>Q258+S258-U258</f>
        <v/>
      </c>
      <c r="X258" s="84">
        <f>R258+T258-V258</f>
        <v/>
      </c>
      <c r="Y258" s="85" t="inlineStr">
        <is>
          <t>P221ZZSR01</t>
        </is>
      </c>
      <c r="Z258" s="86" t="inlineStr">
        <is>
          <t>15661</t>
        </is>
      </c>
      <c r="AA258" s="86" t="inlineStr">
        <is>
          <t>33561</t>
        </is>
      </c>
      <c r="AB258" s="86" t="inlineStr">
        <is>
          <t>6277651</t>
        </is>
      </c>
      <c r="AC258" s="87" t="inlineStr">
        <is>
          <t>Series</t>
        </is>
      </c>
      <c r="AD258" s="76">
        <f>COUNTIF('KK1. Movies'!AI:AI,'TK 15661.Bản quyền phim '!F258)</f>
        <v/>
      </c>
      <c r="AE258" s="76">
        <f>COUNTIF('KK2. Series'!AM:AM,'TK 15661.Bản quyền phim '!F258)</f>
        <v/>
      </c>
      <c r="AF258" s="76">
        <f>COUNTIF('KK3. Kids'!AF:AF,'TK 15661.Bản quyền phim '!F258)</f>
        <v/>
      </c>
      <c r="AG258" s="76" t="n"/>
      <c r="AH258" s="76">
        <f>IF(SUM(AD258:AG258)&gt;0,"OK",0)</f>
        <v/>
      </c>
    </row>
    <row r="259" hidden="1" ht="15.6" customHeight="1" s="578">
      <c r="A259" s="30">
        <f>(U259-H259)*L259</f>
        <v/>
      </c>
      <c r="B259" s="74" t="inlineStr">
        <is>
          <t>K+2SER024121</t>
        </is>
      </c>
      <c r="C259" s="708" t="inlineStr">
        <is>
          <t>USD</t>
        </is>
      </c>
      <c r="D259" s="708" t="inlineStr">
        <is>
          <t>S0001959</t>
        </is>
      </c>
      <c r="E259" s="708" t="inlineStr">
        <is>
          <t>Studio Dragon Corporation</t>
        </is>
      </c>
      <c r="F259" s="708" t="inlineStr">
        <is>
          <t>Blind</t>
        </is>
      </c>
      <c r="G259" s="708" t="inlineStr">
        <is>
          <t>Series Asian</t>
        </is>
      </c>
      <c r="H259" s="83" t="n">
        <v>16</v>
      </c>
      <c r="I259" s="83" t="n">
        <v>3</v>
      </c>
      <c r="J259" s="83">
        <f>H259*I259</f>
        <v/>
      </c>
      <c r="K259" s="83" t="n">
        <v>707328000</v>
      </c>
      <c r="L259" s="83" t="n">
        <v>14736000</v>
      </c>
      <c r="M259" s="83">
        <f>J259-Q259</f>
        <v/>
      </c>
      <c r="N259" s="83">
        <f>K259-R259</f>
        <v/>
      </c>
      <c r="O259" s="517" t="n">
        <v>45499</v>
      </c>
      <c r="P259" s="517" t="n">
        <v>46593</v>
      </c>
      <c r="Q259" s="83" t="n">
        <v>32</v>
      </c>
      <c r="R259" s="84" t="n">
        <v>471552000</v>
      </c>
      <c r="S259" s="83" t="n">
        <v>0</v>
      </c>
      <c r="T259" s="84" t="n">
        <v>0</v>
      </c>
      <c r="U259" s="83" t="n">
        <v>16</v>
      </c>
      <c r="V259" s="84">
        <f>U259*L259</f>
        <v/>
      </c>
      <c r="W259" s="83">
        <f>Q259+S259-U259</f>
        <v/>
      </c>
      <c r="X259" s="84">
        <f>R259+T259-V259</f>
        <v/>
      </c>
      <c r="Y259" s="85" t="inlineStr">
        <is>
          <t>P221ZZSR01</t>
        </is>
      </c>
      <c r="Z259" s="86" t="inlineStr">
        <is>
          <t>15661</t>
        </is>
      </c>
      <c r="AA259" s="86" t="inlineStr">
        <is>
          <t>33561</t>
        </is>
      </c>
      <c r="AB259" s="86" t="inlineStr">
        <is>
          <t>6277651</t>
        </is>
      </c>
      <c r="AC259" s="87" t="inlineStr">
        <is>
          <t>Series</t>
        </is>
      </c>
      <c r="AD259" s="76">
        <f>COUNTIF('KK1. Movies'!AI:AI,'TK 15661.Bản quyền phim '!F259)</f>
        <v/>
      </c>
      <c r="AE259" s="76">
        <f>COUNTIF('KK2. Series'!AM:AM,'TK 15661.Bản quyền phim '!F259)</f>
        <v/>
      </c>
      <c r="AF259" s="76">
        <f>COUNTIF('KK3. Kids'!AF:AF,'TK 15661.Bản quyền phim '!F259)</f>
        <v/>
      </c>
      <c r="AG259" s="76" t="n"/>
      <c r="AH259" s="76">
        <f>IF(SUM(AD259:AG259)&gt;0,"OK",0)</f>
        <v/>
      </c>
    </row>
    <row r="260" hidden="1" ht="15.6" customHeight="1" s="578">
      <c r="A260" s="30">
        <f>(U260-H260)*L260</f>
        <v/>
      </c>
      <c r="B260" s="74" t="inlineStr">
        <is>
          <t>K+2SER024122</t>
        </is>
      </c>
      <c r="C260" s="708" t="inlineStr">
        <is>
          <t>USD</t>
        </is>
      </c>
      <c r="D260" s="708" t="inlineStr">
        <is>
          <t>S0001959</t>
        </is>
      </c>
      <c r="E260" s="708" t="inlineStr">
        <is>
          <t>Studio Dragon Corporation</t>
        </is>
      </c>
      <c r="F260" s="708" t="inlineStr">
        <is>
          <t>Happiness</t>
        </is>
      </c>
      <c r="G260" s="708" t="inlineStr">
        <is>
          <t>Series Asian</t>
        </is>
      </c>
      <c r="H260" s="83" t="n">
        <v>12</v>
      </c>
      <c r="I260" s="83" t="n">
        <v>3</v>
      </c>
      <c r="J260" s="83">
        <f>H260*I260</f>
        <v/>
      </c>
      <c r="K260" s="83" t="n">
        <v>530496000</v>
      </c>
      <c r="L260" s="83" t="n">
        <v>14736000</v>
      </c>
      <c r="M260" s="83">
        <f>J260-Q260</f>
        <v/>
      </c>
      <c r="N260" s="83">
        <f>K260-R260</f>
        <v/>
      </c>
      <c r="O260" s="517" t="n">
        <v>45533</v>
      </c>
      <c r="P260" s="517" t="n">
        <v>46627</v>
      </c>
      <c r="Q260" s="83" t="n">
        <v>24</v>
      </c>
      <c r="R260" s="84" t="n">
        <v>353664000</v>
      </c>
      <c r="S260" s="83" t="n">
        <v>0</v>
      </c>
      <c r="T260" s="84" t="n">
        <v>0</v>
      </c>
      <c r="U260" s="83" t="n">
        <v>12</v>
      </c>
      <c r="V260" s="84">
        <f>U260*L260</f>
        <v/>
      </c>
      <c r="W260" s="83">
        <f>Q260+S260-U260</f>
        <v/>
      </c>
      <c r="X260" s="84">
        <f>R260+T260-V260</f>
        <v/>
      </c>
      <c r="Y260" s="85" t="inlineStr">
        <is>
          <t>P221ZZSR01</t>
        </is>
      </c>
      <c r="Z260" s="86" t="inlineStr">
        <is>
          <t>15661</t>
        </is>
      </c>
      <c r="AA260" s="86" t="inlineStr">
        <is>
          <t>33561</t>
        </is>
      </c>
      <c r="AB260" s="86" t="inlineStr">
        <is>
          <t>6277651</t>
        </is>
      </c>
      <c r="AC260" s="87" t="inlineStr">
        <is>
          <t>Series</t>
        </is>
      </c>
      <c r="AD260" s="76">
        <f>COUNTIF('KK1. Movies'!AI:AI,'TK 15661.Bản quyền phim '!F260)</f>
        <v/>
      </c>
      <c r="AE260" s="76">
        <f>COUNTIF('KK2. Series'!AM:AM,'TK 15661.Bản quyền phim '!F260)</f>
        <v/>
      </c>
      <c r="AF260" s="76">
        <f>COUNTIF('KK3. Kids'!AF:AF,'TK 15661.Bản quyền phim '!F260)</f>
        <v/>
      </c>
      <c r="AG260" s="76" t="n"/>
      <c r="AH260" s="76">
        <f>IF(SUM(AD260:AG260)&gt;0,"OK",0)</f>
        <v/>
      </c>
    </row>
    <row r="261" hidden="1" ht="15.6" customHeight="1" s="578">
      <c r="A261" s="30">
        <f>(U261-H261)*L261</f>
        <v/>
      </c>
      <c r="B261" s="74" t="inlineStr">
        <is>
          <t>K+2SER024123</t>
        </is>
      </c>
      <c r="C261" s="708" t="inlineStr">
        <is>
          <t>USD</t>
        </is>
      </c>
      <c r="D261" s="708" t="inlineStr">
        <is>
          <t>S0001959</t>
        </is>
      </c>
      <c r="E261" s="708" t="inlineStr">
        <is>
          <t>Studio Dragon Corporation</t>
        </is>
      </c>
      <c r="F261" s="708" t="inlineStr">
        <is>
          <t>Missing: The Other Side</t>
        </is>
      </c>
      <c r="G261" s="708" t="inlineStr">
        <is>
          <t>Series Asian</t>
        </is>
      </c>
      <c r="H261" s="83" t="n">
        <v>12</v>
      </c>
      <c r="I261" s="83" t="n">
        <v>3</v>
      </c>
      <c r="J261" s="83">
        <f>H261*I261</f>
        <v/>
      </c>
      <c r="K261" s="83" t="n">
        <v>412608000</v>
      </c>
      <c r="L261" s="83" t="n">
        <v>11461333.33333333</v>
      </c>
      <c r="M261" s="83">
        <f>J261-Q261</f>
        <v/>
      </c>
      <c r="N261" s="83">
        <f>K261-R261</f>
        <v/>
      </c>
      <c r="O261" s="517" t="n">
        <v>45593</v>
      </c>
      <c r="P261" s="517" t="n">
        <v>46687</v>
      </c>
      <c r="Q261" s="83" t="n">
        <v>24</v>
      </c>
      <c r="R261" s="84" t="n">
        <v>275072000</v>
      </c>
      <c r="S261" s="83" t="n">
        <v>0</v>
      </c>
      <c r="T261" s="84" t="n">
        <v>0</v>
      </c>
      <c r="U261" s="83" t="n">
        <v>12</v>
      </c>
      <c r="V261" s="84">
        <f>U261*L261</f>
        <v/>
      </c>
      <c r="W261" s="83">
        <f>Q261+S261-U261</f>
        <v/>
      </c>
      <c r="X261" s="84">
        <f>R261+T261-V261</f>
        <v/>
      </c>
      <c r="Y261" s="85" t="inlineStr">
        <is>
          <t>P221ZZSR01</t>
        </is>
      </c>
      <c r="Z261" s="86" t="inlineStr">
        <is>
          <t>15661</t>
        </is>
      </c>
      <c r="AA261" s="86" t="inlineStr">
        <is>
          <t>33561</t>
        </is>
      </c>
      <c r="AB261" s="86" t="inlineStr">
        <is>
          <t>6277651</t>
        </is>
      </c>
      <c r="AC261" s="87" t="inlineStr">
        <is>
          <t>Series</t>
        </is>
      </c>
      <c r="AD261" s="76">
        <f>COUNTIF('KK1. Movies'!AI:AI,'TK 15661.Bản quyền phim '!F261)</f>
        <v/>
      </c>
      <c r="AE261" s="76">
        <f>COUNTIF('KK2. Series'!AM:AM,'TK 15661.Bản quyền phim '!F261)</f>
        <v/>
      </c>
      <c r="AF261" s="76">
        <f>COUNTIF('KK3. Kids'!AF:AF,'TK 15661.Bản quyền phim '!F261)</f>
        <v/>
      </c>
      <c r="AG261" s="76" t="n"/>
      <c r="AH261" s="76">
        <f>IF(SUM(AD261:AG261)&gt;0,"OK",0)</f>
        <v/>
      </c>
    </row>
    <row r="262" hidden="1" ht="15.6" customHeight="1" s="578">
      <c r="A262" s="30">
        <f>(U262-H262)*L262</f>
        <v/>
      </c>
      <c r="B262" s="74" t="inlineStr">
        <is>
          <t>K+2SER024124</t>
        </is>
      </c>
      <c r="C262" s="708" t="inlineStr">
        <is>
          <t>USD</t>
        </is>
      </c>
      <c r="D262" s="708" t="inlineStr">
        <is>
          <t>S0001441</t>
        </is>
      </c>
      <c r="E262" s="708" t="inlineStr">
        <is>
          <t>CJ ENM Co.,Ltd</t>
        </is>
      </c>
      <c r="F262" s="708" t="inlineStr">
        <is>
          <t>Chimera</t>
        </is>
      </c>
      <c r="G262" s="708" t="inlineStr">
        <is>
          <t>Series Asian</t>
        </is>
      </c>
      <c r="H262" s="83" t="n">
        <v>16</v>
      </c>
      <c r="I262" s="83" t="n">
        <v>3</v>
      </c>
      <c r="J262" s="83">
        <f>H262*I262</f>
        <v/>
      </c>
      <c r="K262" s="83" t="n">
        <v>628736000</v>
      </c>
      <c r="L262" s="83" t="n">
        <v>13098666.66666667</v>
      </c>
      <c r="M262" s="83">
        <f>J262-Q262</f>
        <v/>
      </c>
      <c r="N262" s="83">
        <f>K262-R262</f>
        <v/>
      </c>
      <c r="O262" s="517" t="n">
        <v>45412</v>
      </c>
      <c r="P262" s="517" t="n">
        <v>46506</v>
      </c>
      <c r="Q262" s="83" t="n">
        <v>32</v>
      </c>
      <c r="R262" s="84" t="n">
        <v>419157333.3333333</v>
      </c>
      <c r="S262" s="83" t="n">
        <v>0</v>
      </c>
      <c r="T262" s="84" t="n">
        <v>0</v>
      </c>
      <c r="U262" s="83" t="n">
        <v>16</v>
      </c>
      <c r="V262" s="84">
        <f>U262*L262</f>
        <v/>
      </c>
      <c r="W262" s="83">
        <f>Q262+S262-U262</f>
        <v/>
      </c>
      <c r="X262" s="84">
        <f>R262+T262-V262</f>
        <v/>
      </c>
      <c r="Y262" s="85" t="inlineStr">
        <is>
          <t>P221ZZSR01</t>
        </is>
      </c>
      <c r="Z262" s="86" t="inlineStr">
        <is>
          <t>15661</t>
        </is>
      </c>
      <c r="AA262" s="86" t="inlineStr">
        <is>
          <t>33561</t>
        </is>
      </c>
      <c r="AB262" s="86" t="inlineStr">
        <is>
          <t>6277651</t>
        </is>
      </c>
      <c r="AC262" s="87" t="inlineStr">
        <is>
          <t>Series</t>
        </is>
      </c>
      <c r="AD262" s="76">
        <f>COUNTIF('KK1. Movies'!AI:AI,'TK 15661.Bản quyền phim '!F262)</f>
        <v/>
      </c>
      <c r="AE262" s="76">
        <f>COUNTIF('KK2. Series'!AM:AM,'TK 15661.Bản quyền phim '!F262)</f>
        <v/>
      </c>
      <c r="AF262" s="76">
        <f>COUNTIF('KK3. Kids'!AF:AF,'TK 15661.Bản quyền phim '!F262)</f>
        <v/>
      </c>
      <c r="AG262" s="76" t="n"/>
      <c r="AH262" s="76">
        <f>IF(SUM(AD262:AG262)&gt;0,"OK",0)</f>
        <v/>
      </c>
    </row>
    <row r="263" hidden="1" ht="15.6" customHeight="1" s="578">
      <c r="A263" s="30">
        <f>(U263-H263)*L263</f>
        <v/>
      </c>
      <c r="B263" s="74" t="inlineStr">
        <is>
          <t>K+2SER024125</t>
        </is>
      </c>
      <c r="C263" s="708" t="inlineStr">
        <is>
          <t>USD</t>
        </is>
      </c>
      <c r="D263" s="708" t="inlineStr">
        <is>
          <t>S0002262</t>
        </is>
      </c>
      <c r="E263" s="708" t="inlineStr">
        <is>
          <t>IQIYI INTERNATIONAL SINGAPORE PTE. LTD.</t>
        </is>
      </c>
      <c r="F263" s="708" t="inlineStr">
        <is>
          <t>The Knockout</t>
        </is>
      </c>
      <c r="G263" s="708" t="inlineStr">
        <is>
          <t>Series Asian</t>
        </is>
      </c>
      <c r="H263" s="83" t="n">
        <v>39</v>
      </c>
      <c r="I263" s="83" t="n">
        <v>4</v>
      </c>
      <c r="J263" s="83">
        <f>H263*I263</f>
        <v/>
      </c>
      <c r="K263" s="83" t="n">
        <v>1596400000</v>
      </c>
      <c r="L263" s="83" t="n">
        <v>10233333.33333333</v>
      </c>
      <c r="M263" s="83">
        <f>J263-Q263</f>
        <v/>
      </c>
      <c r="N263" s="83">
        <f>K263-R263</f>
        <v/>
      </c>
      <c r="O263" s="517" t="n">
        <v>45447</v>
      </c>
      <c r="P263" s="517" t="n">
        <v>46907</v>
      </c>
      <c r="Q263" s="83" t="n">
        <v>117</v>
      </c>
      <c r="R263" s="84" t="n">
        <v>1197300000</v>
      </c>
      <c r="S263" s="83" t="n">
        <v>0</v>
      </c>
      <c r="T263" s="84" t="n">
        <v>0</v>
      </c>
      <c r="U263" s="83" t="n">
        <v>39</v>
      </c>
      <c r="V263" s="84">
        <f>U263*L263</f>
        <v/>
      </c>
      <c r="W263" s="83">
        <f>Q263+S263-U263</f>
        <v/>
      </c>
      <c r="X263" s="84">
        <f>R263+T263-V263</f>
        <v/>
      </c>
      <c r="Y263" s="85" t="inlineStr">
        <is>
          <t>P221ZZSR01</t>
        </is>
      </c>
      <c r="Z263" s="86" t="inlineStr">
        <is>
          <t>15661</t>
        </is>
      </c>
      <c r="AA263" s="86" t="inlineStr">
        <is>
          <t>33561</t>
        </is>
      </c>
      <c r="AB263" s="86" t="inlineStr">
        <is>
          <t>6277651</t>
        </is>
      </c>
      <c r="AC263" s="87" t="inlineStr">
        <is>
          <t>Series</t>
        </is>
      </c>
      <c r="AD263" s="76">
        <f>COUNTIF('KK1. Movies'!AI:AI,'TK 15661.Bản quyền phim '!F263)</f>
        <v/>
      </c>
      <c r="AE263" s="76">
        <f>COUNTIF('KK2. Series'!AM:AM,'TK 15661.Bản quyền phim '!F263)</f>
        <v/>
      </c>
      <c r="AF263" s="76">
        <f>COUNTIF('KK3. Kids'!AF:AF,'TK 15661.Bản quyền phim '!F263)</f>
        <v/>
      </c>
      <c r="AG263" s="76" t="n"/>
      <c r="AH263" s="76">
        <f>IF(SUM(AD263:AG263)&gt;0,"OK",0)</f>
        <v/>
      </c>
    </row>
    <row r="264" hidden="1" s="578">
      <c r="A264" s="27" t="n"/>
      <c r="B264" s="74" t="inlineStr">
        <is>
          <t>K+1MOV024126</t>
        </is>
      </c>
      <c r="C264" s="708" t="inlineStr">
        <is>
          <t>VND</t>
        </is>
      </c>
      <c r="D264" s="708" t="inlineStr">
        <is>
          <t>S0002365</t>
        </is>
      </c>
      <c r="E264" s="708" t="inlineStr">
        <is>
          <t>CÔNG TY CỔ PHẦN TRUYỀN THÔNG HỎA THỔ</t>
        </is>
      </c>
      <c r="F264" s="708" t="inlineStr">
        <is>
          <t>The Hot-Blooded (Tử Chiến)</t>
        </is>
      </c>
      <c r="G264" s="708" t="inlineStr">
        <is>
          <t>Movies International</t>
        </is>
      </c>
      <c r="H264" s="83" t="n">
        <v>1</v>
      </c>
      <c r="I264" s="83" t="n">
        <v>3</v>
      </c>
      <c r="J264" s="83">
        <f>H264*I264</f>
        <v/>
      </c>
      <c r="K264" s="83" t="n">
        <v>0</v>
      </c>
      <c r="L264" s="83" t="n">
        <v>0</v>
      </c>
      <c r="M264" s="83">
        <f>J264-Q264</f>
        <v/>
      </c>
      <c r="N264" s="83">
        <f>K264-R264</f>
        <v/>
      </c>
      <c r="O264" s="517" t="n">
        <v>45435</v>
      </c>
      <c r="P264" s="517" t="n">
        <v>46529</v>
      </c>
      <c r="Q264" s="83" t="n">
        <v>3</v>
      </c>
      <c r="R264" s="84" t="n">
        <v>0</v>
      </c>
      <c r="S264" s="83" t="n">
        <v>0</v>
      </c>
      <c r="T264" s="84" t="n">
        <v>0</v>
      </c>
      <c r="U264" s="83" t="n">
        <v>0</v>
      </c>
      <c r="V264" s="84">
        <f>U264*L264</f>
        <v/>
      </c>
      <c r="W264" s="83">
        <f>Q264+S264-U264</f>
        <v/>
      </c>
      <c r="X264" s="84">
        <f>R264+T264-V264</f>
        <v/>
      </c>
      <c r="Y264" s="85" t="inlineStr">
        <is>
          <t>P221ZZMO01</t>
        </is>
      </c>
      <c r="Z264" s="86" t="inlineStr">
        <is>
          <t>15661</t>
        </is>
      </c>
      <c r="AA264" s="86" t="inlineStr">
        <is>
          <t>33561</t>
        </is>
      </c>
      <c r="AB264" s="86" t="inlineStr">
        <is>
          <t>6277651</t>
        </is>
      </c>
      <c r="AC264" s="86" t="n"/>
      <c r="AD264" s="76">
        <f>COUNTIF('KK1. Movies'!AI:AI,'TK 15661.Bản quyền phim '!F264)</f>
        <v/>
      </c>
      <c r="AE264" s="76">
        <f>COUNTIF('KK2. Series'!AM:AM,'TK 15661.Bản quyền phim '!F264)</f>
        <v/>
      </c>
      <c r="AF264" s="76">
        <f>COUNTIF('KK3. Kids'!AF:AF,'TK 15661.Bản quyền phim '!F264)</f>
        <v/>
      </c>
      <c r="AG264" s="76" t="n"/>
      <c r="AH264" s="76">
        <f>IF(SUM(AD264:AG264)&gt;0,"OK",0)</f>
        <v/>
      </c>
    </row>
    <row r="265" hidden="1" ht="15.6" customHeight="1" s="578">
      <c r="A265" s="27" t="n"/>
      <c r="B265" s="74" t="inlineStr">
        <is>
          <t>K+1MOV024127</t>
        </is>
      </c>
      <c r="C265" s="708" t="inlineStr">
        <is>
          <t>VND</t>
        </is>
      </c>
      <c r="D265" s="708" t="inlineStr">
        <is>
          <t>S0002365</t>
        </is>
      </c>
      <c r="E265" s="708" t="inlineStr">
        <is>
          <t>CÔNG TY CỔ PHẦN TRUYỀN THÔNG HỎA THỔ</t>
        </is>
      </c>
      <c r="F265" s="708" t="inlineStr">
        <is>
          <t>The Age of Blood (Thời Kỳ Phiến Loạn)</t>
        </is>
      </c>
      <c r="G265" s="708" t="inlineStr">
        <is>
          <t>Movies International</t>
        </is>
      </c>
      <c r="H265" s="83" t="n">
        <v>1</v>
      </c>
      <c r="I265" s="83" t="n">
        <v>3</v>
      </c>
      <c r="J265" s="83">
        <f>H265*I265</f>
        <v/>
      </c>
      <c r="K265" s="83" t="n">
        <v>101213810</v>
      </c>
      <c r="L265" s="83" t="n">
        <v>33737936.66666666</v>
      </c>
      <c r="M265" s="83">
        <f>J265-Q265</f>
        <v/>
      </c>
      <c r="N265" s="83">
        <f>K265-R265</f>
        <v/>
      </c>
      <c r="O265" s="517" t="n">
        <v>45414</v>
      </c>
      <c r="P265" s="517" t="n">
        <v>46508</v>
      </c>
      <c r="Q265" s="83" t="n">
        <v>2</v>
      </c>
      <c r="R265" s="84" t="n">
        <v>67475873.33333334</v>
      </c>
      <c r="S265" s="83" t="n">
        <v>0</v>
      </c>
      <c r="T265" s="84" t="n">
        <v>0</v>
      </c>
      <c r="U265" s="83" t="n">
        <v>1</v>
      </c>
      <c r="V265" s="84">
        <f>U265*L265</f>
        <v/>
      </c>
      <c r="W265" s="83">
        <f>Q265+S265-U265</f>
        <v/>
      </c>
      <c r="X265" s="84">
        <f>R265+T265-V265</f>
        <v/>
      </c>
      <c r="Y265" s="85" t="inlineStr">
        <is>
          <t>P221ZZMO01</t>
        </is>
      </c>
      <c r="Z265" s="86" t="inlineStr">
        <is>
          <t>15661</t>
        </is>
      </c>
      <c r="AA265" s="86" t="inlineStr">
        <is>
          <t>33561</t>
        </is>
      </c>
      <c r="AB265" s="86" t="inlineStr">
        <is>
          <t>6277651</t>
        </is>
      </c>
      <c r="AC265" s="87" t="inlineStr">
        <is>
          <t>Movies</t>
        </is>
      </c>
      <c r="AD265" s="76">
        <f>COUNTIF('KK1. Movies'!AI:AI,'TK 15661.Bản quyền phim '!F265)</f>
        <v/>
      </c>
      <c r="AE265" s="76">
        <f>COUNTIF('KK2. Series'!AM:AM,'TK 15661.Bản quyền phim '!F265)</f>
        <v/>
      </c>
      <c r="AF265" s="76">
        <f>COUNTIF('KK3. Kids'!AF:AF,'TK 15661.Bản quyền phim '!F265)</f>
        <v/>
      </c>
      <c r="AG265" s="76" t="n"/>
      <c r="AH265" s="76">
        <f>IF(SUM(AD265:AG265)&gt;0,"OK",0)</f>
        <v/>
      </c>
    </row>
    <row r="266" hidden="1" ht="15.6" customHeight="1" s="578">
      <c r="A266" s="27" t="n"/>
      <c r="B266" s="74" t="inlineStr">
        <is>
          <t>K+1MOV024128</t>
        </is>
      </c>
      <c r="C266" s="708" t="inlineStr">
        <is>
          <t>VND</t>
        </is>
      </c>
      <c r="D266" s="708" t="inlineStr">
        <is>
          <t>S0002365</t>
        </is>
      </c>
      <c r="E266" s="708" t="inlineStr">
        <is>
          <t>CÔNG TY CỔ PHẦN TRUYỀN THÔNG HỎA THỔ</t>
        </is>
      </c>
      <c r="F266" s="708" t="inlineStr">
        <is>
          <t>Detective Vs. Sleuths (Thần Thám Đại Chiến)</t>
        </is>
      </c>
      <c r="G266" s="708" t="inlineStr">
        <is>
          <t>Movies International</t>
        </is>
      </c>
      <c r="H266" s="83" t="n">
        <v>1</v>
      </c>
      <c r="I266" s="83" t="n">
        <v>3</v>
      </c>
      <c r="J266" s="83">
        <f>H266*I266</f>
        <v/>
      </c>
      <c r="K266" s="83" t="n">
        <v>101213810</v>
      </c>
      <c r="L266" s="83" t="n">
        <v>33737936.66666666</v>
      </c>
      <c r="M266" s="83">
        <f>J266-Q266</f>
        <v/>
      </c>
      <c r="N266" s="83">
        <f>K266-R266</f>
        <v/>
      </c>
      <c r="O266" s="517" t="n">
        <v>45436</v>
      </c>
      <c r="P266" s="517" t="n">
        <v>46530</v>
      </c>
      <c r="Q266" s="83" t="n">
        <v>2</v>
      </c>
      <c r="R266" s="84" t="n">
        <v>67475873.33333334</v>
      </c>
      <c r="S266" s="83" t="n">
        <v>0</v>
      </c>
      <c r="T266" s="84" t="n">
        <v>0</v>
      </c>
      <c r="U266" s="83" t="n">
        <v>1</v>
      </c>
      <c r="V266" s="84">
        <f>U266*L266</f>
        <v/>
      </c>
      <c r="W266" s="83">
        <f>Q266+S266-U266</f>
        <v/>
      </c>
      <c r="X266" s="84">
        <f>R266+T266-V266</f>
        <v/>
      </c>
      <c r="Y266" s="85" t="inlineStr">
        <is>
          <t>P221ZZMO01</t>
        </is>
      </c>
      <c r="Z266" s="86" t="inlineStr">
        <is>
          <t>15661</t>
        </is>
      </c>
      <c r="AA266" s="86" t="inlineStr">
        <is>
          <t>33561</t>
        </is>
      </c>
      <c r="AB266" s="86" t="inlineStr">
        <is>
          <t>6277651</t>
        </is>
      </c>
      <c r="AC266" s="87" t="inlineStr">
        <is>
          <t>Movies</t>
        </is>
      </c>
      <c r="AD266" s="76">
        <f>COUNTIF('KK1. Movies'!AI:AI,'TK 15661.Bản quyền phim '!F266)</f>
        <v/>
      </c>
      <c r="AE266" s="76">
        <f>COUNTIF('KK2. Series'!AM:AM,'TK 15661.Bản quyền phim '!F266)</f>
        <v/>
      </c>
      <c r="AF266" s="76">
        <f>COUNTIF('KK3. Kids'!AF:AF,'TK 15661.Bản quyền phim '!F266)</f>
        <v/>
      </c>
      <c r="AG266" s="76" t="n"/>
      <c r="AH266" s="76">
        <f>IF(SUM(AD266:AG266)&gt;0,"OK",0)</f>
        <v/>
      </c>
    </row>
    <row r="267" hidden="1" ht="15.6" customHeight="1" s="578">
      <c r="A267" s="27" t="n"/>
      <c r="B267" s="74" t="inlineStr">
        <is>
          <t>K+1MOV024129</t>
        </is>
      </c>
      <c r="C267" s="708" t="inlineStr">
        <is>
          <t>VND</t>
        </is>
      </c>
      <c r="D267" s="708" t="inlineStr">
        <is>
          <t>S0002365</t>
        </is>
      </c>
      <c r="E267" s="708" t="inlineStr">
        <is>
          <t>CÔNG TY CỔ PHẦN TRUYỀN THÔNG HỎA THỔ</t>
        </is>
      </c>
      <c r="F267" s="708" t="inlineStr">
        <is>
          <t>Cloudy Mountain (Chiều Sâu Vô Hạn)</t>
        </is>
      </c>
      <c r="G267" s="708" t="inlineStr">
        <is>
          <t>Movies International</t>
        </is>
      </c>
      <c r="H267" s="83" t="n">
        <v>1</v>
      </c>
      <c r="I267" s="83" t="n">
        <v>3</v>
      </c>
      <c r="J267" s="83">
        <f>H267*I267</f>
        <v/>
      </c>
      <c r="K267" s="83" t="n">
        <v>101213810</v>
      </c>
      <c r="L267" s="83" t="n">
        <v>33737936.66666666</v>
      </c>
      <c r="M267" s="83">
        <f>J267-Q267</f>
        <v/>
      </c>
      <c r="N267" s="83">
        <f>K267-R267</f>
        <v/>
      </c>
      <c r="O267" s="517" t="n">
        <v>45429</v>
      </c>
      <c r="P267" s="517" t="n">
        <v>46523</v>
      </c>
      <c r="Q267" s="83" t="n">
        <v>2</v>
      </c>
      <c r="R267" s="84" t="n">
        <v>67475873.33333334</v>
      </c>
      <c r="S267" s="83" t="n">
        <v>0</v>
      </c>
      <c r="T267" s="84" t="n">
        <v>0</v>
      </c>
      <c r="U267" s="83" t="n">
        <v>1</v>
      </c>
      <c r="V267" s="84">
        <f>U267*L267</f>
        <v/>
      </c>
      <c r="W267" s="83">
        <f>Q267+S267-U267</f>
        <v/>
      </c>
      <c r="X267" s="84">
        <f>R267+T267-V267</f>
        <v/>
      </c>
      <c r="Y267" s="85" t="inlineStr">
        <is>
          <t>P221ZZMO01</t>
        </is>
      </c>
      <c r="Z267" s="86" t="inlineStr">
        <is>
          <t>15661</t>
        </is>
      </c>
      <c r="AA267" s="86" t="inlineStr">
        <is>
          <t>33561</t>
        </is>
      </c>
      <c r="AB267" s="86" t="inlineStr">
        <is>
          <t>6277651</t>
        </is>
      </c>
      <c r="AC267" s="87" t="inlineStr">
        <is>
          <t>Movies</t>
        </is>
      </c>
      <c r="AD267" s="76">
        <f>COUNTIF('KK1. Movies'!AI:AI,'TK 15661.Bản quyền phim '!F267)</f>
        <v/>
      </c>
      <c r="AE267" s="76">
        <f>COUNTIF('KK2. Series'!AM:AM,'TK 15661.Bản quyền phim '!F267)</f>
        <v/>
      </c>
      <c r="AF267" s="76">
        <f>COUNTIF('KK3. Kids'!AF:AF,'TK 15661.Bản quyền phim '!F267)</f>
        <v/>
      </c>
      <c r="AG267" s="76" t="n"/>
      <c r="AH267" s="76">
        <f>IF(SUM(AD267:AG267)&gt;0,"OK",0)</f>
        <v/>
      </c>
    </row>
    <row r="268" hidden="1" ht="15.6" customHeight="1" s="578">
      <c r="A268" s="27" t="n"/>
      <c r="B268" s="74" t="inlineStr">
        <is>
          <t>K+1MOV024130</t>
        </is>
      </c>
      <c r="C268" s="708" t="inlineStr">
        <is>
          <t>VND</t>
        </is>
      </c>
      <c r="D268" s="708" t="inlineStr">
        <is>
          <t>S0002365</t>
        </is>
      </c>
      <c r="E268" s="708" t="inlineStr">
        <is>
          <t>CÔNG TY CỔ PHẦN TRUYỀN THÔNG HỎA THỔ</t>
        </is>
      </c>
      <c r="F268" s="708" t="inlineStr">
        <is>
          <t>The Rescue (Đội Cứu Hộ Khẩn Cấp)</t>
        </is>
      </c>
      <c r="G268" s="708" t="inlineStr">
        <is>
          <t>Movies International</t>
        </is>
      </c>
      <c r="H268" s="83" t="n">
        <v>1</v>
      </c>
      <c r="I268" s="83" t="n">
        <v>3</v>
      </c>
      <c r="J268" s="83">
        <f>H268*I268</f>
        <v/>
      </c>
      <c r="K268" s="83" t="n">
        <v>101213810</v>
      </c>
      <c r="L268" s="83" t="n">
        <v>33737936.66666666</v>
      </c>
      <c r="M268" s="83">
        <f>J268-Q268</f>
        <v/>
      </c>
      <c r="N268" s="83">
        <f>K268-R268</f>
        <v/>
      </c>
      <c r="O268" s="517" t="n">
        <v>45415</v>
      </c>
      <c r="P268" s="517" t="n">
        <v>46509</v>
      </c>
      <c r="Q268" s="83" t="n">
        <v>2</v>
      </c>
      <c r="R268" s="84" t="n">
        <v>67475873.33333334</v>
      </c>
      <c r="S268" s="83" t="n">
        <v>0</v>
      </c>
      <c r="T268" s="84" t="n">
        <v>0</v>
      </c>
      <c r="U268" s="83" t="n">
        <v>1</v>
      </c>
      <c r="V268" s="84">
        <f>U268*L268</f>
        <v/>
      </c>
      <c r="W268" s="83">
        <f>Q268+S268-U268</f>
        <v/>
      </c>
      <c r="X268" s="84">
        <f>R268+T268-V268</f>
        <v/>
      </c>
      <c r="Y268" s="85" t="inlineStr">
        <is>
          <t>P221ZZMO01</t>
        </is>
      </c>
      <c r="Z268" s="86" t="inlineStr">
        <is>
          <t>15661</t>
        </is>
      </c>
      <c r="AA268" s="86" t="inlineStr">
        <is>
          <t>33561</t>
        </is>
      </c>
      <c r="AB268" s="86" t="inlineStr">
        <is>
          <t>6277651</t>
        </is>
      </c>
      <c r="AC268" s="87" t="inlineStr">
        <is>
          <t>Movies</t>
        </is>
      </c>
      <c r="AD268" s="76">
        <f>COUNTIF('KK1. Movies'!AI:AI,'TK 15661.Bản quyền phim '!F268)</f>
        <v/>
      </c>
      <c r="AE268" s="76">
        <f>COUNTIF('KK2. Series'!AM:AM,'TK 15661.Bản quyền phim '!F268)</f>
        <v/>
      </c>
      <c r="AF268" s="76">
        <f>COUNTIF('KK3. Kids'!AF:AF,'TK 15661.Bản quyền phim '!F268)</f>
        <v/>
      </c>
      <c r="AG268" s="76" t="n"/>
      <c r="AH268" s="76">
        <f>IF(SUM(AD268:AG268)&gt;0,"OK",0)</f>
        <v/>
      </c>
    </row>
    <row r="269" hidden="1" ht="15.6" customHeight="1" s="578">
      <c r="A269" s="27" t="n"/>
      <c r="B269" s="74" t="inlineStr">
        <is>
          <t>K+1MOV024131</t>
        </is>
      </c>
      <c r="C269" s="708" t="inlineStr">
        <is>
          <t>VND</t>
        </is>
      </c>
      <c r="D269" s="708" t="inlineStr">
        <is>
          <t>S0002365</t>
        </is>
      </c>
      <c r="E269" s="708" t="inlineStr">
        <is>
          <t>CÔNG TY CỔ PHẦN TRUYỀN THÔNG HỎA THỔ</t>
        </is>
      </c>
      <c r="F269" s="708" t="inlineStr">
        <is>
          <t>Caught In Time (Trừ Gian Diệt Ác)</t>
        </is>
      </c>
      <c r="G269" s="708" t="inlineStr">
        <is>
          <t>Movies International</t>
        </is>
      </c>
      <c r="H269" s="83" t="n">
        <v>1</v>
      </c>
      <c r="I269" s="83" t="n">
        <v>3</v>
      </c>
      <c r="J269" s="83">
        <f>H269*I269</f>
        <v/>
      </c>
      <c r="K269" s="83" t="n">
        <v>101213810</v>
      </c>
      <c r="L269" s="83" t="n">
        <v>33737936.66666666</v>
      </c>
      <c r="M269" s="83">
        <f>J269-Q269</f>
        <v/>
      </c>
      <c r="N269" s="83">
        <f>K269-R269</f>
        <v/>
      </c>
      <c r="O269" s="517" t="n">
        <v>45443</v>
      </c>
      <c r="P269" s="517" t="n">
        <v>46537</v>
      </c>
      <c r="Q269" s="83" t="n">
        <v>2</v>
      </c>
      <c r="R269" s="84" t="n">
        <v>67475873.33333334</v>
      </c>
      <c r="S269" s="83" t="n">
        <v>0</v>
      </c>
      <c r="T269" s="84" t="n">
        <v>0</v>
      </c>
      <c r="U269" s="83" t="n">
        <v>1</v>
      </c>
      <c r="V269" s="84">
        <f>U269*L269</f>
        <v/>
      </c>
      <c r="W269" s="83">
        <f>Q269+S269-U269</f>
        <v/>
      </c>
      <c r="X269" s="84">
        <f>R269+T269-V269</f>
        <v/>
      </c>
      <c r="Y269" s="85" t="inlineStr">
        <is>
          <t>P221ZZMO01</t>
        </is>
      </c>
      <c r="Z269" s="86" t="inlineStr">
        <is>
          <t>15661</t>
        </is>
      </c>
      <c r="AA269" s="86" t="inlineStr">
        <is>
          <t>33561</t>
        </is>
      </c>
      <c r="AB269" s="86" t="inlineStr">
        <is>
          <t>6277651</t>
        </is>
      </c>
      <c r="AC269" s="87" t="inlineStr">
        <is>
          <t>Movies</t>
        </is>
      </c>
      <c r="AD269" s="76">
        <f>COUNTIF('KK1. Movies'!AI:AI,'TK 15661.Bản quyền phim '!F269)</f>
        <v/>
      </c>
      <c r="AE269" s="76">
        <f>COUNTIF('KK2. Series'!AM:AM,'TK 15661.Bản quyền phim '!F269)</f>
        <v/>
      </c>
      <c r="AF269" s="76">
        <f>COUNTIF('KK3. Kids'!AF:AF,'TK 15661.Bản quyền phim '!F269)</f>
        <v/>
      </c>
      <c r="AG269" s="76" t="n"/>
      <c r="AH269" s="76">
        <f>IF(SUM(AD269:AG269)&gt;0,"OK",0)</f>
        <v/>
      </c>
    </row>
    <row r="270" hidden="1" s="578">
      <c r="A270" s="27" t="n"/>
      <c r="B270" s="74" t="inlineStr">
        <is>
          <t>K+1MOV024132</t>
        </is>
      </c>
      <c r="C270" s="708" t="inlineStr">
        <is>
          <t>VND</t>
        </is>
      </c>
      <c r="D270" s="708" t="inlineStr">
        <is>
          <t>S0002365</t>
        </is>
      </c>
      <c r="E270" s="708" t="inlineStr">
        <is>
          <t>CÔNG TY CỔ PHẦN TRUYỀN THÔNG HỎA THỔ</t>
        </is>
      </c>
      <c r="F270" s="708" t="inlineStr">
        <is>
          <t>Z Storm (Đội Chống Tham Nhũng)</t>
        </is>
      </c>
      <c r="G270" s="708" t="inlineStr">
        <is>
          <t>Movies International</t>
        </is>
      </c>
      <c r="H270" s="83" t="n">
        <v>1</v>
      </c>
      <c r="I270" s="83" t="n">
        <v>3</v>
      </c>
      <c r="J270" s="83">
        <f>H270*I270</f>
        <v/>
      </c>
      <c r="K270" s="83" t="n">
        <v>0</v>
      </c>
      <c r="L270" s="83" t="n">
        <v>0</v>
      </c>
      <c r="M270" s="83">
        <f>J270-Q270</f>
        <v/>
      </c>
      <c r="N270" s="83">
        <f>K270-R270</f>
        <v/>
      </c>
      <c r="O270" s="517" t="n">
        <v>45506</v>
      </c>
      <c r="P270" s="517" t="n">
        <v>46600</v>
      </c>
      <c r="Q270" s="83" t="n">
        <v>3</v>
      </c>
      <c r="R270" s="84" t="n">
        <v>0</v>
      </c>
      <c r="S270" s="83" t="n">
        <v>0</v>
      </c>
      <c r="T270" s="84" t="n">
        <v>0</v>
      </c>
      <c r="U270" s="83" t="n">
        <v>0</v>
      </c>
      <c r="V270" s="84">
        <f>U270*L270</f>
        <v/>
      </c>
      <c r="W270" s="83">
        <f>Q270+S270-U270</f>
        <v/>
      </c>
      <c r="X270" s="84">
        <f>R270+T270-V270</f>
        <v/>
      </c>
      <c r="Y270" s="85" t="inlineStr">
        <is>
          <t>P221ZZMO01</t>
        </is>
      </c>
      <c r="Z270" s="86" t="inlineStr">
        <is>
          <t>15661</t>
        </is>
      </c>
      <c r="AA270" s="86" t="inlineStr">
        <is>
          <t>33561</t>
        </is>
      </c>
      <c r="AB270" s="86" t="inlineStr">
        <is>
          <t>6277651</t>
        </is>
      </c>
      <c r="AC270" s="86" t="n"/>
      <c r="AD270" s="76">
        <f>COUNTIF('KK1. Movies'!AI:AI,'TK 15661.Bản quyền phim '!F270)</f>
        <v/>
      </c>
      <c r="AE270" s="76">
        <f>COUNTIF('KK2. Series'!AM:AM,'TK 15661.Bản quyền phim '!F270)</f>
        <v/>
      </c>
      <c r="AF270" s="76">
        <f>COUNTIF('KK3. Kids'!AF:AF,'TK 15661.Bản quyền phim '!F270)</f>
        <v/>
      </c>
      <c r="AG270" s="76" t="n"/>
      <c r="AH270" s="76">
        <f>IF(SUM(AD270:AG270)&gt;0,"OK",0)</f>
        <v/>
      </c>
    </row>
    <row r="271" hidden="1" s="578">
      <c r="A271" s="27" t="n"/>
      <c r="B271" s="74" t="inlineStr">
        <is>
          <t>K+1MOV024133</t>
        </is>
      </c>
      <c r="C271" s="708" t="inlineStr">
        <is>
          <t>VND</t>
        </is>
      </c>
      <c r="D271" s="708" t="inlineStr">
        <is>
          <t>S0002365</t>
        </is>
      </c>
      <c r="E271" s="708" t="inlineStr">
        <is>
          <t>CÔNG TY CỔ PHẦN TRUYỀN THÔNG HỎA THỔ</t>
        </is>
      </c>
      <c r="F271" s="708" t="inlineStr">
        <is>
          <t>Raging Fire (Cuồng Phong Nộ Hỏa)</t>
        </is>
      </c>
      <c r="G271" s="708" t="inlineStr">
        <is>
          <t>Movies International</t>
        </is>
      </c>
      <c r="H271" s="83" t="n">
        <v>1</v>
      </c>
      <c r="I271" s="83" t="n">
        <v>3</v>
      </c>
      <c r="J271" s="83">
        <f>H271*I271</f>
        <v/>
      </c>
      <c r="K271" s="83" t="n">
        <v>0</v>
      </c>
      <c r="L271" s="83" t="n">
        <v>0</v>
      </c>
      <c r="M271" s="83">
        <f>J271-Q271</f>
        <v/>
      </c>
      <c r="N271" s="83">
        <f>K271-R271</f>
        <v/>
      </c>
      <c r="O271" s="517" t="n">
        <v>45520</v>
      </c>
      <c r="P271" s="517" t="n">
        <v>46614</v>
      </c>
      <c r="Q271" s="83" t="n">
        <v>3</v>
      </c>
      <c r="R271" s="84" t="n">
        <v>0</v>
      </c>
      <c r="S271" s="83" t="n">
        <v>0</v>
      </c>
      <c r="T271" s="84" t="n">
        <v>0</v>
      </c>
      <c r="U271" s="83" t="n">
        <v>0</v>
      </c>
      <c r="V271" s="84">
        <f>U271*L271</f>
        <v/>
      </c>
      <c r="W271" s="83">
        <f>Q271+S271-U271</f>
        <v/>
      </c>
      <c r="X271" s="84">
        <f>R271+T271-V271</f>
        <v/>
      </c>
      <c r="Y271" s="85" t="inlineStr">
        <is>
          <t>P221ZZMO01</t>
        </is>
      </c>
      <c r="Z271" s="86" t="inlineStr">
        <is>
          <t>15661</t>
        </is>
      </c>
      <c r="AA271" s="86" t="inlineStr">
        <is>
          <t>33561</t>
        </is>
      </c>
      <c r="AB271" s="86" t="inlineStr">
        <is>
          <t>6277651</t>
        </is>
      </c>
      <c r="AC271" s="86" t="n"/>
      <c r="AD271" s="76">
        <f>COUNTIF('KK1. Movies'!AI:AI,'TK 15661.Bản quyền phim '!F271)</f>
        <v/>
      </c>
      <c r="AE271" s="76">
        <f>COUNTIF('KK2. Series'!AM:AM,'TK 15661.Bản quyền phim '!F271)</f>
        <v/>
      </c>
      <c r="AF271" s="76">
        <f>COUNTIF('KK3. Kids'!AF:AF,'TK 15661.Bản quyền phim '!F271)</f>
        <v/>
      </c>
      <c r="AG271" s="76" t="n"/>
      <c r="AH271" s="76">
        <f>IF(SUM(AD271:AG271)&gt;0,"OK",0)</f>
        <v/>
      </c>
    </row>
    <row r="272" hidden="1" s="578">
      <c r="A272" s="27" t="n"/>
      <c r="B272" s="74" t="inlineStr">
        <is>
          <t>K+1MOV024134</t>
        </is>
      </c>
      <c r="C272" s="708" t="inlineStr">
        <is>
          <t>VND</t>
        </is>
      </c>
      <c r="D272" s="708" t="inlineStr">
        <is>
          <t>S0002365</t>
        </is>
      </c>
      <c r="E272" s="708" t="inlineStr">
        <is>
          <t>CÔNG TY CỔ PHẦN TRUYỀN THÔNG HỎA THỔ</t>
        </is>
      </c>
      <c r="F272" s="708" t="inlineStr">
        <is>
          <t>Ip Man 3 (Diệp Vấn 3)</t>
        </is>
      </c>
      <c r="G272" s="708" t="inlineStr">
        <is>
          <t>Movies International</t>
        </is>
      </c>
      <c r="H272" s="83" t="n">
        <v>1</v>
      </c>
      <c r="I272" s="83" t="n">
        <v>3</v>
      </c>
      <c r="J272" s="83">
        <f>H272*I272</f>
        <v/>
      </c>
      <c r="K272" s="83" t="n">
        <v>0</v>
      </c>
      <c r="L272" s="83" t="n">
        <v>0</v>
      </c>
      <c r="M272" s="83">
        <f>J272-Q272</f>
        <v/>
      </c>
      <c r="N272" s="83">
        <f>K272-R272</f>
        <v/>
      </c>
      <c r="O272" s="517" t="n">
        <v>45548</v>
      </c>
      <c r="P272" s="517" t="n">
        <v>46642</v>
      </c>
      <c r="Q272" s="83" t="n">
        <v>3</v>
      </c>
      <c r="R272" s="84" t="n">
        <v>0</v>
      </c>
      <c r="S272" s="83" t="n">
        <v>0</v>
      </c>
      <c r="T272" s="84" t="n">
        <v>0</v>
      </c>
      <c r="U272" s="83" t="n">
        <v>0</v>
      </c>
      <c r="V272" s="84">
        <f>U272*L272</f>
        <v/>
      </c>
      <c r="W272" s="83">
        <f>Q272+S272-U272</f>
        <v/>
      </c>
      <c r="X272" s="84">
        <f>R272+T272-V272</f>
        <v/>
      </c>
      <c r="Y272" s="85" t="inlineStr">
        <is>
          <t>P221ZZMO01</t>
        </is>
      </c>
      <c r="Z272" s="86" t="inlineStr">
        <is>
          <t>15661</t>
        </is>
      </c>
      <c r="AA272" s="86" t="inlineStr">
        <is>
          <t>33561</t>
        </is>
      </c>
      <c r="AB272" s="86" t="inlineStr">
        <is>
          <t>6277651</t>
        </is>
      </c>
      <c r="AC272" s="86" t="n"/>
      <c r="AD272" s="76">
        <f>COUNTIF('KK1. Movies'!AI:AI,'TK 15661.Bản quyền phim '!F272)</f>
        <v/>
      </c>
      <c r="AE272" s="76">
        <f>COUNTIF('KK2. Series'!AM:AM,'TK 15661.Bản quyền phim '!F272)</f>
        <v/>
      </c>
      <c r="AF272" s="76">
        <f>COUNTIF('KK3. Kids'!AF:AF,'TK 15661.Bản quyền phim '!F272)</f>
        <v/>
      </c>
      <c r="AG272" s="76" t="n"/>
      <c r="AH272" s="76">
        <f>IF(SUM(AD272:AG272)&gt;0,"OK",0)</f>
        <v/>
      </c>
    </row>
    <row r="273" hidden="1" s="578">
      <c r="A273" s="27" t="n"/>
      <c r="B273" s="74" t="inlineStr">
        <is>
          <t>K+1MOV024135</t>
        </is>
      </c>
      <c r="C273" s="708" t="inlineStr">
        <is>
          <t>USD</t>
        </is>
      </c>
      <c r="D273" s="708" t="inlineStr">
        <is>
          <t>S0002438</t>
        </is>
      </c>
      <c r="E273" s="708" t="inlineStr">
        <is>
          <t>Paramount Pictures International Limited</t>
        </is>
      </c>
      <c r="F273" s="708" t="inlineStr">
        <is>
          <t>CRAWL</t>
        </is>
      </c>
      <c r="G273" s="708" t="inlineStr">
        <is>
          <t>Movies International</t>
        </is>
      </c>
      <c r="H273" s="83" t="n">
        <v>1</v>
      </c>
      <c r="I273" s="83" t="n">
        <v>2</v>
      </c>
      <c r="J273" s="83">
        <f>H273*I273</f>
        <v/>
      </c>
      <c r="K273" s="83" t="n">
        <v>76407000</v>
      </c>
      <c r="L273" s="83" t="n">
        <v>38203500</v>
      </c>
      <c r="M273" s="83">
        <f>J273-Q273</f>
        <v/>
      </c>
      <c r="N273" s="83">
        <f>K273-R273</f>
        <v/>
      </c>
      <c r="O273" s="517" t="n">
        <v>45609</v>
      </c>
      <c r="P273" s="517" t="n">
        <v>46154</v>
      </c>
      <c r="Q273" s="83" t="n">
        <v>1</v>
      </c>
      <c r="R273" s="84" t="n">
        <v>38203500</v>
      </c>
      <c r="S273" s="83" t="n">
        <v>0</v>
      </c>
      <c r="T273" s="84" t="n">
        <v>0</v>
      </c>
      <c r="U273" s="83" t="n">
        <v>1</v>
      </c>
      <c r="V273" s="84">
        <f>U273*L273</f>
        <v/>
      </c>
      <c r="W273" s="83">
        <f>Q273+S273-U273</f>
        <v/>
      </c>
      <c r="X273" s="84">
        <f>R273+T273-V273</f>
        <v/>
      </c>
      <c r="Y273" s="85" t="inlineStr">
        <is>
          <t>P221ZZMO01</t>
        </is>
      </c>
      <c r="Z273" s="86" t="inlineStr">
        <is>
          <t>15661</t>
        </is>
      </c>
      <c r="AA273" s="86" t="inlineStr">
        <is>
          <t>33561</t>
        </is>
      </c>
      <c r="AB273" s="86" t="inlineStr">
        <is>
          <t>6277651</t>
        </is>
      </c>
      <c r="AC273" s="86" t="n"/>
      <c r="AD273" s="76">
        <f>COUNTIF('KK1. Movies'!AI:AI,'TK 15661.Bản quyền phim '!F273)</f>
        <v/>
      </c>
      <c r="AE273" s="76">
        <f>COUNTIF('KK2. Series'!AM:AM,'TK 15661.Bản quyền phim '!F273)</f>
        <v/>
      </c>
      <c r="AF273" s="76">
        <f>COUNTIF('KK3. Kids'!AF:AF,'TK 15661.Bản quyền phim '!F273)</f>
        <v/>
      </c>
      <c r="AG273" s="76" t="n"/>
      <c r="AH273" s="76">
        <f>IF(SUM(AD273:AG273)&gt;0,"OK",0)</f>
        <v/>
      </c>
    </row>
    <row r="274" hidden="1" s="578">
      <c r="A274" s="27" t="n"/>
      <c r="B274" s="74" t="inlineStr">
        <is>
          <t>K+2MOV024138</t>
        </is>
      </c>
      <c r="C274" s="708" t="inlineStr">
        <is>
          <t>USD</t>
        </is>
      </c>
      <c r="D274" s="708" t="inlineStr">
        <is>
          <t>S0002438</t>
        </is>
      </c>
      <c r="E274" s="708" t="inlineStr">
        <is>
          <t>Paramount Pictures International Limited</t>
        </is>
      </c>
      <c r="F274" s="708" t="inlineStr">
        <is>
          <t>GHOST IN THE SHELL (2017)</t>
        </is>
      </c>
      <c r="G274" s="708" t="inlineStr">
        <is>
          <t>Movies International</t>
        </is>
      </c>
      <c r="H274" s="83" t="n">
        <v>1</v>
      </c>
      <c r="I274" s="83" t="n">
        <v>2</v>
      </c>
      <c r="J274" s="83">
        <f>H274*I274</f>
        <v/>
      </c>
      <c r="K274" s="83" t="n">
        <v>76407000</v>
      </c>
      <c r="L274" s="83" t="n">
        <v>38203500</v>
      </c>
      <c r="M274" s="83">
        <f>J274-Q274</f>
        <v/>
      </c>
      <c r="N274" s="83">
        <f>K274-R274</f>
        <v/>
      </c>
      <c r="O274" s="517" t="n">
        <v>45609</v>
      </c>
      <c r="P274" s="517" t="n">
        <v>46154</v>
      </c>
      <c r="Q274" s="83" t="n">
        <v>1</v>
      </c>
      <c r="R274" s="84" t="n">
        <v>38203500</v>
      </c>
      <c r="S274" s="83" t="n">
        <v>0</v>
      </c>
      <c r="T274" s="84" t="n">
        <v>0</v>
      </c>
      <c r="U274" s="83" t="n">
        <v>1</v>
      </c>
      <c r="V274" s="84">
        <f>U274*L274</f>
        <v/>
      </c>
      <c r="W274" s="83">
        <f>Q274+S274-U274</f>
        <v/>
      </c>
      <c r="X274" s="84">
        <f>R274+T274-V274</f>
        <v/>
      </c>
      <c r="Y274" s="85" t="inlineStr">
        <is>
          <t>P221ZZMO01</t>
        </is>
      </c>
      <c r="Z274" s="86" t="inlineStr">
        <is>
          <t>15661</t>
        </is>
      </c>
      <c r="AA274" s="86" t="inlineStr">
        <is>
          <t>33561</t>
        </is>
      </c>
      <c r="AB274" s="86" t="inlineStr">
        <is>
          <t>6277651</t>
        </is>
      </c>
      <c r="AC274" s="86" t="n"/>
      <c r="AD274" s="76">
        <f>COUNTIF('KK1. Movies'!AI:AI,'TK 15661.Bản quyền phim '!F274)</f>
        <v/>
      </c>
      <c r="AE274" s="76">
        <f>COUNTIF('KK2. Series'!AM:AM,'TK 15661.Bản quyền phim '!F274)</f>
        <v/>
      </c>
      <c r="AF274" s="76">
        <f>COUNTIF('KK3. Kids'!AF:AF,'TK 15661.Bản quyền phim '!F274)</f>
        <v/>
      </c>
      <c r="AG274" s="76" t="n"/>
      <c r="AH274" s="76">
        <f>IF(SUM(AD274:AG274)&gt;0,"OK",0)</f>
        <v/>
      </c>
    </row>
    <row r="275" hidden="1" s="578">
      <c r="A275" s="27" t="n"/>
      <c r="B275" s="74" t="inlineStr">
        <is>
          <t>K+1MOV024140</t>
        </is>
      </c>
      <c r="C275" s="708" t="inlineStr">
        <is>
          <t>USD</t>
        </is>
      </c>
      <c r="D275" s="708" t="inlineStr">
        <is>
          <t>S0002438</t>
        </is>
      </c>
      <c r="E275" s="708" t="inlineStr">
        <is>
          <t>Paramount Pictures International Limited</t>
        </is>
      </c>
      <c r="F275" s="708" t="inlineStr">
        <is>
          <t>JACK RYAN: SHADOW RECRUIT</t>
        </is>
      </c>
      <c r="G275" s="708" t="inlineStr">
        <is>
          <t>Movies International</t>
        </is>
      </c>
      <c r="H275" s="83" t="n">
        <v>1</v>
      </c>
      <c r="I275" s="83" t="n">
        <v>2</v>
      </c>
      <c r="J275" s="83">
        <f>H275*I275</f>
        <v/>
      </c>
      <c r="K275" s="83" t="n">
        <v>76407000</v>
      </c>
      <c r="L275" s="83" t="n">
        <v>38203500</v>
      </c>
      <c r="M275" s="83">
        <f>J275-Q275</f>
        <v/>
      </c>
      <c r="N275" s="83">
        <f>K275-R275</f>
        <v/>
      </c>
      <c r="O275" s="517" t="n">
        <v>45569</v>
      </c>
      <c r="P275" s="517" t="n">
        <v>46115</v>
      </c>
      <c r="Q275" s="83" t="n">
        <v>1</v>
      </c>
      <c r="R275" s="84" t="n">
        <v>38203500</v>
      </c>
      <c r="S275" s="83" t="n">
        <v>0</v>
      </c>
      <c r="T275" s="84" t="n">
        <v>0</v>
      </c>
      <c r="U275" s="83" t="n">
        <v>1</v>
      </c>
      <c r="V275" s="84">
        <f>U275*L275</f>
        <v/>
      </c>
      <c r="W275" s="83">
        <f>Q275+S275-U275</f>
        <v/>
      </c>
      <c r="X275" s="84">
        <f>R275+T275-V275</f>
        <v/>
      </c>
      <c r="Y275" s="85" t="inlineStr">
        <is>
          <t>P221ZZMO01</t>
        </is>
      </c>
      <c r="Z275" s="86" t="inlineStr">
        <is>
          <t>15661</t>
        </is>
      </c>
      <c r="AA275" s="86" t="inlineStr">
        <is>
          <t>33561</t>
        </is>
      </c>
      <c r="AB275" s="86" t="inlineStr">
        <is>
          <t>6277651</t>
        </is>
      </c>
      <c r="AC275" s="86" t="n"/>
      <c r="AD275" s="76">
        <f>COUNTIF('KK1. Movies'!AI:AI,'TK 15661.Bản quyền phim '!F275)</f>
        <v/>
      </c>
      <c r="AE275" s="76">
        <f>COUNTIF('KK2. Series'!AM:AM,'TK 15661.Bản quyền phim '!F275)</f>
        <v/>
      </c>
      <c r="AF275" s="76">
        <f>COUNTIF('KK3. Kids'!AF:AF,'TK 15661.Bản quyền phim '!F275)</f>
        <v/>
      </c>
      <c r="AG275" s="76" t="n"/>
      <c r="AH275" s="76">
        <f>IF(SUM(AD275:AG275)&gt;0,"OK",0)</f>
        <v/>
      </c>
    </row>
    <row r="276" hidden="1" s="578">
      <c r="A276" s="27" t="n"/>
      <c r="B276" s="74" t="inlineStr">
        <is>
          <t>K+1MOV024141</t>
        </is>
      </c>
      <c r="C276" s="708" t="inlineStr">
        <is>
          <t>USD</t>
        </is>
      </c>
      <c r="D276" s="708" t="inlineStr">
        <is>
          <t>S0002438</t>
        </is>
      </c>
      <c r="E276" s="708" t="inlineStr">
        <is>
          <t>Paramount Pictures International Limited</t>
        </is>
      </c>
      <c r="F276" s="708" t="inlineStr">
        <is>
          <t>MISSION: IMPOSSIBLE</t>
        </is>
      </c>
      <c r="G276" s="708" t="inlineStr">
        <is>
          <t>Movies International</t>
        </is>
      </c>
      <c r="H276" s="83" t="n">
        <v>1</v>
      </c>
      <c r="I276" s="83" t="n">
        <v>2</v>
      </c>
      <c r="J276" s="83">
        <f>H276*I276</f>
        <v/>
      </c>
      <c r="K276" s="83" t="n">
        <v>89141500</v>
      </c>
      <c r="L276" s="83" t="n">
        <v>44570750</v>
      </c>
      <c r="M276" s="83">
        <f>J276-Q276</f>
        <v/>
      </c>
      <c r="N276" s="83">
        <f>K276-R276</f>
        <v/>
      </c>
      <c r="O276" s="517" t="n">
        <v>45597</v>
      </c>
      <c r="P276" s="517" t="n">
        <v>46142</v>
      </c>
      <c r="Q276" s="83" t="n">
        <v>1</v>
      </c>
      <c r="R276" s="84" t="n">
        <v>44570750</v>
      </c>
      <c r="S276" s="83" t="n">
        <v>0</v>
      </c>
      <c r="T276" s="84" t="n">
        <v>0</v>
      </c>
      <c r="U276" s="83" t="n">
        <v>1</v>
      </c>
      <c r="V276" s="84">
        <f>U276*L276</f>
        <v/>
      </c>
      <c r="W276" s="83">
        <f>Q276+S276-U276</f>
        <v/>
      </c>
      <c r="X276" s="84">
        <f>R276+T276-V276</f>
        <v/>
      </c>
      <c r="Y276" s="85" t="inlineStr">
        <is>
          <t>P221ZZMO01</t>
        </is>
      </c>
      <c r="Z276" s="86" t="inlineStr">
        <is>
          <t>15661</t>
        </is>
      </c>
      <c r="AA276" s="86" t="inlineStr">
        <is>
          <t>33561</t>
        </is>
      </c>
      <c r="AB276" s="86" t="inlineStr">
        <is>
          <t>6277651</t>
        </is>
      </c>
      <c r="AC276" s="86" t="n"/>
      <c r="AD276" s="76">
        <f>COUNTIF('KK1. Movies'!AI:AI,'TK 15661.Bản quyền phim '!F276)</f>
        <v/>
      </c>
      <c r="AE276" s="76">
        <f>COUNTIF('KK2. Series'!AM:AM,'TK 15661.Bản quyền phim '!F276)</f>
        <v/>
      </c>
      <c r="AF276" s="76">
        <f>COUNTIF('KK3. Kids'!AF:AF,'TK 15661.Bản quyền phim '!F276)</f>
        <v/>
      </c>
      <c r="AG276" s="76" t="n"/>
      <c r="AH276" s="76">
        <f>IF(SUM(AD276:AG276)&gt;0,"OK",0)</f>
        <v/>
      </c>
    </row>
    <row r="277" hidden="1" s="578">
      <c r="A277" s="27" t="n"/>
      <c r="B277" s="74" t="inlineStr">
        <is>
          <t>K+1MOV024142</t>
        </is>
      </c>
      <c r="C277" s="708" t="inlineStr">
        <is>
          <t>USD</t>
        </is>
      </c>
      <c r="D277" s="708" t="inlineStr">
        <is>
          <t>S0002438</t>
        </is>
      </c>
      <c r="E277" s="708" t="inlineStr">
        <is>
          <t>Paramount Pictures International Limited</t>
        </is>
      </c>
      <c r="F277" s="708" t="inlineStr">
        <is>
          <t>MISSION: IMPOSSIBLE - GHOST PROTOCOL</t>
        </is>
      </c>
      <c r="G277" s="708" t="inlineStr">
        <is>
          <t>Movies International</t>
        </is>
      </c>
      <c r="H277" s="83" t="n">
        <v>1</v>
      </c>
      <c r="I277" s="83" t="n">
        <v>2</v>
      </c>
      <c r="J277" s="83">
        <f>H277*I277</f>
        <v/>
      </c>
      <c r="K277" s="83" t="n">
        <v>89141500</v>
      </c>
      <c r="L277" s="83" t="n">
        <v>44570750</v>
      </c>
      <c r="M277" s="83">
        <f>J277-Q277</f>
        <v/>
      </c>
      <c r="N277" s="83">
        <f>K277-R277</f>
        <v/>
      </c>
      <c r="O277" s="517" t="n">
        <v>45597</v>
      </c>
      <c r="P277" s="517" t="n">
        <v>46142</v>
      </c>
      <c r="Q277" s="83" t="n">
        <v>1</v>
      </c>
      <c r="R277" s="84" t="n">
        <v>44570750</v>
      </c>
      <c r="S277" s="83" t="n">
        <v>0</v>
      </c>
      <c r="T277" s="84" t="n">
        <v>0</v>
      </c>
      <c r="U277" s="83" t="n">
        <v>1</v>
      </c>
      <c r="V277" s="84">
        <f>U277*L277</f>
        <v/>
      </c>
      <c r="W277" s="83">
        <f>Q277+S277-U277</f>
        <v/>
      </c>
      <c r="X277" s="84">
        <f>R277+T277-V277</f>
        <v/>
      </c>
      <c r="Y277" s="85" t="inlineStr">
        <is>
          <t>P221ZZMO01</t>
        </is>
      </c>
      <c r="Z277" s="86" t="inlineStr">
        <is>
          <t>15661</t>
        </is>
      </c>
      <c r="AA277" s="86" t="inlineStr">
        <is>
          <t>33561</t>
        </is>
      </c>
      <c r="AB277" s="86" t="inlineStr">
        <is>
          <t>6277651</t>
        </is>
      </c>
      <c r="AC277" s="86" t="n"/>
      <c r="AD277" s="76">
        <f>COUNTIF('KK1. Movies'!AI:AI,'TK 15661.Bản quyền phim '!F277)</f>
        <v/>
      </c>
      <c r="AE277" s="76">
        <f>COUNTIF('KK2. Series'!AM:AM,'TK 15661.Bản quyền phim '!F277)</f>
        <v/>
      </c>
      <c r="AF277" s="76">
        <f>COUNTIF('KK3. Kids'!AF:AF,'TK 15661.Bản quyền phim '!F277)</f>
        <v/>
      </c>
      <c r="AG277" s="76" t="n"/>
      <c r="AH277" s="76">
        <f>IF(SUM(AD277:AG277)&gt;0,"OK",0)</f>
        <v/>
      </c>
    </row>
    <row r="278" hidden="1" s="578">
      <c r="A278" s="27" t="n"/>
      <c r="B278" s="74" t="inlineStr">
        <is>
          <t>K+1MOV024143</t>
        </is>
      </c>
      <c r="C278" s="708" t="inlineStr">
        <is>
          <t>USD</t>
        </is>
      </c>
      <c r="D278" s="708" t="inlineStr">
        <is>
          <t>S0002438</t>
        </is>
      </c>
      <c r="E278" s="708" t="inlineStr">
        <is>
          <t>Paramount Pictures International Limited</t>
        </is>
      </c>
      <c r="F278" s="708" t="inlineStr">
        <is>
          <t>MISSION: IMPOSSIBLE - ROGUE NATION</t>
        </is>
      </c>
      <c r="G278" s="708" t="inlineStr">
        <is>
          <t>Movies International</t>
        </is>
      </c>
      <c r="H278" s="83" t="n">
        <v>1</v>
      </c>
      <c r="I278" s="83" t="n">
        <v>2</v>
      </c>
      <c r="J278" s="83">
        <f>H278*I278</f>
        <v/>
      </c>
      <c r="K278" s="83" t="n">
        <v>89141500</v>
      </c>
      <c r="L278" s="83" t="n">
        <v>44570750</v>
      </c>
      <c r="M278" s="83">
        <f>J278-Q278</f>
        <v/>
      </c>
      <c r="N278" s="83">
        <f>K278-R278</f>
        <v/>
      </c>
      <c r="O278" s="517" t="n">
        <v>45597</v>
      </c>
      <c r="P278" s="517" t="n">
        <v>46142</v>
      </c>
      <c r="Q278" s="83" t="n">
        <v>1</v>
      </c>
      <c r="R278" s="84" t="n">
        <v>44570750</v>
      </c>
      <c r="S278" s="83" t="n">
        <v>0</v>
      </c>
      <c r="T278" s="84" t="n">
        <v>0</v>
      </c>
      <c r="U278" s="83" t="n">
        <v>1</v>
      </c>
      <c r="V278" s="84">
        <f>U278*L278</f>
        <v/>
      </c>
      <c r="W278" s="83">
        <f>Q278+S278-U278</f>
        <v/>
      </c>
      <c r="X278" s="84">
        <f>R278+T278-V278</f>
        <v/>
      </c>
      <c r="Y278" s="85" t="inlineStr">
        <is>
          <t>P221ZZMO01</t>
        </is>
      </c>
      <c r="Z278" s="86" t="inlineStr">
        <is>
          <t>15661</t>
        </is>
      </c>
      <c r="AA278" s="86" t="inlineStr">
        <is>
          <t>33561</t>
        </is>
      </c>
      <c r="AB278" s="86" t="inlineStr">
        <is>
          <t>6277651</t>
        </is>
      </c>
      <c r="AC278" s="86" t="n"/>
      <c r="AD278" s="76">
        <f>COUNTIF('KK1. Movies'!AI:AI,'TK 15661.Bản quyền phim '!F278)</f>
        <v/>
      </c>
      <c r="AE278" s="76">
        <f>COUNTIF('KK2. Series'!AM:AM,'TK 15661.Bản quyền phim '!F278)</f>
        <v/>
      </c>
      <c r="AF278" s="76">
        <f>COUNTIF('KK3. Kids'!AF:AF,'TK 15661.Bản quyền phim '!F278)</f>
        <v/>
      </c>
      <c r="AG278" s="76" t="n"/>
      <c r="AH278" s="76">
        <f>IF(SUM(AD278:AG278)&gt;0,"OK",0)</f>
        <v/>
      </c>
    </row>
    <row r="279" hidden="1" s="578">
      <c r="A279" s="27" t="n"/>
      <c r="B279" s="74" t="inlineStr">
        <is>
          <t>K+1MOV024144</t>
        </is>
      </c>
      <c r="C279" s="708" t="inlineStr">
        <is>
          <t>USD</t>
        </is>
      </c>
      <c r="D279" s="708" t="inlineStr">
        <is>
          <t>S0002438</t>
        </is>
      </c>
      <c r="E279" s="708" t="inlineStr">
        <is>
          <t>Paramount Pictures International Limited</t>
        </is>
      </c>
      <c r="F279" s="708" t="inlineStr">
        <is>
          <t>MISSION: IMPOSSIBLE II</t>
        </is>
      </c>
      <c r="G279" s="708" t="inlineStr">
        <is>
          <t>Movies International</t>
        </is>
      </c>
      <c r="H279" s="83" t="n">
        <v>1</v>
      </c>
      <c r="I279" s="83" t="n">
        <v>2</v>
      </c>
      <c r="J279" s="83">
        <f>H279*I279</f>
        <v/>
      </c>
      <c r="K279" s="83" t="n">
        <v>89141500</v>
      </c>
      <c r="L279" s="83" t="n">
        <v>44570750</v>
      </c>
      <c r="M279" s="83">
        <f>J279-Q279</f>
        <v/>
      </c>
      <c r="N279" s="83">
        <f>K279-R279</f>
        <v/>
      </c>
      <c r="O279" s="517" t="n">
        <v>45597</v>
      </c>
      <c r="P279" s="517" t="n">
        <v>46142</v>
      </c>
      <c r="Q279" s="83" t="n">
        <v>1</v>
      </c>
      <c r="R279" s="84" t="n">
        <v>44570750</v>
      </c>
      <c r="S279" s="83" t="n">
        <v>0</v>
      </c>
      <c r="T279" s="84" t="n">
        <v>0</v>
      </c>
      <c r="U279" s="83" t="n">
        <v>1</v>
      </c>
      <c r="V279" s="84">
        <f>U279*L279</f>
        <v/>
      </c>
      <c r="W279" s="83">
        <f>Q279+S279-U279</f>
        <v/>
      </c>
      <c r="X279" s="84">
        <f>R279+T279-V279</f>
        <v/>
      </c>
      <c r="Y279" s="85" t="inlineStr">
        <is>
          <t>P221ZZMO01</t>
        </is>
      </c>
      <c r="Z279" s="86" t="inlineStr">
        <is>
          <t>15661</t>
        </is>
      </c>
      <c r="AA279" s="86" t="inlineStr">
        <is>
          <t>33561</t>
        </is>
      </c>
      <c r="AB279" s="86" t="inlineStr">
        <is>
          <t>6277651</t>
        </is>
      </c>
      <c r="AC279" s="86" t="n"/>
      <c r="AD279" s="76">
        <f>COUNTIF('KK1. Movies'!AI:AI,'TK 15661.Bản quyền phim '!F279)</f>
        <v/>
      </c>
      <c r="AE279" s="76">
        <f>COUNTIF('KK2. Series'!AM:AM,'TK 15661.Bản quyền phim '!F279)</f>
        <v/>
      </c>
      <c r="AF279" s="76">
        <f>COUNTIF('KK3. Kids'!AF:AF,'TK 15661.Bản quyền phim '!F279)</f>
        <v/>
      </c>
      <c r="AG279" s="76" t="n"/>
      <c r="AH279" s="76">
        <f>IF(SUM(AD279:AG279)&gt;0,"OK",0)</f>
        <v/>
      </c>
    </row>
    <row r="280" hidden="1" s="578">
      <c r="A280" s="27" t="n"/>
      <c r="B280" s="74" t="inlineStr">
        <is>
          <t>K+1MOV024145</t>
        </is>
      </c>
      <c r="C280" s="708" t="inlineStr">
        <is>
          <t>USD</t>
        </is>
      </c>
      <c r="D280" s="708" t="inlineStr">
        <is>
          <t>S0002438</t>
        </is>
      </c>
      <c r="E280" s="708" t="inlineStr">
        <is>
          <t>Paramount Pictures International Limited</t>
        </is>
      </c>
      <c r="F280" s="708" t="inlineStr">
        <is>
          <t>MISSION: IMPOSSIBLE III</t>
        </is>
      </c>
      <c r="G280" s="708" t="inlineStr">
        <is>
          <t>Movies International</t>
        </is>
      </c>
      <c r="H280" s="83" t="n">
        <v>1</v>
      </c>
      <c r="I280" s="83" t="n">
        <v>2</v>
      </c>
      <c r="J280" s="83">
        <f>H280*I280</f>
        <v/>
      </c>
      <c r="K280" s="83" t="n">
        <v>89141500</v>
      </c>
      <c r="L280" s="83" t="n">
        <v>44570750</v>
      </c>
      <c r="M280" s="83">
        <f>J280-Q280</f>
        <v/>
      </c>
      <c r="N280" s="83">
        <f>K280-R280</f>
        <v/>
      </c>
      <c r="O280" s="517" t="n">
        <v>45597</v>
      </c>
      <c r="P280" s="517" t="n">
        <v>46142</v>
      </c>
      <c r="Q280" s="83" t="n">
        <v>1</v>
      </c>
      <c r="R280" s="84" t="n">
        <v>44570750</v>
      </c>
      <c r="S280" s="83" t="n">
        <v>0</v>
      </c>
      <c r="T280" s="84" t="n">
        <v>0</v>
      </c>
      <c r="U280" s="83" t="n">
        <v>1</v>
      </c>
      <c r="V280" s="84">
        <f>U280*L280</f>
        <v/>
      </c>
      <c r="W280" s="83">
        <f>Q280+S280-U280</f>
        <v/>
      </c>
      <c r="X280" s="84">
        <f>R280+T280-V280</f>
        <v/>
      </c>
      <c r="Y280" s="85" t="inlineStr">
        <is>
          <t>P221ZZMO01</t>
        </is>
      </c>
      <c r="Z280" s="86" t="inlineStr">
        <is>
          <t>15661</t>
        </is>
      </c>
      <c r="AA280" s="86" t="inlineStr">
        <is>
          <t>33561</t>
        </is>
      </c>
      <c r="AB280" s="86" t="inlineStr">
        <is>
          <t>6277651</t>
        </is>
      </c>
      <c r="AC280" s="86" t="n"/>
      <c r="AD280" s="76">
        <f>COUNTIF('KK1. Movies'!AI:AI,'TK 15661.Bản quyền phim '!F280)</f>
        <v/>
      </c>
      <c r="AE280" s="76">
        <f>COUNTIF('KK2. Series'!AM:AM,'TK 15661.Bản quyền phim '!F280)</f>
        <v/>
      </c>
      <c r="AF280" s="76">
        <f>COUNTIF('KK3. Kids'!AF:AF,'TK 15661.Bản quyền phim '!F280)</f>
        <v/>
      </c>
      <c r="AG280" s="76" t="n"/>
      <c r="AH280" s="76">
        <f>IF(SUM(AD280:AG280)&gt;0,"OK",0)</f>
        <v/>
      </c>
    </row>
    <row r="281" hidden="1" s="578">
      <c r="A281" s="27" t="n"/>
      <c r="B281" s="74" t="inlineStr">
        <is>
          <t>K+1MOV024149</t>
        </is>
      </c>
      <c r="C281" s="708" t="inlineStr">
        <is>
          <t>USD</t>
        </is>
      </c>
      <c r="D281" s="708" t="inlineStr">
        <is>
          <t>S0002438</t>
        </is>
      </c>
      <c r="E281" s="708" t="inlineStr">
        <is>
          <t>Paramount Pictures International Limited</t>
        </is>
      </c>
      <c r="F281" s="708" t="inlineStr">
        <is>
          <t>TERMINATOR GENISYS</t>
        </is>
      </c>
      <c r="G281" s="708" t="inlineStr">
        <is>
          <t>Movies International</t>
        </is>
      </c>
      <c r="H281" s="83" t="n">
        <v>1</v>
      </c>
      <c r="I281" s="83" t="n">
        <v>2</v>
      </c>
      <c r="J281" s="83">
        <f>H281*I281</f>
        <v/>
      </c>
      <c r="K281" s="83" t="n">
        <v>76407000</v>
      </c>
      <c r="L281" s="83" t="n">
        <v>38203500</v>
      </c>
      <c r="M281" s="83">
        <f>J281-Q281</f>
        <v/>
      </c>
      <c r="N281" s="83">
        <f>K281-R281</f>
        <v/>
      </c>
      <c r="O281" s="517" t="n">
        <v>45569</v>
      </c>
      <c r="P281" s="517" t="n">
        <v>46115</v>
      </c>
      <c r="Q281" s="83" t="n">
        <v>1</v>
      </c>
      <c r="R281" s="84" t="n">
        <v>38203500</v>
      </c>
      <c r="S281" s="83" t="n">
        <v>0</v>
      </c>
      <c r="T281" s="84" t="n">
        <v>0</v>
      </c>
      <c r="U281" s="83" t="n">
        <v>1</v>
      </c>
      <c r="V281" s="84">
        <f>U281*L281</f>
        <v/>
      </c>
      <c r="W281" s="83">
        <f>Q281+S281-U281</f>
        <v/>
      </c>
      <c r="X281" s="84">
        <f>R281+T281-V281</f>
        <v/>
      </c>
      <c r="Y281" s="85" t="inlineStr">
        <is>
          <t>P221ZZMO01</t>
        </is>
      </c>
      <c r="Z281" s="86" t="inlineStr">
        <is>
          <t>15661</t>
        </is>
      </c>
      <c r="AA281" s="86" t="inlineStr">
        <is>
          <t>33561</t>
        </is>
      </c>
      <c r="AB281" s="86" t="inlineStr">
        <is>
          <t>6277651</t>
        </is>
      </c>
      <c r="AC281" s="86" t="n"/>
      <c r="AD281" s="76">
        <f>COUNTIF('KK1. Movies'!AI:AI,'TK 15661.Bản quyền phim '!F281)</f>
        <v/>
      </c>
      <c r="AE281" s="76">
        <f>COUNTIF('KK2. Series'!AM:AM,'TK 15661.Bản quyền phim '!F281)</f>
        <v/>
      </c>
      <c r="AF281" s="76">
        <f>COUNTIF('KK3. Kids'!AF:AF,'TK 15661.Bản quyền phim '!F281)</f>
        <v/>
      </c>
      <c r="AG281" s="76" t="n"/>
      <c r="AH281" s="76">
        <f>IF(SUM(AD281:AG281)&gt;0,"OK",0)</f>
        <v/>
      </c>
    </row>
    <row r="282" hidden="1" s="578">
      <c r="A282" s="27" t="n"/>
      <c r="B282" s="74" t="inlineStr">
        <is>
          <t>K+1MOV024154</t>
        </is>
      </c>
      <c r="C282" s="708" t="inlineStr">
        <is>
          <t>USD</t>
        </is>
      </c>
      <c r="D282" s="708" t="inlineStr">
        <is>
          <t>S0002438</t>
        </is>
      </c>
      <c r="E282" s="708" t="inlineStr">
        <is>
          <t>Paramount Pictures International Limited</t>
        </is>
      </c>
      <c r="F282" s="708" t="inlineStr">
        <is>
          <t>TRANSFORMERS: THE LAST KNIGHT</t>
        </is>
      </c>
      <c r="G282" s="708" t="inlineStr">
        <is>
          <t>Movies International</t>
        </is>
      </c>
      <c r="H282" s="83" t="n">
        <v>1</v>
      </c>
      <c r="I282" s="83" t="n">
        <v>2</v>
      </c>
      <c r="J282" s="83">
        <f>H282*I282</f>
        <v/>
      </c>
      <c r="K282" s="83" t="n">
        <v>89141500</v>
      </c>
      <c r="L282" s="83" t="n">
        <v>44570750</v>
      </c>
      <c r="M282" s="83">
        <f>J282-Q282</f>
        <v/>
      </c>
      <c r="N282" s="83">
        <f>K282-R282</f>
        <v/>
      </c>
      <c r="O282" s="517" t="n">
        <v>45583</v>
      </c>
      <c r="P282" s="517" t="n">
        <v>46129</v>
      </c>
      <c r="Q282" s="83" t="n">
        <v>1</v>
      </c>
      <c r="R282" s="84" t="n">
        <v>44570750</v>
      </c>
      <c r="S282" s="83" t="n">
        <v>0</v>
      </c>
      <c r="T282" s="84" t="n">
        <v>0</v>
      </c>
      <c r="U282" s="83" t="n">
        <v>1</v>
      </c>
      <c r="V282" s="84">
        <f>U282*L282</f>
        <v/>
      </c>
      <c r="W282" s="83">
        <f>Q282+S282-U282</f>
        <v/>
      </c>
      <c r="X282" s="84">
        <f>R282+T282-V282</f>
        <v/>
      </c>
      <c r="Y282" s="85" t="inlineStr">
        <is>
          <t>P221ZZMO01</t>
        </is>
      </c>
      <c r="Z282" s="86" t="inlineStr">
        <is>
          <t>15661</t>
        </is>
      </c>
      <c r="AA282" s="86" t="inlineStr">
        <is>
          <t>33561</t>
        </is>
      </c>
      <c r="AB282" s="86" t="inlineStr">
        <is>
          <t>6277651</t>
        </is>
      </c>
      <c r="AC282" s="86" t="n"/>
      <c r="AD282" s="76">
        <f>COUNTIF('KK1. Movies'!AI:AI,'TK 15661.Bản quyền phim '!F282)</f>
        <v/>
      </c>
      <c r="AE282" s="76">
        <f>COUNTIF('KK2. Series'!AM:AM,'TK 15661.Bản quyền phim '!F282)</f>
        <v/>
      </c>
      <c r="AF282" s="76">
        <f>COUNTIF('KK3. Kids'!AF:AF,'TK 15661.Bản quyền phim '!F282)</f>
        <v/>
      </c>
      <c r="AG282" s="76" t="n"/>
      <c r="AH282" s="76">
        <f>IF(SUM(AD282:AG282)&gt;0,"OK",0)</f>
        <v/>
      </c>
    </row>
    <row r="283" hidden="1" s="578">
      <c r="A283" s="30">
        <f>(U283-H283)*L283</f>
        <v/>
      </c>
      <c r="B283" s="74" t="inlineStr">
        <is>
          <t>K+5KID024159</t>
        </is>
      </c>
      <c r="C283" s="708" t="inlineStr">
        <is>
          <t>USD</t>
        </is>
      </c>
      <c r="D283" s="708" t="inlineStr">
        <is>
          <t>S0002551</t>
        </is>
      </c>
      <c r="E283" s="708" t="inlineStr">
        <is>
          <t>FZ ENTERTAINMENT CO,. LTD</t>
        </is>
      </c>
      <c r="F283" s="708" t="inlineStr">
        <is>
          <t>Princess Doremi Season 1</t>
        </is>
      </c>
      <c r="G283" s="708" t="inlineStr">
        <is>
          <t>KIDS</t>
        </is>
      </c>
      <c r="H283" s="83" t="n">
        <v>26</v>
      </c>
      <c r="I283" s="83" t="n">
        <v>3</v>
      </c>
      <c r="J283" s="83">
        <f>H283*I283</f>
        <v/>
      </c>
      <c r="K283" s="83" t="n">
        <v>110058200</v>
      </c>
      <c r="L283" s="83" t="n">
        <v>1411002.564102564</v>
      </c>
      <c r="M283" s="83">
        <f>J283-Q283</f>
        <v/>
      </c>
      <c r="N283" s="83">
        <f>K283-R283</f>
        <v/>
      </c>
      <c r="O283" s="517" t="n">
        <v>45465</v>
      </c>
      <c r="P283" s="517" t="n">
        <v>46559</v>
      </c>
      <c r="Q283" s="83" t="n">
        <v>52</v>
      </c>
      <c r="R283" s="84" t="n">
        <v>73372133.33333334</v>
      </c>
      <c r="S283" s="83" t="n">
        <v>0</v>
      </c>
      <c r="T283" s="84" t="n">
        <v>0</v>
      </c>
      <c r="U283" s="83" t="n">
        <v>26</v>
      </c>
      <c r="V283" s="84">
        <f>U283*L283</f>
        <v/>
      </c>
      <c r="W283" s="83">
        <f>Q283+S283-U283</f>
        <v/>
      </c>
      <c r="X283" s="84">
        <f>R283+T283-V283</f>
        <v/>
      </c>
      <c r="Y283" s="85" t="inlineStr">
        <is>
          <t>P221ZZKI01</t>
        </is>
      </c>
      <c r="Z283" s="86" t="inlineStr">
        <is>
          <t>15661</t>
        </is>
      </c>
      <c r="AA283" s="86" t="inlineStr">
        <is>
          <t>33561</t>
        </is>
      </c>
      <c r="AB283" s="86" t="inlineStr">
        <is>
          <t>6277651</t>
        </is>
      </c>
      <c r="AC283" s="86" t="inlineStr">
        <is>
          <t>Kids</t>
        </is>
      </c>
      <c r="AD283" s="76">
        <f>COUNTIF('KK1. Movies'!AI:AI,'TK 15661.Bản quyền phim '!F283)</f>
        <v/>
      </c>
      <c r="AE283" s="76">
        <f>COUNTIF('KK2. Series'!AM:AM,'TK 15661.Bản quyền phim '!F283)</f>
        <v/>
      </c>
      <c r="AF283" s="76">
        <f>COUNTIF('KK3. Kids'!AF:AF,'TK 15661.Bản quyền phim '!F283)</f>
        <v/>
      </c>
      <c r="AG283" s="76" t="n"/>
      <c r="AH283" s="76">
        <f>IF(SUM(AD283:AG283)&gt;0,"OK",0)</f>
        <v/>
      </c>
    </row>
    <row r="284" hidden="1" s="578">
      <c r="A284" s="30">
        <f>(U284-H284)*L284</f>
        <v/>
      </c>
      <c r="B284" s="74" t="inlineStr">
        <is>
          <t>K+5KID024160</t>
        </is>
      </c>
      <c r="C284" s="708" t="inlineStr">
        <is>
          <t>USD</t>
        </is>
      </c>
      <c r="D284" s="708" t="inlineStr">
        <is>
          <t>S0002551</t>
        </is>
      </c>
      <c r="E284" s="708" t="inlineStr">
        <is>
          <t>FZ ENTERTAINMENT CO,. LTD</t>
        </is>
      </c>
      <c r="F284" s="708" t="inlineStr">
        <is>
          <t>Princess Doremi Season 2</t>
        </is>
      </c>
      <c r="G284" s="708" t="inlineStr">
        <is>
          <t>KIDS</t>
        </is>
      </c>
      <c r="H284" s="83" t="n">
        <v>26</v>
      </c>
      <c r="I284" s="83" t="n">
        <v>3</v>
      </c>
      <c r="J284" s="83">
        <f>H284*I284</f>
        <v/>
      </c>
      <c r="K284" s="83" t="n">
        <v>110058200</v>
      </c>
      <c r="L284" s="83" t="n">
        <v>1411002.564102564</v>
      </c>
      <c r="M284" s="83">
        <f>J284-Q284</f>
        <v/>
      </c>
      <c r="N284" s="83">
        <f>K284-R284</f>
        <v/>
      </c>
      <c r="O284" s="517" t="n">
        <v>45465</v>
      </c>
      <c r="P284" s="517" t="n">
        <v>46559</v>
      </c>
      <c r="Q284" s="83" t="n">
        <v>52</v>
      </c>
      <c r="R284" s="84" t="n">
        <v>73372133.33333334</v>
      </c>
      <c r="S284" s="83" t="n">
        <v>0</v>
      </c>
      <c r="T284" s="84" t="n">
        <v>0</v>
      </c>
      <c r="U284" s="83" t="n">
        <v>26</v>
      </c>
      <c r="V284" s="84">
        <f>U284*L284</f>
        <v/>
      </c>
      <c r="W284" s="83">
        <f>Q284+S284-U284</f>
        <v/>
      </c>
      <c r="X284" s="84">
        <f>R284+T284-V284</f>
        <v/>
      </c>
      <c r="Y284" s="85" t="inlineStr">
        <is>
          <t>P221ZZKI01</t>
        </is>
      </c>
      <c r="Z284" s="86" t="inlineStr">
        <is>
          <t>15661</t>
        </is>
      </c>
      <c r="AA284" s="86" t="inlineStr">
        <is>
          <t>33561</t>
        </is>
      </c>
      <c r="AB284" s="86" t="inlineStr">
        <is>
          <t>6277651</t>
        </is>
      </c>
      <c r="AC284" s="86" t="inlineStr">
        <is>
          <t>Kids</t>
        </is>
      </c>
      <c r="AD284" s="76">
        <f>COUNTIF('KK1. Movies'!AI:AI,'TK 15661.Bản quyền phim '!F284)</f>
        <v/>
      </c>
      <c r="AE284" s="76">
        <f>COUNTIF('KK2. Series'!AM:AM,'TK 15661.Bản quyền phim '!F284)</f>
        <v/>
      </c>
      <c r="AF284" s="76">
        <f>COUNTIF('KK3. Kids'!AF:AF,'TK 15661.Bản quyền phim '!F284)</f>
        <v/>
      </c>
      <c r="AG284" s="76" t="n"/>
      <c r="AH284" s="76">
        <f>IF(SUM(AD284:AG284)&gt;0,"OK",0)</f>
        <v/>
      </c>
    </row>
    <row r="285" hidden="1" s="578">
      <c r="A285" s="30">
        <f>(U285-H285)*L285</f>
        <v/>
      </c>
      <c r="B285" s="74" t="inlineStr">
        <is>
          <t>K+5KID024161</t>
        </is>
      </c>
      <c r="C285" s="708" t="inlineStr">
        <is>
          <t>USD</t>
        </is>
      </c>
      <c r="D285" s="708" t="inlineStr">
        <is>
          <t>S0002551</t>
        </is>
      </c>
      <c r="E285" s="708" t="inlineStr">
        <is>
          <t>FZ ENTERTAINMENT CO,. LTD</t>
        </is>
      </c>
      <c r="F285" s="708" t="inlineStr">
        <is>
          <t>Princess Doremi Season 3</t>
        </is>
      </c>
      <c r="G285" s="708" t="inlineStr">
        <is>
          <t>KIDS</t>
        </is>
      </c>
      <c r="H285" s="83" t="n">
        <v>26</v>
      </c>
      <c r="I285" s="83" t="n">
        <v>3</v>
      </c>
      <c r="J285" s="83">
        <f>H285*I285</f>
        <v/>
      </c>
      <c r="K285" s="83" t="n">
        <v>110083600</v>
      </c>
      <c r="L285" s="83" t="n">
        <v>1411328.205128205</v>
      </c>
      <c r="M285" s="83">
        <f>J285-Q285</f>
        <v/>
      </c>
      <c r="N285" s="83">
        <f>K285-R285</f>
        <v/>
      </c>
      <c r="O285" s="517" t="n">
        <v>45465</v>
      </c>
      <c r="P285" s="517" t="n">
        <v>46559</v>
      </c>
      <c r="Q285" s="83" t="n">
        <v>52</v>
      </c>
      <c r="R285" s="84" t="n">
        <v>73389066.66666667</v>
      </c>
      <c r="S285" s="83" t="n">
        <v>0</v>
      </c>
      <c r="T285" s="84" t="n">
        <v>0</v>
      </c>
      <c r="U285" s="83" t="n">
        <v>26</v>
      </c>
      <c r="V285" s="84">
        <f>U285*L285</f>
        <v/>
      </c>
      <c r="W285" s="83">
        <f>Q285+S285-U285</f>
        <v/>
      </c>
      <c r="X285" s="84">
        <f>R285+T285-V285</f>
        <v/>
      </c>
      <c r="Y285" s="85" t="inlineStr">
        <is>
          <t>P221ZZKI01</t>
        </is>
      </c>
      <c r="Z285" s="86" t="inlineStr">
        <is>
          <t>15661</t>
        </is>
      </c>
      <c r="AA285" s="86" t="inlineStr">
        <is>
          <t>33561</t>
        </is>
      </c>
      <c r="AB285" s="86" t="inlineStr">
        <is>
          <t>6277651</t>
        </is>
      </c>
      <c r="AC285" s="86" t="inlineStr">
        <is>
          <t>Kids</t>
        </is>
      </c>
      <c r="AD285" s="76">
        <f>COUNTIF('KK1. Movies'!AI:AI,'TK 15661.Bản quyền phim '!F285)</f>
        <v/>
      </c>
      <c r="AE285" s="76">
        <f>COUNTIF('KK2. Series'!AM:AM,'TK 15661.Bản quyền phim '!F285)</f>
        <v/>
      </c>
      <c r="AF285" s="76">
        <f>COUNTIF('KK3. Kids'!AF:AF,'TK 15661.Bản quyền phim '!F285)</f>
        <v/>
      </c>
      <c r="AG285" s="76" t="n"/>
      <c r="AH285" s="76">
        <f>IF(SUM(AD285:AG285)&gt;0,"OK",0)</f>
        <v/>
      </c>
    </row>
    <row r="286" hidden="1" ht="15.6" customHeight="1" s="578">
      <c r="A286" s="30">
        <f>(U286-H286)*L286</f>
        <v/>
      </c>
      <c r="B286" s="74" t="inlineStr">
        <is>
          <t>K+2SER024162</t>
        </is>
      </c>
      <c r="C286" s="708" t="inlineStr">
        <is>
          <t>USD</t>
        </is>
      </c>
      <c r="D286" s="708" t="inlineStr">
        <is>
          <t>S0002531</t>
        </is>
      </c>
      <c r="E286" s="708" t="inlineStr">
        <is>
          <t>NEW CLASSICS TELEVISION ENTERTAINMENT INVESTMENT CO.LTD.</t>
        </is>
      </c>
      <c r="F286" s="708" t="inlineStr">
        <is>
          <t>The tale of Rose (Câu chuyện Hoa Hồng)</t>
        </is>
      </c>
      <c r="G286" s="708" t="inlineStr">
        <is>
          <t>Series Asian</t>
        </is>
      </c>
      <c r="H286" s="83" t="n">
        <v>38</v>
      </c>
      <c r="I286" s="83" t="n">
        <v>5</v>
      </c>
      <c r="J286" s="83">
        <f>H286*I286</f>
        <v/>
      </c>
      <c r="K286" s="83" t="n">
        <v>3217341800</v>
      </c>
      <c r="L286" s="83" t="n">
        <v>16933377.89473685</v>
      </c>
      <c r="M286" s="83">
        <f>J286-Q286</f>
        <v/>
      </c>
      <c r="N286" s="83">
        <f>K286-R286</f>
        <v/>
      </c>
      <c r="O286" s="517" t="n">
        <v>45451</v>
      </c>
      <c r="P286" s="517" t="n">
        <v>47276</v>
      </c>
      <c r="Q286" s="83" t="n">
        <v>152</v>
      </c>
      <c r="R286" s="84" t="n">
        <v>2573873440</v>
      </c>
      <c r="S286" s="83" t="n">
        <v>0</v>
      </c>
      <c r="T286" s="84" t="n">
        <v>0</v>
      </c>
      <c r="U286" s="83" t="n">
        <v>38</v>
      </c>
      <c r="V286" s="84">
        <f>U286*L286</f>
        <v/>
      </c>
      <c r="W286" s="83">
        <f>Q286+S286-U286</f>
        <v/>
      </c>
      <c r="X286" s="84">
        <f>R286+T286-V286</f>
        <v/>
      </c>
      <c r="Y286" s="85" t="inlineStr">
        <is>
          <t>P221ZZSR01</t>
        </is>
      </c>
      <c r="Z286" s="86" t="inlineStr">
        <is>
          <t>15661</t>
        </is>
      </c>
      <c r="AA286" s="86" t="inlineStr">
        <is>
          <t>33561</t>
        </is>
      </c>
      <c r="AB286" s="86" t="inlineStr">
        <is>
          <t>6277651</t>
        </is>
      </c>
      <c r="AC286" s="87" t="inlineStr">
        <is>
          <t>Series</t>
        </is>
      </c>
      <c r="AD286" s="76">
        <f>COUNTIF('KK1. Movies'!AI:AI,'TK 15661.Bản quyền phim '!F286)</f>
        <v/>
      </c>
      <c r="AE286" s="76">
        <f>COUNTIF('KK2. Series'!AM:AM,'TK 15661.Bản quyền phim '!F286)</f>
        <v/>
      </c>
      <c r="AF286" s="76">
        <f>COUNTIF('KK3. Kids'!AF:AF,'TK 15661.Bản quyền phim '!F286)</f>
        <v/>
      </c>
      <c r="AG286" s="76" t="n"/>
      <c r="AH286" s="76">
        <f>IF(SUM(AD286:AG286)&gt;0,"OK",0)</f>
        <v/>
      </c>
    </row>
    <row r="287" hidden="1" ht="15.6" customHeight="1" s="578">
      <c r="A287" s="30">
        <f>(U287-H287)*L287</f>
        <v/>
      </c>
      <c r="B287" s="74" t="inlineStr">
        <is>
          <t>K+2SER024211</t>
        </is>
      </c>
      <c r="C287" s="708" t="inlineStr">
        <is>
          <t>USD</t>
        </is>
      </c>
      <c r="D287" s="708" t="inlineStr">
        <is>
          <t>S0002550</t>
        </is>
      </c>
      <c r="E287" s="708" t="inlineStr">
        <is>
          <t>SHANGHAI YOUHUG MEDIA CO., LTD.</t>
        </is>
      </c>
      <c r="F287" s="708" t="inlineStr">
        <is>
          <t>The Legend of Heroes - Hot Blooded (Thiết Huyết Đan Tâm)</t>
        </is>
      </c>
      <c r="G287" s="708" t="inlineStr">
        <is>
          <t>Series Asian</t>
        </is>
      </c>
      <c r="H287" s="83" t="n">
        <v>30</v>
      </c>
      <c r="I287" s="83" t="n">
        <v>5</v>
      </c>
      <c r="J287" s="83">
        <f>H287*I287</f>
        <v/>
      </c>
      <c r="K287" s="83" t="n">
        <v>2540000000</v>
      </c>
      <c r="L287" s="83" t="n">
        <v>16933333.33333333</v>
      </c>
      <c r="M287" s="83">
        <f>J287-Q287</f>
        <v/>
      </c>
      <c r="N287" s="83">
        <f>K287-R287</f>
        <v/>
      </c>
      <c r="O287" s="517" t="n">
        <v>45460</v>
      </c>
      <c r="P287" s="517" t="n">
        <v>47285</v>
      </c>
      <c r="Q287" s="83" t="n">
        <v>120</v>
      </c>
      <c r="R287" s="84" t="n">
        <v>2032000000</v>
      </c>
      <c r="S287" s="83" t="n">
        <v>0</v>
      </c>
      <c r="T287" s="84" t="n">
        <v>0</v>
      </c>
      <c r="U287" s="83" t="n">
        <v>30</v>
      </c>
      <c r="V287" s="84">
        <f>U287*L287</f>
        <v/>
      </c>
      <c r="W287" s="83">
        <f>Q287+S287-U287</f>
        <v/>
      </c>
      <c r="X287" s="84">
        <f>R287+T287-V287</f>
        <v/>
      </c>
      <c r="Y287" s="85" t="inlineStr">
        <is>
          <t>P221ZZSR01</t>
        </is>
      </c>
      <c r="Z287" s="86" t="inlineStr">
        <is>
          <t>15661</t>
        </is>
      </c>
      <c r="AA287" s="86" t="inlineStr">
        <is>
          <t>33561</t>
        </is>
      </c>
      <c r="AB287" s="86" t="inlineStr">
        <is>
          <t>6277651</t>
        </is>
      </c>
      <c r="AC287" s="87" t="inlineStr">
        <is>
          <t>Series</t>
        </is>
      </c>
      <c r="AD287" s="76">
        <f>COUNTIF('KK1. Movies'!AI:AI,'TK 15661.Bản quyền phim '!F287)</f>
        <v/>
      </c>
      <c r="AE287" s="76">
        <f>COUNTIF('KK2. Series'!AM:AM,'TK 15661.Bản quyền phim '!F287)</f>
        <v/>
      </c>
      <c r="AF287" s="76">
        <f>COUNTIF('KK3. Kids'!AF:AF,'TK 15661.Bản quyền phim '!F287)</f>
        <v/>
      </c>
      <c r="AG287" s="76" t="n"/>
      <c r="AH287" s="76">
        <f>IF(SUM(AD287:AG287)&gt;0,"OK",0)</f>
        <v/>
      </c>
    </row>
    <row r="288" hidden="1" s="578">
      <c r="A288" s="30">
        <f>(U288-H288)*L288</f>
        <v/>
      </c>
      <c r="B288" s="74" t="inlineStr">
        <is>
          <t>K+2SER024216</t>
        </is>
      </c>
      <c r="C288" s="708" t="inlineStr">
        <is>
          <t>USD</t>
        </is>
      </c>
      <c r="D288" s="708" t="inlineStr">
        <is>
          <t>S0002432</t>
        </is>
      </c>
      <c r="E288" s="708" t="inlineStr">
        <is>
          <t>YOUKU INFORMATION TECHNOLOGY(Beijing) CO., LTD.</t>
        </is>
      </c>
      <c r="F288" s="708" t="inlineStr">
        <is>
          <t>WHO IS HE?</t>
        </is>
      </c>
      <c r="G288" s="708" t="inlineStr">
        <is>
          <t>Series Asian</t>
        </is>
      </c>
      <c r="H288" s="83" t="n">
        <v>24</v>
      </c>
      <c r="I288" s="83" t="n">
        <v>4</v>
      </c>
      <c r="J288" s="83">
        <f>H288*I288</f>
        <v/>
      </c>
      <c r="K288" s="83" t="n">
        <v>609600000</v>
      </c>
      <c r="L288" s="83" t="n">
        <v>6350000</v>
      </c>
      <c r="M288" s="83">
        <f>J288-Q288</f>
        <v/>
      </c>
      <c r="N288" s="83">
        <f>K288-R288</f>
        <v/>
      </c>
      <c r="O288" s="517" t="n">
        <v>45614</v>
      </c>
      <c r="P288" s="517" t="n">
        <v>47074</v>
      </c>
      <c r="Q288" s="83" t="n">
        <v>72</v>
      </c>
      <c r="R288" s="84" t="n">
        <v>457200000</v>
      </c>
      <c r="S288" s="83" t="n">
        <v>0</v>
      </c>
      <c r="T288" s="84" t="n">
        <v>0</v>
      </c>
      <c r="U288" s="83" t="n">
        <v>24</v>
      </c>
      <c r="V288" s="84">
        <f>U288*L288</f>
        <v/>
      </c>
      <c r="W288" s="83">
        <f>Q288+S288-U288</f>
        <v/>
      </c>
      <c r="X288" s="84">
        <f>R288+T288-V288</f>
        <v/>
      </c>
      <c r="Y288" s="85" t="inlineStr">
        <is>
          <t>P221ZZSR01</t>
        </is>
      </c>
      <c r="Z288" s="86" t="inlineStr">
        <is>
          <t>15661</t>
        </is>
      </c>
      <c r="AA288" s="86" t="inlineStr">
        <is>
          <t>33561</t>
        </is>
      </c>
      <c r="AB288" s="86" t="inlineStr">
        <is>
          <t>6277651</t>
        </is>
      </c>
      <c r="AC288" s="86" t="n"/>
      <c r="AD288" s="76">
        <f>COUNTIF('KK1. Movies'!AI:AI,'TK 15661.Bản quyền phim '!F288)</f>
        <v/>
      </c>
      <c r="AE288" s="76">
        <f>COUNTIF('KK2. Series'!AM:AM,'TK 15661.Bản quyền phim '!F288)</f>
        <v/>
      </c>
      <c r="AF288" s="76">
        <f>COUNTIF('KK3. Kids'!AF:AF,'TK 15661.Bản quyền phim '!F288)</f>
        <v/>
      </c>
      <c r="AG288" s="76" t="n"/>
      <c r="AH288" s="76">
        <f>IF(SUM(AD288:AG288)&gt;0,"OK",0)</f>
        <v/>
      </c>
    </row>
    <row r="289" hidden="1" ht="15.6" customHeight="1" s="578">
      <c r="A289" s="30">
        <f>(U289-H289)*L289</f>
        <v/>
      </c>
      <c r="B289" s="74" t="inlineStr">
        <is>
          <t>K+1SER024217</t>
        </is>
      </c>
      <c r="C289" s="708" t="inlineStr">
        <is>
          <t>USD</t>
        </is>
      </c>
      <c r="D289" s="708" t="inlineStr">
        <is>
          <t>S0002419</t>
        </is>
      </c>
      <c r="E289" s="708" t="inlineStr">
        <is>
          <t>PCCW Vuclip (Singapore) Pte. Ltd.</t>
        </is>
      </c>
      <c r="F289" s="708" t="inlineStr">
        <is>
          <t>Good Partner</t>
        </is>
      </c>
      <c r="G289" s="708" t="inlineStr">
        <is>
          <t>Series Asian</t>
        </is>
      </c>
      <c r="H289" s="83" t="n">
        <v>16</v>
      </c>
      <c r="I289" s="83" t="n">
        <v>4</v>
      </c>
      <c r="J289" s="83">
        <f>H289*I289</f>
        <v/>
      </c>
      <c r="K289" s="83" t="n">
        <v>1352258215</v>
      </c>
      <c r="L289" s="83" t="n">
        <v>21129034.609375</v>
      </c>
      <c r="M289" s="83">
        <f>J289-Q289</f>
        <v/>
      </c>
      <c r="N289" s="83">
        <f>K289-R289</f>
        <v/>
      </c>
      <c r="O289" s="517" t="n">
        <v>45485</v>
      </c>
      <c r="P289" s="517" t="n">
        <v>46945</v>
      </c>
      <c r="Q289" s="83" t="n">
        <v>48</v>
      </c>
      <c r="R289" s="84" t="n">
        <v>1014193661.25</v>
      </c>
      <c r="S289" s="83" t="n">
        <v>0</v>
      </c>
      <c r="T289" s="84" t="n">
        <v>0</v>
      </c>
      <c r="U289" s="83" t="n">
        <v>16</v>
      </c>
      <c r="V289" s="84">
        <f>U289*L289</f>
        <v/>
      </c>
      <c r="W289" s="83">
        <f>Q289+S289-U289</f>
        <v/>
      </c>
      <c r="X289" s="84">
        <f>R289+T289-V289</f>
        <v/>
      </c>
      <c r="Y289" s="85" t="inlineStr">
        <is>
          <t>P221ZZSR01</t>
        </is>
      </c>
      <c r="Z289" s="86" t="inlineStr">
        <is>
          <t>15661</t>
        </is>
      </c>
      <c r="AA289" s="86" t="inlineStr">
        <is>
          <t>33561</t>
        </is>
      </c>
      <c r="AB289" s="86" t="inlineStr">
        <is>
          <t>6277651</t>
        </is>
      </c>
      <c r="AC289" s="87" t="inlineStr">
        <is>
          <t>Series</t>
        </is>
      </c>
      <c r="AD289" s="76">
        <f>COUNTIF('KK1. Movies'!AI:AI,'TK 15661.Bản quyền phim '!F289)</f>
        <v/>
      </c>
      <c r="AE289" s="76">
        <f>COUNTIF('KK2. Series'!AM:AM,'TK 15661.Bản quyền phim '!F289)</f>
        <v/>
      </c>
      <c r="AF289" s="76">
        <f>COUNTIF('KK3. Kids'!AF:AF,'TK 15661.Bản quyền phim '!F289)</f>
        <v/>
      </c>
      <c r="AG289" s="76" t="n"/>
      <c r="AH289" s="76">
        <f>IF(SUM(AD289:AG289)&gt;0,"OK",0)</f>
        <v/>
      </c>
    </row>
    <row r="290" hidden="1" s="578">
      <c r="A290" s="30">
        <f>(U290-H290)*L290</f>
        <v/>
      </c>
      <c r="B290" s="74" t="inlineStr">
        <is>
          <t>K+5KID024218</t>
        </is>
      </c>
      <c r="C290" s="708" t="inlineStr">
        <is>
          <t>USD</t>
        </is>
      </c>
      <c r="D290" s="708" t="inlineStr">
        <is>
          <t>S0002566</t>
        </is>
      </c>
      <c r="E290" s="708" t="inlineStr">
        <is>
          <t xml:space="preserve">DHX Worldwide Limited </t>
        </is>
      </c>
      <c r="F290" s="708" t="inlineStr">
        <is>
          <t>Inspector Gadget Season 1</t>
        </is>
      </c>
      <c r="G290" s="708" t="inlineStr">
        <is>
          <t>KIDS</t>
        </is>
      </c>
      <c r="H290" s="83" t="n">
        <v>52</v>
      </c>
      <c r="I290" s="83" t="n">
        <v>3</v>
      </c>
      <c r="J290" s="83">
        <f>H290*I290</f>
        <v/>
      </c>
      <c r="K290" s="83" t="n">
        <v>213925140</v>
      </c>
      <c r="L290" s="83" t="n">
        <v>1371315</v>
      </c>
      <c r="M290" s="83">
        <f>J290-Q290</f>
        <v/>
      </c>
      <c r="N290" s="83">
        <f>K290-R290</f>
        <v/>
      </c>
      <c r="O290" s="517" t="n">
        <v>45473</v>
      </c>
      <c r="P290" s="517" t="n">
        <v>46680</v>
      </c>
      <c r="Q290" s="83" t="n">
        <v>104</v>
      </c>
      <c r="R290" s="84" t="n">
        <v>142616760</v>
      </c>
      <c r="S290" s="83" t="n">
        <v>0</v>
      </c>
      <c r="T290" s="84" t="n">
        <v>0</v>
      </c>
      <c r="U290" s="83" t="n">
        <v>52</v>
      </c>
      <c r="V290" s="84">
        <f>U290*L290</f>
        <v/>
      </c>
      <c r="W290" s="83">
        <f>Q290+S290-U290</f>
        <v/>
      </c>
      <c r="X290" s="84">
        <f>R290+T290-V290</f>
        <v/>
      </c>
      <c r="Y290" s="85" t="inlineStr">
        <is>
          <t>P221ZZKI01</t>
        </is>
      </c>
      <c r="Z290" s="86" t="inlineStr">
        <is>
          <t>15661</t>
        </is>
      </c>
      <c r="AA290" s="86" t="inlineStr">
        <is>
          <t>33561</t>
        </is>
      </c>
      <c r="AB290" s="86" t="inlineStr">
        <is>
          <t>6277651</t>
        </is>
      </c>
      <c r="AC290" s="86" t="inlineStr">
        <is>
          <t>Kids</t>
        </is>
      </c>
      <c r="AD290" s="76">
        <f>COUNTIF('KK1. Movies'!AI:AI,'TK 15661.Bản quyền phim '!F290)</f>
        <v/>
      </c>
      <c r="AE290" s="76">
        <f>COUNTIF('KK2. Series'!AM:AM,'TK 15661.Bản quyền phim '!F290)</f>
        <v/>
      </c>
      <c r="AF290" s="76">
        <f>COUNTIF('KK3. Kids'!AF:AF,'TK 15661.Bản quyền phim '!F290)</f>
        <v/>
      </c>
      <c r="AG290" s="76" t="n"/>
      <c r="AH290" s="76">
        <f>IF(SUM(AD290:AG290)&gt;0,"OK",0)</f>
        <v/>
      </c>
    </row>
    <row r="291" hidden="1" ht="15.6" customHeight="1" s="578">
      <c r="A291" s="30">
        <f>(U291-H291)*L291</f>
        <v/>
      </c>
      <c r="B291" s="74" t="inlineStr">
        <is>
          <t>K+1SER024219</t>
        </is>
      </c>
      <c r="C291" s="708" t="inlineStr">
        <is>
          <t>USD</t>
        </is>
      </c>
      <c r="D291" s="708" t="inlineStr">
        <is>
          <t>S0002419</t>
        </is>
      </c>
      <c r="E291" s="708" t="inlineStr">
        <is>
          <t>PCCW Vuclip (Singapore) Pte. Ltd.</t>
        </is>
      </c>
      <c r="F291" s="708" t="inlineStr">
        <is>
          <t>Family by Choice</t>
        </is>
      </c>
      <c r="G291" s="708" t="inlineStr">
        <is>
          <t>Series Asian</t>
        </is>
      </c>
      <c r="H291" s="83" t="n">
        <v>16</v>
      </c>
      <c r="I291" s="83" t="n">
        <v>4</v>
      </c>
      <c r="J291" s="83">
        <f>H291*I291</f>
        <v/>
      </c>
      <c r="K291" s="83" t="n">
        <v>3546021126</v>
      </c>
      <c r="L291" s="83" t="n">
        <v>55406580.09375</v>
      </c>
      <c r="M291" s="83">
        <f>J291-Q291</f>
        <v/>
      </c>
      <c r="N291" s="83">
        <f>K291-R291</f>
        <v/>
      </c>
      <c r="O291" s="517" t="n">
        <v>45566</v>
      </c>
      <c r="P291" s="517" t="n">
        <v>47026</v>
      </c>
      <c r="Q291" s="83" t="n">
        <v>48</v>
      </c>
      <c r="R291" s="84" t="n">
        <v>2659515844.5</v>
      </c>
      <c r="S291" s="83" t="n">
        <v>0</v>
      </c>
      <c r="T291" s="84" t="n">
        <v>0</v>
      </c>
      <c r="U291" s="83" t="n">
        <v>16</v>
      </c>
      <c r="V291" s="84">
        <f>U291*L291</f>
        <v/>
      </c>
      <c r="W291" s="83">
        <f>Q291+S291-U291</f>
        <v/>
      </c>
      <c r="X291" s="84">
        <f>R291+T291-V291</f>
        <v/>
      </c>
      <c r="Y291" s="85" t="inlineStr">
        <is>
          <t>P221ZZSR01</t>
        </is>
      </c>
      <c r="Z291" s="86" t="inlineStr">
        <is>
          <t>15661</t>
        </is>
      </c>
      <c r="AA291" s="86" t="inlineStr">
        <is>
          <t>33561</t>
        </is>
      </c>
      <c r="AB291" s="86" t="inlineStr">
        <is>
          <t>6277651</t>
        </is>
      </c>
      <c r="AC291" s="87" t="inlineStr">
        <is>
          <t>Series</t>
        </is>
      </c>
      <c r="AD291" s="76">
        <f>COUNTIF('KK1. Movies'!AI:AI,'TK 15661.Bản quyền phim '!F291)</f>
        <v/>
      </c>
      <c r="AE291" s="76">
        <f>COUNTIF('KK2. Series'!AM:AM,'TK 15661.Bản quyền phim '!F291)</f>
        <v/>
      </c>
      <c r="AF291" s="76">
        <f>COUNTIF('KK3. Kids'!AF:AF,'TK 15661.Bản quyền phim '!F291)</f>
        <v/>
      </c>
      <c r="AG291" s="76" t="n"/>
      <c r="AH291" s="76">
        <f>IF(SUM(AD291:AG291)&gt;0,"OK",0)</f>
        <v/>
      </c>
    </row>
    <row r="292" hidden="1" ht="15.6" customHeight="1" s="578">
      <c r="A292" s="30">
        <f>(U292-H292)*L292</f>
        <v/>
      </c>
      <c r="B292" s="74" t="inlineStr">
        <is>
          <t>K+2SER024220</t>
        </is>
      </c>
      <c r="C292" s="708" t="inlineStr">
        <is>
          <t>USD</t>
        </is>
      </c>
      <c r="D292" s="708" t="inlineStr">
        <is>
          <t>S0002419</t>
        </is>
      </c>
      <c r="E292" s="708" t="inlineStr">
        <is>
          <t>PCCW Vuclip (Singapore) Pte. Ltd.</t>
        </is>
      </c>
      <c r="F292" s="708" t="inlineStr">
        <is>
          <t>Perfect Family</t>
        </is>
      </c>
      <c r="G292" s="708" t="inlineStr">
        <is>
          <t>Series Asian</t>
        </is>
      </c>
      <c r="H292" s="83" t="n">
        <v>12</v>
      </c>
      <c r="I292" s="83" t="n">
        <v>4</v>
      </c>
      <c r="J292" s="83">
        <f>H292*I292</f>
        <v/>
      </c>
      <c r="K292" s="83" t="n">
        <v>997320000</v>
      </c>
      <c r="L292" s="83" t="n">
        <v>20777500</v>
      </c>
      <c r="M292" s="83">
        <f>J292-Q292</f>
        <v/>
      </c>
      <c r="N292" s="83">
        <f>K292-R292</f>
        <v/>
      </c>
      <c r="O292" s="517" t="n">
        <v>45518</v>
      </c>
      <c r="P292" s="517" t="n">
        <v>46978</v>
      </c>
      <c r="Q292" s="83" t="n">
        <v>36</v>
      </c>
      <c r="R292" s="84" t="n">
        <v>747990000</v>
      </c>
      <c r="S292" s="83" t="n">
        <v>0</v>
      </c>
      <c r="T292" s="84" t="n">
        <v>0</v>
      </c>
      <c r="U292" s="83" t="n">
        <v>12</v>
      </c>
      <c r="V292" s="84">
        <f>U292*L292</f>
        <v/>
      </c>
      <c r="W292" s="83">
        <f>Q292+S292-U292</f>
        <v/>
      </c>
      <c r="X292" s="84">
        <f>R292+T292-V292</f>
        <v/>
      </c>
      <c r="Y292" s="85" t="inlineStr">
        <is>
          <t>P221ZZSR01</t>
        </is>
      </c>
      <c r="Z292" s="86" t="inlineStr">
        <is>
          <t>15661</t>
        </is>
      </c>
      <c r="AA292" s="86" t="inlineStr">
        <is>
          <t>33561</t>
        </is>
      </c>
      <c r="AB292" s="86" t="inlineStr">
        <is>
          <t>6277651</t>
        </is>
      </c>
      <c r="AC292" s="87" t="inlineStr">
        <is>
          <t>Series</t>
        </is>
      </c>
      <c r="AD292" s="76">
        <f>COUNTIF('KK1. Movies'!AI:AI,'TK 15661.Bản quyền phim '!F292)</f>
        <v/>
      </c>
      <c r="AE292" s="76">
        <f>COUNTIF('KK2. Series'!AM:AM,'TK 15661.Bản quyền phim '!F292)</f>
        <v/>
      </c>
      <c r="AF292" s="76">
        <f>COUNTIF('KK3. Kids'!AF:AF,'TK 15661.Bản quyền phim '!F292)</f>
        <v/>
      </c>
      <c r="AG292" s="76" t="n"/>
      <c r="AH292" s="76">
        <f>IF(SUM(AD292:AG292)&gt;0,"OK",0)</f>
        <v/>
      </c>
    </row>
    <row r="293" hidden="1" ht="15.6" customHeight="1" s="578">
      <c r="A293" s="30">
        <f>(U293-H293)*L293</f>
        <v/>
      </c>
      <c r="B293" s="74" t="inlineStr">
        <is>
          <t>K+1SER024221</t>
        </is>
      </c>
      <c r="C293" s="708" t="inlineStr">
        <is>
          <t>USD</t>
        </is>
      </c>
      <c r="D293" s="708" t="inlineStr">
        <is>
          <t>S0002419</t>
        </is>
      </c>
      <c r="E293" s="708" t="inlineStr">
        <is>
          <t>PCCW Vuclip (Singapore) Pte. Ltd.</t>
        </is>
      </c>
      <c r="F293" s="708" t="inlineStr">
        <is>
          <t>Cinderella at 2AM</t>
        </is>
      </c>
      <c r="G293" s="708" t="inlineStr">
        <is>
          <t>Series Asian</t>
        </is>
      </c>
      <c r="H293" s="83" t="n">
        <v>10</v>
      </c>
      <c r="I293" s="83" t="n">
        <v>4</v>
      </c>
      <c r="J293" s="83">
        <f>H293*I293</f>
        <v/>
      </c>
      <c r="K293" s="83" t="n">
        <v>831091689</v>
      </c>
      <c r="L293" s="83" t="n">
        <v>20777292.225</v>
      </c>
      <c r="M293" s="83">
        <f>J293-Q293</f>
        <v/>
      </c>
      <c r="N293" s="83">
        <f>K293-R293</f>
        <v/>
      </c>
      <c r="O293" s="517" t="n">
        <v>45528</v>
      </c>
      <c r="P293" s="517" t="n">
        <v>46988</v>
      </c>
      <c r="Q293" s="83" t="n">
        <v>30</v>
      </c>
      <c r="R293" s="84" t="n">
        <v>623318766.75</v>
      </c>
      <c r="S293" s="83" t="n">
        <v>0</v>
      </c>
      <c r="T293" s="84" t="n">
        <v>0</v>
      </c>
      <c r="U293" s="83" t="n">
        <v>10</v>
      </c>
      <c r="V293" s="84">
        <f>U293*L293</f>
        <v/>
      </c>
      <c r="W293" s="83">
        <f>Q293+S293-U293</f>
        <v/>
      </c>
      <c r="X293" s="84">
        <f>R293+T293-V293</f>
        <v/>
      </c>
      <c r="Y293" s="85" t="inlineStr">
        <is>
          <t>P221ZZSR01</t>
        </is>
      </c>
      <c r="Z293" s="86" t="inlineStr">
        <is>
          <t>15661</t>
        </is>
      </c>
      <c r="AA293" s="86" t="inlineStr">
        <is>
          <t>33561</t>
        </is>
      </c>
      <c r="AB293" s="86" t="inlineStr">
        <is>
          <t>6277651</t>
        </is>
      </c>
      <c r="AC293" s="87" t="inlineStr">
        <is>
          <t>Series</t>
        </is>
      </c>
      <c r="AD293" s="76">
        <f>COUNTIF('KK1. Movies'!AI:AI,'TK 15661.Bản quyền phim '!F293)</f>
        <v/>
      </c>
      <c r="AE293" s="76">
        <f>COUNTIF('KK2. Series'!AM:AM,'TK 15661.Bản quyền phim '!F293)</f>
        <v/>
      </c>
      <c r="AF293" s="76">
        <f>COUNTIF('KK3. Kids'!AF:AF,'TK 15661.Bản quyền phim '!F293)</f>
        <v/>
      </c>
      <c r="AG293" s="76" t="n"/>
      <c r="AH293" s="76">
        <f>IF(SUM(AD293:AG293)&gt;0,"OK",0)</f>
        <v/>
      </c>
    </row>
    <row r="294" hidden="1" ht="15.6" customHeight="1" s="578">
      <c r="A294" s="31" t="n"/>
      <c r="B294" s="74" t="inlineStr">
        <is>
          <t>K+1MOV024222</t>
        </is>
      </c>
      <c r="C294" s="708" t="inlineStr">
        <is>
          <t>VND</t>
        </is>
      </c>
      <c r="D294" s="708" t="inlineStr">
        <is>
          <t>S0002365</t>
        </is>
      </c>
      <c r="E294" s="708" t="inlineStr">
        <is>
          <t>CÔNG TY CỔ PHẦN TRUYỀN THÔNG HỎA THỔ</t>
        </is>
      </c>
      <c r="F294" s="708" t="inlineStr">
        <is>
          <t>The Billionaire (Thiếu niên bạc tỷ)</t>
        </is>
      </c>
      <c r="G294" s="708" t="inlineStr">
        <is>
          <t>Movies International</t>
        </is>
      </c>
      <c r="H294" s="83" t="n">
        <v>1</v>
      </c>
      <c r="I294" s="83" t="n">
        <v>3</v>
      </c>
      <c r="J294" s="83">
        <f>H294*I294</f>
        <v/>
      </c>
      <c r="K294" s="83" t="n">
        <v>101213810</v>
      </c>
      <c r="L294" s="83" t="n">
        <v>33737936.66666666</v>
      </c>
      <c r="M294" s="83">
        <f>J294-Q294</f>
        <v/>
      </c>
      <c r="N294" s="83">
        <f>K294-R294</f>
        <v/>
      </c>
      <c r="O294" s="517" t="n">
        <v>45560</v>
      </c>
      <c r="P294" s="517" t="n">
        <v>46654</v>
      </c>
      <c r="Q294" s="83" t="n">
        <v>2</v>
      </c>
      <c r="R294" s="84" t="n">
        <v>67475873.33333334</v>
      </c>
      <c r="S294" s="83" t="n">
        <v>0</v>
      </c>
      <c r="T294" s="84" t="n">
        <v>0</v>
      </c>
      <c r="U294" s="83" t="n">
        <v>1</v>
      </c>
      <c r="V294" s="84">
        <f>U294*L294</f>
        <v/>
      </c>
      <c r="W294" s="83">
        <f>Q294+S294-U294</f>
        <v/>
      </c>
      <c r="X294" s="84">
        <f>R294+T294-V294</f>
        <v/>
      </c>
      <c r="Y294" s="85" t="inlineStr">
        <is>
          <t>P221ZZMO01</t>
        </is>
      </c>
      <c r="Z294" s="86" t="inlineStr">
        <is>
          <t>15661</t>
        </is>
      </c>
      <c r="AA294" s="86" t="inlineStr">
        <is>
          <t>33561</t>
        </is>
      </c>
      <c r="AB294" s="86" t="inlineStr">
        <is>
          <t>6277651</t>
        </is>
      </c>
      <c r="AC294" s="87" t="inlineStr">
        <is>
          <t>Movies</t>
        </is>
      </c>
      <c r="AD294" s="76">
        <f>COUNTIF('KK1. Movies'!AI:AI,'TK 15661.Bản quyền phim '!F294)</f>
        <v/>
      </c>
      <c r="AE294" s="76">
        <f>COUNTIF('KK2. Series'!AM:AM,'TK 15661.Bản quyền phim '!F294)</f>
        <v/>
      </c>
      <c r="AF294" s="76">
        <f>COUNTIF('KK3. Kids'!AF:AF,'TK 15661.Bản quyền phim '!F294)</f>
        <v/>
      </c>
      <c r="AG294" s="76" t="n"/>
      <c r="AH294" s="76">
        <f>IF(SUM(AD294:AG294)&gt;0,"OK",0)</f>
        <v/>
      </c>
    </row>
    <row r="295" hidden="1" ht="15.6" customHeight="1" s="578">
      <c r="A295" s="31" t="n"/>
      <c r="B295" s="74" t="inlineStr">
        <is>
          <t>K+1MOV024223</t>
        </is>
      </c>
      <c r="C295" s="708" t="inlineStr">
        <is>
          <t>VND</t>
        </is>
      </c>
      <c r="D295" s="708" t="inlineStr">
        <is>
          <t>S0002365</t>
        </is>
      </c>
      <c r="E295" s="708" t="inlineStr">
        <is>
          <t>CÔNG TY CỔ PHẦN TRUYỀN THÔNG HỎA THỔ</t>
        </is>
      </c>
      <c r="F295" s="708" t="inlineStr">
        <is>
          <t>Iceman (Người Băng)</t>
        </is>
      </c>
      <c r="G295" s="708" t="inlineStr">
        <is>
          <t>Movies International</t>
        </is>
      </c>
      <c r="H295" s="83" t="n">
        <v>1</v>
      </c>
      <c r="I295" s="83" t="n">
        <v>3</v>
      </c>
      <c r="J295" s="83">
        <f>H295*I295</f>
        <v/>
      </c>
      <c r="K295" s="83" t="n">
        <v>101213810</v>
      </c>
      <c r="L295" s="83" t="n">
        <v>33737936.66666666</v>
      </c>
      <c r="M295" s="83">
        <f>J295-Q295</f>
        <v/>
      </c>
      <c r="N295" s="83">
        <f>K295-R295</f>
        <v/>
      </c>
      <c r="O295" s="517" t="n">
        <v>45520</v>
      </c>
      <c r="P295" s="517" t="n">
        <v>46614</v>
      </c>
      <c r="Q295" s="83" t="n">
        <v>2</v>
      </c>
      <c r="R295" s="84" t="n">
        <v>67475873.33333334</v>
      </c>
      <c r="S295" s="83" t="n">
        <v>0</v>
      </c>
      <c r="T295" s="84" t="n">
        <v>0</v>
      </c>
      <c r="U295" s="83" t="n">
        <v>1</v>
      </c>
      <c r="V295" s="84">
        <f>U295*L295</f>
        <v/>
      </c>
      <c r="W295" s="83">
        <f>Q295+S295-U295</f>
        <v/>
      </c>
      <c r="X295" s="84">
        <f>R295+T295-V295</f>
        <v/>
      </c>
      <c r="Y295" s="85" t="inlineStr">
        <is>
          <t>P221ZZMO01</t>
        </is>
      </c>
      <c r="Z295" s="86" t="inlineStr">
        <is>
          <t>15661</t>
        </is>
      </c>
      <c r="AA295" s="86" t="inlineStr">
        <is>
          <t>33561</t>
        </is>
      </c>
      <c r="AB295" s="86" t="inlineStr">
        <is>
          <t>6277651</t>
        </is>
      </c>
      <c r="AC295" s="87" t="inlineStr">
        <is>
          <t>Movies</t>
        </is>
      </c>
      <c r="AD295" s="76">
        <f>COUNTIF('KK1. Movies'!AI:AI,'TK 15661.Bản quyền phim '!F295)</f>
        <v/>
      </c>
      <c r="AE295" s="76">
        <f>COUNTIF('KK2. Series'!AM:AM,'TK 15661.Bản quyền phim '!F295)</f>
        <v/>
      </c>
      <c r="AF295" s="76">
        <f>COUNTIF('KK3. Kids'!AF:AF,'TK 15661.Bản quyền phim '!F295)</f>
        <v/>
      </c>
      <c r="AG295" s="76" t="n"/>
      <c r="AH295" s="76">
        <f>IF(SUM(AD295:AG295)&gt;0,"OK",0)</f>
        <v/>
      </c>
    </row>
    <row r="296" hidden="1" ht="15.6" customHeight="1" s="578">
      <c r="A296" s="30">
        <f>(U296-H296)*L296</f>
        <v/>
      </c>
      <c r="B296" s="74" t="inlineStr">
        <is>
          <t>K+1SER024224</t>
        </is>
      </c>
      <c r="C296" s="708" t="inlineStr">
        <is>
          <t>USD</t>
        </is>
      </c>
      <c r="D296" s="708" t="inlineStr">
        <is>
          <t>S0002419</t>
        </is>
      </c>
      <c r="E296" s="708" t="inlineStr">
        <is>
          <t>PCCW Vuclip (Singapore) Pte. Ltd.</t>
        </is>
      </c>
      <c r="F296" s="708" t="inlineStr">
        <is>
          <t>What Comes After Love</t>
        </is>
      </c>
      <c r="G296" s="708" t="inlineStr">
        <is>
          <t>Series Asian</t>
        </is>
      </c>
      <c r="H296" s="83" t="n">
        <v>6</v>
      </c>
      <c r="I296" s="83" t="n">
        <v>4</v>
      </c>
      <c r="J296" s="83">
        <f>H296*I296</f>
        <v/>
      </c>
      <c r="K296" s="83" t="n">
        <v>490700000</v>
      </c>
      <c r="L296" s="83" t="n">
        <v>20445833.33333334</v>
      </c>
      <c r="M296" s="83">
        <f>J296-Q296</f>
        <v/>
      </c>
      <c r="N296" s="83">
        <f>K296-R296</f>
        <v/>
      </c>
      <c r="O296" s="517" t="n">
        <v>45562</v>
      </c>
      <c r="P296" s="517" t="n">
        <v>47022</v>
      </c>
      <c r="Q296" s="83" t="n">
        <v>18</v>
      </c>
      <c r="R296" s="84" t="n">
        <v>368025000</v>
      </c>
      <c r="S296" s="83" t="n">
        <v>0</v>
      </c>
      <c r="T296" s="84" t="n">
        <v>0</v>
      </c>
      <c r="U296" s="83" t="n">
        <v>6</v>
      </c>
      <c r="V296" s="84">
        <f>U296*L296</f>
        <v/>
      </c>
      <c r="W296" s="83">
        <f>Q296+S296-U296</f>
        <v/>
      </c>
      <c r="X296" s="84">
        <f>R296+T296-V296</f>
        <v/>
      </c>
      <c r="Y296" s="85" t="inlineStr">
        <is>
          <t>P221ZZSR01</t>
        </is>
      </c>
      <c r="Z296" s="86" t="inlineStr">
        <is>
          <t>15661</t>
        </is>
      </c>
      <c r="AA296" s="86" t="inlineStr">
        <is>
          <t>33561</t>
        </is>
      </c>
      <c r="AB296" s="86" t="inlineStr">
        <is>
          <t>6277651</t>
        </is>
      </c>
      <c r="AC296" s="87" t="inlineStr">
        <is>
          <t>Series</t>
        </is>
      </c>
      <c r="AD296" s="76">
        <f>COUNTIF('KK1. Movies'!AI:AI,'TK 15661.Bản quyền phim '!F296)</f>
        <v/>
      </c>
      <c r="AE296" s="76">
        <f>COUNTIF('KK2. Series'!AM:AM,'TK 15661.Bản quyền phim '!F296)</f>
        <v/>
      </c>
      <c r="AF296" s="76">
        <f>COUNTIF('KK3. Kids'!AF:AF,'TK 15661.Bản quyền phim '!F296)</f>
        <v/>
      </c>
      <c r="AG296" s="76" t="n"/>
      <c r="AH296" s="76">
        <f>IF(SUM(AD296:AG296)&gt;0,"OK",0)</f>
        <v/>
      </c>
    </row>
    <row r="297" hidden="1" ht="15.6" customHeight="1" s="578">
      <c r="A297" s="30">
        <f>(U297-H297)*L297</f>
        <v/>
      </c>
      <c r="B297" s="74" t="inlineStr">
        <is>
          <t>K+1SER024225</t>
        </is>
      </c>
      <c r="C297" s="708" t="inlineStr">
        <is>
          <t>USD</t>
        </is>
      </c>
      <c r="D297" s="708" t="inlineStr">
        <is>
          <t>S0002419</t>
        </is>
      </c>
      <c r="E297" s="708" t="inlineStr">
        <is>
          <t>PCCW Vuclip (Singapore) Pte. Ltd.</t>
        </is>
      </c>
      <c r="F297" s="708" t="inlineStr">
        <is>
          <t>Brewing Love</t>
        </is>
      </c>
      <c r="G297" s="708" t="inlineStr">
        <is>
          <t>Series Asian</t>
        </is>
      </c>
      <c r="H297" s="83" t="n">
        <v>12</v>
      </c>
      <c r="I297" s="83" t="n">
        <v>4</v>
      </c>
      <c r="J297" s="83">
        <f>H297*I297</f>
        <v/>
      </c>
      <c r="K297" s="83" t="n">
        <v>981400000</v>
      </c>
      <c r="L297" s="83" t="n">
        <v>20445833.33333334</v>
      </c>
      <c r="M297" s="83">
        <f>J297-Q297</f>
        <v/>
      </c>
      <c r="N297" s="83">
        <f>K297-R297</f>
        <v/>
      </c>
      <c r="O297" s="517" t="n">
        <v>45598</v>
      </c>
      <c r="P297" s="517" t="n">
        <v>47058</v>
      </c>
      <c r="Q297" s="83" t="n">
        <v>36</v>
      </c>
      <c r="R297" s="84" t="n">
        <v>736050000</v>
      </c>
      <c r="S297" s="83" t="n">
        <v>0</v>
      </c>
      <c r="T297" s="84" t="n">
        <v>0</v>
      </c>
      <c r="U297" s="83" t="n">
        <v>12</v>
      </c>
      <c r="V297" s="84">
        <f>U297*L297</f>
        <v/>
      </c>
      <c r="W297" s="83">
        <f>Q297+S297-U297</f>
        <v/>
      </c>
      <c r="X297" s="84">
        <f>R297+T297-V297</f>
        <v/>
      </c>
      <c r="Y297" s="85" t="inlineStr">
        <is>
          <t>P221ZZSR01</t>
        </is>
      </c>
      <c r="Z297" s="86" t="inlineStr">
        <is>
          <t>15661</t>
        </is>
      </c>
      <c r="AA297" s="86" t="inlineStr">
        <is>
          <t>33561</t>
        </is>
      </c>
      <c r="AB297" s="86" t="inlineStr">
        <is>
          <t>6277651</t>
        </is>
      </c>
      <c r="AC297" s="87" t="inlineStr">
        <is>
          <t>Series</t>
        </is>
      </c>
      <c r="AD297" s="76">
        <f>COUNTIF('KK1. Movies'!AI:AI,'TK 15661.Bản quyền phim '!F297)</f>
        <v/>
      </c>
      <c r="AE297" s="76">
        <f>COUNTIF('KK2. Series'!AM:AM,'TK 15661.Bản quyền phim '!F297)</f>
        <v/>
      </c>
      <c r="AF297" s="76">
        <f>COUNTIF('KK3. Kids'!AF:AF,'TK 15661.Bản quyền phim '!F297)</f>
        <v/>
      </c>
      <c r="AG297" s="76" t="n"/>
      <c r="AH297" s="76">
        <f>IF(SUM(AD297:AG297)&gt;0,"OK",0)</f>
        <v/>
      </c>
    </row>
    <row r="298" hidden="1" ht="15.6" customHeight="1" s="578">
      <c r="A298" s="30">
        <f>(U298-H298)*L298</f>
        <v/>
      </c>
      <c r="B298" s="74" t="inlineStr">
        <is>
          <t>K+2SER024226</t>
        </is>
      </c>
      <c r="C298" s="708" t="inlineStr">
        <is>
          <t>USD</t>
        </is>
      </c>
      <c r="D298" s="708" t="inlineStr">
        <is>
          <t>S0002505</t>
        </is>
      </c>
      <c r="E298" s="708" t="inlineStr">
        <is>
          <t>Linmon Media International Co., Limited</t>
        </is>
      </c>
      <c r="F298" s="708" t="inlineStr">
        <is>
          <t>IN BETWEEN (Nửa thân quen, nửa xa lạ)</t>
        </is>
      </c>
      <c r="G298" s="708" t="inlineStr">
        <is>
          <t>Series Asian</t>
        </is>
      </c>
      <c r="H298" s="83" t="n">
        <v>27</v>
      </c>
      <c r="I298" s="83" t="n">
        <v>5</v>
      </c>
      <c r="J298" s="83">
        <f>H298*I298</f>
        <v/>
      </c>
      <c r="K298" s="83" t="n">
        <v>1192401000</v>
      </c>
      <c r="L298" s="83" t="n">
        <v>8832600</v>
      </c>
      <c r="M298" s="83">
        <f>J298-Q298</f>
        <v/>
      </c>
      <c r="N298" s="83">
        <f>K298-R298</f>
        <v/>
      </c>
      <c r="O298" s="517" t="n">
        <v>45554</v>
      </c>
      <c r="P298" s="517" t="n">
        <v>47379</v>
      </c>
      <c r="Q298" s="83" t="n">
        <v>108</v>
      </c>
      <c r="R298" s="84" t="n">
        <v>953920800</v>
      </c>
      <c r="S298" s="83" t="n">
        <v>0</v>
      </c>
      <c r="T298" s="84" t="n">
        <v>0</v>
      </c>
      <c r="U298" s="83" t="n">
        <v>27</v>
      </c>
      <c r="V298" s="84">
        <f>U298*L298</f>
        <v/>
      </c>
      <c r="W298" s="83">
        <f>Q298+S298-U298</f>
        <v/>
      </c>
      <c r="X298" s="84">
        <f>R298+T298-V298</f>
        <v/>
      </c>
      <c r="Y298" s="85" t="inlineStr">
        <is>
          <t>P221ZZSR01</t>
        </is>
      </c>
      <c r="Z298" s="86" t="inlineStr">
        <is>
          <t>15661</t>
        </is>
      </c>
      <c r="AA298" s="86" t="inlineStr">
        <is>
          <t>33561</t>
        </is>
      </c>
      <c r="AB298" s="86" t="inlineStr">
        <is>
          <t>6277651</t>
        </is>
      </c>
      <c r="AC298" s="87" t="inlineStr">
        <is>
          <t>Series</t>
        </is>
      </c>
      <c r="AD298" s="76">
        <f>COUNTIF('KK1. Movies'!AI:AI,'TK 15661.Bản quyền phim '!F298)</f>
        <v/>
      </c>
      <c r="AE298" s="76">
        <f>COUNTIF('KK2. Series'!AM:AM,'TK 15661.Bản quyền phim '!F298)</f>
        <v/>
      </c>
      <c r="AF298" s="76">
        <f>COUNTIF('KK3. Kids'!AF:AF,'TK 15661.Bản quyền phim '!F298)</f>
        <v/>
      </c>
      <c r="AG298" s="76" t="n"/>
      <c r="AH298" s="76">
        <f>IF(SUM(AD298:AG298)&gt;0,"OK",0)</f>
        <v/>
      </c>
    </row>
    <row r="299" hidden="1" ht="15.6" customHeight="1" s="578">
      <c r="A299" s="30">
        <f>(U299-H299)*L299</f>
        <v/>
      </c>
      <c r="B299" s="74" t="inlineStr">
        <is>
          <t>K+2SER024227</t>
        </is>
      </c>
      <c r="C299" s="708" t="inlineStr">
        <is>
          <t>USD</t>
        </is>
      </c>
      <c r="D299" s="708" t="inlineStr">
        <is>
          <t>S0002578</t>
        </is>
      </c>
      <c r="E299" s="708" t="inlineStr">
        <is>
          <t>CAPPU FILMS LIMITED</t>
        </is>
      </c>
      <c r="F299" s="708" t="inlineStr">
        <is>
          <t>Castle in the time</t>
        </is>
      </c>
      <c r="G299" s="708" t="inlineStr">
        <is>
          <t>Series Asian</t>
        </is>
      </c>
      <c r="H299" s="83" t="n">
        <v>38</v>
      </c>
      <c r="I299" s="83" t="n">
        <v>5</v>
      </c>
      <c r="J299" s="83">
        <f>H299*I299</f>
        <v/>
      </c>
      <c r="K299" s="83" t="n">
        <v>1044994500</v>
      </c>
      <c r="L299" s="83" t="n">
        <v>5499971.052631578</v>
      </c>
      <c r="M299" s="83">
        <f>J299-Q299</f>
        <v/>
      </c>
      <c r="N299" s="83">
        <f>K299-R299</f>
        <v/>
      </c>
      <c r="O299" s="517" t="n">
        <v>45566</v>
      </c>
      <c r="P299" s="517" t="n">
        <v>47391</v>
      </c>
      <c r="Q299" s="83" t="n">
        <v>152</v>
      </c>
      <c r="R299" s="84" t="n">
        <v>835995600</v>
      </c>
      <c r="S299" s="83" t="n">
        <v>0</v>
      </c>
      <c r="T299" s="84" t="n">
        <v>0</v>
      </c>
      <c r="U299" s="83" t="n">
        <v>38</v>
      </c>
      <c r="V299" s="84">
        <f>U299*L299</f>
        <v/>
      </c>
      <c r="W299" s="83">
        <f>Q299+S299-U299</f>
        <v/>
      </c>
      <c r="X299" s="84">
        <f>R299+T299-V299</f>
        <v/>
      </c>
      <c r="Y299" s="85" t="inlineStr">
        <is>
          <t>P221ZZSR01</t>
        </is>
      </c>
      <c r="Z299" s="86" t="inlineStr">
        <is>
          <t>15661</t>
        </is>
      </c>
      <c r="AA299" s="86" t="inlineStr">
        <is>
          <t>33561</t>
        </is>
      </c>
      <c r="AB299" s="86" t="inlineStr">
        <is>
          <t>6277651</t>
        </is>
      </c>
      <c r="AC299" s="87" t="inlineStr">
        <is>
          <t>Series</t>
        </is>
      </c>
      <c r="AD299" s="76">
        <f>COUNTIF('KK1. Movies'!AI:AI,'TK 15661.Bản quyền phim '!F299)</f>
        <v/>
      </c>
      <c r="AE299" s="76">
        <f>COUNTIF('KK2. Series'!AM:AM,'TK 15661.Bản quyền phim '!F299)</f>
        <v/>
      </c>
      <c r="AF299" s="76">
        <f>COUNTIF('KK3. Kids'!AF:AF,'TK 15661.Bản quyền phim '!F299)</f>
        <v/>
      </c>
      <c r="AG299" s="76" t="n"/>
      <c r="AH299" s="76">
        <f>IF(SUM(AD299:AG299)&gt;0,"OK",0)</f>
        <v/>
      </c>
    </row>
    <row r="300" hidden="1" ht="15.6" customHeight="1" s="578">
      <c r="A300" s="30">
        <f>(U300-H300)*L300</f>
        <v/>
      </c>
      <c r="B300" s="74" t="inlineStr">
        <is>
          <t>K+2SER024228</t>
        </is>
      </c>
      <c r="C300" s="708" t="inlineStr">
        <is>
          <t>USD</t>
        </is>
      </c>
      <c r="D300" s="708" t="inlineStr">
        <is>
          <t>S0002587</t>
        </is>
      </c>
      <c r="E300" s="708" t="inlineStr">
        <is>
          <t>ASIAPLAY TAIWAN DIGITAL ENTERTAINMENT LTD.</t>
        </is>
      </c>
      <c r="F300" s="708" t="inlineStr">
        <is>
          <t>Urban Horror</t>
        </is>
      </c>
      <c r="G300" s="708" t="inlineStr">
        <is>
          <t>Series Asian</t>
        </is>
      </c>
      <c r="H300" s="83" t="n">
        <v>34</v>
      </c>
      <c r="I300" s="83" t="n">
        <v>5</v>
      </c>
      <c r="J300" s="83">
        <f>H300*I300</f>
        <v/>
      </c>
      <c r="K300" s="83" t="n">
        <v>178200000</v>
      </c>
      <c r="L300" s="83" t="n">
        <v>1048235.294117647</v>
      </c>
      <c r="M300" s="83">
        <f>J300-Q300</f>
        <v/>
      </c>
      <c r="N300" s="83">
        <f>K300-R300</f>
        <v/>
      </c>
      <c r="O300" s="517" t="n">
        <v>45566</v>
      </c>
      <c r="P300" s="517" t="n">
        <v>47391</v>
      </c>
      <c r="Q300" s="83" t="n">
        <v>136</v>
      </c>
      <c r="R300" s="84" t="n">
        <v>142560000</v>
      </c>
      <c r="S300" s="83" t="n">
        <v>0</v>
      </c>
      <c r="T300" s="84" t="n">
        <v>0</v>
      </c>
      <c r="U300" s="83" t="n">
        <v>34</v>
      </c>
      <c r="V300" s="84">
        <f>U300*L300</f>
        <v/>
      </c>
      <c r="W300" s="83">
        <f>Q300+S300-U300</f>
        <v/>
      </c>
      <c r="X300" s="84">
        <f>R300+T300-V300</f>
        <v/>
      </c>
      <c r="Y300" s="85" t="inlineStr">
        <is>
          <t>P221ZZSR01</t>
        </is>
      </c>
      <c r="Z300" s="86" t="inlineStr">
        <is>
          <t>15661</t>
        </is>
      </c>
      <c r="AA300" s="86" t="inlineStr">
        <is>
          <t>33561</t>
        </is>
      </c>
      <c r="AB300" s="86" t="inlineStr">
        <is>
          <t>6277651</t>
        </is>
      </c>
      <c r="AC300" s="87" t="inlineStr">
        <is>
          <t>Series</t>
        </is>
      </c>
      <c r="AD300" s="76">
        <f>COUNTIF('KK1. Movies'!AI:AI,'TK 15661.Bản quyền phim '!F300)</f>
        <v/>
      </c>
      <c r="AE300" s="76">
        <f>COUNTIF('KK2. Series'!AM:AM,'TK 15661.Bản quyền phim '!F300)</f>
        <v/>
      </c>
      <c r="AF300" s="76">
        <f>COUNTIF('KK3. Kids'!AF:AF,'TK 15661.Bản quyền phim '!F300)</f>
        <v/>
      </c>
      <c r="AG300" s="76" t="n"/>
      <c r="AH300" s="76">
        <f>IF(SUM(AD300:AG300)&gt;0,"OK",0)</f>
        <v/>
      </c>
    </row>
    <row r="301" hidden="1" s="578">
      <c r="B301" s="74" t="inlineStr">
        <is>
          <t>K+2MOV024229</t>
        </is>
      </c>
      <c r="C301" s="708" t="inlineStr">
        <is>
          <t>VND</t>
        </is>
      </c>
      <c r="D301" s="708" t="inlineStr">
        <is>
          <t>S0002365</t>
        </is>
      </c>
      <c r="E301" s="708" t="inlineStr">
        <is>
          <t>CÔNG TY CỔ PHẦN TRUYỀN THÔNG HỎA THỔ</t>
        </is>
      </c>
      <c r="F301" s="708" t="inlineStr">
        <is>
          <t>Skin (Xóa bỏ hận thù)</t>
        </is>
      </c>
      <c r="G301" s="708" t="inlineStr">
        <is>
          <t>Movies International</t>
        </is>
      </c>
      <c r="H301" s="83" t="n">
        <v>1</v>
      </c>
      <c r="I301" s="83" t="n">
        <v>3</v>
      </c>
      <c r="J301" s="83">
        <f>H301*I301</f>
        <v/>
      </c>
      <c r="K301" s="83" t="n">
        <v>101213810</v>
      </c>
      <c r="L301" s="83" t="n">
        <v>33737936.66666666</v>
      </c>
      <c r="M301" s="83">
        <f>J301-Q301</f>
        <v/>
      </c>
      <c r="N301" s="83">
        <f>K301-R301</f>
        <v/>
      </c>
      <c r="O301" s="517" t="n">
        <v>45637</v>
      </c>
      <c r="P301" s="517" t="n">
        <v>46731</v>
      </c>
      <c r="Q301" s="83" t="n">
        <v>2</v>
      </c>
      <c r="R301" s="84" t="n">
        <v>67475873.33333334</v>
      </c>
      <c r="S301" s="83" t="n">
        <v>0</v>
      </c>
      <c r="T301" s="84" t="n">
        <v>0</v>
      </c>
      <c r="U301" s="83" t="n">
        <v>1</v>
      </c>
      <c r="V301" s="84">
        <f>U301*L301</f>
        <v/>
      </c>
      <c r="W301" s="83">
        <f>Q301+S301-U301</f>
        <v/>
      </c>
      <c r="X301" s="84">
        <f>R301+T301-V301</f>
        <v/>
      </c>
      <c r="Y301" s="85" t="inlineStr">
        <is>
          <t>P221ZZMO01</t>
        </is>
      </c>
      <c r="Z301" s="86" t="inlineStr">
        <is>
          <t>15661</t>
        </is>
      </c>
      <c r="AA301" s="86" t="inlineStr">
        <is>
          <t>33561</t>
        </is>
      </c>
      <c r="AB301" s="86" t="inlineStr">
        <is>
          <t>6277651</t>
        </is>
      </c>
      <c r="AC301" s="86" t="n"/>
      <c r="AD301" s="76">
        <f>COUNTIF('KK1. Movies'!AI:AI,'TK 15661.Bản quyền phim '!F301)</f>
        <v/>
      </c>
      <c r="AE301" s="76">
        <f>COUNTIF('KK2. Series'!AM:AM,'TK 15661.Bản quyền phim '!F301)</f>
        <v/>
      </c>
      <c r="AF301" s="76">
        <f>COUNTIF('KK3. Kids'!AF:AF,'TK 15661.Bản quyền phim '!F301)</f>
        <v/>
      </c>
      <c r="AG301" s="76" t="n"/>
      <c r="AH301" s="76">
        <f>IF(SUM(AD301:AG301)&gt;0,"OK",0)</f>
        <v/>
      </c>
    </row>
    <row r="302" hidden="1" s="578">
      <c r="B302" s="74" t="inlineStr">
        <is>
          <t>K+2MOV024230</t>
        </is>
      </c>
      <c r="C302" s="708" t="inlineStr">
        <is>
          <t>VND</t>
        </is>
      </c>
      <c r="D302" s="708" t="inlineStr">
        <is>
          <t>S0002365</t>
        </is>
      </c>
      <c r="E302" s="708" t="inlineStr">
        <is>
          <t>CÔNG TY CỔ PHẦN TRUYỀN THÔNG HỎA THỔ</t>
        </is>
      </c>
      <c r="F302" s="708" t="inlineStr">
        <is>
          <t>Extremely Wicked, Shockingly Evil and Vile (Kẻ cuồng sát biến thái)</t>
        </is>
      </c>
      <c r="G302" s="708" t="inlineStr">
        <is>
          <t>Movies International</t>
        </is>
      </c>
      <c r="H302" s="83" t="n">
        <v>1</v>
      </c>
      <c r="I302" s="83" t="n">
        <v>3</v>
      </c>
      <c r="J302" s="83">
        <f>H302*I302</f>
        <v/>
      </c>
      <c r="K302" s="83" t="n">
        <v>101213810</v>
      </c>
      <c r="L302" s="83" t="n">
        <v>33737936.66666666</v>
      </c>
      <c r="M302" s="83">
        <f>J302-Q302</f>
        <v/>
      </c>
      <c r="N302" s="83">
        <f>K302-R302</f>
        <v/>
      </c>
      <c r="O302" s="517" t="n">
        <v>45637</v>
      </c>
      <c r="P302" s="517" t="n">
        <v>46731</v>
      </c>
      <c r="Q302" s="83" t="n">
        <v>2</v>
      </c>
      <c r="R302" s="84" t="n">
        <v>67475873.33333334</v>
      </c>
      <c r="S302" s="83" t="n">
        <v>0</v>
      </c>
      <c r="T302" s="84" t="n">
        <v>0</v>
      </c>
      <c r="U302" s="83" t="n">
        <v>1</v>
      </c>
      <c r="V302" s="84">
        <f>U302*L302</f>
        <v/>
      </c>
      <c r="W302" s="83">
        <f>Q302+S302-U302</f>
        <v/>
      </c>
      <c r="X302" s="84">
        <f>R302+T302-V302</f>
        <v/>
      </c>
      <c r="Y302" s="85" t="inlineStr">
        <is>
          <t>P221ZZMO01</t>
        </is>
      </c>
      <c r="Z302" s="86" t="inlineStr">
        <is>
          <t>15661</t>
        </is>
      </c>
      <c r="AA302" s="86" t="inlineStr">
        <is>
          <t>33561</t>
        </is>
      </c>
      <c r="AB302" s="86" t="inlineStr">
        <is>
          <t>6277651</t>
        </is>
      </c>
      <c r="AC302" s="86" t="n"/>
      <c r="AD302" s="76">
        <f>COUNTIF('KK1. Movies'!AI:AI,'TK 15661.Bản quyền phim '!F302)</f>
        <v/>
      </c>
      <c r="AE302" s="76">
        <f>COUNTIF('KK2. Series'!AM:AM,'TK 15661.Bản quyền phim '!F302)</f>
        <v/>
      </c>
      <c r="AF302" s="76">
        <f>COUNTIF('KK3. Kids'!AF:AF,'TK 15661.Bản quyền phim '!F302)</f>
        <v/>
      </c>
      <c r="AG302" s="76" t="n"/>
      <c r="AH302" s="76">
        <f>IF(SUM(AD302:AG302)&gt;0,"OK",0)</f>
        <v/>
      </c>
    </row>
    <row r="303" hidden="1" ht="15.6" customHeight="1" s="578">
      <c r="A303" s="30">
        <f>(U303-H303)*L303</f>
        <v/>
      </c>
      <c r="B303" s="74" t="inlineStr">
        <is>
          <t>K+2SER024231</t>
        </is>
      </c>
      <c r="C303" s="708" t="inlineStr">
        <is>
          <t>EUR</t>
        </is>
      </c>
      <c r="D303" s="708" t="inlineStr">
        <is>
          <t>S0001558</t>
        </is>
      </c>
      <c r="E303" s="708" t="inlineStr">
        <is>
          <t>StudioCanal TV Gmbh</t>
        </is>
      </c>
      <c r="F303" s="708" t="inlineStr">
        <is>
          <t>PARIS HAS FALLEN – SEASON 1</t>
        </is>
      </c>
      <c r="G303" s="708" t="inlineStr">
        <is>
          <t>Series International</t>
        </is>
      </c>
      <c r="H303" s="83" t="n">
        <v>8</v>
      </c>
      <c r="I303" s="83" t="n">
        <v>7</v>
      </c>
      <c r="J303" s="83">
        <f>H303*I303</f>
        <v/>
      </c>
      <c r="K303" s="83" t="n">
        <v>1080000000</v>
      </c>
      <c r="L303" s="83" t="n">
        <v>19285714.28571429</v>
      </c>
      <c r="M303" s="83">
        <f>J303-Q303</f>
        <v/>
      </c>
      <c r="N303" s="83">
        <f>K303-R303</f>
        <v/>
      </c>
      <c r="O303" s="517" t="n">
        <v>45576</v>
      </c>
      <c r="P303" s="517" t="n">
        <v>48131</v>
      </c>
      <c r="Q303" s="83" t="n">
        <v>48</v>
      </c>
      <c r="R303" s="84" t="n">
        <v>925714285.7142857</v>
      </c>
      <c r="S303" s="83" t="n">
        <v>0</v>
      </c>
      <c r="T303" s="84" t="n">
        <v>0</v>
      </c>
      <c r="U303" s="83" t="n">
        <v>8</v>
      </c>
      <c r="V303" s="84">
        <f>U303*L303</f>
        <v/>
      </c>
      <c r="W303" s="83">
        <f>Q303+S303-U303</f>
        <v/>
      </c>
      <c r="X303" s="84">
        <f>R303+T303-V303</f>
        <v/>
      </c>
      <c r="Y303" s="85" t="inlineStr">
        <is>
          <t>P221ZZSR01</t>
        </is>
      </c>
      <c r="Z303" s="86" t="inlineStr">
        <is>
          <t>15661</t>
        </is>
      </c>
      <c r="AA303" s="86" t="inlineStr">
        <is>
          <t>33561</t>
        </is>
      </c>
      <c r="AB303" s="86" t="inlineStr">
        <is>
          <t>6277651</t>
        </is>
      </c>
      <c r="AC303" s="87" t="inlineStr">
        <is>
          <t>Series</t>
        </is>
      </c>
      <c r="AD303" s="76">
        <f>COUNTIF('KK1. Movies'!AI:AI,'TK 15661.Bản quyền phim '!F303)</f>
        <v/>
      </c>
      <c r="AE303" s="76">
        <f>COUNTIF('KK2. Series'!AM:AM,'TK 15661.Bản quyền phim '!F303)</f>
        <v/>
      </c>
      <c r="AF303" s="76">
        <f>COUNTIF('KK3. Kids'!AF:AF,'TK 15661.Bản quyền phim '!F303)</f>
        <v/>
      </c>
      <c r="AG303" s="76" t="n"/>
      <c r="AH303" s="76">
        <f>IF(SUM(AD303:AG303)&gt;0,"OK",0)</f>
        <v/>
      </c>
    </row>
    <row r="304" hidden="1" ht="15.6" customHeight="1" s="578">
      <c r="A304" s="30">
        <f>(U304-H304)*L304</f>
        <v/>
      </c>
      <c r="B304" s="74" t="inlineStr">
        <is>
          <t>K+2SER024232</t>
        </is>
      </c>
      <c r="C304" s="708" t="inlineStr">
        <is>
          <t>USD</t>
        </is>
      </c>
      <c r="D304" s="708" t="inlineStr">
        <is>
          <t>S0002531</t>
        </is>
      </c>
      <c r="E304" s="708" t="inlineStr">
        <is>
          <t>NEW CLASSICS TELEVISION ENTERTAINMENT INVESTMENT CO.LTD.</t>
        </is>
      </c>
      <c r="F304" s="708" t="inlineStr">
        <is>
          <t>The Guardians of Dafeng (Đại phụng đả canh nhân)</t>
        </is>
      </c>
      <c r="G304" s="708" t="inlineStr">
        <is>
          <t>Series International</t>
        </is>
      </c>
      <c r="H304" s="83" t="n">
        <v>40</v>
      </c>
      <c r="I304" s="83" t="n">
        <v>5</v>
      </c>
      <c r="J304" s="83">
        <f>H304*I304</f>
        <v/>
      </c>
      <c r="K304" s="83" t="n">
        <v>3263773220.4</v>
      </c>
      <c r="L304" s="83" t="n">
        <v>16318866.102</v>
      </c>
      <c r="M304" s="83">
        <f>J304-Q304</f>
        <v/>
      </c>
      <c r="N304" s="83">
        <f>K304-R304</f>
        <v/>
      </c>
      <c r="O304" s="517" t="n">
        <v>45654</v>
      </c>
      <c r="P304" s="517" t="n">
        <v>47479</v>
      </c>
      <c r="Q304" s="83" t="n">
        <v>0</v>
      </c>
      <c r="R304" s="84" t="n">
        <v>0</v>
      </c>
      <c r="S304" s="83" t="n">
        <v>200</v>
      </c>
      <c r="T304" s="84" t="n">
        <v>3263773220.4</v>
      </c>
      <c r="U304" s="83" t="n">
        <v>40</v>
      </c>
      <c r="V304" s="84">
        <f>U304*L304</f>
        <v/>
      </c>
      <c r="W304" s="83">
        <f>Q304+S304-U304</f>
        <v/>
      </c>
      <c r="X304" s="84">
        <f>R304+T304-V304</f>
        <v/>
      </c>
      <c r="Y304" s="85" t="inlineStr">
        <is>
          <t>P221ZZSR01</t>
        </is>
      </c>
      <c r="Z304" s="86" t="inlineStr">
        <is>
          <t>15661</t>
        </is>
      </c>
      <c r="AA304" s="86" t="inlineStr">
        <is>
          <t>33561</t>
        </is>
      </c>
      <c r="AB304" s="86" t="inlineStr">
        <is>
          <t>6277651</t>
        </is>
      </c>
      <c r="AC304" s="87" t="inlineStr">
        <is>
          <t>Series</t>
        </is>
      </c>
      <c r="AD304" s="76">
        <f>COUNTIF('KK1. Movies'!AI:AI,'TK 15661.Bản quyền phim '!F304)</f>
        <v/>
      </c>
      <c r="AE304" s="76">
        <f>COUNTIF('KK2. Series'!AM:AM,'TK 15661.Bản quyền phim '!F304)</f>
        <v/>
      </c>
      <c r="AF304" s="76">
        <f>COUNTIF('KK3. Kids'!AF:AF,'TK 15661.Bản quyền phim '!F304)</f>
        <v/>
      </c>
      <c r="AG304" s="76" t="n"/>
      <c r="AH304" s="76">
        <f>IF(SUM(AD304:AG304)&gt;0,"OK",0)</f>
        <v/>
      </c>
    </row>
    <row r="305" hidden="1" ht="15.6" customHeight="1" s="578">
      <c r="B305" s="74" t="inlineStr">
        <is>
          <t>K+1MOV025001</t>
        </is>
      </c>
      <c r="C305" s="708" t="inlineStr">
        <is>
          <t>VND</t>
        </is>
      </c>
      <c r="D305" s="708" t="inlineStr">
        <is>
          <t>S0002622</t>
        </is>
      </c>
      <c r="E305" s="708" t="inlineStr">
        <is>
          <t>CÔNG TY TNHH CÔNG NGHỆ VÀ GIẢI TRÍ TRUYỀN THÔNG SAO THIÊN KHÔI</t>
        </is>
      </c>
      <c r="F305" s="708" t="inlineStr">
        <is>
          <t>Johnny Keep Walking!</t>
        </is>
      </c>
      <c r="G305" s="708" t="inlineStr">
        <is>
          <t>Movies International</t>
        </is>
      </c>
      <c r="H305" s="83" t="n">
        <v>1</v>
      </c>
      <c r="I305" s="83" t="n">
        <v>3</v>
      </c>
      <c r="J305" s="83">
        <f>H305*I305</f>
        <v/>
      </c>
      <c r="K305" s="83" t="n">
        <v>87085714</v>
      </c>
      <c r="L305" s="83" t="n">
        <v>29028571.33333333</v>
      </c>
      <c r="M305" s="83">
        <f>J305-Q305</f>
        <v/>
      </c>
      <c r="N305" s="83">
        <f>K305-R305</f>
        <v/>
      </c>
      <c r="O305" s="517" t="n">
        <v>45665</v>
      </c>
      <c r="P305" s="517" t="n">
        <v>46759</v>
      </c>
      <c r="Q305" s="83" t="n">
        <v>0</v>
      </c>
      <c r="R305" s="84" t="n">
        <v>0</v>
      </c>
      <c r="S305" s="83" t="n">
        <v>3</v>
      </c>
      <c r="T305" s="84" t="n">
        <v>87085714</v>
      </c>
      <c r="U305" s="83" t="n">
        <v>1</v>
      </c>
      <c r="V305" s="84">
        <f>U305*L305</f>
        <v/>
      </c>
      <c r="W305" s="83">
        <f>Q305+S305-U305</f>
        <v/>
      </c>
      <c r="X305" s="84">
        <f>R305+T305-V305</f>
        <v/>
      </c>
      <c r="Y305" s="85" t="inlineStr">
        <is>
          <t>P221ZZMO01</t>
        </is>
      </c>
      <c r="Z305" s="86" t="inlineStr">
        <is>
          <t>15661</t>
        </is>
      </c>
      <c r="AA305" s="86" t="inlineStr">
        <is>
          <t>33561</t>
        </is>
      </c>
      <c r="AB305" s="86" t="inlineStr">
        <is>
          <t>6277651</t>
        </is>
      </c>
      <c r="AC305" s="87" t="inlineStr">
        <is>
          <t>Movies</t>
        </is>
      </c>
      <c r="AD305" s="76">
        <f>COUNTIF('KK1. Movies'!AI:AI,'TK 15661.Bản quyền phim '!F305)</f>
        <v/>
      </c>
      <c r="AE305" s="76">
        <f>COUNTIF('KK2. Series'!AM:AM,'TK 15661.Bản quyền phim '!F305)</f>
        <v/>
      </c>
      <c r="AF305" s="76">
        <f>COUNTIF('KK3. Kids'!AF:AF,'TK 15661.Bản quyền phim '!F305)</f>
        <v/>
      </c>
      <c r="AG305" s="76" t="n"/>
      <c r="AH305" s="76">
        <f>IF(SUM(AD305:AG305)&gt;0,"OK",0)</f>
        <v/>
      </c>
    </row>
    <row r="306" hidden="1" ht="15.6" customHeight="1" s="578">
      <c r="B306" s="74" t="inlineStr">
        <is>
          <t>K+1MOV025002</t>
        </is>
      </c>
      <c r="C306" s="708" t="inlineStr">
        <is>
          <t>VND</t>
        </is>
      </c>
      <c r="D306" s="708" t="inlineStr">
        <is>
          <t>S0002622</t>
        </is>
      </c>
      <c r="E306" s="708" t="inlineStr">
        <is>
          <t>CÔNG TY TNHH CÔNG NGHỆ VÀ GIẢI TRÍ TRUYỀN THÔNG SAO THIÊN KHÔI</t>
        </is>
      </c>
      <c r="F306" s="708" t="inlineStr">
        <is>
          <t>MOZART FROM SPACE</t>
        </is>
      </c>
      <c r="G306" s="708" t="inlineStr">
        <is>
          <t>Movies International</t>
        </is>
      </c>
      <c r="H306" s="83" t="n">
        <v>1</v>
      </c>
      <c r="I306" s="83" t="n">
        <v>3</v>
      </c>
      <c r="J306" s="83">
        <f>H306*I306</f>
        <v/>
      </c>
      <c r="K306" s="83" t="n">
        <v>84666667</v>
      </c>
      <c r="L306" s="83" t="n">
        <v>28222222.33333333</v>
      </c>
      <c r="M306" s="83">
        <f>J306-Q306</f>
        <v/>
      </c>
      <c r="N306" s="83">
        <f>K306-R306</f>
        <v/>
      </c>
      <c r="O306" s="517" t="n">
        <v>45672</v>
      </c>
      <c r="P306" s="517" t="n">
        <v>46766</v>
      </c>
      <c r="Q306" s="83" t="n">
        <v>0</v>
      </c>
      <c r="R306" s="84" t="n">
        <v>0</v>
      </c>
      <c r="S306" s="83" t="n">
        <v>3</v>
      </c>
      <c r="T306" s="84" t="n">
        <v>84666667</v>
      </c>
      <c r="U306" s="83" t="n">
        <v>1</v>
      </c>
      <c r="V306" s="84">
        <f>U306*L306</f>
        <v/>
      </c>
      <c r="W306" s="83">
        <f>Q306+S306-U306</f>
        <v/>
      </c>
      <c r="X306" s="84">
        <f>R306+T306-V306</f>
        <v/>
      </c>
      <c r="Y306" s="85" t="inlineStr">
        <is>
          <t>P221ZZMO01</t>
        </is>
      </c>
      <c r="Z306" s="86" t="inlineStr">
        <is>
          <t>15661</t>
        </is>
      </c>
      <c r="AA306" s="86" t="inlineStr">
        <is>
          <t>33561</t>
        </is>
      </c>
      <c r="AB306" s="86" t="inlineStr">
        <is>
          <t>6277651</t>
        </is>
      </c>
      <c r="AC306" s="87" t="inlineStr">
        <is>
          <t>Movies</t>
        </is>
      </c>
      <c r="AD306" s="76">
        <f>COUNTIF('KK1. Movies'!AI:AI,'TK 15661.Bản quyền phim '!F306)</f>
        <v/>
      </c>
      <c r="AE306" s="76">
        <f>COUNTIF('KK2. Series'!AM:AM,'TK 15661.Bản quyền phim '!F306)</f>
        <v/>
      </c>
      <c r="AF306" s="76">
        <f>COUNTIF('KK3. Kids'!AF:AF,'TK 15661.Bản quyền phim '!F306)</f>
        <v/>
      </c>
      <c r="AG306" s="76" t="n"/>
      <c r="AH306" s="76">
        <f>IF(SUM(AD306:AG306)&gt;0,"OK",0)</f>
        <v/>
      </c>
    </row>
    <row r="307" hidden="1" ht="15.6" customHeight="1" s="578">
      <c r="B307" s="74" t="inlineStr">
        <is>
          <t>K+1MOV025003</t>
        </is>
      </c>
      <c r="C307" s="708" t="inlineStr">
        <is>
          <t>VND</t>
        </is>
      </c>
      <c r="D307" s="708" t="inlineStr">
        <is>
          <t>S0002622</t>
        </is>
      </c>
      <c r="E307" s="708" t="inlineStr">
        <is>
          <t>CÔNG TY TNHH CÔNG NGHỆ VÀ GIẢI TRÍ TRUYỀN THÔNG SAO THIÊN KHÔI</t>
        </is>
      </c>
      <c r="F307" s="708" t="inlineStr">
        <is>
          <t>BETTER MAN</t>
        </is>
      </c>
      <c r="G307" s="708" t="inlineStr">
        <is>
          <t>Movies International</t>
        </is>
      </c>
      <c r="H307" s="83" t="n">
        <v>1</v>
      </c>
      <c r="I307" s="83" t="n">
        <v>3</v>
      </c>
      <c r="J307" s="83">
        <f>H307*I307</f>
        <v/>
      </c>
      <c r="K307" s="83" t="n">
        <v>87085714</v>
      </c>
      <c r="L307" s="83" t="n">
        <v>29028571.33333333</v>
      </c>
      <c r="M307" s="83">
        <f>J307-Q307</f>
        <v/>
      </c>
      <c r="N307" s="83">
        <f>K307-R307</f>
        <v/>
      </c>
      <c r="O307" s="517" t="n">
        <v>45679</v>
      </c>
      <c r="P307" s="517" t="n">
        <v>46773</v>
      </c>
      <c r="Q307" s="83" t="n">
        <v>0</v>
      </c>
      <c r="R307" s="84" t="n">
        <v>0</v>
      </c>
      <c r="S307" s="83" t="n">
        <v>3</v>
      </c>
      <c r="T307" s="84" t="n">
        <v>87085714</v>
      </c>
      <c r="U307" s="83" t="n">
        <v>1</v>
      </c>
      <c r="V307" s="84">
        <f>U307*L307</f>
        <v/>
      </c>
      <c r="W307" s="83">
        <f>Q307+S307-U307</f>
        <v/>
      </c>
      <c r="X307" s="84">
        <f>R307+T307-V307</f>
        <v/>
      </c>
      <c r="Y307" s="85" t="inlineStr">
        <is>
          <t>P221ZZMO01</t>
        </is>
      </c>
      <c r="Z307" s="86" t="inlineStr">
        <is>
          <t>15661</t>
        </is>
      </c>
      <c r="AA307" s="86" t="inlineStr">
        <is>
          <t>33561</t>
        </is>
      </c>
      <c r="AB307" s="86" t="inlineStr">
        <is>
          <t>6277651</t>
        </is>
      </c>
      <c r="AC307" s="87" t="inlineStr">
        <is>
          <t>Movies</t>
        </is>
      </c>
      <c r="AD307" s="76">
        <f>COUNTIF('KK1. Movies'!AI:AI,'TK 15661.Bản quyền phim '!F307)</f>
        <v/>
      </c>
      <c r="AE307" s="76">
        <f>COUNTIF('KK2. Series'!AM:AM,'TK 15661.Bản quyền phim '!F307)</f>
        <v/>
      </c>
      <c r="AF307" s="76">
        <f>COUNTIF('KK3. Kids'!AF:AF,'TK 15661.Bản quyền phim '!F307)</f>
        <v/>
      </c>
      <c r="AG307" s="76" t="n"/>
      <c r="AH307" s="76">
        <f>IF(SUM(AD307:AG307)&gt;0,"OK",0)</f>
        <v/>
      </c>
    </row>
    <row r="308" hidden="1" ht="15.6" customHeight="1" s="578">
      <c r="B308" s="74" t="inlineStr">
        <is>
          <t>K+1MOV025004</t>
        </is>
      </c>
      <c r="C308" s="708" t="inlineStr">
        <is>
          <t>VND</t>
        </is>
      </c>
      <c r="D308" s="708" t="inlineStr">
        <is>
          <t>S0002622</t>
        </is>
      </c>
      <c r="E308" s="708" t="inlineStr">
        <is>
          <t>CÔNG TY TNHH CÔNG NGHỆ VÀ GIẢI TRÍ TRUYỀN THÔNG SAO THIÊN KHÔI</t>
        </is>
      </c>
      <c r="F308" s="708" t="inlineStr">
        <is>
          <t>GODSPEED</t>
        </is>
      </c>
      <c r="G308" s="708" t="inlineStr">
        <is>
          <t>Movies International</t>
        </is>
      </c>
      <c r="H308" s="83" t="n">
        <v>1</v>
      </c>
      <c r="I308" s="83" t="n">
        <v>3</v>
      </c>
      <c r="J308" s="83">
        <f>H308*I308</f>
        <v/>
      </c>
      <c r="K308" s="83" t="n">
        <v>89504762</v>
      </c>
      <c r="L308" s="83" t="n">
        <v>29834920.66666667</v>
      </c>
      <c r="M308" s="83">
        <f>J308-Q308</f>
        <v/>
      </c>
      <c r="N308" s="83">
        <f>K308-R308</f>
        <v/>
      </c>
      <c r="O308" s="517" t="n">
        <v>45689</v>
      </c>
      <c r="P308" s="517" t="n">
        <v>46783</v>
      </c>
      <c r="Q308" s="83" t="n">
        <v>0</v>
      </c>
      <c r="R308" s="84" t="n">
        <v>0</v>
      </c>
      <c r="S308" s="83" t="n">
        <v>3</v>
      </c>
      <c r="T308" s="84" t="n">
        <v>89504762</v>
      </c>
      <c r="U308" s="83" t="n">
        <v>1</v>
      </c>
      <c r="V308" s="84">
        <f>U308*L308</f>
        <v/>
      </c>
      <c r="W308" s="83">
        <f>Q308+S308-U308</f>
        <v/>
      </c>
      <c r="X308" s="84">
        <f>R308+T308-V308</f>
        <v/>
      </c>
      <c r="Y308" s="85" t="inlineStr">
        <is>
          <t>P221ZZMO01</t>
        </is>
      </c>
      <c r="Z308" s="86" t="inlineStr">
        <is>
          <t>15661</t>
        </is>
      </c>
      <c r="AA308" s="86" t="inlineStr">
        <is>
          <t>33561</t>
        </is>
      </c>
      <c r="AB308" s="86" t="inlineStr">
        <is>
          <t>6277651</t>
        </is>
      </c>
      <c r="AC308" s="87" t="inlineStr">
        <is>
          <t>Movies</t>
        </is>
      </c>
      <c r="AD308" s="76">
        <f>COUNTIF('KK1. Movies'!AI:AI,'TK 15661.Bản quyền phim '!F308)</f>
        <v/>
      </c>
      <c r="AE308" s="76">
        <f>COUNTIF('KK2. Series'!AM:AM,'TK 15661.Bản quyền phim '!F308)</f>
        <v/>
      </c>
      <c r="AF308" s="76">
        <f>COUNTIF('KK3. Kids'!AF:AF,'TK 15661.Bản quyền phim '!F308)</f>
        <v/>
      </c>
      <c r="AG308" s="76" t="n"/>
      <c r="AH308" s="76">
        <f>IF(SUM(AD308:AG308)&gt;0,"OK",0)</f>
        <v/>
      </c>
    </row>
    <row r="309" hidden="1" ht="15.6" customHeight="1" s="578">
      <c r="B309" s="74" t="inlineStr">
        <is>
          <t>K+1MOV025005</t>
        </is>
      </c>
      <c r="C309" s="708" t="inlineStr">
        <is>
          <t>VND</t>
        </is>
      </c>
      <c r="D309" s="708" t="inlineStr">
        <is>
          <t>S0002622</t>
        </is>
      </c>
      <c r="E309" s="708" t="inlineStr">
        <is>
          <t>CÔNG TY TNHH CÔNG NGHỆ VÀ GIẢI TRÍ TRUYỀN THÔNG SAO THIÊN KHÔI</t>
        </is>
      </c>
      <c r="F309" s="708" t="inlineStr">
        <is>
          <t>ONE WEEK FRIENDS</t>
        </is>
      </c>
      <c r="G309" s="708" t="inlineStr">
        <is>
          <t>Movies International</t>
        </is>
      </c>
      <c r="H309" s="83" t="n">
        <v>1</v>
      </c>
      <c r="I309" s="83" t="n">
        <v>3</v>
      </c>
      <c r="J309" s="83">
        <f>H309*I309</f>
        <v/>
      </c>
      <c r="K309" s="83" t="n">
        <v>87085714</v>
      </c>
      <c r="L309" s="83" t="n">
        <v>29028571.33333333</v>
      </c>
      <c r="M309" s="83">
        <f>J309-Q309</f>
        <v/>
      </c>
      <c r="N309" s="83">
        <f>K309-R309</f>
        <v/>
      </c>
      <c r="O309" s="517" t="n">
        <v>45693</v>
      </c>
      <c r="P309" s="517" t="n">
        <v>46787</v>
      </c>
      <c r="Q309" s="83" t="n">
        <v>0</v>
      </c>
      <c r="R309" s="84" t="n">
        <v>0</v>
      </c>
      <c r="S309" s="83" t="n">
        <v>3</v>
      </c>
      <c r="T309" s="84" t="n">
        <v>87085714</v>
      </c>
      <c r="U309" s="83" t="n">
        <v>1</v>
      </c>
      <c r="V309" s="84">
        <f>U309*L309</f>
        <v/>
      </c>
      <c r="W309" s="83">
        <f>Q309+S309-U309</f>
        <v/>
      </c>
      <c r="X309" s="84">
        <f>R309+T309-V309</f>
        <v/>
      </c>
      <c r="Y309" s="85" t="inlineStr">
        <is>
          <t>P221ZZMO01</t>
        </is>
      </c>
      <c r="Z309" s="86" t="inlineStr">
        <is>
          <t>15661</t>
        </is>
      </c>
      <c r="AA309" s="86" t="inlineStr">
        <is>
          <t>33561</t>
        </is>
      </c>
      <c r="AB309" s="86" t="inlineStr">
        <is>
          <t>6277651</t>
        </is>
      </c>
      <c r="AC309" s="87" t="inlineStr">
        <is>
          <t>Movies</t>
        </is>
      </c>
      <c r="AD309" s="76">
        <f>COUNTIF('KK1. Movies'!AI:AI,'TK 15661.Bản quyền phim '!F309)</f>
        <v/>
      </c>
      <c r="AE309" s="76">
        <f>COUNTIF('KK2. Series'!AM:AM,'TK 15661.Bản quyền phim '!F309)</f>
        <v/>
      </c>
      <c r="AF309" s="76">
        <f>COUNTIF('KK3. Kids'!AF:AF,'TK 15661.Bản quyền phim '!F309)</f>
        <v/>
      </c>
      <c r="AG309" s="76" t="n"/>
      <c r="AH309" s="76">
        <f>IF(SUM(AD309:AG309)&gt;0,"OK",0)</f>
        <v/>
      </c>
    </row>
    <row r="310" hidden="1" ht="15.6" customHeight="1" s="578">
      <c r="B310" s="74" t="inlineStr">
        <is>
          <t>K+2MOV025006</t>
        </is>
      </c>
      <c r="C310" s="708" t="inlineStr">
        <is>
          <t>VND</t>
        </is>
      </c>
      <c r="D310" s="708" t="inlineStr">
        <is>
          <t>S0002622</t>
        </is>
      </c>
      <c r="E310" s="708" t="inlineStr">
        <is>
          <t>CÔNG TY TNHH CÔNG NGHỆ VÀ GIẢI TRÍ TRUYỀN THÔNG SAO THIÊN KHÔI</t>
        </is>
      </c>
      <c r="F310" s="708" t="inlineStr">
        <is>
          <t>12 HOURS</t>
        </is>
      </c>
      <c r="G310" s="708" t="inlineStr">
        <is>
          <t>Movies International</t>
        </is>
      </c>
      <c r="H310" s="83" t="n">
        <v>1</v>
      </c>
      <c r="I310" s="83" t="n">
        <v>3</v>
      </c>
      <c r="J310" s="83">
        <f>H310*I310</f>
        <v/>
      </c>
      <c r="K310" s="83" t="n">
        <v>79828571</v>
      </c>
      <c r="L310" s="83" t="n">
        <v>26609523.66666667</v>
      </c>
      <c r="M310" s="83">
        <f>J310-Q310</f>
        <v/>
      </c>
      <c r="N310" s="83">
        <f>K310-R310</f>
        <v/>
      </c>
      <c r="O310" s="517" t="n">
        <v>45729</v>
      </c>
      <c r="P310" s="517" t="n">
        <v>46824</v>
      </c>
      <c r="Q310" s="83" t="n">
        <v>0</v>
      </c>
      <c r="R310" s="84" t="n">
        <v>0</v>
      </c>
      <c r="S310" s="83" t="n">
        <v>3</v>
      </c>
      <c r="T310" s="84" t="n">
        <v>79828571</v>
      </c>
      <c r="U310" s="83" t="n">
        <v>1</v>
      </c>
      <c r="V310" s="84">
        <f>U310*L310</f>
        <v/>
      </c>
      <c r="W310" s="83">
        <f>Q310+S310-U310</f>
        <v/>
      </c>
      <c r="X310" s="84">
        <f>R310+T310-V310</f>
        <v/>
      </c>
      <c r="Y310" s="85" t="inlineStr">
        <is>
          <t>P221ZZMO01</t>
        </is>
      </c>
      <c r="Z310" s="86" t="inlineStr">
        <is>
          <t>15661</t>
        </is>
      </c>
      <c r="AA310" s="86" t="inlineStr">
        <is>
          <t>33561</t>
        </is>
      </c>
      <c r="AB310" s="86" t="inlineStr">
        <is>
          <t>6277651</t>
        </is>
      </c>
      <c r="AC310" s="87" t="inlineStr">
        <is>
          <t>Movies</t>
        </is>
      </c>
      <c r="AD310" s="76">
        <f>COUNTIF('KK1. Movies'!AI:AI,'TK 15661.Bản quyền phim '!F310)</f>
        <v/>
      </c>
      <c r="AE310" s="76">
        <f>COUNTIF('KK2. Series'!AM:AM,'TK 15661.Bản quyền phim '!F310)</f>
        <v/>
      </c>
      <c r="AF310" s="76">
        <f>COUNTIF('KK3. Kids'!AF:AF,'TK 15661.Bản quyền phim '!F310)</f>
        <v/>
      </c>
      <c r="AG310" s="76" t="n"/>
      <c r="AH310" s="76">
        <f>IF(SUM(AD310:AG310)&gt;0,"OK",0)</f>
        <v/>
      </c>
    </row>
    <row r="311" hidden="1" ht="15.6" customHeight="1" s="578">
      <c r="B311" s="74" t="inlineStr">
        <is>
          <t>K+1MOV025007</t>
        </is>
      </c>
      <c r="C311" s="708" t="inlineStr">
        <is>
          <t>VND</t>
        </is>
      </c>
      <c r="D311" s="708" t="inlineStr">
        <is>
          <t>S0002622</t>
        </is>
      </c>
      <c r="E311" s="708" t="inlineStr">
        <is>
          <t>CÔNG TY TNHH CÔNG NGHỆ VÀ GIẢI TRÍ TRUYỀN THÔNG SAO THIÊN KHÔI</t>
        </is>
      </c>
      <c r="F311" s="708" t="inlineStr">
        <is>
          <t>BROTHERHOOD</t>
        </is>
      </c>
      <c r="G311" s="708" t="inlineStr">
        <is>
          <t>Movies International</t>
        </is>
      </c>
      <c r="H311" s="83" t="n">
        <v>1</v>
      </c>
      <c r="I311" s="83" t="n">
        <v>3</v>
      </c>
      <c r="J311" s="83">
        <f>H311*I311</f>
        <v/>
      </c>
      <c r="K311" s="83" t="n">
        <v>87085714</v>
      </c>
      <c r="L311" s="83" t="n">
        <v>29028571.33333333</v>
      </c>
      <c r="M311" s="83">
        <f>J311-Q311</f>
        <v/>
      </c>
      <c r="N311" s="83">
        <f>K311-R311</f>
        <v/>
      </c>
      <c r="O311" s="517" t="n">
        <v>45765</v>
      </c>
      <c r="P311" s="517" t="n">
        <v>46860</v>
      </c>
      <c r="Q311" s="83" t="n">
        <v>0</v>
      </c>
      <c r="R311" s="84" t="n">
        <v>0</v>
      </c>
      <c r="S311" s="83" t="n">
        <v>3</v>
      </c>
      <c r="T311" s="84" t="n">
        <v>87085714</v>
      </c>
      <c r="U311" s="83" t="n">
        <v>1</v>
      </c>
      <c r="V311" s="84">
        <f>U311*L311</f>
        <v/>
      </c>
      <c r="W311" s="83">
        <f>Q311+S311-U311</f>
        <v/>
      </c>
      <c r="X311" s="84">
        <f>R311+T311-V311</f>
        <v/>
      </c>
      <c r="Y311" s="85" t="inlineStr">
        <is>
          <t>P221ZZMO01</t>
        </is>
      </c>
      <c r="Z311" s="86" t="inlineStr">
        <is>
          <t>15661</t>
        </is>
      </c>
      <c r="AA311" s="86" t="inlineStr">
        <is>
          <t>33561</t>
        </is>
      </c>
      <c r="AB311" s="86" t="inlineStr">
        <is>
          <t>6277651</t>
        </is>
      </c>
      <c r="AC311" s="87" t="inlineStr">
        <is>
          <t>Movies</t>
        </is>
      </c>
      <c r="AD311" s="76">
        <f>COUNTIF('KK1. Movies'!AI:AI,'TK 15661.Bản quyền phim '!F311)</f>
        <v/>
      </c>
      <c r="AE311" s="76">
        <f>COUNTIF('KK2. Series'!AM:AM,'TK 15661.Bản quyền phim '!F311)</f>
        <v/>
      </c>
      <c r="AF311" s="76">
        <f>COUNTIF('KK3. Kids'!AF:AF,'TK 15661.Bản quyền phim '!F311)</f>
        <v/>
      </c>
      <c r="AG311" s="76" t="n"/>
      <c r="AH311" s="76">
        <f>IF(SUM(AD311:AG311)&gt;0,"OK",0)</f>
        <v/>
      </c>
    </row>
    <row r="312" hidden="1" ht="15.6" customHeight="1" s="578">
      <c r="B312" s="74" t="inlineStr">
        <is>
          <t>K+1MOV025008</t>
        </is>
      </c>
      <c r="C312" s="708" t="inlineStr">
        <is>
          <t>VND</t>
        </is>
      </c>
      <c r="D312" s="708" t="inlineStr">
        <is>
          <t>S0002622</t>
        </is>
      </c>
      <c r="E312" s="708" t="inlineStr">
        <is>
          <t>CÔNG TY TNHH CÔNG NGHỆ VÀ GIẢI TRÍ TRUYỀN THÔNG SAO THIÊN KHÔI</t>
        </is>
      </c>
      <c r="F312" s="708" t="inlineStr">
        <is>
          <t>The Journey Of Flower</t>
        </is>
      </c>
      <c r="G312" s="708" t="inlineStr">
        <is>
          <t>Movies International</t>
        </is>
      </c>
      <c r="H312" s="83" t="n">
        <v>1</v>
      </c>
      <c r="I312" s="83" t="n">
        <v>3</v>
      </c>
      <c r="J312" s="83">
        <f>H312*I312</f>
        <v/>
      </c>
      <c r="K312" s="83" t="n">
        <v>77409524</v>
      </c>
      <c r="L312" s="83" t="n">
        <v>25803174.66666667</v>
      </c>
      <c r="M312" s="83">
        <f>J312-Q312</f>
        <v/>
      </c>
      <c r="N312" s="83">
        <f>K312-R312</f>
        <v/>
      </c>
      <c r="O312" s="517" t="n">
        <v>45779</v>
      </c>
      <c r="P312" s="517" t="n">
        <v>46874</v>
      </c>
      <c r="Q312" s="83" t="n">
        <v>0</v>
      </c>
      <c r="R312" s="84" t="n">
        <v>0</v>
      </c>
      <c r="S312" s="83" t="n">
        <v>3</v>
      </c>
      <c r="T312" s="84" t="n">
        <v>77409524</v>
      </c>
      <c r="U312" s="83" t="n">
        <v>1</v>
      </c>
      <c r="V312" s="84">
        <f>U312*L312</f>
        <v/>
      </c>
      <c r="W312" s="83">
        <f>Q312+S312-U312</f>
        <v/>
      </c>
      <c r="X312" s="84">
        <f>R312+T312-V312</f>
        <v/>
      </c>
      <c r="Y312" s="85" t="inlineStr">
        <is>
          <t>P221ZZMO01</t>
        </is>
      </c>
      <c r="Z312" s="86" t="inlineStr">
        <is>
          <t>15661</t>
        </is>
      </c>
      <c r="AA312" s="86" t="inlineStr">
        <is>
          <t>33561</t>
        </is>
      </c>
      <c r="AB312" s="86" t="inlineStr">
        <is>
          <t>6277651</t>
        </is>
      </c>
      <c r="AC312" s="87" t="inlineStr">
        <is>
          <t>Movies</t>
        </is>
      </c>
      <c r="AD312" s="76">
        <f>COUNTIF('KK1. Movies'!AI:AI,'TK 15661.Bản quyền phim '!F312)</f>
        <v/>
      </c>
      <c r="AE312" s="76">
        <f>COUNTIF('KK2. Series'!AM:AM,'TK 15661.Bản quyền phim '!F312)</f>
        <v/>
      </c>
      <c r="AF312" s="76">
        <f>COUNTIF('KK3. Kids'!AF:AF,'TK 15661.Bản quyền phim '!F312)</f>
        <v/>
      </c>
      <c r="AG312" s="76" t="n"/>
      <c r="AH312" s="76">
        <f>IF(SUM(AD312:AG312)&gt;0,"OK",0)</f>
        <v/>
      </c>
    </row>
    <row r="313" hidden="1" ht="15.6" customHeight="1" s="578">
      <c r="B313" s="74" t="inlineStr">
        <is>
          <t>K+1MOV025009</t>
        </is>
      </c>
      <c r="C313" s="708" t="inlineStr">
        <is>
          <t>VND</t>
        </is>
      </c>
      <c r="D313" s="708" t="inlineStr">
        <is>
          <t>S0002622</t>
        </is>
      </c>
      <c r="E313" s="708" t="inlineStr">
        <is>
          <t>CÔNG TY TNHH CÔNG NGHỆ VÀ GIẢI TRÍ TRUYỀN THÔNG SAO THIÊN KHÔI</t>
        </is>
      </c>
      <c r="F313" s="708" t="inlineStr">
        <is>
          <t>So Long For Love</t>
        </is>
      </c>
      <c r="G313" s="708" t="inlineStr">
        <is>
          <t>Movies International</t>
        </is>
      </c>
      <c r="H313" s="83" t="n">
        <v>1</v>
      </c>
      <c r="I313" s="83" t="n">
        <v>3</v>
      </c>
      <c r="J313" s="83">
        <f>H313*I313</f>
        <v/>
      </c>
      <c r="K313" s="83" t="n">
        <v>82247619</v>
      </c>
      <c r="L313" s="83" t="n">
        <v>27415873</v>
      </c>
      <c r="M313" s="83">
        <f>J313-Q313</f>
        <v/>
      </c>
      <c r="N313" s="83">
        <f>K313-R313</f>
        <v/>
      </c>
      <c r="O313" s="517" t="n">
        <v>45784</v>
      </c>
      <c r="P313" s="517" t="n">
        <v>46879</v>
      </c>
      <c r="Q313" s="83" t="n">
        <v>0</v>
      </c>
      <c r="R313" s="84" t="n">
        <v>0</v>
      </c>
      <c r="S313" s="83" t="n">
        <v>3</v>
      </c>
      <c r="T313" s="84" t="n">
        <v>82247619</v>
      </c>
      <c r="U313" s="83" t="n">
        <v>1</v>
      </c>
      <c r="V313" s="84">
        <f>U313*L313</f>
        <v/>
      </c>
      <c r="W313" s="83">
        <f>Q313+S313-U313</f>
        <v/>
      </c>
      <c r="X313" s="84">
        <f>R313+T313-V313</f>
        <v/>
      </c>
      <c r="Y313" s="85" t="inlineStr">
        <is>
          <t>P221ZZMO01</t>
        </is>
      </c>
      <c r="Z313" s="86" t="inlineStr">
        <is>
          <t>15661</t>
        </is>
      </c>
      <c r="AA313" s="86" t="inlineStr">
        <is>
          <t>33561</t>
        </is>
      </c>
      <c r="AB313" s="86" t="inlineStr">
        <is>
          <t>6277651</t>
        </is>
      </c>
      <c r="AC313" s="87" t="inlineStr">
        <is>
          <t>Movies</t>
        </is>
      </c>
      <c r="AD313" s="76">
        <f>COUNTIF('KK1. Movies'!AI:AI,'TK 15661.Bản quyền phim '!F313)</f>
        <v/>
      </c>
      <c r="AE313" s="76">
        <f>COUNTIF('KK2. Series'!AM:AM,'TK 15661.Bản quyền phim '!F313)</f>
        <v/>
      </c>
      <c r="AF313" s="76">
        <f>COUNTIF('KK3. Kids'!AF:AF,'TK 15661.Bản quyền phim '!F313)</f>
        <v/>
      </c>
      <c r="AG313" s="76" t="n"/>
      <c r="AH313" s="76">
        <f>IF(SUM(AD313:AG313)&gt;0,"OK",0)</f>
        <v/>
      </c>
    </row>
    <row r="314" hidden="1" ht="15.6" customHeight="1" s="578">
      <c r="B314" s="74" t="inlineStr">
        <is>
          <t>K+1MOV025010</t>
        </is>
      </c>
      <c r="C314" s="708" t="inlineStr">
        <is>
          <t>VND</t>
        </is>
      </c>
      <c r="D314" s="708" t="inlineStr">
        <is>
          <t>S0002622</t>
        </is>
      </c>
      <c r="E314" s="708" t="inlineStr">
        <is>
          <t>CÔNG TY TNHH CÔNG NGHỆ VÀ GIẢI TRÍ TRUYỀN THÔNG SAO THIÊN KHÔI</t>
        </is>
      </c>
      <c r="F314" s="708" t="inlineStr">
        <is>
          <t>BE SOMEBODY</t>
        </is>
      </c>
      <c r="G314" s="708" t="inlineStr">
        <is>
          <t>Movies International</t>
        </is>
      </c>
      <c r="H314" s="83" t="n">
        <v>1</v>
      </c>
      <c r="I314" s="83" t="n">
        <v>3</v>
      </c>
      <c r="J314" s="83">
        <f>H314*I314</f>
        <v/>
      </c>
      <c r="K314" s="83" t="n">
        <v>89504762</v>
      </c>
      <c r="L314" s="83" t="n">
        <v>29834920.66666667</v>
      </c>
      <c r="M314" s="83">
        <f>J314-Q314</f>
        <v/>
      </c>
      <c r="N314" s="83">
        <f>K314-R314</f>
        <v/>
      </c>
      <c r="O314" s="517" t="inlineStr">
        <is>
          <t>1605-2025</t>
        </is>
      </c>
      <c r="P314" s="517" t="n">
        <v>46888</v>
      </c>
      <c r="Q314" s="83" t="n">
        <v>0</v>
      </c>
      <c r="R314" s="84" t="n">
        <v>0</v>
      </c>
      <c r="S314" s="83" t="n">
        <v>3</v>
      </c>
      <c r="T314" s="84" t="n">
        <v>89504762</v>
      </c>
      <c r="U314" s="83" t="n">
        <v>1</v>
      </c>
      <c r="V314" s="84">
        <f>U314*L314</f>
        <v/>
      </c>
      <c r="W314" s="83">
        <f>Q314+S314-U314</f>
        <v/>
      </c>
      <c r="X314" s="84">
        <f>R314+T314-V314</f>
        <v/>
      </c>
      <c r="Y314" s="85" t="inlineStr">
        <is>
          <t>P221ZZMO01</t>
        </is>
      </c>
      <c r="Z314" s="86" t="inlineStr">
        <is>
          <t>15661</t>
        </is>
      </c>
      <c r="AA314" s="86" t="inlineStr">
        <is>
          <t>33561</t>
        </is>
      </c>
      <c r="AB314" s="86" t="inlineStr">
        <is>
          <t>6277651</t>
        </is>
      </c>
      <c r="AC314" s="87" t="inlineStr">
        <is>
          <t>Movies</t>
        </is>
      </c>
      <c r="AD314" s="76">
        <f>COUNTIF('KK1. Movies'!AI:AI,'TK 15661.Bản quyền phim '!F314)</f>
        <v/>
      </c>
      <c r="AE314" s="76">
        <f>COUNTIF('KK2. Series'!AM:AM,'TK 15661.Bản quyền phim '!F314)</f>
        <v/>
      </c>
      <c r="AF314" s="76">
        <f>COUNTIF('KK3. Kids'!AF:AF,'TK 15661.Bản quyền phim '!F314)</f>
        <v/>
      </c>
      <c r="AG314" s="76" t="n"/>
      <c r="AH314" s="76">
        <f>IF(SUM(AD314:AG314)&gt;0,"OK",0)</f>
        <v/>
      </c>
    </row>
    <row r="315" hidden="1" ht="15.6" customHeight="1" s="578">
      <c r="B315" s="74" t="inlineStr">
        <is>
          <t>K+2MOV025011</t>
        </is>
      </c>
      <c r="C315" s="708" t="inlineStr">
        <is>
          <t>VND</t>
        </is>
      </c>
      <c r="D315" s="708" t="inlineStr">
        <is>
          <t>S0002622</t>
        </is>
      </c>
      <c r="E315" s="708" t="inlineStr">
        <is>
          <t>CÔNG TY TNHH CÔNG NGHỆ VÀ GIẢI TRÍ TRUYỀN THÔNG SAO THIÊN KHÔI</t>
        </is>
      </c>
      <c r="F315" s="708" t="inlineStr">
        <is>
          <t>REVIVAL</t>
        </is>
      </c>
      <c r="G315" s="708" t="inlineStr">
        <is>
          <t>Movies International</t>
        </is>
      </c>
      <c r="H315" s="83" t="n">
        <v>1</v>
      </c>
      <c r="I315" s="83" t="n">
        <v>3</v>
      </c>
      <c r="J315" s="83">
        <f>H315*I315</f>
        <v/>
      </c>
      <c r="K315" s="83" t="n">
        <v>84666667</v>
      </c>
      <c r="L315" s="83" t="n">
        <v>28222222.33333333</v>
      </c>
      <c r="M315" s="83">
        <f>J315-Q315</f>
        <v/>
      </c>
      <c r="N315" s="83">
        <f>K315-R315</f>
        <v/>
      </c>
      <c r="O315" s="517" t="n">
        <v>45813</v>
      </c>
      <c r="P315" s="517" t="n">
        <v>46908</v>
      </c>
      <c r="Q315" s="83" t="n">
        <v>0</v>
      </c>
      <c r="R315" s="84" t="n">
        <v>0</v>
      </c>
      <c r="S315" s="83" t="n">
        <v>3</v>
      </c>
      <c r="T315" s="84" t="n">
        <v>84666667</v>
      </c>
      <c r="U315" s="83" t="n">
        <v>1</v>
      </c>
      <c r="V315" s="84">
        <f>U315*L315</f>
        <v/>
      </c>
      <c r="W315" s="83">
        <f>Q315+S315-U315</f>
        <v/>
      </c>
      <c r="X315" s="84">
        <f>R315+T315-V315</f>
        <v/>
      </c>
      <c r="Y315" s="85" t="inlineStr">
        <is>
          <t>P221ZZMO01</t>
        </is>
      </c>
      <c r="Z315" s="86" t="inlineStr">
        <is>
          <t>15661</t>
        </is>
      </c>
      <c r="AA315" s="86" t="inlineStr">
        <is>
          <t>33561</t>
        </is>
      </c>
      <c r="AB315" s="86" t="inlineStr">
        <is>
          <t>6277651</t>
        </is>
      </c>
      <c r="AC315" s="87" t="inlineStr">
        <is>
          <t>Movies</t>
        </is>
      </c>
      <c r="AD315" s="76">
        <f>COUNTIF('KK1. Movies'!AI:AI,'TK 15661.Bản quyền phim '!F315)</f>
        <v/>
      </c>
      <c r="AE315" s="76">
        <f>COUNTIF('KK2. Series'!AM:AM,'TK 15661.Bản quyền phim '!F315)</f>
        <v/>
      </c>
      <c r="AF315" s="76">
        <f>COUNTIF('KK3. Kids'!AF:AF,'TK 15661.Bản quyền phim '!F315)</f>
        <v/>
      </c>
      <c r="AG315" s="76" t="n"/>
      <c r="AH315" s="76">
        <f>IF(SUM(AD315:AG315)&gt;0,"OK",0)</f>
        <v/>
      </c>
    </row>
    <row r="316" hidden="1" ht="15.6" customHeight="1" s="578">
      <c r="B316" s="74" t="inlineStr">
        <is>
          <t>K+1MOV025012</t>
        </is>
      </c>
      <c r="C316" s="708" t="inlineStr">
        <is>
          <t>VND</t>
        </is>
      </c>
      <c r="D316" s="708" t="inlineStr">
        <is>
          <t>S0002622</t>
        </is>
      </c>
      <c r="E316" s="708" t="inlineStr">
        <is>
          <t>CÔNG TY TNHH CÔNG NGHỆ VÀ GIẢI TRÍ TRUYỀN THÔNG SAO THIÊN KHÔI</t>
        </is>
      </c>
      <c r="F316" s="708" t="inlineStr">
        <is>
          <t>HEART’S MOTIVE</t>
        </is>
      </c>
      <c r="G316" s="708" t="inlineStr">
        <is>
          <t>Movies International</t>
        </is>
      </c>
      <c r="H316" s="83" t="n">
        <v>1</v>
      </c>
      <c r="I316" s="83" t="n">
        <v>3</v>
      </c>
      <c r="J316" s="83">
        <f>H316*I316</f>
        <v/>
      </c>
      <c r="K316" s="83" t="n">
        <v>82247619</v>
      </c>
      <c r="L316" s="83" t="n">
        <v>27415873</v>
      </c>
      <c r="M316" s="83">
        <f>J316-Q316</f>
        <v/>
      </c>
      <c r="N316" s="83">
        <f>K316-R316</f>
        <v/>
      </c>
      <c r="O316" s="517" t="n">
        <v>45877</v>
      </c>
      <c r="P316" s="517" t="n">
        <v>46972</v>
      </c>
      <c r="Q316" s="83" t="n">
        <v>0</v>
      </c>
      <c r="R316" s="84" t="n">
        <v>0</v>
      </c>
      <c r="S316" s="83" t="n">
        <v>3</v>
      </c>
      <c r="T316" s="84" t="n">
        <v>82247619</v>
      </c>
      <c r="U316" s="83" t="n">
        <v>1</v>
      </c>
      <c r="V316" s="84">
        <f>U316*L316</f>
        <v/>
      </c>
      <c r="W316" s="83">
        <f>Q316+S316-U316</f>
        <v/>
      </c>
      <c r="X316" s="84">
        <f>R316+T316-V316</f>
        <v/>
      </c>
      <c r="Y316" s="85" t="inlineStr">
        <is>
          <t>P221ZZMO01</t>
        </is>
      </c>
      <c r="Z316" s="86" t="inlineStr">
        <is>
          <t>15661</t>
        </is>
      </c>
      <c r="AA316" s="86" t="inlineStr">
        <is>
          <t>33561</t>
        </is>
      </c>
      <c r="AB316" s="86" t="inlineStr">
        <is>
          <t>6277651</t>
        </is>
      </c>
      <c r="AC316" s="87" t="inlineStr">
        <is>
          <t>Movies</t>
        </is>
      </c>
      <c r="AD316" s="76">
        <f>COUNTIF('KK1. Movies'!AI:AI,'TK 15661.Bản quyền phim '!F316)</f>
        <v/>
      </c>
      <c r="AE316" s="76">
        <f>COUNTIF('KK2. Series'!AM:AM,'TK 15661.Bản quyền phim '!F316)</f>
        <v/>
      </c>
      <c r="AF316" s="76">
        <f>COUNTIF('KK3. Kids'!AF:AF,'TK 15661.Bản quyền phim '!F316)</f>
        <v/>
      </c>
      <c r="AG316" s="76" t="n"/>
      <c r="AH316" s="76">
        <f>IF(SUM(AD316:AG316)&gt;0,"OK",0)</f>
        <v/>
      </c>
    </row>
    <row r="317" hidden="1" ht="15.6" customHeight="1" s="578">
      <c r="B317" s="74" t="inlineStr">
        <is>
          <t>K+1MOV025013</t>
        </is>
      </c>
      <c r="C317" s="708" t="inlineStr">
        <is>
          <t>VND</t>
        </is>
      </c>
      <c r="D317" s="708" t="inlineStr">
        <is>
          <t>S0002622</t>
        </is>
      </c>
      <c r="E317" s="708" t="inlineStr">
        <is>
          <t>CÔNG TY TNHH CÔNG NGHỆ VÀ GIẢI TRÍ TRUYỀN THÔNG SAO THIÊN KHÔI</t>
        </is>
      </c>
      <c r="F317" s="708" t="inlineStr">
        <is>
          <t>MOON MAN</t>
        </is>
      </c>
      <c r="G317" s="708" t="inlineStr">
        <is>
          <t>Movies International</t>
        </is>
      </c>
      <c r="H317" s="83" t="n">
        <v>1</v>
      </c>
      <c r="I317" s="83" t="n">
        <v>3</v>
      </c>
      <c r="J317" s="83">
        <f>H317*I317</f>
        <v/>
      </c>
      <c r="K317" s="83" t="n">
        <v>89504762</v>
      </c>
      <c r="L317" s="83" t="n">
        <v>29834920.66666667</v>
      </c>
      <c r="M317" s="83">
        <f>J317-Q317</f>
        <v/>
      </c>
      <c r="N317" s="83">
        <f>K317-R317</f>
        <v/>
      </c>
      <c r="O317" s="517" t="n">
        <v>45884</v>
      </c>
      <c r="P317" s="517" t="n">
        <v>46979</v>
      </c>
      <c r="Q317" s="83" t="n">
        <v>0</v>
      </c>
      <c r="R317" s="84" t="n">
        <v>0</v>
      </c>
      <c r="S317" s="83" t="n">
        <v>3</v>
      </c>
      <c r="T317" s="84" t="n">
        <v>89504762</v>
      </c>
      <c r="U317" s="83" t="n">
        <v>1</v>
      </c>
      <c r="V317" s="84">
        <f>U317*L317</f>
        <v/>
      </c>
      <c r="W317" s="83">
        <f>Q317+S317-U317</f>
        <v/>
      </c>
      <c r="X317" s="84">
        <f>R317+T317-V317</f>
        <v/>
      </c>
      <c r="Y317" s="85" t="inlineStr">
        <is>
          <t>P221ZZMO01</t>
        </is>
      </c>
      <c r="Z317" s="86" t="inlineStr">
        <is>
          <t>15661</t>
        </is>
      </c>
      <c r="AA317" s="86" t="inlineStr">
        <is>
          <t>33561</t>
        </is>
      </c>
      <c r="AB317" s="86" t="inlineStr">
        <is>
          <t>6277651</t>
        </is>
      </c>
      <c r="AC317" s="87" t="inlineStr">
        <is>
          <t>Movies</t>
        </is>
      </c>
      <c r="AD317" s="76">
        <f>COUNTIF('KK1. Movies'!AI:AI,'TK 15661.Bản quyền phim '!F317)</f>
        <v/>
      </c>
      <c r="AE317" s="76">
        <f>COUNTIF('KK2. Series'!AM:AM,'TK 15661.Bản quyền phim '!F317)</f>
        <v/>
      </c>
      <c r="AF317" s="76">
        <f>COUNTIF('KK3. Kids'!AF:AF,'TK 15661.Bản quyền phim '!F317)</f>
        <v/>
      </c>
      <c r="AG317" s="76" t="n"/>
      <c r="AH317" s="76">
        <f>IF(SUM(AD317:AG317)&gt;0,"OK",0)</f>
        <v/>
      </c>
    </row>
    <row r="318" hidden="1" ht="15.6" customHeight="1" s="578">
      <c r="B318" s="74" t="inlineStr">
        <is>
          <t>K+1MOV025014</t>
        </is>
      </c>
      <c r="C318" s="708" t="inlineStr">
        <is>
          <t>VND</t>
        </is>
      </c>
      <c r="D318" s="708" t="inlineStr">
        <is>
          <t>S0002622</t>
        </is>
      </c>
      <c r="E318" s="708" t="inlineStr">
        <is>
          <t>CÔNG TY TNHH CÔNG NGHỆ VÀ GIẢI TRÍ TRUYỀN THÔNG SAO THIÊN KHÔI</t>
        </is>
      </c>
      <c r="F318" s="708" t="inlineStr">
        <is>
          <t>Lose to Win</t>
        </is>
      </c>
      <c r="G318" s="708" t="inlineStr">
        <is>
          <t>Movies International</t>
        </is>
      </c>
      <c r="H318" s="83" t="n">
        <v>1</v>
      </c>
      <c r="I318" s="83" t="n">
        <v>3</v>
      </c>
      <c r="J318" s="83">
        <f>H318*I318</f>
        <v/>
      </c>
      <c r="K318" s="83" t="n">
        <v>84666667</v>
      </c>
      <c r="L318" s="83" t="n">
        <v>28222222.33333333</v>
      </c>
      <c r="M318" s="83">
        <f>J318-Q318</f>
        <v/>
      </c>
      <c r="N318" s="83">
        <f>K318-R318</f>
        <v/>
      </c>
      <c r="O318" s="517" t="n">
        <v>45896</v>
      </c>
      <c r="P318" s="517" t="n">
        <v>46991</v>
      </c>
      <c r="Q318" s="83" t="n">
        <v>0</v>
      </c>
      <c r="R318" s="84" t="n">
        <v>0</v>
      </c>
      <c r="S318" s="83" t="n">
        <v>3</v>
      </c>
      <c r="T318" s="84" t="n">
        <v>84666667</v>
      </c>
      <c r="U318" s="83" t="n">
        <v>1</v>
      </c>
      <c r="V318" s="84">
        <f>U318*L318</f>
        <v/>
      </c>
      <c r="W318" s="83">
        <f>Q318+S318-U318</f>
        <v/>
      </c>
      <c r="X318" s="84">
        <f>R318+T318-V318</f>
        <v/>
      </c>
      <c r="Y318" s="85" t="inlineStr">
        <is>
          <t>P221ZZMO01</t>
        </is>
      </c>
      <c r="Z318" s="86" t="inlineStr">
        <is>
          <t>15661</t>
        </is>
      </c>
      <c r="AA318" s="86" t="inlineStr">
        <is>
          <t>33561</t>
        </is>
      </c>
      <c r="AB318" s="86" t="inlineStr">
        <is>
          <t>6277651</t>
        </is>
      </c>
      <c r="AC318" s="87" t="inlineStr">
        <is>
          <t>Movies</t>
        </is>
      </c>
      <c r="AD318" s="76">
        <f>COUNTIF('KK1. Movies'!AI:AI,'TK 15661.Bản quyền phim '!F318)</f>
        <v/>
      </c>
      <c r="AE318" s="76">
        <f>COUNTIF('KK2. Series'!AM:AM,'TK 15661.Bản quyền phim '!F318)</f>
        <v/>
      </c>
      <c r="AF318" s="76">
        <f>COUNTIF('KK3. Kids'!AF:AF,'TK 15661.Bản quyền phim '!F318)</f>
        <v/>
      </c>
      <c r="AG318" s="76" t="n"/>
      <c r="AH318" s="76">
        <f>IF(SUM(AD318:AG318)&gt;0,"OK",0)</f>
        <v/>
      </c>
    </row>
    <row r="319" hidden="1" ht="15.6" customHeight="1" s="578">
      <c r="B319" s="74" t="inlineStr">
        <is>
          <t>K+1MOV025015</t>
        </is>
      </c>
      <c r="C319" s="708" t="inlineStr">
        <is>
          <t>VND</t>
        </is>
      </c>
      <c r="D319" s="708" t="inlineStr">
        <is>
          <t>S0002622</t>
        </is>
      </c>
      <c r="E319" s="708" t="inlineStr">
        <is>
          <t>CÔNG TY TNHH CÔNG NGHỆ VÀ GIẢI TRÍ TRUYỀN THÔNG SAO THIÊN KHÔI</t>
        </is>
      </c>
      <c r="F319" s="708" t="inlineStr">
        <is>
          <t>HI, MOM</t>
        </is>
      </c>
      <c r="G319" s="708" t="inlineStr">
        <is>
          <t>Movies International</t>
        </is>
      </c>
      <c r="H319" s="83" t="n">
        <v>1</v>
      </c>
      <c r="I319" s="83" t="n">
        <v>3</v>
      </c>
      <c r="J319" s="83">
        <f>H319*I319</f>
        <v/>
      </c>
      <c r="K319" s="83" t="n">
        <v>91923810</v>
      </c>
      <c r="L319" s="83" t="n">
        <v>30641270</v>
      </c>
      <c r="M319" s="83">
        <f>J319-Q319</f>
        <v/>
      </c>
      <c r="N319" s="83">
        <f>K319-R319</f>
        <v/>
      </c>
      <c r="O319" s="517" t="n">
        <v>45945</v>
      </c>
      <c r="P319" s="517" t="n">
        <v>47040</v>
      </c>
      <c r="Q319" s="83" t="n">
        <v>0</v>
      </c>
      <c r="R319" s="84" t="n">
        <v>0</v>
      </c>
      <c r="S319" s="83" t="n">
        <v>3</v>
      </c>
      <c r="T319" s="84" t="n">
        <v>91923810</v>
      </c>
      <c r="U319" s="83" t="n">
        <v>1</v>
      </c>
      <c r="V319" s="84">
        <f>U319*L319</f>
        <v/>
      </c>
      <c r="W319" s="83">
        <f>Q319+S319-U319</f>
        <v/>
      </c>
      <c r="X319" s="84">
        <f>R319+T319-V319</f>
        <v/>
      </c>
      <c r="Y319" s="85" t="inlineStr">
        <is>
          <t>P221ZZMO01</t>
        </is>
      </c>
      <c r="Z319" s="86" t="inlineStr">
        <is>
          <t>15661</t>
        </is>
      </c>
      <c r="AA319" s="86" t="inlineStr">
        <is>
          <t>33561</t>
        </is>
      </c>
      <c r="AB319" s="86" t="inlineStr">
        <is>
          <t>6277651</t>
        </is>
      </c>
      <c r="AC319" s="87" t="inlineStr">
        <is>
          <t>Movies</t>
        </is>
      </c>
      <c r="AD319" s="76">
        <f>COUNTIF('KK1. Movies'!AI:AI,'TK 15661.Bản quyền phim '!F319)</f>
        <v/>
      </c>
      <c r="AE319" s="76">
        <f>COUNTIF('KK2. Series'!AM:AM,'TK 15661.Bản quyền phim '!F319)</f>
        <v/>
      </c>
      <c r="AF319" s="76">
        <f>COUNTIF('KK3. Kids'!AF:AF,'TK 15661.Bản quyền phim '!F319)</f>
        <v/>
      </c>
      <c r="AG319" s="76" t="n"/>
      <c r="AH319" s="76">
        <f>IF(SUM(AD319:AG319)&gt;0,"OK",0)</f>
        <v/>
      </c>
    </row>
    <row r="320" hidden="1" s="578">
      <c r="B320" s="74" t="inlineStr">
        <is>
          <t>K+1MOV025016</t>
        </is>
      </c>
      <c r="C320" s="708" t="inlineStr">
        <is>
          <t>VND</t>
        </is>
      </c>
      <c r="D320" s="708" t="inlineStr">
        <is>
          <t>S0002622</t>
        </is>
      </c>
      <c r="E320" s="708" t="inlineStr">
        <is>
          <t>CÔNG TY TNHH CÔNG NGHỆ VÀ GIẢI TRÍ TRUYỀN THÔNG SAO THIÊN KHÔI</t>
        </is>
      </c>
      <c r="F320" s="708" t="inlineStr">
        <is>
          <t>Anti -piracy-contract 15 movies STK 2025</t>
        </is>
      </c>
      <c r="G320" s="708" t="inlineStr">
        <is>
          <t>Movies International</t>
        </is>
      </c>
      <c r="H320" s="83" t="n">
        <v>1</v>
      </c>
      <c r="I320" s="83" t="n">
        <v>1</v>
      </c>
      <c r="J320" s="83">
        <f>H320*I320</f>
        <v/>
      </c>
      <c r="K320" s="83" t="n">
        <v>-24761905</v>
      </c>
      <c r="L320" s="83" t="n">
        <v>-24761905</v>
      </c>
      <c r="M320" s="83">
        <f>J320-Q320</f>
        <v/>
      </c>
      <c r="N320" s="83">
        <f>K320-R320</f>
        <v/>
      </c>
      <c r="O320" s="517" t="n">
        <v>45665</v>
      </c>
      <c r="P320" s="517" t="n">
        <v>46029</v>
      </c>
      <c r="Q320" s="83" t="n">
        <v>0</v>
      </c>
      <c r="R320" s="84" t="n">
        <v>0</v>
      </c>
      <c r="S320" s="83" t="n">
        <v>1</v>
      </c>
      <c r="T320" s="84" t="n">
        <v>-24761905</v>
      </c>
      <c r="U320" s="83" t="n">
        <v>1</v>
      </c>
      <c r="V320" s="84">
        <f>U320*L320</f>
        <v/>
      </c>
      <c r="W320" s="83">
        <f>Q320+S320-U320</f>
        <v/>
      </c>
      <c r="X320" s="84">
        <f>R320+T320-V320</f>
        <v/>
      </c>
      <c r="Y320" s="85" t="inlineStr">
        <is>
          <t>P221ZZMO01</t>
        </is>
      </c>
      <c r="Z320" s="86" t="inlineStr">
        <is>
          <t>15661</t>
        </is>
      </c>
      <c r="AA320" s="86" t="inlineStr">
        <is>
          <t>33561</t>
        </is>
      </c>
      <c r="AB320" s="86" t="inlineStr">
        <is>
          <t>6277651</t>
        </is>
      </c>
      <c r="AC320" s="86" t="n"/>
      <c r="AD320" s="76">
        <f>COUNTIF('KK1. Movies'!AI:AI,'TK 15661.Bản quyền phim '!F320)</f>
        <v/>
      </c>
      <c r="AE320" s="76">
        <f>COUNTIF('KK2. Series'!AM:AM,'TK 15661.Bản quyền phim '!F320)</f>
        <v/>
      </c>
      <c r="AF320" s="76">
        <f>COUNTIF('KK3. Kids'!AF:AF,'TK 15661.Bản quyền phim '!F320)</f>
        <v/>
      </c>
      <c r="AG320" s="76" t="n"/>
      <c r="AH320" s="76">
        <f>IF(SUM(AD320:AG320)&gt;0,"OK",0)</f>
        <v/>
      </c>
    </row>
    <row r="321" hidden="1" s="578">
      <c r="B321" s="74" t="inlineStr">
        <is>
          <t>K+1MOV025017</t>
        </is>
      </c>
      <c r="C321" s="708" t="inlineStr">
        <is>
          <t>VND</t>
        </is>
      </c>
      <c r="D321" s="708" t="inlineStr">
        <is>
          <t>S0001804</t>
        </is>
      </c>
      <c r="E321" s="708" t="inlineStr">
        <is>
          <t>CÔNG TY TNHH TRUYỀN THÔNG ROSES</t>
        </is>
      </c>
      <c r="F321" s="708" t="inlineStr">
        <is>
          <t>Retribution</t>
        </is>
      </c>
      <c r="G321" s="708" t="inlineStr">
        <is>
          <t>Movies International</t>
        </is>
      </c>
      <c r="H321" s="83" t="n">
        <v>1</v>
      </c>
      <c r="I321" s="83" t="n">
        <v>3</v>
      </c>
      <c r="J321" s="83">
        <f>H321*I321</f>
        <v/>
      </c>
      <c r="K321" s="83" t="n">
        <v>90476190</v>
      </c>
      <c r="L321" s="83" t="n">
        <v>30158730</v>
      </c>
      <c r="M321" s="83">
        <f>J321-Q321</f>
        <v/>
      </c>
      <c r="N321" s="83">
        <f>K321-R321</f>
        <v/>
      </c>
      <c r="O321" s="517" t="n">
        <v>45659</v>
      </c>
      <c r="P321" s="517" t="n">
        <v>46753</v>
      </c>
      <c r="Q321" s="83" t="n">
        <v>0</v>
      </c>
      <c r="R321" s="84" t="n">
        <v>0</v>
      </c>
      <c r="S321" s="83" t="n">
        <v>3</v>
      </c>
      <c r="T321" s="84" t="n">
        <v>90476190</v>
      </c>
      <c r="U321" s="83" t="n">
        <v>1</v>
      </c>
      <c r="V321" s="84">
        <f>U321*L321</f>
        <v/>
      </c>
      <c r="W321" s="83">
        <f>Q321+S321-U321</f>
        <v/>
      </c>
      <c r="X321" s="84">
        <f>R321+T321-V321</f>
        <v/>
      </c>
      <c r="Y321" s="85" t="inlineStr">
        <is>
          <t>P221ZZMO01</t>
        </is>
      </c>
      <c r="Z321" s="86" t="inlineStr">
        <is>
          <t>15661</t>
        </is>
      </c>
      <c r="AA321" s="86" t="inlineStr">
        <is>
          <t>33561</t>
        </is>
      </c>
      <c r="AB321" s="86" t="inlineStr">
        <is>
          <t>6277651</t>
        </is>
      </c>
      <c r="AC321" s="86" t="n"/>
      <c r="AD321" s="76">
        <f>COUNTIF('KK1. Movies'!AI:AI,'TK 15661.Bản quyền phim '!F321)</f>
        <v/>
      </c>
      <c r="AE321" s="76">
        <f>COUNTIF('KK2. Series'!AM:AM,'TK 15661.Bản quyền phim '!F321)</f>
        <v/>
      </c>
      <c r="AF321" s="76">
        <f>COUNTIF('KK3. Kids'!AF:AF,'TK 15661.Bản quyền phim '!F321)</f>
        <v/>
      </c>
      <c r="AG321" s="76" t="n"/>
      <c r="AH321" s="76">
        <f>IF(SUM(AD321:AG321)&gt;0,"OK",0)</f>
        <v/>
      </c>
    </row>
    <row r="322" hidden="1" ht="15.6" customHeight="1" s="578">
      <c r="B322" s="74" t="inlineStr">
        <is>
          <t>K+1MOV025018</t>
        </is>
      </c>
      <c r="C322" s="708" t="inlineStr">
        <is>
          <t>VND</t>
        </is>
      </c>
      <c r="D322" s="708" t="inlineStr">
        <is>
          <t>S0001804</t>
        </is>
      </c>
      <c r="E322" s="708" t="inlineStr">
        <is>
          <t>CÔNG TY TNHH TRUYỀN THÔNG ROSES</t>
        </is>
      </c>
      <c r="F322" s="708" t="inlineStr">
        <is>
          <t>The Green Knight</t>
        </is>
      </c>
      <c r="G322" s="708" t="inlineStr">
        <is>
          <t>Movies International</t>
        </is>
      </c>
      <c r="H322" s="83" t="n">
        <v>1</v>
      </c>
      <c r="I322" s="83" t="n">
        <v>3</v>
      </c>
      <c r="J322" s="83">
        <f>H322*I322</f>
        <v/>
      </c>
      <c r="K322" s="83" t="n">
        <v>80952381</v>
      </c>
      <c r="L322" s="83" t="n">
        <v>26984127</v>
      </c>
      <c r="M322" s="83">
        <f>J322-Q322</f>
        <v/>
      </c>
      <c r="N322" s="83">
        <f>K322-R322</f>
        <v/>
      </c>
      <c r="O322" s="517" t="n">
        <v>45673</v>
      </c>
      <c r="P322" s="517" t="n">
        <v>46767</v>
      </c>
      <c r="Q322" s="83" t="n">
        <v>0</v>
      </c>
      <c r="R322" s="84" t="n">
        <v>0</v>
      </c>
      <c r="S322" s="83" t="n">
        <v>3</v>
      </c>
      <c r="T322" s="84" t="n">
        <v>80952381</v>
      </c>
      <c r="U322" s="83" t="n">
        <v>1</v>
      </c>
      <c r="V322" s="84">
        <f>U322*L322</f>
        <v/>
      </c>
      <c r="W322" s="83">
        <f>Q322+S322-U322</f>
        <v/>
      </c>
      <c r="X322" s="84">
        <f>R322+T322-V322</f>
        <v/>
      </c>
      <c r="Y322" s="85" t="inlineStr">
        <is>
          <t>P221ZZMO01</t>
        </is>
      </c>
      <c r="Z322" s="86" t="inlineStr">
        <is>
          <t>15661</t>
        </is>
      </c>
      <c r="AA322" s="86" t="inlineStr">
        <is>
          <t>33561</t>
        </is>
      </c>
      <c r="AB322" s="86" t="inlineStr">
        <is>
          <t>6277651</t>
        </is>
      </c>
      <c r="AC322" s="87" t="inlineStr">
        <is>
          <t>Movies</t>
        </is>
      </c>
      <c r="AD322" s="76">
        <f>COUNTIF('KK1. Movies'!AI:AI,'TK 15661.Bản quyền phim '!F322)</f>
        <v/>
      </c>
      <c r="AE322" s="76">
        <f>COUNTIF('KK2. Series'!AM:AM,'TK 15661.Bản quyền phim '!F322)</f>
        <v/>
      </c>
      <c r="AF322" s="76">
        <f>COUNTIF('KK3. Kids'!AF:AF,'TK 15661.Bản quyền phim '!F322)</f>
        <v/>
      </c>
      <c r="AG322" s="76" t="n"/>
      <c r="AH322" s="76">
        <f>IF(SUM(AD322:AG322)&gt;0,"OK",0)</f>
        <v/>
      </c>
    </row>
    <row r="323" hidden="1" s="578">
      <c r="B323" s="74" t="inlineStr">
        <is>
          <t>K+1MOV025019</t>
        </is>
      </c>
      <c r="C323" s="708" t="inlineStr">
        <is>
          <t>VND</t>
        </is>
      </c>
      <c r="D323" s="708" t="inlineStr">
        <is>
          <t>S0001804</t>
        </is>
      </c>
      <c r="E323" s="708" t="inlineStr">
        <is>
          <t>CÔNG TY TNHH TRUYỀN THÔNG ROSES</t>
        </is>
      </c>
      <c r="F323" s="708" t="inlineStr">
        <is>
          <t>The Hunger Games: Ballad of Songbirds and Snakes</t>
        </is>
      </c>
      <c r="G323" s="708" t="inlineStr">
        <is>
          <t>Movies International</t>
        </is>
      </c>
      <c r="H323" s="83" t="n">
        <v>1</v>
      </c>
      <c r="I323" s="83" t="n">
        <v>3</v>
      </c>
      <c r="J323" s="83">
        <f>H323*I323</f>
        <v/>
      </c>
      <c r="K323" s="83" t="n">
        <v>85714286</v>
      </c>
      <c r="L323" s="83" t="n">
        <v>28571428.66666667</v>
      </c>
      <c r="M323" s="83">
        <f>J323-Q323</f>
        <v/>
      </c>
      <c r="N323" s="83">
        <f>K323-R323</f>
        <v/>
      </c>
      <c r="O323" s="517" t="n">
        <v>45681</v>
      </c>
      <c r="P323" s="517" t="n">
        <v>46775</v>
      </c>
      <c r="Q323" s="83" t="n">
        <v>0</v>
      </c>
      <c r="R323" s="84" t="n">
        <v>0</v>
      </c>
      <c r="S323" s="83" t="n">
        <v>3</v>
      </c>
      <c r="T323" s="84" t="n">
        <v>85714286</v>
      </c>
      <c r="U323" s="83" t="n">
        <v>1</v>
      </c>
      <c r="V323" s="84">
        <f>U323*L323</f>
        <v/>
      </c>
      <c r="W323" s="83">
        <f>Q323+S323-U323</f>
        <v/>
      </c>
      <c r="X323" s="84">
        <f>R323+T323-V323</f>
        <v/>
      </c>
      <c r="Y323" s="85" t="inlineStr">
        <is>
          <t>P221ZZMO01</t>
        </is>
      </c>
      <c r="Z323" s="86" t="inlineStr">
        <is>
          <t>15661</t>
        </is>
      </c>
      <c r="AA323" s="86" t="inlineStr">
        <is>
          <t>33561</t>
        </is>
      </c>
      <c r="AB323" s="86" t="inlineStr">
        <is>
          <t>6277651</t>
        </is>
      </c>
      <c r="AC323" s="86" t="n"/>
      <c r="AD323" s="76">
        <f>COUNTIF('KK1. Movies'!AI:AI,'TK 15661.Bản quyền phim '!F323)</f>
        <v/>
      </c>
      <c r="AE323" s="76">
        <f>COUNTIF('KK2. Series'!AM:AM,'TK 15661.Bản quyền phim '!F323)</f>
        <v/>
      </c>
      <c r="AF323" s="76">
        <f>COUNTIF('KK3. Kids'!AF:AF,'TK 15661.Bản quyền phim '!F323)</f>
        <v/>
      </c>
      <c r="AG323" s="76" t="n"/>
      <c r="AH323" s="76">
        <f>IF(SUM(AD323:AG323)&gt;0,"OK",0)</f>
        <v/>
      </c>
    </row>
    <row r="324" hidden="1" ht="15.6" customHeight="1" s="578">
      <c r="B324" s="74" t="inlineStr">
        <is>
          <t>K+2MOV025020</t>
        </is>
      </c>
      <c r="C324" s="708" t="inlineStr">
        <is>
          <t>VND</t>
        </is>
      </c>
      <c r="D324" s="708" t="inlineStr">
        <is>
          <t>S0001804</t>
        </is>
      </c>
      <c r="E324" s="708" t="inlineStr">
        <is>
          <t>CÔNG TY TNHH TRUYỀN THÔNG ROSES</t>
        </is>
      </c>
      <c r="F324" s="708" t="inlineStr">
        <is>
          <t>Misanthrope</t>
        </is>
      </c>
      <c r="G324" s="708" t="inlineStr">
        <is>
          <t>Movies International</t>
        </is>
      </c>
      <c r="H324" s="83" t="n">
        <v>1</v>
      </c>
      <c r="I324" s="83" t="n">
        <v>3</v>
      </c>
      <c r="J324" s="83">
        <f>H324*I324</f>
        <v/>
      </c>
      <c r="K324" s="83" t="n">
        <v>90476190</v>
      </c>
      <c r="L324" s="83" t="n">
        <v>30158730</v>
      </c>
      <c r="M324" s="83">
        <f>J324-Q324</f>
        <v/>
      </c>
      <c r="N324" s="83">
        <f>K324-R324</f>
        <v/>
      </c>
      <c r="O324" s="517" t="n">
        <v>45694</v>
      </c>
      <c r="P324" s="517" t="n">
        <v>46788</v>
      </c>
      <c r="Q324" s="83" t="n">
        <v>0</v>
      </c>
      <c r="R324" s="84" t="n">
        <v>0</v>
      </c>
      <c r="S324" s="83" t="n">
        <v>3</v>
      </c>
      <c r="T324" s="84" t="n">
        <v>90476190</v>
      </c>
      <c r="U324" s="83" t="n">
        <v>1</v>
      </c>
      <c r="V324" s="84">
        <f>U324*L324</f>
        <v/>
      </c>
      <c r="W324" s="83">
        <f>Q324+S324-U324</f>
        <v/>
      </c>
      <c r="X324" s="84">
        <f>R324+T324-V324</f>
        <v/>
      </c>
      <c r="Y324" s="85" t="inlineStr">
        <is>
          <t>P221ZZMO01</t>
        </is>
      </c>
      <c r="Z324" s="86" t="inlineStr">
        <is>
          <t>15661</t>
        </is>
      </c>
      <c r="AA324" s="86" t="inlineStr">
        <is>
          <t>33561</t>
        </is>
      </c>
      <c r="AB324" s="86" t="inlineStr">
        <is>
          <t>6277651</t>
        </is>
      </c>
      <c r="AC324" s="87" t="inlineStr">
        <is>
          <t>Movies</t>
        </is>
      </c>
      <c r="AD324" s="76">
        <f>COUNTIF('KK1. Movies'!AI:AI,'TK 15661.Bản quyền phim '!F324)</f>
        <v/>
      </c>
      <c r="AE324" s="76">
        <f>COUNTIF('KK2. Series'!AM:AM,'TK 15661.Bản quyền phim '!F324)</f>
        <v/>
      </c>
      <c r="AF324" s="76">
        <f>COUNTIF('KK3. Kids'!AF:AF,'TK 15661.Bản quyền phim '!F324)</f>
        <v/>
      </c>
      <c r="AG324" s="76" t="n"/>
      <c r="AH324" s="76">
        <f>IF(SUM(AD324:AG324)&gt;0,"OK",0)</f>
        <v/>
      </c>
    </row>
    <row r="325" hidden="1" ht="15.6" customHeight="1" s="578">
      <c r="B325" s="74" t="inlineStr">
        <is>
          <t>K+1MOV025021</t>
        </is>
      </c>
      <c r="C325" s="708" t="inlineStr">
        <is>
          <t>VND</t>
        </is>
      </c>
      <c r="D325" s="708" t="inlineStr">
        <is>
          <t>S0001804</t>
        </is>
      </c>
      <c r="E325" s="708" t="inlineStr">
        <is>
          <t>CÔNG TY TNHH TRUYỀN THÔNG ROSES</t>
        </is>
      </c>
      <c r="F325" s="708" t="inlineStr">
        <is>
          <t>Submergence</t>
        </is>
      </c>
      <c r="G325" s="708" t="inlineStr">
        <is>
          <t>Movies International</t>
        </is>
      </c>
      <c r="H325" s="83" t="n">
        <v>1</v>
      </c>
      <c r="I325" s="83" t="n">
        <v>3</v>
      </c>
      <c r="J325" s="83">
        <f>H325*I325</f>
        <v/>
      </c>
      <c r="K325" s="83" t="n">
        <v>68571429</v>
      </c>
      <c r="L325" s="83" t="n">
        <v>22857143</v>
      </c>
      <c r="M325" s="83">
        <f>J325-Q325</f>
        <v/>
      </c>
      <c r="N325" s="83">
        <f>K325-R325</f>
        <v/>
      </c>
      <c r="O325" s="517" t="n">
        <v>45699</v>
      </c>
      <c r="P325" s="517" t="n">
        <v>46793</v>
      </c>
      <c r="Q325" s="83" t="n">
        <v>0</v>
      </c>
      <c r="R325" s="84" t="n">
        <v>0</v>
      </c>
      <c r="S325" s="83" t="n">
        <v>3</v>
      </c>
      <c r="T325" s="84" t="n">
        <v>68571429</v>
      </c>
      <c r="U325" s="83" t="n">
        <v>1</v>
      </c>
      <c r="V325" s="84">
        <f>U325*L325</f>
        <v/>
      </c>
      <c r="W325" s="83">
        <f>Q325+S325-U325</f>
        <v/>
      </c>
      <c r="X325" s="84">
        <f>R325+T325-V325</f>
        <v/>
      </c>
      <c r="Y325" s="85" t="inlineStr">
        <is>
          <t>P221ZZMO01</t>
        </is>
      </c>
      <c r="Z325" s="86" t="inlineStr">
        <is>
          <t>15661</t>
        </is>
      </c>
      <c r="AA325" s="86" t="inlineStr">
        <is>
          <t>33561</t>
        </is>
      </c>
      <c r="AB325" s="86" t="inlineStr">
        <is>
          <t>6277651</t>
        </is>
      </c>
      <c r="AC325" s="87" t="inlineStr">
        <is>
          <t>Movies</t>
        </is>
      </c>
      <c r="AD325" s="76">
        <f>COUNTIF('KK1. Movies'!AI:AI,'TK 15661.Bản quyền phim '!F325)</f>
        <v/>
      </c>
      <c r="AE325" s="76">
        <f>COUNTIF('KK2. Series'!AM:AM,'TK 15661.Bản quyền phim '!F325)</f>
        <v/>
      </c>
      <c r="AF325" s="76">
        <f>COUNTIF('KK3. Kids'!AF:AF,'TK 15661.Bản quyền phim '!F325)</f>
        <v/>
      </c>
      <c r="AG325" s="76" t="n"/>
      <c r="AH325" s="76">
        <f>IF(SUM(AD325:AG325)&gt;0,"OK",0)</f>
        <v/>
      </c>
    </row>
    <row r="326" hidden="1" ht="15.6" customHeight="1" s="578">
      <c r="B326" s="74" t="inlineStr">
        <is>
          <t>K+1MOV025022</t>
        </is>
      </c>
      <c r="C326" s="708" t="inlineStr">
        <is>
          <t>VND</t>
        </is>
      </c>
      <c r="D326" s="708" t="inlineStr">
        <is>
          <t>S0001804</t>
        </is>
      </c>
      <c r="E326" s="708" t="inlineStr">
        <is>
          <t>CÔNG TY TNHH TRUYỀN THÔNG ROSES</t>
        </is>
      </c>
      <c r="F326" s="708" t="inlineStr">
        <is>
          <t>The Asset/The Protégé</t>
        </is>
      </c>
      <c r="G326" s="708" t="inlineStr">
        <is>
          <t>Movies International</t>
        </is>
      </c>
      <c r="H326" s="83" t="n">
        <v>1</v>
      </c>
      <c r="I326" s="83" t="n">
        <v>3</v>
      </c>
      <c r="J326" s="83">
        <f>H326*I326</f>
        <v/>
      </c>
      <c r="K326" s="83" t="n">
        <v>85714286</v>
      </c>
      <c r="L326" s="83" t="n">
        <v>28571428.66666667</v>
      </c>
      <c r="M326" s="83">
        <f>J326-Q326</f>
        <v/>
      </c>
      <c r="N326" s="83">
        <f>K326-R326</f>
        <v/>
      </c>
      <c r="O326" s="517" t="n">
        <v>45700</v>
      </c>
      <c r="P326" s="517" t="n">
        <v>46794</v>
      </c>
      <c r="Q326" s="83" t="n">
        <v>0</v>
      </c>
      <c r="R326" s="84" t="n">
        <v>0</v>
      </c>
      <c r="S326" s="83" t="n">
        <v>3</v>
      </c>
      <c r="T326" s="84" t="n">
        <v>85714286</v>
      </c>
      <c r="U326" s="83" t="n">
        <v>1</v>
      </c>
      <c r="V326" s="84">
        <f>U326*L326</f>
        <v/>
      </c>
      <c r="W326" s="83">
        <f>Q326+S326-U326</f>
        <v/>
      </c>
      <c r="X326" s="84">
        <f>R326+T326-V326</f>
        <v/>
      </c>
      <c r="Y326" s="85" t="inlineStr">
        <is>
          <t>P221ZZMO01</t>
        </is>
      </c>
      <c r="Z326" s="86" t="inlineStr">
        <is>
          <t>15661</t>
        </is>
      </c>
      <c r="AA326" s="86" t="inlineStr">
        <is>
          <t>33561</t>
        </is>
      </c>
      <c r="AB326" s="86" t="inlineStr">
        <is>
          <t>6277651</t>
        </is>
      </c>
      <c r="AC326" s="87" t="inlineStr">
        <is>
          <t>Movies</t>
        </is>
      </c>
      <c r="AD326" s="76">
        <f>COUNTIF('KK1. Movies'!AI:AI,'TK 15661.Bản quyền phim '!F326)</f>
        <v/>
      </c>
      <c r="AE326" s="76">
        <f>COUNTIF('KK2. Series'!AM:AM,'TK 15661.Bản quyền phim '!F326)</f>
        <v/>
      </c>
      <c r="AF326" s="76">
        <f>COUNTIF('KK3. Kids'!AF:AF,'TK 15661.Bản quyền phim '!F326)</f>
        <v/>
      </c>
      <c r="AG326" s="76" t="n"/>
      <c r="AH326" s="76">
        <f>IF(SUM(AD326:AG326)&gt;0,"OK",0)</f>
        <v/>
      </c>
    </row>
    <row r="327" hidden="1" ht="15.6" customHeight="1" s="578">
      <c r="B327" s="74" t="inlineStr">
        <is>
          <t>K+1MOV025023</t>
        </is>
      </c>
      <c r="C327" s="708" t="inlineStr">
        <is>
          <t>VND</t>
        </is>
      </c>
      <c r="D327" s="708" t="inlineStr">
        <is>
          <t>S0001804</t>
        </is>
      </c>
      <c r="E327" s="708" t="inlineStr">
        <is>
          <t>CÔNG TY TNHH TRUYỀN THÔNG ROSES</t>
        </is>
      </c>
      <c r="F327" s="708" t="inlineStr">
        <is>
          <t>The Night House</t>
        </is>
      </c>
      <c r="G327" s="708" t="inlineStr">
        <is>
          <t>Movies International</t>
        </is>
      </c>
      <c r="H327" s="83" t="n">
        <v>1</v>
      </c>
      <c r="I327" s="83" t="n">
        <v>3</v>
      </c>
      <c r="J327" s="83">
        <f>H327*I327</f>
        <v/>
      </c>
      <c r="K327" s="83" t="n">
        <v>85714286</v>
      </c>
      <c r="L327" s="83" t="n">
        <v>28571428.66666667</v>
      </c>
      <c r="M327" s="83">
        <f>J327-Q327</f>
        <v/>
      </c>
      <c r="N327" s="83">
        <f>K327-R327</f>
        <v/>
      </c>
      <c r="O327" s="517" t="n">
        <v>45715</v>
      </c>
      <c r="P327" s="517" t="n">
        <v>46809</v>
      </c>
      <c r="Q327" s="83" t="n">
        <v>0</v>
      </c>
      <c r="R327" s="84" t="n">
        <v>0</v>
      </c>
      <c r="S327" s="83" t="n">
        <v>3</v>
      </c>
      <c r="T327" s="84" t="n">
        <v>85714286</v>
      </c>
      <c r="U327" s="83" t="n">
        <v>1</v>
      </c>
      <c r="V327" s="84">
        <f>U327*L327</f>
        <v/>
      </c>
      <c r="W327" s="83">
        <f>Q327+S327-U327</f>
        <v/>
      </c>
      <c r="X327" s="84">
        <f>R327+T327-V327</f>
        <v/>
      </c>
      <c r="Y327" s="85" t="inlineStr">
        <is>
          <t>P221ZZMO01</t>
        </is>
      </c>
      <c r="Z327" s="86" t="inlineStr">
        <is>
          <t>15661</t>
        </is>
      </c>
      <c r="AA327" s="86" t="inlineStr">
        <is>
          <t>33561</t>
        </is>
      </c>
      <c r="AB327" s="86" t="inlineStr">
        <is>
          <t>6277651</t>
        </is>
      </c>
      <c r="AC327" s="87" t="inlineStr">
        <is>
          <t>Movies</t>
        </is>
      </c>
      <c r="AD327" s="76">
        <f>COUNTIF('KK1. Movies'!AI:AI,'TK 15661.Bản quyền phim '!F327)</f>
        <v/>
      </c>
      <c r="AE327" s="76">
        <f>COUNTIF('KK2. Series'!AM:AM,'TK 15661.Bản quyền phim '!F327)</f>
        <v/>
      </c>
      <c r="AF327" s="76">
        <f>COUNTIF('KK3. Kids'!AF:AF,'TK 15661.Bản quyền phim '!F327)</f>
        <v/>
      </c>
      <c r="AG327" s="76" t="n"/>
      <c r="AH327" s="76">
        <f>IF(SUM(AD327:AG327)&gt;0,"OK",0)</f>
        <v/>
      </c>
    </row>
    <row r="328" hidden="1" ht="15.6" customHeight="1" s="578">
      <c r="B328" s="74" t="inlineStr">
        <is>
          <t>K+1MOV025024</t>
        </is>
      </c>
      <c r="C328" s="708" t="inlineStr">
        <is>
          <t>VND</t>
        </is>
      </c>
      <c r="D328" s="708" t="inlineStr">
        <is>
          <t>S0001804</t>
        </is>
      </c>
      <c r="E328" s="708" t="inlineStr">
        <is>
          <t>CÔNG TY TNHH TRUYỀN THÔNG ROSES</t>
        </is>
      </c>
      <c r="F328" s="708" t="inlineStr">
        <is>
          <t>Bad Moms</t>
        </is>
      </c>
      <c r="G328" s="708" t="inlineStr">
        <is>
          <t>Movies International</t>
        </is>
      </c>
      <c r="H328" s="83" t="n">
        <v>1</v>
      </c>
      <c r="I328" s="83" t="n">
        <v>3</v>
      </c>
      <c r="J328" s="83">
        <f>H328*I328</f>
        <v/>
      </c>
      <c r="K328" s="83" t="n">
        <v>80476190</v>
      </c>
      <c r="L328" s="83" t="n">
        <v>26825396.66666667</v>
      </c>
      <c r="M328" s="83">
        <f>J328-Q328</f>
        <v/>
      </c>
      <c r="N328" s="83">
        <f>K328-R328</f>
        <v/>
      </c>
      <c r="O328" s="517" t="n">
        <v>45728</v>
      </c>
      <c r="P328" s="517" t="n">
        <v>46823</v>
      </c>
      <c r="Q328" s="83" t="n">
        <v>0</v>
      </c>
      <c r="R328" s="84" t="n">
        <v>0</v>
      </c>
      <c r="S328" s="83" t="n">
        <v>3</v>
      </c>
      <c r="T328" s="84" t="n">
        <v>80476190</v>
      </c>
      <c r="U328" s="83" t="n">
        <v>1</v>
      </c>
      <c r="V328" s="84">
        <f>U328*L328</f>
        <v/>
      </c>
      <c r="W328" s="83">
        <f>Q328+S328-U328</f>
        <v/>
      </c>
      <c r="X328" s="84">
        <f>R328+T328-V328</f>
        <v/>
      </c>
      <c r="Y328" s="85" t="inlineStr">
        <is>
          <t>P221ZZMO01</t>
        </is>
      </c>
      <c r="Z328" s="86" t="inlineStr">
        <is>
          <t>15661</t>
        </is>
      </c>
      <c r="AA328" s="86" t="inlineStr">
        <is>
          <t>33561</t>
        </is>
      </c>
      <c r="AB328" s="86" t="inlineStr">
        <is>
          <t>6277651</t>
        </is>
      </c>
      <c r="AC328" s="87" t="inlineStr">
        <is>
          <t>Movies</t>
        </is>
      </c>
      <c r="AD328" s="76">
        <f>COUNTIF('KK1. Movies'!AI:AI,'TK 15661.Bản quyền phim '!F328)</f>
        <v/>
      </c>
      <c r="AE328" s="76">
        <f>COUNTIF('KK2. Series'!AM:AM,'TK 15661.Bản quyền phim '!F328)</f>
        <v/>
      </c>
      <c r="AF328" s="76">
        <f>COUNTIF('KK3. Kids'!AF:AF,'TK 15661.Bản quyền phim '!F328)</f>
        <v/>
      </c>
      <c r="AG328" s="76" t="n"/>
      <c r="AH328" s="76">
        <f>IF(SUM(AD328:AG328)&gt;0,"OK",0)</f>
        <v/>
      </c>
    </row>
    <row r="329" hidden="1" ht="15.6" customHeight="1" s="578">
      <c r="B329" s="74" t="inlineStr">
        <is>
          <t>K+1MOV025025</t>
        </is>
      </c>
      <c r="C329" s="708" t="inlineStr">
        <is>
          <t>VND</t>
        </is>
      </c>
      <c r="D329" s="708" t="inlineStr">
        <is>
          <t>S0001804</t>
        </is>
      </c>
      <c r="E329" s="708" t="inlineStr">
        <is>
          <t>CÔNG TY TNHH TRUYỀN THÔNG ROSES</t>
        </is>
      </c>
      <c r="F329" s="708" t="inlineStr">
        <is>
          <t>Gretel and Hansel</t>
        </is>
      </c>
      <c r="G329" s="708" t="inlineStr">
        <is>
          <t>Movies International</t>
        </is>
      </c>
      <c r="H329" s="83" t="n">
        <v>1</v>
      </c>
      <c r="I329" s="83" t="n">
        <v>3</v>
      </c>
      <c r="J329" s="83">
        <f>H329*I329</f>
        <v/>
      </c>
      <c r="K329" s="83" t="n">
        <v>76190476</v>
      </c>
      <c r="L329" s="83" t="n">
        <v>25396825.33333333</v>
      </c>
      <c r="M329" s="83">
        <f>J329-Q329</f>
        <v/>
      </c>
      <c r="N329" s="83">
        <f>K329-R329</f>
        <v/>
      </c>
      <c r="O329" s="517" t="n">
        <v>45932</v>
      </c>
      <c r="P329" s="517" t="n">
        <v>46965</v>
      </c>
      <c r="Q329" s="83" t="n">
        <v>0</v>
      </c>
      <c r="R329" s="84" t="n">
        <v>0</v>
      </c>
      <c r="S329" s="83" t="n">
        <v>3</v>
      </c>
      <c r="T329" s="84" t="n">
        <v>76190476</v>
      </c>
      <c r="U329" s="83" t="n">
        <v>1</v>
      </c>
      <c r="V329" s="84">
        <f>U329*L329</f>
        <v/>
      </c>
      <c r="W329" s="83">
        <f>Q329+S329-U329</f>
        <v/>
      </c>
      <c r="X329" s="84">
        <f>R329+T329-V329</f>
        <v/>
      </c>
      <c r="Y329" s="85" t="inlineStr">
        <is>
          <t>P221ZZMO01</t>
        </is>
      </c>
      <c r="Z329" s="86" t="inlineStr">
        <is>
          <t>15661</t>
        </is>
      </c>
      <c r="AA329" s="86" t="inlineStr">
        <is>
          <t>33561</t>
        </is>
      </c>
      <c r="AB329" s="86" t="inlineStr">
        <is>
          <t>6277651</t>
        </is>
      </c>
      <c r="AC329" s="87" t="inlineStr">
        <is>
          <t>Movies</t>
        </is>
      </c>
      <c r="AD329" s="76">
        <f>COUNTIF('KK1. Movies'!AI:AI,'TK 15661.Bản quyền phim '!F329)</f>
        <v/>
      </c>
      <c r="AE329" s="76">
        <f>COUNTIF('KK2. Series'!AM:AM,'TK 15661.Bản quyền phim '!F329)</f>
        <v/>
      </c>
      <c r="AF329" s="76">
        <f>COUNTIF('KK3. Kids'!AF:AF,'TK 15661.Bản quyền phim '!F329)</f>
        <v/>
      </c>
      <c r="AG329" s="76" t="n"/>
      <c r="AH329" s="76">
        <f>IF(SUM(AD329:AG329)&gt;0,"OK",0)</f>
        <v/>
      </c>
    </row>
    <row r="330" hidden="1" s="578">
      <c r="A330" s="30">
        <f>(U330-H330)*L330</f>
        <v/>
      </c>
      <c r="B330" s="74" t="inlineStr">
        <is>
          <t>K+5KID025027</t>
        </is>
      </c>
      <c r="C330" s="708" t="inlineStr">
        <is>
          <t>USD</t>
        </is>
      </c>
      <c r="D330" s="708" t="inlineStr">
        <is>
          <t>S0002623</t>
        </is>
      </c>
      <c r="E330" s="708" t="inlineStr">
        <is>
          <t>ICONIX CO., LTD.</t>
        </is>
      </c>
      <c r="F330" s="708" t="inlineStr">
        <is>
          <t>Pororo Season 6</t>
        </is>
      </c>
      <c r="G330" s="708" t="inlineStr">
        <is>
          <t>KIDS</t>
        </is>
      </c>
      <c r="H330" s="83" t="n">
        <v>26</v>
      </c>
      <c r="I330" s="83" t="n">
        <v>3</v>
      </c>
      <c r="J330" s="83">
        <f>H330*I330</f>
        <v/>
      </c>
      <c r="K330" s="83" t="n">
        <v>140390250</v>
      </c>
      <c r="L330" s="83" t="n">
        <v>1799875</v>
      </c>
      <c r="M330" s="83">
        <f>J330-Q330</f>
        <v/>
      </c>
      <c r="N330" s="83">
        <f>K330-R330</f>
        <v/>
      </c>
      <c r="O330" s="517" t="n">
        <v>45738</v>
      </c>
      <c r="P330" s="517" t="n">
        <v>46833</v>
      </c>
      <c r="Q330" s="83" t="n">
        <v>0</v>
      </c>
      <c r="R330" s="84" t="n">
        <v>0</v>
      </c>
      <c r="S330" s="83" t="n">
        <v>78</v>
      </c>
      <c r="T330" s="84" t="n">
        <v>140390250</v>
      </c>
      <c r="U330" s="83" t="n">
        <v>26</v>
      </c>
      <c r="V330" s="84">
        <f>U330*L330</f>
        <v/>
      </c>
      <c r="W330" s="83">
        <f>Q330+S330-U330</f>
        <v/>
      </c>
      <c r="X330" s="84">
        <f>R330+T330-V330</f>
        <v/>
      </c>
      <c r="Y330" s="85" t="inlineStr">
        <is>
          <t>P221ZZKI01</t>
        </is>
      </c>
      <c r="Z330" s="86" t="inlineStr">
        <is>
          <t>15661</t>
        </is>
      </c>
      <c r="AA330" s="86" t="inlineStr">
        <is>
          <t>33561</t>
        </is>
      </c>
      <c r="AB330" s="86" t="inlineStr">
        <is>
          <t>6277651</t>
        </is>
      </c>
      <c r="AC330" s="86" t="inlineStr">
        <is>
          <t>Kids</t>
        </is>
      </c>
      <c r="AD330" s="76">
        <f>COUNTIF('KK1. Movies'!AI:AI,'TK 15661.Bản quyền phim '!F330)</f>
        <v/>
      </c>
      <c r="AE330" s="76">
        <f>COUNTIF('KK2. Series'!AM:AM,'TK 15661.Bản quyền phim '!F330)</f>
        <v/>
      </c>
      <c r="AF330" s="76">
        <f>COUNTIF('KK3. Kids'!AF:AF,'TK 15661.Bản quyền phim '!F330)</f>
        <v/>
      </c>
      <c r="AG330" s="76" t="n"/>
      <c r="AH330" s="76">
        <f>IF(SUM(AD330:AG330)&gt;0,"OK",0)</f>
        <v/>
      </c>
    </row>
    <row r="331" hidden="1" s="578">
      <c r="A331" s="30">
        <f>(U331-H331)*L331</f>
        <v/>
      </c>
      <c r="B331" s="74" t="inlineStr">
        <is>
          <t>K+5KID025028</t>
        </is>
      </c>
      <c r="C331" s="708" t="inlineStr">
        <is>
          <t>USD</t>
        </is>
      </c>
      <c r="D331" s="708" t="inlineStr">
        <is>
          <t>S0002623</t>
        </is>
      </c>
      <c r="E331" s="708" t="inlineStr">
        <is>
          <t>ICONIX CO., LTD.</t>
        </is>
      </c>
      <c r="F331" s="708" t="inlineStr">
        <is>
          <t>Pororo Season 7</t>
        </is>
      </c>
      <c r="G331" s="708" t="inlineStr">
        <is>
          <t>KIDS</t>
        </is>
      </c>
      <c r="H331" s="83" t="n">
        <v>26</v>
      </c>
      <c r="I331" s="83" t="n">
        <v>3</v>
      </c>
      <c r="J331" s="83">
        <f>H331*I331</f>
        <v/>
      </c>
      <c r="K331" s="83" t="n">
        <v>140390250</v>
      </c>
      <c r="L331" s="83" t="n">
        <v>1799875</v>
      </c>
      <c r="M331" s="83">
        <f>J331-Q331</f>
        <v/>
      </c>
      <c r="N331" s="83">
        <f>K331-R331</f>
        <v/>
      </c>
      <c r="O331" s="517" t="n">
        <v>45759</v>
      </c>
      <c r="P331" s="517" t="n">
        <v>46854</v>
      </c>
      <c r="Q331" s="83" t="n">
        <v>0</v>
      </c>
      <c r="R331" s="84" t="n">
        <v>0</v>
      </c>
      <c r="S331" s="83" t="n">
        <v>78</v>
      </c>
      <c r="T331" s="84" t="n">
        <v>140390250</v>
      </c>
      <c r="U331" s="83" t="n">
        <v>26</v>
      </c>
      <c r="V331" s="84">
        <f>U331*L331</f>
        <v/>
      </c>
      <c r="W331" s="83">
        <f>Q331+S331-U331</f>
        <v/>
      </c>
      <c r="X331" s="84">
        <f>R331+T331-V331</f>
        <v/>
      </c>
      <c r="Y331" s="85" t="inlineStr">
        <is>
          <t>P221ZZKI01</t>
        </is>
      </c>
      <c r="Z331" s="86" t="inlineStr">
        <is>
          <t>15661</t>
        </is>
      </c>
      <c r="AA331" s="86" t="inlineStr">
        <is>
          <t>33561</t>
        </is>
      </c>
      <c r="AB331" s="86" t="inlineStr">
        <is>
          <t>6277651</t>
        </is>
      </c>
      <c r="AC331" s="86" t="inlineStr">
        <is>
          <t>Kids</t>
        </is>
      </c>
      <c r="AD331" s="76">
        <f>COUNTIF('KK1. Movies'!AI:AI,'TK 15661.Bản quyền phim '!F331)</f>
        <v/>
      </c>
      <c r="AE331" s="76">
        <f>COUNTIF('KK2. Series'!AM:AM,'TK 15661.Bản quyền phim '!F331)</f>
        <v/>
      </c>
      <c r="AF331" s="76">
        <f>COUNTIF('KK3. Kids'!AF:AF,'TK 15661.Bản quyền phim '!F331)</f>
        <v/>
      </c>
      <c r="AG331" s="76" t="n"/>
      <c r="AH331" s="76">
        <f>IF(SUM(AD331:AG331)&gt;0,"OK",0)</f>
        <v/>
      </c>
    </row>
    <row r="332" hidden="1" ht="15.6" customHeight="1" s="578">
      <c r="B332" s="74" t="inlineStr">
        <is>
          <t>K+1MOV025029</t>
        </is>
      </c>
      <c r="C332" s="708" t="inlineStr">
        <is>
          <t>VND</t>
        </is>
      </c>
      <c r="D332" s="708" t="inlineStr">
        <is>
          <t>S0001883</t>
        </is>
      </c>
      <c r="E332" s="708" t="inlineStr">
        <is>
          <t>Công Ty TNHH HÌNH ẢNH CON CHIM NHẠI</t>
        </is>
      </c>
      <c r="F332" s="708" t="inlineStr">
        <is>
          <t>Citizen Of A Kind</t>
        </is>
      </c>
      <c r="G332" s="708" t="inlineStr">
        <is>
          <t>Movies International</t>
        </is>
      </c>
      <c r="H332" s="83" t="n">
        <v>1</v>
      </c>
      <c r="I332" s="83" t="n">
        <v>3</v>
      </c>
      <c r="J332" s="83">
        <f>H332*I332</f>
        <v/>
      </c>
      <c r="K332" s="83" t="n">
        <v>97142857</v>
      </c>
      <c r="L332" s="83" t="n">
        <v>32380952.33333333</v>
      </c>
      <c r="M332" s="83">
        <f>J332-Q332</f>
        <v/>
      </c>
      <c r="N332" s="83">
        <f>K332-R332</f>
        <v/>
      </c>
      <c r="O332" s="517" t="n">
        <v>45688</v>
      </c>
      <c r="P332" s="517" t="n">
        <v>46782</v>
      </c>
      <c r="Q332" s="83" t="n">
        <v>0</v>
      </c>
      <c r="R332" s="84" t="n">
        <v>0</v>
      </c>
      <c r="S332" s="83" t="n">
        <v>3</v>
      </c>
      <c r="T332" s="84" t="n">
        <v>97142857</v>
      </c>
      <c r="U332" s="83" t="n">
        <v>1</v>
      </c>
      <c r="V332" s="84">
        <f>U332*L332</f>
        <v/>
      </c>
      <c r="W332" s="83">
        <f>Q332+S332-U332</f>
        <v/>
      </c>
      <c r="X332" s="84">
        <f>R332+T332-V332</f>
        <v/>
      </c>
      <c r="Y332" s="85" t="inlineStr">
        <is>
          <t>P221ZZMO01</t>
        </is>
      </c>
      <c r="Z332" s="86" t="inlineStr">
        <is>
          <t>15661</t>
        </is>
      </c>
      <c r="AA332" s="86" t="inlineStr">
        <is>
          <t>33561</t>
        </is>
      </c>
      <c r="AB332" s="86" t="inlineStr">
        <is>
          <t>6277651</t>
        </is>
      </c>
      <c r="AC332" s="87" t="inlineStr">
        <is>
          <t>Movies</t>
        </is>
      </c>
      <c r="AD332" s="76">
        <f>COUNTIF('KK1. Movies'!AI:AI,'TK 15661.Bản quyền phim '!F332)</f>
        <v/>
      </c>
      <c r="AE332" s="76">
        <f>COUNTIF('KK2. Series'!AM:AM,'TK 15661.Bản quyền phim '!F332)</f>
        <v/>
      </c>
      <c r="AF332" s="76">
        <f>COUNTIF('KK3. Kids'!AF:AF,'TK 15661.Bản quyền phim '!F332)</f>
        <v/>
      </c>
      <c r="AG332" s="76" t="n"/>
      <c r="AH332" s="76">
        <f>IF(SUM(AD332:AG332)&gt;0,"OK",0)</f>
        <v/>
      </c>
    </row>
    <row r="333" hidden="1" ht="15.6" customHeight="1" s="578">
      <c r="B333" s="74" t="inlineStr">
        <is>
          <t>K+1MOV025030</t>
        </is>
      </c>
      <c r="C333" s="708" t="inlineStr">
        <is>
          <t>VND</t>
        </is>
      </c>
      <c r="D333" s="708" t="inlineStr">
        <is>
          <t>S0001883</t>
        </is>
      </c>
      <c r="E333" s="708" t="inlineStr">
        <is>
          <t>Công Ty TNHH HÌNH ẢNH CON CHIM NHẠI</t>
        </is>
      </c>
      <c r="F333" s="708" t="inlineStr">
        <is>
          <t>The Plot</t>
        </is>
      </c>
      <c r="G333" s="708" t="inlineStr">
        <is>
          <t>Movies International</t>
        </is>
      </c>
      <c r="H333" s="83" t="n">
        <v>1</v>
      </c>
      <c r="I333" s="83" t="n">
        <v>3</v>
      </c>
      <c r="J333" s="83">
        <f>H333*I333</f>
        <v/>
      </c>
      <c r="K333" s="83" t="n">
        <v>121428571</v>
      </c>
      <c r="L333" s="83" t="n">
        <v>40476190.33333334</v>
      </c>
      <c r="M333" s="83">
        <f>J333-Q333</f>
        <v/>
      </c>
      <c r="N333" s="83">
        <f>K333-R333</f>
        <v/>
      </c>
      <c r="O333" s="517" t="n">
        <v>45723</v>
      </c>
      <c r="P333" s="517" t="n">
        <v>46818</v>
      </c>
      <c r="Q333" s="83" t="n">
        <v>0</v>
      </c>
      <c r="R333" s="84" t="n">
        <v>0</v>
      </c>
      <c r="S333" s="83" t="n">
        <v>3</v>
      </c>
      <c r="T333" s="84" t="n">
        <v>121428571</v>
      </c>
      <c r="U333" s="83" t="n">
        <v>1</v>
      </c>
      <c r="V333" s="84">
        <f>U333*L333</f>
        <v/>
      </c>
      <c r="W333" s="83">
        <f>Q333+S333-U333</f>
        <v/>
      </c>
      <c r="X333" s="84">
        <f>R333+T333-V333</f>
        <v/>
      </c>
      <c r="Y333" s="85" t="inlineStr">
        <is>
          <t>P221ZZMO01</t>
        </is>
      </c>
      <c r="Z333" s="86" t="inlineStr">
        <is>
          <t>15661</t>
        </is>
      </c>
      <c r="AA333" s="86" t="inlineStr">
        <is>
          <t>33561</t>
        </is>
      </c>
      <c r="AB333" s="86" t="inlineStr">
        <is>
          <t>6277651</t>
        </is>
      </c>
      <c r="AC333" s="87" t="inlineStr">
        <is>
          <t>Movies</t>
        </is>
      </c>
      <c r="AD333" s="76">
        <f>COUNTIF('KK1. Movies'!AI:AI,'TK 15661.Bản quyền phim '!F333)</f>
        <v/>
      </c>
      <c r="AE333" s="76">
        <f>COUNTIF('KK2. Series'!AM:AM,'TK 15661.Bản quyền phim '!F333)</f>
        <v/>
      </c>
      <c r="AF333" s="76">
        <f>COUNTIF('KK3. Kids'!AF:AF,'TK 15661.Bản quyền phim '!F333)</f>
        <v/>
      </c>
      <c r="AG333" s="76" t="n"/>
      <c r="AH333" s="76">
        <f>IF(SUM(AD333:AG333)&gt;0,"OK",0)</f>
        <v/>
      </c>
    </row>
    <row r="334" hidden="1" ht="15.6" customHeight="1" s="578">
      <c r="B334" s="74" t="inlineStr">
        <is>
          <t>K+1MOV025031</t>
        </is>
      </c>
      <c r="C334" s="708" t="inlineStr">
        <is>
          <t>VND</t>
        </is>
      </c>
      <c r="D334" s="708" t="inlineStr">
        <is>
          <t>S0001883</t>
        </is>
      </c>
      <c r="E334" s="708" t="inlineStr">
        <is>
          <t>Công Ty TNHH HÌNH ẢNH CON CHIM NHẠI</t>
        </is>
      </c>
      <c r="F334" s="708" t="inlineStr">
        <is>
          <t>Exhuma</t>
        </is>
      </c>
      <c r="G334" s="708" t="inlineStr">
        <is>
          <t>Movies International</t>
        </is>
      </c>
      <c r="H334" s="83" t="n">
        <v>1</v>
      </c>
      <c r="I334" s="83" t="n">
        <v>3</v>
      </c>
      <c r="J334" s="83">
        <f>H334*I334</f>
        <v/>
      </c>
      <c r="K334" s="83" t="n">
        <v>121428571</v>
      </c>
      <c r="L334" s="83" t="n">
        <v>40476190.33333334</v>
      </c>
      <c r="M334" s="83">
        <f>J334-Q334</f>
        <v/>
      </c>
      <c r="N334" s="83">
        <f>K334-R334</f>
        <v/>
      </c>
      <c r="O334" s="517" t="n">
        <v>45730</v>
      </c>
      <c r="P334" s="517" t="n">
        <v>46825</v>
      </c>
      <c r="Q334" s="83" t="n">
        <v>0</v>
      </c>
      <c r="R334" s="84" t="n">
        <v>0</v>
      </c>
      <c r="S334" s="83" t="n">
        <v>3</v>
      </c>
      <c r="T334" s="84" t="n">
        <v>121428571</v>
      </c>
      <c r="U334" s="83" t="n">
        <v>1</v>
      </c>
      <c r="V334" s="84">
        <f>U334*L334</f>
        <v/>
      </c>
      <c r="W334" s="83">
        <f>Q334+S334-U334</f>
        <v/>
      </c>
      <c r="X334" s="84">
        <f>R334+T334-V334</f>
        <v/>
      </c>
      <c r="Y334" s="85" t="inlineStr">
        <is>
          <t>P221ZZMO01</t>
        </is>
      </c>
      <c r="Z334" s="86" t="inlineStr">
        <is>
          <t>15661</t>
        </is>
      </c>
      <c r="AA334" s="86" t="inlineStr">
        <is>
          <t>33561</t>
        </is>
      </c>
      <c r="AB334" s="86" t="inlineStr">
        <is>
          <t>6277651</t>
        </is>
      </c>
      <c r="AC334" s="87" t="inlineStr">
        <is>
          <t>Movies</t>
        </is>
      </c>
      <c r="AD334" s="76">
        <f>COUNTIF('KK1. Movies'!AI:AI,'TK 15661.Bản quyền phim '!F334)</f>
        <v/>
      </c>
      <c r="AE334" s="76">
        <f>COUNTIF('KK2. Series'!AM:AM,'TK 15661.Bản quyền phim '!F334)</f>
        <v/>
      </c>
      <c r="AF334" s="76">
        <f>COUNTIF('KK3. Kids'!AF:AF,'TK 15661.Bản quyền phim '!F334)</f>
        <v/>
      </c>
      <c r="AG334" s="76" t="n"/>
      <c r="AH334" s="76">
        <f>IF(SUM(AD334:AG334)&gt;0,"OK",0)</f>
        <v/>
      </c>
    </row>
    <row r="335" hidden="1" ht="15.6" customHeight="1" s="578">
      <c r="B335" s="74" t="inlineStr">
        <is>
          <t>K+1MOV025032</t>
        </is>
      </c>
      <c r="C335" s="708" t="inlineStr">
        <is>
          <t>VND</t>
        </is>
      </c>
      <c r="D335" s="708" t="inlineStr">
        <is>
          <t>S0001883</t>
        </is>
      </c>
      <c r="E335" s="708" t="inlineStr">
        <is>
          <t>Công Ty TNHH HÌNH ẢNH CON CHIM NHẠI</t>
        </is>
      </c>
      <c r="F335" s="708" t="inlineStr">
        <is>
          <t>Deep Fear</t>
        </is>
      </c>
      <c r="G335" s="708" t="inlineStr">
        <is>
          <t>Movies International</t>
        </is>
      </c>
      <c r="H335" s="83" t="n">
        <v>1</v>
      </c>
      <c r="I335" s="83" t="n">
        <v>3</v>
      </c>
      <c r="J335" s="83">
        <f>H335*I335</f>
        <v/>
      </c>
      <c r="K335" s="83" t="n">
        <v>42857143</v>
      </c>
      <c r="L335" s="83" t="n">
        <v>14285714.33333333</v>
      </c>
      <c r="M335" s="83">
        <f>J335-Q335</f>
        <v/>
      </c>
      <c r="N335" s="83">
        <f>K335-R335</f>
        <v/>
      </c>
      <c r="O335" s="517" t="n">
        <v>45743</v>
      </c>
      <c r="P335" s="517" t="n">
        <v>46838</v>
      </c>
      <c r="Q335" s="83" t="n">
        <v>0</v>
      </c>
      <c r="R335" s="84" t="n">
        <v>0</v>
      </c>
      <c r="S335" s="83" t="n">
        <v>3</v>
      </c>
      <c r="T335" s="84" t="n">
        <v>42857143</v>
      </c>
      <c r="U335" s="83" t="n">
        <v>1</v>
      </c>
      <c r="V335" s="84">
        <f>U335*L335</f>
        <v/>
      </c>
      <c r="W335" s="83">
        <f>Q335+S335-U335</f>
        <v/>
      </c>
      <c r="X335" s="84">
        <f>R335+T335-V335</f>
        <v/>
      </c>
      <c r="Y335" s="85" t="inlineStr">
        <is>
          <t>P221ZZMO01</t>
        </is>
      </c>
      <c r="Z335" s="86" t="inlineStr">
        <is>
          <t>15661</t>
        </is>
      </c>
      <c r="AA335" s="86" t="inlineStr">
        <is>
          <t>33561</t>
        </is>
      </c>
      <c r="AB335" s="86" t="inlineStr">
        <is>
          <t>6277651</t>
        </is>
      </c>
      <c r="AC335" s="87" t="inlineStr">
        <is>
          <t>Movies</t>
        </is>
      </c>
      <c r="AD335" s="76">
        <f>COUNTIF('KK1. Movies'!AI:AI,'TK 15661.Bản quyền phim '!F335)</f>
        <v/>
      </c>
      <c r="AE335" s="76">
        <f>COUNTIF('KK2. Series'!AM:AM,'TK 15661.Bản quyền phim '!F335)</f>
        <v/>
      </c>
      <c r="AF335" s="76">
        <f>COUNTIF('KK3. Kids'!AF:AF,'TK 15661.Bản quyền phim '!F335)</f>
        <v/>
      </c>
      <c r="AG335" s="76" t="n"/>
      <c r="AH335" s="76">
        <f>IF(SUM(AD335:AG335)&gt;0,"OK",0)</f>
        <v/>
      </c>
    </row>
    <row r="336" hidden="1" ht="15.6" customHeight="1" s="578">
      <c r="B336" s="74" t="inlineStr">
        <is>
          <t>K+1MOV025033</t>
        </is>
      </c>
      <c r="C336" s="708" t="inlineStr">
        <is>
          <t>VND</t>
        </is>
      </c>
      <c r="D336" s="708" t="inlineStr">
        <is>
          <t>S0001883</t>
        </is>
      </c>
      <c r="E336" s="708" t="inlineStr">
        <is>
          <t>Công Ty TNHH HÌNH ẢNH CON CHIM NHẠI</t>
        </is>
      </c>
      <c r="F336" s="708" t="inlineStr">
        <is>
          <t>Longlegs</t>
        </is>
      </c>
      <c r="G336" s="708" t="inlineStr">
        <is>
          <t>Movies International</t>
        </is>
      </c>
      <c r="H336" s="83" t="n">
        <v>1</v>
      </c>
      <c r="I336" s="83" t="n">
        <v>3</v>
      </c>
      <c r="J336" s="83">
        <f>H336*I336</f>
        <v/>
      </c>
      <c r="K336" s="83" t="n">
        <v>71428571</v>
      </c>
      <c r="L336" s="83" t="n">
        <v>23809523.66666667</v>
      </c>
      <c r="M336" s="83">
        <f>J336-Q336</f>
        <v/>
      </c>
      <c r="N336" s="83">
        <f>K336-R336</f>
        <v/>
      </c>
      <c r="O336" s="517" t="n">
        <v>45751</v>
      </c>
      <c r="P336" s="517" t="n">
        <v>46846</v>
      </c>
      <c r="Q336" s="83" t="n">
        <v>0</v>
      </c>
      <c r="R336" s="84" t="n">
        <v>0</v>
      </c>
      <c r="S336" s="83" t="n">
        <v>3</v>
      </c>
      <c r="T336" s="84" t="n">
        <v>71428571</v>
      </c>
      <c r="U336" s="83" t="n">
        <v>1</v>
      </c>
      <c r="V336" s="84">
        <f>U336*L336</f>
        <v/>
      </c>
      <c r="W336" s="83">
        <f>Q336+S336-U336</f>
        <v/>
      </c>
      <c r="X336" s="84">
        <f>R336+T336-V336</f>
        <v/>
      </c>
      <c r="Y336" s="85" t="inlineStr">
        <is>
          <t>P221ZZMO01</t>
        </is>
      </c>
      <c r="Z336" s="86" t="inlineStr">
        <is>
          <t>15661</t>
        </is>
      </c>
      <c r="AA336" s="86" t="inlineStr">
        <is>
          <t>33561</t>
        </is>
      </c>
      <c r="AB336" s="86" t="inlineStr">
        <is>
          <t>6277651</t>
        </is>
      </c>
      <c r="AC336" s="87" t="inlineStr">
        <is>
          <t>Movies</t>
        </is>
      </c>
      <c r="AD336" s="76">
        <f>COUNTIF('KK1. Movies'!AI:AI,'TK 15661.Bản quyền phim '!F336)</f>
        <v/>
      </c>
      <c r="AE336" s="76">
        <f>COUNTIF('KK2. Series'!AM:AM,'TK 15661.Bản quyền phim '!F336)</f>
        <v/>
      </c>
      <c r="AF336" s="76">
        <f>COUNTIF('KK3. Kids'!AF:AF,'TK 15661.Bản quyền phim '!F336)</f>
        <v/>
      </c>
      <c r="AG336" s="76" t="n"/>
      <c r="AH336" s="76">
        <f>IF(SUM(AD336:AG336)&gt;0,"OK",0)</f>
        <v/>
      </c>
    </row>
    <row r="337" hidden="1" ht="15.6" customHeight="1" s="578">
      <c r="B337" s="74" t="inlineStr">
        <is>
          <t>K+2MOV025034</t>
        </is>
      </c>
      <c r="C337" s="708" t="inlineStr">
        <is>
          <t>VND</t>
        </is>
      </c>
      <c r="D337" s="708" t="inlineStr">
        <is>
          <t>S0001883</t>
        </is>
      </c>
      <c r="E337" s="708" t="inlineStr">
        <is>
          <t>Công Ty TNHH HÌNH ẢNH CON CHIM NHẠI</t>
        </is>
      </c>
      <c r="F337" s="708" t="inlineStr">
        <is>
          <t>The Women Of The Hour</t>
        </is>
      </c>
      <c r="G337" s="708" t="inlineStr">
        <is>
          <t>Movies International</t>
        </is>
      </c>
      <c r="H337" s="83" t="n">
        <v>1</v>
      </c>
      <c r="I337" s="83" t="n">
        <v>3</v>
      </c>
      <c r="J337" s="83">
        <f>H337*I337</f>
        <v/>
      </c>
      <c r="K337" s="83" t="n">
        <v>66666667</v>
      </c>
      <c r="L337" s="83" t="n">
        <v>22222222.33333333</v>
      </c>
      <c r="M337" s="83">
        <f>J337-Q337</f>
        <v/>
      </c>
      <c r="N337" s="83">
        <f>K337-R337</f>
        <v/>
      </c>
      <c r="O337" s="517" t="n">
        <v>45757</v>
      </c>
      <c r="P337" s="517" t="n">
        <v>46852</v>
      </c>
      <c r="Q337" s="83" t="n">
        <v>0</v>
      </c>
      <c r="R337" s="84" t="n">
        <v>0</v>
      </c>
      <c r="S337" s="83" t="n">
        <v>3</v>
      </c>
      <c r="T337" s="84" t="n">
        <v>66666667</v>
      </c>
      <c r="U337" s="83" t="n">
        <v>1</v>
      </c>
      <c r="V337" s="84">
        <f>U337*L337</f>
        <v/>
      </c>
      <c r="W337" s="83">
        <f>Q337+S337-U337</f>
        <v/>
      </c>
      <c r="X337" s="84">
        <f>R337+T337-V337</f>
        <v/>
      </c>
      <c r="Y337" s="85" t="inlineStr">
        <is>
          <t>P221ZZMO01</t>
        </is>
      </c>
      <c r="Z337" s="86" t="inlineStr">
        <is>
          <t>15661</t>
        </is>
      </c>
      <c r="AA337" s="86" t="inlineStr">
        <is>
          <t>33561</t>
        </is>
      </c>
      <c r="AB337" s="86" t="inlineStr">
        <is>
          <t>6277651</t>
        </is>
      </c>
      <c r="AC337" s="87" t="inlineStr">
        <is>
          <t>Movies</t>
        </is>
      </c>
      <c r="AD337" s="76">
        <f>COUNTIF('KK1. Movies'!AI:AI,'TK 15661.Bản quyền phim '!F337)</f>
        <v/>
      </c>
      <c r="AE337" s="76">
        <f>COUNTIF('KK2. Series'!AM:AM,'TK 15661.Bản quyền phim '!F337)</f>
        <v/>
      </c>
      <c r="AF337" s="76">
        <f>COUNTIF('KK3. Kids'!AF:AF,'TK 15661.Bản quyền phim '!F337)</f>
        <v/>
      </c>
      <c r="AG337" s="76" t="n"/>
      <c r="AH337" s="76">
        <f>IF(SUM(AD337:AG337)&gt;0,"OK",0)</f>
        <v/>
      </c>
    </row>
    <row r="338" hidden="1" ht="15.6" customHeight="1" s="578">
      <c r="B338" s="74" t="inlineStr">
        <is>
          <t>K+1MOV025035</t>
        </is>
      </c>
      <c r="C338" s="708" t="inlineStr">
        <is>
          <t>VND</t>
        </is>
      </c>
      <c r="D338" s="708" t="inlineStr">
        <is>
          <t>S0001883</t>
        </is>
      </c>
      <c r="E338" s="708" t="inlineStr">
        <is>
          <t>Công Ty TNHH HÌNH ẢNH CON CHIM NHẠI</t>
        </is>
      </c>
      <c r="F338" s="708" t="inlineStr">
        <is>
          <t>Good Job (Movie-KOR)</t>
        </is>
      </c>
      <c r="G338" s="708" t="inlineStr">
        <is>
          <t>Movies International</t>
        </is>
      </c>
      <c r="H338" s="83" t="n">
        <v>1</v>
      </c>
      <c r="I338" s="83" t="n">
        <v>3</v>
      </c>
      <c r="J338" s="83">
        <f>H338*I338</f>
        <v/>
      </c>
      <c r="K338" s="83" t="n">
        <v>85714286</v>
      </c>
      <c r="L338" s="83" t="n">
        <v>28571428.66666667</v>
      </c>
      <c r="M338" s="83">
        <f>J338-Q338</f>
        <v/>
      </c>
      <c r="N338" s="83">
        <f>K338-R338</f>
        <v/>
      </c>
      <c r="O338" s="517" t="n">
        <v>45764</v>
      </c>
      <c r="P338" s="517" t="n">
        <v>46859</v>
      </c>
      <c r="Q338" s="83" t="n">
        <v>0</v>
      </c>
      <c r="R338" s="84" t="n">
        <v>0</v>
      </c>
      <c r="S338" s="83" t="n">
        <v>3</v>
      </c>
      <c r="T338" s="84" t="n">
        <v>85714286</v>
      </c>
      <c r="U338" s="83" t="n">
        <v>1</v>
      </c>
      <c r="V338" s="84">
        <f>U338*L338</f>
        <v/>
      </c>
      <c r="W338" s="83">
        <f>Q338+S338-U338</f>
        <v/>
      </c>
      <c r="X338" s="84">
        <f>R338+T338-V338</f>
        <v/>
      </c>
      <c r="Y338" s="85" t="inlineStr">
        <is>
          <t>P221ZZMO01</t>
        </is>
      </c>
      <c r="Z338" s="86" t="inlineStr">
        <is>
          <t>15661</t>
        </is>
      </c>
      <c r="AA338" s="86" t="inlineStr">
        <is>
          <t>33561</t>
        </is>
      </c>
      <c r="AB338" s="86" t="inlineStr">
        <is>
          <t>6277651</t>
        </is>
      </c>
      <c r="AC338" s="87" t="inlineStr">
        <is>
          <t>Movies</t>
        </is>
      </c>
      <c r="AD338" s="76">
        <f>COUNTIF('KK1. Movies'!AI:AI,'TK 15661.Bản quyền phim '!F338)</f>
        <v/>
      </c>
      <c r="AE338" s="76">
        <f>COUNTIF('KK2. Series'!AM:AM,'TK 15661.Bản quyền phim '!F338)</f>
        <v/>
      </c>
      <c r="AF338" s="76">
        <f>COUNTIF('KK3. Kids'!AF:AF,'TK 15661.Bản quyền phim '!F338)</f>
        <v/>
      </c>
      <c r="AG338" s="76" t="n"/>
      <c r="AH338" s="76">
        <f>IF(SUM(AD338:AG338)&gt;0,"OK",0)</f>
        <v/>
      </c>
    </row>
    <row r="339" hidden="1" ht="15.6" customHeight="1" s="578">
      <c r="B339" s="74" t="inlineStr">
        <is>
          <t>K+1MOV025036</t>
        </is>
      </c>
      <c r="C339" s="708" t="inlineStr">
        <is>
          <t>VND</t>
        </is>
      </c>
      <c r="D339" s="708" t="inlineStr">
        <is>
          <t>S0001883</t>
        </is>
      </c>
      <c r="E339" s="708" t="inlineStr">
        <is>
          <t>Công Ty TNHH HÌNH ẢNH CON CHIM NHẠI</t>
        </is>
      </c>
      <c r="F339" s="708" t="inlineStr">
        <is>
          <t>Murder In The Lens</t>
        </is>
      </c>
      <c r="G339" s="708" t="inlineStr">
        <is>
          <t>Movies Vietnam</t>
        </is>
      </c>
      <c r="H339" s="83" t="n">
        <v>1</v>
      </c>
      <c r="I339" s="83" t="n">
        <v>3</v>
      </c>
      <c r="J339" s="83">
        <f>H339*I339</f>
        <v/>
      </c>
      <c r="K339" s="83" t="n">
        <v>66666667</v>
      </c>
      <c r="L339" s="83" t="n">
        <v>22222222.33333333</v>
      </c>
      <c r="M339" s="83">
        <f>J339-Q339</f>
        <v/>
      </c>
      <c r="N339" s="83">
        <f>K339-R339</f>
        <v/>
      </c>
      <c r="O339" s="517" t="n">
        <v>45947</v>
      </c>
      <c r="P339" s="517" t="n">
        <v>47042</v>
      </c>
      <c r="Q339" s="83" t="n">
        <v>0</v>
      </c>
      <c r="R339" s="84" t="n">
        <v>0</v>
      </c>
      <c r="S339" s="83" t="n">
        <v>3</v>
      </c>
      <c r="T339" s="84" t="n">
        <v>66666667</v>
      </c>
      <c r="U339" s="83" t="n">
        <v>1</v>
      </c>
      <c r="V339" s="84">
        <f>U339*L339</f>
        <v/>
      </c>
      <c r="W339" s="83">
        <f>Q339+S339-U339</f>
        <v/>
      </c>
      <c r="X339" s="84">
        <f>R339+T339-V339</f>
        <v/>
      </c>
      <c r="Y339" s="85" t="inlineStr">
        <is>
          <t>P221ZZMO02</t>
        </is>
      </c>
      <c r="Z339" s="86" t="inlineStr">
        <is>
          <t>15661</t>
        </is>
      </c>
      <c r="AA339" s="86" t="inlineStr">
        <is>
          <t>33561</t>
        </is>
      </c>
      <c r="AB339" s="86" t="inlineStr">
        <is>
          <t>6277651</t>
        </is>
      </c>
      <c r="AC339" s="87" t="inlineStr">
        <is>
          <t>Movies</t>
        </is>
      </c>
      <c r="AD339" s="76">
        <f>COUNTIF('KK1. Movies'!AI:AI,'TK 15661.Bản quyền phim '!F339)</f>
        <v/>
      </c>
      <c r="AE339" s="76">
        <f>COUNTIF('KK2. Series'!AM:AM,'TK 15661.Bản quyền phim '!F339)</f>
        <v/>
      </c>
      <c r="AF339" s="76">
        <f>COUNTIF('KK3. Kids'!AF:AF,'TK 15661.Bản quyền phim '!F339)</f>
        <v/>
      </c>
      <c r="AG339" s="76" t="n"/>
      <c r="AH339" s="76">
        <f>IF(SUM(AD339:AG339)&gt;0,"OK",0)</f>
        <v/>
      </c>
    </row>
    <row r="340" hidden="1" s="578">
      <c r="B340" s="74" t="inlineStr">
        <is>
          <t>K+1MOV025037</t>
        </is>
      </c>
      <c r="C340" s="708" t="inlineStr">
        <is>
          <t>VND</t>
        </is>
      </c>
      <c r="D340" s="708" t="inlineStr">
        <is>
          <t>S0001883</t>
        </is>
      </c>
      <c r="E340" s="708" t="inlineStr">
        <is>
          <t>Công Ty TNHH HÌNH ẢNH CON CHIM NHẠI</t>
        </is>
      </c>
      <c r="F340" s="708" t="inlineStr">
        <is>
          <t>Anti -piracy-contract 8 movies Mockingbird 2025</t>
        </is>
      </c>
      <c r="G340" s="708" t="inlineStr">
        <is>
          <t>Movies International</t>
        </is>
      </c>
      <c r="H340" s="83" t="n">
        <v>1</v>
      </c>
      <c r="I340" s="83" t="n">
        <v>1</v>
      </c>
      <c r="J340" s="83">
        <f>H340*I340</f>
        <v/>
      </c>
      <c r="K340" s="83" t="n">
        <v>-11428571</v>
      </c>
      <c r="L340" s="83" t="n">
        <v>-11428571</v>
      </c>
      <c r="M340" s="83">
        <f>J340-Q340</f>
        <v/>
      </c>
      <c r="N340" s="83">
        <f>K340-R340</f>
        <v/>
      </c>
      <c r="O340" s="517" t="n">
        <v>45688</v>
      </c>
      <c r="P340" s="517" t="n">
        <v>46052</v>
      </c>
      <c r="Q340" s="83" t="n">
        <v>0</v>
      </c>
      <c r="R340" s="84" t="n">
        <v>0</v>
      </c>
      <c r="S340" s="83" t="n">
        <v>1</v>
      </c>
      <c r="T340" s="84" t="n">
        <v>-11428571</v>
      </c>
      <c r="U340" s="83" t="n">
        <v>1</v>
      </c>
      <c r="V340" s="84">
        <f>U340*L340</f>
        <v/>
      </c>
      <c r="W340" s="83">
        <f>Q340+S340-U340</f>
        <v/>
      </c>
      <c r="X340" s="84">
        <f>R340+T340-V340</f>
        <v/>
      </c>
      <c r="Y340" s="85" t="inlineStr">
        <is>
          <t>P221ZZMO01</t>
        </is>
      </c>
      <c r="Z340" s="86" t="inlineStr">
        <is>
          <t>15661</t>
        </is>
      </c>
      <c r="AA340" s="86" t="inlineStr">
        <is>
          <t>33561</t>
        </is>
      </c>
      <c r="AB340" s="86" t="inlineStr">
        <is>
          <t>6277651</t>
        </is>
      </c>
      <c r="AC340" s="86" t="n"/>
      <c r="AD340" s="76">
        <f>COUNTIF('KK1. Movies'!AI:AI,'TK 15661.Bản quyền phim '!F340)</f>
        <v/>
      </c>
      <c r="AE340" s="76">
        <f>COUNTIF('KK2. Series'!AM:AM,'TK 15661.Bản quyền phim '!F340)</f>
        <v/>
      </c>
      <c r="AF340" s="76">
        <f>COUNTIF('KK3. Kids'!AF:AF,'TK 15661.Bản quyền phim '!F340)</f>
        <v/>
      </c>
      <c r="AG340" s="76" t="n"/>
      <c r="AH340" s="76">
        <f>IF(SUM(AD340:AG340)&gt;0,"OK",0)</f>
        <v/>
      </c>
    </row>
    <row r="341" hidden="1" ht="15.6" customHeight="1" s="578">
      <c r="A341" s="30">
        <f>(U341-H341)*L341</f>
        <v/>
      </c>
      <c r="B341" s="74" t="inlineStr">
        <is>
          <t>K+2SER025038</t>
        </is>
      </c>
      <c r="C341" s="708" t="inlineStr">
        <is>
          <t>USD</t>
        </is>
      </c>
      <c r="D341" s="708" t="inlineStr">
        <is>
          <t>S0002490</t>
        </is>
      </c>
      <c r="E341" s="708" t="inlineStr">
        <is>
          <t>China Huace Global Media Co., Ltd.</t>
        </is>
      </c>
      <c r="F341" s="708" t="inlineStr">
        <is>
          <t>Flourished Peony (QUỐC SẮC PHƯƠNG HOA)</t>
        </is>
      </c>
      <c r="G341" s="708" t="inlineStr">
        <is>
          <t>Series Asian</t>
        </is>
      </c>
      <c r="H341" s="83" t="n">
        <v>32</v>
      </c>
      <c r="I341" s="83" t="n">
        <v>5</v>
      </c>
      <c r="J341" s="83">
        <f>H341*I341</f>
        <v/>
      </c>
      <c r="K341" s="83" t="n">
        <v>2710397289.6</v>
      </c>
      <c r="L341" s="83" t="n">
        <v>16939983.06</v>
      </c>
      <c r="M341" s="83">
        <f>J341-Q341</f>
        <v/>
      </c>
      <c r="N341" s="83">
        <f>K341-R341</f>
        <v/>
      </c>
      <c r="O341" s="517" t="n">
        <v>45665</v>
      </c>
      <c r="P341" s="517" t="n">
        <v>47490</v>
      </c>
      <c r="Q341" s="83" t="n">
        <v>0</v>
      </c>
      <c r="R341" s="84" t="n">
        <v>0</v>
      </c>
      <c r="S341" s="83" t="n">
        <v>160</v>
      </c>
      <c r="T341" s="84" t="n">
        <v>2710397289.6</v>
      </c>
      <c r="U341" s="83" t="n">
        <v>32</v>
      </c>
      <c r="V341" s="84">
        <f>U341*L341</f>
        <v/>
      </c>
      <c r="W341" s="83">
        <f>Q341+S341-U341</f>
        <v/>
      </c>
      <c r="X341" s="84">
        <f>R341+T341-V341</f>
        <v/>
      </c>
      <c r="Y341" s="85" t="inlineStr">
        <is>
          <t>P221ZZSR01</t>
        </is>
      </c>
      <c r="Z341" s="86" t="inlineStr">
        <is>
          <t>15661</t>
        </is>
      </c>
      <c r="AA341" s="86" t="inlineStr">
        <is>
          <t>33561</t>
        </is>
      </c>
      <c r="AB341" s="86" t="inlineStr">
        <is>
          <t>6277651</t>
        </is>
      </c>
      <c r="AC341" s="87" t="inlineStr">
        <is>
          <t>Series</t>
        </is>
      </c>
      <c r="AD341" s="76">
        <f>COUNTIF('KK1. Movies'!AI:AI,'TK 15661.Bản quyền phim '!F341)</f>
        <v/>
      </c>
      <c r="AE341" s="76">
        <f>COUNTIF('KK2. Series'!AM:AM,'TK 15661.Bản quyền phim '!F341)</f>
        <v/>
      </c>
      <c r="AF341" s="76">
        <f>COUNTIF('KK3. Kids'!AF:AF,'TK 15661.Bản quyền phim '!F341)</f>
        <v/>
      </c>
      <c r="AG341" s="76" t="n"/>
      <c r="AH341" s="76">
        <f>IF(SUM(AD341:AG341)&gt;0,"OK",0)</f>
        <v/>
      </c>
    </row>
    <row r="342" hidden="1" ht="15.6" customHeight="1" s="578">
      <c r="B342" s="74" t="inlineStr">
        <is>
          <t>K+1MOV025039</t>
        </is>
      </c>
      <c r="C342" s="708" t="inlineStr">
        <is>
          <t>VND</t>
        </is>
      </c>
      <c r="D342" s="708" t="inlineStr">
        <is>
          <t>S0002624</t>
        </is>
      </c>
      <c r="E342" s="708" t="inlineStr">
        <is>
          <t>Công ty TNHH Hãng phim Anh Tễu</t>
        </is>
      </c>
      <c r="F342" s="708" t="inlineStr">
        <is>
          <t>Blood Moon Party (Tiệc Trăng Máu)</t>
        </is>
      </c>
      <c r="G342" s="708" t="inlineStr">
        <is>
          <t>Movies Vietnam</t>
        </is>
      </c>
      <c r="H342" s="83" t="n">
        <v>1</v>
      </c>
      <c r="I342" s="83" t="n">
        <v>3</v>
      </c>
      <c r="J342" s="83">
        <f>H342*I342</f>
        <v/>
      </c>
      <c r="K342" s="83" t="n">
        <v>75471000</v>
      </c>
      <c r="L342" s="83" t="n">
        <v>25157000</v>
      </c>
      <c r="M342" s="83">
        <f>J342-Q342</f>
        <v/>
      </c>
      <c r="N342" s="83">
        <f>K342-R342</f>
        <v/>
      </c>
      <c r="O342" s="517" t="n">
        <v>45686</v>
      </c>
      <c r="P342" s="517" t="n">
        <v>46780</v>
      </c>
      <c r="Q342" s="83" t="n">
        <v>0</v>
      </c>
      <c r="R342" s="84" t="n">
        <v>0</v>
      </c>
      <c r="S342" s="83" t="n">
        <v>3</v>
      </c>
      <c r="T342" s="84" t="n">
        <v>75471000</v>
      </c>
      <c r="U342" s="83" t="n">
        <v>1</v>
      </c>
      <c r="V342" s="84">
        <f>U342*L342</f>
        <v/>
      </c>
      <c r="W342" s="83">
        <f>Q342+S342-U342</f>
        <v/>
      </c>
      <c r="X342" s="84">
        <f>R342+T342-V342</f>
        <v/>
      </c>
      <c r="Y342" s="85" t="inlineStr">
        <is>
          <t>P221ZZMO02</t>
        </is>
      </c>
      <c r="Z342" s="86" t="inlineStr">
        <is>
          <t>15661</t>
        </is>
      </c>
      <c r="AA342" s="86" t="inlineStr">
        <is>
          <t>33561</t>
        </is>
      </c>
      <c r="AB342" s="86" t="inlineStr">
        <is>
          <t>6277651</t>
        </is>
      </c>
      <c r="AC342" s="87" t="inlineStr">
        <is>
          <t>Movies</t>
        </is>
      </c>
      <c r="AD342" s="76">
        <f>COUNTIF('KK1. Movies'!AI:AI,'TK 15661.Bản quyền phim '!F342)</f>
        <v/>
      </c>
      <c r="AE342" s="76">
        <f>COUNTIF('KK2. Series'!AM:AM,'TK 15661.Bản quyền phim '!F342)</f>
        <v/>
      </c>
      <c r="AF342" s="76">
        <f>COUNTIF('KK3. Kids'!AF:AF,'TK 15661.Bản quyền phim '!F342)</f>
        <v/>
      </c>
      <c r="AG342" s="76" t="n"/>
      <c r="AH342" s="76">
        <f>IF(SUM(AD342:AG342)&gt;0,"OK",0)</f>
        <v/>
      </c>
    </row>
    <row r="343" hidden="1" ht="15.6" customHeight="1" s="578">
      <c r="B343" s="74" t="inlineStr">
        <is>
          <t>K+1MOV025040</t>
        </is>
      </c>
      <c r="C343" s="708" t="inlineStr">
        <is>
          <t>VND</t>
        </is>
      </c>
      <c r="D343" s="708" t="inlineStr">
        <is>
          <t>S0001328</t>
        </is>
      </c>
      <c r="E343" s="708" t="inlineStr">
        <is>
          <t>Công ty TNHH Skyline Media</t>
        </is>
      </c>
      <c r="F343" s="708" t="inlineStr">
        <is>
          <t>SHINING FOR ONE THING</t>
        </is>
      </c>
      <c r="G343" s="708" t="inlineStr">
        <is>
          <t>Movies International</t>
        </is>
      </c>
      <c r="H343" s="83" t="n">
        <v>1</v>
      </c>
      <c r="I343" s="83" t="n">
        <v>3</v>
      </c>
      <c r="J343" s="83">
        <f>H343*I343</f>
        <v/>
      </c>
      <c r="K343" s="83" t="n">
        <v>89899429</v>
      </c>
      <c r="L343" s="83" t="n">
        <v>29966476.33333333</v>
      </c>
      <c r="M343" s="83">
        <f>J343-Q343</f>
        <v/>
      </c>
      <c r="N343" s="83">
        <f>K343-R343</f>
        <v/>
      </c>
      <c r="O343" s="517" t="n">
        <v>45674</v>
      </c>
      <c r="P343" s="517" t="n">
        <v>46768</v>
      </c>
      <c r="Q343" s="83" t="n">
        <v>0</v>
      </c>
      <c r="R343" s="84" t="n">
        <v>0</v>
      </c>
      <c r="S343" s="83" t="n">
        <v>3</v>
      </c>
      <c r="T343" s="84" t="n">
        <v>89899429</v>
      </c>
      <c r="U343" s="83" t="n">
        <v>1</v>
      </c>
      <c r="V343" s="84">
        <f>U343*L343</f>
        <v/>
      </c>
      <c r="W343" s="83">
        <f>Q343+S343-U343</f>
        <v/>
      </c>
      <c r="X343" s="84">
        <f>R343+T343-V343</f>
        <v/>
      </c>
      <c r="Y343" s="85" t="inlineStr">
        <is>
          <t>P221ZZMO01</t>
        </is>
      </c>
      <c r="Z343" s="86" t="inlineStr">
        <is>
          <t>15661</t>
        </is>
      </c>
      <c r="AA343" s="86" t="inlineStr">
        <is>
          <t>33561</t>
        </is>
      </c>
      <c r="AB343" s="86" t="inlineStr">
        <is>
          <t>6277651</t>
        </is>
      </c>
      <c r="AC343" s="87" t="inlineStr">
        <is>
          <t>Movies</t>
        </is>
      </c>
      <c r="AD343" s="76">
        <f>COUNTIF('KK1. Movies'!AI:AI,'TK 15661.Bản quyền phim '!F343)</f>
        <v/>
      </c>
      <c r="AE343" s="76">
        <f>COUNTIF('KK2. Series'!AM:AM,'TK 15661.Bản quyền phim '!F343)</f>
        <v/>
      </c>
      <c r="AF343" s="76">
        <f>COUNTIF('KK3. Kids'!AF:AF,'TK 15661.Bản quyền phim '!F343)</f>
        <v/>
      </c>
      <c r="AG343" s="76" t="n"/>
      <c r="AH343" s="76">
        <f>IF(SUM(AD343:AG343)&gt;0,"OK",0)</f>
        <v/>
      </c>
    </row>
    <row r="344" hidden="1" ht="15.6" customHeight="1" s="578">
      <c r="B344" s="74" t="inlineStr">
        <is>
          <t>K+2MOV025041</t>
        </is>
      </c>
      <c r="C344" s="708" t="inlineStr">
        <is>
          <t>VND</t>
        </is>
      </c>
      <c r="D344" s="708" t="inlineStr">
        <is>
          <t>S0001328</t>
        </is>
      </c>
      <c r="E344" s="708" t="inlineStr">
        <is>
          <t>Công ty TNHH Skyline Media</t>
        </is>
      </c>
      <c r="F344" s="708" t="inlineStr">
        <is>
          <t>BLACK' 47</t>
        </is>
      </c>
      <c r="G344" s="708" t="inlineStr">
        <is>
          <t>Movies International</t>
        </is>
      </c>
      <c r="H344" s="83" t="n">
        <v>1</v>
      </c>
      <c r="I344" s="83" t="n">
        <v>3</v>
      </c>
      <c r="J344" s="83">
        <f>H344*I344</f>
        <v/>
      </c>
      <c r="K344" s="83" t="n">
        <v>89899429</v>
      </c>
      <c r="L344" s="83" t="n">
        <v>29966476.33333333</v>
      </c>
      <c r="M344" s="83">
        <f>J344-Q344</f>
        <v/>
      </c>
      <c r="N344" s="83">
        <f>K344-R344</f>
        <v/>
      </c>
      <c r="O344" s="517" t="n">
        <v>45680</v>
      </c>
      <c r="P344" s="517" t="n">
        <v>46774</v>
      </c>
      <c r="Q344" s="83" t="n">
        <v>0</v>
      </c>
      <c r="R344" s="84" t="n">
        <v>0</v>
      </c>
      <c r="S344" s="83" t="n">
        <v>3</v>
      </c>
      <c r="T344" s="84" t="n">
        <v>89899429</v>
      </c>
      <c r="U344" s="83" t="n">
        <v>1</v>
      </c>
      <c r="V344" s="84">
        <f>U344*L344</f>
        <v/>
      </c>
      <c r="W344" s="83">
        <f>Q344+S344-U344</f>
        <v/>
      </c>
      <c r="X344" s="84">
        <f>R344+T344-V344</f>
        <v/>
      </c>
      <c r="Y344" s="85" t="inlineStr">
        <is>
          <t>P221ZZMO01</t>
        </is>
      </c>
      <c r="Z344" s="86" t="inlineStr">
        <is>
          <t>15661</t>
        </is>
      </c>
      <c r="AA344" s="86" t="inlineStr">
        <is>
          <t>33561</t>
        </is>
      </c>
      <c r="AB344" s="86" t="inlineStr">
        <is>
          <t>6277651</t>
        </is>
      </c>
      <c r="AC344" s="87" t="inlineStr">
        <is>
          <t>Movies</t>
        </is>
      </c>
      <c r="AD344" s="76">
        <f>COUNTIF('KK1. Movies'!AI:AI,'TK 15661.Bản quyền phim '!F344)</f>
        <v/>
      </c>
      <c r="AE344" s="76">
        <f>COUNTIF('KK2. Series'!AM:AM,'TK 15661.Bản quyền phim '!F344)</f>
        <v/>
      </c>
      <c r="AF344" s="76">
        <f>COUNTIF('KK3. Kids'!AF:AF,'TK 15661.Bản quyền phim '!F344)</f>
        <v/>
      </c>
      <c r="AG344" s="76" t="n"/>
      <c r="AH344" s="76">
        <f>IF(SUM(AD344:AG344)&gt;0,"OK",0)</f>
        <v/>
      </c>
    </row>
    <row r="345" hidden="1" ht="15.6" customHeight="1" s="578">
      <c r="B345" s="74" t="inlineStr">
        <is>
          <t>K+1MOV025042</t>
        </is>
      </c>
      <c r="C345" s="708" t="inlineStr">
        <is>
          <t>VND</t>
        </is>
      </c>
      <c r="D345" s="708" t="inlineStr">
        <is>
          <t>S0001328</t>
        </is>
      </c>
      <c r="E345" s="708" t="inlineStr">
        <is>
          <t>Công ty TNHH Skyline Media</t>
        </is>
      </c>
      <c r="F345" s="708" t="inlineStr">
        <is>
          <t>THE COUGAR QUEEN (Gái già lắm chiêu 2)</t>
        </is>
      </c>
      <c r="G345" s="708" t="inlineStr">
        <is>
          <t>Movies Vietnam</t>
        </is>
      </c>
      <c r="H345" s="83" t="n">
        <v>1</v>
      </c>
      <c r="I345" s="83" t="n">
        <v>3</v>
      </c>
      <c r="J345" s="83">
        <f>H345*I345</f>
        <v/>
      </c>
      <c r="K345" s="83" t="n">
        <v>89899429</v>
      </c>
      <c r="L345" s="83" t="n">
        <v>29966476.33333333</v>
      </c>
      <c r="M345" s="83">
        <f>J345-Q345</f>
        <v/>
      </c>
      <c r="N345" s="83">
        <f>K345-R345</f>
        <v/>
      </c>
      <c r="O345" s="517" t="n">
        <v>45685</v>
      </c>
      <c r="P345" s="517" t="n">
        <v>46779</v>
      </c>
      <c r="Q345" s="83" t="n">
        <v>0</v>
      </c>
      <c r="R345" s="84" t="n">
        <v>0</v>
      </c>
      <c r="S345" s="83" t="n">
        <v>3</v>
      </c>
      <c r="T345" s="84" t="n">
        <v>89899429</v>
      </c>
      <c r="U345" s="83" t="n">
        <v>1</v>
      </c>
      <c r="V345" s="84">
        <f>U345*L345</f>
        <v/>
      </c>
      <c r="W345" s="83">
        <f>Q345+S345-U345</f>
        <v/>
      </c>
      <c r="X345" s="84">
        <f>R345+T345-V345</f>
        <v/>
      </c>
      <c r="Y345" s="85" t="inlineStr">
        <is>
          <t>P221ZZMO02</t>
        </is>
      </c>
      <c r="Z345" s="86" t="inlineStr">
        <is>
          <t>15661</t>
        </is>
      </c>
      <c r="AA345" s="86" t="inlineStr">
        <is>
          <t>33561</t>
        </is>
      </c>
      <c r="AB345" s="86" t="inlineStr">
        <is>
          <t>6277651</t>
        </is>
      </c>
      <c r="AC345" s="87" t="inlineStr">
        <is>
          <t>Movies</t>
        </is>
      </c>
      <c r="AD345" s="76">
        <f>COUNTIF('KK1. Movies'!AI:AI,'TK 15661.Bản quyền phim '!F345)</f>
        <v/>
      </c>
      <c r="AE345" s="76">
        <f>COUNTIF('KK2. Series'!AM:AM,'TK 15661.Bản quyền phim '!F345)</f>
        <v/>
      </c>
      <c r="AF345" s="76">
        <f>COUNTIF('KK3. Kids'!AF:AF,'TK 15661.Bản quyền phim '!F345)</f>
        <v/>
      </c>
      <c r="AG345" s="76" t="n"/>
      <c r="AH345" s="76">
        <f>IF(SUM(AD345:AG345)&gt;0,"OK",0)</f>
        <v/>
      </c>
    </row>
    <row r="346" hidden="1" ht="15.6" customHeight="1" s="578">
      <c r="B346" s="74" t="inlineStr">
        <is>
          <t>K+1MOV025043</t>
        </is>
      </c>
      <c r="C346" s="708" t="inlineStr">
        <is>
          <t>VND</t>
        </is>
      </c>
      <c r="D346" s="708" t="inlineStr">
        <is>
          <t>S0001328</t>
        </is>
      </c>
      <c r="E346" s="708" t="inlineStr">
        <is>
          <t>Công ty TNHH Skyline Media</t>
        </is>
      </c>
      <c r="F346" s="708" t="inlineStr">
        <is>
          <t>THE ROYAL BRIDE (Gái già lắm chiêu 3)</t>
        </is>
      </c>
      <c r="G346" s="708" t="inlineStr">
        <is>
          <t>Movies Vietnam</t>
        </is>
      </c>
      <c r="H346" s="83" t="n">
        <v>1</v>
      </c>
      <c r="I346" s="83" t="n">
        <v>3</v>
      </c>
      <c r="J346" s="83">
        <f>H346*I346</f>
        <v/>
      </c>
      <c r="K346" s="83" t="n">
        <v>89899429</v>
      </c>
      <c r="L346" s="83" t="n">
        <v>29966476.33333333</v>
      </c>
      <c r="M346" s="83">
        <f>J346-Q346</f>
        <v/>
      </c>
      <c r="N346" s="83">
        <f>K346-R346</f>
        <v/>
      </c>
      <c r="O346" s="517" t="n">
        <v>45686</v>
      </c>
      <c r="P346" s="517" t="n">
        <v>46780</v>
      </c>
      <c r="Q346" s="83" t="n">
        <v>0</v>
      </c>
      <c r="R346" s="84" t="n">
        <v>0</v>
      </c>
      <c r="S346" s="83" t="n">
        <v>3</v>
      </c>
      <c r="T346" s="84" t="n">
        <v>89899429</v>
      </c>
      <c r="U346" s="83" t="n">
        <v>1</v>
      </c>
      <c r="V346" s="84">
        <f>U346*L346</f>
        <v/>
      </c>
      <c r="W346" s="83">
        <f>Q346+S346-U346</f>
        <v/>
      </c>
      <c r="X346" s="84">
        <f>R346+T346-V346</f>
        <v/>
      </c>
      <c r="Y346" s="85" t="inlineStr">
        <is>
          <t>P221ZZMO02</t>
        </is>
      </c>
      <c r="Z346" s="86" t="inlineStr">
        <is>
          <t>15661</t>
        </is>
      </c>
      <c r="AA346" s="86" t="inlineStr">
        <is>
          <t>33561</t>
        </is>
      </c>
      <c r="AB346" s="86" t="inlineStr">
        <is>
          <t>6277651</t>
        </is>
      </c>
      <c r="AC346" s="87" t="inlineStr">
        <is>
          <t>Movies</t>
        </is>
      </c>
      <c r="AD346" s="76">
        <f>COUNTIF('KK1. Movies'!AI:AI,'TK 15661.Bản quyền phim '!F346)</f>
        <v/>
      </c>
      <c r="AE346" s="76">
        <f>COUNTIF('KK2. Series'!AM:AM,'TK 15661.Bản quyền phim '!F346)</f>
        <v/>
      </c>
      <c r="AF346" s="76">
        <f>COUNTIF('KK3. Kids'!AF:AF,'TK 15661.Bản quyền phim '!F346)</f>
        <v/>
      </c>
      <c r="AG346" s="76" t="n"/>
      <c r="AH346" s="76">
        <f>IF(SUM(AD346:AG346)&gt;0,"OK",0)</f>
        <v/>
      </c>
    </row>
    <row r="347" hidden="1" ht="15.6" customHeight="1" s="578">
      <c r="B347" s="74" t="inlineStr">
        <is>
          <t>K+1MOV025044</t>
        </is>
      </c>
      <c r="C347" s="708" t="inlineStr">
        <is>
          <t>VND</t>
        </is>
      </c>
      <c r="D347" s="708" t="inlineStr">
        <is>
          <t>S0001328</t>
        </is>
      </c>
      <c r="E347" s="708" t="inlineStr">
        <is>
          <t>Công ty TNHH Skyline Media</t>
        </is>
      </c>
      <c r="F347" s="708" t="inlineStr">
        <is>
          <t>OOOPS: THE ADVENTURE CONTINUES (Two by Two: Overboard!)</t>
        </is>
      </c>
      <c r="G347" s="708" t="inlineStr">
        <is>
          <t>Movies International</t>
        </is>
      </c>
      <c r="H347" s="83" t="n">
        <v>1</v>
      </c>
      <c r="I347" s="83" t="n">
        <v>3</v>
      </c>
      <c r="J347" s="83">
        <f>H347*I347</f>
        <v/>
      </c>
      <c r="K347" s="83" t="n">
        <v>89899429</v>
      </c>
      <c r="L347" s="83" t="n">
        <v>29966476.33333333</v>
      </c>
      <c r="M347" s="83">
        <f>J347-Q347</f>
        <v/>
      </c>
      <c r="N347" s="83">
        <f>K347-R347</f>
        <v/>
      </c>
      <c r="O347" s="517" t="n">
        <v>45696</v>
      </c>
      <c r="P347" s="517" t="n">
        <v>46790</v>
      </c>
      <c r="Q347" s="83" t="n">
        <v>0</v>
      </c>
      <c r="R347" s="84" t="n">
        <v>0</v>
      </c>
      <c r="S347" s="83" t="n">
        <v>3</v>
      </c>
      <c r="T347" s="84" t="n">
        <v>89899429</v>
      </c>
      <c r="U347" s="83" t="n">
        <v>1</v>
      </c>
      <c r="V347" s="84">
        <f>U347*L347</f>
        <v/>
      </c>
      <c r="W347" s="83">
        <f>Q347+S347-U347</f>
        <v/>
      </c>
      <c r="X347" s="84">
        <f>R347+T347-V347</f>
        <v/>
      </c>
      <c r="Y347" s="85" t="inlineStr">
        <is>
          <t>P221ZZMO01</t>
        </is>
      </c>
      <c r="Z347" s="86" t="inlineStr">
        <is>
          <t>15661</t>
        </is>
      </c>
      <c r="AA347" s="86" t="inlineStr">
        <is>
          <t>33561</t>
        </is>
      </c>
      <c r="AB347" s="86" t="inlineStr">
        <is>
          <t>6277651</t>
        </is>
      </c>
      <c r="AC347" s="87" t="inlineStr">
        <is>
          <t>Movies</t>
        </is>
      </c>
      <c r="AD347" s="76">
        <f>COUNTIF('KK1. Movies'!AI:AI,'TK 15661.Bản quyền phim '!F347)</f>
        <v/>
      </c>
      <c r="AE347" s="76">
        <f>COUNTIF('KK2. Series'!AM:AM,'TK 15661.Bản quyền phim '!F347)</f>
        <v/>
      </c>
      <c r="AF347" s="76">
        <f>COUNTIF('KK3. Kids'!AF:AF,'TK 15661.Bản quyền phim '!F347)</f>
        <v/>
      </c>
      <c r="AG347" s="76" t="n"/>
      <c r="AH347" s="76">
        <f>IF(SUM(AD347:AG347)&gt;0,"OK",0)</f>
        <v/>
      </c>
    </row>
    <row r="348" hidden="1" ht="15.6" customHeight="1" s="578">
      <c r="B348" s="74" t="inlineStr">
        <is>
          <t>K+1MOV025045</t>
        </is>
      </c>
      <c r="C348" s="708" t="inlineStr">
        <is>
          <t>VND</t>
        </is>
      </c>
      <c r="D348" s="708" t="inlineStr">
        <is>
          <t>S0001328</t>
        </is>
      </c>
      <c r="E348" s="708" t="inlineStr">
        <is>
          <t>Công ty TNHH Skyline Media</t>
        </is>
      </c>
      <c r="F348" s="708" t="inlineStr">
        <is>
          <t>SINGLE IN SEOUL</t>
        </is>
      </c>
      <c r="G348" s="708" t="inlineStr">
        <is>
          <t>Movies International</t>
        </is>
      </c>
      <c r="H348" s="83" t="n">
        <v>1</v>
      </c>
      <c r="I348" s="83" t="n">
        <v>3</v>
      </c>
      <c r="J348" s="83">
        <f>H348*I348</f>
        <v/>
      </c>
      <c r="K348" s="83" t="n">
        <v>89899429</v>
      </c>
      <c r="L348" s="83" t="n">
        <v>29966476.33333333</v>
      </c>
      <c r="M348" s="83">
        <f>J348-Q348</f>
        <v/>
      </c>
      <c r="N348" s="83">
        <f>K348-R348</f>
        <v/>
      </c>
      <c r="O348" s="517" t="n">
        <v>45700</v>
      </c>
      <c r="P348" s="517" t="n">
        <v>46794</v>
      </c>
      <c r="Q348" s="83" t="n">
        <v>0</v>
      </c>
      <c r="R348" s="84" t="n">
        <v>0</v>
      </c>
      <c r="S348" s="83" t="n">
        <v>3</v>
      </c>
      <c r="T348" s="84" t="n">
        <v>89899429</v>
      </c>
      <c r="U348" s="83" t="n">
        <v>1</v>
      </c>
      <c r="V348" s="84">
        <f>U348*L348</f>
        <v/>
      </c>
      <c r="W348" s="83">
        <f>Q348+S348-U348</f>
        <v/>
      </c>
      <c r="X348" s="84">
        <f>R348+T348-V348</f>
        <v/>
      </c>
      <c r="Y348" s="85" t="inlineStr">
        <is>
          <t>P221ZZMO01</t>
        </is>
      </c>
      <c r="Z348" s="86" t="inlineStr">
        <is>
          <t>15661</t>
        </is>
      </c>
      <c r="AA348" s="86" t="inlineStr">
        <is>
          <t>33561</t>
        </is>
      </c>
      <c r="AB348" s="86" t="inlineStr">
        <is>
          <t>6277651</t>
        </is>
      </c>
      <c r="AC348" s="87" t="inlineStr">
        <is>
          <t>Movies</t>
        </is>
      </c>
      <c r="AD348" s="76">
        <f>COUNTIF('KK1. Movies'!AI:AI,'TK 15661.Bản quyền phim '!F348)</f>
        <v/>
      </c>
      <c r="AE348" s="76">
        <f>COUNTIF('KK2. Series'!AM:AM,'TK 15661.Bản quyền phim '!F348)</f>
        <v/>
      </c>
      <c r="AF348" s="76">
        <f>COUNTIF('KK3. Kids'!AF:AF,'TK 15661.Bản quyền phim '!F348)</f>
        <v/>
      </c>
      <c r="AG348" s="76" t="n"/>
      <c r="AH348" s="76">
        <f>IF(SUM(AD348:AG348)&gt;0,"OK",0)</f>
        <v/>
      </c>
    </row>
    <row r="349" hidden="1" ht="15.6" customHeight="1" s="578">
      <c r="B349" s="74" t="inlineStr">
        <is>
          <t>K+2MOV025046</t>
        </is>
      </c>
      <c r="C349" s="708" t="inlineStr">
        <is>
          <t>VND</t>
        </is>
      </c>
      <c r="D349" s="708" t="inlineStr">
        <is>
          <t>S0001328</t>
        </is>
      </c>
      <c r="E349" s="708" t="inlineStr">
        <is>
          <t>Công ty TNHH Skyline Media</t>
        </is>
      </c>
      <c r="F349" s="708" t="inlineStr">
        <is>
          <t>EVERYBODY KNOWS</t>
        </is>
      </c>
      <c r="G349" s="708" t="inlineStr">
        <is>
          <t>Movies International</t>
        </is>
      </c>
      <c r="H349" s="83" t="n">
        <v>1</v>
      </c>
      <c r="I349" s="83" t="n">
        <v>3</v>
      </c>
      <c r="J349" s="83">
        <f>H349*I349</f>
        <v/>
      </c>
      <c r="K349" s="83" t="n">
        <v>89899429</v>
      </c>
      <c r="L349" s="83" t="n">
        <v>29966476.33333333</v>
      </c>
      <c r="M349" s="83">
        <f>J349-Q349</f>
        <v/>
      </c>
      <c r="N349" s="83">
        <f>K349-R349</f>
        <v/>
      </c>
      <c r="O349" s="517" t="n">
        <v>45701</v>
      </c>
      <c r="P349" s="517" t="n">
        <v>46795</v>
      </c>
      <c r="Q349" s="83" t="n">
        <v>0</v>
      </c>
      <c r="R349" s="84" t="n">
        <v>0</v>
      </c>
      <c r="S349" s="83" t="n">
        <v>3</v>
      </c>
      <c r="T349" s="84" t="n">
        <v>89899429</v>
      </c>
      <c r="U349" s="83" t="n">
        <v>1</v>
      </c>
      <c r="V349" s="84">
        <f>U349*L349</f>
        <v/>
      </c>
      <c r="W349" s="83">
        <f>Q349+S349-U349</f>
        <v/>
      </c>
      <c r="X349" s="84">
        <f>R349+T349-V349</f>
        <v/>
      </c>
      <c r="Y349" s="85" t="inlineStr">
        <is>
          <t>P221ZZMO01</t>
        </is>
      </c>
      <c r="Z349" s="86" t="inlineStr">
        <is>
          <t>15661</t>
        </is>
      </c>
      <c r="AA349" s="86" t="inlineStr">
        <is>
          <t>33561</t>
        </is>
      </c>
      <c r="AB349" s="86" t="inlineStr">
        <is>
          <t>6277651</t>
        </is>
      </c>
      <c r="AC349" s="87" t="inlineStr">
        <is>
          <t>Movies</t>
        </is>
      </c>
      <c r="AD349" s="76">
        <f>COUNTIF('KK1. Movies'!AI:AI,'TK 15661.Bản quyền phim '!F349)</f>
        <v/>
      </c>
      <c r="AE349" s="76">
        <f>COUNTIF('KK2. Series'!AM:AM,'TK 15661.Bản quyền phim '!F349)</f>
        <v/>
      </c>
      <c r="AF349" s="76">
        <f>COUNTIF('KK3. Kids'!AF:AF,'TK 15661.Bản quyền phim '!F349)</f>
        <v/>
      </c>
      <c r="AG349" s="76" t="n"/>
      <c r="AH349" s="76">
        <f>IF(SUM(AD349:AG349)&gt;0,"OK",0)</f>
        <v/>
      </c>
    </row>
    <row r="350" hidden="1" ht="15.6" customHeight="1" s="578">
      <c r="B350" s="74" t="inlineStr">
        <is>
          <t>K+5MOV025047</t>
        </is>
      </c>
      <c r="C350" s="708" t="inlineStr">
        <is>
          <t>VND</t>
        </is>
      </c>
      <c r="D350" s="708" t="inlineStr">
        <is>
          <t>S0001328</t>
        </is>
      </c>
      <c r="E350" s="708" t="inlineStr">
        <is>
          <t>Công ty TNHH Skyline Media</t>
        </is>
      </c>
      <c r="F350" s="708" t="inlineStr">
        <is>
          <t>PIL'S ADVENTURES</t>
        </is>
      </c>
      <c r="G350" s="708" t="inlineStr">
        <is>
          <t>Movies International</t>
        </is>
      </c>
      <c r="H350" s="83" t="n">
        <v>1</v>
      </c>
      <c r="I350" s="83" t="n">
        <v>3</v>
      </c>
      <c r="J350" s="83">
        <f>H350*I350</f>
        <v/>
      </c>
      <c r="K350" s="83" t="n">
        <v>89899429</v>
      </c>
      <c r="L350" s="83" t="n">
        <v>29966476.33333333</v>
      </c>
      <c r="M350" s="83">
        <f>J350-Q350</f>
        <v/>
      </c>
      <c r="N350" s="83">
        <f>K350-R350</f>
        <v/>
      </c>
      <c r="O350" s="517" t="n">
        <v>45710</v>
      </c>
      <c r="P350" s="517" t="n">
        <v>46804</v>
      </c>
      <c r="Q350" s="83" t="n">
        <v>0</v>
      </c>
      <c r="R350" s="84" t="n">
        <v>0</v>
      </c>
      <c r="S350" s="83" t="n">
        <v>3</v>
      </c>
      <c r="T350" s="84" t="n">
        <v>89899429</v>
      </c>
      <c r="U350" s="83" t="n">
        <v>1</v>
      </c>
      <c r="V350" s="84">
        <f>U350*L350</f>
        <v/>
      </c>
      <c r="W350" s="83">
        <f>Q350+S350-U350</f>
        <v/>
      </c>
      <c r="X350" s="84">
        <f>R350+T350-V350</f>
        <v/>
      </c>
      <c r="Y350" s="85" t="inlineStr">
        <is>
          <t>P221ZZMO01</t>
        </is>
      </c>
      <c r="Z350" s="86" t="inlineStr">
        <is>
          <t>15661</t>
        </is>
      </c>
      <c r="AA350" s="86" t="inlineStr">
        <is>
          <t>33561</t>
        </is>
      </c>
      <c r="AB350" s="86" t="inlineStr">
        <is>
          <t>6277651</t>
        </is>
      </c>
      <c r="AC350" s="87" t="inlineStr">
        <is>
          <t>Movies</t>
        </is>
      </c>
      <c r="AD350" s="76">
        <f>COUNTIF('KK1. Movies'!AI:AI,'TK 15661.Bản quyền phim '!F350)</f>
        <v/>
      </c>
      <c r="AE350" s="76">
        <f>COUNTIF('KK2. Series'!AM:AM,'TK 15661.Bản quyền phim '!F350)</f>
        <v/>
      </c>
      <c r="AF350" s="76">
        <f>COUNTIF('KK3. Kids'!AF:AF,'TK 15661.Bản quyền phim '!F350)</f>
        <v/>
      </c>
      <c r="AG350" s="76" t="n"/>
      <c r="AH350" s="76">
        <f>IF(SUM(AD350:AG350)&gt;0,"OK",0)</f>
        <v/>
      </c>
    </row>
    <row r="351" hidden="1" ht="15.6" customHeight="1" s="578">
      <c r="B351" s="74" t="inlineStr">
        <is>
          <t>K+2MOV025048</t>
        </is>
      </c>
      <c r="C351" s="708" t="inlineStr">
        <is>
          <t>VND</t>
        </is>
      </c>
      <c r="D351" s="708" t="inlineStr">
        <is>
          <t>S0001328</t>
        </is>
      </c>
      <c r="E351" s="708" t="inlineStr">
        <is>
          <t>Công ty TNHH Skyline Media</t>
        </is>
      </c>
      <c r="F351" s="708" t="inlineStr">
        <is>
          <t>KNOCK KNOCK</t>
        </is>
      </c>
      <c r="G351" s="708" t="inlineStr">
        <is>
          <t>Movies International</t>
        </is>
      </c>
      <c r="H351" s="83" t="n">
        <v>1</v>
      </c>
      <c r="I351" s="83" t="n">
        <v>3</v>
      </c>
      <c r="J351" s="83">
        <f>H351*I351</f>
        <v/>
      </c>
      <c r="K351" s="83" t="n">
        <v>89899429</v>
      </c>
      <c r="L351" s="83" t="n">
        <v>29966476.33333333</v>
      </c>
      <c r="M351" s="83">
        <f>J351-Q351</f>
        <v/>
      </c>
      <c r="N351" s="83">
        <f>K351-R351</f>
        <v/>
      </c>
      <c r="O351" s="517" t="n">
        <v>45715</v>
      </c>
      <c r="P351" s="517" t="n">
        <v>46809</v>
      </c>
      <c r="Q351" s="83" t="n">
        <v>0</v>
      </c>
      <c r="R351" s="84" t="n">
        <v>0</v>
      </c>
      <c r="S351" s="83" t="n">
        <v>3</v>
      </c>
      <c r="T351" s="84" t="n">
        <v>89899429</v>
      </c>
      <c r="U351" s="83" t="n">
        <v>1</v>
      </c>
      <c r="V351" s="84">
        <f>U351*L351</f>
        <v/>
      </c>
      <c r="W351" s="83">
        <f>Q351+S351-U351</f>
        <v/>
      </c>
      <c r="X351" s="84">
        <f>R351+T351-V351</f>
        <v/>
      </c>
      <c r="Y351" s="85" t="inlineStr">
        <is>
          <t>P221ZZMO01</t>
        </is>
      </c>
      <c r="Z351" s="86" t="inlineStr">
        <is>
          <t>15661</t>
        </is>
      </c>
      <c r="AA351" s="86" t="inlineStr">
        <is>
          <t>33561</t>
        </is>
      </c>
      <c r="AB351" s="86" t="inlineStr">
        <is>
          <t>6277651</t>
        </is>
      </c>
      <c r="AC351" s="87" t="inlineStr">
        <is>
          <t>Movies</t>
        </is>
      </c>
      <c r="AD351" s="76">
        <f>COUNTIF('KK1. Movies'!AI:AI,'TK 15661.Bản quyền phim '!F351)</f>
        <v/>
      </c>
      <c r="AE351" s="76">
        <f>COUNTIF('KK2. Series'!AM:AM,'TK 15661.Bản quyền phim '!F351)</f>
        <v/>
      </c>
      <c r="AF351" s="76">
        <f>COUNTIF('KK3. Kids'!AF:AF,'TK 15661.Bản quyền phim '!F351)</f>
        <v/>
      </c>
      <c r="AG351" s="76" t="n"/>
      <c r="AH351" s="76">
        <f>IF(SUM(AD351:AG351)&gt;0,"OK",0)</f>
        <v/>
      </c>
    </row>
    <row r="352" hidden="1" ht="15.6" customHeight="1" s="578">
      <c r="B352" s="74" t="inlineStr">
        <is>
          <t>K+1MOV025049</t>
        </is>
      </c>
      <c r="C352" s="708" t="inlineStr">
        <is>
          <t>VND</t>
        </is>
      </c>
      <c r="D352" s="708" t="inlineStr">
        <is>
          <t>S0001328</t>
        </is>
      </c>
      <c r="E352" s="708" t="inlineStr">
        <is>
          <t>Công ty TNHH Skyline Media</t>
        </is>
      </c>
      <c r="F352" s="708" t="inlineStr">
        <is>
          <t>MISS FORTUNE</t>
        </is>
      </c>
      <c r="G352" s="708" t="inlineStr">
        <is>
          <t>Movies International</t>
        </is>
      </c>
      <c r="H352" s="83" t="n">
        <v>1</v>
      </c>
      <c r="I352" s="83" t="n">
        <v>3</v>
      </c>
      <c r="J352" s="83">
        <f>H352*I352</f>
        <v/>
      </c>
      <c r="K352" s="83" t="n">
        <v>89899429</v>
      </c>
      <c r="L352" s="83" t="n">
        <v>29966476.33333333</v>
      </c>
      <c r="M352" s="83">
        <f>J352-Q352</f>
        <v/>
      </c>
      <c r="N352" s="83">
        <f>K352-R352</f>
        <v/>
      </c>
      <c r="O352" s="517" t="n">
        <v>45735</v>
      </c>
      <c r="P352" s="517" t="n">
        <v>46830</v>
      </c>
      <c r="Q352" s="83" t="n">
        <v>0</v>
      </c>
      <c r="R352" s="84" t="n">
        <v>0</v>
      </c>
      <c r="S352" s="83" t="n">
        <v>3</v>
      </c>
      <c r="T352" s="84" t="n">
        <v>89899429</v>
      </c>
      <c r="U352" s="83" t="n">
        <v>1</v>
      </c>
      <c r="V352" s="84">
        <f>U352*L352</f>
        <v/>
      </c>
      <c r="W352" s="83">
        <f>Q352+S352-U352</f>
        <v/>
      </c>
      <c r="X352" s="84">
        <f>R352+T352-V352</f>
        <v/>
      </c>
      <c r="Y352" s="85" t="inlineStr">
        <is>
          <t>P221ZZMO01</t>
        </is>
      </c>
      <c r="Z352" s="86" t="inlineStr">
        <is>
          <t>15661</t>
        </is>
      </c>
      <c r="AA352" s="86" t="inlineStr">
        <is>
          <t>33561</t>
        </is>
      </c>
      <c r="AB352" s="86" t="inlineStr">
        <is>
          <t>6277651</t>
        </is>
      </c>
      <c r="AC352" s="87" t="inlineStr">
        <is>
          <t>Movies</t>
        </is>
      </c>
      <c r="AD352" s="76">
        <f>COUNTIF('KK1. Movies'!AI:AI,'TK 15661.Bản quyền phim '!F352)</f>
        <v/>
      </c>
      <c r="AE352" s="76">
        <f>COUNTIF('KK2. Series'!AM:AM,'TK 15661.Bản quyền phim '!F352)</f>
        <v/>
      </c>
      <c r="AF352" s="76">
        <f>COUNTIF('KK3. Kids'!AF:AF,'TK 15661.Bản quyền phim '!F352)</f>
        <v/>
      </c>
      <c r="AG352" s="76" t="n"/>
      <c r="AH352" s="76">
        <f>IF(SUM(AD352:AG352)&gt;0,"OK",0)</f>
        <v/>
      </c>
    </row>
    <row r="353" hidden="1" ht="15.6" customHeight="1" s="578">
      <c r="B353" s="74" t="inlineStr">
        <is>
          <t>K+1MOV025050</t>
        </is>
      </c>
      <c r="C353" s="708" t="inlineStr">
        <is>
          <t>VND</t>
        </is>
      </c>
      <c r="D353" s="708" t="inlineStr">
        <is>
          <t>S0001328</t>
        </is>
      </c>
      <c r="E353" s="708" t="inlineStr">
        <is>
          <t>Công ty TNHH Skyline Media</t>
        </is>
      </c>
      <c r="F353" s="708" t="inlineStr">
        <is>
          <t>TWILIGHT OF THE WARRIORS: WALLED IN</t>
        </is>
      </c>
      <c r="G353" s="708" t="inlineStr">
        <is>
          <t>Movies International</t>
        </is>
      </c>
      <c r="H353" s="83" t="n">
        <v>1</v>
      </c>
      <c r="I353" s="83" t="n">
        <v>3</v>
      </c>
      <c r="J353" s="83">
        <f>H353*I353</f>
        <v/>
      </c>
      <c r="K353" s="83" t="n">
        <v>89899429</v>
      </c>
      <c r="L353" s="83" t="n">
        <v>29966476.33333333</v>
      </c>
      <c r="M353" s="83">
        <f>J353-Q353</f>
        <v/>
      </c>
      <c r="N353" s="83">
        <f>K353-R353</f>
        <v/>
      </c>
      <c r="O353" s="517" t="n">
        <v>45737</v>
      </c>
      <c r="P353" s="517" t="n">
        <v>46832</v>
      </c>
      <c r="Q353" s="83" t="n">
        <v>0</v>
      </c>
      <c r="R353" s="84" t="n">
        <v>0</v>
      </c>
      <c r="S353" s="83" t="n">
        <v>3</v>
      </c>
      <c r="T353" s="84" t="n">
        <v>89899429</v>
      </c>
      <c r="U353" s="83" t="n">
        <v>1</v>
      </c>
      <c r="V353" s="84">
        <f>U353*L353</f>
        <v/>
      </c>
      <c r="W353" s="83">
        <f>Q353+S353-U353</f>
        <v/>
      </c>
      <c r="X353" s="84">
        <f>R353+T353-V353</f>
        <v/>
      </c>
      <c r="Y353" s="85" t="inlineStr">
        <is>
          <t>P221ZZMO01</t>
        </is>
      </c>
      <c r="Z353" s="86" t="inlineStr">
        <is>
          <t>15661</t>
        </is>
      </c>
      <c r="AA353" s="86" t="inlineStr">
        <is>
          <t>33561</t>
        </is>
      </c>
      <c r="AB353" s="86" t="inlineStr">
        <is>
          <t>6277651</t>
        </is>
      </c>
      <c r="AC353" s="87" t="inlineStr">
        <is>
          <t>Movies</t>
        </is>
      </c>
      <c r="AD353" s="76">
        <f>COUNTIF('KK1. Movies'!AI:AI,'TK 15661.Bản quyền phim '!F353)</f>
        <v/>
      </c>
      <c r="AE353" s="76">
        <f>COUNTIF('KK2. Series'!AM:AM,'TK 15661.Bản quyền phim '!F353)</f>
        <v/>
      </c>
      <c r="AF353" s="76">
        <f>COUNTIF('KK3. Kids'!AF:AF,'TK 15661.Bản quyền phim '!F353)</f>
        <v/>
      </c>
      <c r="AG353" s="76" t="n"/>
      <c r="AH353" s="76">
        <f>IF(SUM(AD353:AG353)&gt;0,"OK",0)</f>
        <v/>
      </c>
    </row>
    <row r="354" hidden="1" ht="15.6" customHeight="1" s="578">
      <c r="B354" s="74" t="inlineStr">
        <is>
          <t>K+1MOV025051</t>
        </is>
      </c>
      <c r="C354" s="708" t="inlineStr">
        <is>
          <t>VND</t>
        </is>
      </c>
      <c r="D354" s="708" t="inlineStr">
        <is>
          <t>S0001328</t>
        </is>
      </c>
      <c r="E354" s="708" t="inlineStr">
        <is>
          <t>Công ty TNHH Skyline Media</t>
        </is>
      </c>
      <c r="F354" s="708" t="inlineStr">
        <is>
          <t>LEAP! (BALLERINA)</t>
        </is>
      </c>
      <c r="G354" s="708" t="inlineStr">
        <is>
          <t>Movies International</t>
        </is>
      </c>
      <c r="H354" s="83" t="n">
        <v>1</v>
      </c>
      <c r="I354" s="83" t="n">
        <v>3</v>
      </c>
      <c r="J354" s="83">
        <f>H354*I354</f>
        <v/>
      </c>
      <c r="K354" s="83" t="n">
        <v>52798858</v>
      </c>
      <c r="L354" s="83" t="n">
        <v>17599619.33333333</v>
      </c>
      <c r="M354" s="83">
        <f>J354-Q354</f>
        <v/>
      </c>
      <c r="N354" s="83">
        <f>K354-R354</f>
        <v/>
      </c>
      <c r="O354" s="517" t="n">
        <v>45787</v>
      </c>
      <c r="P354" s="517" t="n">
        <v>46882</v>
      </c>
      <c r="Q354" s="83" t="n">
        <v>0</v>
      </c>
      <c r="R354" s="84" t="n">
        <v>0</v>
      </c>
      <c r="S354" s="83" t="n">
        <v>3</v>
      </c>
      <c r="T354" s="84" t="n">
        <v>52798858</v>
      </c>
      <c r="U354" s="83" t="n">
        <v>1</v>
      </c>
      <c r="V354" s="84">
        <f>U354*L354</f>
        <v/>
      </c>
      <c r="W354" s="83">
        <f>Q354+S354-U354</f>
        <v/>
      </c>
      <c r="X354" s="84">
        <f>R354+T354-V354</f>
        <v/>
      </c>
      <c r="Y354" s="85" t="inlineStr">
        <is>
          <t>P221ZZMO01</t>
        </is>
      </c>
      <c r="Z354" s="86" t="inlineStr">
        <is>
          <t>15661</t>
        </is>
      </c>
      <c r="AA354" s="86" t="inlineStr">
        <is>
          <t>33561</t>
        </is>
      </c>
      <c r="AB354" s="86" t="inlineStr">
        <is>
          <t>6277651</t>
        </is>
      </c>
      <c r="AC354" s="87" t="inlineStr">
        <is>
          <t>Movies</t>
        </is>
      </c>
      <c r="AD354" s="76">
        <f>COUNTIF('KK1. Movies'!AI:AI,'TK 15661.Bản quyền phim '!F354)</f>
        <v/>
      </c>
      <c r="AE354" s="76">
        <f>COUNTIF('KK2. Series'!AM:AM,'TK 15661.Bản quyền phim '!F354)</f>
        <v/>
      </c>
      <c r="AF354" s="76">
        <f>COUNTIF('KK3. Kids'!AF:AF,'TK 15661.Bản quyền phim '!F354)</f>
        <v/>
      </c>
      <c r="AG354" s="76" t="n"/>
      <c r="AH354" s="76">
        <f>IF(SUM(AD354:AG354)&gt;0,"OK",0)</f>
        <v/>
      </c>
    </row>
    <row r="355" hidden="1" ht="15.6" customHeight="1" s="578">
      <c r="B355" s="74" t="inlineStr">
        <is>
          <t>K+1MOV025052</t>
        </is>
      </c>
      <c r="C355" s="708" t="inlineStr">
        <is>
          <t>VND</t>
        </is>
      </c>
      <c r="D355" s="708" t="inlineStr">
        <is>
          <t>S0001328</t>
        </is>
      </c>
      <c r="E355" s="708" t="inlineStr">
        <is>
          <t>Công ty TNHH Skyline Media</t>
        </is>
      </c>
      <c r="F355" s="708" t="inlineStr">
        <is>
          <t>WU KONG</t>
        </is>
      </c>
      <c r="G355" s="708" t="inlineStr">
        <is>
          <t>Movies International</t>
        </is>
      </c>
      <c r="H355" s="83" t="n">
        <v>1</v>
      </c>
      <c r="I355" s="83" t="n">
        <v>3</v>
      </c>
      <c r="J355" s="83">
        <f>H355*I355</f>
        <v/>
      </c>
      <c r="K355" s="83" t="n">
        <v>89899429</v>
      </c>
      <c r="L355" s="83" t="n">
        <v>29966476.33333333</v>
      </c>
      <c r="M355" s="83">
        <f>J355-Q355</f>
        <v/>
      </c>
      <c r="N355" s="83">
        <f>K355-R355</f>
        <v/>
      </c>
      <c r="O355" s="517" t="n">
        <v>45800</v>
      </c>
      <c r="P355" s="517" t="n">
        <v>46895</v>
      </c>
      <c r="Q355" s="83" t="n">
        <v>0</v>
      </c>
      <c r="R355" s="84" t="n">
        <v>0</v>
      </c>
      <c r="S355" s="83" t="n">
        <v>3</v>
      </c>
      <c r="T355" s="84" t="n">
        <v>89899429</v>
      </c>
      <c r="U355" s="83" t="n">
        <v>1</v>
      </c>
      <c r="V355" s="84">
        <f>U355*L355</f>
        <v/>
      </c>
      <c r="W355" s="83">
        <f>Q355+S355-U355</f>
        <v/>
      </c>
      <c r="X355" s="84">
        <f>R355+T355-V355</f>
        <v/>
      </c>
      <c r="Y355" s="85" t="inlineStr">
        <is>
          <t>P221ZZMO01</t>
        </is>
      </c>
      <c r="Z355" s="86" t="inlineStr">
        <is>
          <t>15661</t>
        </is>
      </c>
      <c r="AA355" s="86" t="inlineStr">
        <is>
          <t>33561</t>
        </is>
      </c>
      <c r="AB355" s="86" t="inlineStr">
        <is>
          <t>6277651</t>
        </is>
      </c>
      <c r="AC355" s="87" t="inlineStr">
        <is>
          <t>Movies</t>
        </is>
      </c>
      <c r="AD355" s="76">
        <f>COUNTIF('KK1. Movies'!AI:AI,'TK 15661.Bản quyền phim '!F355)</f>
        <v/>
      </c>
      <c r="AE355" s="76">
        <f>COUNTIF('KK2. Series'!AM:AM,'TK 15661.Bản quyền phim '!F355)</f>
        <v/>
      </c>
      <c r="AF355" s="76">
        <f>COUNTIF('KK3. Kids'!AF:AF,'TK 15661.Bản quyền phim '!F355)</f>
        <v/>
      </c>
      <c r="AG355" s="76" t="n"/>
      <c r="AH355" s="76">
        <f>IF(SUM(AD355:AG355)&gt;0,"OK",0)</f>
        <v/>
      </c>
    </row>
    <row r="356" hidden="1" s="578">
      <c r="B356" s="74" t="inlineStr">
        <is>
          <t>K+1MOV025053</t>
        </is>
      </c>
      <c r="C356" s="708" t="inlineStr">
        <is>
          <t>VND</t>
        </is>
      </c>
      <c r="D356" s="708" t="inlineStr">
        <is>
          <t>S0001328</t>
        </is>
      </c>
      <c r="E356" s="708" t="inlineStr">
        <is>
          <t>Công ty TNHH Skyline Media</t>
        </is>
      </c>
      <c r="F356" s="708" t="inlineStr">
        <is>
          <t>ARTICLE 20</t>
        </is>
      </c>
      <c r="G356" s="708" t="inlineStr">
        <is>
          <t>Movies International</t>
        </is>
      </c>
      <c r="H356" s="83" t="n">
        <v>1</v>
      </c>
      <c r="I356" s="83" t="n">
        <v>3</v>
      </c>
      <c r="J356" s="83">
        <f>H356*I356</f>
        <v/>
      </c>
      <c r="K356" s="83" t="n">
        <v>0</v>
      </c>
      <c r="L356" s="83" t="n">
        <v>0</v>
      </c>
      <c r="M356" s="83">
        <f>J356-Q356</f>
        <v/>
      </c>
      <c r="N356" s="83">
        <f>K356-R356</f>
        <v/>
      </c>
      <c r="O356" s="517" t="n">
        <v>45807</v>
      </c>
      <c r="P356" s="517" t="n">
        <v>46902</v>
      </c>
      <c r="Q356" s="83" t="n">
        <v>0</v>
      </c>
      <c r="R356" s="84" t="n">
        <v>0</v>
      </c>
      <c r="S356" s="83" t="n">
        <v>3</v>
      </c>
      <c r="T356" s="84" t="n">
        <v>0</v>
      </c>
      <c r="U356" s="83" t="n">
        <v>0</v>
      </c>
      <c r="V356" s="84">
        <f>U356*L356</f>
        <v/>
      </c>
      <c r="W356" s="83">
        <f>Q356+S356-U356</f>
        <v/>
      </c>
      <c r="X356" s="84">
        <f>R356+T356-V356</f>
        <v/>
      </c>
      <c r="Y356" s="85" t="inlineStr">
        <is>
          <t>P221ZZMO01</t>
        </is>
      </c>
      <c r="Z356" s="86" t="inlineStr">
        <is>
          <t>15661</t>
        </is>
      </c>
      <c r="AA356" s="86" t="inlineStr">
        <is>
          <t>33561</t>
        </is>
      </c>
      <c r="AB356" s="86" t="inlineStr">
        <is>
          <t>6277651</t>
        </is>
      </c>
      <c r="AC356" s="86" t="n"/>
      <c r="AD356" s="76">
        <f>COUNTIF('KK1. Movies'!AI:AI,'TK 15661.Bản quyền phim '!F356)</f>
        <v/>
      </c>
      <c r="AE356" s="76">
        <f>COUNTIF('KK2. Series'!AM:AM,'TK 15661.Bản quyền phim '!F356)</f>
        <v/>
      </c>
      <c r="AF356" s="76">
        <f>COUNTIF('KK3. Kids'!AF:AF,'TK 15661.Bản quyền phim '!F356)</f>
        <v/>
      </c>
      <c r="AG356" s="76" t="n"/>
      <c r="AH356" s="76">
        <f>IF(SUM(AD356:AG356)&gt;0,"OK",0)</f>
        <v/>
      </c>
    </row>
    <row r="357" hidden="1" ht="15.6" customHeight="1" s="578">
      <c r="B357" s="74" t="inlineStr">
        <is>
          <t>K+1MOV025054</t>
        </is>
      </c>
      <c r="C357" s="708" t="inlineStr">
        <is>
          <t>VND</t>
        </is>
      </c>
      <c r="D357" s="708" t="inlineStr">
        <is>
          <t>S0001328</t>
        </is>
      </c>
      <c r="E357" s="708" t="inlineStr">
        <is>
          <t>Công ty TNHH Skyline Media</t>
        </is>
      </c>
      <c r="F357" s="708" t="inlineStr">
        <is>
          <t>THE EX-FILES 4: MARRIAGE PLAN</t>
        </is>
      </c>
      <c r="G357" s="708" t="inlineStr">
        <is>
          <t>Movies International</t>
        </is>
      </c>
      <c r="H357" s="83" t="n">
        <v>1</v>
      </c>
      <c r="I357" s="83" t="n">
        <v>3</v>
      </c>
      <c r="J357" s="83">
        <f>H357*I357</f>
        <v/>
      </c>
      <c r="K357" s="83" t="n">
        <v>89899429</v>
      </c>
      <c r="L357" s="83" t="n">
        <v>29966476.33333333</v>
      </c>
      <c r="M357" s="83">
        <f>J357-Q357</f>
        <v/>
      </c>
      <c r="N357" s="83">
        <f>K357-R357</f>
        <v/>
      </c>
      <c r="O357" s="517" t="n">
        <v>45870</v>
      </c>
      <c r="P357" s="517" t="n">
        <v>46965</v>
      </c>
      <c r="Q357" s="83" t="n">
        <v>0</v>
      </c>
      <c r="R357" s="84" t="n">
        <v>0</v>
      </c>
      <c r="S357" s="83" t="n">
        <v>3</v>
      </c>
      <c r="T357" s="84" t="n">
        <v>89899429</v>
      </c>
      <c r="U357" s="83" t="n">
        <v>1</v>
      </c>
      <c r="V357" s="84">
        <f>U357*L357</f>
        <v/>
      </c>
      <c r="W357" s="83">
        <f>Q357+S357-U357</f>
        <v/>
      </c>
      <c r="X357" s="84">
        <f>R357+T357-V357</f>
        <v/>
      </c>
      <c r="Y357" s="85" t="inlineStr">
        <is>
          <t>P221ZZMO01</t>
        </is>
      </c>
      <c r="Z357" s="86" t="inlineStr">
        <is>
          <t>15661</t>
        </is>
      </c>
      <c r="AA357" s="86" t="inlineStr">
        <is>
          <t>33561</t>
        </is>
      </c>
      <c r="AB357" s="86" t="inlineStr">
        <is>
          <t>6277651</t>
        </is>
      </c>
      <c r="AC357" s="87" t="inlineStr">
        <is>
          <t>Movies</t>
        </is>
      </c>
      <c r="AD357" s="76">
        <f>COUNTIF('KK1. Movies'!AI:AI,'TK 15661.Bản quyền phim '!F357)</f>
        <v/>
      </c>
      <c r="AE357" s="76">
        <f>COUNTIF('KK2. Series'!AM:AM,'TK 15661.Bản quyền phim '!F357)</f>
        <v/>
      </c>
      <c r="AF357" s="76">
        <f>COUNTIF('KK3. Kids'!AF:AF,'TK 15661.Bản quyền phim '!F357)</f>
        <v/>
      </c>
      <c r="AG357" s="76" t="n"/>
      <c r="AH357" s="76">
        <f>IF(SUM(AD357:AG357)&gt;0,"OK",0)</f>
        <v/>
      </c>
    </row>
    <row r="358" hidden="1" ht="15.6" customHeight="1" s="578">
      <c r="B358" s="74" t="inlineStr">
        <is>
          <t>K+5MOV025055</t>
        </is>
      </c>
      <c r="C358" s="708" t="inlineStr">
        <is>
          <t>VND</t>
        </is>
      </c>
      <c r="D358" s="708" t="inlineStr">
        <is>
          <t>S0001328</t>
        </is>
      </c>
      <c r="E358" s="708" t="inlineStr">
        <is>
          <t>Công ty TNHH Skyline Media</t>
        </is>
      </c>
      <c r="F358" s="708" t="inlineStr">
        <is>
          <t>MY FAIRY TROUBLEMAKER</t>
        </is>
      </c>
      <c r="G358" s="708" t="inlineStr">
        <is>
          <t>Movies International</t>
        </is>
      </c>
      <c r="H358" s="83" t="n">
        <v>1</v>
      </c>
      <c r="I358" s="83" t="n">
        <v>3</v>
      </c>
      <c r="J358" s="83">
        <f>H358*I358</f>
        <v/>
      </c>
      <c r="K358" s="83" t="n">
        <v>89899429</v>
      </c>
      <c r="L358" s="83" t="n">
        <v>29966476.33333333</v>
      </c>
      <c r="M358" s="83">
        <f>J358-Q358</f>
        <v/>
      </c>
      <c r="N358" s="83">
        <f>K358-R358</f>
        <v/>
      </c>
      <c r="O358" s="517" t="n">
        <v>45934</v>
      </c>
      <c r="P358" s="517" t="n">
        <v>47029</v>
      </c>
      <c r="Q358" s="83" t="n">
        <v>0</v>
      </c>
      <c r="R358" s="84" t="n">
        <v>0</v>
      </c>
      <c r="S358" s="83" t="n">
        <v>3</v>
      </c>
      <c r="T358" s="84" t="n">
        <v>89899429</v>
      </c>
      <c r="U358" s="83" t="n">
        <v>1</v>
      </c>
      <c r="V358" s="84">
        <f>U358*L358</f>
        <v/>
      </c>
      <c r="W358" s="83">
        <f>Q358+S358-U358</f>
        <v/>
      </c>
      <c r="X358" s="84">
        <f>R358+T358-V358</f>
        <v/>
      </c>
      <c r="Y358" s="85" t="inlineStr">
        <is>
          <t>P221ZZMO01</t>
        </is>
      </c>
      <c r="Z358" s="86" t="inlineStr">
        <is>
          <t>15661</t>
        </is>
      </c>
      <c r="AA358" s="86" t="inlineStr">
        <is>
          <t>33561</t>
        </is>
      </c>
      <c r="AB358" s="86" t="inlineStr">
        <is>
          <t>6277651</t>
        </is>
      </c>
      <c r="AC358" s="87" t="inlineStr">
        <is>
          <t>Movies</t>
        </is>
      </c>
      <c r="AD358" s="76">
        <f>COUNTIF('KK1. Movies'!AI:AI,'TK 15661.Bản quyền phim '!F358)</f>
        <v/>
      </c>
      <c r="AE358" s="76">
        <f>COUNTIF('KK2. Series'!AM:AM,'TK 15661.Bản quyền phim '!F358)</f>
        <v/>
      </c>
      <c r="AF358" s="76">
        <f>COUNTIF('KK3. Kids'!AF:AF,'TK 15661.Bản quyền phim '!F358)</f>
        <v/>
      </c>
      <c r="AG358" s="76" t="n"/>
      <c r="AH358" s="76">
        <f>IF(SUM(AD358:AG358)&gt;0,"OK",0)</f>
        <v/>
      </c>
    </row>
    <row r="359" hidden="1" ht="15.6" customHeight="1" s="578">
      <c r="B359" s="74" t="inlineStr">
        <is>
          <t>K+1MOV025056</t>
        </is>
      </c>
      <c r="C359" s="708" t="inlineStr">
        <is>
          <t>VND</t>
        </is>
      </c>
      <c r="D359" s="708" t="inlineStr">
        <is>
          <t>S0001328</t>
        </is>
      </c>
      <c r="E359" s="708" t="inlineStr">
        <is>
          <t>Công ty TNHH Skyline Media</t>
        </is>
      </c>
      <c r="F359" s="708" t="inlineStr">
        <is>
          <t>NORM OF THE NORTH: FAMILY VACATION</t>
        </is>
      </c>
      <c r="G359" s="708" t="inlineStr">
        <is>
          <t>Movies International</t>
        </is>
      </c>
      <c r="H359" s="83" t="n">
        <v>1</v>
      </c>
      <c r="I359" s="83" t="n">
        <v>3</v>
      </c>
      <c r="J359" s="83">
        <f>H359*I359</f>
        <v/>
      </c>
      <c r="K359" s="83" t="n">
        <v>89899429</v>
      </c>
      <c r="L359" s="83" t="n">
        <v>29966476.33333333</v>
      </c>
      <c r="M359" s="83">
        <f>J359-Q359</f>
        <v/>
      </c>
      <c r="N359" s="83">
        <f>K359-R359</f>
        <v/>
      </c>
      <c r="O359" s="517" t="n">
        <v>45983</v>
      </c>
      <c r="P359" s="517" t="n">
        <v>47078</v>
      </c>
      <c r="Q359" s="83" t="n">
        <v>0</v>
      </c>
      <c r="R359" s="84" t="n">
        <v>0</v>
      </c>
      <c r="S359" s="83" t="n">
        <v>3</v>
      </c>
      <c r="T359" s="84" t="n">
        <v>89899429</v>
      </c>
      <c r="U359" s="83" t="n">
        <v>1</v>
      </c>
      <c r="V359" s="84">
        <f>U359*L359</f>
        <v/>
      </c>
      <c r="W359" s="83">
        <f>Q359+S359-U359</f>
        <v/>
      </c>
      <c r="X359" s="84">
        <f>R359+T359-V359</f>
        <v/>
      </c>
      <c r="Y359" s="85" t="inlineStr">
        <is>
          <t>P221ZZMO01</t>
        </is>
      </c>
      <c r="Z359" s="86" t="inlineStr">
        <is>
          <t>15661</t>
        </is>
      </c>
      <c r="AA359" s="86" t="inlineStr">
        <is>
          <t>33561</t>
        </is>
      </c>
      <c r="AB359" s="86" t="inlineStr">
        <is>
          <t>6277651</t>
        </is>
      </c>
      <c r="AC359" s="87" t="inlineStr">
        <is>
          <t>Movies</t>
        </is>
      </c>
      <c r="AD359" s="76">
        <f>COUNTIF('KK1. Movies'!AI:AI,'TK 15661.Bản quyền phim '!F359)</f>
        <v/>
      </c>
      <c r="AE359" s="76">
        <f>COUNTIF('KK2. Series'!AM:AM,'TK 15661.Bản quyền phim '!F359)</f>
        <v/>
      </c>
      <c r="AF359" s="76">
        <f>COUNTIF('KK3. Kids'!AF:AF,'TK 15661.Bản quyền phim '!F359)</f>
        <v/>
      </c>
      <c r="AG359" s="76" t="n"/>
      <c r="AH359" s="76">
        <f>IF(SUM(AD359:AG359)&gt;0,"OK",0)</f>
        <v/>
      </c>
    </row>
    <row r="360" hidden="1" ht="15.6" customHeight="1" s="578">
      <c r="B360" s="74" t="inlineStr">
        <is>
          <t>K+1MOV025057</t>
        </is>
      </c>
      <c r="C360" s="708" t="inlineStr">
        <is>
          <t>VND</t>
        </is>
      </c>
      <c r="D360" s="708" t="inlineStr">
        <is>
          <t>S0001328</t>
        </is>
      </c>
      <c r="E360" s="708" t="inlineStr">
        <is>
          <t>Công ty TNHH Skyline Media</t>
        </is>
      </c>
      <c r="F360" s="708" t="inlineStr">
        <is>
          <t>WEEKEND IN TAIPEI</t>
        </is>
      </c>
      <c r="G360" s="708" t="inlineStr">
        <is>
          <t>Movies International</t>
        </is>
      </c>
      <c r="H360" s="83" t="n">
        <v>1</v>
      </c>
      <c r="I360" s="83" t="n">
        <v>3</v>
      </c>
      <c r="J360" s="83">
        <f>H360*I360</f>
        <v/>
      </c>
      <c r="K360" s="83" t="n">
        <v>89899429</v>
      </c>
      <c r="L360" s="83" t="n">
        <v>29966476.33333333</v>
      </c>
      <c r="M360" s="83">
        <f>J360-Q360</f>
        <v/>
      </c>
      <c r="N360" s="83">
        <f>K360-R360</f>
        <v/>
      </c>
      <c r="O360" s="517" t="n">
        <v>45988</v>
      </c>
      <c r="P360" s="517" t="n">
        <v>47083</v>
      </c>
      <c r="Q360" s="83" t="n">
        <v>0</v>
      </c>
      <c r="R360" s="84" t="n">
        <v>0</v>
      </c>
      <c r="S360" s="83" t="n">
        <v>3</v>
      </c>
      <c r="T360" s="84" t="n">
        <v>89899429</v>
      </c>
      <c r="U360" s="83" t="n">
        <v>1</v>
      </c>
      <c r="V360" s="84">
        <f>U360*L360</f>
        <v/>
      </c>
      <c r="W360" s="83">
        <f>Q360+S360-U360</f>
        <v/>
      </c>
      <c r="X360" s="84">
        <f>R360+T360-V360</f>
        <v/>
      </c>
      <c r="Y360" s="85" t="inlineStr">
        <is>
          <t>P221ZZMO01</t>
        </is>
      </c>
      <c r="Z360" s="86" t="inlineStr">
        <is>
          <t>15661</t>
        </is>
      </c>
      <c r="AA360" s="86" t="inlineStr">
        <is>
          <t>33561</t>
        </is>
      </c>
      <c r="AB360" s="86" t="inlineStr">
        <is>
          <t>6277651</t>
        </is>
      </c>
      <c r="AC360" s="87" t="inlineStr">
        <is>
          <t>Movies</t>
        </is>
      </c>
      <c r="AD360" s="76">
        <f>COUNTIF('KK1. Movies'!AI:AI,'TK 15661.Bản quyền phim '!F360)</f>
        <v/>
      </c>
      <c r="AE360" s="76">
        <f>COUNTIF('KK2. Series'!AM:AM,'TK 15661.Bản quyền phim '!F360)</f>
        <v/>
      </c>
      <c r="AF360" s="76">
        <f>COUNTIF('KK3. Kids'!AF:AF,'TK 15661.Bản quyền phim '!F360)</f>
        <v/>
      </c>
      <c r="AG360" s="76" t="n"/>
      <c r="AH360" s="76">
        <f>IF(SUM(AD360:AG360)&gt;0,"OK",0)</f>
        <v/>
      </c>
    </row>
    <row r="361" hidden="1" s="578">
      <c r="A361" s="30">
        <f>(U361-H361)*L361</f>
        <v/>
      </c>
      <c r="B361" s="74" t="inlineStr">
        <is>
          <t>K+1KID025058</t>
        </is>
      </c>
      <c r="C361" s="708" t="inlineStr">
        <is>
          <t>VND</t>
        </is>
      </c>
      <c r="D361" s="708" t="inlineStr">
        <is>
          <t>S0002625</t>
        </is>
      </c>
      <c r="E361" s="708" t="inlineStr">
        <is>
          <t>CÔNG TY CỔ PHẦN THƯƠNG MẠI VÀ DỊCH VỤ WOA UNIVERSAL</t>
        </is>
      </c>
      <c r="F361" s="708" t="inlineStr">
        <is>
          <t>WOLFOO Season 2</t>
        </is>
      </c>
      <c r="G361" s="708" t="inlineStr">
        <is>
          <t>KIDS</t>
        </is>
      </c>
      <c r="H361" s="83" t="n">
        <v>400</v>
      </c>
      <c r="I361" s="83" t="n">
        <v>3</v>
      </c>
      <c r="J361" s="83">
        <f>H361*I361</f>
        <v/>
      </c>
      <c r="K361" s="83" t="n">
        <v>380952381</v>
      </c>
      <c r="L361" s="83" t="n">
        <v>317460.3175</v>
      </c>
      <c r="M361" s="83">
        <f>J361-Q361</f>
        <v/>
      </c>
      <c r="N361" s="83">
        <f>K361-R361</f>
        <v/>
      </c>
      <c r="O361" s="517" t="n">
        <v>45682</v>
      </c>
      <c r="P361" s="517" t="n">
        <v>46776</v>
      </c>
      <c r="Q361" s="83" t="n">
        <v>0</v>
      </c>
      <c r="R361" s="84" t="n">
        <v>0</v>
      </c>
      <c r="S361" s="83" t="n">
        <v>1200</v>
      </c>
      <c r="T361" s="84" t="n">
        <v>380952381</v>
      </c>
      <c r="U361" s="83" t="n">
        <v>400</v>
      </c>
      <c r="V361" s="84">
        <f>U361*L361</f>
        <v/>
      </c>
      <c r="W361" s="83">
        <f>Q361+S361-U361</f>
        <v/>
      </c>
      <c r="X361" s="84">
        <f>R361+T361-V361</f>
        <v/>
      </c>
      <c r="Y361" s="85" t="inlineStr">
        <is>
          <t>P221ZZKI01</t>
        </is>
      </c>
      <c r="Z361" s="86" t="inlineStr">
        <is>
          <t>15661</t>
        </is>
      </c>
      <c r="AA361" s="86" t="inlineStr">
        <is>
          <t>33561</t>
        </is>
      </c>
      <c r="AB361" s="86" t="inlineStr">
        <is>
          <t>6277651</t>
        </is>
      </c>
      <c r="AC361" s="86" t="inlineStr">
        <is>
          <t>Kids</t>
        </is>
      </c>
      <c r="AD361" s="76">
        <f>COUNTIF('KK1. Movies'!AI:AI,'TK 15661.Bản quyền phim '!F361)</f>
        <v/>
      </c>
      <c r="AE361" s="76">
        <f>COUNTIF('KK2. Series'!AM:AM,'TK 15661.Bản quyền phim '!F361)</f>
        <v/>
      </c>
      <c r="AF361" s="76">
        <f>COUNTIF('KK3. Kids'!AF:AF,'TK 15661.Bản quyền phim '!F361)</f>
        <v/>
      </c>
      <c r="AG361" s="76" t="n"/>
      <c r="AH361" s="76">
        <f>IF(SUM(AD361:AG361)&gt;0,"OK",0)</f>
        <v/>
      </c>
    </row>
    <row r="362" hidden="1" ht="15.6" customHeight="1" s="578">
      <c r="B362" s="74" t="inlineStr">
        <is>
          <t>K+1MOV025059</t>
        </is>
      </c>
      <c r="C362" s="708" t="inlineStr">
        <is>
          <t>VND</t>
        </is>
      </c>
      <c r="D362" s="708" t="inlineStr">
        <is>
          <t>S0002248</t>
        </is>
      </c>
      <c r="E362" s="708" t="inlineStr">
        <is>
          <t>Công ty TNHH giải trí CJ HK</t>
        </is>
      </c>
      <c r="F362" s="708" t="inlineStr">
        <is>
          <t>THE DESPERATE CHASE</t>
        </is>
      </c>
      <c r="G362" s="708" t="inlineStr">
        <is>
          <t>Movies International</t>
        </is>
      </c>
      <c r="H362" s="83" t="n">
        <v>1</v>
      </c>
      <c r="I362" s="83" t="n">
        <v>3</v>
      </c>
      <c r="J362" s="83">
        <f>H362*I362</f>
        <v/>
      </c>
      <c r="K362" s="83" t="n">
        <v>123809524</v>
      </c>
      <c r="L362" s="83" t="n">
        <v>41269841.33333334</v>
      </c>
      <c r="M362" s="83">
        <f>J362-Q362</f>
        <v/>
      </c>
      <c r="N362" s="83">
        <f>K362-R362</f>
        <v/>
      </c>
      <c r="O362" s="517" t="n">
        <v>45684</v>
      </c>
      <c r="P362" s="517" t="n">
        <v>46778</v>
      </c>
      <c r="Q362" s="83" t="n">
        <v>0</v>
      </c>
      <c r="R362" s="84" t="n">
        <v>0</v>
      </c>
      <c r="S362" s="83" t="n">
        <v>3</v>
      </c>
      <c r="T362" s="84" t="n">
        <v>123809524</v>
      </c>
      <c r="U362" s="83" t="n">
        <v>1</v>
      </c>
      <c r="V362" s="84">
        <f>U362*L362</f>
        <v/>
      </c>
      <c r="W362" s="83">
        <f>Q362+S362-U362</f>
        <v/>
      </c>
      <c r="X362" s="84">
        <f>R362+T362-V362</f>
        <v/>
      </c>
      <c r="Y362" s="85" t="inlineStr">
        <is>
          <t>P221ZZMO01</t>
        </is>
      </c>
      <c r="Z362" s="86" t="inlineStr">
        <is>
          <t>15661</t>
        </is>
      </c>
      <c r="AA362" s="86" t="inlineStr">
        <is>
          <t>33561</t>
        </is>
      </c>
      <c r="AB362" s="86" t="inlineStr">
        <is>
          <t>6277651</t>
        </is>
      </c>
      <c r="AC362" s="87" t="inlineStr">
        <is>
          <t>Movies</t>
        </is>
      </c>
      <c r="AD362" s="76">
        <f>COUNTIF('KK1. Movies'!AI:AI,'TK 15661.Bản quyền phim '!F362)</f>
        <v/>
      </c>
      <c r="AE362" s="76">
        <f>COUNTIF('KK2. Series'!AM:AM,'TK 15661.Bản quyền phim '!F362)</f>
        <v/>
      </c>
      <c r="AF362" s="76">
        <f>COUNTIF('KK3. Kids'!AF:AF,'TK 15661.Bản quyền phim '!F362)</f>
        <v/>
      </c>
      <c r="AG362" s="76" t="n"/>
      <c r="AH362" s="76">
        <f>IF(SUM(AD362:AG362)&gt;0,"OK",0)</f>
        <v/>
      </c>
    </row>
    <row r="363" hidden="1" ht="15.6" customHeight="1" s="578">
      <c r="B363" s="74" t="inlineStr">
        <is>
          <t>K+1MOV025060</t>
        </is>
      </c>
      <c r="C363" s="708" t="inlineStr">
        <is>
          <t>VND</t>
        </is>
      </c>
      <c r="D363" s="708" t="inlineStr">
        <is>
          <t>S0002248</t>
        </is>
      </c>
      <c r="E363" s="708" t="inlineStr">
        <is>
          <t>Công ty TNHH giải trí CJ HK</t>
        </is>
      </c>
      <c r="F363" s="708" t="inlineStr">
        <is>
          <t>TROLL FACTORY</t>
        </is>
      </c>
      <c r="G363" s="708" t="inlineStr">
        <is>
          <t>Movies International</t>
        </is>
      </c>
      <c r="H363" s="83" t="n">
        <v>1</v>
      </c>
      <c r="I363" s="83" t="n">
        <v>3</v>
      </c>
      <c r="J363" s="83">
        <f>H363*I363</f>
        <v/>
      </c>
      <c r="K363" s="83" t="n">
        <v>85714286</v>
      </c>
      <c r="L363" s="83" t="n">
        <v>28571428.66666667</v>
      </c>
      <c r="M363" s="83">
        <f>J363-Q363</f>
        <v/>
      </c>
      <c r="N363" s="83">
        <f>K363-R363</f>
        <v/>
      </c>
      <c r="O363" s="517" t="n">
        <v>45687</v>
      </c>
      <c r="P363" s="517" t="n">
        <v>46781</v>
      </c>
      <c r="Q363" s="83" t="n">
        <v>0</v>
      </c>
      <c r="R363" s="84" t="n">
        <v>0</v>
      </c>
      <c r="S363" s="83" t="n">
        <v>3</v>
      </c>
      <c r="T363" s="84" t="n">
        <v>85714286</v>
      </c>
      <c r="U363" s="83" t="n">
        <v>1</v>
      </c>
      <c r="V363" s="84">
        <f>U363*L363</f>
        <v/>
      </c>
      <c r="W363" s="83">
        <f>Q363+S363-U363</f>
        <v/>
      </c>
      <c r="X363" s="84">
        <f>R363+T363-V363</f>
        <v/>
      </c>
      <c r="Y363" s="85" t="inlineStr">
        <is>
          <t>P221ZZMO01</t>
        </is>
      </c>
      <c r="Z363" s="86" t="inlineStr">
        <is>
          <t>15661</t>
        </is>
      </c>
      <c r="AA363" s="86" t="inlineStr">
        <is>
          <t>33561</t>
        </is>
      </c>
      <c r="AB363" s="86" t="inlineStr">
        <is>
          <t>6277651</t>
        </is>
      </c>
      <c r="AC363" s="87" t="inlineStr">
        <is>
          <t>Movies</t>
        </is>
      </c>
      <c r="AD363" s="76">
        <f>COUNTIF('KK1. Movies'!AI:AI,'TK 15661.Bản quyền phim '!F363)</f>
        <v/>
      </c>
      <c r="AE363" s="76">
        <f>COUNTIF('KK2. Series'!AM:AM,'TK 15661.Bản quyền phim '!F363)</f>
        <v/>
      </c>
      <c r="AF363" s="76">
        <f>COUNTIF('KK3. Kids'!AF:AF,'TK 15661.Bản quyền phim '!F363)</f>
        <v/>
      </c>
      <c r="AG363" s="76" t="n"/>
      <c r="AH363" s="76">
        <f>IF(SUM(AD363:AG363)&gt;0,"OK",0)</f>
        <v/>
      </c>
    </row>
    <row r="364" hidden="1" ht="15.6" customHeight="1" s="578">
      <c r="B364" s="74" t="inlineStr">
        <is>
          <t>K+1MOV025061</t>
        </is>
      </c>
      <c r="C364" s="708" t="inlineStr">
        <is>
          <t>VND</t>
        </is>
      </c>
      <c r="D364" s="708" t="inlineStr">
        <is>
          <t>S0002248</t>
        </is>
      </c>
      <c r="E364" s="708" t="inlineStr">
        <is>
          <t>Công ty TNHH giải trí CJ HK</t>
        </is>
      </c>
      <c r="F364" s="708" t="inlineStr">
        <is>
          <t>HONEYSWEET</t>
        </is>
      </c>
      <c r="G364" s="708" t="inlineStr">
        <is>
          <t>Movies International</t>
        </is>
      </c>
      <c r="H364" s="83" t="n">
        <v>1</v>
      </c>
      <c r="I364" s="83" t="n">
        <v>3</v>
      </c>
      <c r="J364" s="83">
        <f>H364*I364</f>
        <v/>
      </c>
      <c r="K364" s="83" t="n">
        <v>114285714</v>
      </c>
      <c r="L364" s="83" t="n">
        <v>38095238</v>
      </c>
      <c r="M364" s="83">
        <f>J364-Q364</f>
        <v/>
      </c>
      <c r="N364" s="83">
        <f>K364-R364</f>
        <v/>
      </c>
      <c r="O364" s="517" t="n">
        <v>45690</v>
      </c>
      <c r="P364" s="517" t="n">
        <v>46784</v>
      </c>
      <c r="Q364" s="83" t="n">
        <v>0</v>
      </c>
      <c r="R364" s="84" t="n">
        <v>0</v>
      </c>
      <c r="S364" s="83" t="n">
        <v>3</v>
      </c>
      <c r="T364" s="84" t="n">
        <v>114285714</v>
      </c>
      <c r="U364" s="83" t="n">
        <v>1</v>
      </c>
      <c r="V364" s="84">
        <f>U364*L364</f>
        <v/>
      </c>
      <c r="W364" s="83">
        <f>Q364+S364-U364</f>
        <v/>
      </c>
      <c r="X364" s="84">
        <f>R364+T364-V364</f>
        <v/>
      </c>
      <c r="Y364" s="85" t="inlineStr">
        <is>
          <t>P221ZZMO01</t>
        </is>
      </c>
      <c r="Z364" s="86" t="inlineStr">
        <is>
          <t>15661</t>
        </is>
      </c>
      <c r="AA364" s="86" t="inlineStr">
        <is>
          <t>33561</t>
        </is>
      </c>
      <c r="AB364" s="86" t="inlineStr">
        <is>
          <t>6277651</t>
        </is>
      </c>
      <c r="AC364" s="87" t="inlineStr">
        <is>
          <t>Movies</t>
        </is>
      </c>
      <c r="AD364" s="76">
        <f>COUNTIF('KK1. Movies'!AI:AI,'TK 15661.Bản quyền phim '!F364)</f>
        <v/>
      </c>
      <c r="AE364" s="76">
        <f>COUNTIF('KK2. Series'!AM:AM,'TK 15661.Bản quyền phim '!F364)</f>
        <v/>
      </c>
      <c r="AF364" s="76">
        <f>COUNTIF('KK3. Kids'!AF:AF,'TK 15661.Bản quyền phim '!F364)</f>
        <v/>
      </c>
      <c r="AG364" s="76" t="n"/>
      <c r="AH364" s="76">
        <f>IF(SUM(AD364:AG364)&gt;0,"OK",0)</f>
        <v/>
      </c>
    </row>
    <row r="365" hidden="1" ht="15.6" customHeight="1" s="578">
      <c r="B365" s="74" t="inlineStr">
        <is>
          <t>K+1MOV025062</t>
        </is>
      </c>
      <c r="C365" s="708" t="inlineStr">
        <is>
          <t>VND</t>
        </is>
      </c>
      <c r="D365" s="708" t="inlineStr">
        <is>
          <t>S0002248</t>
        </is>
      </c>
      <c r="E365" s="708" t="inlineStr">
        <is>
          <t>Công ty TNHH giải trí CJ HK</t>
        </is>
      </c>
      <c r="F365" s="708" t="inlineStr">
        <is>
          <t>LOVE IN THE BIG CITY</t>
        </is>
      </c>
      <c r="G365" s="708" t="inlineStr">
        <is>
          <t>Movies International</t>
        </is>
      </c>
      <c r="H365" s="83" t="n">
        <v>1</v>
      </c>
      <c r="I365" s="83" t="n">
        <v>3</v>
      </c>
      <c r="J365" s="83">
        <f>H365*I365</f>
        <v/>
      </c>
      <c r="K365" s="83" t="n">
        <v>123809524</v>
      </c>
      <c r="L365" s="83" t="n">
        <v>41269841.33333334</v>
      </c>
      <c r="M365" s="83">
        <f>J365-Q365</f>
        <v/>
      </c>
      <c r="N365" s="83">
        <f>K365-R365</f>
        <v/>
      </c>
      <c r="O365" s="517" t="n">
        <v>45702</v>
      </c>
      <c r="P365" s="517" t="n">
        <v>46796</v>
      </c>
      <c r="Q365" s="83" t="n">
        <v>0</v>
      </c>
      <c r="R365" s="84" t="n">
        <v>0</v>
      </c>
      <c r="S365" s="83" t="n">
        <v>3</v>
      </c>
      <c r="T365" s="84" t="n">
        <v>123809524</v>
      </c>
      <c r="U365" s="83" t="n">
        <v>1</v>
      </c>
      <c r="V365" s="84">
        <f>U365*L365</f>
        <v/>
      </c>
      <c r="W365" s="83">
        <f>Q365+S365-U365</f>
        <v/>
      </c>
      <c r="X365" s="84">
        <f>R365+T365-V365</f>
        <v/>
      </c>
      <c r="Y365" s="85" t="inlineStr">
        <is>
          <t>P221ZZMO01</t>
        </is>
      </c>
      <c r="Z365" s="86" t="inlineStr">
        <is>
          <t>15661</t>
        </is>
      </c>
      <c r="AA365" s="86" t="inlineStr">
        <is>
          <t>33561</t>
        </is>
      </c>
      <c r="AB365" s="86" t="inlineStr">
        <is>
          <t>6277651</t>
        </is>
      </c>
      <c r="AC365" s="87" t="inlineStr">
        <is>
          <t>Movies</t>
        </is>
      </c>
      <c r="AD365" s="76">
        <f>COUNTIF('KK1. Movies'!AI:AI,'TK 15661.Bản quyền phim '!F365)</f>
        <v/>
      </c>
      <c r="AE365" s="76">
        <f>COUNTIF('KK2. Series'!AM:AM,'TK 15661.Bản quyền phim '!F365)</f>
        <v/>
      </c>
      <c r="AF365" s="76">
        <f>COUNTIF('KK3. Kids'!AF:AF,'TK 15661.Bản quyền phim '!F365)</f>
        <v/>
      </c>
      <c r="AG365" s="76" t="n"/>
      <c r="AH365" s="76">
        <f>IF(SUM(AD365:AG365)&gt;0,"OK",0)</f>
        <v/>
      </c>
    </row>
    <row r="366" hidden="1" ht="15.6" customHeight="1" s="578">
      <c r="B366" s="74" t="inlineStr">
        <is>
          <t>K+1MOV025063</t>
        </is>
      </c>
      <c r="C366" s="708" t="inlineStr">
        <is>
          <t>VND</t>
        </is>
      </c>
      <c r="D366" s="708" t="inlineStr">
        <is>
          <t>S0002248</t>
        </is>
      </c>
      <c r="E366" s="708" t="inlineStr">
        <is>
          <t>Công ty TNHH giải trí CJ HK</t>
        </is>
      </c>
      <c r="F366" s="708" t="inlineStr">
        <is>
          <t>LONG DISTANCE</t>
        </is>
      </c>
      <c r="G366" s="708" t="inlineStr">
        <is>
          <t>Movies International</t>
        </is>
      </c>
      <c r="H366" s="83" t="n">
        <v>1</v>
      </c>
      <c r="I366" s="83" t="n">
        <v>3</v>
      </c>
      <c r="J366" s="83">
        <f>H366*I366</f>
        <v/>
      </c>
      <c r="K366" s="83" t="n">
        <v>90476190</v>
      </c>
      <c r="L366" s="83" t="n">
        <v>30158730</v>
      </c>
      <c r="M366" s="83">
        <f>J366-Q366</f>
        <v/>
      </c>
      <c r="N366" s="83">
        <f>K366-R366</f>
        <v/>
      </c>
      <c r="O366" s="517" t="n">
        <v>45722</v>
      </c>
      <c r="P366" s="517" t="n">
        <v>46817</v>
      </c>
      <c r="Q366" s="83" t="n">
        <v>0</v>
      </c>
      <c r="R366" s="84" t="n">
        <v>0</v>
      </c>
      <c r="S366" s="83" t="n">
        <v>3</v>
      </c>
      <c r="T366" s="84" t="n">
        <v>90476190</v>
      </c>
      <c r="U366" s="83" t="n">
        <v>1</v>
      </c>
      <c r="V366" s="84">
        <f>U366*L366</f>
        <v/>
      </c>
      <c r="W366" s="83">
        <f>Q366+S366-U366</f>
        <v/>
      </c>
      <c r="X366" s="84">
        <f>R366+T366-V366</f>
        <v/>
      </c>
      <c r="Y366" s="85" t="inlineStr">
        <is>
          <t>P221ZZMO01</t>
        </is>
      </c>
      <c r="Z366" s="86" t="inlineStr">
        <is>
          <t>15661</t>
        </is>
      </c>
      <c r="AA366" s="86" t="inlineStr">
        <is>
          <t>33561</t>
        </is>
      </c>
      <c r="AB366" s="86" t="inlineStr">
        <is>
          <t>6277651</t>
        </is>
      </c>
      <c r="AC366" s="87" t="inlineStr">
        <is>
          <t>Movies</t>
        </is>
      </c>
      <c r="AD366" s="76">
        <f>COUNTIF('KK1. Movies'!AI:AI,'TK 15661.Bản quyền phim '!F366)</f>
        <v/>
      </c>
      <c r="AE366" s="76">
        <f>COUNTIF('KK2. Series'!AM:AM,'TK 15661.Bản quyền phim '!F366)</f>
        <v/>
      </c>
      <c r="AF366" s="76">
        <f>COUNTIF('KK3. Kids'!AF:AF,'TK 15661.Bản quyền phim '!F366)</f>
        <v/>
      </c>
      <c r="AG366" s="76" t="n"/>
      <c r="AH366" s="76">
        <f>IF(SUM(AD366:AG366)&gt;0,"OK",0)</f>
        <v/>
      </c>
    </row>
    <row r="367" hidden="1" ht="15.6" customHeight="1" s="578">
      <c r="B367" s="74" t="inlineStr">
        <is>
          <t>K+1MOV025064</t>
        </is>
      </c>
      <c r="C367" s="708" t="inlineStr">
        <is>
          <t>VND</t>
        </is>
      </c>
      <c r="D367" s="708" t="inlineStr">
        <is>
          <t>S0002248</t>
        </is>
      </c>
      <c r="E367" s="708" t="inlineStr">
        <is>
          <t>Công ty TNHH giải trí CJ HK</t>
        </is>
      </c>
      <c r="F367" s="708" t="inlineStr">
        <is>
          <t>A DOG'S JOURNEY</t>
        </is>
      </c>
      <c r="G367" s="708" t="inlineStr">
        <is>
          <t>Movies International</t>
        </is>
      </c>
      <c r="H367" s="83" t="n">
        <v>1</v>
      </c>
      <c r="I367" s="83" t="n">
        <v>3</v>
      </c>
      <c r="J367" s="83">
        <f>H367*I367</f>
        <v/>
      </c>
      <c r="K367" s="83" t="n">
        <v>47619048</v>
      </c>
      <c r="L367" s="83" t="n">
        <v>15873016</v>
      </c>
      <c r="M367" s="83">
        <f>J367-Q367</f>
        <v/>
      </c>
      <c r="N367" s="83">
        <f>K367-R367</f>
        <v/>
      </c>
      <c r="O367" s="517" t="n">
        <v>45882</v>
      </c>
      <c r="P367" s="517" t="n">
        <v>46977</v>
      </c>
      <c r="Q367" s="83" t="n">
        <v>0</v>
      </c>
      <c r="R367" s="84" t="n">
        <v>0</v>
      </c>
      <c r="S367" s="83" t="n">
        <v>3</v>
      </c>
      <c r="T367" s="84" t="n">
        <v>47619048</v>
      </c>
      <c r="U367" s="83" t="n">
        <v>1</v>
      </c>
      <c r="V367" s="84">
        <f>U367*L367</f>
        <v/>
      </c>
      <c r="W367" s="83">
        <f>Q367+S367-U367</f>
        <v/>
      </c>
      <c r="X367" s="84">
        <f>R367+T367-V367</f>
        <v/>
      </c>
      <c r="Y367" s="85" t="inlineStr">
        <is>
          <t>P221ZZMO01</t>
        </is>
      </c>
      <c r="Z367" s="86" t="inlineStr">
        <is>
          <t>15661</t>
        </is>
      </c>
      <c r="AA367" s="86" t="inlineStr">
        <is>
          <t>33561</t>
        </is>
      </c>
      <c r="AB367" s="86" t="inlineStr">
        <is>
          <t>6277651</t>
        </is>
      </c>
      <c r="AC367" s="87" t="inlineStr">
        <is>
          <t>Movies</t>
        </is>
      </c>
      <c r="AD367" s="76">
        <f>COUNTIF('KK1. Movies'!AI:AI,'TK 15661.Bản quyền phim '!F367)</f>
        <v/>
      </c>
      <c r="AE367" s="76">
        <f>COUNTIF('KK2. Series'!AM:AM,'TK 15661.Bản quyền phim '!F367)</f>
        <v/>
      </c>
      <c r="AF367" s="76">
        <f>COUNTIF('KK3. Kids'!AF:AF,'TK 15661.Bản quyền phim '!F367)</f>
        <v/>
      </c>
      <c r="AG367" s="76" t="n"/>
      <c r="AH367" s="76">
        <f>IF(SUM(AD367:AG367)&gt;0,"OK",0)</f>
        <v/>
      </c>
    </row>
    <row r="368" hidden="1" ht="15.6" customHeight="1" s="578">
      <c r="B368" s="74" t="inlineStr">
        <is>
          <t>K+1MOV025065</t>
        </is>
      </c>
      <c r="C368" s="708" t="inlineStr">
        <is>
          <t>VND</t>
        </is>
      </c>
      <c r="D368" s="708" t="inlineStr">
        <is>
          <t>S0002248</t>
        </is>
      </c>
      <c r="E368" s="708" t="inlineStr">
        <is>
          <t>Công ty TNHH giải trí CJ HK</t>
        </is>
      </c>
      <c r="F368" s="708" t="inlineStr">
        <is>
          <t>Little Eggs: A Frozen Rescue</t>
        </is>
      </c>
      <c r="G368" s="708" t="inlineStr">
        <is>
          <t>Movies International</t>
        </is>
      </c>
      <c r="H368" s="83" t="n">
        <v>1</v>
      </c>
      <c r="I368" s="83" t="n">
        <v>3</v>
      </c>
      <c r="J368" s="83">
        <f>H368*I368</f>
        <v/>
      </c>
      <c r="K368" s="83" t="n">
        <v>85714286</v>
      </c>
      <c r="L368" s="83" t="n">
        <v>28571428.66666667</v>
      </c>
      <c r="M368" s="83">
        <f>J368-Q368</f>
        <v/>
      </c>
      <c r="N368" s="83">
        <f>K368-R368</f>
        <v/>
      </c>
      <c r="O368" s="517" t="n">
        <v>46004</v>
      </c>
      <c r="P368" s="517" t="n">
        <v>47099</v>
      </c>
      <c r="Q368" s="83" t="n">
        <v>0</v>
      </c>
      <c r="R368" s="84" t="n">
        <v>0</v>
      </c>
      <c r="S368" s="83" t="n">
        <v>3</v>
      </c>
      <c r="T368" s="84" t="n">
        <v>85714286</v>
      </c>
      <c r="U368" s="83" t="n">
        <v>1</v>
      </c>
      <c r="V368" s="84">
        <f>U368*L368</f>
        <v/>
      </c>
      <c r="W368" s="83">
        <f>Q368+S368-U368</f>
        <v/>
      </c>
      <c r="X368" s="84">
        <f>R368+T368-V368</f>
        <v/>
      </c>
      <c r="Y368" s="85" t="inlineStr">
        <is>
          <t>P221ZZMO01</t>
        </is>
      </c>
      <c r="Z368" s="86" t="inlineStr">
        <is>
          <t>15661</t>
        </is>
      </c>
      <c r="AA368" s="86" t="inlineStr">
        <is>
          <t>33561</t>
        </is>
      </c>
      <c r="AB368" s="86" t="inlineStr">
        <is>
          <t>6277651</t>
        </is>
      </c>
      <c r="AC368" s="87" t="inlineStr">
        <is>
          <t>Movies</t>
        </is>
      </c>
      <c r="AD368" s="76">
        <f>COUNTIF('KK1. Movies'!AI:AI,'TK 15661.Bản quyền phim '!F368)</f>
        <v/>
      </c>
      <c r="AE368" s="76">
        <f>COUNTIF('KK2. Series'!AM:AM,'TK 15661.Bản quyền phim '!F368)</f>
        <v/>
      </c>
      <c r="AF368" s="76">
        <f>COUNTIF('KK3. Kids'!AF:AF,'TK 15661.Bản quyền phim '!F368)</f>
        <v/>
      </c>
      <c r="AG368" s="76" t="n"/>
      <c r="AH368" s="76">
        <f>IF(SUM(AD368:AG368)&gt;0,"OK",0)</f>
        <v/>
      </c>
    </row>
    <row r="369" hidden="1" ht="15.6" customHeight="1" s="578">
      <c r="B369" s="74" t="inlineStr">
        <is>
          <t>K+1MOV025066</t>
        </is>
      </c>
      <c r="C369" s="708" t="inlineStr">
        <is>
          <t>VND</t>
        </is>
      </c>
      <c r="D369" s="708" t="inlineStr">
        <is>
          <t>S0002248</t>
        </is>
      </c>
      <c r="E369" s="708" t="inlineStr">
        <is>
          <t>Công ty TNHH giải trí CJ HK</t>
        </is>
      </c>
      <c r="F369" s="708" t="inlineStr">
        <is>
          <t>Katak: The Brave Beluga</t>
        </is>
      </c>
      <c r="G369" s="708" t="inlineStr">
        <is>
          <t>Movies International</t>
        </is>
      </c>
      <c r="H369" s="83" t="n">
        <v>1</v>
      </c>
      <c r="I369" s="83" t="n">
        <v>3</v>
      </c>
      <c r="J369" s="83">
        <f>H369*I369</f>
        <v/>
      </c>
      <c r="K369" s="83" t="n">
        <v>85714286</v>
      </c>
      <c r="L369" s="83" t="n">
        <v>28571428.66666667</v>
      </c>
      <c r="M369" s="83">
        <f>J369-Q369</f>
        <v/>
      </c>
      <c r="N369" s="83">
        <f>K369-R369</f>
        <v/>
      </c>
      <c r="O369" s="517" t="n">
        <v>45997</v>
      </c>
      <c r="P369" s="517" t="n">
        <v>47092</v>
      </c>
      <c r="Q369" s="83" t="n">
        <v>0</v>
      </c>
      <c r="R369" s="84" t="n">
        <v>0</v>
      </c>
      <c r="S369" s="83" t="n">
        <v>3</v>
      </c>
      <c r="T369" s="84" t="n">
        <v>85714286</v>
      </c>
      <c r="U369" s="83" t="n">
        <v>1</v>
      </c>
      <c r="V369" s="84">
        <f>U369*L369</f>
        <v/>
      </c>
      <c r="W369" s="83">
        <f>Q369+S369-U369</f>
        <v/>
      </c>
      <c r="X369" s="84">
        <f>R369+T369-V369</f>
        <v/>
      </c>
      <c r="Y369" s="85" t="inlineStr">
        <is>
          <t>P221ZZMO01</t>
        </is>
      </c>
      <c r="Z369" s="86" t="inlineStr">
        <is>
          <t>15661</t>
        </is>
      </c>
      <c r="AA369" s="86" t="inlineStr">
        <is>
          <t>33561</t>
        </is>
      </c>
      <c r="AB369" s="86" t="inlineStr">
        <is>
          <t>6277651</t>
        </is>
      </c>
      <c r="AC369" s="87" t="inlineStr">
        <is>
          <t>Movies</t>
        </is>
      </c>
      <c r="AD369" s="76">
        <f>COUNTIF('KK1. Movies'!AI:AI,'TK 15661.Bản quyền phim '!F369)</f>
        <v/>
      </c>
      <c r="AE369" s="76">
        <f>COUNTIF('KK2. Series'!AM:AM,'TK 15661.Bản quyền phim '!F369)</f>
        <v/>
      </c>
      <c r="AF369" s="76">
        <f>COUNTIF('KK3. Kids'!AF:AF,'TK 15661.Bản quyền phim '!F369)</f>
        <v/>
      </c>
      <c r="AG369" s="76" t="n"/>
      <c r="AH369" s="76">
        <f>IF(SUM(AD369:AG369)&gt;0,"OK",0)</f>
        <v/>
      </c>
    </row>
    <row r="370" hidden="1" ht="15.6" customHeight="1" s="578">
      <c r="B370" s="74" t="inlineStr">
        <is>
          <t>K+1MOV025067</t>
        </is>
      </c>
      <c r="C370" s="708" t="inlineStr">
        <is>
          <t>VND</t>
        </is>
      </c>
      <c r="D370" s="708" t="inlineStr">
        <is>
          <t>S0002248</t>
        </is>
      </c>
      <c r="E370" s="708" t="inlineStr">
        <is>
          <t>Công ty TNHH giải trí CJ HK</t>
        </is>
      </c>
      <c r="F370" s="708" t="inlineStr">
        <is>
          <t>THE GOOD HOUSE</t>
        </is>
      </c>
      <c r="G370" s="708" t="inlineStr">
        <is>
          <t>Movies International</t>
        </is>
      </c>
      <c r="H370" s="83" t="n">
        <v>1</v>
      </c>
      <c r="I370" s="83" t="n">
        <v>3</v>
      </c>
      <c r="J370" s="83">
        <f>H370*I370</f>
        <v/>
      </c>
      <c r="K370" s="83" t="n">
        <v>47619048</v>
      </c>
      <c r="L370" s="83" t="n">
        <v>15873016</v>
      </c>
      <c r="M370" s="83">
        <f>J370-Q370</f>
        <v/>
      </c>
      <c r="N370" s="83">
        <f>K370-R370</f>
        <v/>
      </c>
      <c r="O370" s="517" t="n">
        <v>46003</v>
      </c>
      <c r="P370" s="517" t="n">
        <v>47098</v>
      </c>
      <c r="Q370" s="83" t="n">
        <v>0</v>
      </c>
      <c r="R370" s="84" t="n">
        <v>0</v>
      </c>
      <c r="S370" s="83" t="n">
        <v>3</v>
      </c>
      <c r="T370" s="84" t="n">
        <v>47619048</v>
      </c>
      <c r="U370" s="83" t="n">
        <v>1</v>
      </c>
      <c r="V370" s="84">
        <f>U370*L370</f>
        <v/>
      </c>
      <c r="W370" s="83">
        <f>Q370+S370-U370</f>
        <v/>
      </c>
      <c r="X370" s="84">
        <f>R370+T370-V370</f>
        <v/>
      </c>
      <c r="Y370" s="85" t="inlineStr">
        <is>
          <t>P221ZZMO01</t>
        </is>
      </c>
      <c r="Z370" s="86" t="inlineStr">
        <is>
          <t>15661</t>
        </is>
      </c>
      <c r="AA370" s="86" t="inlineStr">
        <is>
          <t>33561</t>
        </is>
      </c>
      <c r="AB370" s="86" t="inlineStr">
        <is>
          <t>6277651</t>
        </is>
      </c>
      <c r="AC370" s="87" t="inlineStr">
        <is>
          <t>Movies</t>
        </is>
      </c>
      <c r="AD370" s="76">
        <f>COUNTIF('KK1. Movies'!AI:AI,'TK 15661.Bản quyền phim '!F370)</f>
        <v/>
      </c>
      <c r="AE370" s="76">
        <f>COUNTIF('KK2. Series'!AM:AM,'TK 15661.Bản quyền phim '!F370)</f>
        <v/>
      </c>
      <c r="AF370" s="76">
        <f>COUNTIF('KK3. Kids'!AF:AF,'TK 15661.Bản quyền phim '!F370)</f>
        <v/>
      </c>
      <c r="AG370" s="76" t="n"/>
      <c r="AH370" s="76">
        <f>IF(SUM(AD370:AG370)&gt;0,"OK",0)</f>
        <v/>
      </c>
    </row>
    <row r="371" hidden="1" ht="15.6" customHeight="1" s="578">
      <c r="A371" s="30">
        <f>(U371-H371)*L371</f>
        <v/>
      </c>
      <c r="B371" s="74" t="inlineStr">
        <is>
          <t>K+1SER025068</t>
        </is>
      </c>
      <c r="C371" s="708" t="inlineStr">
        <is>
          <t>USD</t>
        </is>
      </c>
      <c r="D371" s="708" t="inlineStr">
        <is>
          <t>SR0055</t>
        </is>
      </c>
      <c r="E371" s="708" t="inlineStr">
        <is>
          <t>Public Television Service Foundation</t>
        </is>
      </c>
      <c r="F371" s="708" t="inlineStr">
        <is>
          <t>THE OUTLAW DOCTOR</t>
        </is>
      </c>
      <c r="G371" s="708" t="inlineStr">
        <is>
          <t>Series Asian</t>
        </is>
      </c>
      <c r="H371" s="83" t="n">
        <v>11</v>
      </c>
      <c r="I371" s="83" t="n">
        <v>5</v>
      </c>
      <c r="J371" s="83">
        <f>H371*I371</f>
        <v/>
      </c>
      <c r="K371" s="83" t="n">
        <v>559020000</v>
      </c>
      <c r="L371" s="83" t="n">
        <v>10164000</v>
      </c>
      <c r="M371" s="83">
        <f>J371-Q371</f>
        <v/>
      </c>
      <c r="N371" s="83">
        <f>K371-R371</f>
        <v/>
      </c>
      <c r="O371" s="517" t="n">
        <v>45724</v>
      </c>
      <c r="P371" s="517" t="n">
        <v>47549</v>
      </c>
      <c r="Q371" s="83" t="n">
        <v>0</v>
      </c>
      <c r="R371" s="84" t="n">
        <v>0</v>
      </c>
      <c r="S371" s="83" t="n">
        <v>55</v>
      </c>
      <c r="T371" s="84" t="n">
        <v>559020000</v>
      </c>
      <c r="U371" s="83" t="n">
        <v>11</v>
      </c>
      <c r="V371" s="84">
        <f>U371*L371</f>
        <v/>
      </c>
      <c r="W371" s="83">
        <f>Q371+S371-U371</f>
        <v/>
      </c>
      <c r="X371" s="84">
        <f>R371+T371-V371</f>
        <v/>
      </c>
      <c r="Y371" s="85" t="inlineStr">
        <is>
          <t>P221ZZSR01</t>
        </is>
      </c>
      <c r="Z371" s="86" t="inlineStr">
        <is>
          <t>15661</t>
        </is>
      </c>
      <c r="AA371" s="86" t="inlineStr">
        <is>
          <t>33561</t>
        </is>
      </c>
      <c r="AB371" s="86" t="inlineStr">
        <is>
          <t>6277651</t>
        </is>
      </c>
      <c r="AC371" s="87" t="inlineStr">
        <is>
          <t>Series</t>
        </is>
      </c>
      <c r="AD371" s="76">
        <f>COUNTIF('KK1. Movies'!AI:AI,'TK 15661.Bản quyền phim '!F371)</f>
        <v/>
      </c>
      <c r="AE371" s="76">
        <f>COUNTIF('KK2. Series'!AM:AM,'TK 15661.Bản quyền phim '!F371)</f>
        <v/>
      </c>
      <c r="AF371" s="76">
        <f>COUNTIF('KK3. Kids'!AF:AF,'TK 15661.Bản quyền phim '!F371)</f>
        <v/>
      </c>
      <c r="AG371" s="76" t="n"/>
      <c r="AH371" s="76">
        <f>IF(SUM(AD371:AG371)&gt;0,"OK",0)</f>
        <v/>
      </c>
    </row>
    <row r="372" hidden="1" ht="15.6" customHeight="1" s="578">
      <c r="A372" s="30">
        <f>(U372-H372)*L372</f>
        <v/>
      </c>
      <c r="B372" s="74" t="inlineStr">
        <is>
          <t>K+2SER025069</t>
        </is>
      </c>
      <c r="C372" s="708" t="inlineStr">
        <is>
          <t>USD</t>
        </is>
      </c>
      <c r="D372" s="708" t="inlineStr">
        <is>
          <t>S0002378</t>
        </is>
      </c>
      <c r="E372" s="708" t="inlineStr">
        <is>
          <t>CANAL+ MYANMAR HOLDING COMPANY PTE. LTD</t>
        </is>
      </c>
      <c r="F372" s="708" t="inlineStr">
        <is>
          <t>Trapped</t>
        </is>
      </c>
      <c r="G372" s="708" t="inlineStr">
        <is>
          <t>Series International</t>
        </is>
      </c>
      <c r="H372" s="83" t="n">
        <v>10</v>
      </c>
      <c r="I372" s="83" t="n">
        <v>5</v>
      </c>
      <c r="J372" s="83">
        <f>H372*I372</f>
        <v/>
      </c>
      <c r="K372" s="83" t="n">
        <v>0</v>
      </c>
      <c r="L372" s="83" t="n">
        <v>0</v>
      </c>
      <c r="M372" s="83">
        <f>J372-Q372</f>
        <v/>
      </c>
      <c r="N372" s="83">
        <f>K372-R372</f>
        <v/>
      </c>
      <c r="O372" s="517" t="n">
        <v>45748</v>
      </c>
      <c r="P372" s="517" t="n">
        <v>47573</v>
      </c>
      <c r="Q372" s="83" t="n">
        <v>0</v>
      </c>
      <c r="R372" s="84" t="n">
        <v>0</v>
      </c>
      <c r="S372" s="83" t="n">
        <v>50</v>
      </c>
      <c r="T372" s="84" t="n">
        <v>0</v>
      </c>
      <c r="U372" s="83" t="n">
        <v>0</v>
      </c>
      <c r="V372" s="84">
        <f>U372*L372</f>
        <v/>
      </c>
      <c r="W372" s="83">
        <f>Q372+S372-U372</f>
        <v/>
      </c>
      <c r="X372" s="84">
        <f>R372+T372-V372</f>
        <v/>
      </c>
      <c r="Y372" s="85" t="inlineStr">
        <is>
          <t>P221ZZSR01</t>
        </is>
      </c>
      <c r="Z372" s="86" t="inlineStr">
        <is>
          <t>15661</t>
        </is>
      </c>
      <c r="AA372" s="86" t="inlineStr">
        <is>
          <t>33561</t>
        </is>
      </c>
      <c r="AB372" s="86" t="inlineStr">
        <is>
          <t>6277651</t>
        </is>
      </c>
      <c r="AC372" s="87" t="inlineStr">
        <is>
          <t>Series</t>
        </is>
      </c>
      <c r="AD372" s="76">
        <f>COUNTIF('KK1. Movies'!AI:AI,'TK 15661.Bản quyền phim '!F372)</f>
        <v/>
      </c>
      <c r="AE372" s="76">
        <f>COUNTIF('KK2. Series'!AM:AM,'TK 15661.Bản quyền phim '!F372)</f>
        <v/>
      </c>
      <c r="AF372" s="76">
        <f>COUNTIF('KK3. Kids'!AF:AF,'TK 15661.Bản quyền phim '!F372)</f>
        <v/>
      </c>
      <c r="AG372" s="76" t="n"/>
      <c r="AH372" s="76">
        <f>IF(SUM(AD372:AG372)&gt;0,"OK",0)</f>
        <v/>
      </c>
    </row>
    <row r="373" hidden="1" ht="15.6" customHeight="1" s="578">
      <c r="A373" s="30">
        <f>(U373-H373)*L373</f>
        <v/>
      </c>
      <c r="B373" s="74" t="inlineStr">
        <is>
          <t>K+2SER025070</t>
        </is>
      </c>
      <c r="C373" s="708" t="inlineStr">
        <is>
          <t>USD</t>
        </is>
      </c>
      <c r="D373" s="708" t="inlineStr">
        <is>
          <t>S0002378</t>
        </is>
      </c>
      <c r="E373" s="708" t="inlineStr">
        <is>
          <t>CANAL+ MYANMAR HOLDING COMPANY PTE. LTD</t>
        </is>
      </c>
      <c r="F373" s="708" t="inlineStr">
        <is>
          <t>The Return</t>
        </is>
      </c>
      <c r="G373" s="708" t="inlineStr">
        <is>
          <t>Series International</t>
        </is>
      </c>
      <c r="H373" s="83" t="n">
        <v>30</v>
      </c>
      <c r="I373" s="83" t="n">
        <v>5</v>
      </c>
      <c r="J373" s="83">
        <f>H373*I373</f>
        <v/>
      </c>
      <c r="K373" s="83" t="n">
        <v>0</v>
      </c>
      <c r="L373" s="83" t="n">
        <v>0</v>
      </c>
      <c r="M373" s="83">
        <f>J373-Q373</f>
        <v/>
      </c>
      <c r="N373" s="83">
        <f>K373-R373</f>
        <v/>
      </c>
      <c r="O373" s="517" t="n">
        <v>45748</v>
      </c>
      <c r="P373" s="517" t="n">
        <v>47573</v>
      </c>
      <c r="Q373" s="83" t="n">
        <v>0</v>
      </c>
      <c r="R373" s="84" t="n">
        <v>0</v>
      </c>
      <c r="S373" s="83" t="n">
        <v>150</v>
      </c>
      <c r="T373" s="84" t="n">
        <v>0</v>
      </c>
      <c r="U373" s="83" t="n">
        <v>0</v>
      </c>
      <c r="V373" s="84">
        <f>U373*L373</f>
        <v/>
      </c>
      <c r="W373" s="83">
        <f>Q373+S373-U373</f>
        <v/>
      </c>
      <c r="X373" s="84">
        <f>R373+T373-V373</f>
        <v/>
      </c>
      <c r="Y373" s="85" t="inlineStr">
        <is>
          <t>P221ZZSR01</t>
        </is>
      </c>
      <c r="Z373" s="86" t="inlineStr">
        <is>
          <t>15661</t>
        </is>
      </c>
      <c r="AA373" s="86" t="inlineStr">
        <is>
          <t>33561</t>
        </is>
      </c>
      <c r="AB373" s="86" t="inlineStr">
        <is>
          <t>6277651</t>
        </is>
      </c>
      <c r="AC373" s="87" t="inlineStr">
        <is>
          <t>Series</t>
        </is>
      </c>
      <c r="AD373" s="76">
        <f>COUNTIF('KK1. Movies'!AI:AI,'TK 15661.Bản quyền phim '!F373)</f>
        <v/>
      </c>
      <c r="AE373" s="76">
        <f>COUNTIF('KK2. Series'!AM:AM,'TK 15661.Bản quyền phim '!F373)</f>
        <v/>
      </c>
      <c r="AF373" s="76">
        <f>COUNTIF('KK3. Kids'!AF:AF,'TK 15661.Bản quyền phim '!F373)</f>
        <v/>
      </c>
      <c r="AG373" s="76" t="n"/>
      <c r="AH373" s="76">
        <f>IF(SUM(AD373:AG373)&gt;0,"OK",0)</f>
        <v/>
      </c>
    </row>
    <row r="374" hidden="1" ht="15.6" customHeight="1" s="578">
      <c r="A374" s="30">
        <f>(U374-H374)*L374</f>
        <v/>
      </c>
      <c r="B374" s="74" t="inlineStr">
        <is>
          <t>K+2SER025072</t>
        </is>
      </c>
      <c r="C374" s="708" t="inlineStr">
        <is>
          <t>USD</t>
        </is>
      </c>
      <c r="D374" s="708" t="inlineStr">
        <is>
          <t>S0002262</t>
        </is>
      </c>
      <c r="E374" s="708" t="inlineStr">
        <is>
          <t>IQIYI INTERNATIONAL SINGAPORE PTE. LTD.</t>
        </is>
      </c>
      <c r="F374" s="708" t="inlineStr">
        <is>
          <t>Imperfect Victim</t>
        </is>
      </c>
      <c r="G374" s="708" t="inlineStr">
        <is>
          <t>Series Asian</t>
        </is>
      </c>
      <c r="H374" s="83" t="n">
        <v>29</v>
      </c>
      <c r="I374" s="83" t="n">
        <v>4</v>
      </c>
      <c r="J374" s="83">
        <f>H374*I374</f>
        <v/>
      </c>
      <c r="K374" s="83" t="n">
        <v>957957000</v>
      </c>
      <c r="L374" s="83" t="n">
        <v>8258250</v>
      </c>
      <c r="M374" s="83">
        <f>J374-Q374</f>
        <v/>
      </c>
      <c r="N374" s="83">
        <f>K374-R374</f>
        <v/>
      </c>
      <c r="O374" s="517" t="n">
        <v>45773</v>
      </c>
      <c r="P374" s="517" t="n">
        <v>47233</v>
      </c>
      <c r="Q374" s="83" t="n">
        <v>0</v>
      </c>
      <c r="R374" s="84" t="n">
        <v>0</v>
      </c>
      <c r="S374" s="83" t="n">
        <v>116</v>
      </c>
      <c r="T374" s="84" t="n">
        <v>957957000</v>
      </c>
      <c r="U374" s="83" t="n">
        <v>29</v>
      </c>
      <c r="V374" s="84">
        <f>U374*L374</f>
        <v/>
      </c>
      <c r="W374" s="83">
        <f>Q374+S374-U374</f>
        <v/>
      </c>
      <c r="X374" s="84">
        <f>R374+T374-V374</f>
        <v/>
      </c>
      <c r="Y374" s="85" t="inlineStr">
        <is>
          <t>P221ZZSR01</t>
        </is>
      </c>
      <c r="Z374" s="86" t="inlineStr">
        <is>
          <t>15661</t>
        </is>
      </c>
      <c r="AA374" s="86" t="inlineStr">
        <is>
          <t>33561</t>
        </is>
      </c>
      <c r="AB374" s="86" t="inlineStr">
        <is>
          <t>6277651</t>
        </is>
      </c>
      <c r="AC374" s="87" t="inlineStr">
        <is>
          <t>Series</t>
        </is>
      </c>
      <c r="AD374" s="76">
        <f>COUNTIF('KK1. Movies'!AI:AI,'TK 15661.Bản quyền phim '!F374)</f>
        <v/>
      </c>
      <c r="AE374" s="76">
        <f>COUNTIF('KK2. Series'!AM:AM,'TK 15661.Bản quyền phim '!F374)</f>
        <v/>
      </c>
      <c r="AF374" s="76">
        <f>COUNTIF('KK3. Kids'!AF:AF,'TK 15661.Bản quyền phim '!F374)</f>
        <v/>
      </c>
      <c r="AG374" s="76" t="n"/>
      <c r="AH374" s="76">
        <f>IF(SUM(AD374:AG374)&gt;0,"OK",0)</f>
        <v/>
      </c>
    </row>
    <row r="375" hidden="1" ht="15.6" customHeight="1" s="578">
      <c r="A375" s="30">
        <f>(U375-H375)*L375</f>
        <v/>
      </c>
      <c r="B375" s="74" t="inlineStr">
        <is>
          <t>K+2SER025073</t>
        </is>
      </c>
      <c r="C375" s="708" t="inlineStr">
        <is>
          <t>USD</t>
        </is>
      </c>
      <c r="D375" s="708" t="inlineStr">
        <is>
          <t>S0002262</t>
        </is>
      </c>
      <c r="E375" s="708" t="inlineStr">
        <is>
          <t>IQIYI INTERNATIONAL SINGAPORE PTE. LTD.</t>
        </is>
      </c>
      <c r="F375" s="708" t="inlineStr">
        <is>
          <t>Who's the Murder</t>
        </is>
      </c>
      <c r="G375" s="708" t="inlineStr">
        <is>
          <t>Series Asian</t>
        </is>
      </c>
      <c r="H375" s="83" t="n">
        <v>16</v>
      </c>
      <c r="I375" s="83" t="n">
        <v>4</v>
      </c>
      <c r="J375" s="83">
        <f>H375*I375</f>
        <v/>
      </c>
      <c r="K375" s="83" t="n">
        <v>451738980</v>
      </c>
      <c r="L375" s="83" t="n">
        <v>7058421.5625</v>
      </c>
      <c r="M375" s="83">
        <f>J375-Q375</f>
        <v/>
      </c>
      <c r="N375" s="83">
        <f>K375-R375</f>
        <v/>
      </c>
      <c r="O375" s="517" t="n">
        <v>45817</v>
      </c>
      <c r="P375" s="517" t="n">
        <v>47277</v>
      </c>
      <c r="Q375" s="83" t="n">
        <v>0</v>
      </c>
      <c r="R375" s="84" t="n">
        <v>0</v>
      </c>
      <c r="S375" s="83" t="n">
        <v>64</v>
      </c>
      <c r="T375" s="84" t="n">
        <v>451738980</v>
      </c>
      <c r="U375" s="83" t="n">
        <v>16</v>
      </c>
      <c r="V375" s="84">
        <f>U375*L375</f>
        <v/>
      </c>
      <c r="W375" s="83">
        <f>Q375+S375-U375</f>
        <v/>
      </c>
      <c r="X375" s="84">
        <f>R375+T375-V375</f>
        <v/>
      </c>
      <c r="Y375" s="85" t="inlineStr">
        <is>
          <t>P221ZZSR01</t>
        </is>
      </c>
      <c r="Z375" s="86" t="inlineStr">
        <is>
          <t>15661</t>
        </is>
      </c>
      <c r="AA375" s="86" t="inlineStr">
        <is>
          <t>33561</t>
        </is>
      </c>
      <c r="AB375" s="86" t="inlineStr">
        <is>
          <t>6277651</t>
        </is>
      </c>
      <c r="AC375" s="87" t="inlineStr">
        <is>
          <t>Series</t>
        </is>
      </c>
      <c r="AD375" s="76">
        <f>COUNTIF('KK1. Movies'!AI:AI,'TK 15661.Bản quyền phim '!F375)</f>
        <v/>
      </c>
      <c r="AE375" s="76">
        <f>COUNTIF('KK2. Series'!AM:AM,'TK 15661.Bản quyền phim '!F375)</f>
        <v/>
      </c>
      <c r="AF375" s="76">
        <f>COUNTIF('KK3. Kids'!AF:AF,'TK 15661.Bản quyền phim '!F375)</f>
        <v/>
      </c>
      <c r="AG375" s="76" t="n"/>
      <c r="AH375" s="76">
        <f>IF(SUM(AD375:AG375)&gt;0,"OK",0)</f>
        <v/>
      </c>
    </row>
    <row r="376" hidden="1" ht="15.6" customHeight="1" s="578">
      <c r="A376" s="30">
        <f>(U376-H376)*L376</f>
        <v/>
      </c>
      <c r="B376" s="74" t="inlineStr">
        <is>
          <t>K+2SER025074</t>
        </is>
      </c>
      <c r="C376" s="708" t="inlineStr">
        <is>
          <t>USD</t>
        </is>
      </c>
      <c r="D376" s="708" t="inlineStr">
        <is>
          <t>S0002262</t>
        </is>
      </c>
      <c r="E376" s="708" t="inlineStr">
        <is>
          <t>IQIYI INTERNATIONAL SINGAPORE PTE. LTD.</t>
        </is>
      </c>
      <c r="F376" s="708" t="inlineStr">
        <is>
          <t>Thirteen Years Dust</t>
        </is>
      </c>
      <c r="G376" s="708" t="inlineStr">
        <is>
          <t>Series Asian</t>
        </is>
      </c>
      <c r="H376" s="83" t="n">
        <v>24</v>
      </c>
      <c r="I376" s="83" t="n">
        <v>4</v>
      </c>
      <c r="J376" s="83">
        <f>H376*I376</f>
        <v/>
      </c>
      <c r="K376" s="83" t="n">
        <v>677608470</v>
      </c>
      <c r="L376" s="83" t="n">
        <v>7058421.5625</v>
      </c>
      <c r="M376" s="83">
        <f>J376-Q376</f>
        <v/>
      </c>
      <c r="N376" s="83">
        <f>K376-R376</f>
        <v/>
      </c>
      <c r="O376" s="517" t="n">
        <v>45783</v>
      </c>
      <c r="P376" s="517" t="n">
        <v>47243</v>
      </c>
      <c r="Q376" s="83" t="n">
        <v>0</v>
      </c>
      <c r="R376" s="84" t="n">
        <v>0</v>
      </c>
      <c r="S376" s="83" t="n">
        <v>96</v>
      </c>
      <c r="T376" s="84" t="n">
        <v>677608470</v>
      </c>
      <c r="U376" s="83" t="n">
        <v>24</v>
      </c>
      <c r="V376" s="84">
        <f>U376*L376</f>
        <v/>
      </c>
      <c r="W376" s="83">
        <f>Q376+S376-U376</f>
        <v/>
      </c>
      <c r="X376" s="84">
        <f>R376+T376-V376</f>
        <v/>
      </c>
      <c r="Y376" s="85" t="inlineStr">
        <is>
          <t>P221ZZSR01</t>
        </is>
      </c>
      <c r="Z376" s="86" t="inlineStr">
        <is>
          <t>15661</t>
        </is>
      </c>
      <c r="AA376" s="86" t="inlineStr">
        <is>
          <t>33561</t>
        </is>
      </c>
      <c r="AB376" s="86" t="inlineStr">
        <is>
          <t>6277651</t>
        </is>
      </c>
      <c r="AC376" s="87" t="inlineStr">
        <is>
          <t>Series</t>
        </is>
      </c>
      <c r="AD376" s="76">
        <f>COUNTIF('KK1. Movies'!AI:AI,'TK 15661.Bản quyền phim '!F376)</f>
        <v/>
      </c>
      <c r="AE376" s="76">
        <f>COUNTIF('KK2. Series'!AM:AM,'TK 15661.Bản quyền phim '!F376)</f>
        <v/>
      </c>
      <c r="AF376" s="76">
        <f>COUNTIF('KK3. Kids'!AF:AF,'TK 15661.Bản quyền phim '!F376)</f>
        <v/>
      </c>
      <c r="AG376" s="76" t="n"/>
      <c r="AH376" s="76">
        <f>IF(SUM(AD376:AG376)&gt;0,"OK",0)</f>
        <v/>
      </c>
    </row>
    <row r="377" hidden="1" ht="15.6" customHeight="1" s="578">
      <c r="A377" s="30">
        <f>(U377-H377)*L377</f>
        <v/>
      </c>
      <c r="B377" s="74" t="inlineStr">
        <is>
          <t>K+2SER025075</t>
        </is>
      </c>
      <c r="C377" s="708" t="inlineStr">
        <is>
          <t>USD</t>
        </is>
      </c>
      <c r="D377" s="708" t="inlineStr">
        <is>
          <t>S0002262</t>
        </is>
      </c>
      <c r="E377" s="708" t="inlineStr">
        <is>
          <t>IQIYI INTERNATIONAL SINGAPORE PTE. LTD.</t>
        </is>
      </c>
      <c r="F377" s="708" t="inlineStr">
        <is>
          <t>Never Give Up</t>
        </is>
      </c>
      <c r="G377" s="708" t="inlineStr">
        <is>
          <t>Series Asian</t>
        </is>
      </c>
      <c r="H377" s="83" t="n">
        <v>40</v>
      </c>
      <c r="I377" s="83" t="n">
        <v>4</v>
      </c>
      <c r="J377" s="83">
        <f>H377*I377</f>
        <v/>
      </c>
      <c r="K377" s="83" t="n">
        <v>355740000</v>
      </c>
      <c r="L377" s="83" t="n">
        <v>2223375</v>
      </c>
      <c r="M377" s="83">
        <f>J377-Q377</f>
        <v/>
      </c>
      <c r="N377" s="83">
        <f>K377-R377</f>
        <v/>
      </c>
      <c r="O377" s="517" t="n">
        <v>45703</v>
      </c>
      <c r="P377" s="517" t="n">
        <v>47163</v>
      </c>
      <c r="Q377" s="83" t="n">
        <v>0</v>
      </c>
      <c r="R377" s="84" t="n">
        <v>0</v>
      </c>
      <c r="S377" s="83" t="n">
        <v>160</v>
      </c>
      <c r="T377" s="84" t="n">
        <v>355740000</v>
      </c>
      <c r="U377" s="83" t="n">
        <v>40</v>
      </c>
      <c r="V377" s="84">
        <f>U377*L377</f>
        <v/>
      </c>
      <c r="W377" s="83">
        <f>Q377+S377-U377</f>
        <v/>
      </c>
      <c r="X377" s="84">
        <f>R377+T377-V377</f>
        <v/>
      </c>
      <c r="Y377" s="85" t="inlineStr">
        <is>
          <t>P221ZZSR01</t>
        </is>
      </c>
      <c r="Z377" s="86" t="inlineStr">
        <is>
          <t>15661</t>
        </is>
      </c>
      <c r="AA377" s="86" t="inlineStr">
        <is>
          <t>33561</t>
        </is>
      </c>
      <c r="AB377" s="86" t="inlineStr">
        <is>
          <t>6277651</t>
        </is>
      </c>
      <c r="AC377" s="87" t="inlineStr">
        <is>
          <t>Series</t>
        </is>
      </c>
      <c r="AD377" s="76">
        <f>COUNTIF('KK1. Movies'!AI:AI,'TK 15661.Bản quyền phim '!F377)</f>
        <v/>
      </c>
      <c r="AE377" s="76">
        <f>COUNTIF('KK2. Series'!AM:AM,'TK 15661.Bản quyền phim '!F377)</f>
        <v/>
      </c>
      <c r="AF377" s="76">
        <f>COUNTIF('KK3. Kids'!AF:AF,'TK 15661.Bản quyền phim '!F377)</f>
        <v/>
      </c>
      <c r="AG377" s="76" t="n"/>
      <c r="AH377" s="76">
        <f>IF(SUM(AD377:AG377)&gt;0,"OK",0)</f>
        <v/>
      </c>
    </row>
    <row r="378" hidden="1" ht="15.6" customHeight="1" s="578">
      <c r="B378" s="74" t="inlineStr">
        <is>
          <t>K+1MOV025076</t>
        </is>
      </c>
      <c r="C378" s="708" t="inlineStr">
        <is>
          <t>USD</t>
        </is>
      </c>
      <c r="D378" s="708" t="inlineStr">
        <is>
          <t>S0002262</t>
        </is>
      </c>
      <c r="E378" s="708" t="inlineStr">
        <is>
          <t>IQIYI INTERNATIONAL SINGAPORE PTE. LTD.</t>
        </is>
      </c>
      <c r="F378" s="708" t="inlineStr">
        <is>
          <t>In Our Prime</t>
        </is>
      </c>
      <c r="G378" s="708" t="inlineStr">
        <is>
          <t>Movies International</t>
        </is>
      </c>
      <c r="H378" s="83" t="n">
        <v>1</v>
      </c>
      <c r="I378" s="83" t="n">
        <v>3</v>
      </c>
      <c r="J378" s="83">
        <f>H378*I378</f>
        <v/>
      </c>
      <c r="K378" s="83" t="n">
        <v>70588980</v>
      </c>
      <c r="L378" s="83" t="n">
        <v>23529660</v>
      </c>
      <c r="M378" s="83">
        <f>J378-Q378</f>
        <v/>
      </c>
      <c r="N378" s="83">
        <f>K378-R378</f>
        <v/>
      </c>
      <c r="O378" s="517" t="n">
        <v>45805</v>
      </c>
      <c r="P378" s="517" t="n">
        <v>46901</v>
      </c>
      <c r="Q378" s="83" t="n">
        <v>0</v>
      </c>
      <c r="R378" s="84" t="n">
        <v>0</v>
      </c>
      <c r="S378" s="83" t="n">
        <v>3</v>
      </c>
      <c r="T378" s="84" t="n">
        <v>70588980</v>
      </c>
      <c r="U378" s="83" t="n">
        <v>1</v>
      </c>
      <c r="V378" s="84">
        <f>U378*L378</f>
        <v/>
      </c>
      <c r="W378" s="83">
        <f>Q378+S378-U378</f>
        <v/>
      </c>
      <c r="X378" s="84">
        <f>R378+T378-V378</f>
        <v/>
      </c>
      <c r="Y378" s="85" t="inlineStr">
        <is>
          <t>P221ZZMO01</t>
        </is>
      </c>
      <c r="Z378" s="86" t="inlineStr">
        <is>
          <t>15661</t>
        </is>
      </c>
      <c r="AA378" s="86" t="inlineStr">
        <is>
          <t>33561</t>
        </is>
      </c>
      <c r="AB378" s="86" t="inlineStr">
        <is>
          <t>6277651</t>
        </is>
      </c>
      <c r="AC378" s="87" t="inlineStr">
        <is>
          <t>Movies</t>
        </is>
      </c>
      <c r="AD378" s="76">
        <f>COUNTIF('KK1. Movies'!AI:AI,'TK 15661.Bản quyền phim '!F378)</f>
        <v/>
      </c>
      <c r="AE378" s="76">
        <f>COUNTIF('KK2. Series'!AM:AM,'TK 15661.Bản quyền phim '!F378)</f>
        <v/>
      </c>
      <c r="AF378" s="76">
        <f>COUNTIF('KK3. Kids'!AF:AF,'TK 15661.Bản quyền phim '!F378)</f>
        <v/>
      </c>
      <c r="AG378" s="76" t="n"/>
      <c r="AH378" s="76">
        <f>IF(SUM(AD378:AG378)&gt;0,"OK",0)</f>
        <v/>
      </c>
    </row>
    <row r="379" hidden="1" ht="15.6" customHeight="1" s="578">
      <c r="B379" s="74" t="inlineStr">
        <is>
          <t>K+1MOV025077</t>
        </is>
      </c>
      <c r="C379" s="708" t="inlineStr">
        <is>
          <t>USD</t>
        </is>
      </c>
      <c r="D379" s="708" t="inlineStr">
        <is>
          <t>S0002262</t>
        </is>
      </c>
      <c r="E379" s="708" t="inlineStr">
        <is>
          <t>IQIYI INTERNATIONAL SINGAPORE PTE. LTD.</t>
        </is>
      </c>
      <c r="F379" s="708" t="inlineStr">
        <is>
          <t>Trending Topic</t>
        </is>
      </c>
      <c r="G379" s="708" t="inlineStr">
        <is>
          <t>Movies International</t>
        </is>
      </c>
      <c r="H379" s="83" t="n">
        <v>1</v>
      </c>
      <c r="I379" s="83" t="n">
        <v>3</v>
      </c>
      <c r="J379" s="83">
        <f>H379*I379</f>
        <v/>
      </c>
      <c r="K379" s="83" t="n">
        <v>91476000</v>
      </c>
      <c r="L379" s="83" t="n">
        <v>30492000</v>
      </c>
      <c r="M379" s="83">
        <f>J379-Q379</f>
        <v/>
      </c>
      <c r="N379" s="83">
        <f>K379-R379</f>
        <v/>
      </c>
      <c r="O379" s="517" t="n">
        <v>45820</v>
      </c>
      <c r="P379" s="517" t="n">
        <v>46916</v>
      </c>
      <c r="Q379" s="83" t="n">
        <v>0</v>
      </c>
      <c r="R379" s="84" t="n">
        <v>0</v>
      </c>
      <c r="S379" s="83" t="n">
        <v>3</v>
      </c>
      <c r="T379" s="84" t="n">
        <v>91476000</v>
      </c>
      <c r="U379" s="83" t="n">
        <v>1</v>
      </c>
      <c r="V379" s="84">
        <f>U379*L379</f>
        <v/>
      </c>
      <c r="W379" s="83">
        <f>Q379+S379-U379</f>
        <v/>
      </c>
      <c r="X379" s="84">
        <f>R379+T379-V379</f>
        <v/>
      </c>
      <c r="Y379" s="85" t="inlineStr">
        <is>
          <t>P221ZZMO01</t>
        </is>
      </c>
      <c r="Z379" s="86" t="inlineStr">
        <is>
          <t>15661</t>
        </is>
      </c>
      <c r="AA379" s="86" t="inlineStr">
        <is>
          <t>33561</t>
        </is>
      </c>
      <c r="AB379" s="86" t="inlineStr">
        <is>
          <t>6277651</t>
        </is>
      </c>
      <c r="AC379" s="87" t="inlineStr">
        <is>
          <t>Movies</t>
        </is>
      </c>
      <c r="AD379" s="76">
        <f>COUNTIF('KK1. Movies'!AI:AI,'TK 15661.Bản quyền phim '!F379)</f>
        <v/>
      </c>
      <c r="AE379" s="76">
        <f>COUNTIF('KK2. Series'!AM:AM,'TK 15661.Bản quyền phim '!F379)</f>
        <v/>
      </c>
      <c r="AF379" s="76">
        <f>COUNTIF('KK3. Kids'!AF:AF,'TK 15661.Bản quyền phim '!F379)</f>
        <v/>
      </c>
      <c r="AG379" s="76" t="n"/>
      <c r="AH379" s="76">
        <f>IF(SUM(AD379:AG379)&gt;0,"OK",0)</f>
        <v/>
      </c>
    </row>
    <row r="380" hidden="1" ht="15.6" customHeight="1" s="578">
      <c r="B380" s="74" t="inlineStr">
        <is>
          <t>K+1MOV025078</t>
        </is>
      </c>
      <c r="C380" s="708" t="inlineStr">
        <is>
          <t>USD</t>
        </is>
      </c>
      <c r="D380" s="708" t="inlineStr">
        <is>
          <t>S0002262</t>
        </is>
      </c>
      <c r="E380" s="708" t="inlineStr">
        <is>
          <t>IQIYI INTERNATIONAL SINGAPORE PTE. LTD.</t>
        </is>
      </c>
      <c r="F380" s="708" t="inlineStr">
        <is>
          <t>The Invisible Guest</t>
        </is>
      </c>
      <c r="G380" s="708" t="inlineStr">
        <is>
          <t>Movies International</t>
        </is>
      </c>
      <c r="H380" s="83" t="n">
        <v>1</v>
      </c>
      <c r="I380" s="83" t="n">
        <v>3</v>
      </c>
      <c r="J380" s="83">
        <f>H380*I380</f>
        <v/>
      </c>
      <c r="K380" s="83" t="n">
        <v>152460000</v>
      </c>
      <c r="L380" s="83" t="n">
        <v>50820000</v>
      </c>
      <c r="M380" s="83">
        <f>J380-Q380</f>
        <v/>
      </c>
      <c r="N380" s="83">
        <f>K380-R380</f>
        <v/>
      </c>
      <c r="O380" s="517" t="n">
        <v>45834</v>
      </c>
      <c r="P380" s="517" t="n">
        <v>46930</v>
      </c>
      <c r="Q380" s="83" t="n">
        <v>0</v>
      </c>
      <c r="R380" s="84" t="n">
        <v>0</v>
      </c>
      <c r="S380" s="83" t="n">
        <v>3</v>
      </c>
      <c r="T380" s="84" t="n">
        <v>152460000</v>
      </c>
      <c r="U380" s="83" t="n">
        <v>1</v>
      </c>
      <c r="V380" s="84">
        <f>U380*L380</f>
        <v/>
      </c>
      <c r="W380" s="83">
        <f>Q380+S380-U380</f>
        <v/>
      </c>
      <c r="X380" s="84">
        <f>R380+T380-V380</f>
        <v/>
      </c>
      <c r="Y380" s="85" t="inlineStr">
        <is>
          <t>P221ZZMO01</t>
        </is>
      </c>
      <c r="Z380" s="86" t="inlineStr">
        <is>
          <t>15661</t>
        </is>
      </c>
      <c r="AA380" s="86" t="inlineStr">
        <is>
          <t>33561</t>
        </is>
      </c>
      <c r="AB380" s="86" t="inlineStr">
        <is>
          <t>6277651</t>
        </is>
      </c>
      <c r="AC380" s="87" t="inlineStr">
        <is>
          <t>Movies</t>
        </is>
      </c>
      <c r="AD380" s="76">
        <f>COUNTIF('KK1. Movies'!AI:AI,'TK 15661.Bản quyền phim '!F380)</f>
        <v/>
      </c>
      <c r="AE380" s="76">
        <f>COUNTIF('KK2. Series'!AM:AM,'TK 15661.Bản quyền phim '!F380)</f>
        <v/>
      </c>
      <c r="AF380" s="76">
        <f>COUNTIF('KK3. Kids'!AF:AF,'TK 15661.Bản quyền phim '!F380)</f>
        <v/>
      </c>
      <c r="AG380" s="76" t="n"/>
      <c r="AH380" s="76">
        <f>IF(SUM(AD380:AG380)&gt;0,"OK",0)</f>
        <v/>
      </c>
    </row>
    <row r="381" hidden="1" ht="15.6" customHeight="1" s="578">
      <c r="B381" s="74" t="inlineStr">
        <is>
          <t>K+1MOV025079</t>
        </is>
      </c>
      <c r="C381" s="708" t="inlineStr">
        <is>
          <t>USD</t>
        </is>
      </c>
      <c r="D381" s="708" t="inlineStr">
        <is>
          <t>S0002262</t>
        </is>
      </c>
      <c r="E381" s="708" t="inlineStr">
        <is>
          <t>IQIYI INTERNATIONAL SINGAPORE PTE. LTD.</t>
        </is>
      </c>
      <c r="F381" s="708" t="inlineStr">
        <is>
          <t>Suspect</t>
        </is>
      </c>
      <c r="G381" s="708" t="inlineStr">
        <is>
          <t>Movies International</t>
        </is>
      </c>
      <c r="H381" s="83" t="n">
        <v>1</v>
      </c>
      <c r="I381" s="83" t="n">
        <v>3</v>
      </c>
      <c r="J381" s="83">
        <f>H381*I381</f>
        <v/>
      </c>
      <c r="K381" s="83" t="n">
        <v>70588980</v>
      </c>
      <c r="L381" s="83" t="n">
        <v>23529660</v>
      </c>
      <c r="M381" s="83">
        <f>J381-Q381</f>
        <v/>
      </c>
      <c r="N381" s="83">
        <f>K381-R381</f>
        <v/>
      </c>
      <c r="O381" s="517" t="n">
        <v>45841</v>
      </c>
      <c r="P381" s="517" t="n">
        <v>46937</v>
      </c>
      <c r="Q381" s="83" t="n">
        <v>0</v>
      </c>
      <c r="R381" s="84" t="n">
        <v>0</v>
      </c>
      <c r="S381" s="83" t="n">
        <v>3</v>
      </c>
      <c r="T381" s="84" t="n">
        <v>70588980</v>
      </c>
      <c r="U381" s="83" t="n">
        <v>1</v>
      </c>
      <c r="V381" s="84">
        <f>U381*L381</f>
        <v/>
      </c>
      <c r="W381" s="83">
        <f>Q381+S381-U381</f>
        <v/>
      </c>
      <c r="X381" s="84">
        <f>R381+T381-V381</f>
        <v/>
      </c>
      <c r="Y381" s="85" t="inlineStr">
        <is>
          <t>P221ZZMO01</t>
        </is>
      </c>
      <c r="Z381" s="86" t="inlineStr">
        <is>
          <t>15661</t>
        </is>
      </c>
      <c r="AA381" s="86" t="inlineStr">
        <is>
          <t>33561</t>
        </is>
      </c>
      <c r="AB381" s="86" t="inlineStr">
        <is>
          <t>6277651</t>
        </is>
      </c>
      <c r="AC381" s="87" t="inlineStr">
        <is>
          <t>Movies</t>
        </is>
      </c>
      <c r="AD381" s="76">
        <f>COUNTIF('KK1. Movies'!AI:AI,'TK 15661.Bản quyền phim '!F381)</f>
        <v/>
      </c>
      <c r="AE381" s="76">
        <f>COUNTIF('KK2. Series'!AM:AM,'TK 15661.Bản quyền phim '!F381)</f>
        <v/>
      </c>
      <c r="AF381" s="76">
        <f>COUNTIF('KK3. Kids'!AF:AF,'TK 15661.Bản quyền phim '!F381)</f>
        <v/>
      </c>
      <c r="AG381" s="76" t="n"/>
      <c r="AH381" s="76">
        <f>IF(SUM(AD381:AG381)&gt;0,"OK",0)</f>
        <v/>
      </c>
    </row>
    <row r="382" hidden="1" ht="15.6" customHeight="1" s="578">
      <c r="B382" s="74" t="inlineStr">
        <is>
          <t>K+1MOV025080</t>
        </is>
      </c>
      <c r="C382" s="708" t="inlineStr">
        <is>
          <t>USD</t>
        </is>
      </c>
      <c r="D382" s="708" t="inlineStr">
        <is>
          <t>S0002262</t>
        </is>
      </c>
      <c r="E382" s="708" t="inlineStr">
        <is>
          <t>IQIYI INTERNATIONAL SINGAPORE PTE. LTD.</t>
        </is>
      </c>
      <c r="F382" s="708" t="inlineStr">
        <is>
          <t>Hovering Blade</t>
        </is>
      </c>
      <c r="G382" s="708" t="inlineStr">
        <is>
          <t>Movies International</t>
        </is>
      </c>
      <c r="H382" s="83" t="n">
        <v>1</v>
      </c>
      <c r="I382" s="83" t="n">
        <v>3</v>
      </c>
      <c r="J382" s="83">
        <f>H382*I382</f>
        <v/>
      </c>
      <c r="K382" s="83" t="n">
        <v>101640000</v>
      </c>
      <c r="L382" s="83" t="n">
        <v>33880000</v>
      </c>
      <c r="M382" s="83">
        <f>J382-Q382</f>
        <v/>
      </c>
      <c r="N382" s="83">
        <f>K382-R382</f>
        <v/>
      </c>
      <c r="O382" s="517" t="n">
        <v>45869</v>
      </c>
      <c r="P382" s="517" t="n">
        <v>46965</v>
      </c>
      <c r="Q382" s="83" t="n">
        <v>0</v>
      </c>
      <c r="R382" s="84" t="n">
        <v>0</v>
      </c>
      <c r="S382" s="83" t="n">
        <v>3</v>
      </c>
      <c r="T382" s="84" t="n">
        <v>101640000</v>
      </c>
      <c r="U382" s="83" t="n">
        <v>1</v>
      </c>
      <c r="V382" s="84">
        <f>U382*L382</f>
        <v/>
      </c>
      <c r="W382" s="83">
        <f>Q382+S382-U382</f>
        <v/>
      </c>
      <c r="X382" s="84">
        <f>R382+T382-V382</f>
        <v/>
      </c>
      <c r="Y382" s="85" t="inlineStr">
        <is>
          <t>P221ZZMO01</t>
        </is>
      </c>
      <c r="Z382" s="86" t="inlineStr">
        <is>
          <t>15661</t>
        </is>
      </c>
      <c r="AA382" s="86" t="inlineStr">
        <is>
          <t>33561</t>
        </is>
      </c>
      <c r="AB382" s="86" t="inlineStr">
        <is>
          <t>6277651</t>
        </is>
      </c>
      <c r="AC382" s="87" t="inlineStr">
        <is>
          <t>Movies</t>
        </is>
      </c>
      <c r="AD382" s="76">
        <f>COUNTIF('KK1. Movies'!AI:AI,'TK 15661.Bản quyền phim '!F382)</f>
        <v/>
      </c>
      <c r="AE382" s="76">
        <f>COUNTIF('KK2. Series'!AM:AM,'TK 15661.Bản quyền phim '!F382)</f>
        <v/>
      </c>
      <c r="AF382" s="76">
        <f>COUNTIF('KK3. Kids'!AF:AF,'TK 15661.Bản quyền phim '!F382)</f>
        <v/>
      </c>
      <c r="AG382" s="76" t="n"/>
      <c r="AH382" s="76">
        <f>IF(SUM(AD382:AG382)&gt;0,"OK",0)</f>
        <v/>
      </c>
    </row>
    <row r="383" hidden="1" ht="15.6" customHeight="1" s="578">
      <c r="B383" s="74" t="inlineStr">
        <is>
          <t>K+1MOV025081</t>
        </is>
      </c>
      <c r="C383" s="708" t="inlineStr">
        <is>
          <t>USD</t>
        </is>
      </c>
      <c r="D383" s="708" t="inlineStr">
        <is>
          <t>S0002262</t>
        </is>
      </c>
      <c r="E383" s="708" t="inlineStr">
        <is>
          <t>IQIYI INTERNATIONAL SINGAPORE PTE. LTD.</t>
        </is>
      </c>
      <c r="F383" s="708" t="inlineStr">
        <is>
          <t>Man on The Edge</t>
        </is>
      </c>
      <c r="G383" s="708" t="inlineStr">
        <is>
          <t>Movies International</t>
        </is>
      </c>
      <c r="H383" s="83" t="n">
        <v>1</v>
      </c>
      <c r="I383" s="83" t="n">
        <v>3</v>
      </c>
      <c r="J383" s="83">
        <f>H383*I383</f>
        <v/>
      </c>
      <c r="K383" s="83" t="n">
        <v>84691530</v>
      </c>
      <c r="L383" s="83" t="n">
        <v>28230510</v>
      </c>
      <c r="M383" s="83">
        <f>J383-Q383</f>
        <v/>
      </c>
      <c r="N383" s="83">
        <f>K383-R383</f>
        <v/>
      </c>
      <c r="O383" s="517" t="n">
        <v>45890</v>
      </c>
      <c r="P383" s="517" t="n">
        <v>46985</v>
      </c>
      <c r="Q383" s="83" t="n">
        <v>0</v>
      </c>
      <c r="R383" s="84" t="n">
        <v>0</v>
      </c>
      <c r="S383" s="83" t="n">
        <v>3</v>
      </c>
      <c r="T383" s="84" t="n">
        <v>84691530</v>
      </c>
      <c r="U383" s="83" t="n">
        <v>1</v>
      </c>
      <c r="V383" s="84">
        <f>U383*L383</f>
        <v/>
      </c>
      <c r="W383" s="83">
        <f>Q383+S383-U383</f>
        <v/>
      </c>
      <c r="X383" s="84">
        <f>R383+T383-V383</f>
        <v/>
      </c>
      <c r="Y383" s="85" t="inlineStr">
        <is>
          <t>P221ZZMO01</t>
        </is>
      </c>
      <c r="Z383" s="86" t="inlineStr">
        <is>
          <t>15661</t>
        </is>
      </c>
      <c r="AA383" s="86" t="inlineStr">
        <is>
          <t>33561</t>
        </is>
      </c>
      <c r="AB383" s="86" t="inlineStr">
        <is>
          <t>6277651</t>
        </is>
      </c>
      <c r="AC383" s="87" t="inlineStr">
        <is>
          <t>Movies</t>
        </is>
      </c>
      <c r="AD383" s="76">
        <f>COUNTIF('KK1. Movies'!AI:AI,'TK 15661.Bản quyền phim '!F383)</f>
        <v/>
      </c>
      <c r="AE383" s="76">
        <f>COUNTIF('KK2. Series'!AM:AM,'TK 15661.Bản quyền phim '!F383)</f>
        <v/>
      </c>
      <c r="AF383" s="76">
        <f>COUNTIF('KK3. Kids'!AF:AF,'TK 15661.Bản quyền phim '!F383)</f>
        <v/>
      </c>
      <c r="AG383" s="76" t="n"/>
      <c r="AH383" s="76">
        <f>IF(SUM(AD383:AG383)&gt;0,"OK",0)</f>
        <v/>
      </c>
    </row>
    <row r="384" hidden="1" ht="15.6" customHeight="1" s="578">
      <c r="B384" s="74" t="inlineStr">
        <is>
          <t>K+1MOV025082</t>
        </is>
      </c>
      <c r="C384" s="708" t="inlineStr">
        <is>
          <t>USD</t>
        </is>
      </c>
      <c r="D384" s="708" t="inlineStr">
        <is>
          <t>S0002225</t>
        </is>
      </c>
      <c r="E384" s="708" t="inlineStr">
        <is>
          <t>CPT HOLDINGS INC.</t>
        </is>
      </c>
      <c r="F384" s="708" t="inlineStr">
        <is>
          <t>HIJACK 1971</t>
        </is>
      </c>
      <c r="G384" s="708" t="inlineStr">
        <is>
          <t>Movies International</t>
        </is>
      </c>
      <c r="H384" s="83" t="n">
        <v>1</v>
      </c>
      <c r="I384" s="83" t="n">
        <v>1</v>
      </c>
      <c r="J384" s="83">
        <f>H384*I384</f>
        <v/>
      </c>
      <c r="K384" s="83" t="n">
        <v>93254700</v>
      </c>
      <c r="L384" s="83" t="n">
        <v>93254700</v>
      </c>
      <c r="M384" s="83">
        <f>J384-Q384</f>
        <v/>
      </c>
      <c r="N384" s="83">
        <f>K384-R384</f>
        <v/>
      </c>
      <c r="O384" s="517" t="n">
        <v>45736</v>
      </c>
      <c r="P384" s="517" t="n">
        <v>46041</v>
      </c>
      <c r="Q384" s="83" t="n">
        <v>0</v>
      </c>
      <c r="R384" s="84" t="n">
        <v>0</v>
      </c>
      <c r="S384" s="83" t="n">
        <v>1</v>
      </c>
      <c r="T384" s="84" t="n">
        <v>93254700</v>
      </c>
      <c r="U384" s="83" t="n">
        <v>1</v>
      </c>
      <c r="V384" s="84">
        <f>U384*L384</f>
        <v/>
      </c>
      <c r="W384" s="83">
        <f>Q384+S384-U384</f>
        <v/>
      </c>
      <c r="X384" s="84">
        <f>R384+T384-V384</f>
        <v/>
      </c>
      <c r="Y384" s="85" t="inlineStr">
        <is>
          <t>P221ZZMO01</t>
        </is>
      </c>
      <c r="Z384" s="86" t="inlineStr">
        <is>
          <t>15661</t>
        </is>
      </c>
      <c r="AA384" s="86" t="inlineStr">
        <is>
          <t>33561</t>
        </is>
      </c>
      <c r="AB384" s="86" t="inlineStr">
        <is>
          <t>6277651</t>
        </is>
      </c>
      <c r="AC384" s="87" t="inlineStr">
        <is>
          <t>Movies</t>
        </is>
      </c>
      <c r="AD384" s="76">
        <f>COUNTIF('KK1. Movies'!AI:AI,'TK 15661.Bản quyền phim '!F384)</f>
        <v/>
      </c>
      <c r="AE384" s="76">
        <f>COUNTIF('KK2. Series'!AM:AM,'TK 15661.Bản quyền phim '!F384)</f>
        <v/>
      </c>
      <c r="AF384" s="76">
        <f>COUNTIF('KK3. Kids'!AF:AF,'TK 15661.Bản quyền phim '!F384)</f>
        <v/>
      </c>
      <c r="AG384" s="76" t="n"/>
      <c r="AH384" s="76">
        <f>IF(SUM(AD384:AG384)&gt;0,"OK",0)</f>
        <v/>
      </c>
    </row>
    <row r="385" hidden="1" ht="15.6" customHeight="1" s="578">
      <c r="B385" s="74" t="inlineStr">
        <is>
          <t>K+1MOV025083</t>
        </is>
      </c>
      <c r="C385" s="708" t="inlineStr">
        <is>
          <t>USD</t>
        </is>
      </c>
      <c r="D385" s="708" t="inlineStr">
        <is>
          <t>S0002225</t>
        </is>
      </c>
      <c r="E385" s="708" t="inlineStr">
        <is>
          <t>CPT HOLDINGS INC.</t>
        </is>
      </c>
      <c r="F385" s="708" t="inlineStr">
        <is>
          <t>YOLO (CHINA)</t>
        </is>
      </c>
      <c r="G385" s="708" t="inlineStr">
        <is>
          <t>Movies International</t>
        </is>
      </c>
      <c r="H385" s="83" t="n">
        <v>1</v>
      </c>
      <c r="I385" s="83" t="n">
        <v>1</v>
      </c>
      <c r="J385" s="83">
        <f>H385*I385</f>
        <v/>
      </c>
      <c r="K385" s="83" t="n">
        <v>93254700</v>
      </c>
      <c r="L385" s="83" t="n">
        <v>93254700</v>
      </c>
      <c r="M385" s="83">
        <f>J385-Q385</f>
        <v/>
      </c>
      <c r="N385" s="83">
        <f>K385-R385</f>
        <v/>
      </c>
      <c r="O385" s="517" t="n">
        <v>45721</v>
      </c>
      <c r="P385" s="517" t="n">
        <v>46026</v>
      </c>
      <c r="Q385" s="83" t="n">
        <v>0</v>
      </c>
      <c r="R385" s="84" t="n">
        <v>0</v>
      </c>
      <c r="S385" s="83" t="n">
        <v>1</v>
      </c>
      <c r="T385" s="84" t="n">
        <v>93254700</v>
      </c>
      <c r="U385" s="83" t="n">
        <v>1</v>
      </c>
      <c r="V385" s="84">
        <f>U385*L385</f>
        <v/>
      </c>
      <c r="W385" s="83">
        <f>Q385+S385-U385</f>
        <v/>
      </c>
      <c r="X385" s="84">
        <f>R385+T385-V385</f>
        <v/>
      </c>
      <c r="Y385" s="85" t="inlineStr">
        <is>
          <t>P221ZZMO01</t>
        </is>
      </c>
      <c r="Z385" s="86" t="inlineStr">
        <is>
          <t>15661</t>
        </is>
      </c>
      <c r="AA385" s="86" t="inlineStr">
        <is>
          <t>33561</t>
        </is>
      </c>
      <c r="AB385" s="86" t="inlineStr">
        <is>
          <t>6277651</t>
        </is>
      </c>
      <c r="AC385" s="87" t="inlineStr">
        <is>
          <t>Movies</t>
        </is>
      </c>
      <c r="AD385" s="76">
        <f>COUNTIF('KK1. Movies'!AI:AI,'TK 15661.Bản quyền phim '!F385)</f>
        <v/>
      </c>
      <c r="AE385" s="76">
        <f>COUNTIF('KK2. Series'!AM:AM,'TK 15661.Bản quyền phim '!F385)</f>
        <v/>
      </c>
      <c r="AF385" s="76">
        <f>COUNTIF('KK3. Kids'!AF:AF,'TK 15661.Bản quyền phim '!F385)</f>
        <v/>
      </c>
      <c r="AG385" s="76" t="n"/>
      <c r="AH385" s="76">
        <f>IF(SUM(AD385:AG385)&gt;0,"OK",0)</f>
        <v/>
      </c>
    </row>
    <row r="386" hidden="1" ht="15.6" customHeight="1" s="578">
      <c r="B386" s="74" t="inlineStr">
        <is>
          <t>K+1MOV025084</t>
        </is>
      </c>
      <c r="C386" s="708" t="inlineStr">
        <is>
          <t>USD</t>
        </is>
      </c>
      <c r="D386" s="708" t="inlineStr">
        <is>
          <t>S0002225</t>
        </is>
      </c>
      <c r="E386" s="708" t="inlineStr">
        <is>
          <t>CPT HOLDINGS INC.</t>
        </is>
      </c>
      <c r="F386" s="708" t="inlineStr">
        <is>
          <t>ARRIVAL (2016)</t>
        </is>
      </c>
      <c r="G386" s="708" t="inlineStr">
        <is>
          <t>Movies International</t>
        </is>
      </c>
      <c r="H386" s="83" t="n">
        <v>1</v>
      </c>
      <c r="I386" s="83" t="n">
        <v>2</v>
      </c>
      <c r="J386" s="83">
        <f>H386*I386</f>
        <v/>
      </c>
      <c r="K386" s="83" t="n">
        <v>93254700</v>
      </c>
      <c r="L386" s="83" t="n">
        <v>46627350</v>
      </c>
      <c r="M386" s="83">
        <f>J386-Q386</f>
        <v/>
      </c>
      <c r="N386" s="83">
        <f>K386-R386</f>
        <v/>
      </c>
      <c r="O386" s="517" t="n">
        <v>45701</v>
      </c>
      <c r="P386" s="517" t="n">
        <v>46430</v>
      </c>
      <c r="Q386" s="83" t="n">
        <v>0</v>
      </c>
      <c r="R386" s="84" t="n">
        <v>0</v>
      </c>
      <c r="S386" s="83" t="n">
        <v>2</v>
      </c>
      <c r="T386" s="84" t="n">
        <v>93254700</v>
      </c>
      <c r="U386" s="83" t="n">
        <v>1</v>
      </c>
      <c r="V386" s="84">
        <f>U386*L386</f>
        <v/>
      </c>
      <c r="W386" s="83">
        <f>Q386+S386-U386</f>
        <v/>
      </c>
      <c r="X386" s="84">
        <f>R386+T386-V386</f>
        <v/>
      </c>
      <c r="Y386" s="85" t="inlineStr">
        <is>
          <t>P221ZZMO01</t>
        </is>
      </c>
      <c r="Z386" s="86" t="inlineStr">
        <is>
          <t>15661</t>
        </is>
      </c>
      <c r="AA386" s="86" t="inlineStr">
        <is>
          <t>33561</t>
        </is>
      </c>
      <c r="AB386" s="86" t="inlineStr">
        <is>
          <t>6277651</t>
        </is>
      </c>
      <c r="AC386" s="87" t="inlineStr">
        <is>
          <t>Movies</t>
        </is>
      </c>
      <c r="AD386" s="76">
        <f>COUNTIF('KK1. Movies'!AI:AI,'TK 15661.Bản quyền phim '!F386)</f>
        <v/>
      </c>
      <c r="AE386" s="76">
        <f>COUNTIF('KK2. Series'!AM:AM,'TK 15661.Bản quyền phim '!F386)</f>
        <v/>
      </c>
      <c r="AF386" s="76">
        <f>COUNTIF('KK3. Kids'!AF:AF,'TK 15661.Bản quyền phim '!F386)</f>
        <v/>
      </c>
      <c r="AG386" s="76" t="n"/>
      <c r="AH386" s="76">
        <f>IF(SUM(AD386:AG386)&gt;0,"OK",0)</f>
        <v/>
      </c>
    </row>
    <row r="387" hidden="1" ht="15.6" customHeight="1" s="578">
      <c r="B387" s="74" t="inlineStr">
        <is>
          <t>K+2MOV025085</t>
        </is>
      </c>
      <c r="C387" s="708" t="inlineStr">
        <is>
          <t>USD</t>
        </is>
      </c>
      <c r="D387" s="708" t="inlineStr">
        <is>
          <t>S0002225</t>
        </is>
      </c>
      <c r="E387" s="708" t="inlineStr">
        <is>
          <t>CPT HOLDINGS INC.</t>
        </is>
      </c>
      <c r="F387" s="708" t="inlineStr">
        <is>
          <t>GYUL-BAEK</t>
        </is>
      </c>
      <c r="G387" s="708" t="inlineStr">
        <is>
          <t>Movies International</t>
        </is>
      </c>
      <c r="H387" s="83" t="n">
        <v>1</v>
      </c>
      <c r="I387" s="83" t="n">
        <v>2</v>
      </c>
      <c r="J387" s="83">
        <f>H387*I387</f>
        <v/>
      </c>
      <c r="K387" s="83" t="n">
        <v>93254700</v>
      </c>
      <c r="L387" s="83" t="n">
        <v>46627350</v>
      </c>
      <c r="M387" s="83">
        <f>J387-Q387</f>
        <v/>
      </c>
      <c r="N387" s="83">
        <f>K387-R387</f>
        <v/>
      </c>
      <c r="O387" s="517" t="n">
        <v>45701</v>
      </c>
      <c r="P387" s="517" t="n">
        <v>46430</v>
      </c>
      <c r="Q387" s="83" t="n">
        <v>0</v>
      </c>
      <c r="R387" s="84" t="n">
        <v>0</v>
      </c>
      <c r="S387" s="83" t="n">
        <v>2</v>
      </c>
      <c r="T387" s="84" t="n">
        <v>93254700</v>
      </c>
      <c r="U387" s="83" t="n">
        <v>1</v>
      </c>
      <c r="V387" s="84">
        <f>U387*L387</f>
        <v/>
      </c>
      <c r="W387" s="83">
        <f>Q387+S387-U387</f>
        <v/>
      </c>
      <c r="X387" s="84">
        <f>R387+T387-V387</f>
        <v/>
      </c>
      <c r="Y387" s="85" t="inlineStr">
        <is>
          <t>P221ZZMO01</t>
        </is>
      </c>
      <c r="Z387" s="86" t="inlineStr">
        <is>
          <t>15661</t>
        </is>
      </c>
      <c r="AA387" s="86" t="inlineStr">
        <is>
          <t>33561</t>
        </is>
      </c>
      <c r="AB387" s="86" t="inlineStr">
        <is>
          <t>6277651</t>
        </is>
      </c>
      <c r="AC387" s="87" t="inlineStr">
        <is>
          <t>Movies</t>
        </is>
      </c>
      <c r="AD387" s="76">
        <f>COUNTIF('KK1. Movies'!AI:AI,'TK 15661.Bản quyền phim '!F387)</f>
        <v/>
      </c>
      <c r="AE387" s="76">
        <f>COUNTIF('KK2. Series'!AM:AM,'TK 15661.Bản quyền phim '!F387)</f>
        <v/>
      </c>
      <c r="AF387" s="76">
        <f>COUNTIF('KK3. Kids'!AF:AF,'TK 15661.Bản quyền phim '!F387)</f>
        <v/>
      </c>
      <c r="AG387" s="76" t="n"/>
      <c r="AH387" s="76">
        <f>IF(SUM(AD387:AG387)&gt;0,"OK",0)</f>
        <v/>
      </c>
    </row>
    <row r="388" hidden="1" ht="15.6" customHeight="1" s="578">
      <c r="B388" s="74" t="inlineStr">
        <is>
          <t>K+2MOV025086</t>
        </is>
      </c>
      <c r="C388" s="708" t="inlineStr">
        <is>
          <t>USD</t>
        </is>
      </c>
      <c r="D388" s="708" t="inlineStr">
        <is>
          <t>S0002225</t>
        </is>
      </c>
      <c r="E388" s="708" t="inlineStr">
        <is>
          <t>CPT HOLDINGS INC.</t>
        </is>
      </c>
      <c r="F388" s="708" t="inlineStr">
        <is>
          <t>HUNT FOR THE WILDERPEOPLE</t>
        </is>
      </c>
      <c r="G388" s="708" t="inlineStr">
        <is>
          <t>Movies International</t>
        </is>
      </c>
      <c r="H388" s="83" t="n">
        <v>1</v>
      </c>
      <c r="I388" s="83" t="n">
        <v>2</v>
      </c>
      <c r="J388" s="83">
        <f>H388*I388</f>
        <v/>
      </c>
      <c r="K388" s="83" t="n">
        <v>93254700</v>
      </c>
      <c r="L388" s="83" t="n">
        <v>46627350</v>
      </c>
      <c r="M388" s="83">
        <f>J388-Q388</f>
        <v/>
      </c>
      <c r="N388" s="83">
        <f>K388-R388</f>
        <v/>
      </c>
      <c r="O388" s="517" t="n">
        <v>45736</v>
      </c>
      <c r="P388" s="517" t="n">
        <v>46465</v>
      </c>
      <c r="Q388" s="83" t="n">
        <v>0</v>
      </c>
      <c r="R388" s="84" t="n">
        <v>0</v>
      </c>
      <c r="S388" s="83" t="n">
        <v>2</v>
      </c>
      <c r="T388" s="84" t="n">
        <v>93254700</v>
      </c>
      <c r="U388" s="83" t="n">
        <v>1</v>
      </c>
      <c r="V388" s="84">
        <f>U388*L388</f>
        <v/>
      </c>
      <c r="W388" s="83">
        <f>Q388+S388-U388</f>
        <v/>
      </c>
      <c r="X388" s="84">
        <f>R388+T388-V388</f>
        <v/>
      </c>
      <c r="Y388" s="85" t="inlineStr">
        <is>
          <t>P221ZZMO01</t>
        </is>
      </c>
      <c r="Z388" s="86" t="inlineStr">
        <is>
          <t>15661</t>
        </is>
      </c>
      <c r="AA388" s="86" t="inlineStr">
        <is>
          <t>33561</t>
        </is>
      </c>
      <c r="AB388" s="86" t="inlineStr">
        <is>
          <t>6277651</t>
        </is>
      </c>
      <c r="AC388" s="87" t="inlineStr">
        <is>
          <t>Movies</t>
        </is>
      </c>
      <c r="AD388" s="76">
        <f>COUNTIF('KK1. Movies'!AI:AI,'TK 15661.Bản quyền phim '!F388)</f>
        <v/>
      </c>
      <c r="AE388" s="76">
        <f>COUNTIF('KK2. Series'!AM:AM,'TK 15661.Bản quyền phim '!F388)</f>
        <v/>
      </c>
      <c r="AF388" s="76">
        <f>COUNTIF('KK3. Kids'!AF:AF,'TK 15661.Bản quyền phim '!F388)</f>
        <v/>
      </c>
      <c r="AG388" s="76" t="n"/>
      <c r="AH388" s="76">
        <f>IF(SUM(AD388:AG388)&gt;0,"OK",0)</f>
        <v/>
      </c>
    </row>
    <row r="389" hidden="1" ht="15.6" customHeight="1" s="578">
      <c r="B389" s="74" t="inlineStr">
        <is>
          <t>K+1MOV025087</t>
        </is>
      </c>
      <c r="C389" s="708" t="inlineStr">
        <is>
          <t>USD</t>
        </is>
      </c>
      <c r="D389" s="708" t="inlineStr">
        <is>
          <t>S0002225</t>
        </is>
      </c>
      <c r="E389" s="708" t="inlineStr">
        <is>
          <t>CPT HOLDINGS INC.</t>
        </is>
      </c>
      <c r="F389" s="708" t="inlineStr">
        <is>
          <t>LITTLE WOMEN (2019)</t>
        </is>
      </c>
      <c r="G389" s="708" t="inlineStr">
        <is>
          <t>Movies International</t>
        </is>
      </c>
      <c r="H389" s="83" t="n">
        <v>1</v>
      </c>
      <c r="I389" s="83" t="n">
        <v>2</v>
      </c>
      <c r="J389" s="83">
        <f>H389*I389</f>
        <v/>
      </c>
      <c r="K389" s="83" t="n">
        <v>93254700</v>
      </c>
      <c r="L389" s="83" t="n">
        <v>46627350</v>
      </c>
      <c r="M389" s="83">
        <f>J389-Q389</f>
        <v/>
      </c>
      <c r="N389" s="83">
        <f>K389-R389</f>
        <v/>
      </c>
      <c r="O389" s="517" t="n">
        <v>45736</v>
      </c>
      <c r="P389" s="517" t="n">
        <v>46465</v>
      </c>
      <c r="Q389" s="83" t="n">
        <v>0</v>
      </c>
      <c r="R389" s="84" t="n">
        <v>0</v>
      </c>
      <c r="S389" s="83" t="n">
        <v>2</v>
      </c>
      <c r="T389" s="84" t="n">
        <v>93254700</v>
      </c>
      <c r="U389" s="83" t="n">
        <v>1</v>
      </c>
      <c r="V389" s="84">
        <f>U389*L389</f>
        <v/>
      </c>
      <c r="W389" s="83">
        <f>Q389+S389-U389</f>
        <v/>
      </c>
      <c r="X389" s="84">
        <f>R389+T389-V389</f>
        <v/>
      </c>
      <c r="Y389" s="85" t="inlineStr">
        <is>
          <t>P221ZZMO01</t>
        </is>
      </c>
      <c r="Z389" s="86" t="inlineStr">
        <is>
          <t>15661</t>
        </is>
      </c>
      <c r="AA389" s="86" t="inlineStr">
        <is>
          <t>33561</t>
        </is>
      </c>
      <c r="AB389" s="86" t="inlineStr">
        <is>
          <t>6277651</t>
        </is>
      </c>
      <c r="AC389" s="87" t="inlineStr">
        <is>
          <t>Movies</t>
        </is>
      </c>
      <c r="AD389" s="76">
        <f>COUNTIF('KK1. Movies'!AI:AI,'TK 15661.Bản quyền phim '!F389)</f>
        <v/>
      </c>
      <c r="AE389" s="76">
        <f>COUNTIF('KK2. Series'!AM:AM,'TK 15661.Bản quyền phim '!F389)</f>
        <v/>
      </c>
      <c r="AF389" s="76">
        <f>COUNTIF('KK3. Kids'!AF:AF,'TK 15661.Bản quyền phim '!F389)</f>
        <v/>
      </c>
      <c r="AG389" s="76" t="n"/>
      <c r="AH389" s="76">
        <f>IF(SUM(AD389:AG389)&gt;0,"OK",0)</f>
        <v/>
      </c>
    </row>
    <row r="390" hidden="1" ht="15.6" customHeight="1" s="578">
      <c r="B390" s="74" t="inlineStr">
        <is>
          <t>K+1MOV025088</t>
        </is>
      </c>
      <c r="C390" s="708" t="inlineStr">
        <is>
          <t>USD</t>
        </is>
      </c>
      <c r="D390" s="708" t="inlineStr">
        <is>
          <t>S0002225</t>
        </is>
      </c>
      <c r="E390" s="708" t="inlineStr">
        <is>
          <t>CPT HOLDINGS INC.</t>
        </is>
      </c>
      <c r="F390" s="708" t="inlineStr">
        <is>
          <t>MEMOIRS OF A GEISHA</t>
        </is>
      </c>
      <c r="G390" s="708" t="inlineStr">
        <is>
          <t>Movies International</t>
        </is>
      </c>
      <c r="H390" s="83" t="n">
        <v>1</v>
      </c>
      <c r="I390" s="83" t="n">
        <v>2</v>
      </c>
      <c r="J390" s="83">
        <f>H390*I390</f>
        <v/>
      </c>
      <c r="K390" s="83" t="n">
        <v>93254700</v>
      </c>
      <c r="L390" s="83" t="n">
        <v>46627350</v>
      </c>
      <c r="M390" s="83">
        <f>J390-Q390</f>
        <v/>
      </c>
      <c r="N390" s="83">
        <f>K390-R390</f>
        <v/>
      </c>
      <c r="O390" s="517" t="n">
        <v>45701</v>
      </c>
      <c r="P390" s="517" t="n">
        <v>46430</v>
      </c>
      <c r="Q390" s="83" t="n">
        <v>0</v>
      </c>
      <c r="R390" s="84" t="n">
        <v>0</v>
      </c>
      <c r="S390" s="83" t="n">
        <v>2</v>
      </c>
      <c r="T390" s="84" t="n">
        <v>93254700</v>
      </c>
      <c r="U390" s="83" t="n">
        <v>1</v>
      </c>
      <c r="V390" s="84">
        <f>U390*L390</f>
        <v/>
      </c>
      <c r="W390" s="83">
        <f>Q390+S390-U390</f>
        <v/>
      </c>
      <c r="X390" s="84">
        <f>R390+T390-V390</f>
        <v/>
      </c>
      <c r="Y390" s="85" t="inlineStr">
        <is>
          <t>P221ZZMO01</t>
        </is>
      </c>
      <c r="Z390" s="86" t="inlineStr">
        <is>
          <t>15661</t>
        </is>
      </c>
      <c r="AA390" s="86" t="inlineStr">
        <is>
          <t>33561</t>
        </is>
      </c>
      <c r="AB390" s="86" t="inlineStr">
        <is>
          <t>6277651</t>
        </is>
      </c>
      <c r="AC390" s="87" t="inlineStr">
        <is>
          <t>Movies</t>
        </is>
      </c>
      <c r="AD390" s="76">
        <f>COUNTIF('KK1. Movies'!AI:AI,'TK 15661.Bản quyền phim '!F390)</f>
        <v/>
      </c>
      <c r="AE390" s="76">
        <f>COUNTIF('KK2. Series'!AM:AM,'TK 15661.Bản quyền phim '!F390)</f>
        <v/>
      </c>
      <c r="AF390" s="76">
        <f>COUNTIF('KK3. Kids'!AF:AF,'TK 15661.Bản quyền phim '!F390)</f>
        <v/>
      </c>
      <c r="AG390" s="76" t="n"/>
      <c r="AH390" s="76">
        <f>IF(SUM(AD390:AG390)&gt;0,"OK",0)</f>
        <v/>
      </c>
    </row>
    <row r="391" hidden="1" ht="15.6" customHeight="1" s="578">
      <c r="B391" s="74" t="inlineStr">
        <is>
          <t>K+1MOV025089</t>
        </is>
      </c>
      <c r="C391" s="708" t="inlineStr">
        <is>
          <t>USD</t>
        </is>
      </c>
      <c r="D391" s="708" t="inlineStr">
        <is>
          <t>S0002225</t>
        </is>
      </c>
      <c r="E391" s="708" t="inlineStr">
        <is>
          <t>CPT HOLDINGS INC.</t>
        </is>
      </c>
      <c r="F391" s="708" t="inlineStr">
        <is>
          <t>PASSENGERS (2016)</t>
        </is>
      </c>
      <c r="G391" s="708" t="inlineStr">
        <is>
          <t>Movies International</t>
        </is>
      </c>
      <c r="H391" s="83" t="n">
        <v>1</v>
      </c>
      <c r="I391" s="83" t="n">
        <v>2</v>
      </c>
      <c r="J391" s="83">
        <f>H391*I391</f>
        <v/>
      </c>
      <c r="K391" s="83" t="n">
        <v>93254700</v>
      </c>
      <c r="L391" s="83" t="n">
        <v>46627350</v>
      </c>
      <c r="M391" s="83">
        <f>J391-Q391</f>
        <v/>
      </c>
      <c r="N391" s="83">
        <f>K391-R391</f>
        <v/>
      </c>
      <c r="O391" s="517" t="n">
        <v>45701</v>
      </c>
      <c r="P391" s="517" t="n">
        <v>46430</v>
      </c>
      <c r="Q391" s="83" t="n">
        <v>0</v>
      </c>
      <c r="R391" s="84" t="n">
        <v>0</v>
      </c>
      <c r="S391" s="83" t="n">
        <v>2</v>
      </c>
      <c r="T391" s="84" t="n">
        <v>93254700</v>
      </c>
      <c r="U391" s="83" t="n">
        <v>1</v>
      </c>
      <c r="V391" s="84">
        <f>U391*L391</f>
        <v/>
      </c>
      <c r="W391" s="83">
        <f>Q391+S391-U391</f>
        <v/>
      </c>
      <c r="X391" s="84">
        <f>R391+T391-V391</f>
        <v/>
      </c>
      <c r="Y391" s="85" t="inlineStr">
        <is>
          <t>P221ZZMO01</t>
        </is>
      </c>
      <c r="Z391" s="86" t="inlineStr">
        <is>
          <t>15661</t>
        </is>
      </c>
      <c r="AA391" s="86" t="inlineStr">
        <is>
          <t>33561</t>
        </is>
      </c>
      <c r="AB391" s="86" t="inlineStr">
        <is>
          <t>6277651</t>
        </is>
      </c>
      <c r="AC391" s="87" t="inlineStr">
        <is>
          <t>Movies</t>
        </is>
      </c>
      <c r="AD391" s="76">
        <f>COUNTIF('KK1. Movies'!AI:AI,'TK 15661.Bản quyền phim '!F391)</f>
        <v/>
      </c>
      <c r="AE391" s="76">
        <f>COUNTIF('KK2. Series'!AM:AM,'TK 15661.Bản quyền phim '!F391)</f>
        <v/>
      </c>
      <c r="AF391" s="76">
        <f>COUNTIF('KK3. Kids'!AF:AF,'TK 15661.Bản quyền phim '!F391)</f>
        <v/>
      </c>
      <c r="AG391" s="76" t="n"/>
      <c r="AH391" s="76">
        <f>IF(SUM(AD391:AG391)&gt;0,"OK",0)</f>
        <v/>
      </c>
    </row>
    <row r="392" hidden="1" ht="15.6" customHeight="1" s="578">
      <c r="B392" s="74" t="inlineStr">
        <is>
          <t>K+1MOV025090</t>
        </is>
      </c>
      <c r="C392" s="708" t="inlineStr">
        <is>
          <t>USD</t>
        </is>
      </c>
      <c r="D392" s="708" t="inlineStr">
        <is>
          <t>S0002225</t>
        </is>
      </c>
      <c r="E392" s="708" t="inlineStr">
        <is>
          <t>CPT HOLDINGS INC.</t>
        </is>
      </c>
      <c r="F392" s="708" t="inlineStr">
        <is>
          <t>SOUND OF METAL</t>
        </is>
      </c>
      <c r="G392" s="708" t="inlineStr">
        <is>
          <t>Movies International</t>
        </is>
      </c>
      <c r="H392" s="83" t="n">
        <v>1</v>
      </c>
      <c r="I392" s="83" t="n">
        <v>2</v>
      </c>
      <c r="J392" s="83">
        <f>H392*I392</f>
        <v/>
      </c>
      <c r="K392" s="83" t="n">
        <v>93254700</v>
      </c>
      <c r="L392" s="83" t="n">
        <v>46627350</v>
      </c>
      <c r="M392" s="83">
        <f>J392-Q392</f>
        <v/>
      </c>
      <c r="N392" s="83">
        <f>K392-R392</f>
        <v/>
      </c>
      <c r="O392" s="517" t="n">
        <v>45701</v>
      </c>
      <c r="P392" s="517" t="n">
        <v>46430</v>
      </c>
      <c r="Q392" s="83" t="n">
        <v>0</v>
      </c>
      <c r="R392" s="84" t="n">
        <v>0</v>
      </c>
      <c r="S392" s="83" t="n">
        <v>2</v>
      </c>
      <c r="T392" s="84" t="n">
        <v>93254700</v>
      </c>
      <c r="U392" s="83" t="n">
        <v>1</v>
      </c>
      <c r="V392" s="84">
        <f>U392*L392</f>
        <v/>
      </c>
      <c r="W392" s="83">
        <f>Q392+S392-U392</f>
        <v/>
      </c>
      <c r="X392" s="84">
        <f>R392+T392-V392</f>
        <v/>
      </c>
      <c r="Y392" s="85" t="inlineStr">
        <is>
          <t>P221ZZMO01</t>
        </is>
      </c>
      <c r="Z392" s="86" t="inlineStr">
        <is>
          <t>15661</t>
        </is>
      </c>
      <c r="AA392" s="86" t="inlineStr">
        <is>
          <t>33561</t>
        </is>
      </c>
      <c r="AB392" s="86" t="inlineStr">
        <is>
          <t>6277651</t>
        </is>
      </c>
      <c r="AC392" s="87" t="inlineStr">
        <is>
          <t>Movies</t>
        </is>
      </c>
      <c r="AD392" s="76">
        <f>COUNTIF('KK1. Movies'!AI:AI,'TK 15661.Bản quyền phim '!F392)</f>
        <v/>
      </c>
      <c r="AE392" s="76">
        <f>COUNTIF('KK2. Series'!AM:AM,'TK 15661.Bản quyền phim '!F392)</f>
        <v/>
      </c>
      <c r="AF392" s="76">
        <f>COUNTIF('KK3. Kids'!AF:AF,'TK 15661.Bản quyền phim '!F392)</f>
        <v/>
      </c>
      <c r="AG392" s="76" t="n"/>
      <c r="AH392" s="76">
        <f>IF(SUM(AD392:AG392)&gt;0,"OK",0)</f>
        <v/>
      </c>
    </row>
    <row r="393" hidden="1" ht="15.6" customHeight="1" s="578">
      <c r="B393" s="74" t="inlineStr">
        <is>
          <t>K+1MOV025091</t>
        </is>
      </c>
      <c r="C393" s="708" t="inlineStr">
        <is>
          <t>USD</t>
        </is>
      </c>
      <c r="D393" s="708" t="inlineStr">
        <is>
          <t>S0002225</t>
        </is>
      </c>
      <c r="E393" s="708" t="inlineStr">
        <is>
          <t>CPT HOLDINGS INC.</t>
        </is>
      </c>
      <c r="F393" s="708" t="inlineStr">
        <is>
          <t>WAITING FOR RAIN</t>
        </is>
      </c>
      <c r="G393" s="708" t="inlineStr">
        <is>
          <t>Movies International</t>
        </is>
      </c>
      <c r="H393" s="83" t="n">
        <v>1</v>
      </c>
      <c r="I393" s="83" t="n">
        <v>2</v>
      </c>
      <c r="J393" s="83">
        <f>H393*I393</f>
        <v/>
      </c>
      <c r="K393" s="83" t="n">
        <v>93254700</v>
      </c>
      <c r="L393" s="83" t="n">
        <v>46627350</v>
      </c>
      <c r="M393" s="83">
        <f>J393-Q393</f>
        <v/>
      </c>
      <c r="N393" s="83">
        <f>K393-R393</f>
        <v/>
      </c>
      <c r="O393" s="517" t="n">
        <v>45701</v>
      </c>
      <c r="P393" s="517" t="n">
        <v>46430</v>
      </c>
      <c r="Q393" s="83" t="n">
        <v>0</v>
      </c>
      <c r="R393" s="84" t="n">
        <v>0</v>
      </c>
      <c r="S393" s="83" t="n">
        <v>2</v>
      </c>
      <c r="T393" s="84" t="n">
        <v>93254700</v>
      </c>
      <c r="U393" s="83" t="n">
        <v>1</v>
      </c>
      <c r="V393" s="84">
        <f>U393*L393</f>
        <v/>
      </c>
      <c r="W393" s="83">
        <f>Q393+S393-U393</f>
        <v/>
      </c>
      <c r="X393" s="84">
        <f>R393+T393-V393</f>
        <v/>
      </c>
      <c r="Y393" s="85" t="inlineStr">
        <is>
          <t>P221ZZMO01</t>
        </is>
      </c>
      <c r="Z393" s="86" t="inlineStr">
        <is>
          <t>15661</t>
        </is>
      </c>
      <c r="AA393" s="86" t="inlineStr">
        <is>
          <t>33561</t>
        </is>
      </c>
      <c r="AB393" s="86" t="inlineStr">
        <is>
          <t>6277651</t>
        </is>
      </c>
      <c r="AC393" s="87" t="inlineStr">
        <is>
          <t>Movies</t>
        </is>
      </c>
      <c r="AD393" s="76">
        <f>COUNTIF('KK1. Movies'!AI:AI,'TK 15661.Bản quyền phim '!F393)</f>
        <v/>
      </c>
      <c r="AE393" s="76">
        <f>COUNTIF('KK2. Series'!AM:AM,'TK 15661.Bản quyền phim '!F393)</f>
        <v/>
      </c>
      <c r="AF393" s="76">
        <f>COUNTIF('KK3. Kids'!AF:AF,'TK 15661.Bản quyền phim '!F393)</f>
        <v/>
      </c>
      <c r="AG393" s="76" t="n"/>
      <c r="AH393" s="76">
        <f>IF(SUM(AD393:AG393)&gt;0,"OK",0)</f>
        <v/>
      </c>
    </row>
    <row r="394" hidden="1" ht="15.6" customHeight="1" s="578">
      <c r="B394" s="74" t="inlineStr">
        <is>
          <t>K+1MOV025092</t>
        </is>
      </c>
      <c r="C394" s="708" t="inlineStr">
        <is>
          <t>USD</t>
        </is>
      </c>
      <c r="D394" s="708" t="inlineStr">
        <is>
          <t>S0002225</t>
        </is>
      </c>
      <c r="E394" s="708" t="inlineStr">
        <is>
          <t>CPT HOLDINGS INC.</t>
        </is>
      </c>
      <c r="F394" s="708" t="inlineStr">
        <is>
          <t>BATTLE LOS ANGELES</t>
        </is>
      </c>
      <c r="G394" s="708" t="inlineStr">
        <is>
          <t>Movies International</t>
        </is>
      </c>
      <c r="H394" s="83" t="n">
        <v>1</v>
      </c>
      <c r="I394" s="83" t="n">
        <v>2</v>
      </c>
      <c r="J394" s="83">
        <f>H394*I394</f>
        <v/>
      </c>
      <c r="K394" s="83" t="n">
        <v>93254700</v>
      </c>
      <c r="L394" s="83" t="n">
        <v>46627350</v>
      </c>
      <c r="M394" s="83">
        <f>J394-Q394</f>
        <v/>
      </c>
      <c r="N394" s="83">
        <f>K394-R394</f>
        <v/>
      </c>
      <c r="O394" s="517" t="n">
        <v>45747</v>
      </c>
      <c r="P394" s="517" t="n">
        <v>46492</v>
      </c>
      <c r="Q394" s="83" t="n">
        <v>0</v>
      </c>
      <c r="R394" s="84" t="n">
        <v>0</v>
      </c>
      <c r="S394" s="83" t="n">
        <v>2</v>
      </c>
      <c r="T394" s="84" t="n">
        <v>93254700</v>
      </c>
      <c r="U394" s="83" t="n">
        <v>1</v>
      </c>
      <c r="V394" s="84">
        <f>U394*L394</f>
        <v/>
      </c>
      <c r="W394" s="83">
        <f>Q394+S394-U394</f>
        <v/>
      </c>
      <c r="X394" s="84">
        <f>R394+T394-V394</f>
        <v/>
      </c>
      <c r="Y394" s="85" t="inlineStr">
        <is>
          <t>P221ZZMO01</t>
        </is>
      </c>
      <c r="Z394" s="86" t="inlineStr">
        <is>
          <t>15661</t>
        </is>
      </c>
      <c r="AA394" s="86" t="inlineStr">
        <is>
          <t>33561</t>
        </is>
      </c>
      <c r="AB394" s="86" t="inlineStr">
        <is>
          <t>6277651</t>
        </is>
      </c>
      <c r="AC394" s="87" t="inlineStr">
        <is>
          <t>Movies</t>
        </is>
      </c>
      <c r="AD394" s="76">
        <f>COUNTIF('KK1. Movies'!AI:AI,'TK 15661.Bản quyền phim '!F394)</f>
        <v/>
      </c>
      <c r="AE394" s="76">
        <f>COUNTIF('KK2. Series'!AM:AM,'TK 15661.Bản quyền phim '!F394)</f>
        <v/>
      </c>
      <c r="AF394" s="76">
        <f>COUNTIF('KK3. Kids'!AF:AF,'TK 15661.Bản quyền phim '!F394)</f>
        <v/>
      </c>
      <c r="AG394" s="76" t="n"/>
      <c r="AH394" s="76">
        <f>IF(SUM(AD394:AG394)&gt;0,"OK",0)</f>
        <v/>
      </c>
    </row>
    <row r="395" hidden="1" ht="15.6" customHeight="1" s="578">
      <c r="B395" s="74" t="inlineStr">
        <is>
          <t>K+2MOV025093</t>
        </is>
      </c>
      <c r="C395" s="708" t="inlineStr">
        <is>
          <t>USD</t>
        </is>
      </c>
      <c r="D395" s="708" t="inlineStr">
        <is>
          <t>S0002225</t>
        </is>
      </c>
      <c r="E395" s="708" t="inlineStr">
        <is>
          <t>CPT HOLDINGS INC.</t>
        </is>
      </c>
      <c r="F395" s="708" t="inlineStr">
        <is>
          <t>DON'T BREATHE 2</t>
        </is>
      </c>
      <c r="G395" s="708" t="inlineStr">
        <is>
          <t>Movies International</t>
        </is>
      </c>
      <c r="H395" s="83" t="n">
        <v>1</v>
      </c>
      <c r="I395" s="83" t="n">
        <v>2</v>
      </c>
      <c r="J395" s="83">
        <f>H395*I395</f>
        <v/>
      </c>
      <c r="K395" s="83" t="n">
        <v>93254700</v>
      </c>
      <c r="L395" s="83" t="n">
        <v>46627350</v>
      </c>
      <c r="M395" s="83">
        <f>J395-Q395</f>
        <v/>
      </c>
      <c r="N395" s="83">
        <f>K395-R395</f>
        <v/>
      </c>
      <c r="O395" s="517" t="n">
        <v>45747</v>
      </c>
      <c r="P395" s="517" t="n">
        <v>46600</v>
      </c>
      <c r="Q395" s="83" t="n">
        <v>0</v>
      </c>
      <c r="R395" s="84" t="n">
        <v>0</v>
      </c>
      <c r="S395" s="83" t="n">
        <v>2</v>
      </c>
      <c r="T395" s="84" t="n">
        <v>93254700</v>
      </c>
      <c r="U395" s="83" t="n">
        <v>1</v>
      </c>
      <c r="V395" s="84">
        <f>U395*L395</f>
        <v/>
      </c>
      <c r="W395" s="83">
        <f>Q395+S395-U395</f>
        <v/>
      </c>
      <c r="X395" s="84">
        <f>R395+T395-V395</f>
        <v/>
      </c>
      <c r="Y395" s="85" t="inlineStr">
        <is>
          <t>P221ZZMO01</t>
        </is>
      </c>
      <c r="Z395" s="86" t="inlineStr">
        <is>
          <t>15661</t>
        </is>
      </c>
      <c r="AA395" s="86" t="inlineStr">
        <is>
          <t>33561</t>
        </is>
      </c>
      <c r="AB395" s="86" t="inlineStr">
        <is>
          <t>6277651</t>
        </is>
      </c>
      <c r="AC395" s="87" t="inlineStr">
        <is>
          <t>Movies</t>
        </is>
      </c>
      <c r="AD395" s="76">
        <f>COUNTIF('KK1. Movies'!AI:AI,'TK 15661.Bản quyền phim '!F395)</f>
        <v/>
      </c>
      <c r="AE395" s="76">
        <f>COUNTIF('KK2. Series'!AM:AM,'TK 15661.Bản quyền phim '!F395)</f>
        <v/>
      </c>
      <c r="AF395" s="76">
        <f>COUNTIF('KK3. Kids'!AF:AF,'TK 15661.Bản quyền phim '!F395)</f>
        <v/>
      </c>
      <c r="AG395" s="76" t="n"/>
      <c r="AH395" s="76">
        <f>IF(SUM(AD395:AG395)&gt;0,"OK",0)</f>
        <v/>
      </c>
    </row>
    <row r="396" hidden="1" ht="15.6" customHeight="1" s="578">
      <c r="B396" s="74" t="inlineStr">
        <is>
          <t>K+1MOV025094</t>
        </is>
      </c>
      <c r="C396" s="708" t="inlineStr">
        <is>
          <t>USD</t>
        </is>
      </c>
      <c r="D396" s="708" t="inlineStr">
        <is>
          <t>S0002225</t>
        </is>
      </c>
      <c r="E396" s="708" t="inlineStr">
        <is>
          <t>CPT HOLDINGS INC.</t>
        </is>
      </c>
      <c r="F396" s="708" t="inlineStr">
        <is>
          <t>ELYSIUM</t>
        </is>
      </c>
      <c r="G396" s="708" t="inlineStr">
        <is>
          <t>Movies International</t>
        </is>
      </c>
      <c r="H396" s="83" t="n">
        <v>1</v>
      </c>
      <c r="I396" s="83" t="n">
        <v>2</v>
      </c>
      <c r="J396" s="83">
        <f>H396*I396</f>
        <v/>
      </c>
      <c r="K396" s="83" t="n">
        <v>93254700</v>
      </c>
      <c r="L396" s="83" t="n">
        <v>46627350</v>
      </c>
      <c r="M396" s="83">
        <f>J396-Q396</f>
        <v/>
      </c>
      <c r="N396" s="83">
        <f>K396-R396</f>
        <v/>
      </c>
      <c r="O396" s="517" t="n">
        <v>45747</v>
      </c>
      <c r="P396" s="517" t="n">
        <v>46492</v>
      </c>
      <c r="Q396" s="83" t="n">
        <v>0</v>
      </c>
      <c r="R396" s="84" t="n">
        <v>0</v>
      </c>
      <c r="S396" s="83" t="n">
        <v>2</v>
      </c>
      <c r="T396" s="84" t="n">
        <v>93254700</v>
      </c>
      <c r="U396" s="83" t="n">
        <v>1</v>
      </c>
      <c r="V396" s="84">
        <f>U396*L396</f>
        <v/>
      </c>
      <c r="W396" s="83">
        <f>Q396+S396-U396</f>
        <v/>
      </c>
      <c r="X396" s="84">
        <f>R396+T396-V396</f>
        <v/>
      </c>
      <c r="Y396" s="85" t="inlineStr">
        <is>
          <t>P221ZZMO01</t>
        </is>
      </c>
      <c r="Z396" s="86" t="inlineStr">
        <is>
          <t>15661</t>
        </is>
      </c>
      <c r="AA396" s="86" t="inlineStr">
        <is>
          <t>33561</t>
        </is>
      </c>
      <c r="AB396" s="86" t="inlineStr">
        <is>
          <t>6277651</t>
        </is>
      </c>
      <c r="AC396" s="87" t="inlineStr">
        <is>
          <t>Movies</t>
        </is>
      </c>
      <c r="AD396" s="76">
        <f>COUNTIF('KK1. Movies'!AI:AI,'TK 15661.Bản quyền phim '!F396)</f>
        <v/>
      </c>
      <c r="AE396" s="76">
        <f>COUNTIF('KK2. Series'!AM:AM,'TK 15661.Bản quyền phim '!F396)</f>
        <v/>
      </c>
      <c r="AF396" s="76">
        <f>COUNTIF('KK3. Kids'!AF:AF,'TK 15661.Bản quyền phim '!F396)</f>
        <v/>
      </c>
      <c r="AG396" s="76" t="n"/>
      <c r="AH396" s="76">
        <f>IF(SUM(AD396:AG396)&gt;0,"OK",0)</f>
        <v/>
      </c>
    </row>
    <row r="397" hidden="1" ht="15.6" customHeight="1" s="578">
      <c r="B397" s="74" t="inlineStr">
        <is>
          <t>K+1MOV025095</t>
        </is>
      </c>
      <c r="C397" s="708" t="inlineStr">
        <is>
          <t>USD</t>
        </is>
      </c>
      <c r="D397" s="708" t="inlineStr">
        <is>
          <t>S0002225</t>
        </is>
      </c>
      <c r="E397" s="708" t="inlineStr">
        <is>
          <t>CPT HOLDINGS INC.</t>
        </is>
      </c>
      <c r="F397" s="708" t="inlineStr">
        <is>
          <t>MARSHALL</t>
        </is>
      </c>
      <c r="G397" s="708" t="inlineStr">
        <is>
          <t>Movies International</t>
        </is>
      </c>
      <c r="H397" s="83" t="n">
        <v>1</v>
      </c>
      <c r="I397" s="83" t="n">
        <v>2</v>
      </c>
      <c r="J397" s="83">
        <f>H397*I397</f>
        <v/>
      </c>
      <c r="K397" s="83" t="n">
        <v>93254700</v>
      </c>
      <c r="L397" s="83" t="n">
        <v>46627350</v>
      </c>
      <c r="M397" s="83">
        <f>J397-Q397</f>
        <v/>
      </c>
      <c r="N397" s="83">
        <f>K397-R397</f>
        <v/>
      </c>
      <c r="O397" s="517" t="n">
        <v>45747</v>
      </c>
      <c r="P397" s="517" t="n">
        <v>46485</v>
      </c>
      <c r="Q397" s="83" t="n">
        <v>0</v>
      </c>
      <c r="R397" s="84" t="n">
        <v>0</v>
      </c>
      <c r="S397" s="83" t="n">
        <v>2</v>
      </c>
      <c r="T397" s="84" t="n">
        <v>93254700</v>
      </c>
      <c r="U397" s="83" t="n">
        <v>1</v>
      </c>
      <c r="V397" s="84">
        <f>U397*L397</f>
        <v/>
      </c>
      <c r="W397" s="83">
        <f>Q397+S397-U397</f>
        <v/>
      </c>
      <c r="X397" s="84">
        <f>R397+T397-V397</f>
        <v/>
      </c>
      <c r="Y397" s="85" t="inlineStr">
        <is>
          <t>P221ZZMO01</t>
        </is>
      </c>
      <c r="Z397" s="86" t="inlineStr">
        <is>
          <t>15661</t>
        </is>
      </c>
      <c r="AA397" s="86" t="inlineStr">
        <is>
          <t>33561</t>
        </is>
      </c>
      <c r="AB397" s="86" t="inlineStr">
        <is>
          <t>6277651</t>
        </is>
      </c>
      <c r="AC397" s="87" t="inlineStr">
        <is>
          <t>Movies</t>
        </is>
      </c>
      <c r="AD397" s="76">
        <f>COUNTIF('KK1. Movies'!AI:AI,'TK 15661.Bản quyền phim '!F397)</f>
        <v/>
      </c>
      <c r="AE397" s="76">
        <f>COUNTIF('KK2. Series'!AM:AM,'TK 15661.Bản quyền phim '!F397)</f>
        <v/>
      </c>
      <c r="AF397" s="76">
        <f>COUNTIF('KK3. Kids'!AF:AF,'TK 15661.Bản quyền phim '!F397)</f>
        <v/>
      </c>
      <c r="AG397" s="76" t="n"/>
      <c r="AH397" s="76">
        <f>IF(SUM(AD397:AG397)&gt;0,"OK",0)</f>
        <v/>
      </c>
    </row>
    <row r="398" hidden="1" ht="15.6" customHeight="1" s="578">
      <c r="B398" s="74" t="inlineStr">
        <is>
          <t>K+1MOV025096</t>
        </is>
      </c>
      <c r="C398" s="708" t="inlineStr">
        <is>
          <t>USD</t>
        </is>
      </c>
      <c r="D398" s="708" t="inlineStr">
        <is>
          <t>S0002225</t>
        </is>
      </c>
      <c r="E398" s="708" t="inlineStr">
        <is>
          <t>CPT HOLDINGS INC.</t>
        </is>
      </c>
      <c r="F398" s="708" t="inlineStr">
        <is>
          <t>WHITNEY HOUSTON: I WANNA DANCE WITH SOMEBODY</t>
        </is>
      </c>
      <c r="G398" s="708" t="inlineStr">
        <is>
          <t>Movies International</t>
        </is>
      </c>
      <c r="H398" s="83" t="n">
        <v>1</v>
      </c>
      <c r="I398" s="83" t="n">
        <v>1</v>
      </c>
      <c r="J398" s="83">
        <f>H398*I398</f>
        <v/>
      </c>
      <c r="K398" s="83" t="n">
        <v>93254700</v>
      </c>
      <c r="L398" s="83" t="n">
        <v>93254700</v>
      </c>
      <c r="M398" s="83">
        <f>J398-Q398</f>
        <v/>
      </c>
      <c r="N398" s="83">
        <f>K398-R398</f>
        <v/>
      </c>
      <c r="O398" s="517" t="n">
        <v>45747</v>
      </c>
      <c r="P398" s="517" t="n">
        <v>46127</v>
      </c>
      <c r="Q398" s="83" t="n">
        <v>0</v>
      </c>
      <c r="R398" s="84" t="n">
        <v>0</v>
      </c>
      <c r="S398" s="83" t="n">
        <v>1</v>
      </c>
      <c r="T398" s="84" t="n">
        <v>93254700</v>
      </c>
      <c r="U398" s="83" t="n">
        <v>1</v>
      </c>
      <c r="V398" s="84">
        <f>U398*L398</f>
        <v/>
      </c>
      <c r="W398" s="83">
        <f>Q398+S398-U398</f>
        <v/>
      </c>
      <c r="X398" s="84">
        <f>R398+T398-V398</f>
        <v/>
      </c>
      <c r="Y398" s="85" t="inlineStr">
        <is>
          <t>P221ZZMO01</t>
        </is>
      </c>
      <c r="Z398" s="86" t="inlineStr">
        <is>
          <t>15661</t>
        </is>
      </c>
      <c r="AA398" s="86" t="inlineStr">
        <is>
          <t>33561</t>
        </is>
      </c>
      <c r="AB398" s="86" t="inlineStr">
        <is>
          <t>6277651</t>
        </is>
      </c>
      <c r="AC398" s="87" t="inlineStr">
        <is>
          <t>Movies</t>
        </is>
      </c>
      <c r="AD398" s="76">
        <f>COUNTIF('KK1. Movies'!AI:AI,'TK 15661.Bản quyền phim '!F398)</f>
        <v/>
      </c>
      <c r="AE398" s="76">
        <f>COUNTIF('KK2. Series'!AM:AM,'TK 15661.Bản quyền phim '!F398)</f>
        <v/>
      </c>
      <c r="AF398" s="76">
        <f>COUNTIF('KK3. Kids'!AF:AF,'TK 15661.Bản quyền phim '!F398)</f>
        <v/>
      </c>
      <c r="AG398" s="76" t="n"/>
      <c r="AH398" s="76">
        <f>IF(SUM(AD398:AG398)&gt;0,"OK",0)</f>
        <v/>
      </c>
    </row>
    <row r="399" hidden="1" ht="15.6" customHeight="1" s="578">
      <c r="B399" s="74" t="inlineStr">
        <is>
          <t>K+1MOV025097</t>
        </is>
      </c>
      <c r="C399" s="708" t="inlineStr">
        <is>
          <t>USD</t>
        </is>
      </c>
      <c r="D399" s="708" t="inlineStr">
        <is>
          <t>S0002225</t>
        </is>
      </c>
      <c r="E399" s="708" t="inlineStr">
        <is>
          <t>CPT HOLDINGS INC.</t>
        </is>
      </c>
      <c r="F399" s="708" t="inlineStr">
        <is>
          <t>GROWN UPS 2</t>
        </is>
      </c>
      <c r="G399" s="708" t="inlineStr">
        <is>
          <t>Movies International</t>
        </is>
      </c>
      <c r="H399" s="83" t="n">
        <v>1</v>
      </c>
      <c r="I399" s="83" t="n">
        <v>2</v>
      </c>
      <c r="J399" s="83">
        <f>H399*I399</f>
        <v/>
      </c>
      <c r="K399" s="83" t="n">
        <v>93254700</v>
      </c>
      <c r="L399" s="83" t="n">
        <v>46627350</v>
      </c>
      <c r="M399" s="83">
        <f>J399-Q399</f>
        <v/>
      </c>
      <c r="N399" s="83">
        <f>K399-R399</f>
        <v/>
      </c>
      <c r="O399" s="517" t="n">
        <v>45747</v>
      </c>
      <c r="P399" s="517" t="n">
        <v>46604</v>
      </c>
      <c r="Q399" s="83" t="n">
        <v>0</v>
      </c>
      <c r="R399" s="84" t="n">
        <v>0</v>
      </c>
      <c r="S399" s="83" t="n">
        <v>2</v>
      </c>
      <c r="T399" s="84" t="n">
        <v>93254700</v>
      </c>
      <c r="U399" s="83" t="n">
        <v>1</v>
      </c>
      <c r="V399" s="84">
        <f>U399*L399</f>
        <v/>
      </c>
      <c r="W399" s="83">
        <f>Q399+S399-U399</f>
        <v/>
      </c>
      <c r="X399" s="84">
        <f>R399+T399-V399</f>
        <v/>
      </c>
      <c r="Y399" s="85" t="inlineStr">
        <is>
          <t>P221ZZMO01</t>
        </is>
      </c>
      <c r="Z399" s="86" t="inlineStr">
        <is>
          <t>15661</t>
        </is>
      </c>
      <c r="AA399" s="86" t="inlineStr">
        <is>
          <t>33561</t>
        </is>
      </c>
      <c r="AB399" s="86" t="inlineStr">
        <is>
          <t>6277651</t>
        </is>
      </c>
      <c r="AC399" s="87" t="inlineStr">
        <is>
          <t>Movies</t>
        </is>
      </c>
      <c r="AD399" s="76">
        <f>COUNTIF('KK1. Movies'!AI:AI,'TK 15661.Bản quyền phim '!F399)</f>
        <v/>
      </c>
      <c r="AE399" s="76">
        <f>COUNTIF('KK2. Series'!AM:AM,'TK 15661.Bản quyền phim '!F399)</f>
        <v/>
      </c>
      <c r="AF399" s="76">
        <f>COUNTIF('KK3. Kids'!AF:AF,'TK 15661.Bản quyền phim '!F399)</f>
        <v/>
      </c>
      <c r="AG399" s="76" t="n"/>
      <c r="AH399" s="76">
        <f>IF(SUM(AD399:AG399)&gt;0,"OK",0)</f>
        <v/>
      </c>
    </row>
    <row r="400" hidden="1" ht="15.6" customHeight="1" s="578">
      <c r="B400" s="74" t="inlineStr">
        <is>
          <t>K+1MOV025098</t>
        </is>
      </c>
      <c r="C400" s="708" t="inlineStr">
        <is>
          <t>USD</t>
        </is>
      </c>
      <c r="D400" s="708" t="inlineStr">
        <is>
          <t>S0002225</t>
        </is>
      </c>
      <c r="E400" s="708" t="inlineStr">
        <is>
          <t>CPT HOLDINGS INC.</t>
        </is>
      </c>
      <c r="F400" s="708" t="inlineStr">
        <is>
          <t>PETER RABBIT (2018)</t>
        </is>
      </c>
      <c r="G400" s="708" t="inlineStr">
        <is>
          <t>Movies International</t>
        </is>
      </c>
      <c r="H400" s="83" t="n">
        <v>1</v>
      </c>
      <c r="I400" s="83" t="n">
        <v>2</v>
      </c>
      <c r="J400" s="83">
        <f>H400*I400</f>
        <v/>
      </c>
      <c r="K400" s="83" t="n">
        <v>93254700</v>
      </c>
      <c r="L400" s="83" t="n">
        <v>46627350</v>
      </c>
      <c r="M400" s="83">
        <f>J400-Q400</f>
        <v/>
      </c>
      <c r="N400" s="83">
        <f>K400-R400</f>
        <v/>
      </c>
      <c r="O400" s="517" t="n">
        <v>45747</v>
      </c>
      <c r="P400" s="517" t="n">
        <v>46600</v>
      </c>
      <c r="Q400" s="83" t="n">
        <v>0</v>
      </c>
      <c r="R400" s="84" t="n">
        <v>0</v>
      </c>
      <c r="S400" s="83" t="n">
        <v>2</v>
      </c>
      <c r="T400" s="84" t="n">
        <v>93254700</v>
      </c>
      <c r="U400" s="83" t="n">
        <v>1</v>
      </c>
      <c r="V400" s="84">
        <f>U400*L400</f>
        <v/>
      </c>
      <c r="W400" s="83">
        <f>Q400+S400-U400</f>
        <v/>
      </c>
      <c r="X400" s="84">
        <f>R400+T400-V400</f>
        <v/>
      </c>
      <c r="Y400" s="85" t="inlineStr">
        <is>
          <t>P221ZZMO01</t>
        </is>
      </c>
      <c r="Z400" s="86" t="inlineStr">
        <is>
          <t>15661</t>
        </is>
      </c>
      <c r="AA400" s="86" t="inlineStr">
        <is>
          <t>33561</t>
        </is>
      </c>
      <c r="AB400" s="86" t="inlineStr">
        <is>
          <t>6277651</t>
        </is>
      </c>
      <c r="AC400" s="87" t="inlineStr">
        <is>
          <t>Movies</t>
        </is>
      </c>
      <c r="AD400" s="76">
        <f>COUNTIF('KK1. Movies'!AI:AI,'TK 15661.Bản quyền phim '!F400)</f>
        <v/>
      </c>
      <c r="AE400" s="76">
        <f>COUNTIF('KK2. Series'!AM:AM,'TK 15661.Bản quyền phim '!F400)</f>
        <v/>
      </c>
      <c r="AF400" s="76">
        <f>COUNTIF('KK3. Kids'!AF:AF,'TK 15661.Bản quyền phim '!F400)</f>
        <v/>
      </c>
      <c r="AG400" s="76" t="n"/>
      <c r="AH400" s="76">
        <f>IF(SUM(AD400:AG400)&gt;0,"OK",0)</f>
        <v/>
      </c>
    </row>
    <row r="401" hidden="1" ht="15.6" customHeight="1" s="578">
      <c r="B401" s="74" t="inlineStr">
        <is>
          <t>K+1MOV025099</t>
        </is>
      </c>
      <c r="C401" s="708" t="inlineStr">
        <is>
          <t>USD</t>
        </is>
      </c>
      <c r="D401" s="708" t="inlineStr">
        <is>
          <t>S0002225</t>
        </is>
      </c>
      <c r="E401" s="708" t="inlineStr">
        <is>
          <t>CPT HOLDINGS INC.</t>
        </is>
      </c>
      <c r="F401" s="708" t="inlineStr">
        <is>
          <t>RESIDENT EVIL: WELCOME TO RACCOON CITY</t>
        </is>
      </c>
      <c r="G401" s="708" t="inlineStr">
        <is>
          <t>Movies International</t>
        </is>
      </c>
      <c r="H401" s="83" t="n">
        <v>1</v>
      </c>
      <c r="I401" s="83" t="n">
        <v>2</v>
      </c>
      <c r="J401" s="83">
        <f>H401*I401</f>
        <v/>
      </c>
      <c r="K401" s="83" t="n">
        <v>93254700</v>
      </c>
      <c r="L401" s="83" t="n">
        <v>46627350</v>
      </c>
      <c r="M401" s="83">
        <f>J401-Q401</f>
        <v/>
      </c>
      <c r="N401" s="83">
        <f>K401-R401</f>
        <v/>
      </c>
      <c r="O401" s="517" t="n">
        <v>45747</v>
      </c>
      <c r="P401" s="517" t="n">
        <v>46535</v>
      </c>
      <c r="Q401" s="83" t="n">
        <v>0</v>
      </c>
      <c r="R401" s="84" t="n">
        <v>0</v>
      </c>
      <c r="S401" s="83" t="n">
        <v>2</v>
      </c>
      <c r="T401" s="84" t="n">
        <v>93254700</v>
      </c>
      <c r="U401" s="83" t="n">
        <v>1</v>
      </c>
      <c r="V401" s="84">
        <f>U401*L401</f>
        <v/>
      </c>
      <c r="W401" s="83">
        <f>Q401+S401-U401</f>
        <v/>
      </c>
      <c r="X401" s="84">
        <f>R401+T401-V401</f>
        <v/>
      </c>
      <c r="Y401" s="85" t="inlineStr">
        <is>
          <t>P221ZZMO01</t>
        </is>
      </c>
      <c r="Z401" s="86" t="inlineStr">
        <is>
          <t>15661</t>
        </is>
      </c>
      <c r="AA401" s="86" t="inlineStr">
        <is>
          <t>33561</t>
        </is>
      </c>
      <c r="AB401" s="86" t="inlineStr">
        <is>
          <t>6277651</t>
        </is>
      </c>
      <c r="AC401" s="87" t="inlineStr">
        <is>
          <t>Movies</t>
        </is>
      </c>
      <c r="AD401" s="76">
        <f>COUNTIF('KK1. Movies'!AI:AI,'TK 15661.Bản quyền phim '!F401)</f>
        <v/>
      </c>
      <c r="AE401" s="76">
        <f>COUNTIF('KK2. Series'!AM:AM,'TK 15661.Bản quyền phim '!F401)</f>
        <v/>
      </c>
      <c r="AF401" s="76">
        <f>COUNTIF('KK3. Kids'!AF:AF,'TK 15661.Bản quyền phim '!F401)</f>
        <v/>
      </c>
      <c r="AG401" s="76" t="n"/>
      <c r="AH401" s="76">
        <f>IF(SUM(AD401:AG401)&gt;0,"OK",0)</f>
        <v/>
      </c>
    </row>
    <row r="402" hidden="1" ht="15.6" customHeight="1" s="578">
      <c r="B402" s="74" t="inlineStr">
        <is>
          <t>K+1MOV025100</t>
        </is>
      </c>
      <c r="C402" s="708" t="inlineStr">
        <is>
          <t>USD</t>
        </is>
      </c>
      <c r="D402" s="708" t="inlineStr">
        <is>
          <t>S0002225</t>
        </is>
      </c>
      <c r="E402" s="708" t="inlineStr">
        <is>
          <t>CPT HOLDINGS INC.</t>
        </is>
      </c>
      <c r="F402" s="708" t="inlineStr">
        <is>
          <t>SPIDER-MAN (2002)</t>
        </is>
      </c>
      <c r="G402" s="708" t="inlineStr">
        <is>
          <t>Movies International</t>
        </is>
      </c>
      <c r="H402" s="83" t="n">
        <v>1</v>
      </c>
      <c r="I402" s="83" t="n">
        <v>2</v>
      </c>
      <c r="J402" s="83">
        <f>H402*I402</f>
        <v/>
      </c>
      <c r="K402" s="83" t="n">
        <v>93254700</v>
      </c>
      <c r="L402" s="83" t="n">
        <v>46627350</v>
      </c>
      <c r="M402" s="83">
        <f>J402-Q402</f>
        <v/>
      </c>
      <c r="N402" s="83">
        <f>K402-R402</f>
        <v/>
      </c>
      <c r="O402" s="517" t="n">
        <v>45747</v>
      </c>
      <c r="P402" s="517" t="n">
        <v>46576</v>
      </c>
      <c r="Q402" s="83" t="n">
        <v>0</v>
      </c>
      <c r="R402" s="84" t="n">
        <v>0</v>
      </c>
      <c r="S402" s="83" t="n">
        <v>2</v>
      </c>
      <c r="T402" s="84" t="n">
        <v>93254700</v>
      </c>
      <c r="U402" s="83" t="n">
        <v>1</v>
      </c>
      <c r="V402" s="84">
        <f>U402*L402</f>
        <v/>
      </c>
      <c r="W402" s="83">
        <f>Q402+S402-U402</f>
        <v/>
      </c>
      <c r="X402" s="84">
        <f>R402+T402-V402</f>
        <v/>
      </c>
      <c r="Y402" s="85" t="inlineStr">
        <is>
          <t>P221ZZMO01</t>
        </is>
      </c>
      <c r="Z402" s="86" t="inlineStr">
        <is>
          <t>15661</t>
        </is>
      </c>
      <c r="AA402" s="86" t="inlineStr">
        <is>
          <t>33561</t>
        </is>
      </c>
      <c r="AB402" s="86" t="inlineStr">
        <is>
          <t>6277651</t>
        </is>
      </c>
      <c r="AC402" s="87" t="inlineStr">
        <is>
          <t>Movies</t>
        </is>
      </c>
      <c r="AD402" s="76">
        <f>COUNTIF('KK1. Movies'!AI:AI,'TK 15661.Bản quyền phim '!F402)</f>
        <v/>
      </c>
      <c r="AE402" s="76">
        <f>COUNTIF('KK2. Series'!AM:AM,'TK 15661.Bản quyền phim '!F402)</f>
        <v/>
      </c>
      <c r="AF402" s="76">
        <f>COUNTIF('KK3. Kids'!AF:AF,'TK 15661.Bản quyền phim '!F402)</f>
        <v/>
      </c>
      <c r="AG402" s="76" t="n"/>
      <c r="AH402" s="76">
        <f>IF(SUM(AD402:AG402)&gt;0,"OK",0)</f>
        <v/>
      </c>
    </row>
    <row r="403" hidden="1" ht="15.6" customHeight="1" s="578">
      <c r="B403" s="74" t="inlineStr">
        <is>
          <t>K+1MOV025101</t>
        </is>
      </c>
      <c r="C403" s="708" t="inlineStr">
        <is>
          <t>USD</t>
        </is>
      </c>
      <c r="D403" s="708" t="inlineStr">
        <is>
          <t>S0002225</t>
        </is>
      </c>
      <c r="E403" s="708" t="inlineStr">
        <is>
          <t>CPT HOLDINGS INC.</t>
        </is>
      </c>
      <c r="F403" s="708" t="inlineStr">
        <is>
          <t>SPIDER-MAN 3 (2007)</t>
        </is>
      </c>
      <c r="G403" s="708" t="inlineStr">
        <is>
          <t>Movies International</t>
        </is>
      </c>
      <c r="H403" s="83" t="n">
        <v>1</v>
      </c>
      <c r="I403" s="83" t="n">
        <v>2</v>
      </c>
      <c r="J403" s="83">
        <f>H403*I403</f>
        <v/>
      </c>
      <c r="K403" s="83" t="n">
        <v>93254700</v>
      </c>
      <c r="L403" s="83" t="n">
        <v>46627350</v>
      </c>
      <c r="M403" s="83">
        <f>J403-Q403</f>
        <v/>
      </c>
      <c r="N403" s="83">
        <f>K403-R403</f>
        <v/>
      </c>
      <c r="O403" s="517" t="n">
        <v>45747</v>
      </c>
      <c r="P403" s="517" t="n">
        <v>46576</v>
      </c>
      <c r="Q403" s="83" t="n">
        <v>0</v>
      </c>
      <c r="R403" s="84" t="n">
        <v>0</v>
      </c>
      <c r="S403" s="83" t="n">
        <v>2</v>
      </c>
      <c r="T403" s="84" t="n">
        <v>93254700</v>
      </c>
      <c r="U403" s="83" t="n">
        <v>1</v>
      </c>
      <c r="V403" s="84">
        <f>U403*L403</f>
        <v/>
      </c>
      <c r="W403" s="83">
        <f>Q403+S403-U403</f>
        <v/>
      </c>
      <c r="X403" s="84">
        <f>R403+T403-V403</f>
        <v/>
      </c>
      <c r="Y403" s="85" t="inlineStr">
        <is>
          <t>P221ZZMO01</t>
        </is>
      </c>
      <c r="Z403" s="86" t="inlineStr">
        <is>
          <t>15661</t>
        </is>
      </c>
      <c r="AA403" s="86" t="inlineStr">
        <is>
          <t>33561</t>
        </is>
      </c>
      <c r="AB403" s="86" t="inlineStr">
        <is>
          <t>6277651</t>
        </is>
      </c>
      <c r="AC403" s="87" t="inlineStr">
        <is>
          <t>Movies</t>
        </is>
      </c>
      <c r="AD403" s="76">
        <f>COUNTIF('KK1. Movies'!AI:AI,'TK 15661.Bản quyền phim '!F403)</f>
        <v/>
      </c>
      <c r="AE403" s="76">
        <f>COUNTIF('KK2. Series'!AM:AM,'TK 15661.Bản quyền phim '!F403)</f>
        <v/>
      </c>
      <c r="AF403" s="76">
        <f>COUNTIF('KK3. Kids'!AF:AF,'TK 15661.Bản quyền phim '!F403)</f>
        <v/>
      </c>
      <c r="AG403" s="76" t="n"/>
      <c r="AH403" s="76">
        <f>IF(SUM(AD403:AG403)&gt;0,"OK",0)</f>
        <v/>
      </c>
    </row>
    <row r="404" hidden="1" ht="15.6" customHeight="1" s="578">
      <c r="B404" s="74" t="inlineStr">
        <is>
          <t>K+1MOV025102</t>
        </is>
      </c>
      <c r="C404" s="708" t="inlineStr">
        <is>
          <t>USD</t>
        </is>
      </c>
      <c r="D404" s="708" t="inlineStr">
        <is>
          <t>S0002225</t>
        </is>
      </c>
      <c r="E404" s="708" t="inlineStr">
        <is>
          <t>CPT HOLDINGS INC.</t>
        </is>
      </c>
      <c r="F404" s="708" t="inlineStr">
        <is>
          <t>SPIDER-MAN: NO WAY HOME</t>
        </is>
      </c>
      <c r="G404" s="708" t="inlineStr">
        <is>
          <t>Movies International</t>
        </is>
      </c>
      <c r="H404" s="83" t="n">
        <v>1</v>
      </c>
      <c r="I404" s="83" t="n">
        <v>2</v>
      </c>
      <c r="J404" s="83">
        <f>H404*I404</f>
        <v/>
      </c>
      <c r="K404" s="83" t="n">
        <v>93254700</v>
      </c>
      <c r="L404" s="83" t="n">
        <v>46627350</v>
      </c>
      <c r="M404" s="83">
        <f>J404-Q404</f>
        <v/>
      </c>
      <c r="N404" s="83">
        <f>K404-R404</f>
        <v/>
      </c>
      <c r="O404" s="517" t="n">
        <v>45747</v>
      </c>
      <c r="P404" s="517" t="n">
        <v>46576</v>
      </c>
      <c r="Q404" s="83" t="n">
        <v>0</v>
      </c>
      <c r="R404" s="84" t="n">
        <v>0</v>
      </c>
      <c r="S404" s="83" t="n">
        <v>2</v>
      </c>
      <c r="T404" s="84" t="n">
        <v>93254700</v>
      </c>
      <c r="U404" s="83" t="n">
        <v>1</v>
      </c>
      <c r="V404" s="84">
        <f>U404*L404</f>
        <v/>
      </c>
      <c r="W404" s="83">
        <f>Q404+S404-U404</f>
        <v/>
      </c>
      <c r="X404" s="84">
        <f>R404+T404-V404</f>
        <v/>
      </c>
      <c r="Y404" s="85" t="inlineStr">
        <is>
          <t>P221ZZMO01</t>
        </is>
      </c>
      <c r="Z404" s="86" t="inlineStr">
        <is>
          <t>15661</t>
        </is>
      </c>
      <c r="AA404" s="86" t="inlineStr">
        <is>
          <t>33561</t>
        </is>
      </c>
      <c r="AB404" s="86" t="inlineStr">
        <is>
          <t>6277651</t>
        </is>
      </c>
      <c r="AC404" s="87" t="inlineStr">
        <is>
          <t>Movies</t>
        </is>
      </c>
      <c r="AD404" s="76">
        <f>COUNTIF('KK1. Movies'!AI:AI,'TK 15661.Bản quyền phim '!F404)</f>
        <v/>
      </c>
      <c r="AE404" s="76">
        <f>COUNTIF('KK2. Series'!AM:AM,'TK 15661.Bản quyền phim '!F404)</f>
        <v/>
      </c>
      <c r="AF404" s="76">
        <f>COUNTIF('KK3. Kids'!AF:AF,'TK 15661.Bản quyền phim '!F404)</f>
        <v/>
      </c>
      <c r="AG404" s="76" t="n"/>
      <c r="AH404" s="76">
        <f>IF(SUM(AD404:AG404)&gt;0,"OK",0)</f>
        <v/>
      </c>
    </row>
    <row r="405" hidden="1" ht="15.6" customHeight="1" s="578">
      <c r="B405" s="74" t="inlineStr">
        <is>
          <t>K+1MOV025103</t>
        </is>
      </c>
      <c r="C405" s="708" t="inlineStr">
        <is>
          <t>USD</t>
        </is>
      </c>
      <c r="D405" s="708" t="inlineStr">
        <is>
          <t>S0002225</t>
        </is>
      </c>
      <c r="E405" s="708" t="inlineStr">
        <is>
          <t>CPT HOLDINGS INC.</t>
        </is>
      </c>
      <c r="F405" s="708" t="inlineStr">
        <is>
          <t>ANGRY BIRDS MOVIE 2, THE</t>
        </is>
      </c>
      <c r="G405" s="708" t="inlineStr">
        <is>
          <t>Movies International</t>
        </is>
      </c>
      <c r="H405" s="83" t="n">
        <v>1</v>
      </c>
      <c r="I405" s="83" t="n">
        <v>2</v>
      </c>
      <c r="J405" s="83">
        <f>H405*I405</f>
        <v/>
      </c>
      <c r="K405" s="83" t="n">
        <v>93254700</v>
      </c>
      <c r="L405" s="83" t="n">
        <v>46627350</v>
      </c>
      <c r="M405" s="83">
        <f>J405-Q405</f>
        <v/>
      </c>
      <c r="N405" s="83">
        <f>K405-R405</f>
        <v/>
      </c>
      <c r="O405" s="517" t="n">
        <v>45884</v>
      </c>
      <c r="P405" s="517" t="n">
        <v>46613</v>
      </c>
      <c r="Q405" s="83" t="n">
        <v>0</v>
      </c>
      <c r="R405" s="84" t="n">
        <v>0</v>
      </c>
      <c r="S405" s="83" t="n">
        <v>2</v>
      </c>
      <c r="T405" s="84" t="n">
        <v>93254700</v>
      </c>
      <c r="U405" s="83" t="n">
        <v>1</v>
      </c>
      <c r="V405" s="84">
        <f>U405*L405</f>
        <v/>
      </c>
      <c r="W405" s="83">
        <f>Q405+S405-U405</f>
        <v/>
      </c>
      <c r="X405" s="84">
        <f>R405+T405-V405</f>
        <v/>
      </c>
      <c r="Y405" s="85" t="inlineStr">
        <is>
          <t>P221ZZMO01</t>
        </is>
      </c>
      <c r="Z405" s="86" t="inlineStr">
        <is>
          <t>15661</t>
        </is>
      </c>
      <c r="AA405" s="86" t="inlineStr">
        <is>
          <t>33561</t>
        </is>
      </c>
      <c r="AB405" s="86" t="inlineStr">
        <is>
          <t>6277651</t>
        </is>
      </c>
      <c r="AC405" s="87" t="inlineStr">
        <is>
          <t>Movies</t>
        </is>
      </c>
      <c r="AD405" s="76">
        <f>COUNTIF('KK1. Movies'!AI:AI,'TK 15661.Bản quyền phim '!F405)</f>
        <v/>
      </c>
      <c r="AE405" s="76">
        <f>COUNTIF('KK2. Series'!AM:AM,'TK 15661.Bản quyền phim '!F405)</f>
        <v/>
      </c>
      <c r="AF405" s="76">
        <f>COUNTIF('KK3. Kids'!AF:AF,'TK 15661.Bản quyền phim '!F405)</f>
        <v/>
      </c>
      <c r="AG405" s="76" t="n"/>
      <c r="AH405" s="76">
        <f>IF(SUM(AD405:AG405)&gt;0,"OK",0)</f>
        <v/>
      </c>
    </row>
    <row r="406" hidden="1" ht="15.6" customHeight="1" s="578">
      <c r="B406" s="74" t="inlineStr">
        <is>
          <t>K+1MOV025104</t>
        </is>
      </c>
      <c r="C406" s="708" t="inlineStr">
        <is>
          <t>USD</t>
        </is>
      </c>
      <c r="D406" s="708" t="inlineStr">
        <is>
          <t>S0002225</t>
        </is>
      </c>
      <c r="E406" s="708" t="inlineStr">
        <is>
          <t>CPT HOLDINGS INC.</t>
        </is>
      </c>
      <c r="F406" s="708" t="inlineStr">
        <is>
          <t>ESCAPE ROOM (2019)</t>
        </is>
      </c>
      <c r="G406" s="708" t="inlineStr">
        <is>
          <t>Movies International</t>
        </is>
      </c>
      <c r="H406" s="83" t="n">
        <v>1</v>
      </c>
      <c r="I406" s="83" t="n">
        <v>2</v>
      </c>
      <c r="J406" s="83">
        <f>H406*I406</f>
        <v/>
      </c>
      <c r="K406" s="83" t="n">
        <v>93254700</v>
      </c>
      <c r="L406" s="83" t="n">
        <v>46627350</v>
      </c>
      <c r="M406" s="83">
        <f>J406-Q406</f>
        <v/>
      </c>
      <c r="N406" s="83">
        <f>K406-R406</f>
        <v/>
      </c>
      <c r="O406" s="517" t="n">
        <v>45884</v>
      </c>
      <c r="P406" s="517" t="n">
        <v>46613</v>
      </c>
      <c r="Q406" s="83" t="n">
        <v>0</v>
      </c>
      <c r="R406" s="84" t="n">
        <v>0</v>
      </c>
      <c r="S406" s="83" t="n">
        <v>2</v>
      </c>
      <c r="T406" s="84" t="n">
        <v>93254700</v>
      </c>
      <c r="U406" s="83" t="n">
        <v>1</v>
      </c>
      <c r="V406" s="84">
        <f>U406*L406</f>
        <v/>
      </c>
      <c r="W406" s="83">
        <f>Q406+S406-U406</f>
        <v/>
      </c>
      <c r="X406" s="84">
        <f>R406+T406-V406</f>
        <v/>
      </c>
      <c r="Y406" s="85" t="inlineStr">
        <is>
          <t>P221ZZMO01</t>
        </is>
      </c>
      <c r="Z406" s="86" t="inlineStr">
        <is>
          <t>15661</t>
        </is>
      </c>
      <c r="AA406" s="86" t="inlineStr">
        <is>
          <t>33561</t>
        </is>
      </c>
      <c r="AB406" s="86" t="inlineStr">
        <is>
          <t>6277651</t>
        </is>
      </c>
      <c r="AC406" s="87" t="inlineStr">
        <is>
          <t>Movies</t>
        </is>
      </c>
      <c r="AD406" s="76">
        <f>COUNTIF('KK1. Movies'!AI:AI,'TK 15661.Bản quyền phim '!F406)</f>
        <v/>
      </c>
      <c r="AE406" s="76">
        <f>COUNTIF('KK2. Series'!AM:AM,'TK 15661.Bản quyền phim '!F406)</f>
        <v/>
      </c>
      <c r="AF406" s="76">
        <f>COUNTIF('KK3. Kids'!AF:AF,'TK 15661.Bản quyền phim '!F406)</f>
        <v/>
      </c>
      <c r="AG406" s="76" t="n"/>
      <c r="AH406" s="76">
        <f>IF(SUM(AD406:AG406)&gt;0,"OK",0)</f>
        <v/>
      </c>
    </row>
    <row r="407" hidden="1" ht="15.6" customHeight="1" s="578">
      <c r="B407" s="74" t="inlineStr">
        <is>
          <t>K+1MOV025105</t>
        </is>
      </c>
      <c r="C407" s="708" t="inlineStr">
        <is>
          <t>USD</t>
        </is>
      </c>
      <c r="D407" s="708" t="inlineStr">
        <is>
          <t>S0002225</t>
        </is>
      </c>
      <c r="E407" s="708" t="inlineStr">
        <is>
          <t>CPT HOLDINGS INC.</t>
        </is>
      </c>
      <c r="F407" s="708" t="inlineStr">
        <is>
          <t>ESCAPE ROOM: TOURNAMENT OF CHAMPIONS</t>
        </is>
      </c>
      <c r="G407" s="708" t="inlineStr">
        <is>
          <t>Movies International</t>
        </is>
      </c>
      <c r="H407" s="83" t="n">
        <v>1</v>
      </c>
      <c r="I407" s="83" t="n">
        <v>2</v>
      </c>
      <c r="J407" s="83">
        <f>H407*I407</f>
        <v/>
      </c>
      <c r="K407" s="83" t="n">
        <v>93254700</v>
      </c>
      <c r="L407" s="83" t="n">
        <v>46627350</v>
      </c>
      <c r="M407" s="83">
        <f>J407-Q407</f>
        <v/>
      </c>
      <c r="N407" s="83">
        <f>K407-R407</f>
        <v/>
      </c>
      <c r="O407" s="517" t="n">
        <v>45884</v>
      </c>
      <c r="P407" s="517" t="n">
        <v>46613</v>
      </c>
      <c r="Q407" s="83" t="n">
        <v>0</v>
      </c>
      <c r="R407" s="84" t="n">
        <v>0</v>
      </c>
      <c r="S407" s="83" t="n">
        <v>2</v>
      </c>
      <c r="T407" s="84" t="n">
        <v>93254700</v>
      </c>
      <c r="U407" s="83" t="n">
        <v>1</v>
      </c>
      <c r="V407" s="84">
        <f>U407*L407</f>
        <v/>
      </c>
      <c r="W407" s="83">
        <f>Q407+S407-U407</f>
        <v/>
      </c>
      <c r="X407" s="84">
        <f>R407+T407-V407</f>
        <v/>
      </c>
      <c r="Y407" s="85" t="inlineStr">
        <is>
          <t>P221ZZMO01</t>
        </is>
      </c>
      <c r="Z407" s="86" t="inlineStr">
        <is>
          <t>15661</t>
        </is>
      </c>
      <c r="AA407" s="86" t="inlineStr">
        <is>
          <t>33561</t>
        </is>
      </c>
      <c r="AB407" s="86" t="inlineStr">
        <is>
          <t>6277651</t>
        </is>
      </c>
      <c r="AC407" s="87" t="inlineStr">
        <is>
          <t>Movies</t>
        </is>
      </c>
      <c r="AD407" s="76">
        <f>COUNTIF('KK1. Movies'!AI:AI,'TK 15661.Bản quyền phim '!F407)</f>
        <v/>
      </c>
      <c r="AE407" s="76">
        <f>COUNTIF('KK2. Series'!AM:AM,'TK 15661.Bản quyền phim '!F407)</f>
        <v/>
      </c>
      <c r="AF407" s="76">
        <f>COUNTIF('KK3. Kids'!AF:AF,'TK 15661.Bản quyền phim '!F407)</f>
        <v/>
      </c>
      <c r="AG407" s="76" t="n"/>
      <c r="AH407" s="76">
        <f>IF(SUM(AD407:AG407)&gt;0,"OK",0)</f>
        <v/>
      </c>
    </row>
    <row r="408" hidden="1" ht="15.6" customHeight="1" s="578">
      <c r="B408" s="74" t="inlineStr">
        <is>
          <t>K+1MOV025106</t>
        </is>
      </c>
      <c r="C408" s="708" t="inlineStr">
        <is>
          <t>USD</t>
        </is>
      </c>
      <c r="D408" s="708" t="inlineStr">
        <is>
          <t>S0002225</t>
        </is>
      </c>
      <c r="E408" s="708" t="inlineStr">
        <is>
          <t>CPT HOLDINGS INC.</t>
        </is>
      </c>
      <c r="F408" s="708" t="inlineStr">
        <is>
          <t>LEAGUE OF GODS</t>
        </is>
      </c>
      <c r="G408" s="708" t="inlineStr">
        <is>
          <t>Movies International</t>
        </is>
      </c>
      <c r="H408" s="83" t="n">
        <v>1</v>
      </c>
      <c r="I408" s="83" t="n">
        <v>2</v>
      </c>
      <c r="J408" s="83">
        <f>H408*I408</f>
        <v/>
      </c>
      <c r="K408" s="83" t="n">
        <v>93254700</v>
      </c>
      <c r="L408" s="83" t="n">
        <v>46627350</v>
      </c>
      <c r="M408" s="83">
        <f>J408-Q408</f>
        <v/>
      </c>
      <c r="N408" s="83">
        <f>K408-R408</f>
        <v/>
      </c>
      <c r="O408" s="517" t="n">
        <v>45884</v>
      </c>
      <c r="P408" s="517" t="n">
        <v>46613</v>
      </c>
      <c r="Q408" s="83" t="n">
        <v>0</v>
      </c>
      <c r="R408" s="84" t="n">
        <v>0</v>
      </c>
      <c r="S408" s="83" t="n">
        <v>2</v>
      </c>
      <c r="T408" s="84" t="n">
        <v>93254700</v>
      </c>
      <c r="U408" s="83" t="n">
        <v>1</v>
      </c>
      <c r="V408" s="84">
        <f>U408*L408</f>
        <v/>
      </c>
      <c r="W408" s="83">
        <f>Q408+S408-U408</f>
        <v/>
      </c>
      <c r="X408" s="84">
        <f>R408+T408-V408</f>
        <v/>
      </c>
      <c r="Y408" s="85" t="inlineStr">
        <is>
          <t>P221ZZMO01</t>
        </is>
      </c>
      <c r="Z408" s="86" t="inlineStr">
        <is>
          <t>15661</t>
        </is>
      </c>
      <c r="AA408" s="86" t="inlineStr">
        <is>
          <t>33561</t>
        </is>
      </c>
      <c r="AB408" s="86" t="inlineStr">
        <is>
          <t>6277651</t>
        </is>
      </c>
      <c r="AC408" s="87" t="inlineStr">
        <is>
          <t>Movies</t>
        </is>
      </c>
      <c r="AD408" s="76">
        <f>COUNTIF('KK1. Movies'!AI:AI,'TK 15661.Bản quyền phim '!F408)</f>
        <v/>
      </c>
      <c r="AE408" s="76">
        <f>COUNTIF('KK2. Series'!AM:AM,'TK 15661.Bản quyền phim '!F408)</f>
        <v/>
      </c>
      <c r="AF408" s="76">
        <f>COUNTIF('KK3. Kids'!AF:AF,'TK 15661.Bản quyền phim '!F408)</f>
        <v/>
      </c>
      <c r="AG408" s="76" t="n"/>
      <c r="AH408" s="76">
        <f>IF(SUM(AD408:AG408)&gt;0,"OK",0)</f>
        <v/>
      </c>
    </row>
    <row r="409" hidden="1" ht="15.6" customHeight="1" s="578">
      <c r="B409" s="74" t="inlineStr">
        <is>
          <t>K+1MOV025107</t>
        </is>
      </c>
      <c r="C409" s="708" t="inlineStr">
        <is>
          <t>USD</t>
        </is>
      </c>
      <c r="D409" s="708" t="inlineStr">
        <is>
          <t>S0002225</t>
        </is>
      </c>
      <c r="E409" s="708" t="inlineStr">
        <is>
          <t>CPT HOLDINGS INC.</t>
        </is>
      </c>
      <c r="F409" s="708" t="inlineStr">
        <is>
          <t>ARE YOU THERE GOD? IT'S ME, MARGARET (2023)</t>
        </is>
      </c>
      <c r="G409" s="708" t="inlineStr">
        <is>
          <t>Movies International</t>
        </is>
      </c>
      <c r="H409" s="83" t="n">
        <v>1</v>
      </c>
      <c r="I409" s="83" t="n">
        <v>1</v>
      </c>
      <c r="J409" s="83">
        <f>H409*I409</f>
        <v/>
      </c>
      <c r="K409" s="83" t="n">
        <v>93254700</v>
      </c>
      <c r="L409" s="83" t="n">
        <v>93254700</v>
      </c>
      <c r="M409" s="83">
        <f>J409-Q409</f>
        <v/>
      </c>
      <c r="N409" s="83">
        <f>K409-R409</f>
        <v/>
      </c>
      <c r="O409" s="517" t="n">
        <v>45884</v>
      </c>
      <c r="P409" s="517" t="n">
        <v>46248</v>
      </c>
      <c r="Q409" s="83" t="n">
        <v>0</v>
      </c>
      <c r="R409" s="84" t="n">
        <v>0</v>
      </c>
      <c r="S409" s="83" t="n">
        <v>1</v>
      </c>
      <c r="T409" s="84" t="n">
        <v>93254700</v>
      </c>
      <c r="U409" s="83" t="n">
        <v>1</v>
      </c>
      <c r="V409" s="84">
        <f>U409*L409</f>
        <v/>
      </c>
      <c r="W409" s="83">
        <f>Q409+S409-U409</f>
        <v/>
      </c>
      <c r="X409" s="84">
        <f>R409+T409-V409</f>
        <v/>
      </c>
      <c r="Y409" s="85" t="inlineStr">
        <is>
          <t>P221ZZMO01</t>
        </is>
      </c>
      <c r="Z409" s="86" t="inlineStr">
        <is>
          <t>15661</t>
        </is>
      </c>
      <c r="AA409" s="86" t="inlineStr">
        <is>
          <t>33561</t>
        </is>
      </c>
      <c r="AB409" s="86" t="inlineStr">
        <is>
          <t>6277651</t>
        </is>
      </c>
      <c r="AC409" s="87" t="inlineStr">
        <is>
          <t>Movies</t>
        </is>
      </c>
      <c r="AD409" s="76">
        <f>COUNTIF('KK1. Movies'!AI:AI,'TK 15661.Bản quyền phim '!F409)</f>
        <v/>
      </c>
      <c r="AE409" s="76">
        <f>COUNTIF('KK2. Series'!AM:AM,'TK 15661.Bản quyền phim '!F409)</f>
        <v/>
      </c>
      <c r="AF409" s="76">
        <f>COUNTIF('KK3. Kids'!AF:AF,'TK 15661.Bản quyền phim '!F409)</f>
        <v/>
      </c>
      <c r="AG409" s="76" t="n"/>
      <c r="AH409" s="76">
        <f>IF(SUM(AD409:AG409)&gt;0,"OK",0)</f>
        <v/>
      </c>
    </row>
    <row r="410" hidden="1" ht="15.6" customHeight="1" s="578">
      <c r="B410" s="74" t="inlineStr">
        <is>
          <t>K+1MOV025108</t>
        </is>
      </c>
      <c r="C410" s="708" t="inlineStr">
        <is>
          <t>USD</t>
        </is>
      </c>
      <c r="D410" s="708" t="inlineStr">
        <is>
          <t>S0002225</t>
        </is>
      </c>
      <c r="E410" s="708" t="inlineStr">
        <is>
          <t>CPT HOLDINGS INC.</t>
        </is>
      </c>
      <c r="F410" s="708" t="inlineStr">
        <is>
          <t>2012</t>
        </is>
      </c>
      <c r="G410" s="708" t="inlineStr">
        <is>
          <t>Movies International</t>
        </is>
      </c>
      <c r="H410" s="83" t="n">
        <v>1</v>
      </c>
      <c r="I410" s="83" t="n">
        <v>2</v>
      </c>
      <c r="J410" s="83">
        <f>H410*I410</f>
        <v/>
      </c>
      <c r="K410" s="83" t="n">
        <v>93254700</v>
      </c>
      <c r="L410" s="83" t="n">
        <v>46627350</v>
      </c>
      <c r="M410" s="83">
        <f>J410-Q410</f>
        <v/>
      </c>
      <c r="N410" s="83">
        <f>K410-R410</f>
        <v/>
      </c>
      <c r="O410" s="517" t="n">
        <v>45884</v>
      </c>
      <c r="P410" s="517" t="n">
        <v>46613</v>
      </c>
      <c r="Q410" s="83" t="n">
        <v>0</v>
      </c>
      <c r="R410" s="84" t="n">
        <v>0</v>
      </c>
      <c r="S410" s="83" t="n">
        <v>2</v>
      </c>
      <c r="T410" s="84" t="n">
        <v>93254700</v>
      </c>
      <c r="U410" s="83" t="n">
        <v>1</v>
      </c>
      <c r="V410" s="84">
        <f>U410*L410</f>
        <v/>
      </c>
      <c r="W410" s="83">
        <f>Q410+S410-U410</f>
        <v/>
      </c>
      <c r="X410" s="84">
        <f>R410+T410-V410</f>
        <v/>
      </c>
      <c r="Y410" s="85" t="inlineStr">
        <is>
          <t>P221ZZMO01</t>
        </is>
      </c>
      <c r="Z410" s="86" t="inlineStr">
        <is>
          <t>15661</t>
        </is>
      </c>
      <c r="AA410" s="86" t="inlineStr">
        <is>
          <t>33561</t>
        </is>
      </c>
      <c r="AB410" s="86" t="inlineStr">
        <is>
          <t>6277651</t>
        </is>
      </c>
      <c r="AC410" s="87" t="inlineStr">
        <is>
          <t>Movies</t>
        </is>
      </c>
      <c r="AD410" s="76">
        <f>COUNTIF('KK1. Movies'!AI:AI,'TK 15661.Bản quyền phim '!F410)</f>
        <v/>
      </c>
      <c r="AE410" s="76">
        <f>COUNTIF('KK2. Series'!AM:AM,'TK 15661.Bản quyền phim '!F410)</f>
        <v/>
      </c>
      <c r="AF410" s="76">
        <f>COUNTIF('KK3. Kids'!AF:AF,'TK 15661.Bản quyền phim '!F410)</f>
        <v/>
      </c>
      <c r="AG410" s="76" t="n"/>
      <c r="AH410" s="76">
        <f>IF(SUM(AD410:AG410)&gt;0,"OK",0)</f>
        <v/>
      </c>
    </row>
    <row r="411" hidden="1" ht="15.6" customHeight="1" s="578">
      <c r="B411" s="74" t="inlineStr">
        <is>
          <t>K+1MOV025109</t>
        </is>
      </c>
      <c r="C411" s="708" t="inlineStr">
        <is>
          <t>USD</t>
        </is>
      </c>
      <c r="D411" s="708" t="inlineStr">
        <is>
          <t>S0002225</t>
        </is>
      </c>
      <c r="E411" s="708" t="inlineStr">
        <is>
          <t>CPT HOLDINGS INC.</t>
        </is>
      </c>
      <c r="F411" s="708" t="inlineStr">
        <is>
          <t>ANGRY BIRDS MOVIE, THE</t>
        </is>
      </c>
      <c r="G411" s="708" t="inlineStr">
        <is>
          <t>Movies International</t>
        </is>
      </c>
      <c r="H411" s="83" t="n">
        <v>1</v>
      </c>
      <c r="I411" s="83" t="n">
        <v>2</v>
      </c>
      <c r="J411" s="83">
        <f>H411*I411</f>
        <v/>
      </c>
      <c r="K411" s="83" t="n">
        <v>93254700</v>
      </c>
      <c r="L411" s="83" t="n">
        <v>46627350</v>
      </c>
      <c r="M411" s="83">
        <f>J411-Q411</f>
        <v/>
      </c>
      <c r="N411" s="83">
        <f>K411-R411</f>
        <v/>
      </c>
      <c r="O411" s="517" t="n">
        <v>45884</v>
      </c>
      <c r="P411" s="517" t="n">
        <v>46613</v>
      </c>
      <c r="Q411" s="83" t="n">
        <v>0</v>
      </c>
      <c r="R411" s="84" t="n">
        <v>0</v>
      </c>
      <c r="S411" s="83" t="n">
        <v>2</v>
      </c>
      <c r="T411" s="84" t="n">
        <v>93254700</v>
      </c>
      <c r="U411" s="83" t="n">
        <v>1</v>
      </c>
      <c r="V411" s="84">
        <f>U411*L411</f>
        <v/>
      </c>
      <c r="W411" s="83">
        <f>Q411+S411-U411</f>
        <v/>
      </c>
      <c r="X411" s="84">
        <f>R411+T411-V411</f>
        <v/>
      </c>
      <c r="Y411" s="85" t="inlineStr">
        <is>
          <t>P221ZZMO01</t>
        </is>
      </c>
      <c r="Z411" s="86" t="inlineStr">
        <is>
          <t>15661</t>
        </is>
      </c>
      <c r="AA411" s="86" t="inlineStr">
        <is>
          <t>33561</t>
        </is>
      </c>
      <c r="AB411" s="86" t="inlineStr">
        <is>
          <t>6277651</t>
        </is>
      </c>
      <c r="AC411" s="87" t="inlineStr">
        <is>
          <t>Movies</t>
        </is>
      </c>
      <c r="AD411" s="76">
        <f>COUNTIF('KK1. Movies'!AI:AI,'TK 15661.Bản quyền phim '!F411)</f>
        <v/>
      </c>
      <c r="AE411" s="76">
        <f>COUNTIF('KK2. Series'!AM:AM,'TK 15661.Bản quyền phim '!F411)</f>
        <v/>
      </c>
      <c r="AF411" s="76">
        <f>COUNTIF('KK3. Kids'!AF:AF,'TK 15661.Bản quyền phim '!F411)</f>
        <v/>
      </c>
      <c r="AG411" s="76" t="n"/>
      <c r="AH411" s="76">
        <f>IF(SUM(AD411:AG411)&gt;0,"OK",0)</f>
        <v/>
      </c>
    </row>
    <row r="412" hidden="1" ht="15.6" customHeight="1" s="578">
      <c r="B412" s="74" t="inlineStr">
        <is>
          <t>K+1MOV025110</t>
        </is>
      </c>
      <c r="C412" s="708" t="inlineStr">
        <is>
          <t>USD</t>
        </is>
      </c>
      <c r="D412" s="708" t="inlineStr">
        <is>
          <t>S0002225</t>
        </is>
      </c>
      <c r="E412" s="708" t="inlineStr">
        <is>
          <t>CPT HOLDINGS INC.</t>
        </is>
      </c>
      <c r="F412" s="708" t="inlineStr">
        <is>
          <t>BAD TEACHER (2011)</t>
        </is>
      </c>
      <c r="G412" s="708" t="inlineStr">
        <is>
          <t>Movies International</t>
        </is>
      </c>
      <c r="H412" s="83" t="n">
        <v>1</v>
      </c>
      <c r="I412" s="83" t="n">
        <v>1</v>
      </c>
      <c r="J412" s="83">
        <f>H412*I412</f>
        <v/>
      </c>
      <c r="K412" s="83" t="n">
        <v>93254700</v>
      </c>
      <c r="L412" s="83" t="n">
        <v>93254700</v>
      </c>
      <c r="M412" s="83">
        <f>J412-Q412</f>
        <v/>
      </c>
      <c r="N412" s="83">
        <f>K412-R412</f>
        <v/>
      </c>
      <c r="O412" s="517" t="n">
        <v>45884</v>
      </c>
      <c r="P412" s="517" t="n">
        <v>46321</v>
      </c>
      <c r="Q412" s="83" t="n">
        <v>0</v>
      </c>
      <c r="R412" s="84" t="n">
        <v>0</v>
      </c>
      <c r="S412" s="83" t="n">
        <v>1</v>
      </c>
      <c r="T412" s="84" t="n">
        <v>93254700</v>
      </c>
      <c r="U412" s="83" t="n">
        <v>1</v>
      </c>
      <c r="V412" s="84">
        <f>U412*L412</f>
        <v/>
      </c>
      <c r="W412" s="83">
        <f>Q412+S412-U412</f>
        <v/>
      </c>
      <c r="X412" s="84">
        <f>R412+T412-V412</f>
        <v/>
      </c>
      <c r="Y412" s="85" t="inlineStr">
        <is>
          <t>P221ZZMO01</t>
        </is>
      </c>
      <c r="Z412" s="86" t="inlineStr">
        <is>
          <t>15661</t>
        </is>
      </c>
      <c r="AA412" s="86" t="inlineStr">
        <is>
          <t>33561</t>
        </is>
      </c>
      <c r="AB412" s="86" t="inlineStr">
        <is>
          <t>6277651</t>
        </is>
      </c>
      <c r="AC412" s="87" t="inlineStr">
        <is>
          <t>Movies</t>
        </is>
      </c>
      <c r="AD412" s="76">
        <f>COUNTIF('KK1. Movies'!AI:AI,'TK 15661.Bản quyền phim '!F412)</f>
        <v/>
      </c>
      <c r="AE412" s="76">
        <f>COUNTIF('KK2. Series'!AM:AM,'TK 15661.Bản quyền phim '!F412)</f>
        <v/>
      </c>
      <c r="AF412" s="76">
        <f>COUNTIF('KK3. Kids'!AF:AF,'TK 15661.Bản quyền phim '!F412)</f>
        <v/>
      </c>
      <c r="AG412" s="76" t="n"/>
      <c r="AH412" s="76">
        <f>IF(SUM(AD412:AG412)&gt;0,"OK",0)</f>
        <v/>
      </c>
    </row>
    <row r="413" hidden="1" ht="15.6" customHeight="1" s="578">
      <c r="B413" s="74" t="inlineStr">
        <is>
          <t>K+1MOV025111</t>
        </is>
      </c>
      <c r="C413" s="708" t="inlineStr">
        <is>
          <t>USD</t>
        </is>
      </c>
      <c r="D413" s="708" t="inlineStr">
        <is>
          <t>S0002225</t>
        </is>
      </c>
      <c r="E413" s="708" t="inlineStr">
        <is>
          <t>CPT HOLDINGS INC.</t>
        </is>
      </c>
      <c r="F413" s="708" t="inlineStr">
        <is>
          <t>DA VINCI CODE, THE</t>
        </is>
      </c>
      <c r="G413" s="708" t="inlineStr">
        <is>
          <t>Movies International</t>
        </is>
      </c>
      <c r="H413" s="83" t="n">
        <v>1</v>
      </c>
      <c r="I413" s="83" t="n">
        <v>2</v>
      </c>
      <c r="J413" s="83">
        <f>H413*I413</f>
        <v/>
      </c>
      <c r="K413" s="83" t="n">
        <v>93254700</v>
      </c>
      <c r="L413" s="83" t="n">
        <v>46627350</v>
      </c>
      <c r="M413" s="83">
        <f>J413-Q413</f>
        <v/>
      </c>
      <c r="N413" s="83">
        <f>K413-R413</f>
        <v/>
      </c>
      <c r="O413" s="517" t="n">
        <v>45884</v>
      </c>
      <c r="P413" s="517" t="n">
        <v>46613</v>
      </c>
      <c r="Q413" s="83" t="n">
        <v>0</v>
      </c>
      <c r="R413" s="84" t="n">
        <v>0</v>
      </c>
      <c r="S413" s="83" t="n">
        <v>2</v>
      </c>
      <c r="T413" s="84" t="n">
        <v>93254700</v>
      </c>
      <c r="U413" s="83" t="n">
        <v>1</v>
      </c>
      <c r="V413" s="84">
        <f>U413*L413</f>
        <v/>
      </c>
      <c r="W413" s="83">
        <f>Q413+S413-U413</f>
        <v/>
      </c>
      <c r="X413" s="84">
        <f>R413+T413-V413</f>
        <v/>
      </c>
      <c r="Y413" s="85" t="inlineStr">
        <is>
          <t>P221ZZMO01</t>
        </is>
      </c>
      <c r="Z413" s="86" t="inlineStr">
        <is>
          <t>15661</t>
        </is>
      </c>
      <c r="AA413" s="86" t="inlineStr">
        <is>
          <t>33561</t>
        </is>
      </c>
      <c r="AB413" s="86" t="inlineStr">
        <is>
          <t>6277651</t>
        </is>
      </c>
      <c r="AC413" s="87" t="inlineStr">
        <is>
          <t>Movies</t>
        </is>
      </c>
      <c r="AD413" s="76">
        <f>COUNTIF('KK1. Movies'!AI:AI,'TK 15661.Bản quyền phim '!F413)</f>
        <v/>
      </c>
      <c r="AE413" s="76">
        <f>COUNTIF('KK2. Series'!AM:AM,'TK 15661.Bản quyền phim '!F413)</f>
        <v/>
      </c>
      <c r="AF413" s="76">
        <f>COUNTIF('KK3. Kids'!AF:AF,'TK 15661.Bản quyền phim '!F413)</f>
        <v/>
      </c>
      <c r="AG413" s="76" t="n"/>
      <c r="AH413" s="76">
        <f>IF(SUM(AD413:AG413)&gt;0,"OK",0)</f>
        <v/>
      </c>
    </row>
    <row r="414" hidden="1" ht="15.6" customHeight="1" s="578">
      <c r="A414" s="30">
        <f>(U414-H414)*L414</f>
        <v/>
      </c>
      <c r="B414" s="74" t="inlineStr">
        <is>
          <t>K+2SER025112</t>
        </is>
      </c>
      <c r="C414" s="708" t="inlineStr">
        <is>
          <t>USD</t>
        </is>
      </c>
      <c r="D414" s="708" t="inlineStr">
        <is>
          <t>S0002432</t>
        </is>
      </c>
      <c r="E414" s="708" t="inlineStr">
        <is>
          <t>YOUKU INFORMATION TECHNOLOGY(Beijing) CO., LTD.</t>
        </is>
      </c>
      <c r="F414" s="708" t="inlineStr">
        <is>
          <t>THE FIRST SHOT</t>
        </is>
      </c>
      <c r="G414" s="708" t="inlineStr">
        <is>
          <t>Series Asian</t>
        </is>
      </c>
      <c r="H414" s="83" t="n">
        <v>32</v>
      </c>
      <c r="I414" s="83" t="n">
        <v>4</v>
      </c>
      <c r="J414" s="83">
        <f>H414*I414</f>
        <v/>
      </c>
      <c r="K414" s="83" t="n">
        <v>813120000</v>
      </c>
      <c r="L414" s="83" t="n">
        <v>6352500</v>
      </c>
      <c r="M414" s="83">
        <f>J414-Q414</f>
        <v/>
      </c>
      <c r="N414" s="83">
        <f>K414-R414</f>
        <v/>
      </c>
      <c r="O414" s="517" t="n">
        <v>45742</v>
      </c>
      <c r="P414" s="517" t="n">
        <v>47202</v>
      </c>
      <c r="Q414" s="83" t="n">
        <v>0</v>
      </c>
      <c r="R414" s="84" t="n">
        <v>0</v>
      </c>
      <c r="S414" s="83" t="n">
        <v>128</v>
      </c>
      <c r="T414" s="84" t="n">
        <v>813120000</v>
      </c>
      <c r="U414" s="83" t="n">
        <v>32</v>
      </c>
      <c r="V414" s="84">
        <f>U414*L414</f>
        <v/>
      </c>
      <c r="W414" s="83">
        <f>Q414+S414-U414</f>
        <v/>
      </c>
      <c r="X414" s="84">
        <f>R414+T414-V414</f>
        <v/>
      </c>
      <c r="Y414" s="85" t="inlineStr">
        <is>
          <t>P221ZZSR01</t>
        </is>
      </c>
      <c r="Z414" s="86" t="inlineStr">
        <is>
          <t>15661</t>
        </is>
      </c>
      <c r="AA414" s="86" t="inlineStr">
        <is>
          <t>33561</t>
        </is>
      </c>
      <c r="AB414" s="86" t="inlineStr">
        <is>
          <t>6277651</t>
        </is>
      </c>
      <c r="AC414" s="87" t="inlineStr">
        <is>
          <t>Series</t>
        </is>
      </c>
      <c r="AD414" s="76">
        <f>COUNTIF('KK1. Movies'!AI:AI,'TK 15661.Bản quyền phim '!F414)</f>
        <v/>
      </c>
      <c r="AE414" s="76">
        <f>COUNTIF('KK2. Series'!AM:AM,'TK 15661.Bản quyền phim '!F414)</f>
        <v/>
      </c>
      <c r="AF414" s="76">
        <f>COUNTIF('KK3. Kids'!AF:AF,'TK 15661.Bản quyền phim '!F414)</f>
        <v/>
      </c>
      <c r="AG414" s="76" t="n"/>
      <c r="AH414" s="76">
        <f>IF(SUM(AD414:AG414)&gt;0,"OK",0)</f>
        <v/>
      </c>
    </row>
    <row r="415" hidden="1" s="578">
      <c r="A415" s="30">
        <f>(U415-H415)*L415</f>
        <v/>
      </c>
      <c r="B415" s="74" t="inlineStr">
        <is>
          <t>K+5KID025113</t>
        </is>
      </c>
      <c r="C415" s="708" t="inlineStr">
        <is>
          <t>USD</t>
        </is>
      </c>
      <c r="D415" s="708" t="inlineStr">
        <is>
          <t>S0002519</t>
        </is>
      </c>
      <c r="E415" s="708" t="inlineStr">
        <is>
          <t>POPS SINGAPORE PTE. LTD.</t>
        </is>
      </c>
      <c r="F415" s="708" t="inlineStr">
        <is>
          <t>Doraemon Season 10</t>
        </is>
      </c>
      <c r="G415" s="708" t="inlineStr">
        <is>
          <t>KIDS</t>
        </is>
      </c>
      <c r="H415" s="83" t="n">
        <v>52</v>
      </c>
      <c r="I415" s="83" t="n">
        <v>2</v>
      </c>
      <c r="J415" s="83">
        <f>H415*I415</f>
        <v/>
      </c>
      <c r="K415" s="83" t="n">
        <v>383182800</v>
      </c>
      <c r="L415" s="83" t="n">
        <v>3684450</v>
      </c>
      <c r="M415" s="83">
        <f>J415-Q415</f>
        <v/>
      </c>
      <c r="N415" s="83">
        <f>K415-R415</f>
        <v/>
      </c>
      <c r="O415" s="517" t="n">
        <v>45716</v>
      </c>
      <c r="P415" s="517" t="n">
        <v>46445</v>
      </c>
      <c r="Q415" s="83" t="n">
        <v>0</v>
      </c>
      <c r="R415" s="84" t="n">
        <v>0</v>
      </c>
      <c r="S415" s="83" t="n">
        <v>104</v>
      </c>
      <c r="T415" s="84" t="n">
        <v>383182800</v>
      </c>
      <c r="U415" s="83" t="n">
        <v>52</v>
      </c>
      <c r="V415" s="84">
        <f>U415*L415</f>
        <v/>
      </c>
      <c r="W415" s="83">
        <f>Q415+S415-U415</f>
        <v/>
      </c>
      <c r="X415" s="84">
        <f>R415+T415-V415</f>
        <v/>
      </c>
      <c r="Y415" s="85" t="inlineStr">
        <is>
          <t>P221ZZKI01</t>
        </is>
      </c>
      <c r="Z415" s="86" t="inlineStr">
        <is>
          <t>15661</t>
        </is>
      </c>
      <c r="AA415" s="86" t="inlineStr">
        <is>
          <t>33561</t>
        </is>
      </c>
      <c r="AB415" s="86" t="inlineStr">
        <is>
          <t>6277651</t>
        </is>
      </c>
      <c r="AC415" s="86" t="inlineStr">
        <is>
          <t>Kids</t>
        </is>
      </c>
      <c r="AD415" s="76">
        <f>COUNTIF('KK1. Movies'!AI:AI,'TK 15661.Bản quyền phim '!F415)</f>
        <v/>
      </c>
      <c r="AE415" s="76">
        <f>COUNTIF('KK2. Series'!AM:AM,'TK 15661.Bản quyền phim '!F415)</f>
        <v/>
      </c>
      <c r="AF415" s="76">
        <f>COUNTIF('KK3. Kids'!AF:AF,'TK 15661.Bản quyền phim '!F415)</f>
        <v/>
      </c>
      <c r="AG415" s="76" t="n"/>
      <c r="AH415" s="76">
        <f>IF(SUM(AD415:AG415)&gt;0,"OK",0)</f>
        <v/>
      </c>
    </row>
    <row r="416" hidden="1" ht="15.6" customHeight="1" s="578">
      <c r="B416" s="74" t="inlineStr">
        <is>
          <t>K+1MOV025114</t>
        </is>
      </c>
      <c r="C416" s="708" t="inlineStr">
        <is>
          <t>USD</t>
        </is>
      </c>
      <c r="D416" s="708" t="inlineStr">
        <is>
          <t>S0002418</t>
        </is>
      </c>
      <c r="E416" s="708" t="inlineStr">
        <is>
          <t>UNIVERSAL CITY STUDIOS PRODUCTIONS LLLP</t>
        </is>
      </c>
      <c r="F416" s="708" t="inlineStr">
        <is>
          <t>NOPE</t>
        </is>
      </c>
      <c r="G416" s="708" t="inlineStr">
        <is>
          <t>Movies International</t>
        </is>
      </c>
      <c r="H416" s="83" t="n">
        <v>1</v>
      </c>
      <c r="I416" s="83" t="n">
        <v>2</v>
      </c>
      <c r="J416" s="83">
        <f>H416*I416</f>
        <v/>
      </c>
      <c r="K416" s="83" t="n">
        <v>130353300</v>
      </c>
      <c r="L416" s="83" t="n">
        <v>65176650</v>
      </c>
      <c r="M416" s="83">
        <f>J416-Q416</f>
        <v/>
      </c>
      <c r="N416" s="83">
        <f>K416-R416</f>
        <v/>
      </c>
      <c r="O416" s="517" t="n">
        <v>45961</v>
      </c>
      <c r="P416" s="517" t="n">
        <v>46690</v>
      </c>
      <c r="Q416" s="83" t="n">
        <v>0</v>
      </c>
      <c r="R416" s="84" t="n">
        <v>0</v>
      </c>
      <c r="S416" s="83" t="n">
        <v>2</v>
      </c>
      <c r="T416" s="84" t="n">
        <v>130353300</v>
      </c>
      <c r="U416" s="83" t="n">
        <v>1</v>
      </c>
      <c r="V416" s="84">
        <f>U416*L416</f>
        <v/>
      </c>
      <c r="W416" s="83">
        <f>Q416+S416-U416</f>
        <v/>
      </c>
      <c r="X416" s="84">
        <f>R416+T416-V416</f>
        <v/>
      </c>
      <c r="Y416" s="85" t="inlineStr">
        <is>
          <t>P221ZZMO01</t>
        </is>
      </c>
      <c r="Z416" s="86" t="inlineStr">
        <is>
          <t>15661</t>
        </is>
      </c>
      <c r="AA416" s="86" t="inlineStr">
        <is>
          <t>33561</t>
        </is>
      </c>
      <c r="AB416" s="86" t="inlineStr">
        <is>
          <t>6277651</t>
        </is>
      </c>
      <c r="AC416" s="87" t="inlineStr">
        <is>
          <t>Movies</t>
        </is>
      </c>
      <c r="AD416" s="76">
        <f>COUNTIF('KK1. Movies'!AI:AI,'TK 15661.Bản quyền phim '!F416)</f>
        <v/>
      </c>
      <c r="AE416" s="76">
        <f>COUNTIF('KK2. Series'!AM:AM,'TK 15661.Bản quyền phim '!F416)</f>
        <v/>
      </c>
      <c r="AF416" s="76">
        <f>COUNTIF('KK3. Kids'!AF:AF,'TK 15661.Bản quyền phim '!F416)</f>
        <v/>
      </c>
      <c r="AG416" s="76" t="n"/>
      <c r="AH416" s="76">
        <f>IF(SUM(AD416:AG416)&gt;0,"OK",0)</f>
        <v/>
      </c>
    </row>
    <row r="417" hidden="1" ht="15.6" customHeight="1" s="578">
      <c r="B417" s="74" t="inlineStr">
        <is>
          <t>K+1MOV025115</t>
        </is>
      </c>
      <c r="C417" s="708" t="inlineStr">
        <is>
          <t>USD</t>
        </is>
      </c>
      <c r="D417" s="708" t="inlineStr">
        <is>
          <t>S0002418</t>
        </is>
      </c>
      <c r="E417" s="708" t="inlineStr">
        <is>
          <t>UNIVERSAL CITY STUDIOS PRODUCTIONS LLLP</t>
        </is>
      </c>
      <c r="F417" s="708" t="inlineStr">
        <is>
          <t>TICKET TO PARADISE</t>
        </is>
      </c>
      <c r="G417" s="708" t="inlineStr">
        <is>
          <t>Movies International</t>
        </is>
      </c>
      <c r="H417" s="83" t="n">
        <v>1</v>
      </c>
      <c r="I417" s="83" t="n">
        <v>2</v>
      </c>
      <c r="J417" s="83">
        <f>H417*I417</f>
        <v/>
      </c>
      <c r="K417" s="83" t="n">
        <v>130353300</v>
      </c>
      <c r="L417" s="83" t="n">
        <v>65176650</v>
      </c>
      <c r="M417" s="83">
        <f>J417-Q417</f>
        <v/>
      </c>
      <c r="N417" s="83">
        <f>K417-R417</f>
        <v/>
      </c>
      <c r="O417" s="517" t="n">
        <v>45973</v>
      </c>
      <c r="P417" s="517" t="n">
        <v>46702</v>
      </c>
      <c r="Q417" s="83" t="n">
        <v>0</v>
      </c>
      <c r="R417" s="84" t="n">
        <v>0</v>
      </c>
      <c r="S417" s="83" t="n">
        <v>2</v>
      </c>
      <c r="T417" s="84" t="n">
        <v>130353300</v>
      </c>
      <c r="U417" s="83" t="n">
        <v>1</v>
      </c>
      <c r="V417" s="84">
        <f>U417*L417</f>
        <v/>
      </c>
      <c r="W417" s="83">
        <f>Q417+S417-U417</f>
        <v/>
      </c>
      <c r="X417" s="84">
        <f>R417+T417-V417</f>
        <v/>
      </c>
      <c r="Y417" s="85" t="inlineStr">
        <is>
          <t>P221ZZMO01</t>
        </is>
      </c>
      <c r="Z417" s="86" t="inlineStr">
        <is>
          <t>15661</t>
        </is>
      </c>
      <c r="AA417" s="86" t="inlineStr">
        <is>
          <t>33561</t>
        </is>
      </c>
      <c r="AB417" s="86" t="inlineStr">
        <is>
          <t>6277651</t>
        </is>
      </c>
      <c r="AC417" s="87" t="inlineStr">
        <is>
          <t>Movies</t>
        </is>
      </c>
      <c r="AD417" s="76">
        <f>COUNTIF('KK1. Movies'!AI:AI,'TK 15661.Bản quyền phim '!F417)</f>
        <v/>
      </c>
      <c r="AE417" s="76">
        <f>COUNTIF('KK2. Series'!AM:AM,'TK 15661.Bản quyền phim '!F417)</f>
        <v/>
      </c>
      <c r="AF417" s="76">
        <f>COUNTIF('KK3. Kids'!AF:AF,'TK 15661.Bản quyền phim '!F417)</f>
        <v/>
      </c>
      <c r="AG417" s="76" t="n"/>
      <c r="AH417" s="76">
        <f>IF(SUM(AD417:AG417)&gt;0,"OK",0)</f>
        <v/>
      </c>
    </row>
    <row r="418" hidden="1" ht="15.6" customHeight="1" s="578">
      <c r="B418" s="74" t="inlineStr">
        <is>
          <t>K+1MOV025116</t>
        </is>
      </c>
      <c r="C418" s="708" t="inlineStr">
        <is>
          <t>USD</t>
        </is>
      </c>
      <c r="D418" s="708" t="inlineStr">
        <is>
          <t>S0002418</t>
        </is>
      </c>
      <c r="E418" s="708" t="inlineStr">
        <is>
          <t>UNIVERSAL CITY STUDIOS PRODUCTIONS LLLP</t>
        </is>
      </c>
      <c r="F418" s="708" t="inlineStr">
        <is>
          <t>BEAST (2022)</t>
        </is>
      </c>
      <c r="G418" s="708" t="inlineStr">
        <is>
          <t>Movies International</t>
        </is>
      </c>
      <c r="H418" s="83" t="n">
        <v>1</v>
      </c>
      <c r="I418" s="83" t="n">
        <v>2</v>
      </c>
      <c r="J418" s="83">
        <f>H418*I418</f>
        <v/>
      </c>
      <c r="K418" s="83" t="n">
        <v>100623600</v>
      </c>
      <c r="L418" s="83" t="n">
        <v>50311800</v>
      </c>
      <c r="M418" s="83">
        <f>J418-Q418</f>
        <v/>
      </c>
      <c r="N418" s="83">
        <f>K418-R418</f>
        <v/>
      </c>
      <c r="O418" s="517" t="n">
        <v>45897</v>
      </c>
      <c r="P418" s="517" t="n">
        <v>46626</v>
      </c>
      <c r="Q418" s="83" t="n">
        <v>0</v>
      </c>
      <c r="R418" s="84" t="n">
        <v>0</v>
      </c>
      <c r="S418" s="83" t="n">
        <v>2</v>
      </c>
      <c r="T418" s="84" t="n">
        <v>100623600</v>
      </c>
      <c r="U418" s="83" t="n">
        <v>1</v>
      </c>
      <c r="V418" s="84">
        <f>U418*L418</f>
        <v/>
      </c>
      <c r="W418" s="83">
        <f>Q418+S418-U418</f>
        <v/>
      </c>
      <c r="X418" s="84">
        <f>R418+T418-V418</f>
        <v/>
      </c>
      <c r="Y418" s="85" t="inlineStr">
        <is>
          <t>P221ZZMO01</t>
        </is>
      </c>
      <c r="Z418" s="86" t="inlineStr">
        <is>
          <t>15661</t>
        </is>
      </c>
      <c r="AA418" s="86" t="inlineStr">
        <is>
          <t>33561</t>
        </is>
      </c>
      <c r="AB418" s="86" t="inlineStr">
        <is>
          <t>6277651</t>
        </is>
      </c>
      <c r="AC418" s="87" t="inlineStr">
        <is>
          <t>Movies</t>
        </is>
      </c>
      <c r="AD418" s="76">
        <f>COUNTIF('KK1. Movies'!AI:AI,'TK 15661.Bản quyền phim '!F418)</f>
        <v/>
      </c>
      <c r="AE418" s="76">
        <f>COUNTIF('KK2. Series'!AM:AM,'TK 15661.Bản quyền phim '!F418)</f>
        <v/>
      </c>
      <c r="AF418" s="76">
        <f>COUNTIF('KK3. Kids'!AF:AF,'TK 15661.Bản quyền phim '!F418)</f>
        <v/>
      </c>
      <c r="AG418" s="76" t="n"/>
      <c r="AH418" s="76">
        <f>IF(SUM(AD418:AG418)&gt;0,"OK",0)</f>
        <v/>
      </c>
    </row>
    <row r="419" hidden="1" ht="15.6" customHeight="1" s="578">
      <c r="B419" s="74" t="inlineStr">
        <is>
          <t>K+1MOV025117</t>
        </is>
      </c>
      <c r="C419" s="708" t="inlineStr">
        <is>
          <t>USD</t>
        </is>
      </c>
      <c r="D419" s="708" t="inlineStr">
        <is>
          <t>S0002418</t>
        </is>
      </c>
      <c r="E419" s="708" t="inlineStr">
        <is>
          <t>UNIVERSAL CITY STUDIOS PRODUCTIONS LLLP</t>
        </is>
      </c>
      <c r="F419" s="708" t="inlineStr">
        <is>
          <t>BELFAST</t>
        </is>
      </c>
      <c r="G419" s="708" t="inlineStr">
        <is>
          <t>Movies International</t>
        </is>
      </c>
      <c r="H419" s="83" t="n">
        <v>1</v>
      </c>
      <c r="I419" s="83" t="n">
        <v>2</v>
      </c>
      <c r="J419" s="83">
        <f>H419*I419</f>
        <v/>
      </c>
      <c r="K419" s="83" t="n">
        <v>100623600</v>
      </c>
      <c r="L419" s="83" t="n">
        <v>50311800</v>
      </c>
      <c r="M419" s="83">
        <f>J419-Q419</f>
        <v/>
      </c>
      <c r="N419" s="83">
        <f>K419-R419</f>
        <v/>
      </c>
      <c r="O419" s="517" t="n">
        <v>45714</v>
      </c>
      <c r="P419" s="517" t="n">
        <v>46443</v>
      </c>
      <c r="Q419" s="83" t="n">
        <v>0</v>
      </c>
      <c r="R419" s="84" t="n">
        <v>0</v>
      </c>
      <c r="S419" s="83" t="n">
        <v>2</v>
      </c>
      <c r="T419" s="84" t="n">
        <v>100623600</v>
      </c>
      <c r="U419" s="83" t="n">
        <v>1</v>
      </c>
      <c r="V419" s="84">
        <f>U419*L419</f>
        <v/>
      </c>
      <c r="W419" s="83">
        <f>Q419+S419-U419</f>
        <v/>
      </c>
      <c r="X419" s="84">
        <f>R419+T419-V419</f>
        <v/>
      </c>
      <c r="Y419" s="85" t="inlineStr">
        <is>
          <t>P221ZZMO01</t>
        </is>
      </c>
      <c r="Z419" s="86" t="inlineStr">
        <is>
          <t>15661</t>
        </is>
      </c>
      <c r="AA419" s="86" t="inlineStr">
        <is>
          <t>33561</t>
        </is>
      </c>
      <c r="AB419" s="86" t="inlineStr">
        <is>
          <t>6277651</t>
        </is>
      </c>
      <c r="AC419" s="87" t="inlineStr">
        <is>
          <t>Movies</t>
        </is>
      </c>
      <c r="AD419" s="76">
        <f>COUNTIF('KK1. Movies'!AI:AI,'TK 15661.Bản quyền phim '!F419)</f>
        <v/>
      </c>
      <c r="AE419" s="76">
        <f>COUNTIF('KK2. Series'!AM:AM,'TK 15661.Bản quyền phim '!F419)</f>
        <v/>
      </c>
      <c r="AF419" s="76">
        <f>COUNTIF('KK3. Kids'!AF:AF,'TK 15661.Bản quyền phim '!F419)</f>
        <v/>
      </c>
      <c r="AG419" s="76" t="n"/>
      <c r="AH419" s="76">
        <f>IF(SUM(AD419:AG419)&gt;0,"OK",0)</f>
        <v/>
      </c>
    </row>
    <row r="420" hidden="1" ht="15.6" customHeight="1" s="578">
      <c r="B420" s="74" t="inlineStr">
        <is>
          <t>K+1MOV025118</t>
        </is>
      </c>
      <c r="C420" s="708" t="inlineStr">
        <is>
          <t>USD</t>
        </is>
      </c>
      <c r="D420" s="708" t="inlineStr">
        <is>
          <t>S0002418</t>
        </is>
      </c>
      <c r="E420" s="708" t="inlineStr">
        <is>
          <t>UNIVERSAL CITY STUDIOS PRODUCTIONS LLLP</t>
        </is>
      </c>
      <c r="F420" s="708" t="inlineStr">
        <is>
          <t>BOOK CLUB: THE NEXT CHAPTER</t>
        </is>
      </c>
      <c r="G420" s="708" t="inlineStr">
        <is>
          <t>Movies International</t>
        </is>
      </c>
      <c r="H420" s="83" t="n">
        <v>1</v>
      </c>
      <c r="I420" s="83" t="n">
        <v>2</v>
      </c>
      <c r="J420" s="83">
        <f>H420*I420</f>
        <v/>
      </c>
      <c r="K420" s="83" t="n">
        <v>100623600</v>
      </c>
      <c r="L420" s="83" t="n">
        <v>50311800</v>
      </c>
      <c r="M420" s="83">
        <f>J420-Q420</f>
        <v/>
      </c>
      <c r="N420" s="83">
        <f>K420-R420</f>
        <v/>
      </c>
      <c r="O420" s="517" t="n">
        <v>45956</v>
      </c>
      <c r="P420" s="517" t="n">
        <v>46685</v>
      </c>
      <c r="Q420" s="83" t="n">
        <v>0</v>
      </c>
      <c r="R420" s="84" t="n">
        <v>0</v>
      </c>
      <c r="S420" s="83" t="n">
        <v>2</v>
      </c>
      <c r="T420" s="84" t="n">
        <v>100623600</v>
      </c>
      <c r="U420" s="83" t="n">
        <v>1</v>
      </c>
      <c r="V420" s="84">
        <f>U420*L420</f>
        <v/>
      </c>
      <c r="W420" s="83">
        <f>Q420+S420-U420</f>
        <v/>
      </c>
      <c r="X420" s="84">
        <f>R420+T420-V420</f>
        <v/>
      </c>
      <c r="Y420" s="85" t="inlineStr">
        <is>
          <t>P221ZZMO01</t>
        </is>
      </c>
      <c r="Z420" s="86" t="inlineStr">
        <is>
          <t>15661</t>
        </is>
      </c>
      <c r="AA420" s="86" t="inlineStr">
        <is>
          <t>33561</t>
        </is>
      </c>
      <c r="AB420" s="86" t="inlineStr">
        <is>
          <t>6277651</t>
        </is>
      </c>
      <c r="AC420" s="87" t="inlineStr">
        <is>
          <t>Movies</t>
        </is>
      </c>
      <c r="AD420" s="76">
        <f>COUNTIF('KK1. Movies'!AI:AI,'TK 15661.Bản quyền phim '!F420)</f>
        <v/>
      </c>
      <c r="AE420" s="76">
        <f>COUNTIF('KK2. Series'!AM:AM,'TK 15661.Bản quyền phim '!F420)</f>
        <v/>
      </c>
      <c r="AF420" s="76">
        <f>COUNTIF('KK3. Kids'!AF:AF,'TK 15661.Bản quyền phim '!F420)</f>
        <v/>
      </c>
      <c r="AG420" s="76" t="n"/>
      <c r="AH420" s="76">
        <f>IF(SUM(AD420:AG420)&gt;0,"OK",0)</f>
        <v/>
      </c>
    </row>
    <row r="421" hidden="1" ht="15.6" customHeight="1" s="578">
      <c r="B421" s="74" t="inlineStr">
        <is>
          <t>K+1MOV025119</t>
        </is>
      </c>
      <c r="C421" s="708" t="inlineStr">
        <is>
          <t>USD</t>
        </is>
      </c>
      <c r="D421" s="708" t="inlineStr">
        <is>
          <t>S0002418</t>
        </is>
      </c>
      <c r="E421" s="708" t="inlineStr">
        <is>
          <t>UNIVERSAL CITY STUDIOS PRODUCTIONS LLLP</t>
        </is>
      </c>
      <c r="F421" s="708" t="inlineStr">
        <is>
          <t>MRS. HARRIS GOES TO PARIS</t>
        </is>
      </c>
      <c r="G421" s="708" t="inlineStr">
        <is>
          <t>Movies International</t>
        </is>
      </c>
      <c r="H421" s="83" t="n">
        <v>1</v>
      </c>
      <c r="I421" s="83" t="n">
        <v>2</v>
      </c>
      <c r="J421" s="83">
        <f>H421*I421</f>
        <v/>
      </c>
      <c r="K421" s="83" t="n">
        <v>100623600</v>
      </c>
      <c r="L421" s="83" t="n">
        <v>50311800</v>
      </c>
      <c r="M421" s="83">
        <f>J421-Q421</f>
        <v/>
      </c>
      <c r="N421" s="83">
        <f>K421-R421</f>
        <v/>
      </c>
      <c r="O421" s="517" t="n">
        <v>45711</v>
      </c>
      <c r="P421" s="517" t="n">
        <v>46440</v>
      </c>
      <c r="Q421" s="83" t="n">
        <v>0</v>
      </c>
      <c r="R421" s="84" t="n">
        <v>0</v>
      </c>
      <c r="S421" s="83" t="n">
        <v>2</v>
      </c>
      <c r="T421" s="84" t="n">
        <v>100623600</v>
      </c>
      <c r="U421" s="83" t="n">
        <v>1</v>
      </c>
      <c r="V421" s="84">
        <f>U421*L421</f>
        <v/>
      </c>
      <c r="W421" s="83">
        <f>Q421+S421-U421</f>
        <v/>
      </c>
      <c r="X421" s="84">
        <f>R421+T421-V421</f>
        <v/>
      </c>
      <c r="Y421" s="85" t="inlineStr">
        <is>
          <t>P221ZZMO01</t>
        </is>
      </c>
      <c r="Z421" s="86" t="inlineStr">
        <is>
          <t>15661</t>
        </is>
      </c>
      <c r="AA421" s="86" t="inlineStr">
        <is>
          <t>33561</t>
        </is>
      </c>
      <c r="AB421" s="86" t="inlineStr">
        <is>
          <t>6277651</t>
        </is>
      </c>
      <c r="AC421" s="87" t="inlineStr">
        <is>
          <t>Movies</t>
        </is>
      </c>
      <c r="AD421" s="76">
        <f>COUNTIF('KK1. Movies'!AI:AI,'TK 15661.Bản quyền phim '!F421)</f>
        <v/>
      </c>
      <c r="AE421" s="76">
        <f>COUNTIF('KK2. Series'!AM:AM,'TK 15661.Bản quyền phim '!F421)</f>
        <v/>
      </c>
      <c r="AF421" s="76">
        <f>COUNTIF('KK3. Kids'!AF:AF,'TK 15661.Bản quyền phim '!F421)</f>
        <v/>
      </c>
      <c r="AG421" s="76" t="n"/>
      <c r="AH421" s="76">
        <f>IF(SUM(AD421:AG421)&gt;0,"OK",0)</f>
        <v/>
      </c>
    </row>
    <row r="422" hidden="1" ht="15.6" customHeight="1" s="578">
      <c r="B422" s="74" t="inlineStr">
        <is>
          <t>K+1MOV025120</t>
        </is>
      </c>
      <c r="C422" s="708" t="inlineStr">
        <is>
          <t>USD</t>
        </is>
      </c>
      <c r="D422" s="708" t="inlineStr">
        <is>
          <t>S0002418</t>
        </is>
      </c>
      <c r="E422" s="708" t="inlineStr">
        <is>
          <t>UNIVERSAL CITY STUDIOS PRODUCTIONS LLLP</t>
        </is>
      </c>
      <c r="F422" s="708" t="inlineStr">
        <is>
          <t>TAR</t>
        </is>
      </c>
      <c r="G422" s="708" t="inlineStr">
        <is>
          <t>Movies International</t>
        </is>
      </c>
      <c r="H422" s="83" t="n">
        <v>1</v>
      </c>
      <c r="I422" s="83" t="n">
        <v>2</v>
      </c>
      <c r="J422" s="83">
        <f>H422*I422</f>
        <v/>
      </c>
      <c r="K422" s="83" t="n">
        <v>100623600</v>
      </c>
      <c r="L422" s="83" t="n">
        <v>50311800</v>
      </c>
      <c r="M422" s="83">
        <f>J422-Q422</f>
        <v/>
      </c>
      <c r="N422" s="83">
        <f>K422-R422</f>
        <v/>
      </c>
      <c r="O422" s="517" t="n">
        <v>45770</v>
      </c>
      <c r="P422" s="517" t="n">
        <v>46499</v>
      </c>
      <c r="Q422" s="83" t="n">
        <v>0</v>
      </c>
      <c r="R422" s="84" t="n">
        <v>0</v>
      </c>
      <c r="S422" s="83" t="n">
        <v>2</v>
      </c>
      <c r="T422" s="84" t="n">
        <v>100623600</v>
      </c>
      <c r="U422" s="83" t="n">
        <v>1</v>
      </c>
      <c r="V422" s="84">
        <f>U422*L422</f>
        <v/>
      </c>
      <c r="W422" s="83">
        <f>Q422+S422-U422</f>
        <v/>
      </c>
      <c r="X422" s="84">
        <f>R422+T422-V422</f>
        <v/>
      </c>
      <c r="Y422" s="85" t="inlineStr">
        <is>
          <t>P221ZZMO01</t>
        </is>
      </c>
      <c r="Z422" s="86" t="inlineStr">
        <is>
          <t>15661</t>
        </is>
      </c>
      <c r="AA422" s="86" t="inlineStr">
        <is>
          <t>33561</t>
        </is>
      </c>
      <c r="AB422" s="86" t="inlineStr">
        <is>
          <t>6277651</t>
        </is>
      </c>
      <c r="AC422" s="87" t="inlineStr">
        <is>
          <t>Movies</t>
        </is>
      </c>
      <c r="AD422" s="76">
        <f>COUNTIF('KK1. Movies'!AI:AI,'TK 15661.Bản quyền phim '!F422)</f>
        <v/>
      </c>
      <c r="AE422" s="76">
        <f>COUNTIF('KK2. Series'!AM:AM,'TK 15661.Bản quyền phim '!F422)</f>
        <v/>
      </c>
      <c r="AF422" s="76">
        <f>COUNTIF('KK3. Kids'!AF:AF,'TK 15661.Bản quyền phim '!F422)</f>
        <v/>
      </c>
      <c r="AG422" s="76" t="n"/>
      <c r="AH422" s="76">
        <f>IF(SUM(AD422:AG422)&gt;0,"OK",0)</f>
        <v/>
      </c>
    </row>
    <row r="423" hidden="1" ht="15.6" customHeight="1" s="578">
      <c r="B423" s="74" t="inlineStr">
        <is>
          <t>K+1MOV025121</t>
        </is>
      </c>
      <c r="C423" s="708" t="inlineStr">
        <is>
          <t>USD</t>
        </is>
      </c>
      <c r="D423" s="708" t="inlineStr">
        <is>
          <t>S0002418</t>
        </is>
      </c>
      <c r="E423" s="708" t="inlineStr">
        <is>
          <t>UNIVERSAL CITY STUDIOS PRODUCTIONS LLLP</t>
        </is>
      </c>
      <c r="F423" s="708" t="inlineStr">
        <is>
          <t>VIOLENT NIGHT</t>
        </is>
      </c>
      <c r="G423" s="708" t="inlineStr">
        <is>
          <t>Movies International</t>
        </is>
      </c>
      <c r="H423" s="83" t="n">
        <v>1</v>
      </c>
      <c r="I423" s="83" t="n">
        <v>2</v>
      </c>
      <c r="J423" s="83">
        <f>H423*I423</f>
        <v/>
      </c>
      <c r="K423" s="83" t="n">
        <v>100623600</v>
      </c>
      <c r="L423" s="83" t="n">
        <v>50311800</v>
      </c>
      <c r="M423" s="83">
        <f>J423-Q423</f>
        <v/>
      </c>
      <c r="N423" s="83">
        <f>K423-R423</f>
        <v/>
      </c>
      <c r="O423" s="517" t="n">
        <v>45946</v>
      </c>
      <c r="P423" s="517" t="n">
        <v>46675</v>
      </c>
      <c r="Q423" s="83" t="n">
        <v>0</v>
      </c>
      <c r="R423" s="84" t="n">
        <v>0</v>
      </c>
      <c r="S423" s="83" t="n">
        <v>2</v>
      </c>
      <c r="T423" s="84" t="n">
        <v>100623600</v>
      </c>
      <c r="U423" s="83" t="n">
        <v>1</v>
      </c>
      <c r="V423" s="84">
        <f>U423*L423</f>
        <v/>
      </c>
      <c r="W423" s="83">
        <f>Q423+S423-U423</f>
        <v/>
      </c>
      <c r="X423" s="84">
        <f>R423+T423-V423</f>
        <v/>
      </c>
      <c r="Y423" s="85" t="inlineStr">
        <is>
          <t>P221ZZMO01</t>
        </is>
      </c>
      <c r="Z423" s="86" t="inlineStr">
        <is>
          <t>15661</t>
        </is>
      </c>
      <c r="AA423" s="86" t="inlineStr">
        <is>
          <t>33561</t>
        </is>
      </c>
      <c r="AB423" s="86" t="inlineStr">
        <is>
          <t>6277651</t>
        </is>
      </c>
      <c r="AC423" s="87" t="inlineStr">
        <is>
          <t>Movies</t>
        </is>
      </c>
      <c r="AD423" s="76">
        <f>COUNTIF('KK1. Movies'!AI:AI,'TK 15661.Bản quyền phim '!F423)</f>
        <v/>
      </c>
      <c r="AE423" s="76">
        <f>COUNTIF('KK2. Series'!AM:AM,'TK 15661.Bản quyền phim '!F423)</f>
        <v/>
      </c>
      <c r="AF423" s="76">
        <f>COUNTIF('KK3. Kids'!AF:AF,'TK 15661.Bản quyền phim '!F423)</f>
        <v/>
      </c>
      <c r="AG423" s="76" t="n"/>
      <c r="AH423" s="76">
        <f>IF(SUM(AD423:AG423)&gt;0,"OK",0)</f>
        <v/>
      </c>
    </row>
    <row r="424" hidden="1" ht="15.6" customHeight="1" s="578">
      <c r="B424" s="74" t="inlineStr">
        <is>
          <t>K+1MOV025122</t>
        </is>
      </c>
      <c r="C424" s="708" t="inlineStr">
        <is>
          <t>USD</t>
        </is>
      </c>
      <c r="D424" s="708" t="inlineStr">
        <is>
          <t>S0002418</t>
        </is>
      </c>
      <c r="E424" s="708" t="inlineStr">
        <is>
          <t>UNIVERSAL CITY STUDIOS PRODUCTIONS LLLP</t>
        </is>
      </c>
      <c r="F424" s="708" t="inlineStr">
        <is>
          <t>ARMAGEDDON TIME</t>
        </is>
      </c>
      <c r="G424" s="708" t="inlineStr">
        <is>
          <t>Movies International</t>
        </is>
      </c>
      <c r="H424" s="83" t="n">
        <v>1</v>
      </c>
      <c r="I424" s="83" t="n">
        <v>2</v>
      </c>
      <c r="J424" s="83">
        <f>H424*I424</f>
        <v/>
      </c>
      <c r="K424" s="83" t="n">
        <v>78516900</v>
      </c>
      <c r="L424" s="83" t="n">
        <v>39258450</v>
      </c>
      <c r="M424" s="83">
        <f>J424-Q424</f>
        <v/>
      </c>
      <c r="N424" s="83">
        <f>K424-R424</f>
        <v/>
      </c>
      <c r="O424" s="517" t="n">
        <v>45762</v>
      </c>
      <c r="P424" s="517" t="n">
        <v>46491</v>
      </c>
      <c r="Q424" s="83" t="n">
        <v>0</v>
      </c>
      <c r="R424" s="84" t="n">
        <v>0</v>
      </c>
      <c r="S424" s="83" t="n">
        <v>2</v>
      </c>
      <c r="T424" s="84" t="n">
        <v>78516900</v>
      </c>
      <c r="U424" s="83" t="n">
        <v>1</v>
      </c>
      <c r="V424" s="84">
        <f>U424*L424</f>
        <v/>
      </c>
      <c r="W424" s="83">
        <f>Q424+S424-U424</f>
        <v/>
      </c>
      <c r="X424" s="84">
        <f>R424+T424-V424</f>
        <v/>
      </c>
      <c r="Y424" s="85" t="inlineStr">
        <is>
          <t>P221ZZMO01</t>
        </is>
      </c>
      <c r="Z424" s="86" t="inlineStr">
        <is>
          <t>15661</t>
        </is>
      </c>
      <c r="AA424" s="86" t="inlineStr">
        <is>
          <t>33561</t>
        </is>
      </c>
      <c r="AB424" s="86" t="inlineStr">
        <is>
          <t>6277651</t>
        </is>
      </c>
      <c r="AC424" s="87" t="inlineStr">
        <is>
          <t>Movies</t>
        </is>
      </c>
      <c r="AD424" s="76">
        <f>COUNTIF('KK1. Movies'!AI:AI,'TK 15661.Bản quyền phim '!F424)</f>
        <v/>
      </c>
      <c r="AE424" s="76">
        <f>COUNTIF('KK2. Series'!AM:AM,'TK 15661.Bản quyền phim '!F424)</f>
        <v/>
      </c>
      <c r="AF424" s="76">
        <f>COUNTIF('KK3. Kids'!AF:AF,'TK 15661.Bản quyền phim '!F424)</f>
        <v/>
      </c>
      <c r="AG424" s="76" t="n"/>
      <c r="AH424" s="76">
        <f>IF(SUM(AD424:AG424)&gt;0,"OK",0)</f>
        <v/>
      </c>
    </row>
    <row r="425" hidden="1" ht="15.6" customHeight="1" s="578">
      <c r="B425" s="74" t="inlineStr">
        <is>
          <t>K+2MOV025123</t>
        </is>
      </c>
      <c r="C425" s="708" t="inlineStr">
        <is>
          <t>USD</t>
        </is>
      </c>
      <c r="D425" s="708" t="inlineStr">
        <is>
          <t>S0002418</t>
        </is>
      </c>
      <c r="E425" s="708" t="inlineStr">
        <is>
          <t>UNIVERSAL CITY STUDIOS PRODUCTIONS LLLP</t>
        </is>
      </c>
      <c r="F425" s="708" t="inlineStr">
        <is>
          <t>BREAKING</t>
        </is>
      </c>
      <c r="G425" s="708" t="inlineStr">
        <is>
          <t>Movies International</t>
        </is>
      </c>
      <c r="H425" s="83" t="n">
        <v>1</v>
      </c>
      <c r="I425" s="83" t="n">
        <v>2</v>
      </c>
      <c r="J425" s="83">
        <f>H425*I425</f>
        <v/>
      </c>
      <c r="K425" s="83" t="n">
        <v>78516900</v>
      </c>
      <c r="L425" s="83" t="n">
        <v>39258450</v>
      </c>
      <c r="M425" s="83">
        <f>J425-Q425</f>
        <v/>
      </c>
      <c r="N425" s="83">
        <f>K425-R425</f>
        <v/>
      </c>
      <c r="O425" s="517" t="n">
        <v>45792</v>
      </c>
      <c r="P425" s="517" t="n">
        <v>46521</v>
      </c>
      <c r="Q425" s="83" t="n">
        <v>0</v>
      </c>
      <c r="R425" s="84" t="n">
        <v>0</v>
      </c>
      <c r="S425" s="83" t="n">
        <v>2</v>
      </c>
      <c r="T425" s="84" t="n">
        <v>78516900</v>
      </c>
      <c r="U425" s="83" t="n">
        <v>1</v>
      </c>
      <c r="V425" s="84">
        <f>U425*L425</f>
        <v/>
      </c>
      <c r="W425" s="83">
        <f>Q425+S425-U425</f>
        <v/>
      </c>
      <c r="X425" s="84">
        <f>R425+T425-V425</f>
        <v/>
      </c>
      <c r="Y425" s="85" t="inlineStr">
        <is>
          <t>P221ZZMO01</t>
        </is>
      </c>
      <c r="Z425" s="86" t="inlineStr">
        <is>
          <t>15661</t>
        </is>
      </c>
      <c r="AA425" s="86" t="inlineStr">
        <is>
          <t>33561</t>
        </is>
      </c>
      <c r="AB425" s="86" t="inlineStr">
        <is>
          <t>6277651</t>
        </is>
      </c>
      <c r="AC425" s="87" t="inlineStr">
        <is>
          <t>Movies</t>
        </is>
      </c>
      <c r="AD425" s="76">
        <f>COUNTIF('KK1. Movies'!AI:AI,'TK 15661.Bản quyền phim '!F425)</f>
        <v/>
      </c>
      <c r="AE425" s="76">
        <f>COUNTIF('KK2. Series'!AM:AM,'TK 15661.Bản quyền phim '!F425)</f>
        <v/>
      </c>
      <c r="AF425" s="76">
        <f>COUNTIF('KK3. Kids'!AF:AF,'TK 15661.Bản quyền phim '!F425)</f>
        <v/>
      </c>
      <c r="AG425" s="76" t="n"/>
      <c r="AH425" s="76">
        <f>IF(SUM(AD425:AG425)&gt;0,"OK",0)</f>
        <v/>
      </c>
    </row>
    <row r="426" hidden="1" ht="15.6" customHeight="1" s="578">
      <c r="B426" s="74" t="inlineStr">
        <is>
          <t>K+2MOV025124</t>
        </is>
      </c>
      <c r="C426" s="708" t="inlineStr">
        <is>
          <t>USD</t>
        </is>
      </c>
      <c r="D426" s="708" t="inlineStr">
        <is>
          <t>S0002418</t>
        </is>
      </c>
      <c r="E426" s="708" t="inlineStr">
        <is>
          <t>UNIVERSAL CITY STUDIOS PRODUCTIONS LLLP</t>
        </is>
      </c>
      <c r="F426" s="708" t="inlineStr">
        <is>
          <t>DEAD FOR A DOLLAR</t>
        </is>
      </c>
      <c r="G426" s="708" t="inlineStr">
        <is>
          <t>Movies International</t>
        </is>
      </c>
      <c r="H426" s="83" t="n">
        <v>1</v>
      </c>
      <c r="I426" s="83" t="n">
        <v>2</v>
      </c>
      <c r="J426" s="83">
        <f>H426*I426</f>
        <v/>
      </c>
      <c r="K426" s="83" t="n">
        <v>78516900</v>
      </c>
      <c r="L426" s="83" t="n">
        <v>39258450</v>
      </c>
      <c r="M426" s="83">
        <f>J426-Q426</f>
        <v/>
      </c>
      <c r="N426" s="83">
        <f>K426-R426</f>
        <v/>
      </c>
      <c r="O426" s="517" t="n">
        <v>45799</v>
      </c>
      <c r="P426" s="517" t="n">
        <v>46528</v>
      </c>
      <c r="Q426" s="83" t="n">
        <v>0</v>
      </c>
      <c r="R426" s="84" t="n">
        <v>0</v>
      </c>
      <c r="S426" s="83" t="n">
        <v>2</v>
      </c>
      <c r="T426" s="84" t="n">
        <v>78516900</v>
      </c>
      <c r="U426" s="83" t="n">
        <v>1</v>
      </c>
      <c r="V426" s="84">
        <f>U426*L426</f>
        <v/>
      </c>
      <c r="W426" s="83">
        <f>Q426+S426-U426</f>
        <v/>
      </c>
      <c r="X426" s="84">
        <f>R426+T426-V426</f>
        <v/>
      </c>
      <c r="Y426" s="85" t="inlineStr">
        <is>
          <t>P221ZZMO01</t>
        </is>
      </c>
      <c r="Z426" s="86" t="inlineStr">
        <is>
          <t>15661</t>
        </is>
      </c>
      <c r="AA426" s="86" t="inlineStr">
        <is>
          <t>33561</t>
        </is>
      </c>
      <c r="AB426" s="86" t="inlineStr">
        <is>
          <t>6277651</t>
        </is>
      </c>
      <c r="AC426" s="87" t="inlineStr">
        <is>
          <t>Movies</t>
        </is>
      </c>
      <c r="AD426" s="76">
        <f>COUNTIF('KK1. Movies'!AI:AI,'TK 15661.Bản quyền phim '!F426)</f>
        <v/>
      </c>
      <c r="AE426" s="76">
        <f>COUNTIF('KK2. Series'!AM:AM,'TK 15661.Bản quyền phim '!F426)</f>
        <v/>
      </c>
      <c r="AF426" s="76">
        <f>COUNTIF('KK3. Kids'!AF:AF,'TK 15661.Bản quyền phim '!F426)</f>
        <v/>
      </c>
      <c r="AG426" s="76" t="n"/>
      <c r="AH426" s="76">
        <f>IF(SUM(AD426:AG426)&gt;0,"OK",0)</f>
        <v/>
      </c>
    </row>
    <row r="427" hidden="1" ht="15.6" customHeight="1" s="578">
      <c r="B427" s="74" t="inlineStr">
        <is>
          <t>K+1MOV025125</t>
        </is>
      </c>
      <c r="C427" s="708" t="inlineStr">
        <is>
          <t>USD</t>
        </is>
      </c>
      <c r="D427" s="708" t="inlineStr">
        <is>
          <t>S0002418</t>
        </is>
      </c>
      <c r="E427" s="708" t="inlineStr">
        <is>
          <t>UNIVERSAL CITY STUDIOS PRODUCTIONS LLLP</t>
        </is>
      </c>
      <c r="F427" s="708" t="inlineStr">
        <is>
          <t>GENIE</t>
        </is>
      </c>
      <c r="G427" s="708" t="inlineStr">
        <is>
          <t>Movies International</t>
        </is>
      </c>
      <c r="H427" s="83" t="n">
        <v>1</v>
      </c>
      <c r="I427" s="83" t="n">
        <v>2</v>
      </c>
      <c r="J427" s="83">
        <f>H427*I427</f>
        <v/>
      </c>
      <c r="K427" s="83" t="n">
        <v>78516900</v>
      </c>
      <c r="L427" s="83" t="n">
        <v>39258450</v>
      </c>
      <c r="M427" s="83">
        <f>J427-Q427</f>
        <v/>
      </c>
      <c r="N427" s="83">
        <f>K427-R427</f>
        <v/>
      </c>
      <c r="O427" s="517" t="n">
        <v>46003</v>
      </c>
      <c r="P427" s="517" t="n">
        <v>46732</v>
      </c>
      <c r="Q427" s="83" t="n">
        <v>0</v>
      </c>
      <c r="R427" s="84" t="n">
        <v>0</v>
      </c>
      <c r="S427" s="83" t="n">
        <v>2</v>
      </c>
      <c r="T427" s="84" t="n">
        <v>78516900</v>
      </c>
      <c r="U427" s="83" t="n">
        <v>1</v>
      </c>
      <c r="V427" s="84">
        <f>U427*L427</f>
        <v/>
      </c>
      <c r="W427" s="83">
        <f>Q427+S427-U427</f>
        <v/>
      </c>
      <c r="X427" s="84">
        <f>R427+T427-V427</f>
        <v/>
      </c>
      <c r="Y427" s="85" t="inlineStr">
        <is>
          <t>P221ZZMO01</t>
        </is>
      </c>
      <c r="Z427" s="86" t="inlineStr">
        <is>
          <t>15661</t>
        </is>
      </c>
      <c r="AA427" s="86" t="inlineStr">
        <is>
          <t>33561</t>
        </is>
      </c>
      <c r="AB427" s="86" t="inlineStr">
        <is>
          <t>6277651</t>
        </is>
      </c>
      <c r="AC427" s="87" t="inlineStr">
        <is>
          <t>Movies</t>
        </is>
      </c>
      <c r="AD427" s="76">
        <f>COUNTIF('KK1. Movies'!AI:AI,'TK 15661.Bản quyền phim '!F427)</f>
        <v/>
      </c>
      <c r="AE427" s="76">
        <f>COUNTIF('KK2. Series'!AM:AM,'TK 15661.Bản quyền phim '!F427)</f>
        <v/>
      </c>
      <c r="AF427" s="76">
        <f>COUNTIF('KK3. Kids'!AF:AF,'TK 15661.Bản quyền phim '!F427)</f>
        <v/>
      </c>
      <c r="AG427" s="76" t="n"/>
      <c r="AH427" s="76">
        <f>IF(SUM(AD427:AG427)&gt;0,"OK",0)</f>
        <v/>
      </c>
    </row>
    <row r="428" hidden="1" ht="15.6" customHeight="1" s="578">
      <c r="B428" s="74" t="inlineStr">
        <is>
          <t>K+1MOV025126</t>
        </is>
      </c>
      <c r="C428" s="708" t="inlineStr">
        <is>
          <t>USD</t>
        </is>
      </c>
      <c r="D428" s="708" t="inlineStr">
        <is>
          <t>S0002418</t>
        </is>
      </c>
      <c r="E428" s="708" t="inlineStr">
        <is>
          <t>UNIVERSAL CITY STUDIOS PRODUCTIONS LLLP</t>
        </is>
      </c>
      <c r="F428" s="708" t="inlineStr">
        <is>
          <t>INSIDE (2023)</t>
        </is>
      </c>
      <c r="G428" s="708" t="inlineStr">
        <is>
          <t>Movies International</t>
        </is>
      </c>
      <c r="H428" s="83" t="n">
        <v>1</v>
      </c>
      <c r="I428" s="83" t="n">
        <v>2</v>
      </c>
      <c r="J428" s="83">
        <f>H428*I428</f>
        <v/>
      </c>
      <c r="K428" s="83" t="n">
        <v>78516900</v>
      </c>
      <c r="L428" s="83" t="n">
        <v>39258450</v>
      </c>
      <c r="M428" s="83">
        <f>J428-Q428</f>
        <v/>
      </c>
      <c r="N428" s="83">
        <f>K428-R428</f>
        <v/>
      </c>
      <c r="O428" s="517" t="n">
        <v>45758</v>
      </c>
      <c r="P428" s="517" t="n">
        <v>46487</v>
      </c>
      <c r="Q428" s="83" t="n">
        <v>0</v>
      </c>
      <c r="R428" s="84" t="n">
        <v>0</v>
      </c>
      <c r="S428" s="83" t="n">
        <v>2</v>
      </c>
      <c r="T428" s="84" t="n">
        <v>78516900</v>
      </c>
      <c r="U428" s="83" t="n">
        <v>1</v>
      </c>
      <c r="V428" s="84">
        <f>U428*L428</f>
        <v/>
      </c>
      <c r="W428" s="83">
        <f>Q428+S428-U428</f>
        <v/>
      </c>
      <c r="X428" s="84">
        <f>R428+T428-V428</f>
        <v/>
      </c>
      <c r="Y428" s="85" t="inlineStr">
        <is>
          <t>P221ZZMO01</t>
        </is>
      </c>
      <c r="Z428" s="86" t="inlineStr">
        <is>
          <t>15661</t>
        </is>
      </c>
      <c r="AA428" s="86" t="inlineStr">
        <is>
          <t>33561</t>
        </is>
      </c>
      <c r="AB428" s="86" t="inlineStr">
        <is>
          <t>6277651</t>
        </is>
      </c>
      <c r="AC428" s="87" t="inlineStr">
        <is>
          <t>Movies</t>
        </is>
      </c>
      <c r="AD428" s="76">
        <f>COUNTIF('KK1. Movies'!AI:AI,'TK 15661.Bản quyền phim '!F428)</f>
        <v/>
      </c>
      <c r="AE428" s="76">
        <f>COUNTIF('KK2. Series'!AM:AM,'TK 15661.Bản quyền phim '!F428)</f>
        <v/>
      </c>
      <c r="AF428" s="76">
        <f>COUNTIF('KK3. Kids'!AF:AF,'TK 15661.Bản quyền phim '!F428)</f>
        <v/>
      </c>
      <c r="AG428" s="76" t="n"/>
      <c r="AH428" s="76">
        <f>IF(SUM(AD428:AG428)&gt;0,"OK",0)</f>
        <v/>
      </c>
    </row>
    <row r="429" hidden="1" ht="15.6" customHeight="1" s="578">
      <c r="B429" s="74" t="inlineStr">
        <is>
          <t>K+1MOV025127</t>
        </is>
      </c>
      <c r="C429" s="708" t="inlineStr">
        <is>
          <t>USD</t>
        </is>
      </c>
      <c r="D429" s="708" t="inlineStr">
        <is>
          <t>S0002418</t>
        </is>
      </c>
      <c r="E429" s="708" t="inlineStr">
        <is>
          <t>UNIVERSAL CITY STUDIOS PRODUCTIONS LLLP</t>
        </is>
      </c>
      <c r="F429" s="708" t="inlineStr">
        <is>
          <t>MAFIA MAMMA</t>
        </is>
      </c>
      <c r="G429" s="708" t="inlineStr">
        <is>
          <t>Movies International</t>
        </is>
      </c>
      <c r="H429" s="83" t="n">
        <v>1</v>
      </c>
      <c r="I429" s="83" t="n">
        <v>2</v>
      </c>
      <c r="J429" s="83">
        <f>H429*I429</f>
        <v/>
      </c>
      <c r="K429" s="83" t="n">
        <v>78516900</v>
      </c>
      <c r="L429" s="83" t="n">
        <v>39258450</v>
      </c>
      <c r="M429" s="83">
        <f>J429-Q429</f>
        <v/>
      </c>
      <c r="N429" s="83">
        <f>K429-R429</f>
        <v/>
      </c>
      <c r="O429" s="517" t="n">
        <v>46009</v>
      </c>
      <c r="P429" s="517" t="n">
        <v>46738</v>
      </c>
      <c r="Q429" s="83" t="n">
        <v>0</v>
      </c>
      <c r="R429" s="84" t="n">
        <v>0</v>
      </c>
      <c r="S429" s="83" t="n">
        <v>2</v>
      </c>
      <c r="T429" s="84" t="n">
        <v>78516900</v>
      </c>
      <c r="U429" s="83" t="n">
        <v>1</v>
      </c>
      <c r="V429" s="84">
        <f>U429*L429</f>
        <v/>
      </c>
      <c r="W429" s="83">
        <f>Q429+S429-U429</f>
        <v/>
      </c>
      <c r="X429" s="84">
        <f>R429+T429-V429</f>
        <v/>
      </c>
      <c r="Y429" s="85" t="inlineStr">
        <is>
          <t>P221ZZMO01</t>
        </is>
      </c>
      <c r="Z429" s="86" t="inlineStr">
        <is>
          <t>15661</t>
        </is>
      </c>
      <c r="AA429" s="86" t="inlineStr">
        <is>
          <t>33561</t>
        </is>
      </c>
      <c r="AB429" s="86" t="inlineStr">
        <is>
          <t>6277651</t>
        </is>
      </c>
      <c r="AC429" s="87" t="inlineStr">
        <is>
          <t>Movies</t>
        </is>
      </c>
      <c r="AD429" s="76">
        <f>COUNTIF('KK1. Movies'!AI:AI,'TK 15661.Bản quyền phim '!F429)</f>
        <v/>
      </c>
      <c r="AE429" s="76">
        <f>COUNTIF('KK2. Series'!AM:AM,'TK 15661.Bản quyền phim '!F429)</f>
        <v/>
      </c>
      <c r="AF429" s="76">
        <f>COUNTIF('KK3. Kids'!AF:AF,'TK 15661.Bản quyền phim '!F429)</f>
        <v/>
      </c>
      <c r="AG429" s="76" t="n"/>
      <c r="AH429" s="76">
        <f>IF(SUM(AD429:AG429)&gt;0,"OK",0)</f>
        <v/>
      </c>
    </row>
    <row r="430" hidden="1" ht="15.6" customHeight="1" s="578">
      <c r="B430" s="74" t="inlineStr">
        <is>
          <t>K+1MOV025128</t>
        </is>
      </c>
      <c r="C430" s="708" t="inlineStr">
        <is>
          <t>USD</t>
        </is>
      </c>
      <c r="D430" s="708" t="inlineStr">
        <is>
          <t>S0002418</t>
        </is>
      </c>
      <c r="E430" s="708" t="inlineStr">
        <is>
          <t>UNIVERSAL CITY STUDIOS PRODUCTIONS LLLP</t>
        </is>
      </c>
      <c r="F430" s="708" t="inlineStr">
        <is>
          <t>OUTFIT, THE</t>
        </is>
      </c>
      <c r="G430" s="708" t="inlineStr">
        <is>
          <t>Movies International</t>
        </is>
      </c>
      <c r="H430" s="83" t="n">
        <v>1</v>
      </c>
      <c r="I430" s="83" t="n">
        <v>2</v>
      </c>
      <c r="J430" s="83">
        <f>H430*I430</f>
        <v/>
      </c>
      <c r="K430" s="83" t="n">
        <v>78516900</v>
      </c>
      <c r="L430" s="83" t="n">
        <v>39258450</v>
      </c>
      <c r="M430" s="83">
        <f>J430-Q430</f>
        <v/>
      </c>
      <c r="N430" s="83">
        <f>K430-R430</f>
        <v/>
      </c>
      <c r="O430" s="517" t="n">
        <v>45925</v>
      </c>
      <c r="P430" s="517" t="n">
        <v>46654</v>
      </c>
      <c r="Q430" s="83" t="n">
        <v>0</v>
      </c>
      <c r="R430" s="84" t="n">
        <v>0</v>
      </c>
      <c r="S430" s="83" t="n">
        <v>2</v>
      </c>
      <c r="T430" s="84" t="n">
        <v>78516900</v>
      </c>
      <c r="U430" s="83" t="n">
        <v>1</v>
      </c>
      <c r="V430" s="84">
        <f>U430*L430</f>
        <v/>
      </c>
      <c r="W430" s="83">
        <f>Q430+S430-U430</f>
        <v/>
      </c>
      <c r="X430" s="84">
        <f>R430+T430-V430</f>
        <v/>
      </c>
      <c r="Y430" s="85" t="inlineStr">
        <is>
          <t>P221ZZMO01</t>
        </is>
      </c>
      <c r="Z430" s="86" t="inlineStr">
        <is>
          <t>15661</t>
        </is>
      </c>
      <c r="AA430" s="86" t="inlineStr">
        <is>
          <t>33561</t>
        </is>
      </c>
      <c r="AB430" s="86" t="inlineStr">
        <is>
          <t>6277651</t>
        </is>
      </c>
      <c r="AC430" s="87" t="inlineStr">
        <is>
          <t>Movies</t>
        </is>
      </c>
      <c r="AD430" s="76">
        <f>COUNTIF('KK1. Movies'!AI:AI,'TK 15661.Bản quyền phim '!F430)</f>
        <v/>
      </c>
      <c r="AE430" s="76">
        <f>COUNTIF('KK2. Series'!AM:AM,'TK 15661.Bản quyền phim '!F430)</f>
        <v/>
      </c>
      <c r="AF430" s="76">
        <f>COUNTIF('KK3. Kids'!AF:AF,'TK 15661.Bản quyền phim '!F430)</f>
        <v/>
      </c>
      <c r="AG430" s="76" t="n"/>
      <c r="AH430" s="76">
        <f>IF(SUM(AD430:AG430)&gt;0,"OK",0)</f>
        <v/>
      </c>
    </row>
    <row r="431" hidden="1" ht="15.6" customHeight="1" s="578">
      <c r="B431" s="74" t="inlineStr">
        <is>
          <t>K+1MOV025129</t>
        </is>
      </c>
      <c r="C431" s="708" t="inlineStr">
        <is>
          <t>USD</t>
        </is>
      </c>
      <c r="D431" s="708" t="inlineStr">
        <is>
          <t>S0002418</t>
        </is>
      </c>
      <c r="E431" s="708" t="inlineStr">
        <is>
          <t>UNIVERSAL CITY STUDIOS PRODUCTIONS LLLP</t>
        </is>
      </c>
      <c r="F431" s="708" t="inlineStr">
        <is>
          <t>SHE SAID</t>
        </is>
      </c>
      <c r="G431" s="708" t="inlineStr">
        <is>
          <t>Movies International</t>
        </is>
      </c>
      <c r="H431" s="83" t="n">
        <v>1</v>
      </c>
      <c r="I431" s="83" t="n">
        <v>2</v>
      </c>
      <c r="J431" s="83">
        <f>H431*I431</f>
        <v/>
      </c>
      <c r="K431" s="83" t="n">
        <v>78516900</v>
      </c>
      <c r="L431" s="83" t="n">
        <v>39258450</v>
      </c>
      <c r="M431" s="83">
        <f>J431-Q431</f>
        <v/>
      </c>
      <c r="N431" s="83">
        <f>K431-R431</f>
        <v/>
      </c>
      <c r="O431" s="517" t="n">
        <v>45959</v>
      </c>
      <c r="P431" s="517" t="n">
        <v>46688</v>
      </c>
      <c r="Q431" s="83" t="n">
        <v>0</v>
      </c>
      <c r="R431" s="84" t="n">
        <v>0</v>
      </c>
      <c r="S431" s="83" t="n">
        <v>2</v>
      </c>
      <c r="T431" s="84" t="n">
        <v>78516900</v>
      </c>
      <c r="U431" s="83" t="n">
        <v>1</v>
      </c>
      <c r="V431" s="84">
        <f>U431*L431</f>
        <v/>
      </c>
      <c r="W431" s="83">
        <f>Q431+S431-U431</f>
        <v/>
      </c>
      <c r="X431" s="84">
        <f>R431+T431-V431</f>
        <v/>
      </c>
      <c r="Y431" s="85" t="inlineStr">
        <is>
          <t>P221ZZMO01</t>
        </is>
      </c>
      <c r="Z431" s="86" t="inlineStr">
        <is>
          <t>15661</t>
        </is>
      </c>
      <c r="AA431" s="86" t="inlineStr">
        <is>
          <t>33561</t>
        </is>
      </c>
      <c r="AB431" s="86" t="inlineStr">
        <is>
          <t>6277651</t>
        </is>
      </c>
      <c r="AC431" s="87" t="inlineStr">
        <is>
          <t>Movies</t>
        </is>
      </c>
      <c r="AD431" s="76">
        <f>COUNTIF('KK1. Movies'!AI:AI,'TK 15661.Bản quyền phim '!F431)</f>
        <v/>
      </c>
      <c r="AE431" s="76">
        <f>COUNTIF('KK2. Series'!AM:AM,'TK 15661.Bản quyền phim '!F431)</f>
        <v/>
      </c>
      <c r="AF431" s="76">
        <f>COUNTIF('KK3. Kids'!AF:AF,'TK 15661.Bản quyền phim '!F431)</f>
        <v/>
      </c>
      <c r="AG431" s="76" t="n"/>
      <c r="AH431" s="76">
        <f>IF(SUM(AD431:AG431)&gt;0,"OK",0)</f>
        <v/>
      </c>
    </row>
    <row r="432" hidden="1" ht="15.6" customHeight="1" s="578">
      <c r="B432" s="74" t="inlineStr">
        <is>
          <t>K+2MOV025130</t>
        </is>
      </c>
      <c r="C432" s="708" t="inlineStr">
        <is>
          <t>USD</t>
        </is>
      </c>
      <c r="D432" s="708" t="inlineStr">
        <is>
          <t>S0002418</t>
        </is>
      </c>
      <c r="E432" s="708" t="inlineStr">
        <is>
          <t>UNIVERSAL CITY STUDIOS PRODUCTIONS LLLP</t>
        </is>
      </c>
      <c r="F432" s="708" t="inlineStr">
        <is>
          <t>WATCHER</t>
        </is>
      </c>
      <c r="G432" s="708" t="inlineStr">
        <is>
          <t>Movies International</t>
        </is>
      </c>
      <c r="H432" s="83" t="n">
        <v>1</v>
      </c>
      <c r="I432" s="83" t="n">
        <v>2</v>
      </c>
      <c r="J432" s="83">
        <f>H432*I432</f>
        <v/>
      </c>
      <c r="K432" s="83" t="n">
        <v>78516900</v>
      </c>
      <c r="L432" s="83" t="n">
        <v>39258450</v>
      </c>
      <c r="M432" s="83">
        <f>J432-Q432</f>
        <v/>
      </c>
      <c r="N432" s="83">
        <f>K432-R432</f>
        <v/>
      </c>
      <c r="O432" s="517" t="n">
        <v>45778</v>
      </c>
      <c r="P432" s="517" t="n">
        <v>46507</v>
      </c>
      <c r="Q432" s="83" t="n">
        <v>0</v>
      </c>
      <c r="R432" s="84" t="n">
        <v>0</v>
      </c>
      <c r="S432" s="83" t="n">
        <v>2</v>
      </c>
      <c r="T432" s="84" t="n">
        <v>78516900</v>
      </c>
      <c r="U432" s="83" t="n">
        <v>1</v>
      </c>
      <c r="V432" s="84">
        <f>U432*L432</f>
        <v/>
      </c>
      <c r="W432" s="83">
        <f>Q432+S432-U432</f>
        <v/>
      </c>
      <c r="X432" s="84">
        <f>R432+T432-V432</f>
        <v/>
      </c>
      <c r="Y432" s="85" t="inlineStr">
        <is>
          <t>P221ZZMO01</t>
        </is>
      </c>
      <c r="Z432" s="86" t="inlineStr">
        <is>
          <t>15661</t>
        </is>
      </c>
      <c r="AA432" s="86" t="inlineStr">
        <is>
          <t>33561</t>
        </is>
      </c>
      <c r="AB432" s="86" t="inlineStr">
        <is>
          <t>6277651</t>
        </is>
      </c>
      <c r="AC432" s="87" t="inlineStr">
        <is>
          <t>Movies</t>
        </is>
      </c>
      <c r="AD432" s="76">
        <f>COUNTIF('KK1. Movies'!AI:AI,'TK 15661.Bản quyền phim '!F432)</f>
        <v/>
      </c>
      <c r="AE432" s="76">
        <f>COUNTIF('KK2. Series'!AM:AM,'TK 15661.Bản quyền phim '!F432)</f>
        <v/>
      </c>
      <c r="AF432" s="76">
        <f>COUNTIF('KK3. Kids'!AF:AF,'TK 15661.Bản quyền phim '!F432)</f>
        <v/>
      </c>
      <c r="AG432" s="76" t="n"/>
      <c r="AH432" s="76">
        <f>IF(SUM(AD432:AG432)&gt;0,"OK",0)</f>
        <v/>
      </c>
    </row>
    <row r="433" hidden="1" ht="15.6" customHeight="1" s="578">
      <c r="B433" s="74" t="inlineStr">
        <is>
          <t>K+1MOV025131</t>
        </is>
      </c>
      <c r="C433" s="708" t="inlineStr">
        <is>
          <t>USD</t>
        </is>
      </c>
      <c r="D433" s="708" t="inlineStr">
        <is>
          <t>S0002418</t>
        </is>
      </c>
      <c r="E433" s="708" t="inlineStr">
        <is>
          <t>UNIVERSAL CITY STUDIOS PRODUCTIONS LLLP</t>
        </is>
      </c>
      <c r="F433" s="708" t="inlineStr">
        <is>
          <t>FAST X</t>
        </is>
      </c>
      <c r="G433" s="708" t="inlineStr">
        <is>
          <t>Movies International</t>
        </is>
      </c>
      <c r="H433" s="83" t="n">
        <v>1</v>
      </c>
      <c r="I433" s="83" t="n">
        <v>2</v>
      </c>
      <c r="J433" s="83">
        <f>H433*I433</f>
        <v/>
      </c>
      <c r="K433" s="83" t="n">
        <v>187525800</v>
      </c>
      <c r="L433" s="83" t="n">
        <v>93762900</v>
      </c>
      <c r="M433" s="83">
        <f>J433-Q433</f>
        <v/>
      </c>
      <c r="N433" s="83">
        <f>K433-R433</f>
        <v/>
      </c>
      <c r="O433" s="517" t="n">
        <v>45926</v>
      </c>
      <c r="P433" s="517" t="n">
        <v>46655</v>
      </c>
      <c r="Q433" s="83" t="n">
        <v>0</v>
      </c>
      <c r="R433" s="84" t="n">
        <v>0</v>
      </c>
      <c r="S433" s="83" t="n">
        <v>2</v>
      </c>
      <c r="T433" s="84" t="n">
        <v>187525800</v>
      </c>
      <c r="U433" s="83" t="n">
        <v>1</v>
      </c>
      <c r="V433" s="84">
        <f>U433*L433</f>
        <v/>
      </c>
      <c r="W433" s="83">
        <f>Q433+S433-U433</f>
        <v/>
      </c>
      <c r="X433" s="84">
        <f>R433+T433-V433</f>
        <v/>
      </c>
      <c r="Y433" s="85" t="inlineStr">
        <is>
          <t>P221ZZMO01</t>
        </is>
      </c>
      <c r="Z433" s="86" t="inlineStr">
        <is>
          <t>15661</t>
        </is>
      </c>
      <c r="AA433" s="86" t="inlineStr">
        <is>
          <t>33561</t>
        </is>
      </c>
      <c r="AB433" s="86" t="inlineStr">
        <is>
          <t>6277651</t>
        </is>
      </c>
      <c r="AC433" s="87" t="inlineStr">
        <is>
          <t>Movies</t>
        </is>
      </c>
      <c r="AD433" s="76">
        <f>COUNTIF('KK1. Movies'!AI:AI,'TK 15661.Bản quyền phim '!F433)</f>
        <v/>
      </c>
      <c r="AE433" s="76">
        <f>COUNTIF('KK2. Series'!AM:AM,'TK 15661.Bản quyền phim '!F433)</f>
        <v/>
      </c>
      <c r="AF433" s="76">
        <f>COUNTIF('KK3. Kids'!AF:AF,'TK 15661.Bản quyền phim '!F433)</f>
        <v/>
      </c>
      <c r="AG433" s="76" t="n"/>
      <c r="AH433" s="76">
        <f>IF(SUM(AD433:AG433)&gt;0,"OK",0)</f>
        <v/>
      </c>
    </row>
    <row r="434" hidden="1" ht="15.6" customHeight="1" s="578">
      <c r="B434" s="74" t="inlineStr">
        <is>
          <t>K+5MOV025132</t>
        </is>
      </c>
      <c r="C434" s="708" t="inlineStr">
        <is>
          <t>USD</t>
        </is>
      </c>
      <c r="D434" s="708" t="inlineStr">
        <is>
          <t>S0002418</t>
        </is>
      </c>
      <c r="E434" s="708" t="inlineStr">
        <is>
          <t>UNIVERSAL CITY STUDIOS PRODUCTIONS LLLP</t>
        </is>
      </c>
      <c r="F434" s="708" t="inlineStr">
        <is>
          <t>SUPER MARIO BROS. MOVIE, THE</t>
        </is>
      </c>
      <c r="G434" s="708" t="inlineStr">
        <is>
          <t>Movies International</t>
        </is>
      </c>
      <c r="H434" s="83" t="n">
        <v>1</v>
      </c>
      <c r="I434" s="83" t="n">
        <v>2</v>
      </c>
      <c r="J434" s="83">
        <f>H434*I434</f>
        <v/>
      </c>
      <c r="K434" s="83" t="n">
        <v>187525800</v>
      </c>
      <c r="L434" s="83" t="n">
        <v>93762900</v>
      </c>
      <c r="M434" s="83">
        <f>J434-Q434</f>
        <v/>
      </c>
      <c r="N434" s="83">
        <f>K434-R434</f>
        <v/>
      </c>
      <c r="O434" s="517" t="n">
        <v>45892</v>
      </c>
      <c r="P434" s="517" t="n">
        <v>46621</v>
      </c>
      <c r="Q434" s="83" t="n">
        <v>0</v>
      </c>
      <c r="R434" s="84" t="n">
        <v>0</v>
      </c>
      <c r="S434" s="83" t="n">
        <v>2</v>
      </c>
      <c r="T434" s="84" t="n">
        <v>187525800</v>
      </c>
      <c r="U434" s="83" t="n">
        <v>1</v>
      </c>
      <c r="V434" s="84">
        <f>U434*L434</f>
        <v/>
      </c>
      <c r="W434" s="83">
        <f>Q434+S434-U434</f>
        <v/>
      </c>
      <c r="X434" s="84">
        <f>R434+T434-V434</f>
        <v/>
      </c>
      <c r="Y434" s="85" t="inlineStr">
        <is>
          <t>P221ZZMO01</t>
        </is>
      </c>
      <c r="Z434" s="86" t="inlineStr">
        <is>
          <t>15661</t>
        </is>
      </c>
      <c r="AA434" s="86" t="inlineStr">
        <is>
          <t>33561</t>
        </is>
      </c>
      <c r="AB434" s="86" t="inlineStr">
        <is>
          <t>6277651</t>
        </is>
      </c>
      <c r="AC434" s="87" t="inlineStr">
        <is>
          <t>Movies</t>
        </is>
      </c>
      <c r="AD434" s="76">
        <f>COUNTIF('KK1. Movies'!AI:AI,'TK 15661.Bản quyền phim '!F434)</f>
        <v/>
      </c>
      <c r="AE434" s="76">
        <f>COUNTIF('KK2. Series'!AM:AM,'TK 15661.Bản quyền phim '!F434)</f>
        <v/>
      </c>
      <c r="AF434" s="76">
        <f>COUNTIF('KK3. Kids'!AF:AF,'TK 15661.Bản quyền phim '!F434)</f>
        <v/>
      </c>
      <c r="AG434" s="76" t="n"/>
      <c r="AH434" s="76">
        <f>IF(SUM(AD434:AG434)&gt;0,"OK",0)</f>
        <v/>
      </c>
    </row>
    <row r="435" hidden="1" ht="15.6" customHeight="1" s="578">
      <c r="B435" s="74" t="inlineStr">
        <is>
          <t>K+5MOV025133</t>
        </is>
      </c>
      <c r="C435" s="708" t="inlineStr">
        <is>
          <t>USD</t>
        </is>
      </c>
      <c r="D435" s="708" t="inlineStr">
        <is>
          <t>S0002418</t>
        </is>
      </c>
      <c r="E435" s="708" t="inlineStr">
        <is>
          <t>UNIVERSAL CITY STUDIOS PRODUCTIONS LLLP</t>
        </is>
      </c>
      <c r="F435" s="708" t="inlineStr">
        <is>
          <t>CROODS: A NEW AGE, THE</t>
        </is>
      </c>
      <c r="G435" s="708" t="inlineStr">
        <is>
          <t>Movies International</t>
        </is>
      </c>
      <c r="H435" s="83" t="n">
        <v>1</v>
      </c>
      <c r="I435" s="83" t="n">
        <v>2</v>
      </c>
      <c r="J435" s="83">
        <f>H435*I435</f>
        <v/>
      </c>
      <c r="K435" s="83" t="n">
        <v>113582700</v>
      </c>
      <c r="L435" s="83" t="n">
        <v>56791350</v>
      </c>
      <c r="M435" s="83">
        <f>J435-Q435</f>
        <v/>
      </c>
      <c r="N435" s="83">
        <f>K435-R435</f>
        <v/>
      </c>
      <c r="O435" s="517" t="n">
        <v>45685</v>
      </c>
      <c r="P435" s="517" t="n">
        <v>46414</v>
      </c>
      <c r="Q435" s="83" t="n">
        <v>0</v>
      </c>
      <c r="R435" s="84" t="n">
        <v>0</v>
      </c>
      <c r="S435" s="83" t="n">
        <v>2</v>
      </c>
      <c r="T435" s="84" t="n">
        <v>113582700</v>
      </c>
      <c r="U435" s="83" t="n">
        <v>1</v>
      </c>
      <c r="V435" s="84">
        <f>U435*L435</f>
        <v/>
      </c>
      <c r="W435" s="83">
        <f>Q435+S435-U435</f>
        <v/>
      </c>
      <c r="X435" s="84">
        <f>R435+T435-V435</f>
        <v/>
      </c>
      <c r="Y435" s="85" t="inlineStr">
        <is>
          <t>P221ZZMO01</t>
        </is>
      </c>
      <c r="Z435" s="86" t="inlineStr">
        <is>
          <t>15661</t>
        </is>
      </c>
      <c r="AA435" s="86" t="inlineStr">
        <is>
          <t>33561</t>
        </is>
      </c>
      <c r="AB435" s="86" t="inlineStr">
        <is>
          <t>6277651</t>
        </is>
      </c>
      <c r="AC435" s="87" t="inlineStr">
        <is>
          <t>Movies</t>
        </is>
      </c>
      <c r="AD435" s="76">
        <f>COUNTIF('KK1. Movies'!AI:AI,'TK 15661.Bản quyền phim '!F435)</f>
        <v/>
      </c>
      <c r="AE435" s="76">
        <f>COUNTIF('KK2. Series'!AM:AM,'TK 15661.Bản quyền phim '!F435)</f>
        <v/>
      </c>
      <c r="AF435" s="76">
        <f>COUNTIF('KK3. Kids'!AF:AF,'TK 15661.Bản quyền phim '!F435)</f>
        <v/>
      </c>
      <c r="AG435" s="76" t="n"/>
      <c r="AH435" s="76">
        <f>IF(SUM(AD435:AG435)&gt;0,"OK",0)</f>
        <v/>
      </c>
    </row>
    <row r="436" hidden="1" ht="15.6" customHeight="1" s="578">
      <c r="B436" s="74" t="inlineStr">
        <is>
          <t>K+5MOV025134</t>
        </is>
      </c>
      <c r="C436" s="708" t="inlineStr">
        <is>
          <t>USD</t>
        </is>
      </c>
      <c r="D436" s="708" t="inlineStr">
        <is>
          <t>S0002418</t>
        </is>
      </c>
      <c r="E436" s="708" t="inlineStr">
        <is>
          <t>UNIVERSAL CITY STUDIOS PRODUCTIONS LLLP</t>
        </is>
      </c>
      <c r="F436" s="708" t="inlineStr">
        <is>
          <t>MADAGASCAR 3: EUROPE'S MOST WANTED</t>
        </is>
      </c>
      <c r="G436" s="708" t="inlineStr">
        <is>
          <t>Movies International</t>
        </is>
      </c>
      <c r="H436" s="83" t="n">
        <v>1</v>
      </c>
      <c r="I436" s="83" t="n">
        <v>2</v>
      </c>
      <c r="J436" s="83">
        <f>H436*I436</f>
        <v/>
      </c>
      <c r="K436" s="83" t="n">
        <v>113582700</v>
      </c>
      <c r="L436" s="83" t="n">
        <v>56791350</v>
      </c>
      <c r="M436" s="83">
        <f>J436-Q436</f>
        <v/>
      </c>
      <c r="N436" s="83">
        <f>K436-R436</f>
        <v/>
      </c>
      <c r="O436" s="517" t="n">
        <v>45815</v>
      </c>
      <c r="P436" s="517" t="n">
        <v>46544</v>
      </c>
      <c r="Q436" s="83" t="n">
        <v>0</v>
      </c>
      <c r="R436" s="84" t="n">
        <v>0</v>
      </c>
      <c r="S436" s="83" t="n">
        <v>2</v>
      </c>
      <c r="T436" s="84" t="n">
        <v>113582700</v>
      </c>
      <c r="U436" s="83" t="n">
        <v>1</v>
      </c>
      <c r="V436" s="84">
        <f>U436*L436</f>
        <v/>
      </c>
      <c r="W436" s="83">
        <f>Q436+S436-U436</f>
        <v/>
      </c>
      <c r="X436" s="84">
        <f>R436+T436-V436</f>
        <v/>
      </c>
      <c r="Y436" s="85" t="inlineStr">
        <is>
          <t>P221ZZMO01</t>
        </is>
      </c>
      <c r="Z436" s="86" t="inlineStr">
        <is>
          <t>15661</t>
        </is>
      </c>
      <c r="AA436" s="86" t="inlineStr">
        <is>
          <t>33561</t>
        </is>
      </c>
      <c r="AB436" s="86" t="inlineStr">
        <is>
          <t>6277651</t>
        </is>
      </c>
      <c r="AC436" s="87" t="inlineStr">
        <is>
          <t>Movies</t>
        </is>
      </c>
      <c r="AD436" s="76">
        <f>COUNTIF('KK1. Movies'!AI:AI,'TK 15661.Bản quyền phim '!F436)</f>
        <v/>
      </c>
      <c r="AE436" s="76">
        <f>COUNTIF('KK2. Series'!AM:AM,'TK 15661.Bản quyền phim '!F436)</f>
        <v/>
      </c>
      <c r="AF436" s="76">
        <f>COUNTIF('KK3. Kids'!AF:AF,'TK 15661.Bản quyền phim '!F436)</f>
        <v/>
      </c>
      <c r="AG436" s="76" t="n"/>
      <c r="AH436" s="76">
        <f>IF(SUM(AD436:AG436)&gt;0,"OK",0)</f>
        <v/>
      </c>
    </row>
    <row r="437" hidden="1" ht="15.6" customHeight="1" s="578">
      <c r="B437" s="74" t="inlineStr">
        <is>
          <t>K+1MOV025136</t>
        </is>
      </c>
      <c r="C437" s="708" t="inlineStr">
        <is>
          <t>USD</t>
        </is>
      </c>
      <c r="D437" s="708" t="inlineStr">
        <is>
          <t>S0002418</t>
        </is>
      </c>
      <c r="E437" s="708" t="inlineStr">
        <is>
          <t>UNIVERSAL CITY STUDIOS PRODUCTIONS LLLP</t>
        </is>
      </c>
      <c r="F437" s="708" t="inlineStr">
        <is>
          <t>NEIGHBORS</t>
        </is>
      </c>
      <c r="G437" s="708" t="inlineStr">
        <is>
          <t>Movies International</t>
        </is>
      </c>
      <c r="H437" s="83" t="n">
        <v>1</v>
      </c>
      <c r="I437" s="83" t="n">
        <v>2</v>
      </c>
      <c r="J437" s="83">
        <f>H437*I437</f>
        <v/>
      </c>
      <c r="K437" s="83" t="n">
        <v>113582700</v>
      </c>
      <c r="L437" s="83" t="n">
        <v>56791350</v>
      </c>
      <c r="M437" s="83">
        <f>J437-Q437</f>
        <v/>
      </c>
      <c r="N437" s="83">
        <f>K437-R437</f>
        <v/>
      </c>
      <c r="O437" s="517" t="n">
        <v>46003</v>
      </c>
      <c r="P437" s="517" t="n">
        <v>46732</v>
      </c>
      <c r="Q437" s="83" t="n">
        <v>0</v>
      </c>
      <c r="R437" s="84" t="n">
        <v>0</v>
      </c>
      <c r="S437" s="83" t="n">
        <v>2</v>
      </c>
      <c r="T437" s="84" t="n">
        <v>113582700</v>
      </c>
      <c r="U437" s="83" t="n">
        <v>1</v>
      </c>
      <c r="V437" s="84">
        <f>U437*L437</f>
        <v/>
      </c>
      <c r="W437" s="83">
        <f>Q437+S437-U437</f>
        <v/>
      </c>
      <c r="X437" s="84">
        <f>R437+T437-V437</f>
        <v/>
      </c>
      <c r="Y437" s="85" t="inlineStr">
        <is>
          <t>P221ZZMO01</t>
        </is>
      </c>
      <c r="Z437" s="86" t="inlineStr">
        <is>
          <t>15661</t>
        </is>
      </c>
      <c r="AA437" s="86" t="inlineStr">
        <is>
          <t>33561</t>
        </is>
      </c>
      <c r="AB437" s="86" t="inlineStr">
        <is>
          <t>6277651</t>
        </is>
      </c>
      <c r="AC437" s="87" t="inlineStr">
        <is>
          <t>Movies</t>
        </is>
      </c>
      <c r="AD437" s="76">
        <f>COUNTIF('KK1. Movies'!AI:AI,'TK 15661.Bản quyền phim '!F437)</f>
        <v/>
      </c>
      <c r="AE437" s="76">
        <f>COUNTIF('KK2. Series'!AM:AM,'TK 15661.Bản quyền phim '!F437)</f>
        <v/>
      </c>
      <c r="AF437" s="76">
        <f>COUNTIF('KK3. Kids'!AF:AF,'TK 15661.Bản quyền phim '!F437)</f>
        <v/>
      </c>
      <c r="AG437" s="76" t="n"/>
      <c r="AH437" s="76">
        <f>IF(SUM(AD437:AG437)&gt;0,"OK",0)</f>
        <v/>
      </c>
    </row>
    <row r="438" hidden="1" ht="15.6" customHeight="1" s="578">
      <c r="B438" s="74" t="inlineStr">
        <is>
          <t>K+1MOV025138</t>
        </is>
      </c>
      <c r="C438" s="708" t="inlineStr">
        <is>
          <t>USD</t>
        </is>
      </c>
      <c r="D438" s="708" t="inlineStr">
        <is>
          <t>S0002418</t>
        </is>
      </c>
      <c r="E438" s="708" t="inlineStr">
        <is>
          <t>UNIVERSAL CITY STUDIOS PRODUCTIONS LLLP</t>
        </is>
      </c>
      <c r="F438" s="708" t="inlineStr">
        <is>
          <t>PUSS IN BOOTS: THE LAST WISH</t>
        </is>
      </c>
      <c r="G438" s="708" t="inlineStr">
        <is>
          <t>Movies International</t>
        </is>
      </c>
      <c r="H438" s="83" t="n">
        <v>1</v>
      </c>
      <c r="I438" s="83" t="n">
        <v>2</v>
      </c>
      <c r="J438" s="83">
        <f>H438*I438</f>
        <v/>
      </c>
      <c r="K438" s="83" t="n">
        <v>113582700</v>
      </c>
      <c r="L438" s="83" t="n">
        <v>56791350</v>
      </c>
      <c r="M438" s="83">
        <f>J438-Q438</f>
        <v/>
      </c>
      <c r="N438" s="83">
        <f>K438-R438</f>
        <v/>
      </c>
      <c r="O438" s="517" t="n">
        <v>45969</v>
      </c>
      <c r="P438" s="517" t="n">
        <v>46698</v>
      </c>
      <c r="Q438" s="83" t="n">
        <v>0</v>
      </c>
      <c r="R438" s="84" t="n">
        <v>0</v>
      </c>
      <c r="S438" s="83" t="n">
        <v>2</v>
      </c>
      <c r="T438" s="84" t="n">
        <v>113582700</v>
      </c>
      <c r="U438" s="83" t="n">
        <v>1</v>
      </c>
      <c r="V438" s="84">
        <f>U438*L438</f>
        <v/>
      </c>
      <c r="W438" s="83">
        <f>Q438+S438-U438</f>
        <v/>
      </c>
      <c r="X438" s="84">
        <f>R438+T438-V438</f>
        <v/>
      </c>
      <c r="Y438" s="85" t="inlineStr">
        <is>
          <t>P221ZZMO01</t>
        </is>
      </c>
      <c r="Z438" s="86" t="inlineStr">
        <is>
          <t>15661</t>
        </is>
      </c>
      <c r="AA438" s="86" t="inlineStr">
        <is>
          <t>33561</t>
        </is>
      </c>
      <c r="AB438" s="86" t="inlineStr">
        <is>
          <t>6277651</t>
        </is>
      </c>
      <c r="AC438" s="87" t="inlineStr">
        <is>
          <t>Movies</t>
        </is>
      </c>
      <c r="AD438" s="76">
        <f>COUNTIF('KK1. Movies'!AI:AI,'TK 15661.Bản quyền phim '!F438)</f>
        <v/>
      </c>
      <c r="AE438" s="76">
        <f>COUNTIF('KK2. Series'!AM:AM,'TK 15661.Bản quyền phim '!F438)</f>
        <v/>
      </c>
      <c r="AF438" s="76">
        <f>COUNTIF('KK3. Kids'!AF:AF,'TK 15661.Bản quyền phim '!F438)</f>
        <v/>
      </c>
      <c r="AG438" s="76" t="n"/>
      <c r="AH438" s="76">
        <f>IF(SUM(AD438:AG438)&gt;0,"OK",0)</f>
        <v/>
      </c>
    </row>
    <row r="439" hidden="1" ht="15.6" customHeight="1" s="578">
      <c r="B439" s="74" t="inlineStr">
        <is>
          <t>K+1MOV025139</t>
        </is>
      </c>
      <c r="C439" s="708" t="inlineStr">
        <is>
          <t>USD</t>
        </is>
      </c>
      <c r="D439" s="708" t="inlineStr">
        <is>
          <t>S0002418</t>
        </is>
      </c>
      <c r="E439" s="708" t="inlineStr">
        <is>
          <t>UNIVERSAL CITY STUDIOS PRODUCTIONS LLLP</t>
        </is>
      </c>
      <c r="F439" s="708" t="inlineStr">
        <is>
          <t>BLOCKERS</t>
        </is>
      </c>
      <c r="G439" s="708" t="inlineStr">
        <is>
          <t>Movies International</t>
        </is>
      </c>
      <c r="H439" s="83" t="n">
        <v>1</v>
      </c>
      <c r="I439" s="83" t="n">
        <v>2</v>
      </c>
      <c r="J439" s="83">
        <f>H439*I439</f>
        <v/>
      </c>
      <c r="K439" s="83" t="n">
        <v>85377600</v>
      </c>
      <c r="L439" s="83" t="n">
        <v>42688800</v>
      </c>
      <c r="M439" s="83">
        <f>J439-Q439</f>
        <v/>
      </c>
      <c r="N439" s="83">
        <f>K439-R439</f>
        <v/>
      </c>
      <c r="O439" s="517" t="n">
        <v>45891</v>
      </c>
      <c r="P439" s="517" t="n">
        <v>46528</v>
      </c>
      <c r="Q439" s="83" t="n">
        <v>0</v>
      </c>
      <c r="R439" s="84" t="n">
        <v>0</v>
      </c>
      <c r="S439" s="83" t="n">
        <v>2</v>
      </c>
      <c r="T439" s="84" t="n">
        <v>85377600</v>
      </c>
      <c r="U439" s="83" t="n">
        <v>1</v>
      </c>
      <c r="V439" s="84">
        <f>U439*L439</f>
        <v/>
      </c>
      <c r="W439" s="83">
        <f>Q439+S439-U439</f>
        <v/>
      </c>
      <c r="X439" s="84">
        <f>R439+T439-V439</f>
        <v/>
      </c>
      <c r="Y439" s="85" t="inlineStr">
        <is>
          <t>P221ZZMO01</t>
        </is>
      </c>
      <c r="Z439" s="86" t="inlineStr">
        <is>
          <t>15661</t>
        </is>
      </c>
      <c r="AA439" s="86" t="inlineStr">
        <is>
          <t>33561</t>
        </is>
      </c>
      <c r="AB439" s="86" t="inlineStr">
        <is>
          <t>6277651</t>
        </is>
      </c>
      <c r="AC439" s="87" t="inlineStr">
        <is>
          <t>Movies</t>
        </is>
      </c>
      <c r="AD439" s="76">
        <f>COUNTIF('KK1. Movies'!AI:AI,'TK 15661.Bản quyền phim '!F439)</f>
        <v/>
      </c>
      <c r="AE439" s="76">
        <f>COUNTIF('KK2. Series'!AM:AM,'TK 15661.Bản quyền phim '!F439)</f>
        <v/>
      </c>
      <c r="AF439" s="76">
        <f>COUNTIF('KK3. Kids'!AF:AF,'TK 15661.Bản quyền phim '!F439)</f>
        <v/>
      </c>
      <c r="AG439" s="76" t="n"/>
      <c r="AH439" s="76">
        <f>IF(SUM(AD439:AG439)&gt;0,"OK",0)</f>
        <v/>
      </c>
    </row>
    <row r="440" hidden="1" ht="15.6" customHeight="1" s="578">
      <c r="B440" s="74" t="inlineStr">
        <is>
          <t>K+1MOV025140</t>
        </is>
      </c>
      <c r="C440" s="708" t="inlineStr">
        <is>
          <t>USD</t>
        </is>
      </c>
      <c r="D440" s="708" t="inlineStr">
        <is>
          <t>S0002418</t>
        </is>
      </c>
      <c r="E440" s="708" t="inlineStr">
        <is>
          <t>UNIVERSAL CITY STUDIOS PRODUCTIONS LLLP</t>
        </is>
      </c>
      <c r="F440" s="708" t="inlineStr">
        <is>
          <t>CENTRAL INTELLIGENCE</t>
        </is>
      </c>
      <c r="G440" s="708" t="inlineStr">
        <is>
          <t>Movies International</t>
        </is>
      </c>
      <c r="H440" s="83" t="n">
        <v>1</v>
      </c>
      <c r="I440" s="83" t="n">
        <v>2</v>
      </c>
      <c r="J440" s="83">
        <f>H440*I440</f>
        <v/>
      </c>
      <c r="K440" s="83" t="n">
        <v>85377600</v>
      </c>
      <c r="L440" s="83" t="n">
        <v>42688800</v>
      </c>
      <c r="M440" s="83">
        <f>J440-Q440</f>
        <v/>
      </c>
      <c r="N440" s="83">
        <f>K440-R440</f>
        <v/>
      </c>
      <c r="O440" s="517" t="n">
        <v>45912</v>
      </c>
      <c r="P440" s="517" t="n">
        <v>46549</v>
      </c>
      <c r="Q440" s="83" t="n">
        <v>0</v>
      </c>
      <c r="R440" s="84" t="n">
        <v>0</v>
      </c>
      <c r="S440" s="83" t="n">
        <v>2</v>
      </c>
      <c r="T440" s="84" t="n">
        <v>85377600</v>
      </c>
      <c r="U440" s="83" t="n">
        <v>1</v>
      </c>
      <c r="V440" s="84">
        <f>U440*L440</f>
        <v/>
      </c>
      <c r="W440" s="83">
        <f>Q440+S440-U440</f>
        <v/>
      </c>
      <c r="X440" s="84">
        <f>R440+T440-V440</f>
        <v/>
      </c>
      <c r="Y440" s="85" t="inlineStr">
        <is>
          <t>P221ZZMO01</t>
        </is>
      </c>
      <c r="Z440" s="86" t="inlineStr">
        <is>
          <t>15661</t>
        </is>
      </c>
      <c r="AA440" s="86" t="inlineStr">
        <is>
          <t>33561</t>
        </is>
      </c>
      <c r="AB440" s="86" t="inlineStr">
        <is>
          <t>6277651</t>
        </is>
      </c>
      <c r="AC440" s="87" t="inlineStr">
        <is>
          <t>Movies</t>
        </is>
      </c>
      <c r="AD440" s="76">
        <f>COUNTIF('KK1. Movies'!AI:AI,'TK 15661.Bản quyền phim '!F440)</f>
        <v/>
      </c>
      <c r="AE440" s="76">
        <f>COUNTIF('KK2. Series'!AM:AM,'TK 15661.Bản quyền phim '!F440)</f>
        <v/>
      </c>
      <c r="AF440" s="76">
        <f>COUNTIF('KK3. Kids'!AF:AF,'TK 15661.Bản quyền phim '!F440)</f>
        <v/>
      </c>
      <c r="AG440" s="76" t="n"/>
      <c r="AH440" s="76">
        <f>IF(SUM(AD440:AG440)&gt;0,"OK",0)</f>
        <v/>
      </c>
    </row>
    <row r="441" hidden="1" ht="15.6" customHeight="1" s="578">
      <c r="B441" s="74" t="inlineStr">
        <is>
          <t>K+1MOV025141</t>
        </is>
      </c>
      <c r="C441" s="708" t="inlineStr">
        <is>
          <t>USD</t>
        </is>
      </c>
      <c r="D441" s="708" t="inlineStr">
        <is>
          <t>S0002418</t>
        </is>
      </c>
      <c r="E441" s="708" t="inlineStr">
        <is>
          <t>UNIVERSAL CITY STUDIOS PRODUCTIONS LLLP</t>
        </is>
      </c>
      <c r="F441" s="708" t="inlineStr">
        <is>
          <t>MADAGASCAR: ESCAPE 2 AFRICA</t>
        </is>
      </c>
      <c r="G441" s="708" t="inlineStr">
        <is>
          <t>Movies International</t>
        </is>
      </c>
      <c r="H441" s="83" t="n">
        <v>1</v>
      </c>
      <c r="I441" s="83" t="n">
        <v>2</v>
      </c>
      <c r="J441" s="83">
        <f>H441*I441</f>
        <v/>
      </c>
      <c r="K441" s="83" t="n">
        <v>85377600</v>
      </c>
      <c r="L441" s="83" t="n">
        <v>42688800</v>
      </c>
      <c r="M441" s="83">
        <f>J441-Q441</f>
        <v/>
      </c>
      <c r="N441" s="83">
        <f>K441-R441</f>
        <v/>
      </c>
      <c r="O441" s="517" t="n">
        <v>45809</v>
      </c>
      <c r="P441" s="517" t="n">
        <v>46446</v>
      </c>
      <c r="Q441" s="83" t="n">
        <v>0</v>
      </c>
      <c r="R441" s="84" t="n">
        <v>0</v>
      </c>
      <c r="S441" s="83" t="n">
        <v>2</v>
      </c>
      <c r="T441" s="84" t="n">
        <v>85377600</v>
      </c>
      <c r="U441" s="83" t="n">
        <v>1</v>
      </c>
      <c r="V441" s="84">
        <f>U441*L441</f>
        <v/>
      </c>
      <c r="W441" s="83">
        <f>Q441+S441-U441</f>
        <v/>
      </c>
      <c r="X441" s="84">
        <f>R441+T441-V441</f>
        <v/>
      </c>
      <c r="Y441" s="85" t="inlineStr">
        <is>
          <t>P221ZZMO01</t>
        </is>
      </c>
      <c r="Z441" s="86" t="inlineStr">
        <is>
          <t>15661</t>
        </is>
      </c>
      <c r="AA441" s="86" t="inlineStr">
        <is>
          <t>33561</t>
        </is>
      </c>
      <c r="AB441" s="86" t="inlineStr">
        <is>
          <t>6277651</t>
        </is>
      </c>
      <c r="AC441" s="87" t="inlineStr">
        <is>
          <t>Movies</t>
        </is>
      </c>
      <c r="AD441" s="76">
        <f>COUNTIF('KK1. Movies'!AI:AI,'TK 15661.Bản quyền phim '!F441)</f>
        <v/>
      </c>
      <c r="AE441" s="76">
        <f>COUNTIF('KK2. Series'!AM:AM,'TK 15661.Bản quyền phim '!F441)</f>
        <v/>
      </c>
      <c r="AF441" s="76">
        <f>COUNTIF('KK3. Kids'!AF:AF,'TK 15661.Bản quyền phim '!F441)</f>
        <v/>
      </c>
      <c r="AG441" s="76" t="n"/>
      <c r="AH441" s="76">
        <f>IF(SUM(AD441:AG441)&gt;0,"OK",0)</f>
        <v/>
      </c>
    </row>
    <row r="442" hidden="1" ht="15.6" customHeight="1" s="578">
      <c r="B442" s="74" t="inlineStr">
        <is>
          <t>K+1MOV025142</t>
        </is>
      </c>
      <c r="C442" s="708" t="inlineStr">
        <is>
          <t>USD</t>
        </is>
      </c>
      <c r="D442" s="708" t="inlineStr">
        <is>
          <t>S0002418</t>
        </is>
      </c>
      <c r="E442" s="708" t="inlineStr">
        <is>
          <t>UNIVERSAL CITY STUDIOS PRODUCTIONS LLLP</t>
        </is>
      </c>
      <c r="F442" s="708" t="inlineStr">
        <is>
          <t>MARRY ME</t>
        </is>
      </c>
      <c r="G442" s="708" t="inlineStr">
        <is>
          <t>Movies International</t>
        </is>
      </c>
      <c r="H442" s="83" t="n">
        <v>1</v>
      </c>
      <c r="I442" s="83" t="n">
        <v>2</v>
      </c>
      <c r="J442" s="83">
        <f>H442*I442</f>
        <v/>
      </c>
      <c r="K442" s="83" t="n">
        <v>85377600</v>
      </c>
      <c r="L442" s="83" t="n">
        <v>42688800</v>
      </c>
      <c r="M442" s="83">
        <f>J442-Q442</f>
        <v/>
      </c>
      <c r="N442" s="83">
        <f>K442-R442</f>
        <v/>
      </c>
      <c r="O442" s="517" t="n">
        <v>45695</v>
      </c>
      <c r="P442" s="517" t="n">
        <v>46332</v>
      </c>
      <c r="Q442" s="83" t="n">
        <v>0</v>
      </c>
      <c r="R442" s="84" t="n">
        <v>0</v>
      </c>
      <c r="S442" s="83" t="n">
        <v>2</v>
      </c>
      <c r="T442" s="84" t="n">
        <v>85377600</v>
      </c>
      <c r="U442" s="83" t="n">
        <v>1</v>
      </c>
      <c r="V442" s="84">
        <f>U442*L442</f>
        <v/>
      </c>
      <c r="W442" s="83">
        <f>Q442+S442-U442</f>
        <v/>
      </c>
      <c r="X442" s="84">
        <f>R442+T442-V442</f>
        <v/>
      </c>
      <c r="Y442" s="85" t="inlineStr">
        <is>
          <t>P221ZZMO01</t>
        </is>
      </c>
      <c r="Z442" s="86" t="inlineStr">
        <is>
          <t>15661</t>
        </is>
      </c>
      <c r="AA442" s="86" t="inlineStr">
        <is>
          <t>33561</t>
        </is>
      </c>
      <c r="AB442" s="86" t="inlineStr">
        <is>
          <t>6277651</t>
        </is>
      </c>
      <c r="AC442" s="87" t="inlineStr">
        <is>
          <t>Movies</t>
        </is>
      </c>
      <c r="AD442" s="76">
        <f>COUNTIF('KK1. Movies'!AI:AI,'TK 15661.Bản quyền phim '!F442)</f>
        <v/>
      </c>
      <c r="AE442" s="76">
        <f>COUNTIF('KK2. Series'!AM:AM,'TK 15661.Bản quyền phim '!F442)</f>
        <v/>
      </c>
      <c r="AF442" s="76">
        <f>COUNTIF('KK3. Kids'!AF:AF,'TK 15661.Bản quyền phim '!F442)</f>
        <v/>
      </c>
      <c r="AG442" s="76" t="n"/>
      <c r="AH442" s="76">
        <f>IF(SUM(AD442:AG442)&gt;0,"OK",0)</f>
        <v/>
      </c>
    </row>
    <row r="443" hidden="1" ht="15.6" customHeight="1" s="578">
      <c r="B443" s="74" t="inlineStr">
        <is>
          <t>K+1MOV025143</t>
        </is>
      </c>
      <c r="C443" s="708" t="inlineStr">
        <is>
          <t>USD</t>
        </is>
      </c>
      <c r="D443" s="708" t="inlineStr">
        <is>
          <t>S0002418</t>
        </is>
      </c>
      <c r="E443" s="708" t="inlineStr">
        <is>
          <t>UNIVERSAL CITY STUDIOS PRODUCTIONS LLLP</t>
        </is>
      </c>
      <c r="F443" s="708" t="inlineStr">
        <is>
          <t>OLD</t>
        </is>
      </c>
      <c r="G443" s="708" t="inlineStr">
        <is>
          <t>Movies International</t>
        </is>
      </c>
      <c r="H443" s="83" t="n">
        <v>1</v>
      </c>
      <c r="I443" s="83" t="n">
        <v>2</v>
      </c>
      <c r="J443" s="83">
        <f>H443*I443</f>
        <v/>
      </c>
      <c r="K443" s="83" t="n">
        <v>85377600</v>
      </c>
      <c r="L443" s="83" t="n">
        <v>42688800</v>
      </c>
      <c r="M443" s="83">
        <f>J443-Q443</f>
        <v/>
      </c>
      <c r="N443" s="83">
        <f>K443-R443</f>
        <v/>
      </c>
      <c r="O443" s="517" t="n">
        <v>45954</v>
      </c>
      <c r="P443" s="517" t="n">
        <v>46591</v>
      </c>
      <c r="Q443" s="83" t="n">
        <v>0</v>
      </c>
      <c r="R443" s="84" t="n">
        <v>0</v>
      </c>
      <c r="S443" s="83" t="n">
        <v>2</v>
      </c>
      <c r="T443" s="84" t="n">
        <v>85377600</v>
      </c>
      <c r="U443" s="83" t="n">
        <v>1</v>
      </c>
      <c r="V443" s="84">
        <f>U443*L443</f>
        <v/>
      </c>
      <c r="W443" s="83">
        <f>Q443+S443-U443</f>
        <v/>
      </c>
      <c r="X443" s="84">
        <f>R443+T443-V443</f>
        <v/>
      </c>
      <c r="Y443" s="85" t="inlineStr">
        <is>
          <t>P221ZZMO01</t>
        </is>
      </c>
      <c r="Z443" s="86" t="inlineStr">
        <is>
          <t>15661</t>
        </is>
      </c>
      <c r="AA443" s="86" t="inlineStr">
        <is>
          <t>33561</t>
        </is>
      </c>
      <c r="AB443" s="86" t="inlineStr">
        <is>
          <t>6277651</t>
        </is>
      </c>
      <c r="AC443" s="87" t="inlineStr">
        <is>
          <t>Movies</t>
        </is>
      </c>
      <c r="AD443" s="76">
        <f>COUNTIF('KK1. Movies'!AI:AI,'TK 15661.Bản quyền phim '!F443)</f>
        <v/>
      </c>
      <c r="AE443" s="76">
        <f>COUNTIF('KK2. Series'!AM:AM,'TK 15661.Bản quyền phim '!F443)</f>
        <v/>
      </c>
      <c r="AF443" s="76">
        <f>COUNTIF('KK3. Kids'!AF:AF,'TK 15661.Bản quyền phim '!F443)</f>
        <v/>
      </c>
      <c r="AG443" s="76" t="n"/>
      <c r="AH443" s="76">
        <f>IF(SUM(AD443:AG443)&gt;0,"OK",0)</f>
        <v/>
      </c>
    </row>
    <row r="444" hidden="1" ht="15.6" customHeight="1" s="578">
      <c r="B444" s="74" t="inlineStr">
        <is>
          <t>K+1MOV025144</t>
        </is>
      </c>
      <c r="C444" s="708" t="inlineStr">
        <is>
          <t>USD</t>
        </is>
      </c>
      <c r="D444" s="708" t="inlineStr">
        <is>
          <t>S0002418</t>
        </is>
      </c>
      <c r="E444" s="708" t="inlineStr">
        <is>
          <t>UNIVERSAL CITY STUDIOS PRODUCTIONS LLLP</t>
        </is>
      </c>
      <c r="F444" s="708" t="inlineStr">
        <is>
          <t>SISTERS</t>
        </is>
      </c>
      <c r="G444" s="708" t="inlineStr">
        <is>
          <t>Movies International</t>
        </is>
      </c>
      <c r="H444" s="83" t="n">
        <v>1</v>
      </c>
      <c r="I444" s="83" t="n">
        <v>2</v>
      </c>
      <c r="J444" s="83">
        <f>H444*I444</f>
        <v/>
      </c>
      <c r="K444" s="83" t="n">
        <v>85377600</v>
      </c>
      <c r="L444" s="83" t="n">
        <v>42688800</v>
      </c>
      <c r="M444" s="83">
        <f>J444-Q444</f>
        <v/>
      </c>
      <c r="N444" s="83">
        <f>K444-R444</f>
        <v/>
      </c>
      <c r="O444" s="517" t="n">
        <v>45952</v>
      </c>
      <c r="P444" s="517" t="n">
        <v>46589</v>
      </c>
      <c r="Q444" s="83" t="n">
        <v>0</v>
      </c>
      <c r="R444" s="84" t="n">
        <v>0</v>
      </c>
      <c r="S444" s="83" t="n">
        <v>2</v>
      </c>
      <c r="T444" s="84" t="n">
        <v>85377600</v>
      </c>
      <c r="U444" s="83" t="n">
        <v>1</v>
      </c>
      <c r="V444" s="84">
        <f>U444*L444</f>
        <v/>
      </c>
      <c r="W444" s="83">
        <f>Q444+S444-U444</f>
        <v/>
      </c>
      <c r="X444" s="84">
        <f>R444+T444-V444</f>
        <v/>
      </c>
      <c r="Y444" s="85" t="inlineStr">
        <is>
          <t>P221ZZMO01</t>
        </is>
      </c>
      <c r="Z444" s="86" t="inlineStr">
        <is>
          <t>15661</t>
        </is>
      </c>
      <c r="AA444" s="86" t="inlineStr">
        <is>
          <t>33561</t>
        </is>
      </c>
      <c r="AB444" s="86" t="inlineStr">
        <is>
          <t>6277651</t>
        </is>
      </c>
      <c r="AC444" s="87" t="inlineStr">
        <is>
          <t>Movies</t>
        </is>
      </c>
      <c r="AD444" s="76">
        <f>COUNTIF('KK1. Movies'!AI:AI,'TK 15661.Bản quyền phim '!F444)</f>
        <v/>
      </c>
      <c r="AE444" s="76">
        <f>COUNTIF('KK2. Series'!AM:AM,'TK 15661.Bản quyền phim '!F444)</f>
        <v/>
      </c>
      <c r="AF444" s="76">
        <f>COUNTIF('KK3. Kids'!AF:AF,'TK 15661.Bản quyền phim '!F444)</f>
        <v/>
      </c>
      <c r="AG444" s="76" t="n"/>
      <c r="AH444" s="76">
        <f>IF(SUM(AD444:AG444)&gt;0,"OK",0)</f>
        <v/>
      </c>
    </row>
    <row r="445" hidden="1" ht="15.6" customHeight="1" s="578">
      <c r="B445" s="74" t="inlineStr">
        <is>
          <t>K+1MOV025145</t>
        </is>
      </c>
      <c r="C445" s="708" t="inlineStr">
        <is>
          <t>USD</t>
        </is>
      </c>
      <c r="D445" s="708" t="inlineStr">
        <is>
          <t>S0002418</t>
        </is>
      </c>
      <c r="E445" s="708" t="inlineStr">
        <is>
          <t>UNIVERSAL CITY STUDIOS PRODUCTIONS LLLP</t>
        </is>
      </c>
      <c r="F445" s="708" t="inlineStr">
        <is>
          <t>THEORY OF EVERYTHING</t>
        </is>
      </c>
      <c r="G445" s="708" t="inlineStr">
        <is>
          <t>Movies International</t>
        </is>
      </c>
      <c r="H445" s="83" t="n">
        <v>1</v>
      </c>
      <c r="I445" s="83" t="n">
        <v>2</v>
      </c>
      <c r="J445" s="83">
        <f>H445*I445</f>
        <v/>
      </c>
      <c r="K445" s="83" t="n">
        <v>85377600</v>
      </c>
      <c r="L445" s="83" t="n">
        <v>42688800</v>
      </c>
      <c r="M445" s="83">
        <f>J445-Q445</f>
        <v/>
      </c>
      <c r="N445" s="83">
        <f>K445-R445</f>
        <v/>
      </c>
      <c r="O445" s="517" t="n">
        <v>45710</v>
      </c>
      <c r="P445" s="517" t="n">
        <v>46347</v>
      </c>
      <c r="Q445" s="83" t="n">
        <v>0</v>
      </c>
      <c r="R445" s="84" t="n">
        <v>0</v>
      </c>
      <c r="S445" s="83" t="n">
        <v>2</v>
      </c>
      <c r="T445" s="84" t="n">
        <v>85377600</v>
      </c>
      <c r="U445" s="83" t="n">
        <v>1</v>
      </c>
      <c r="V445" s="84">
        <f>U445*L445</f>
        <v/>
      </c>
      <c r="W445" s="83">
        <f>Q445+S445-U445</f>
        <v/>
      </c>
      <c r="X445" s="84">
        <f>R445+T445-V445</f>
        <v/>
      </c>
      <c r="Y445" s="85" t="inlineStr">
        <is>
          <t>P221ZZMO01</t>
        </is>
      </c>
      <c r="Z445" s="86" t="inlineStr">
        <is>
          <t>15661</t>
        </is>
      </c>
      <c r="AA445" s="86" t="inlineStr">
        <is>
          <t>33561</t>
        </is>
      </c>
      <c r="AB445" s="86" t="inlineStr">
        <is>
          <t>6277651</t>
        </is>
      </c>
      <c r="AC445" s="87" t="inlineStr">
        <is>
          <t>Movies</t>
        </is>
      </c>
      <c r="AD445" s="76">
        <f>COUNTIF('KK1. Movies'!AI:AI,'TK 15661.Bản quyền phim '!F445)</f>
        <v/>
      </c>
      <c r="AE445" s="76">
        <f>COUNTIF('KK2. Series'!AM:AM,'TK 15661.Bản quyền phim '!F445)</f>
        <v/>
      </c>
      <c r="AF445" s="76">
        <f>COUNTIF('KK3. Kids'!AF:AF,'TK 15661.Bản quyền phim '!F445)</f>
        <v/>
      </c>
      <c r="AG445" s="76" t="n"/>
      <c r="AH445" s="76">
        <f>IF(SUM(AD445:AG445)&gt;0,"OK",0)</f>
        <v/>
      </c>
    </row>
    <row r="446" hidden="1" ht="15.6" customHeight="1" s="578">
      <c r="B446" s="74" t="inlineStr">
        <is>
          <t>K+1MOV025146</t>
        </is>
      </c>
      <c r="C446" s="708" t="inlineStr">
        <is>
          <t>USD</t>
        </is>
      </c>
      <c r="D446" s="708" t="inlineStr">
        <is>
          <t>S0002418</t>
        </is>
      </c>
      <c r="E446" s="708" t="inlineStr">
        <is>
          <t>UNIVERSAL CITY STUDIOS PRODUCTIONS LLLP</t>
        </is>
      </c>
      <c r="F446" s="708" t="inlineStr">
        <is>
          <t>TRAINWRECK</t>
        </is>
      </c>
      <c r="G446" s="708" t="inlineStr">
        <is>
          <t>Movies International</t>
        </is>
      </c>
      <c r="H446" s="83" t="n">
        <v>1</v>
      </c>
      <c r="I446" s="83" t="n">
        <v>2</v>
      </c>
      <c r="J446" s="83">
        <f>H446*I446</f>
        <v/>
      </c>
      <c r="K446" s="83" t="n">
        <v>85377600</v>
      </c>
      <c r="L446" s="83" t="n">
        <v>42688800</v>
      </c>
      <c r="M446" s="83">
        <f>J446-Q446</f>
        <v/>
      </c>
      <c r="N446" s="83">
        <f>K446-R446</f>
        <v/>
      </c>
      <c r="O446" s="517" t="n">
        <v>45968</v>
      </c>
      <c r="P446" s="517" t="n">
        <v>46605</v>
      </c>
      <c r="Q446" s="83" t="n">
        <v>0</v>
      </c>
      <c r="R446" s="84" t="n">
        <v>0</v>
      </c>
      <c r="S446" s="83" t="n">
        <v>2</v>
      </c>
      <c r="T446" s="84" t="n">
        <v>85377600</v>
      </c>
      <c r="U446" s="83" t="n">
        <v>1</v>
      </c>
      <c r="V446" s="84">
        <f>U446*L446</f>
        <v/>
      </c>
      <c r="W446" s="83">
        <f>Q446+S446-U446</f>
        <v/>
      </c>
      <c r="X446" s="84">
        <f>R446+T446-V446</f>
        <v/>
      </c>
      <c r="Y446" s="85" t="inlineStr">
        <is>
          <t>P221ZZMO01</t>
        </is>
      </c>
      <c r="Z446" s="86" t="inlineStr">
        <is>
          <t>15661</t>
        </is>
      </c>
      <c r="AA446" s="86" t="inlineStr">
        <is>
          <t>33561</t>
        </is>
      </c>
      <c r="AB446" s="86" t="inlineStr">
        <is>
          <t>6277651</t>
        </is>
      </c>
      <c r="AC446" s="87" t="inlineStr">
        <is>
          <t>Movies</t>
        </is>
      </c>
      <c r="AD446" s="76">
        <f>COUNTIF('KK1. Movies'!AI:AI,'TK 15661.Bản quyền phim '!F446)</f>
        <v/>
      </c>
      <c r="AE446" s="76">
        <f>COUNTIF('KK2. Series'!AM:AM,'TK 15661.Bản quyền phim '!F446)</f>
        <v/>
      </c>
      <c r="AF446" s="76">
        <f>COUNTIF('KK3. Kids'!AF:AF,'TK 15661.Bản quyền phim '!F446)</f>
        <v/>
      </c>
      <c r="AG446" s="76" t="n"/>
      <c r="AH446" s="76">
        <f>IF(SUM(AD446:AG446)&gt;0,"OK",0)</f>
        <v/>
      </c>
    </row>
    <row r="447" hidden="1" ht="15.6" customHeight="1" s="578">
      <c r="B447" s="74" t="inlineStr">
        <is>
          <t>K+1MOV025147</t>
        </is>
      </c>
      <c r="C447" s="708" t="inlineStr">
        <is>
          <t>USD</t>
        </is>
      </c>
      <c r="D447" s="708" t="inlineStr">
        <is>
          <t>S0002418</t>
        </is>
      </c>
      <c r="E447" s="708" t="inlineStr">
        <is>
          <t>UNIVERSAL CITY STUDIOS PRODUCTIONS LLLP</t>
        </is>
      </c>
      <c r="F447" s="708" t="inlineStr">
        <is>
          <t>UNBROKEN</t>
        </is>
      </c>
      <c r="G447" s="708" t="inlineStr">
        <is>
          <t>Movies International</t>
        </is>
      </c>
      <c r="H447" s="83" t="n">
        <v>1</v>
      </c>
      <c r="I447" s="83" t="n">
        <v>2</v>
      </c>
      <c r="J447" s="83">
        <f>H447*I447</f>
        <v/>
      </c>
      <c r="K447" s="83" t="n">
        <v>85377600</v>
      </c>
      <c r="L447" s="83" t="n">
        <v>42688800</v>
      </c>
      <c r="M447" s="83">
        <f>J447-Q447</f>
        <v/>
      </c>
      <c r="N447" s="83">
        <f>K447-R447</f>
        <v/>
      </c>
      <c r="O447" s="517" t="n">
        <v>45905</v>
      </c>
      <c r="P447" s="517" t="n">
        <v>46542</v>
      </c>
      <c r="Q447" s="83" t="n">
        <v>0</v>
      </c>
      <c r="R447" s="84" t="n">
        <v>0</v>
      </c>
      <c r="S447" s="83" t="n">
        <v>2</v>
      </c>
      <c r="T447" s="84" t="n">
        <v>85377600</v>
      </c>
      <c r="U447" s="83" t="n">
        <v>1</v>
      </c>
      <c r="V447" s="84">
        <f>U447*L447</f>
        <v/>
      </c>
      <c r="W447" s="83">
        <f>Q447+S447-U447</f>
        <v/>
      </c>
      <c r="X447" s="84">
        <f>R447+T447-V447</f>
        <v/>
      </c>
      <c r="Y447" s="85" t="inlineStr">
        <is>
          <t>P221ZZMO01</t>
        </is>
      </c>
      <c r="Z447" s="86" t="inlineStr">
        <is>
          <t>15661</t>
        </is>
      </c>
      <c r="AA447" s="86" t="inlineStr">
        <is>
          <t>33561</t>
        </is>
      </c>
      <c r="AB447" s="86" t="inlineStr">
        <is>
          <t>6277651</t>
        </is>
      </c>
      <c r="AC447" s="87" t="inlineStr">
        <is>
          <t>Movies</t>
        </is>
      </c>
      <c r="AD447" s="76">
        <f>COUNTIF('KK1. Movies'!AI:AI,'TK 15661.Bản quyền phim '!F447)</f>
        <v/>
      </c>
      <c r="AE447" s="76">
        <f>COUNTIF('KK2. Series'!AM:AM,'TK 15661.Bản quyền phim '!F447)</f>
        <v/>
      </c>
      <c r="AF447" s="76">
        <f>COUNTIF('KK3. Kids'!AF:AF,'TK 15661.Bản quyền phim '!F447)</f>
        <v/>
      </c>
      <c r="AG447" s="76" t="n"/>
      <c r="AH447" s="76">
        <f>IF(SUM(AD447:AG447)&gt;0,"OK",0)</f>
        <v/>
      </c>
    </row>
    <row r="448" hidden="1" ht="15.6" customHeight="1" s="578">
      <c r="A448" s="30">
        <f>(U448-H448)*L448</f>
        <v/>
      </c>
      <c r="B448" s="74" t="inlineStr">
        <is>
          <t>K+2SER025148</t>
        </is>
      </c>
      <c r="C448" s="708" t="inlineStr">
        <is>
          <t>USD</t>
        </is>
      </c>
      <c r="D448" s="708" t="inlineStr">
        <is>
          <t>S0002419</t>
        </is>
      </c>
      <c r="E448" s="708" t="inlineStr">
        <is>
          <t>PCCW Vuclip (Singapore) Pte. Ltd.</t>
        </is>
      </c>
      <c r="F448" s="708" t="inlineStr">
        <is>
          <t>Undercover High School</t>
        </is>
      </c>
      <c r="G448" s="708" t="inlineStr">
        <is>
          <t>Series Asian</t>
        </is>
      </c>
      <c r="H448" s="83" t="n">
        <v>12</v>
      </c>
      <c r="I448" s="83" t="n">
        <v>4</v>
      </c>
      <c r="J448" s="83">
        <f>H448*I448</f>
        <v/>
      </c>
      <c r="K448" s="83" t="n">
        <v>1016400000</v>
      </c>
      <c r="L448" s="83" t="n">
        <v>21175000</v>
      </c>
      <c r="M448" s="83">
        <f>J448-Q448</f>
        <v/>
      </c>
      <c r="N448" s="83">
        <f>K448-R448</f>
        <v/>
      </c>
      <c r="O448" s="517" t="n">
        <v>45709</v>
      </c>
      <c r="P448" s="517" t="n">
        <v>47169</v>
      </c>
      <c r="Q448" s="83" t="n">
        <v>0</v>
      </c>
      <c r="R448" s="84" t="n">
        <v>0</v>
      </c>
      <c r="S448" s="83" t="n">
        <v>48</v>
      </c>
      <c r="T448" s="84" t="n">
        <v>1016400000</v>
      </c>
      <c r="U448" s="83" t="n">
        <v>12</v>
      </c>
      <c r="V448" s="84">
        <f>U448*L448</f>
        <v/>
      </c>
      <c r="W448" s="83">
        <f>Q448+S448-U448</f>
        <v/>
      </c>
      <c r="X448" s="84">
        <f>R448+T448-V448</f>
        <v/>
      </c>
      <c r="Y448" s="85" t="inlineStr">
        <is>
          <t>P221ZZSR01</t>
        </is>
      </c>
      <c r="Z448" s="86" t="inlineStr">
        <is>
          <t>15661</t>
        </is>
      </c>
      <c r="AA448" s="86" t="inlineStr">
        <is>
          <t>33561</t>
        </is>
      </c>
      <c r="AB448" s="86" t="inlineStr">
        <is>
          <t>6277651</t>
        </is>
      </c>
      <c r="AC448" s="87" t="inlineStr">
        <is>
          <t>Series</t>
        </is>
      </c>
      <c r="AD448" s="76">
        <f>COUNTIF('KK1. Movies'!AI:AI,'TK 15661.Bản quyền phim '!F448)</f>
        <v/>
      </c>
      <c r="AE448" s="76">
        <f>COUNTIF('KK2. Series'!AM:AM,'TK 15661.Bản quyền phim '!F448)</f>
        <v/>
      </c>
      <c r="AF448" s="76">
        <f>COUNTIF('KK3. Kids'!AF:AF,'TK 15661.Bản quyền phim '!F448)</f>
        <v/>
      </c>
      <c r="AG448" s="76" t="n"/>
      <c r="AH448" s="76">
        <f>IF(SUM(AD448:AG448)&gt;0,"OK",0)</f>
        <v/>
      </c>
    </row>
    <row r="449" hidden="1" ht="15.6" customHeight="1" s="578">
      <c r="B449" s="74" t="inlineStr">
        <is>
          <t>K+1MOV025149</t>
        </is>
      </c>
      <c r="C449" s="708" t="inlineStr">
        <is>
          <t>VND</t>
        </is>
      </c>
      <c r="D449" s="708" t="inlineStr">
        <is>
          <t>S0001801</t>
        </is>
      </c>
      <c r="E449" s="708" t="inlineStr">
        <is>
          <t>Công Ty Cổ Phần Giải Trí TFILM</t>
        </is>
      </c>
      <c r="F449" s="708" t="inlineStr">
        <is>
          <t>Butterfly House (Ngôi nhà bươm bướm) (renew)</t>
        </is>
      </c>
      <c r="G449" s="708" t="inlineStr">
        <is>
          <t>Movies Vietnam</t>
        </is>
      </c>
      <c r="H449" s="83" t="n">
        <v>1</v>
      </c>
      <c r="I449" s="83" t="n">
        <v>2</v>
      </c>
      <c r="J449" s="83">
        <f>H449*I449</f>
        <v/>
      </c>
      <c r="K449" s="83" t="n">
        <v>60000000</v>
      </c>
      <c r="L449" s="83" t="n">
        <v>30000000</v>
      </c>
      <c r="M449" s="83">
        <f>J449-Q449</f>
        <v/>
      </c>
      <c r="N449" s="83">
        <f>K449-R449</f>
        <v/>
      </c>
      <c r="O449" s="517" t="n">
        <v>45654</v>
      </c>
      <c r="P449" s="517" t="n">
        <v>46354</v>
      </c>
      <c r="Q449" s="83" t="n">
        <v>0</v>
      </c>
      <c r="R449" s="84" t="n">
        <v>0</v>
      </c>
      <c r="S449" s="83" t="n">
        <v>2</v>
      </c>
      <c r="T449" s="84" t="n">
        <v>60000000</v>
      </c>
      <c r="U449" s="83" t="n">
        <v>1</v>
      </c>
      <c r="V449" s="84">
        <f>U449*L449</f>
        <v/>
      </c>
      <c r="W449" s="83">
        <f>Q449+S449-U449</f>
        <v/>
      </c>
      <c r="X449" s="84">
        <f>R449+T449-V449</f>
        <v/>
      </c>
      <c r="Y449" s="85" t="inlineStr">
        <is>
          <t>P221ZZMO02</t>
        </is>
      </c>
      <c r="Z449" s="86" t="inlineStr">
        <is>
          <t>15661</t>
        </is>
      </c>
      <c r="AA449" s="86" t="inlineStr">
        <is>
          <t>33561</t>
        </is>
      </c>
      <c r="AB449" s="86" t="inlineStr">
        <is>
          <t>6277651</t>
        </is>
      </c>
      <c r="AC449" s="87" t="inlineStr">
        <is>
          <t>Movies</t>
        </is>
      </c>
      <c r="AD449" s="76">
        <f>COUNTIF('KK1. Movies'!AI:AI,'TK 15661.Bản quyền phim '!F449)</f>
        <v/>
      </c>
      <c r="AE449" s="76">
        <f>COUNTIF('KK2. Series'!AM:AM,'TK 15661.Bản quyền phim '!F449)</f>
        <v/>
      </c>
      <c r="AF449" s="76">
        <f>COUNTIF('KK3. Kids'!AF:AF,'TK 15661.Bản quyền phim '!F449)</f>
        <v/>
      </c>
      <c r="AG449" s="76" t="n"/>
      <c r="AH449" s="76">
        <f>IF(SUM(AD449:AG449)&gt;0,"OK",0)</f>
        <v/>
      </c>
    </row>
    <row r="450" hidden="1" ht="15.6" customHeight="1" s="578">
      <c r="B450" s="74" t="inlineStr">
        <is>
          <t>K+1MOV025150</t>
        </is>
      </c>
      <c r="C450" s="708" t="inlineStr">
        <is>
          <t>VND</t>
        </is>
      </c>
      <c r="D450" s="708" t="inlineStr">
        <is>
          <t>S0001801</t>
        </is>
      </c>
      <c r="E450" s="708" t="inlineStr">
        <is>
          <t>Công Ty Cổ Phần Giải Trí TFILM</t>
        </is>
      </c>
      <c r="F450" s="708" t="inlineStr">
        <is>
          <t>Goodbye mother (Thưa mẹ con đi) (renew)</t>
        </is>
      </c>
      <c r="G450" s="708" t="inlineStr">
        <is>
          <t>Movies Vietnam</t>
        </is>
      </c>
      <c r="H450" s="83" t="n">
        <v>1</v>
      </c>
      <c r="I450" s="83" t="n">
        <v>2</v>
      </c>
      <c r="J450" s="83">
        <f>H450*I450</f>
        <v/>
      </c>
      <c r="K450" s="83" t="n">
        <v>60000000</v>
      </c>
      <c r="L450" s="83" t="n">
        <v>30000000</v>
      </c>
      <c r="M450" s="83">
        <f>J450-Q450</f>
        <v/>
      </c>
      <c r="N450" s="83">
        <f>K450-R450</f>
        <v/>
      </c>
      <c r="O450" s="517" t="n">
        <v>45742</v>
      </c>
      <c r="P450" s="517" t="n">
        <v>46387</v>
      </c>
      <c r="Q450" s="83" t="n">
        <v>0</v>
      </c>
      <c r="R450" s="84" t="n">
        <v>0</v>
      </c>
      <c r="S450" s="83" t="n">
        <v>2</v>
      </c>
      <c r="T450" s="84" t="n">
        <v>60000000</v>
      </c>
      <c r="U450" s="83" t="n">
        <v>1</v>
      </c>
      <c r="V450" s="84">
        <f>U450*L450</f>
        <v/>
      </c>
      <c r="W450" s="83">
        <f>Q450+S450-U450</f>
        <v/>
      </c>
      <c r="X450" s="84">
        <f>R450+T450-V450</f>
        <v/>
      </c>
      <c r="Y450" s="85" t="inlineStr">
        <is>
          <t>P221ZZMO02</t>
        </is>
      </c>
      <c r="Z450" s="86" t="inlineStr">
        <is>
          <t>15661</t>
        </is>
      </c>
      <c r="AA450" s="86" t="inlineStr">
        <is>
          <t>33561</t>
        </is>
      </c>
      <c r="AB450" s="86" t="inlineStr">
        <is>
          <t>6277651</t>
        </is>
      </c>
      <c r="AC450" s="87" t="inlineStr">
        <is>
          <t>Movies</t>
        </is>
      </c>
      <c r="AD450" s="76">
        <f>COUNTIF('KK1. Movies'!AI:AI,'TK 15661.Bản quyền phim '!F450)</f>
        <v/>
      </c>
      <c r="AE450" s="76">
        <f>COUNTIF('KK2. Series'!AM:AM,'TK 15661.Bản quyền phim '!F450)</f>
        <v/>
      </c>
      <c r="AF450" s="76">
        <f>COUNTIF('KK3. Kids'!AF:AF,'TK 15661.Bản quyền phim '!F450)</f>
        <v/>
      </c>
      <c r="AG450" s="76" t="n"/>
      <c r="AH450" s="76">
        <f>IF(SUM(AD450:AG450)&gt;0,"OK",0)</f>
        <v/>
      </c>
    </row>
    <row r="451" hidden="1" ht="15.6" customHeight="1" s="578">
      <c r="B451" s="74" t="inlineStr">
        <is>
          <t>K+1MOV025151</t>
        </is>
      </c>
      <c r="C451" s="708" t="inlineStr">
        <is>
          <t>VND</t>
        </is>
      </c>
      <c r="D451" s="708" t="inlineStr">
        <is>
          <t>S0001801</t>
        </is>
      </c>
      <c r="E451" s="708" t="inlineStr">
        <is>
          <t>Công Ty Cổ Phần Giải Trí TFILM</t>
        </is>
      </c>
      <c r="F451" s="708" t="inlineStr">
        <is>
          <t>Yolo - Bạn chỉ sống một lần (Renew)</t>
        </is>
      </c>
      <c r="G451" s="708" t="inlineStr">
        <is>
          <t>Movies Vietnam</t>
        </is>
      </c>
      <c r="H451" s="83" t="n">
        <v>1</v>
      </c>
      <c r="I451" s="83" t="n">
        <v>2</v>
      </c>
      <c r="J451" s="83">
        <f>H451*I451</f>
        <v/>
      </c>
      <c r="K451" s="83" t="n">
        <v>28571429</v>
      </c>
      <c r="L451" s="83" t="n">
        <v>14285714.5</v>
      </c>
      <c r="M451" s="83">
        <f>J451-Q451</f>
        <v/>
      </c>
      <c r="N451" s="83">
        <f>K451-R451</f>
        <v/>
      </c>
      <c r="O451" s="517" t="n">
        <v>45633</v>
      </c>
      <c r="P451" s="517" t="n">
        <v>46363</v>
      </c>
      <c r="Q451" s="83" t="n">
        <v>0</v>
      </c>
      <c r="R451" s="84" t="n">
        <v>0</v>
      </c>
      <c r="S451" s="83" t="n">
        <v>2</v>
      </c>
      <c r="T451" s="84" t="n">
        <v>28571429</v>
      </c>
      <c r="U451" s="83" t="n">
        <v>1</v>
      </c>
      <c r="V451" s="84">
        <f>U451*L451</f>
        <v/>
      </c>
      <c r="W451" s="83">
        <f>Q451+S451-U451</f>
        <v/>
      </c>
      <c r="X451" s="84">
        <f>R451+T451-V451</f>
        <v/>
      </c>
      <c r="Y451" s="85" t="inlineStr">
        <is>
          <t>P221ZZMO02</t>
        </is>
      </c>
      <c r="Z451" s="86" t="inlineStr">
        <is>
          <t>15661</t>
        </is>
      </c>
      <c r="AA451" s="86" t="inlineStr">
        <is>
          <t>33561</t>
        </is>
      </c>
      <c r="AB451" s="86" t="inlineStr">
        <is>
          <t>6277651</t>
        </is>
      </c>
      <c r="AC451" s="87" t="inlineStr">
        <is>
          <t>Movies</t>
        </is>
      </c>
      <c r="AD451" s="76">
        <f>COUNTIF('KK1. Movies'!AI:AI,'TK 15661.Bản quyền phim '!F451)</f>
        <v/>
      </c>
      <c r="AE451" s="76">
        <f>COUNTIF('KK2. Series'!AM:AM,'TK 15661.Bản quyền phim '!F451)</f>
        <v/>
      </c>
      <c r="AF451" s="76">
        <f>COUNTIF('KK3. Kids'!AF:AF,'TK 15661.Bản quyền phim '!F451)</f>
        <v/>
      </c>
      <c r="AG451" s="76" t="n"/>
      <c r="AH451" s="76">
        <f>IF(SUM(AD451:AG451)&gt;0,"OK",0)</f>
        <v/>
      </c>
    </row>
    <row r="452" hidden="1" ht="15.6" customHeight="1" s="578">
      <c r="B452" s="74" t="inlineStr">
        <is>
          <t>K+1MOV025152</t>
        </is>
      </c>
      <c r="C452" s="708" t="inlineStr">
        <is>
          <t>VND</t>
        </is>
      </c>
      <c r="D452" s="708" t="inlineStr">
        <is>
          <t>S0001801</t>
        </is>
      </c>
      <c r="E452" s="708" t="inlineStr">
        <is>
          <t>Công Ty Cổ Phần Giải Trí TFILM</t>
        </is>
      </c>
      <c r="F452" s="708" t="inlineStr">
        <is>
          <t>The season of love song (Mùa viết tình ca) (Renew)</t>
        </is>
      </c>
      <c r="G452" s="708" t="inlineStr">
        <is>
          <t>Movies Vietnam</t>
        </is>
      </c>
      <c r="H452" s="83" t="n">
        <v>1</v>
      </c>
      <c r="I452" s="83" t="n">
        <v>2.997260273972603</v>
      </c>
      <c r="J452" s="83">
        <f>H452*I452</f>
        <v/>
      </c>
      <c r="K452" s="83" t="n">
        <v>47619048</v>
      </c>
      <c r="L452" s="83" t="n">
        <v>15887525.15539305</v>
      </c>
      <c r="M452" s="83">
        <f>J452-Q452</f>
        <v/>
      </c>
      <c r="N452" s="83">
        <f>K452-R452</f>
        <v/>
      </c>
      <c r="O452" s="517" t="n">
        <v>45658</v>
      </c>
      <c r="P452" s="517" t="n">
        <v>46752</v>
      </c>
      <c r="Q452" s="83" t="n">
        <v>0</v>
      </c>
      <c r="R452" s="84" t="n">
        <v>0</v>
      </c>
      <c r="S452" s="83" t="n">
        <v>2.997260273972603</v>
      </c>
      <c r="T452" s="84" t="n">
        <v>47619048</v>
      </c>
      <c r="U452" s="83" t="n">
        <v>1</v>
      </c>
      <c r="V452" s="84">
        <f>U452*L452</f>
        <v/>
      </c>
      <c r="W452" s="83">
        <f>Q452+S452-U452</f>
        <v/>
      </c>
      <c r="X452" s="84">
        <f>R452+T452-V452</f>
        <v/>
      </c>
      <c r="Y452" s="85" t="inlineStr">
        <is>
          <t>P221ZZMO02</t>
        </is>
      </c>
      <c r="Z452" s="86" t="inlineStr">
        <is>
          <t>15661</t>
        </is>
      </c>
      <c r="AA452" s="86" t="inlineStr">
        <is>
          <t>33561</t>
        </is>
      </c>
      <c r="AB452" s="86" t="inlineStr">
        <is>
          <t>6277651</t>
        </is>
      </c>
      <c r="AC452" s="87" t="inlineStr">
        <is>
          <t>Movies</t>
        </is>
      </c>
      <c r="AD452" s="76">
        <f>COUNTIF('KK1. Movies'!AI:AI,'TK 15661.Bản quyền phim '!F452)</f>
        <v/>
      </c>
      <c r="AE452" s="76">
        <f>COUNTIF('KK2. Series'!AM:AM,'TK 15661.Bản quyền phim '!F452)</f>
        <v/>
      </c>
      <c r="AF452" s="76">
        <f>COUNTIF('KK3. Kids'!AF:AF,'TK 15661.Bản quyền phim '!F452)</f>
        <v/>
      </c>
      <c r="AG452" s="76" t="n"/>
      <c r="AH452" s="76">
        <f>IF(SUM(AD452:AG452)&gt;0,"OK",0)</f>
        <v/>
      </c>
    </row>
    <row r="453" hidden="1" ht="15.6" customHeight="1" s="578">
      <c r="B453" s="74" t="inlineStr">
        <is>
          <t>K+1MOV025153</t>
        </is>
      </c>
      <c r="C453" s="708" t="inlineStr">
        <is>
          <t>VND</t>
        </is>
      </c>
      <c r="D453" s="708" t="inlineStr">
        <is>
          <t>S0001801</t>
        </is>
      </c>
      <c r="E453" s="708" t="inlineStr">
        <is>
          <t>Công Ty Cổ Phần Giải Trí TFILM</t>
        </is>
      </c>
      <c r="F453" s="708" t="inlineStr">
        <is>
          <t>My son, where are you (Mặt trời, con ở đâu) (Renew)</t>
        </is>
      </c>
      <c r="G453" s="708" t="inlineStr">
        <is>
          <t>Movies Vietnam</t>
        </is>
      </c>
      <c r="H453" s="83" t="n">
        <v>1</v>
      </c>
      <c r="I453" s="83" t="n">
        <v>3</v>
      </c>
      <c r="J453" s="83">
        <f>H453*I453</f>
        <v/>
      </c>
      <c r="K453" s="83" t="n">
        <v>47619047</v>
      </c>
      <c r="L453" s="83" t="n">
        <v>15873015.66666667</v>
      </c>
      <c r="M453" s="83">
        <f>J453-Q453</f>
        <v/>
      </c>
      <c r="N453" s="83">
        <f>K453-R453</f>
        <v/>
      </c>
      <c r="O453" s="517" t="n">
        <v>45658</v>
      </c>
      <c r="P453" s="517" t="n">
        <v>46752</v>
      </c>
      <c r="Q453" s="83" t="n">
        <v>0</v>
      </c>
      <c r="R453" s="84" t="n">
        <v>0</v>
      </c>
      <c r="S453" s="83" t="n">
        <v>3</v>
      </c>
      <c r="T453" s="84" t="n">
        <v>47619047</v>
      </c>
      <c r="U453" s="83" t="n">
        <v>1</v>
      </c>
      <c r="V453" s="84">
        <f>U453*L453</f>
        <v/>
      </c>
      <c r="W453" s="83">
        <f>Q453+S453-U453</f>
        <v/>
      </c>
      <c r="X453" s="84">
        <f>R453+T453-V453</f>
        <v/>
      </c>
      <c r="Y453" s="85" t="inlineStr">
        <is>
          <t>P221ZZMO02</t>
        </is>
      </c>
      <c r="Z453" s="86" t="inlineStr">
        <is>
          <t>15661</t>
        </is>
      </c>
      <c r="AA453" s="86" t="inlineStr">
        <is>
          <t>33561</t>
        </is>
      </c>
      <c r="AB453" s="86" t="inlineStr">
        <is>
          <t>6277651</t>
        </is>
      </c>
      <c r="AC453" s="87" t="inlineStr">
        <is>
          <t>Movies</t>
        </is>
      </c>
      <c r="AD453" s="76">
        <f>COUNTIF('KK1. Movies'!AI:AI,'TK 15661.Bản quyền phim '!F453)</f>
        <v/>
      </c>
      <c r="AE453" s="76">
        <f>COUNTIF('KK2. Series'!AM:AM,'TK 15661.Bản quyền phim '!F453)</f>
        <v/>
      </c>
      <c r="AF453" s="76">
        <f>COUNTIF('KK3. Kids'!AF:AF,'TK 15661.Bản quyền phim '!F453)</f>
        <v/>
      </c>
      <c r="AG453" s="76" t="n"/>
      <c r="AH453" s="76">
        <f>IF(SUM(AD453:AG453)&gt;0,"OK",0)</f>
        <v/>
      </c>
    </row>
    <row r="454" hidden="1" ht="15.6" customHeight="1" s="578">
      <c r="B454" s="74" t="inlineStr">
        <is>
          <t>K+1MOV025154</t>
        </is>
      </c>
      <c r="C454" s="708" t="inlineStr">
        <is>
          <t>VND</t>
        </is>
      </c>
      <c r="D454" s="708" t="inlineStr">
        <is>
          <t>S0001801</t>
        </is>
      </c>
      <c r="E454" s="708" t="inlineStr">
        <is>
          <t>Công Ty Cổ Phần Giải Trí TFILM</t>
        </is>
      </c>
      <c r="F454" s="708" t="inlineStr">
        <is>
          <t>Mẹ Chồng (Renew)</t>
        </is>
      </c>
      <c r="G454" s="708" t="inlineStr">
        <is>
          <t>Movies Vietnam</t>
        </is>
      </c>
      <c r="H454" s="83" t="n">
        <v>1</v>
      </c>
      <c r="I454" s="83" t="n">
        <v>2</v>
      </c>
      <c r="J454" s="83">
        <f>H454*I454</f>
        <v/>
      </c>
      <c r="K454" s="83" t="n">
        <v>47619047</v>
      </c>
      <c r="L454" s="83" t="n">
        <v>23809523.5</v>
      </c>
      <c r="M454" s="83">
        <f>J454-Q454</f>
        <v/>
      </c>
      <c r="N454" s="83">
        <f>K454-R454</f>
        <v/>
      </c>
      <c r="O454" s="517" t="n">
        <v>45658</v>
      </c>
      <c r="P454" s="517" t="n">
        <v>46478</v>
      </c>
      <c r="Q454" s="83" t="n">
        <v>0</v>
      </c>
      <c r="R454" s="84" t="n">
        <v>0</v>
      </c>
      <c r="S454" s="83" t="n">
        <v>2</v>
      </c>
      <c r="T454" s="84" t="n">
        <v>47619047</v>
      </c>
      <c r="U454" s="83" t="n">
        <v>1</v>
      </c>
      <c r="V454" s="84">
        <f>U454*L454</f>
        <v/>
      </c>
      <c r="W454" s="83">
        <f>Q454+S454-U454</f>
        <v/>
      </c>
      <c r="X454" s="84">
        <f>R454+T454-V454</f>
        <v/>
      </c>
      <c r="Y454" s="85" t="inlineStr">
        <is>
          <t>P221ZZMO02</t>
        </is>
      </c>
      <c r="Z454" s="86" t="inlineStr">
        <is>
          <t>15661</t>
        </is>
      </c>
      <c r="AA454" s="86" t="inlineStr">
        <is>
          <t>33561</t>
        </is>
      </c>
      <c r="AB454" s="86" t="inlineStr">
        <is>
          <t>6277651</t>
        </is>
      </c>
      <c r="AC454" s="87" t="inlineStr">
        <is>
          <t>Movies</t>
        </is>
      </c>
      <c r="AD454" s="76">
        <f>COUNTIF('KK1. Movies'!AI:AI,'TK 15661.Bản quyền phim '!F454)</f>
        <v/>
      </c>
      <c r="AE454" s="76">
        <f>COUNTIF('KK2. Series'!AM:AM,'TK 15661.Bản quyền phim '!F454)</f>
        <v/>
      </c>
      <c r="AF454" s="76">
        <f>COUNTIF('KK3. Kids'!AF:AF,'TK 15661.Bản quyền phim '!F454)</f>
        <v/>
      </c>
      <c r="AG454" s="76" t="n"/>
      <c r="AH454" s="76">
        <f>IF(SUM(AD454:AG454)&gt;0,"OK",0)</f>
        <v/>
      </c>
    </row>
    <row r="455" hidden="1" s="578">
      <c r="A455" s="30">
        <f>(U455-H455)*L455</f>
        <v/>
      </c>
      <c r="B455" s="74" t="inlineStr">
        <is>
          <t>K+5KID025155</t>
        </is>
      </c>
      <c r="C455" s="708" t="inlineStr">
        <is>
          <t>USD</t>
        </is>
      </c>
      <c r="D455" s="708" t="inlineStr">
        <is>
          <t>S0002519</t>
        </is>
      </c>
      <c r="E455" s="708" t="inlineStr">
        <is>
          <t>POPS SINGAPORE PTE. LTD.</t>
        </is>
      </c>
      <c r="F455" s="708" t="inlineStr">
        <is>
          <t>DORAEMON Season 11</t>
        </is>
      </c>
      <c r="G455" s="708" t="inlineStr">
        <is>
          <t>KIDS</t>
        </is>
      </c>
      <c r="H455" s="83" t="n">
        <v>52</v>
      </c>
      <c r="I455" s="83" t="n">
        <v>2</v>
      </c>
      <c r="J455" s="83">
        <f>H455*I455</f>
        <v/>
      </c>
      <c r="K455" s="83" t="n">
        <v>390677560</v>
      </c>
      <c r="L455" s="83" t="n">
        <v>3756515</v>
      </c>
      <c r="M455" s="83">
        <f>J455-Q455</f>
        <v/>
      </c>
      <c r="N455" s="83">
        <f>K455-R455</f>
        <v/>
      </c>
      <c r="O455" s="517" t="n">
        <v>45762</v>
      </c>
      <c r="P455" s="517" t="n">
        <v>46491</v>
      </c>
      <c r="Q455" s="83" t="n">
        <v>0</v>
      </c>
      <c r="R455" s="84" t="n">
        <v>0</v>
      </c>
      <c r="S455" s="83" t="n">
        <v>104</v>
      </c>
      <c r="T455" s="84" t="n">
        <v>390677560</v>
      </c>
      <c r="U455" s="83" t="n">
        <v>52</v>
      </c>
      <c r="V455" s="84">
        <f>U455*L455</f>
        <v/>
      </c>
      <c r="W455" s="83">
        <f>Q455+S455-U455</f>
        <v/>
      </c>
      <c r="X455" s="84">
        <f>R455+T455-V455</f>
        <v/>
      </c>
      <c r="Y455" s="85" t="inlineStr">
        <is>
          <t>P221ZZKI01</t>
        </is>
      </c>
      <c r="Z455" s="86" t="inlineStr">
        <is>
          <t>15661</t>
        </is>
      </c>
      <c r="AA455" s="86" t="inlineStr">
        <is>
          <t>33561</t>
        </is>
      </c>
      <c r="AB455" s="86" t="inlineStr">
        <is>
          <t>6277651</t>
        </is>
      </c>
      <c r="AC455" s="86" t="inlineStr">
        <is>
          <t>Kids</t>
        </is>
      </c>
      <c r="AD455" s="76">
        <f>COUNTIF('KK1. Movies'!AI:AI,'TK 15661.Bản quyền phim '!F455)</f>
        <v/>
      </c>
      <c r="AE455" s="76">
        <f>COUNTIF('KK2. Series'!AM:AM,'TK 15661.Bản quyền phim '!F455)</f>
        <v/>
      </c>
      <c r="AF455" s="76">
        <f>COUNTIF('KK3. Kids'!AF:AF,'TK 15661.Bản quyền phim '!F455)</f>
        <v/>
      </c>
      <c r="AG455" s="76" t="n"/>
      <c r="AH455" s="76">
        <f>IF(SUM(AD455:AG455)&gt;0,"OK",0)</f>
        <v/>
      </c>
    </row>
    <row r="456" hidden="1" s="578">
      <c r="A456" s="30">
        <f>(U456-H456)*L456</f>
        <v/>
      </c>
      <c r="B456" s="74" t="inlineStr">
        <is>
          <t>K+5KID025156</t>
        </is>
      </c>
      <c r="C456" s="708" t="inlineStr">
        <is>
          <t>USD</t>
        </is>
      </c>
      <c r="D456" s="708" t="inlineStr">
        <is>
          <t>S0002519</t>
        </is>
      </c>
      <c r="E456" s="708" t="inlineStr">
        <is>
          <t>POPS SINGAPORE PTE. LTD.</t>
        </is>
      </c>
      <c r="F456" s="708" t="inlineStr">
        <is>
          <t>DORAEMON Season 13</t>
        </is>
      </c>
      <c r="G456" s="708" t="inlineStr">
        <is>
          <t>KIDS</t>
        </is>
      </c>
      <c r="H456" s="83" t="n">
        <v>52</v>
      </c>
      <c r="I456" s="83" t="n">
        <v>2</v>
      </c>
      <c r="J456" s="83">
        <f>H456*I456</f>
        <v/>
      </c>
      <c r="K456" s="83" t="n">
        <v>754411840</v>
      </c>
      <c r="L456" s="83" t="n">
        <v>7253960</v>
      </c>
      <c r="M456" s="83">
        <f>J456-Q456</f>
        <v/>
      </c>
      <c r="N456" s="83">
        <f>K456-R456</f>
        <v/>
      </c>
      <c r="O456" s="517" t="n">
        <v>45800</v>
      </c>
      <c r="P456" s="517" t="n">
        <v>46529</v>
      </c>
      <c r="Q456" s="83" t="n">
        <v>0</v>
      </c>
      <c r="R456" s="84" t="n">
        <v>0</v>
      </c>
      <c r="S456" s="83" t="n">
        <v>104</v>
      </c>
      <c r="T456" s="84" t="n">
        <v>754411840</v>
      </c>
      <c r="U456" s="83" t="n">
        <v>52</v>
      </c>
      <c r="V456" s="84">
        <f>U456*L456</f>
        <v/>
      </c>
      <c r="W456" s="83">
        <f>Q456+S456-U456</f>
        <v/>
      </c>
      <c r="X456" s="84">
        <f>R456+T456-V456</f>
        <v/>
      </c>
      <c r="Y456" s="85" t="inlineStr">
        <is>
          <t>P221ZZKI01</t>
        </is>
      </c>
      <c r="Z456" s="86" t="inlineStr">
        <is>
          <t>15661</t>
        </is>
      </c>
      <c r="AA456" s="86" t="inlineStr">
        <is>
          <t>33561</t>
        </is>
      </c>
      <c r="AB456" s="86" t="inlineStr">
        <is>
          <t>6277651</t>
        </is>
      </c>
      <c r="AC456" s="86" t="inlineStr">
        <is>
          <t>Kids</t>
        </is>
      </c>
      <c r="AD456" s="76">
        <f>COUNTIF('KK1. Movies'!AI:AI,'TK 15661.Bản quyền phim '!F456)</f>
        <v/>
      </c>
      <c r="AE456" s="76">
        <f>COUNTIF('KK2. Series'!AM:AM,'TK 15661.Bản quyền phim '!F456)</f>
        <v/>
      </c>
      <c r="AF456" s="76">
        <f>COUNTIF('KK3. Kids'!AF:AF,'TK 15661.Bản quyền phim '!F456)</f>
        <v/>
      </c>
      <c r="AG456" s="76" t="n"/>
      <c r="AH456" s="76">
        <f>IF(SUM(AD456:AG456)&gt;0,"OK",0)</f>
        <v/>
      </c>
    </row>
    <row r="457" hidden="1" ht="15.6" customHeight="1" s="578">
      <c r="A457" s="30">
        <f>(U457-H457)*L457</f>
        <v/>
      </c>
      <c r="B457" s="74" t="inlineStr">
        <is>
          <t>K+1SER025157</t>
        </is>
      </c>
      <c r="C457" s="708" t="inlineStr">
        <is>
          <t>USD</t>
        </is>
      </c>
      <c r="D457" s="708" t="inlineStr">
        <is>
          <t>S0002419</t>
        </is>
      </c>
      <c r="E457" s="708" t="inlineStr">
        <is>
          <t>PCCW Vuclip (Singapore) Pte. Ltd.</t>
        </is>
      </c>
      <c r="F457" s="708" t="inlineStr">
        <is>
          <t>Crushology 101</t>
        </is>
      </c>
      <c r="G457" s="708" t="inlineStr">
        <is>
          <t>Series Asian</t>
        </is>
      </c>
      <c r="H457" s="83" t="n">
        <v>12</v>
      </c>
      <c r="I457" s="83" t="n">
        <v>4</v>
      </c>
      <c r="J457" s="83">
        <f>H457*I457</f>
        <v/>
      </c>
      <c r="K457" s="83" t="n">
        <v>1036280000</v>
      </c>
      <c r="L457" s="83" t="n">
        <v>21589166.66666667</v>
      </c>
      <c r="M457" s="83">
        <f>J457-Q457</f>
        <v/>
      </c>
      <c r="N457" s="83">
        <f>K457-R457</f>
        <v/>
      </c>
      <c r="O457" s="517" t="n">
        <v>45751</v>
      </c>
      <c r="P457" s="517" t="n">
        <v>47211</v>
      </c>
      <c r="Q457" s="83" t="n">
        <v>0</v>
      </c>
      <c r="R457" s="84" t="n">
        <v>0</v>
      </c>
      <c r="S457" s="83" t="n">
        <v>48</v>
      </c>
      <c r="T457" s="84" t="n">
        <v>1036280000</v>
      </c>
      <c r="U457" s="83" t="n">
        <v>12</v>
      </c>
      <c r="V457" s="84">
        <f>U457*L457</f>
        <v/>
      </c>
      <c r="W457" s="83">
        <f>Q457+S457-U457</f>
        <v/>
      </c>
      <c r="X457" s="84">
        <f>R457+T457-V457</f>
        <v/>
      </c>
      <c r="Y457" s="85" t="inlineStr">
        <is>
          <t>P221ZZSR01</t>
        </is>
      </c>
      <c r="Z457" s="86" t="inlineStr">
        <is>
          <t>15661</t>
        </is>
      </c>
      <c r="AA457" s="86" t="inlineStr">
        <is>
          <t>33561</t>
        </is>
      </c>
      <c r="AB457" s="86" t="inlineStr">
        <is>
          <t>6277651</t>
        </is>
      </c>
      <c r="AC457" s="87" t="inlineStr">
        <is>
          <t>Series</t>
        </is>
      </c>
      <c r="AD457" s="76">
        <f>COUNTIF('KK1. Movies'!AI:AI,'TK 15661.Bản quyền phim '!F457)</f>
        <v/>
      </c>
      <c r="AE457" s="76">
        <f>COUNTIF('KK2. Series'!AM:AM,'TK 15661.Bản quyền phim '!F457)</f>
        <v/>
      </c>
      <c r="AF457" s="76">
        <f>COUNTIF('KK3. Kids'!AF:AF,'TK 15661.Bản quyền phim '!F457)</f>
        <v/>
      </c>
      <c r="AG457" s="76" t="n"/>
      <c r="AH457" s="76">
        <f>IF(SUM(AD457:AG457)&gt;0,"OK",0)</f>
        <v/>
      </c>
    </row>
    <row r="458" hidden="1" ht="15.6" customHeight="1" s="578">
      <c r="B458" s="74" t="inlineStr">
        <is>
          <t>K+1MOV025158</t>
        </is>
      </c>
      <c r="C458" s="708" t="inlineStr">
        <is>
          <t>USD</t>
        </is>
      </c>
      <c r="D458" s="708" t="inlineStr">
        <is>
          <t>S0002438</t>
        </is>
      </c>
      <c r="E458" s="708" t="inlineStr">
        <is>
          <t>Paramount Pictures International Limited</t>
        </is>
      </c>
      <c r="F458" s="708" t="inlineStr">
        <is>
          <t>ANNIHILATION</t>
        </is>
      </c>
      <c r="G458" s="708" t="inlineStr">
        <is>
          <t>Movies International</t>
        </is>
      </c>
      <c r="H458" s="83" t="n">
        <v>1</v>
      </c>
      <c r="I458" s="83" t="n">
        <v>2</v>
      </c>
      <c r="J458" s="83">
        <f>H458*I458</f>
        <v/>
      </c>
      <c r="K458" s="83" t="n">
        <v>77937000</v>
      </c>
      <c r="L458" s="83" t="n">
        <v>38968500</v>
      </c>
      <c r="M458" s="83">
        <f>J458-Q458</f>
        <v/>
      </c>
      <c r="N458" s="83">
        <f>K458-R458</f>
        <v/>
      </c>
      <c r="O458" s="517" t="n">
        <v>45974</v>
      </c>
      <c r="P458" s="517" t="n">
        <v>46519</v>
      </c>
      <c r="Q458" s="83" t="n">
        <v>0</v>
      </c>
      <c r="R458" s="84" t="n">
        <v>0</v>
      </c>
      <c r="S458" s="83" t="n">
        <v>2</v>
      </c>
      <c r="T458" s="84" t="n">
        <v>77937000</v>
      </c>
      <c r="U458" s="83" t="n">
        <v>1</v>
      </c>
      <c r="V458" s="84">
        <f>U458*L458</f>
        <v/>
      </c>
      <c r="W458" s="83">
        <f>Q458+S458-U458</f>
        <v/>
      </c>
      <c r="X458" s="84">
        <f>R458+T458-V458</f>
        <v/>
      </c>
      <c r="Y458" s="85" t="inlineStr">
        <is>
          <t>P221ZZMO01</t>
        </is>
      </c>
      <c r="Z458" s="86" t="inlineStr">
        <is>
          <t>15661</t>
        </is>
      </c>
      <c r="AA458" s="86" t="inlineStr">
        <is>
          <t>33561</t>
        </is>
      </c>
      <c r="AB458" s="86" t="inlineStr">
        <is>
          <t>6277651</t>
        </is>
      </c>
      <c r="AC458" s="87" t="inlineStr">
        <is>
          <t>Movies</t>
        </is>
      </c>
      <c r="AD458" s="76">
        <f>COUNTIF('KK1. Movies'!AI:AI,'TK 15661.Bản quyền phim '!F458)</f>
        <v/>
      </c>
      <c r="AE458" s="76">
        <f>COUNTIF('KK2. Series'!AM:AM,'TK 15661.Bản quyền phim '!F458)</f>
        <v/>
      </c>
      <c r="AF458" s="76">
        <f>COUNTIF('KK3. Kids'!AF:AF,'TK 15661.Bản quyền phim '!F458)</f>
        <v/>
      </c>
      <c r="AG458" s="76" t="n"/>
      <c r="AH458" s="76">
        <f>IF(SUM(AD458:AG458)&gt;0,"OK",0)</f>
        <v/>
      </c>
    </row>
    <row r="459" hidden="1" ht="15.6" customHeight="1" s="578">
      <c r="B459" s="74" t="inlineStr">
        <is>
          <t>K+1MOV025159</t>
        </is>
      </c>
      <c r="C459" s="708" t="inlineStr">
        <is>
          <t>USD</t>
        </is>
      </c>
      <c r="D459" s="708" t="inlineStr">
        <is>
          <t>S0002438</t>
        </is>
      </c>
      <c r="E459" s="708" t="inlineStr">
        <is>
          <t>Paramount Pictures International Limited</t>
        </is>
      </c>
      <c r="F459" s="708" t="inlineStr">
        <is>
          <t>BABYLON</t>
        </is>
      </c>
      <c r="G459" s="708" t="inlineStr">
        <is>
          <t>Movies International</t>
        </is>
      </c>
      <c r="H459" s="83" t="n">
        <v>1</v>
      </c>
      <c r="I459" s="83" t="n">
        <v>2</v>
      </c>
      <c r="J459" s="83">
        <f>H459*I459</f>
        <v/>
      </c>
      <c r="K459" s="83" t="n">
        <v>90926500</v>
      </c>
      <c r="L459" s="83" t="n">
        <v>45463250</v>
      </c>
      <c r="M459" s="83">
        <f>J459-Q459</f>
        <v/>
      </c>
      <c r="N459" s="83">
        <f>K459-R459</f>
        <v/>
      </c>
      <c r="O459" s="517" t="n">
        <v>45883</v>
      </c>
      <c r="P459" s="517" t="n">
        <v>46431</v>
      </c>
      <c r="Q459" s="83" t="n">
        <v>0</v>
      </c>
      <c r="R459" s="84" t="n">
        <v>0</v>
      </c>
      <c r="S459" s="83" t="n">
        <v>2</v>
      </c>
      <c r="T459" s="84" t="n">
        <v>90926500</v>
      </c>
      <c r="U459" s="83" t="n">
        <v>1</v>
      </c>
      <c r="V459" s="84">
        <f>U459*L459</f>
        <v/>
      </c>
      <c r="W459" s="83">
        <f>Q459+S459-U459</f>
        <v/>
      </c>
      <c r="X459" s="84">
        <f>R459+T459-V459</f>
        <v/>
      </c>
      <c r="Y459" s="85" t="inlineStr">
        <is>
          <t>P221ZZMO01</t>
        </is>
      </c>
      <c r="Z459" s="86" t="inlineStr">
        <is>
          <t>15661</t>
        </is>
      </c>
      <c r="AA459" s="86" t="inlineStr">
        <is>
          <t>33561</t>
        </is>
      </c>
      <c r="AB459" s="86" t="inlineStr">
        <is>
          <t>6277651</t>
        </is>
      </c>
      <c r="AC459" s="87" t="inlineStr">
        <is>
          <t>Movies</t>
        </is>
      </c>
      <c r="AD459" s="76">
        <f>COUNTIF('KK1. Movies'!AI:AI,'TK 15661.Bản quyền phim '!F459)</f>
        <v/>
      </c>
      <c r="AE459" s="76">
        <f>COUNTIF('KK2. Series'!AM:AM,'TK 15661.Bản quyền phim '!F459)</f>
        <v/>
      </c>
      <c r="AF459" s="76">
        <f>COUNTIF('KK3. Kids'!AF:AF,'TK 15661.Bản quyền phim '!F459)</f>
        <v/>
      </c>
      <c r="AG459" s="76" t="n"/>
      <c r="AH459" s="76">
        <f>IF(SUM(AD459:AG459)&gt;0,"OK",0)</f>
        <v/>
      </c>
    </row>
    <row r="460" hidden="1" ht="15.6" customHeight="1" s="578">
      <c r="B460" s="74" t="inlineStr">
        <is>
          <t>K+1MOV025160</t>
        </is>
      </c>
      <c r="C460" s="708" t="inlineStr">
        <is>
          <t>USD</t>
        </is>
      </c>
      <c r="D460" s="708" t="inlineStr">
        <is>
          <t>S0002438</t>
        </is>
      </c>
      <c r="E460" s="708" t="inlineStr">
        <is>
          <t>Paramount Pictures International Limited</t>
        </is>
      </c>
      <c r="F460" s="708" t="inlineStr">
        <is>
          <t>BEASTLY</t>
        </is>
      </c>
      <c r="G460" s="708" t="inlineStr">
        <is>
          <t>Movies International</t>
        </is>
      </c>
      <c r="H460" s="83" t="n">
        <v>1</v>
      </c>
      <c r="I460" s="83" t="n">
        <v>2</v>
      </c>
      <c r="J460" s="83">
        <f>H460*I460</f>
        <v/>
      </c>
      <c r="K460" s="83" t="n">
        <v>77937000</v>
      </c>
      <c r="L460" s="83" t="n">
        <v>38968500</v>
      </c>
      <c r="M460" s="83">
        <f>J460-Q460</f>
        <v/>
      </c>
      <c r="N460" s="83">
        <f>K460-R460</f>
        <v/>
      </c>
      <c r="O460" s="517" t="n">
        <v>45883</v>
      </c>
      <c r="P460" s="517" t="n">
        <v>46431</v>
      </c>
      <c r="Q460" s="83" t="n">
        <v>0</v>
      </c>
      <c r="R460" s="84" t="n">
        <v>0</v>
      </c>
      <c r="S460" s="83" t="n">
        <v>2</v>
      </c>
      <c r="T460" s="84" t="n">
        <v>77937000</v>
      </c>
      <c r="U460" s="83" t="n">
        <v>1</v>
      </c>
      <c r="V460" s="84">
        <f>U460*L460</f>
        <v/>
      </c>
      <c r="W460" s="83">
        <f>Q460+S460-U460</f>
        <v/>
      </c>
      <c r="X460" s="84">
        <f>R460+T460-V460</f>
        <v/>
      </c>
      <c r="Y460" s="85" t="inlineStr">
        <is>
          <t>P221ZZMO01</t>
        </is>
      </c>
      <c r="Z460" s="86" t="inlineStr">
        <is>
          <t>15661</t>
        </is>
      </c>
      <c r="AA460" s="86" t="inlineStr">
        <is>
          <t>33561</t>
        </is>
      </c>
      <c r="AB460" s="86" t="inlineStr">
        <is>
          <t>6277651</t>
        </is>
      </c>
      <c r="AC460" s="87" t="inlineStr">
        <is>
          <t>Movies</t>
        </is>
      </c>
      <c r="AD460" s="76">
        <f>COUNTIF('KK1. Movies'!AI:AI,'TK 15661.Bản quyền phim '!F460)</f>
        <v/>
      </c>
      <c r="AE460" s="76">
        <f>COUNTIF('KK2. Series'!AM:AM,'TK 15661.Bản quyền phim '!F460)</f>
        <v/>
      </c>
      <c r="AF460" s="76">
        <f>COUNTIF('KK3. Kids'!AF:AF,'TK 15661.Bản quyền phim '!F460)</f>
        <v/>
      </c>
      <c r="AG460" s="76" t="n"/>
      <c r="AH460" s="76">
        <f>IF(SUM(AD460:AG460)&gt;0,"OK",0)</f>
        <v/>
      </c>
    </row>
    <row r="461" hidden="1" ht="15.6" customHeight="1" s="578">
      <c r="B461" s="74" t="inlineStr">
        <is>
          <t>K+1MOV025161</t>
        </is>
      </c>
      <c r="C461" s="708" t="inlineStr">
        <is>
          <t>USD</t>
        </is>
      </c>
      <c r="D461" s="708" t="inlineStr">
        <is>
          <t>S0002438</t>
        </is>
      </c>
      <c r="E461" s="708" t="inlineStr">
        <is>
          <t>Paramount Pictures International Limited</t>
        </is>
      </c>
      <c r="F461" s="708" t="inlineStr">
        <is>
          <t>FORREST GUMP</t>
        </is>
      </c>
      <c r="G461" s="708" t="inlineStr">
        <is>
          <t>Movies International</t>
        </is>
      </c>
      <c r="H461" s="83" t="n">
        <v>1</v>
      </c>
      <c r="I461" s="83" t="n">
        <v>2</v>
      </c>
      <c r="J461" s="83">
        <f>H461*I461</f>
        <v/>
      </c>
      <c r="K461" s="83" t="n">
        <v>90926500</v>
      </c>
      <c r="L461" s="83" t="n">
        <v>45463250</v>
      </c>
      <c r="M461" s="83">
        <f>J461-Q461</f>
        <v/>
      </c>
      <c r="N461" s="83">
        <f>K461-R461</f>
        <v/>
      </c>
      <c r="O461" s="517" t="n">
        <v>45777</v>
      </c>
      <c r="P461" s="517" t="n">
        <v>46324</v>
      </c>
      <c r="Q461" s="83" t="n">
        <v>0</v>
      </c>
      <c r="R461" s="84" t="n">
        <v>0</v>
      </c>
      <c r="S461" s="83" t="n">
        <v>2</v>
      </c>
      <c r="T461" s="84" t="n">
        <v>90926500</v>
      </c>
      <c r="U461" s="83" t="n">
        <v>1</v>
      </c>
      <c r="V461" s="84">
        <f>U461*L461</f>
        <v/>
      </c>
      <c r="W461" s="83">
        <f>Q461+S461-U461</f>
        <v/>
      </c>
      <c r="X461" s="84">
        <f>R461+T461-V461</f>
        <v/>
      </c>
      <c r="Y461" s="85" t="inlineStr">
        <is>
          <t>P221ZZMO01</t>
        </is>
      </c>
      <c r="Z461" s="86" t="inlineStr">
        <is>
          <t>15661</t>
        </is>
      </c>
      <c r="AA461" s="86" t="inlineStr">
        <is>
          <t>33561</t>
        </is>
      </c>
      <c r="AB461" s="86" t="inlineStr">
        <is>
          <t>6277651</t>
        </is>
      </c>
      <c r="AC461" s="87" t="inlineStr">
        <is>
          <t>Movies</t>
        </is>
      </c>
      <c r="AD461" s="76">
        <f>COUNTIF('KK1. Movies'!AI:AI,'TK 15661.Bản quyền phim '!F461)</f>
        <v/>
      </c>
      <c r="AE461" s="76">
        <f>COUNTIF('KK2. Series'!AM:AM,'TK 15661.Bản quyền phim '!F461)</f>
        <v/>
      </c>
      <c r="AF461" s="76">
        <f>COUNTIF('KK3. Kids'!AF:AF,'TK 15661.Bản quyền phim '!F461)</f>
        <v/>
      </c>
      <c r="AG461" s="76" t="n"/>
      <c r="AH461" s="76">
        <f>IF(SUM(AD461:AG461)&gt;0,"OK",0)</f>
        <v/>
      </c>
    </row>
    <row r="462" hidden="1" ht="15.6" customHeight="1" s="578">
      <c r="B462" s="74" t="inlineStr">
        <is>
          <t>K+2MOV025162</t>
        </is>
      </c>
      <c r="C462" s="708" t="inlineStr">
        <is>
          <t>USD</t>
        </is>
      </c>
      <c r="D462" s="708" t="inlineStr">
        <is>
          <t>S0002438</t>
        </is>
      </c>
      <c r="E462" s="708" t="inlineStr">
        <is>
          <t>Paramount Pictures International Limited</t>
        </is>
      </c>
      <c r="F462" s="708" t="inlineStr">
        <is>
          <t>GAMBLER (2014), THE</t>
        </is>
      </c>
      <c r="G462" s="708" t="inlineStr">
        <is>
          <t>Movies International</t>
        </is>
      </c>
      <c r="H462" s="83" t="n">
        <v>1</v>
      </c>
      <c r="I462" s="83" t="n">
        <v>2</v>
      </c>
      <c r="J462" s="83">
        <f>H462*I462</f>
        <v/>
      </c>
      <c r="K462" s="83" t="n">
        <v>77937000</v>
      </c>
      <c r="L462" s="83" t="n">
        <v>38968500</v>
      </c>
      <c r="M462" s="83">
        <f>J462-Q462</f>
        <v/>
      </c>
      <c r="N462" s="83">
        <f>K462-R462</f>
        <v/>
      </c>
      <c r="O462" s="517" t="n">
        <v>45883</v>
      </c>
      <c r="P462" s="517" t="n">
        <v>46431</v>
      </c>
      <c r="Q462" s="83" t="n">
        <v>0</v>
      </c>
      <c r="R462" s="84" t="n">
        <v>0</v>
      </c>
      <c r="S462" s="83" t="n">
        <v>2</v>
      </c>
      <c r="T462" s="84" t="n">
        <v>77937000</v>
      </c>
      <c r="U462" s="83" t="n">
        <v>1</v>
      </c>
      <c r="V462" s="84">
        <f>U462*L462</f>
        <v/>
      </c>
      <c r="W462" s="83">
        <f>Q462+S462-U462</f>
        <v/>
      </c>
      <c r="X462" s="84">
        <f>R462+T462-V462</f>
        <v/>
      </c>
      <c r="Y462" s="85" t="inlineStr">
        <is>
          <t>P221ZZMO01</t>
        </is>
      </c>
      <c r="Z462" s="86" t="inlineStr">
        <is>
          <t>15661</t>
        </is>
      </c>
      <c r="AA462" s="86" t="inlineStr">
        <is>
          <t>33561</t>
        </is>
      </c>
      <c r="AB462" s="86" t="inlineStr">
        <is>
          <t>6277651</t>
        </is>
      </c>
      <c r="AC462" s="87" t="inlineStr">
        <is>
          <t>Movies</t>
        </is>
      </c>
      <c r="AD462" s="76">
        <f>COUNTIF('KK1. Movies'!AI:AI,'TK 15661.Bản quyền phim '!F462)</f>
        <v/>
      </c>
      <c r="AE462" s="76">
        <f>COUNTIF('KK2. Series'!AM:AM,'TK 15661.Bản quyền phim '!F462)</f>
        <v/>
      </c>
      <c r="AF462" s="76">
        <f>COUNTIF('KK3. Kids'!AF:AF,'TK 15661.Bản quyền phim '!F462)</f>
        <v/>
      </c>
      <c r="AG462" s="76" t="n"/>
      <c r="AH462" s="76">
        <f>IF(SUM(AD462:AG462)&gt;0,"OK",0)</f>
        <v/>
      </c>
    </row>
    <row r="463" hidden="1" ht="15.6" customHeight="1" s="578">
      <c r="B463" s="74" t="inlineStr">
        <is>
          <t>K+1MOV025163</t>
        </is>
      </c>
      <c r="C463" s="708" t="inlineStr">
        <is>
          <t>USD</t>
        </is>
      </c>
      <c r="D463" s="708" t="inlineStr">
        <is>
          <t>S0002438</t>
        </is>
      </c>
      <c r="E463" s="708" t="inlineStr">
        <is>
          <t>Paramount Pictures International Limited</t>
        </is>
      </c>
      <c r="F463" s="708" t="inlineStr">
        <is>
          <t>INFINITE</t>
        </is>
      </c>
      <c r="G463" s="708" t="inlineStr">
        <is>
          <t>Movies International</t>
        </is>
      </c>
      <c r="H463" s="83" t="n">
        <v>1</v>
      </c>
      <c r="I463" s="83" t="n">
        <v>2</v>
      </c>
      <c r="J463" s="83">
        <f>H463*I463</f>
        <v/>
      </c>
      <c r="K463" s="83" t="n">
        <v>77937000</v>
      </c>
      <c r="L463" s="83" t="n">
        <v>38968500</v>
      </c>
      <c r="M463" s="83">
        <f>J463-Q463</f>
        <v/>
      </c>
      <c r="N463" s="83">
        <f>K463-R463</f>
        <v/>
      </c>
      <c r="O463" s="517" t="n">
        <v>46008</v>
      </c>
      <c r="P463" s="517" t="n">
        <v>46554</v>
      </c>
      <c r="Q463" s="83" t="n">
        <v>0</v>
      </c>
      <c r="R463" s="84" t="n">
        <v>0</v>
      </c>
      <c r="S463" s="83" t="n">
        <v>2</v>
      </c>
      <c r="T463" s="84" t="n">
        <v>77937000</v>
      </c>
      <c r="U463" s="83" t="n">
        <v>1</v>
      </c>
      <c r="V463" s="84">
        <f>U463*L463</f>
        <v/>
      </c>
      <c r="W463" s="83">
        <f>Q463+S463-U463</f>
        <v/>
      </c>
      <c r="X463" s="84">
        <f>R463+T463-V463</f>
        <v/>
      </c>
      <c r="Y463" s="85" t="inlineStr">
        <is>
          <t>P221ZZMO01</t>
        </is>
      </c>
      <c r="Z463" s="86" t="inlineStr">
        <is>
          <t>15661</t>
        </is>
      </c>
      <c r="AA463" s="86" t="inlineStr">
        <is>
          <t>33561</t>
        </is>
      </c>
      <c r="AB463" s="86" t="inlineStr">
        <is>
          <t>6277651</t>
        </is>
      </c>
      <c r="AC463" s="87" t="inlineStr">
        <is>
          <t>Movies</t>
        </is>
      </c>
      <c r="AD463" s="76">
        <f>COUNTIF('KK1. Movies'!AI:AI,'TK 15661.Bản quyền phim '!F463)</f>
        <v/>
      </c>
      <c r="AE463" s="76">
        <f>COUNTIF('KK2. Series'!AM:AM,'TK 15661.Bản quyền phim '!F463)</f>
        <v/>
      </c>
      <c r="AF463" s="76">
        <f>COUNTIF('KK3. Kids'!AF:AF,'TK 15661.Bản quyền phim '!F463)</f>
        <v/>
      </c>
      <c r="AG463" s="76" t="n"/>
      <c r="AH463" s="76">
        <f>IF(SUM(AD463:AG463)&gt;0,"OK",0)</f>
        <v/>
      </c>
    </row>
    <row r="464" hidden="1" ht="15.6" customHeight="1" s="578">
      <c r="B464" s="74" t="inlineStr">
        <is>
          <t>K+1MOV025164</t>
        </is>
      </c>
      <c r="C464" s="708" t="inlineStr">
        <is>
          <t>USD</t>
        </is>
      </c>
      <c r="D464" s="708" t="inlineStr">
        <is>
          <t>S0002438</t>
        </is>
      </c>
      <c r="E464" s="708" t="inlineStr">
        <is>
          <t>Paramount Pictures International Limited</t>
        </is>
      </c>
      <c r="F464" s="708" t="inlineStr">
        <is>
          <t>LITTLE FOCKERS</t>
        </is>
      </c>
      <c r="G464" s="708" t="inlineStr">
        <is>
          <t>Movies International</t>
        </is>
      </c>
      <c r="H464" s="83" t="n">
        <v>1</v>
      </c>
      <c r="I464" s="83" t="n">
        <v>2</v>
      </c>
      <c r="J464" s="83">
        <f>H464*I464</f>
        <v/>
      </c>
      <c r="K464" s="83" t="n">
        <v>90926500</v>
      </c>
      <c r="L464" s="83" t="n">
        <v>45463250</v>
      </c>
      <c r="M464" s="83">
        <f>J464-Q464</f>
        <v/>
      </c>
      <c r="N464" s="83">
        <f>K464-R464</f>
        <v/>
      </c>
      <c r="O464" s="517" t="n">
        <v>45974</v>
      </c>
      <c r="P464" s="517" t="n">
        <v>46519</v>
      </c>
      <c r="Q464" s="83" t="n">
        <v>0</v>
      </c>
      <c r="R464" s="84" t="n">
        <v>0</v>
      </c>
      <c r="S464" s="83" t="n">
        <v>2</v>
      </c>
      <c r="T464" s="84" t="n">
        <v>90926500</v>
      </c>
      <c r="U464" s="83" t="n">
        <v>1</v>
      </c>
      <c r="V464" s="84">
        <f>U464*L464</f>
        <v/>
      </c>
      <c r="W464" s="83">
        <f>Q464+S464-U464</f>
        <v/>
      </c>
      <c r="X464" s="84">
        <f>R464+T464-V464</f>
        <v/>
      </c>
      <c r="Y464" s="85" t="inlineStr">
        <is>
          <t>P221ZZMO01</t>
        </is>
      </c>
      <c r="Z464" s="86" t="inlineStr">
        <is>
          <t>15661</t>
        </is>
      </c>
      <c r="AA464" s="86" t="inlineStr">
        <is>
          <t>33561</t>
        </is>
      </c>
      <c r="AB464" s="86" t="inlineStr">
        <is>
          <t>6277651</t>
        </is>
      </c>
      <c r="AC464" s="87" t="inlineStr">
        <is>
          <t>Movies</t>
        </is>
      </c>
      <c r="AD464" s="76">
        <f>COUNTIF('KK1. Movies'!AI:AI,'TK 15661.Bản quyền phim '!F464)</f>
        <v/>
      </c>
      <c r="AE464" s="76">
        <f>COUNTIF('KK2. Series'!AM:AM,'TK 15661.Bản quyền phim '!F464)</f>
        <v/>
      </c>
      <c r="AF464" s="76">
        <f>COUNTIF('KK3. Kids'!AF:AF,'TK 15661.Bản quyền phim '!F464)</f>
        <v/>
      </c>
      <c r="AG464" s="76" t="n"/>
      <c r="AH464" s="76">
        <f>IF(SUM(AD464:AG464)&gt;0,"OK",0)</f>
        <v/>
      </c>
    </row>
    <row r="465" hidden="1" ht="15.6" customHeight="1" s="578">
      <c r="B465" s="74" t="inlineStr">
        <is>
          <t>K+1MOV025165</t>
        </is>
      </c>
      <c r="C465" s="708" t="inlineStr">
        <is>
          <t>USD</t>
        </is>
      </c>
      <c r="D465" s="708" t="inlineStr">
        <is>
          <t>S0002438</t>
        </is>
      </c>
      <c r="E465" s="708" t="inlineStr">
        <is>
          <t>Paramount Pictures International Limited</t>
        </is>
      </c>
      <c r="F465" s="708" t="inlineStr">
        <is>
          <t>LOST CITY, THE</t>
        </is>
      </c>
      <c r="G465" s="708" t="inlineStr">
        <is>
          <t>Movies International</t>
        </is>
      </c>
      <c r="H465" s="83" t="n">
        <v>1</v>
      </c>
      <c r="I465" s="83" t="n">
        <v>2</v>
      </c>
      <c r="J465" s="83">
        <f>H465*I465</f>
        <v/>
      </c>
      <c r="K465" s="83" t="n">
        <v>116905500</v>
      </c>
      <c r="L465" s="83" t="n">
        <v>58452750</v>
      </c>
      <c r="M465" s="83">
        <f>J465-Q465</f>
        <v/>
      </c>
      <c r="N465" s="83">
        <f>K465-R465</f>
        <v/>
      </c>
      <c r="O465" s="517" t="n">
        <v>45974</v>
      </c>
      <c r="P465" s="517" t="n">
        <v>46519</v>
      </c>
      <c r="Q465" s="83" t="n">
        <v>0</v>
      </c>
      <c r="R465" s="84" t="n">
        <v>0</v>
      </c>
      <c r="S465" s="83" t="n">
        <v>2</v>
      </c>
      <c r="T465" s="84" t="n">
        <v>116905500</v>
      </c>
      <c r="U465" s="83" t="n">
        <v>1</v>
      </c>
      <c r="V465" s="84">
        <f>U465*L465</f>
        <v/>
      </c>
      <c r="W465" s="83">
        <f>Q465+S465-U465</f>
        <v/>
      </c>
      <c r="X465" s="84">
        <f>R465+T465-V465</f>
        <v/>
      </c>
      <c r="Y465" s="85" t="inlineStr">
        <is>
          <t>P221ZZMO01</t>
        </is>
      </c>
      <c r="Z465" s="86" t="inlineStr">
        <is>
          <t>15661</t>
        </is>
      </c>
      <c r="AA465" s="86" t="inlineStr">
        <is>
          <t>33561</t>
        </is>
      </c>
      <c r="AB465" s="86" t="inlineStr">
        <is>
          <t>6277651</t>
        </is>
      </c>
      <c r="AC465" s="87" t="inlineStr">
        <is>
          <t>Movies</t>
        </is>
      </c>
      <c r="AD465" s="76">
        <f>COUNTIF('KK1. Movies'!AI:AI,'TK 15661.Bản quyền phim '!F465)</f>
        <v/>
      </c>
      <c r="AE465" s="76">
        <f>COUNTIF('KK2. Series'!AM:AM,'TK 15661.Bản quyền phim '!F465)</f>
        <v/>
      </c>
      <c r="AF465" s="76">
        <f>COUNTIF('KK3. Kids'!AF:AF,'TK 15661.Bản quyền phim '!F465)</f>
        <v/>
      </c>
      <c r="AG465" s="76" t="n"/>
      <c r="AH465" s="76">
        <f>IF(SUM(AD465:AG465)&gt;0,"OK",0)</f>
        <v/>
      </c>
    </row>
    <row r="466" hidden="1" ht="15.6" customHeight="1" s="578">
      <c r="B466" s="74" t="inlineStr">
        <is>
          <t>K+1MOV025166</t>
        </is>
      </c>
      <c r="C466" s="708" t="inlineStr">
        <is>
          <t>USD</t>
        </is>
      </c>
      <c r="D466" s="708" t="inlineStr">
        <is>
          <t>S0002438</t>
        </is>
      </c>
      <c r="E466" s="708" t="inlineStr">
        <is>
          <t>Paramount Pictures International Limited</t>
        </is>
      </c>
      <c r="F466" s="708" t="inlineStr">
        <is>
          <t>LOVE IN TAIPEI</t>
        </is>
      </c>
      <c r="G466" s="708" t="inlineStr">
        <is>
          <t>Movies International</t>
        </is>
      </c>
      <c r="H466" s="83" t="n">
        <v>1</v>
      </c>
      <c r="I466" s="83" t="n">
        <v>2</v>
      </c>
      <c r="J466" s="83">
        <f>H466*I466</f>
        <v/>
      </c>
      <c r="K466" s="83" t="n">
        <v>77937000</v>
      </c>
      <c r="L466" s="83" t="n">
        <v>38968500</v>
      </c>
      <c r="M466" s="83">
        <f>J466-Q466</f>
        <v/>
      </c>
      <c r="N466" s="83">
        <f>K466-R466</f>
        <v/>
      </c>
      <c r="O466" s="517" t="n">
        <v>45883</v>
      </c>
      <c r="P466" s="517" t="n">
        <v>46431</v>
      </c>
      <c r="Q466" s="83" t="n">
        <v>0</v>
      </c>
      <c r="R466" s="84" t="n">
        <v>0</v>
      </c>
      <c r="S466" s="83" t="n">
        <v>2</v>
      </c>
      <c r="T466" s="84" t="n">
        <v>77937000</v>
      </c>
      <c r="U466" s="83" t="n">
        <v>1</v>
      </c>
      <c r="V466" s="84">
        <f>U466*L466</f>
        <v/>
      </c>
      <c r="W466" s="83">
        <f>Q466+S466-U466</f>
        <v/>
      </c>
      <c r="X466" s="84">
        <f>R466+T466-V466</f>
        <v/>
      </c>
      <c r="Y466" s="85" t="inlineStr">
        <is>
          <t>P221ZZMO01</t>
        </is>
      </c>
      <c r="Z466" s="86" t="inlineStr">
        <is>
          <t>15661</t>
        </is>
      </c>
      <c r="AA466" s="86" t="inlineStr">
        <is>
          <t>33561</t>
        </is>
      </c>
      <c r="AB466" s="86" t="inlineStr">
        <is>
          <t>6277651</t>
        </is>
      </c>
      <c r="AC466" s="87" t="inlineStr">
        <is>
          <t>Movies</t>
        </is>
      </c>
      <c r="AD466" s="76">
        <f>COUNTIF('KK1. Movies'!AI:AI,'TK 15661.Bản quyền phim '!F466)</f>
        <v/>
      </c>
      <c r="AE466" s="76">
        <f>COUNTIF('KK2. Series'!AM:AM,'TK 15661.Bản quyền phim '!F466)</f>
        <v/>
      </c>
      <c r="AF466" s="76">
        <f>COUNTIF('KK3. Kids'!AF:AF,'TK 15661.Bản quyền phim '!F466)</f>
        <v/>
      </c>
      <c r="AG466" s="76" t="n"/>
      <c r="AH466" s="76">
        <f>IF(SUM(AD466:AG466)&gt;0,"OK",0)</f>
        <v/>
      </c>
    </row>
    <row r="467" hidden="1" ht="15.6" customHeight="1" s="578">
      <c r="B467" s="74" t="inlineStr">
        <is>
          <t>K+1MOV025167</t>
        </is>
      </c>
      <c r="C467" s="708" t="inlineStr">
        <is>
          <t>USD</t>
        </is>
      </c>
      <c r="D467" s="708" t="inlineStr">
        <is>
          <t>S0002438</t>
        </is>
      </c>
      <c r="E467" s="708" t="inlineStr">
        <is>
          <t>Paramount Pictures International Limited</t>
        </is>
      </c>
      <c r="F467" s="708" t="inlineStr">
        <is>
          <t>MEET THE FOCKERS</t>
        </is>
      </c>
      <c r="G467" s="708" t="inlineStr">
        <is>
          <t>Movies International</t>
        </is>
      </c>
      <c r="H467" s="83" t="n">
        <v>1</v>
      </c>
      <c r="I467" s="83" t="n">
        <v>2</v>
      </c>
      <c r="J467" s="83">
        <f>H467*I467</f>
        <v/>
      </c>
      <c r="K467" s="83" t="n">
        <v>90926500</v>
      </c>
      <c r="L467" s="83" t="n">
        <v>45463250</v>
      </c>
      <c r="M467" s="83">
        <f>J467-Q467</f>
        <v/>
      </c>
      <c r="N467" s="83">
        <f>K467-R467</f>
        <v/>
      </c>
      <c r="O467" s="517" t="n">
        <v>45974</v>
      </c>
      <c r="P467" s="517" t="n">
        <v>46519</v>
      </c>
      <c r="Q467" s="83" t="n">
        <v>0</v>
      </c>
      <c r="R467" s="84" t="n">
        <v>0</v>
      </c>
      <c r="S467" s="83" t="n">
        <v>2</v>
      </c>
      <c r="T467" s="84" t="n">
        <v>90926500</v>
      </c>
      <c r="U467" s="83" t="n">
        <v>1</v>
      </c>
      <c r="V467" s="84">
        <f>U467*L467</f>
        <v/>
      </c>
      <c r="W467" s="83">
        <f>Q467+S467-U467</f>
        <v/>
      </c>
      <c r="X467" s="84">
        <f>R467+T467-V467</f>
        <v/>
      </c>
      <c r="Y467" s="85" t="inlineStr">
        <is>
          <t>P221ZZMO01</t>
        </is>
      </c>
      <c r="Z467" s="86" t="inlineStr">
        <is>
          <t>15661</t>
        </is>
      </c>
      <c r="AA467" s="86" t="inlineStr">
        <is>
          <t>33561</t>
        </is>
      </c>
      <c r="AB467" s="86" t="inlineStr">
        <is>
          <t>6277651</t>
        </is>
      </c>
      <c r="AC467" s="87" t="inlineStr">
        <is>
          <t>Movies</t>
        </is>
      </c>
      <c r="AD467" s="76">
        <f>COUNTIF('KK1. Movies'!AI:AI,'TK 15661.Bản quyền phim '!F467)</f>
        <v/>
      </c>
      <c r="AE467" s="76">
        <f>COUNTIF('KK2. Series'!AM:AM,'TK 15661.Bản quyền phim '!F467)</f>
        <v/>
      </c>
      <c r="AF467" s="76">
        <f>COUNTIF('KK3. Kids'!AF:AF,'TK 15661.Bản quyền phim '!F467)</f>
        <v/>
      </c>
      <c r="AG467" s="76" t="n"/>
      <c r="AH467" s="76">
        <f>IF(SUM(AD467:AG467)&gt;0,"OK",0)</f>
        <v/>
      </c>
    </row>
    <row r="468" hidden="1" ht="15.6" customHeight="1" s="578">
      <c r="B468" s="74" t="inlineStr">
        <is>
          <t>K+1MOV025168</t>
        </is>
      </c>
      <c r="C468" s="708" t="inlineStr">
        <is>
          <t>USD</t>
        </is>
      </c>
      <c r="D468" s="708" t="inlineStr">
        <is>
          <t>S0002438</t>
        </is>
      </c>
      <c r="E468" s="708" t="inlineStr">
        <is>
          <t>Paramount Pictures International Limited</t>
        </is>
      </c>
      <c r="F468" s="708" t="inlineStr">
        <is>
          <t>MISSION: IMPOSSIBLE - FALLOUT</t>
        </is>
      </c>
      <c r="G468" s="708" t="inlineStr">
        <is>
          <t>Movies International</t>
        </is>
      </c>
      <c r="H468" s="83" t="n">
        <v>1</v>
      </c>
      <c r="I468" s="83" t="n">
        <v>2</v>
      </c>
      <c r="J468" s="83">
        <f>H468*I468</f>
        <v/>
      </c>
      <c r="K468" s="83" t="n">
        <v>90926500</v>
      </c>
      <c r="L468" s="83" t="n">
        <v>45463250</v>
      </c>
      <c r="M468" s="83">
        <f>J468-Q468</f>
        <v/>
      </c>
      <c r="N468" s="83">
        <f>K468-R468</f>
        <v/>
      </c>
      <c r="O468" s="517" t="n">
        <v>45974</v>
      </c>
      <c r="P468" s="517" t="n">
        <v>46519</v>
      </c>
      <c r="Q468" s="83" t="n">
        <v>0</v>
      </c>
      <c r="R468" s="84" t="n">
        <v>0</v>
      </c>
      <c r="S468" s="83" t="n">
        <v>2</v>
      </c>
      <c r="T468" s="84" t="n">
        <v>90926500</v>
      </c>
      <c r="U468" s="83" t="n">
        <v>1</v>
      </c>
      <c r="V468" s="84">
        <f>U468*L468</f>
        <v/>
      </c>
      <c r="W468" s="83">
        <f>Q468+S468-U468</f>
        <v/>
      </c>
      <c r="X468" s="84">
        <f>R468+T468-V468</f>
        <v/>
      </c>
      <c r="Y468" s="85" t="inlineStr">
        <is>
          <t>P221ZZMO01</t>
        </is>
      </c>
      <c r="Z468" s="86" t="inlineStr">
        <is>
          <t>15661</t>
        </is>
      </c>
      <c r="AA468" s="86" t="inlineStr">
        <is>
          <t>33561</t>
        </is>
      </c>
      <c r="AB468" s="86" t="inlineStr">
        <is>
          <t>6277651</t>
        </is>
      </c>
      <c r="AC468" s="87" t="inlineStr">
        <is>
          <t>Movies</t>
        </is>
      </c>
      <c r="AD468" s="76">
        <f>COUNTIF('KK1. Movies'!AI:AI,'TK 15661.Bản quyền phim '!F468)</f>
        <v/>
      </c>
      <c r="AE468" s="76">
        <f>COUNTIF('KK2. Series'!AM:AM,'TK 15661.Bản quyền phim '!F468)</f>
        <v/>
      </c>
      <c r="AF468" s="76">
        <f>COUNTIF('KK3. Kids'!AF:AF,'TK 15661.Bản quyền phim '!F468)</f>
        <v/>
      </c>
      <c r="AG468" s="76" t="n"/>
      <c r="AH468" s="76">
        <f>IF(SUM(AD468:AG468)&gt;0,"OK",0)</f>
        <v/>
      </c>
    </row>
    <row r="469" hidden="1" ht="15.6" customHeight="1" s="578">
      <c r="B469" s="74" t="inlineStr">
        <is>
          <t>K+1MOV025169</t>
        </is>
      </c>
      <c r="C469" s="708" t="inlineStr">
        <is>
          <t>USD</t>
        </is>
      </c>
      <c r="D469" s="708" t="inlineStr">
        <is>
          <t>S0002438</t>
        </is>
      </c>
      <c r="E469" s="708" t="inlineStr">
        <is>
          <t>Paramount Pictures International Limited</t>
        </is>
      </c>
      <c r="F469" s="708" t="inlineStr">
        <is>
          <t>PAW PATROL: THE MOVIE</t>
        </is>
      </c>
      <c r="G469" s="708" t="inlineStr">
        <is>
          <t>Movies International</t>
        </is>
      </c>
      <c r="H469" s="83" t="n">
        <v>1</v>
      </c>
      <c r="I469" s="83" t="n">
        <v>2</v>
      </c>
      <c r="J469" s="83">
        <f>H469*I469</f>
        <v/>
      </c>
      <c r="K469" s="83" t="n">
        <v>90926500</v>
      </c>
      <c r="L469" s="83" t="n">
        <v>45463250</v>
      </c>
      <c r="M469" s="83">
        <f>J469-Q469</f>
        <v/>
      </c>
      <c r="N469" s="83">
        <f>K469-R469</f>
        <v/>
      </c>
      <c r="O469" s="517" t="n">
        <v>45777</v>
      </c>
      <c r="P469" s="517" t="n">
        <v>46324</v>
      </c>
      <c r="Q469" s="83" t="n">
        <v>0</v>
      </c>
      <c r="R469" s="84" t="n">
        <v>0</v>
      </c>
      <c r="S469" s="83" t="n">
        <v>2</v>
      </c>
      <c r="T469" s="84" t="n">
        <v>90926500</v>
      </c>
      <c r="U469" s="83" t="n">
        <v>1</v>
      </c>
      <c r="V469" s="84">
        <f>U469*L469</f>
        <v/>
      </c>
      <c r="W469" s="83">
        <f>Q469+S469-U469</f>
        <v/>
      </c>
      <c r="X469" s="84">
        <f>R469+T469-V469</f>
        <v/>
      </c>
      <c r="Y469" s="85" t="inlineStr">
        <is>
          <t>P221ZZMO01</t>
        </is>
      </c>
      <c r="Z469" s="86" t="inlineStr">
        <is>
          <t>15661</t>
        </is>
      </c>
      <c r="AA469" s="86" t="inlineStr">
        <is>
          <t>33561</t>
        </is>
      </c>
      <c r="AB469" s="86" t="inlineStr">
        <is>
          <t>6277651</t>
        </is>
      </c>
      <c r="AC469" s="87" t="inlineStr">
        <is>
          <t>Movies</t>
        </is>
      </c>
      <c r="AD469" s="76">
        <f>COUNTIF('KK1. Movies'!AI:AI,'TK 15661.Bản quyền phim '!F469)</f>
        <v/>
      </c>
      <c r="AE469" s="76">
        <f>COUNTIF('KK2. Series'!AM:AM,'TK 15661.Bản quyền phim '!F469)</f>
        <v/>
      </c>
      <c r="AF469" s="76">
        <f>COUNTIF('KK3. Kids'!AF:AF,'TK 15661.Bản quyền phim '!F469)</f>
        <v/>
      </c>
      <c r="AG469" s="76" t="n"/>
      <c r="AH469" s="76">
        <f>IF(SUM(AD469:AG469)&gt;0,"OK",0)</f>
        <v/>
      </c>
    </row>
    <row r="470" hidden="1" ht="15.6" customHeight="1" s="578">
      <c r="B470" s="74" t="inlineStr">
        <is>
          <t>K+1MOV025170</t>
        </is>
      </c>
      <c r="C470" s="708" t="inlineStr">
        <is>
          <t>USD</t>
        </is>
      </c>
      <c r="D470" s="708" t="inlineStr">
        <is>
          <t>S0002438</t>
        </is>
      </c>
      <c r="E470" s="708" t="inlineStr">
        <is>
          <t>Paramount Pictures International Limited</t>
        </is>
      </c>
      <c r="F470" s="708" t="inlineStr">
        <is>
          <t>SHE'S OUT OF MY LEAGUE (2010)</t>
        </is>
      </c>
      <c r="G470" s="708" t="inlineStr">
        <is>
          <t>Movies International</t>
        </is>
      </c>
      <c r="H470" s="83" t="n">
        <v>1</v>
      </c>
      <c r="I470" s="83" t="n">
        <v>1</v>
      </c>
      <c r="J470" s="83">
        <f>H470*I470</f>
        <v/>
      </c>
      <c r="K470" s="83" t="n">
        <v>62349600</v>
      </c>
      <c r="L470" s="83" t="n">
        <v>62349600</v>
      </c>
      <c r="M470" s="83">
        <f>J470-Q470</f>
        <v/>
      </c>
      <c r="N470" s="83">
        <f>K470-R470</f>
        <v/>
      </c>
      <c r="O470" s="517" t="n">
        <v>45883</v>
      </c>
      <c r="P470" s="517" t="n">
        <v>46387</v>
      </c>
      <c r="Q470" s="83" t="n">
        <v>0</v>
      </c>
      <c r="R470" s="84" t="n">
        <v>0</v>
      </c>
      <c r="S470" s="83" t="n">
        <v>1</v>
      </c>
      <c r="T470" s="84" t="n">
        <v>62349600</v>
      </c>
      <c r="U470" s="83" t="n">
        <v>1</v>
      </c>
      <c r="V470" s="84">
        <f>U470*L470</f>
        <v/>
      </c>
      <c r="W470" s="83">
        <f>Q470+S470-U470</f>
        <v/>
      </c>
      <c r="X470" s="84">
        <f>R470+T470-V470</f>
        <v/>
      </c>
      <c r="Y470" s="85" t="inlineStr">
        <is>
          <t>P221ZZMO01</t>
        </is>
      </c>
      <c r="Z470" s="86" t="inlineStr">
        <is>
          <t>15661</t>
        </is>
      </c>
      <c r="AA470" s="86" t="inlineStr">
        <is>
          <t>33561</t>
        </is>
      </c>
      <c r="AB470" s="86" t="inlineStr">
        <is>
          <t>6277651</t>
        </is>
      </c>
      <c r="AC470" s="87" t="inlineStr">
        <is>
          <t>Movies</t>
        </is>
      </c>
      <c r="AD470" s="76">
        <f>COUNTIF('KK1. Movies'!AI:AI,'TK 15661.Bản quyền phim '!F470)</f>
        <v/>
      </c>
      <c r="AE470" s="76">
        <f>COUNTIF('KK2. Series'!AM:AM,'TK 15661.Bản quyền phim '!F470)</f>
        <v/>
      </c>
      <c r="AF470" s="76">
        <f>COUNTIF('KK3. Kids'!AF:AF,'TK 15661.Bản quyền phim '!F470)</f>
        <v/>
      </c>
      <c r="AG470" s="76" t="n"/>
      <c r="AH470" s="76">
        <f>IF(SUM(AD470:AG470)&gt;0,"OK",0)</f>
        <v/>
      </c>
    </row>
    <row r="471" hidden="1" ht="15.6" customHeight="1" s="578">
      <c r="B471" s="74" t="inlineStr">
        <is>
          <t>K+1MOV025171</t>
        </is>
      </c>
      <c r="C471" s="708" t="inlineStr">
        <is>
          <t>USD</t>
        </is>
      </c>
      <c r="D471" s="708" t="inlineStr">
        <is>
          <t>S0002438</t>
        </is>
      </c>
      <c r="E471" s="708" t="inlineStr">
        <is>
          <t>Paramount Pictures International Limited</t>
        </is>
      </c>
      <c r="F471" s="708" t="inlineStr">
        <is>
          <t>PROJECT ALMANAC</t>
        </is>
      </c>
      <c r="G471" s="708" t="inlineStr">
        <is>
          <t>Movies International</t>
        </is>
      </c>
      <c r="H471" s="83" t="n">
        <v>1</v>
      </c>
      <c r="I471" s="83" t="n">
        <v>2</v>
      </c>
      <c r="J471" s="83">
        <f>H471*I471</f>
        <v/>
      </c>
      <c r="K471" s="83" t="n">
        <v>77937000</v>
      </c>
      <c r="L471" s="83" t="n">
        <v>38968500</v>
      </c>
      <c r="M471" s="83">
        <f>J471-Q471</f>
        <v/>
      </c>
      <c r="N471" s="83">
        <f>K471-R471</f>
        <v/>
      </c>
      <c r="O471" s="517" t="n">
        <v>45974</v>
      </c>
      <c r="P471" s="517" t="n">
        <v>46519</v>
      </c>
      <c r="Q471" s="83" t="n">
        <v>0</v>
      </c>
      <c r="R471" s="84" t="n">
        <v>0</v>
      </c>
      <c r="S471" s="83" t="n">
        <v>2</v>
      </c>
      <c r="T471" s="84" t="n">
        <v>77937000</v>
      </c>
      <c r="U471" s="83" t="n">
        <v>1</v>
      </c>
      <c r="V471" s="84">
        <f>U471*L471</f>
        <v/>
      </c>
      <c r="W471" s="83">
        <f>Q471+S471-U471</f>
        <v/>
      </c>
      <c r="X471" s="84">
        <f>R471+T471-V471</f>
        <v/>
      </c>
      <c r="Y471" s="85" t="inlineStr">
        <is>
          <t>P221ZZMO01</t>
        </is>
      </c>
      <c r="Z471" s="86" t="inlineStr">
        <is>
          <t>15661</t>
        </is>
      </c>
      <c r="AA471" s="86" t="inlineStr">
        <is>
          <t>33561</t>
        </is>
      </c>
      <c r="AB471" s="86" t="inlineStr">
        <is>
          <t>6277651</t>
        </is>
      </c>
      <c r="AC471" s="87" t="inlineStr">
        <is>
          <t>Movies</t>
        </is>
      </c>
      <c r="AD471" s="76">
        <f>COUNTIF('KK1. Movies'!AI:AI,'TK 15661.Bản quyền phim '!F471)</f>
        <v/>
      </c>
      <c r="AE471" s="76">
        <f>COUNTIF('KK2. Series'!AM:AM,'TK 15661.Bản quyền phim '!F471)</f>
        <v/>
      </c>
      <c r="AF471" s="76">
        <f>COUNTIF('KK3. Kids'!AF:AF,'TK 15661.Bản quyền phim '!F471)</f>
        <v/>
      </c>
      <c r="AG471" s="76" t="n"/>
      <c r="AH471" s="76">
        <f>IF(SUM(AD471:AG471)&gt;0,"OK",0)</f>
        <v/>
      </c>
    </row>
    <row r="472" hidden="1" ht="15.6" customHeight="1" s="578">
      <c r="B472" s="74" t="inlineStr">
        <is>
          <t>K+1MOV025172</t>
        </is>
      </c>
      <c r="C472" s="708" t="inlineStr">
        <is>
          <t>USD</t>
        </is>
      </c>
      <c r="D472" s="708" t="inlineStr">
        <is>
          <t>S0002438</t>
        </is>
      </c>
      <c r="E472" s="708" t="inlineStr">
        <is>
          <t>Paramount Pictures International Limited</t>
        </is>
      </c>
      <c r="F472" s="708" t="inlineStr">
        <is>
          <t>QUIET PLACE, A</t>
        </is>
      </c>
      <c r="G472" s="708" t="inlineStr">
        <is>
          <t>Movies International</t>
        </is>
      </c>
      <c r="H472" s="83" t="n">
        <v>1</v>
      </c>
      <c r="I472" s="83" t="n">
        <v>1</v>
      </c>
      <c r="J472" s="83">
        <f>H472*I472</f>
        <v/>
      </c>
      <c r="K472" s="83" t="n">
        <v>72741200</v>
      </c>
      <c r="L472" s="83" t="n">
        <v>72741200</v>
      </c>
      <c r="M472" s="83">
        <f>J472-Q472</f>
        <v/>
      </c>
      <c r="N472" s="83">
        <f>K472-R472</f>
        <v/>
      </c>
      <c r="O472" s="517" t="n">
        <v>45883</v>
      </c>
      <c r="P472" s="517" t="n">
        <v>46356</v>
      </c>
      <c r="Q472" s="83" t="n">
        <v>0</v>
      </c>
      <c r="R472" s="84" t="n">
        <v>0</v>
      </c>
      <c r="S472" s="83" t="n">
        <v>1</v>
      </c>
      <c r="T472" s="84" t="n">
        <v>72741200</v>
      </c>
      <c r="U472" s="83" t="n">
        <v>1</v>
      </c>
      <c r="V472" s="84">
        <f>U472*L472</f>
        <v/>
      </c>
      <c r="W472" s="83">
        <f>Q472+S472-U472</f>
        <v/>
      </c>
      <c r="X472" s="84">
        <f>R472+T472-V472</f>
        <v/>
      </c>
      <c r="Y472" s="85" t="inlineStr">
        <is>
          <t>P221ZZMO01</t>
        </is>
      </c>
      <c r="Z472" s="86" t="inlineStr">
        <is>
          <t>15661</t>
        </is>
      </c>
      <c r="AA472" s="86" t="inlineStr">
        <is>
          <t>33561</t>
        </is>
      </c>
      <c r="AB472" s="86" t="inlineStr">
        <is>
          <t>6277651</t>
        </is>
      </c>
      <c r="AC472" s="87" t="inlineStr">
        <is>
          <t>Movies</t>
        </is>
      </c>
      <c r="AD472" s="76">
        <f>COUNTIF('KK1. Movies'!AI:AI,'TK 15661.Bản quyền phim '!F472)</f>
        <v/>
      </c>
      <c r="AE472" s="76">
        <f>COUNTIF('KK2. Series'!AM:AM,'TK 15661.Bản quyền phim '!F472)</f>
        <v/>
      </c>
      <c r="AF472" s="76">
        <f>COUNTIF('KK3. Kids'!AF:AF,'TK 15661.Bản quyền phim '!F472)</f>
        <v/>
      </c>
      <c r="AG472" s="76" t="n"/>
      <c r="AH472" s="76">
        <f>IF(SUM(AD472:AG472)&gt;0,"OK",0)</f>
        <v/>
      </c>
    </row>
    <row r="473" hidden="1" ht="15.6" customHeight="1" s="578">
      <c r="B473" s="74" t="inlineStr">
        <is>
          <t>K+1MOV025173</t>
        </is>
      </c>
      <c r="C473" s="708" t="inlineStr">
        <is>
          <t>USD</t>
        </is>
      </c>
      <c r="D473" s="708" t="inlineStr">
        <is>
          <t>S0002438</t>
        </is>
      </c>
      <c r="E473" s="708" t="inlineStr">
        <is>
          <t>Paramount Pictures International Limited</t>
        </is>
      </c>
      <c r="F473" s="708" t="inlineStr">
        <is>
          <t>SECRET HEADQUARTERS</t>
        </is>
      </c>
      <c r="G473" s="708" t="inlineStr">
        <is>
          <t>Movies International</t>
        </is>
      </c>
      <c r="H473" s="83" t="n">
        <v>1</v>
      </c>
      <c r="I473" s="83" t="n">
        <v>2</v>
      </c>
      <c r="J473" s="83">
        <f>H473*I473</f>
        <v/>
      </c>
      <c r="K473" s="83" t="n">
        <v>77937000</v>
      </c>
      <c r="L473" s="83" t="n">
        <v>38968500</v>
      </c>
      <c r="M473" s="83">
        <f>J473-Q473</f>
        <v/>
      </c>
      <c r="N473" s="83">
        <f>K473-R473</f>
        <v/>
      </c>
      <c r="O473" s="517" t="n">
        <v>45974</v>
      </c>
      <c r="P473" s="517" t="n">
        <v>46519</v>
      </c>
      <c r="Q473" s="83" t="n">
        <v>0</v>
      </c>
      <c r="R473" s="84" t="n">
        <v>0</v>
      </c>
      <c r="S473" s="83" t="n">
        <v>2</v>
      </c>
      <c r="T473" s="84" t="n">
        <v>77937000</v>
      </c>
      <c r="U473" s="83" t="n">
        <v>1</v>
      </c>
      <c r="V473" s="84">
        <f>U473*L473</f>
        <v/>
      </c>
      <c r="W473" s="83">
        <f>Q473+S473-U473</f>
        <v/>
      </c>
      <c r="X473" s="84">
        <f>R473+T473-V473</f>
        <v/>
      </c>
      <c r="Y473" s="85" t="inlineStr">
        <is>
          <t>P221ZZMO01</t>
        </is>
      </c>
      <c r="Z473" s="86" t="inlineStr">
        <is>
          <t>15661</t>
        </is>
      </c>
      <c r="AA473" s="86" t="inlineStr">
        <is>
          <t>33561</t>
        </is>
      </c>
      <c r="AB473" s="86" t="inlineStr">
        <is>
          <t>6277651</t>
        </is>
      </c>
      <c r="AC473" s="87" t="inlineStr">
        <is>
          <t>Movies</t>
        </is>
      </c>
      <c r="AD473" s="76">
        <f>COUNTIF('KK1. Movies'!AI:AI,'TK 15661.Bản quyền phim '!F473)</f>
        <v/>
      </c>
      <c r="AE473" s="76">
        <f>COUNTIF('KK2. Series'!AM:AM,'TK 15661.Bản quyền phim '!F473)</f>
        <v/>
      </c>
      <c r="AF473" s="76">
        <f>COUNTIF('KK3. Kids'!AF:AF,'TK 15661.Bản quyền phim '!F473)</f>
        <v/>
      </c>
      <c r="AG473" s="76" t="n"/>
      <c r="AH473" s="76">
        <f>IF(SUM(AD473:AG473)&gt;0,"OK",0)</f>
        <v/>
      </c>
    </row>
    <row r="474" hidden="1" ht="15.6" customHeight="1" s="578">
      <c r="B474" s="74" t="inlineStr">
        <is>
          <t>K+1MOV025174</t>
        </is>
      </c>
      <c r="C474" s="708" t="inlineStr">
        <is>
          <t>USD</t>
        </is>
      </c>
      <c r="D474" s="708" t="inlineStr">
        <is>
          <t>S0002438</t>
        </is>
      </c>
      <c r="E474" s="708" t="inlineStr">
        <is>
          <t>Paramount Pictures International Limited</t>
        </is>
      </c>
      <c r="F474" s="708" t="inlineStr">
        <is>
          <t>SNAKE EYES: G.I. JOE ORIGINS</t>
        </is>
      </c>
      <c r="G474" s="708" t="inlineStr">
        <is>
          <t>Movies International</t>
        </is>
      </c>
      <c r="H474" s="83" t="n">
        <v>1</v>
      </c>
      <c r="I474" s="83" t="n">
        <v>2</v>
      </c>
      <c r="J474" s="83">
        <f>H474*I474</f>
        <v/>
      </c>
      <c r="K474" s="83" t="n">
        <v>90926500</v>
      </c>
      <c r="L474" s="83" t="n">
        <v>45463250</v>
      </c>
      <c r="M474" s="83">
        <f>J474-Q474</f>
        <v/>
      </c>
      <c r="N474" s="83">
        <f>K474-R474</f>
        <v/>
      </c>
      <c r="O474" s="517" t="n">
        <v>45974</v>
      </c>
      <c r="P474" s="517" t="n">
        <v>46519</v>
      </c>
      <c r="Q474" s="83" t="n">
        <v>0</v>
      </c>
      <c r="R474" s="84" t="n">
        <v>0</v>
      </c>
      <c r="S474" s="83" t="n">
        <v>2</v>
      </c>
      <c r="T474" s="84" t="n">
        <v>90926500</v>
      </c>
      <c r="U474" s="83" t="n">
        <v>1</v>
      </c>
      <c r="V474" s="84">
        <f>U474*L474</f>
        <v/>
      </c>
      <c r="W474" s="83">
        <f>Q474+S474-U474</f>
        <v/>
      </c>
      <c r="X474" s="84">
        <f>R474+T474-V474</f>
        <v/>
      </c>
      <c r="Y474" s="85" t="inlineStr">
        <is>
          <t>P221ZZMO01</t>
        </is>
      </c>
      <c r="Z474" s="86" t="inlineStr">
        <is>
          <t>15661</t>
        </is>
      </c>
      <c r="AA474" s="86" t="inlineStr">
        <is>
          <t>33561</t>
        </is>
      </c>
      <c r="AB474" s="86" t="inlineStr">
        <is>
          <t>6277651</t>
        </is>
      </c>
      <c r="AC474" s="87" t="inlineStr">
        <is>
          <t>Movies</t>
        </is>
      </c>
      <c r="AD474" s="76">
        <f>COUNTIF('KK1. Movies'!AI:AI,'TK 15661.Bản quyền phim '!F474)</f>
        <v/>
      </c>
      <c r="AE474" s="76">
        <f>COUNTIF('KK2. Series'!AM:AM,'TK 15661.Bản quyền phim '!F474)</f>
        <v/>
      </c>
      <c r="AF474" s="76">
        <f>COUNTIF('KK3. Kids'!AF:AF,'TK 15661.Bản quyền phim '!F474)</f>
        <v/>
      </c>
      <c r="AG474" s="76" t="n"/>
      <c r="AH474" s="76">
        <f>IF(SUM(AD474:AG474)&gt;0,"OK",0)</f>
        <v/>
      </c>
    </row>
    <row r="475" hidden="1" ht="15.6" customHeight="1" s="578">
      <c r="B475" s="74" t="inlineStr">
        <is>
          <t>K+5MOV025175</t>
        </is>
      </c>
      <c r="C475" s="708" t="inlineStr">
        <is>
          <t>USD</t>
        </is>
      </c>
      <c r="D475" s="708" t="inlineStr">
        <is>
          <t>S0002438</t>
        </is>
      </c>
      <c r="E475" s="708" t="inlineStr">
        <is>
          <t>Paramount Pictures International Limited</t>
        </is>
      </c>
      <c r="F475" s="708" t="inlineStr">
        <is>
          <t>SONIC THE HEDGEHOG 2</t>
        </is>
      </c>
      <c r="G475" s="708" t="inlineStr">
        <is>
          <t>Movies International</t>
        </is>
      </c>
      <c r="H475" s="83" t="n">
        <v>1</v>
      </c>
      <c r="I475" s="83" t="n">
        <v>2</v>
      </c>
      <c r="J475" s="83">
        <f>H475*I475</f>
        <v/>
      </c>
      <c r="K475" s="83" t="n">
        <v>116905500</v>
      </c>
      <c r="L475" s="83" t="n">
        <v>58452750</v>
      </c>
      <c r="M475" s="83">
        <f>J475-Q475</f>
        <v/>
      </c>
      <c r="N475" s="83">
        <f>K475-R475</f>
        <v/>
      </c>
      <c r="O475" s="517" t="n">
        <v>45777</v>
      </c>
      <c r="P475" s="517" t="n">
        <v>46324</v>
      </c>
      <c r="Q475" s="83" t="n">
        <v>0</v>
      </c>
      <c r="R475" s="84" t="n">
        <v>0</v>
      </c>
      <c r="S475" s="83" t="n">
        <v>2</v>
      </c>
      <c r="T475" s="84" t="n">
        <v>116905500</v>
      </c>
      <c r="U475" s="83" t="n">
        <v>1</v>
      </c>
      <c r="V475" s="84">
        <f>U475*L475</f>
        <v/>
      </c>
      <c r="W475" s="83">
        <f>Q475+S475-U475</f>
        <v/>
      </c>
      <c r="X475" s="84">
        <f>R475+T475-V475</f>
        <v/>
      </c>
      <c r="Y475" s="85" t="inlineStr">
        <is>
          <t>P221ZZMO01</t>
        </is>
      </c>
      <c r="Z475" s="86" t="inlineStr">
        <is>
          <t>15661</t>
        </is>
      </c>
      <c r="AA475" s="86" t="inlineStr">
        <is>
          <t>33561</t>
        </is>
      </c>
      <c r="AB475" s="86" t="inlineStr">
        <is>
          <t>6277651</t>
        </is>
      </c>
      <c r="AC475" s="87" t="inlineStr">
        <is>
          <t>Movies</t>
        </is>
      </c>
      <c r="AD475" s="76">
        <f>COUNTIF('KK1. Movies'!AI:AI,'TK 15661.Bản quyền phim '!F475)</f>
        <v/>
      </c>
      <c r="AE475" s="76">
        <f>COUNTIF('KK2. Series'!AM:AM,'TK 15661.Bản quyền phim '!F475)</f>
        <v/>
      </c>
      <c r="AF475" s="76">
        <f>COUNTIF('KK3. Kids'!AF:AF,'TK 15661.Bản quyền phim '!F475)</f>
        <v/>
      </c>
      <c r="AG475" s="76" t="n"/>
      <c r="AH475" s="76">
        <f>IF(SUM(AD475:AG475)&gt;0,"OK",0)</f>
        <v/>
      </c>
    </row>
    <row r="476" hidden="1" ht="15.6" customHeight="1" s="578">
      <c r="B476" s="74" t="inlineStr">
        <is>
          <t>K+1MOV025176</t>
        </is>
      </c>
      <c r="C476" s="708" t="inlineStr">
        <is>
          <t>USD</t>
        </is>
      </c>
      <c r="D476" s="708" t="inlineStr">
        <is>
          <t>S0002438</t>
        </is>
      </c>
      <c r="E476" s="708" t="inlineStr">
        <is>
          <t>Paramount Pictures International Limited</t>
        </is>
      </c>
      <c r="F476" s="708" t="inlineStr">
        <is>
          <t>SUPER 8</t>
        </is>
      </c>
      <c r="G476" s="708" t="inlineStr">
        <is>
          <t>Movies International</t>
        </is>
      </c>
      <c r="H476" s="83" t="n">
        <v>1</v>
      </c>
      <c r="I476" s="83" t="n">
        <v>1</v>
      </c>
      <c r="J476" s="83">
        <f>H476*I476</f>
        <v/>
      </c>
      <c r="K476" s="83" t="n">
        <v>45463250</v>
      </c>
      <c r="L476" s="83" t="n">
        <v>45463250</v>
      </c>
      <c r="M476" s="83">
        <f>J476-Q476</f>
        <v/>
      </c>
      <c r="N476" s="83">
        <f>K476-R476</f>
        <v/>
      </c>
      <c r="O476" s="517" t="n">
        <v>46008</v>
      </c>
      <c r="P476" s="517" t="n">
        <v>46295</v>
      </c>
      <c r="Q476" s="83" t="n">
        <v>0</v>
      </c>
      <c r="R476" s="84" t="n">
        <v>0</v>
      </c>
      <c r="S476" s="83" t="n">
        <v>1</v>
      </c>
      <c r="T476" s="84" t="n">
        <v>45463250</v>
      </c>
      <c r="U476" s="83" t="n">
        <v>1</v>
      </c>
      <c r="V476" s="84">
        <f>U476*L476</f>
        <v/>
      </c>
      <c r="W476" s="83">
        <f>Q476+S476-U476</f>
        <v/>
      </c>
      <c r="X476" s="84">
        <f>R476+T476-V476</f>
        <v/>
      </c>
      <c r="Y476" s="85" t="inlineStr">
        <is>
          <t>P221ZZMO01</t>
        </is>
      </c>
      <c r="Z476" s="86" t="inlineStr">
        <is>
          <t>15661</t>
        </is>
      </c>
      <c r="AA476" s="86" t="inlineStr">
        <is>
          <t>33561</t>
        </is>
      </c>
      <c r="AB476" s="86" t="inlineStr">
        <is>
          <t>6277651</t>
        </is>
      </c>
      <c r="AC476" s="87" t="inlineStr">
        <is>
          <t>Movies</t>
        </is>
      </c>
      <c r="AD476" s="76">
        <f>COUNTIF('KK1. Movies'!AI:AI,'TK 15661.Bản quyền phim '!F476)</f>
        <v/>
      </c>
      <c r="AE476" s="76">
        <f>COUNTIF('KK2. Series'!AM:AM,'TK 15661.Bản quyền phim '!F476)</f>
        <v/>
      </c>
      <c r="AF476" s="76">
        <f>COUNTIF('KK3. Kids'!AF:AF,'TK 15661.Bản quyền phim '!F476)</f>
        <v/>
      </c>
      <c r="AG476" s="76" t="n"/>
      <c r="AH476" s="76">
        <f>IF(SUM(AD476:AG476)&gt;0,"OK",0)</f>
        <v/>
      </c>
    </row>
    <row r="477" hidden="1" ht="15.6" customHeight="1" s="578">
      <c r="B477" s="74" t="inlineStr">
        <is>
          <t>K+1MOV025177</t>
        </is>
      </c>
      <c r="C477" s="708" t="inlineStr">
        <is>
          <t>USD</t>
        </is>
      </c>
      <c r="D477" s="708" t="inlineStr">
        <is>
          <t>S0002438</t>
        </is>
      </c>
      <c r="E477" s="708" t="inlineStr">
        <is>
          <t>Paramount Pictures International Limited</t>
        </is>
      </c>
      <c r="F477" s="708" t="inlineStr">
        <is>
          <t>TEENAGE MUTANT NINJA TURTLES (2014)</t>
        </is>
      </c>
      <c r="G477" s="708" t="inlineStr">
        <is>
          <t>Movies International</t>
        </is>
      </c>
      <c r="H477" s="83" t="n">
        <v>1</v>
      </c>
      <c r="I477" s="83" t="n">
        <v>1</v>
      </c>
      <c r="J477" s="83">
        <f>H477*I477</f>
        <v/>
      </c>
      <c r="K477" s="83" t="n">
        <v>63648550</v>
      </c>
      <c r="L477" s="83" t="n">
        <v>63648550</v>
      </c>
      <c r="M477" s="83">
        <f>J477-Q477</f>
        <v/>
      </c>
      <c r="N477" s="83">
        <f>K477-R477</f>
        <v/>
      </c>
      <c r="O477" s="517" t="n">
        <v>45883</v>
      </c>
      <c r="P477" s="517" t="n">
        <v>46295</v>
      </c>
      <c r="Q477" s="83" t="n">
        <v>0</v>
      </c>
      <c r="R477" s="84" t="n">
        <v>0</v>
      </c>
      <c r="S477" s="83" t="n">
        <v>1</v>
      </c>
      <c r="T477" s="84" t="n">
        <v>63648550</v>
      </c>
      <c r="U477" s="83" t="n">
        <v>1</v>
      </c>
      <c r="V477" s="84">
        <f>U477*L477</f>
        <v/>
      </c>
      <c r="W477" s="83">
        <f>Q477+S477-U477</f>
        <v/>
      </c>
      <c r="X477" s="84">
        <f>R477+T477-V477</f>
        <v/>
      </c>
      <c r="Y477" s="85" t="inlineStr">
        <is>
          <t>P221ZZMO01</t>
        </is>
      </c>
      <c r="Z477" s="86" t="inlineStr">
        <is>
          <t>15661</t>
        </is>
      </c>
      <c r="AA477" s="86" t="inlineStr">
        <is>
          <t>33561</t>
        </is>
      </c>
      <c r="AB477" s="86" t="inlineStr">
        <is>
          <t>6277651</t>
        </is>
      </c>
      <c r="AC477" s="87" t="inlineStr">
        <is>
          <t>Movies</t>
        </is>
      </c>
      <c r="AD477" s="76">
        <f>COUNTIF('KK1. Movies'!AI:AI,'TK 15661.Bản quyền phim '!F477)</f>
        <v/>
      </c>
      <c r="AE477" s="76">
        <f>COUNTIF('KK2. Series'!AM:AM,'TK 15661.Bản quyền phim '!F477)</f>
        <v/>
      </c>
      <c r="AF477" s="76">
        <f>COUNTIF('KK3. Kids'!AF:AF,'TK 15661.Bản quyền phim '!F477)</f>
        <v/>
      </c>
      <c r="AG477" s="76" t="n"/>
      <c r="AH477" s="76">
        <f>IF(SUM(AD477:AG477)&gt;0,"OK",0)</f>
        <v/>
      </c>
    </row>
    <row r="478" hidden="1" ht="15.6" customHeight="1" s="578">
      <c r="B478" s="74" t="inlineStr">
        <is>
          <t>K+1MOV025178</t>
        </is>
      </c>
      <c r="C478" s="708" t="inlineStr">
        <is>
          <t>USD</t>
        </is>
      </c>
      <c r="D478" s="708" t="inlineStr">
        <is>
          <t>S0002438</t>
        </is>
      </c>
      <c r="E478" s="708" t="inlineStr">
        <is>
          <t>Paramount Pictures International Limited</t>
        </is>
      </c>
      <c r="F478" s="708" t="inlineStr">
        <is>
          <t>TEENAGE MUTANT NINJA TURTLES: OUT OF THE SHADOWS</t>
        </is>
      </c>
      <c r="G478" s="708" t="inlineStr">
        <is>
          <t>Movies International</t>
        </is>
      </c>
      <c r="H478" s="83" t="n">
        <v>1</v>
      </c>
      <c r="I478" s="83" t="n">
        <v>1</v>
      </c>
      <c r="J478" s="83">
        <f>H478*I478</f>
        <v/>
      </c>
      <c r="K478" s="83" t="n">
        <v>54555900</v>
      </c>
      <c r="L478" s="83" t="n">
        <v>54555900</v>
      </c>
      <c r="M478" s="83">
        <f>J478-Q478</f>
        <v/>
      </c>
      <c r="N478" s="83">
        <f>K478-R478</f>
        <v/>
      </c>
      <c r="O478" s="517" t="n">
        <v>45883</v>
      </c>
      <c r="P478" s="517" t="n">
        <v>46295</v>
      </c>
      <c r="Q478" s="83" t="n">
        <v>0</v>
      </c>
      <c r="R478" s="84" t="n">
        <v>0</v>
      </c>
      <c r="S478" s="83" t="n">
        <v>1</v>
      </c>
      <c r="T478" s="84" t="n">
        <v>54555900</v>
      </c>
      <c r="U478" s="83" t="n">
        <v>1</v>
      </c>
      <c r="V478" s="84">
        <f>U478*L478</f>
        <v/>
      </c>
      <c r="W478" s="83">
        <f>Q478+S478-U478</f>
        <v/>
      </c>
      <c r="X478" s="84">
        <f>R478+T478-V478</f>
        <v/>
      </c>
      <c r="Y478" s="85" t="inlineStr">
        <is>
          <t>P221ZZMO01</t>
        </is>
      </c>
      <c r="Z478" s="86" t="inlineStr">
        <is>
          <t>15661</t>
        </is>
      </c>
      <c r="AA478" s="86" t="inlineStr">
        <is>
          <t>33561</t>
        </is>
      </c>
      <c r="AB478" s="86" t="inlineStr">
        <is>
          <t>6277651</t>
        </is>
      </c>
      <c r="AC478" s="87" t="inlineStr">
        <is>
          <t>Movies</t>
        </is>
      </c>
      <c r="AD478" s="76">
        <f>COUNTIF('KK1. Movies'!AI:AI,'TK 15661.Bản quyền phim '!F478)</f>
        <v/>
      </c>
      <c r="AE478" s="76">
        <f>COUNTIF('KK2. Series'!AM:AM,'TK 15661.Bản quyền phim '!F478)</f>
        <v/>
      </c>
      <c r="AF478" s="76">
        <f>COUNTIF('KK3. Kids'!AF:AF,'TK 15661.Bản quyền phim '!F478)</f>
        <v/>
      </c>
      <c r="AG478" s="76" t="n"/>
      <c r="AH478" s="76">
        <f>IF(SUM(AD478:AG478)&gt;0,"OK",0)</f>
        <v/>
      </c>
    </row>
    <row r="479" hidden="1" ht="15.6" customHeight="1" s="578">
      <c r="B479" s="74" t="inlineStr">
        <is>
          <t>K+1MOV025179</t>
        </is>
      </c>
      <c r="C479" s="708" t="inlineStr">
        <is>
          <t>USD</t>
        </is>
      </c>
      <c r="D479" s="708" t="inlineStr">
        <is>
          <t>S0002438</t>
        </is>
      </c>
      <c r="E479" s="708" t="inlineStr">
        <is>
          <t>Paramount Pictures International Limited</t>
        </is>
      </c>
      <c r="F479" s="708" t="inlineStr">
        <is>
          <t>CONFESS, FLETCH</t>
        </is>
      </c>
      <c r="G479" s="708" t="inlineStr">
        <is>
          <t>Movies International</t>
        </is>
      </c>
      <c r="H479" s="83" t="n">
        <v>1</v>
      </c>
      <c r="I479" s="83" t="n">
        <v>2</v>
      </c>
      <c r="J479" s="83">
        <f>H479*I479</f>
        <v/>
      </c>
      <c r="K479" s="83" t="n">
        <v>90926500</v>
      </c>
      <c r="L479" s="83" t="n">
        <v>45463250</v>
      </c>
      <c r="M479" s="83">
        <f>J479-Q479</f>
        <v/>
      </c>
      <c r="N479" s="83">
        <f>K479-R479</f>
        <v/>
      </c>
      <c r="O479" s="517" t="n">
        <v>45974</v>
      </c>
      <c r="P479" s="517" t="n">
        <v>46519</v>
      </c>
      <c r="Q479" s="83" t="n">
        <v>0</v>
      </c>
      <c r="R479" s="84" t="n">
        <v>0</v>
      </c>
      <c r="S479" s="83" t="n">
        <v>2</v>
      </c>
      <c r="T479" s="84" t="n">
        <v>90926500</v>
      </c>
      <c r="U479" s="83" t="n">
        <v>1</v>
      </c>
      <c r="V479" s="84">
        <f>U479*L479</f>
        <v/>
      </c>
      <c r="W479" s="83">
        <f>Q479+S479-U479</f>
        <v/>
      </c>
      <c r="X479" s="84">
        <f>R479+T479-V479</f>
        <v/>
      </c>
      <c r="Y479" s="85" t="inlineStr">
        <is>
          <t>P221ZZMO01</t>
        </is>
      </c>
      <c r="Z479" s="86" t="inlineStr">
        <is>
          <t>15661</t>
        </is>
      </c>
      <c r="AA479" s="86" t="inlineStr">
        <is>
          <t>33561</t>
        </is>
      </c>
      <c r="AB479" s="86" t="inlineStr">
        <is>
          <t>6277651</t>
        </is>
      </c>
      <c r="AC479" s="87" t="inlineStr">
        <is>
          <t>Movies</t>
        </is>
      </c>
      <c r="AD479" s="76">
        <f>COUNTIF('KK1. Movies'!AI:AI,'TK 15661.Bản quyền phim '!F479)</f>
        <v/>
      </c>
      <c r="AE479" s="76">
        <f>COUNTIF('KK2. Series'!AM:AM,'TK 15661.Bản quyền phim '!F479)</f>
        <v/>
      </c>
      <c r="AF479" s="76">
        <f>COUNTIF('KK3. Kids'!AF:AF,'TK 15661.Bản quyền phim '!F479)</f>
        <v/>
      </c>
      <c r="AG479" s="76" t="n"/>
      <c r="AH479" s="76">
        <f>IF(SUM(AD479:AG479)&gt;0,"OK",0)</f>
        <v/>
      </c>
    </row>
    <row r="480" hidden="1" ht="15.6" customHeight="1" s="578">
      <c r="A480" s="30">
        <f>(U480-H480)*L480</f>
        <v/>
      </c>
      <c r="B480" s="74" t="inlineStr">
        <is>
          <t>K+2SER025180</t>
        </is>
      </c>
      <c r="C480" s="708" t="inlineStr">
        <is>
          <t>USD</t>
        </is>
      </c>
      <c r="D480" s="708" t="inlineStr">
        <is>
          <t>SR0056</t>
        </is>
      </c>
      <c r="E480" s="708" t="inlineStr">
        <is>
          <t>DONGYANGHUANYU FILM &amp; TELEVISION CULTURE CO., LTD.</t>
        </is>
      </c>
      <c r="F480" s="708" t="inlineStr">
        <is>
          <t>Feud - Lin Jiang Xian (Lâm Giang Tiên)</t>
        </is>
      </c>
      <c r="G480" s="708" t="inlineStr">
        <is>
          <t>Series Asian</t>
        </is>
      </c>
      <c r="H480" s="83" t="n">
        <v>32</v>
      </c>
      <c r="I480" s="83" t="n">
        <v>5</v>
      </c>
      <c r="J480" s="83">
        <f>H480*I480</f>
        <v/>
      </c>
      <c r="K480" s="83" t="n">
        <v>2493984000</v>
      </c>
      <c r="L480" s="83" t="n">
        <v>15587400</v>
      </c>
      <c r="M480" s="83">
        <f>J480-Q480</f>
        <v/>
      </c>
      <c r="N480" s="83">
        <f>K480-R480</f>
        <v/>
      </c>
      <c r="O480" s="517" t="n">
        <v>45809</v>
      </c>
      <c r="P480" s="517" t="n">
        <v>47635</v>
      </c>
      <c r="Q480" s="83" t="n">
        <v>0</v>
      </c>
      <c r="R480" s="84" t="n">
        <v>0</v>
      </c>
      <c r="S480" s="83" t="n">
        <v>160</v>
      </c>
      <c r="T480" s="84" t="n">
        <v>2493984000</v>
      </c>
      <c r="U480" s="83" t="n">
        <v>32</v>
      </c>
      <c r="V480" s="84">
        <f>U480*L480</f>
        <v/>
      </c>
      <c r="W480" s="83">
        <f>Q480+S480-U480</f>
        <v/>
      </c>
      <c r="X480" s="84">
        <f>R480+T480-V480</f>
        <v/>
      </c>
      <c r="Y480" s="85" t="inlineStr">
        <is>
          <t>P221ZZSR01</t>
        </is>
      </c>
      <c r="Z480" s="86" t="inlineStr">
        <is>
          <t>15661</t>
        </is>
      </c>
      <c r="AA480" s="86" t="inlineStr">
        <is>
          <t>33561</t>
        </is>
      </c>
      <c r="AB480" s="86" t="inlineStr">
        <is>
          <t>6277651</t>
        </is>
      </c>
      <c r="AC480" s="87" t="inlineStr">
        <is>
          <t>Series</t>
        </is>
      </c>
      <c r="AD480" s="76">
        <f>COUNTIF('KK1. Movies'!AI:AI,'TK 15661.Bản quyền phim '!F480)</f>
        <v/>
      </c>
      <c r="AE480" s="76">
        <f>COUNTIF('KK2. Series'!AM:AM,'TK 15661.Bản quyền phim '!F480)</f>
        <v/>
      </c>
      <c r="AF480" s="76">
        <f>COUNTIF('KK3. Kids'!AF:AF,'TK 15661.Bản quyền phim '!F480)</f>
        <v/>
      </c>
      <c r="AG480" s="76" t="n"/>
      <c r="AH480" s="76">
        <f>IF(SUM(AD480:AG480)&gt;0,"OK",0)</f>
        <v/>
      </c>
    </row>
    <row r="481" hidden="1" ht="15.6" customHeight="1" s="578">
      <c r="A481" s="30">
        <f>(U481-H481)*L481</f>
        <v/>
      </c>
      <c r="B481" s="74" t="inlineStr">
        <is>
          <t>K+2SER025181</t>
        </is>
      </c>
      <c r="C481" s="708" t="inlineStr">
        <is>
          <t>USD</t>
        </is>
      </c>
      <c r="D481" s="708" t="inlineStr">
        <is>
          <t>SR0054</t>
        </is>
      </c>
      <c r="E481" s="708" t="inlineStr">
        <is>
          <t>Studio S Co., Ltd.</t>
        </is>
      </c>
      <c r="F481" s="708" t="inlineStr">
        <is>
          <t>Taxi Driver Season 1</t>
        </is>
      </c>
      <c r="G481" s="708" t="inlineStr">
        <is>
          <t>Series Asian</t>
        </is>
      </c>
      <c r="H481" s="83" t="n">
        <v>16</v>
      </c>
      <c r="I481" s="83" t="n">
        <v>3</v>
      </c>
      <c r="J481" s="83">
        <f>H481*I481</f>
        <v/>
      </c>
      <c r="K481" s="83" t="n">
        <v>415664000</v>
      </c>
      <c r="L481" s="83" t="n">
        <v>8659666.666666666</v>
      </c>
      <c r="M481" s="83">
        <f>J481-Q481</f>
        <v/>
      </c>
      <c r="N481" s="83">
        <f>K481-R481</f>
        <v/>
      </c>
      <c r="O481" s="517" t="n">
        <v>45870</v>
      </c>
      <c r="P481" s="517" t="n">
        <v>46965</v>
      </c>
      <c r="Q481" s="83" t="n">
        <v>0</v>
      </c>
      <c r="R481" s="84" t="n">
        <v>0</v>
      </c>
      <c r="S481" s="83" t="n">
        <v>48</v>
      </c>
      <c r="T481" s="84" t="n">
        <v>415664000</v>
      </c>
      <c r="U481" s="83" t="n">
        <v>16</v>
      </c>
      <c r="V481" s="84">
        <f>U481*L481</f>
        <v/>
      </c>
      <c r="W481" s="83">
        <f>Q481+S481-U481</f>
        <v/>
      </c>
      <c r="X481" s="84">
        <f>R481+T481-V481</f>
        <v/>
      </c>
      <c r="Y481" s="85" t="inlineStr">
        <is>
          <t>P221ZZSR01</t>
        </is>
      </c>
      <c r="Z481" s="86" t="inlineStr">
        <is>
          <t>15661</t>
        </is>
      </c>
      <c r="AA481" s="86" t="inlineStr">
        <is>
          <t>33561</t>
        </is>
      </c>
      <c r="AB481" s="86" t="inlineStr">
        <is>
          <t>6277651</t>
        </is>
      </c>
      <c r="AC481" s="87" t="inlineStr">
        <is>
          <t>Series</t>
        </is>
      </c>
      <c r="AD481" s="76">
        <f>COUNTIF('KK1. Movies'!AI:AI,'TK 15661.Bản quyền phim '!F481)</f>
        <v/>
      </c>
      <c r="AE481" s="76">
        <f>COUNTIF('KK2. Series'!AM:AM,'TK 15661.Bản quyền phim '!F481)</f>
        <v/>
      </c>
      <c r="AF481" s="76">
        <f>COUNTIF('KK3. Kids'!AF:AF,'TK 15661.Bản quyền phim '!F481)</f>
        <v/>
      </c>
      <c r="AG481" s="76" t="n"/>
      <c r="AH481" s="76">
        <f>IF(SUM(AD481:AG481)&gt;0,"OK",0)</f>
        <v/>
      </c>
    </row>
    <row r="482" hidden="1" ht="15.6" customHeight="1" s="578">
      <c r="A482" s="30">
        <f>(U482-H482)*L482</f>
        <v/>
      </c>
      <c r="B482" s="74" t="inlineStr">
        <is>
          <t>K+2SER025182</t>
        </is>
      </c>
      <c r="C482" s="708" t="inlineStr">
        <is>
          <t>USD</t>
        </is>
      </c>
      <c r="D482" s="708" t="inlineStr">
        <is>
          <t>S0002629</t>
        </is>
      </c>
      <c r="E482" s="708" t="inlineStr">
        <is>
          <t>China Huace Film And TV Co.Ltd</t>
        </is>
      </c>
      <c r="F482" s="708" t="inlineStr">
        <is>
          <t>In the Name of Blossom (Cẩm Tú Phương Hoa)</t>
        </is>
      </c>
      <c r="G482" s="708" t="inlineStr">
        <is>
          <t>Series Asian</t>
        </is>
      </c>
      <c r="H482" s="83" t="n">
        <v>24</v>
      </c>
      <c r="I482" s="83" t="n">
        <v>5</v>
      </c>
      <c r="J482" s="83">
        <f>H482*I482</f>
        <v/>
      </c>
      <c r="K482" s="83" t="n">
        <v>2090800000</v>
      </c>
      <c r="L482" s="83" t="n">
        <v>17423333.33333333</v>
      </c>
      <c r="M482" s="83">
        <f>J482-Q482</f>
        <v/>
      </c>
      <c r="N482" s="83">
        <f>K482-R482</f>
        <v/>
      </c>
      <c r="O482" s="517" t="n">
        <v>45839</v>
      </c>
      <c r="P482" s="517" t="n">
        <v>47664</v>
      </c>
      <c r="Q482" s="83" t="n">
        <v>0</v>
      </c>
      <c r="R482" s="84" t="n">
        <v>0</v>
      </c>
      <c r="S482" s="83" t="n">
        <v>120</v>
      </c>
      <c r="T482" s="84" t="n">
        <v>2090800000</v>
      </c>
      <c r="U482" s="83" t="n">
        <v>24</v>
      </c>
      <c r="V482" s="84">
        <f>U482*L482</f>
        <v/>
      </c>
      <c r="W482" s="83">
        <f>Q482+S482-U482</f>
        <v/>
      </c>
      <c r="X482" s="84">
        <f>R482+T482-V482</f>
        <v/>
      </c>
      <c r="Y482" s="85" t="inlineStr">
        <is>
          <t>P221ZZSR01</t>
        </is>
      </c>
      <c r="Z482" s="86" t="inlineStr">
        <is>
          <t>15661</t>
        </is>
      </c>
      <c r="AA482" s="86" t="inlineStr">
        <is>
          <t>33561</t>
        </is>
      </c>
      <c r="AB482" s="86" t="inlineStr">
        <is>
          <t>6277651</t>
        </is>
      </c>
      <c r="AC482" s="87" t="inlineStr">
        <is>
          <t>Series</t>
        </is>
      </c>
      <c r="AD482" s="76">
        <f>COUNTIF('KK1. Movies'!AI:AI,'TK 15661.Bản quyền phim '!F482)</f>
        <v/>
      </c>
      <c r="AE482" s="76">
        <f>COUNTIF('KK2. Series'!AM:AM,'TK 15661.Bản quyền phim '!F482)</f>
        <v/>
      </c>
      <c r="AF482" s="76">
        <f>COUNTIF('KK3. Kids'!AF:AF,'TK 15661.Bản quyền phim '!F482)</f>
        <v/>
      </c>
      <c r="AG482" s="76" t="n"/>
      <c r="AH482" s="76">
        <f>IF(SUM(AD482:AG482)&gt;0,"OK",0)</f>
        <v/>
      </c>
    </row>
    <row r="483" hidden="1" ht="15.6" customHeight="1" s="578">
      <c r="A483" s="30">
        <f>(U483-H483)*L483</f>
        <v/>
      </c>
      <c r="B483" s="74" t="inlineStr">
        <is>
          <t>K+2SER025183</t>
        </is>
      </c>
      <c r="C483" s="708" t="inlineStr">
        <is>
          <t>USD</t>
        </is>
      </c>
      <c r="D483" s="708" t="inlineStr">
        <is>
          <t>SR0057</t>
        </is>
      </c>
      <c r="E483" s="708" t="inlineStr">
        <is>
          <t>Tongle Pictures Limited</t>
        </is>
      </c>
      <c r="F483" s="708" t="inlineStr">
        <is>
          <t>Our Generation (Anh Đào Hổ Phách)</t>
        </is>
      </c>
      <c r="G483" s="708" t="inlineStr">
        <is>
          <t>Series Asian</t>
        </is>
      </c>
      <c r="H483" s="83" t="n">
        <v>24</v>
      </c>
      <c r="I483" s="83" t="n">
        <v>5</v>
      </c>
      <c r="J483" s="83">
        <f>H483*I483</f>
        <v/>
      </c>
      <c r="K483" s="83" t="n">
        <v>696942045</v>
      </c>
      <c r="L483" s="83" t="n">
        <v>5807850.375</v>
      </c>
      <c r="M483" s="83">
        <f>J483-Q483</f>
        <v/>
      </c>
      <c r="N483" s="83">
        <f>K483-R483</f>
        <v/>
      </c>
      <c r="O483" s="517" t="n">
        <v>45852</v>
      </c>
      <c r="P483" s="517" t="n">
        <v>47677</v>
      </c>
      <c r="Q483" s="83" t="n">
        <v>0</v>
      </c>
      <c r="R483" s="84" t="n">
        <v>0</v>
      </c>
      <c r="S483" s="83" t="n">
        <v>120</v>
      </c>
      <c r="T483" s="84" t="n">
        <v>696942045</v>
      </c>
      <c r="U483" s="83" t="n">
        <v>24</v>
      </c>
      <c r="V483" s="84">
        <f>U483*L483</f>
        <v/>
      </c>
      <c r="W483" s="83">
        <f>Q483+S483-U483</f>
        <v/>
      </c>
      <c r="X483" s="84">
        <f>R483+T483-V483</f>
        <v/>
      </c>
      <c r="Y483" s="85" t="inlineStr">
        <is>
          <t>P221ZZSR01</t>
        </is>
      </c>
      <c r="Z483" s="86" t="inlineStr">
        <is>
          <t>15661</t>
        </is>
      </c>
      <c r="AA483" s="86" t="inlineStr">
        <is>
          <t>33561</t>
        </is>
      </c>
      <c r="AB483" s="86" t="inlineStr">
        <is>
          <t>6277651</t>
        </is>
      </c>
      <c r="AC483" s="87" t="inlineStr">
        <is>
          <t>Series</t>
        </is>
      </c>
      <c r="AD483" s="76">
        <f>COUNTIF('KK1. Movies'!AI:AI,'TK 15661.Bản quyền phim '!F483)</f>
        <v/>
      </c>
      <c r="AE483" s="76">
        <f>COUNTIF('KK2. Series'!AM:AM,'TK 15661.Bản quyền phim '!F483)</f>
        <v/>
      </c>
      <c r="AF483" s="76">
        <f>COUNTIF('KK3. Kids'!AF:AF,'TK 15661.Bản quyền phim '!F483)</f>
        <v/>
      </c>
      <c r="AG483" s="76" t="n"/>
      <c r="AH483" s="76">
        <f>IF(SUM(AD483:AG483)&gt;0,"OK",0)</f>
        <v/>
      </c>
    </row>
    <row r="484" hidden="1" ht="15.6" customHeight="1" s="578">
      <c r="A484" s="30">
        <f>(U484-H484)*L484</f>
        <v/>
      </c>
      <c r="B484" s="74" t="inlineStr">
        <is>
          <t>K+1DOC025184</t>
        </is>
      </c>
      <c r="C484" s="708" t="inlineStr">
        <is>
          <t>USD</t>
        </is>
      </c>
      <c r="D484" s="708" t="inlineStr">
        <is>
          <t>S0001082</t>
        </is>
      </c>
      <c r="E484" s="708" t="inlineStr">
        <is>
          <t>FCCE BV</t>
        </is>
      </c>
      <c r="F484" s="708" t="inlineStr">
        <is>
          <t>WEEKLY FILMS AND STARS 2025</t>
        </is>
      </c>
      <c r="G484" s="708" t="inlineStr">
        <is>
          <t>Doc-Art</t>
        </is>
      </c>
      <c r="H484" s="83" t="n">
        <v>52</v>
      </c>
      <c r="I484" s="83" t="n">
        <v>1</v>
      </c>
      <c r="J484" s="83">
        <f>H484*I484</f>
        <v/>
      </c>
      <c r="K484" s="83" t="n">
        <v>181193955</v>
      </c>
      <c r="L484" s="83" t="n">
        <v>3484499.134615385</v>
      </c>
      <c r="M484" s="83">
        <f>J484-Q484</f>
        <v/>
      </c>
      <c r="N484" s="83">
        <f>K484-R484</f>
        <v/>
      </c>
      <c r="O484" s="517" t="n">
        <v>45806</v>
      </c>
      <c r="P484" s="517" t="n">
        <v>46170</v>
      </c>
      <c r="Q484" s="83" t="n">
        <v>0</v>
      </c>
      <c r="R484" s="84" t="n">
        <v>0</v>
      </c>
      <c r="S484" s="83" t="n">
        <v>52</v>
      </c>
      <c r="T484" s="84" t="n">
        <v>181193955</v>
      </c>
      <c r="U484" s="83" t="n">
        <v>52</v>
      </c>
      <c r="V484" s="84">
        <f>U484*L484</f>
        <v/>
      </c>
      <c r="W484" s="83">
        <f>Q484+S484-U484</f>
        <v/>
      </c>
      <c r="X484" s="84">
        <f>R484+T484-V484</f>
        <v/>
      </c>
      <c r="Y484" s="85" t="inlineStr">
        <is>
          <t>P221ZZDO01</t>
        </is>
      </c>
      <c r="Z484" s="86" t="inlineStr">
        <is>
          <t>15663</t>
        </is>
      </c>
      <c r="AA484" s="86" t="inlineStr">
        <is>
          <t>33563</t>
        </is>
      </c>
      <c r="AB484" s="86" t="inlineStr">
        <is>
          <t>627768</t>
        </is>
      </c>
      <c r="AC484" s="87" t="inlineStr">
        <is>
          <t>Doc</t>
        </is>
      </c>
      <c r="AD484" s="76">
        <f>COUNTIF('KK1. Movies'!AI:AI,'TK 15661.Bản quyền phim '!F484)</f>
        <v/>
      </c>
      <c r="AE484" s="76">
        <f>COUNTIF('KK2. Series'!AM:AM,'TK 15661.Bản quyền phim '!F484)</f>
        <v/>
      </c>
      <c r="AF484" s="76">
        <f>COUNTIF('KK3. Kids'!AF:AF,'TK 15661.Bản quyền phim '!F484)</f>
        <v/>
      </c>
      <c r="AG484" s="76" t="n">
        <v>1</v>
      </c>
      <c r="AH484" s="76">
        <f>IF(SUM(AD484:AG484)&gt;0,"OK",0)</f>
        <v/>
      </c>
    </row>
    <row r="485" hidden="1" ht="15.6" customHeight="1" s="578">
      <c r="A485" s="30">
        <f>(U485-H485)*L485</f>
        <v/>
      </c>
      <c r="B485" s="74" t="inlineStr">
        <is>
          <t>K+1DOC025185</t>
        </is>
      </c>
      <c r="C485" s="708" t="inlineStr">
        <is>
          <t>USD</t>
        </is>
      </c>
      <c r="D485" s="708" t="inlineStr">
        <is>
          <t>S0001082</t>
        </is>
      </c>
      <c r="E485" s="708" t="inlineStr">
        <is>
          <t>FCCE BV</t>
        </is>
      </c>
      <c r="F485" s="708" t="inlineStr">
        <is>
          <t>Celebrity Scoop 2025</t>
        </is>
      </c>
      <c r="G485" s="708" t="inlineStr">
        <is>
          <t>Doc-Art</t>
        </is>
      </c>
      <c r="H485" s="83" t="n">
        <v>52</v>
      </c>
      <c r="I485" s="83" t="n">
        <v>1</v>
      </c>
      <c r="J485" s="83">
        <f>H485*I485</f>
        <v/>
      </c>
      <c r="K485" s="83" t="n">
        <v>226512045</v>
      </c>
      <c r="L485" s="83" t="n">
        <v>4356000.865384616</v>
      </c>
      <c r="M485" s="83">
        <f>J485-Q485</f>
        <v/>
      </c>
      <c r="N485" s="83">
        <f>K485-R485</f>
        <v/>
      </c>
      <c r="O485" s="517" t="n">
        <v>45806</v>
      </c>
      <c r="P485" s="517" t="n">
        <v>46170</v>
      </c>
      <c r="Q485" s="83" t="n">
        <v>0</v>
      </c>
      <c r="R485" s="84" t="n">
        <v>0</v>
      </c>
      <c r="S485" s="83" t="n">
        <v>52</v>
      </c>
      <c r="T485" s="84" t="n">
        <v>226512045</v>
      </c>
      <c r="U485" s="83" t="n">
        <v>52</v>
      </c>
      <c r="V485" s="84">
        <f>U485*L485</f>
        <v/>
      </c>
      <c r="W485" s="83">
        <f>Q485+S485-U485</f>
        <v/>
      </c>
      <c r="X485" s="84">
        <f>R485+T485-V485</f>
        <v/>
      </c>
      <c r="Y485" s="85" t="inlineStr">
        <is>
          <t>P221ZZDO01</t>
        </is>
      </c>
      <c r="Z485" s="86" t="inlineStr">
        <is>
          <t>15663</t>
        </is>
      </c>
      <c r="AA485" s="86" t="inlineStr">
        <is>
          <t>33563</t>
        </is>
      </c>
      <c r="AB485" s="86" t="inlineStr">
        <is>
          <t>627768</t>
        </is>
      </c>
      <c r="AC485" s="87" t="inlineStr">
        <is>
          <t>Doc</t>
        </is>
      </c>
      <c r="AD485" s="76">
        <f>COUNTIF('KK1. Movies'!AI:AI,'TK 15661.Bản quyền phim '!F485)</f>
        <v/>
      </c>
      <c r="AE485" s="76">
        <f>COUNTIF('KK2. Series'!AM:AM,'TK 15661.Bản quyền phim '!F485)</f>
        <v/>
      </c>
      <c r="AF485" s="76">
        <f>COUNTIF('KK3. Kids'!AF:AF,'TK 15661.Bản quyền phim '!F485)</f>
        <v/>
      </c>
      <c r="AG485" s="76" t="n">
        <v>1</v>
      </c>
      <c r="AH485" s="76">
        <f>IF(SUM(AD485:AG485)&gt;0,"OK",0)</f>
        <v/>
      </c>
    </row>
    <row r="486" hidden="1" s="578">
      <c r="A486" s="30">
        <f>(U486-H486)*L486</f>
        <v/>
      </c>
      <c r="B486" s="74" t="inlineStr">
        <is>
          <t>K+1DOC025186</t>
        </is>
      </c>
      <c r="C486" s="708" t="inlineStr">
        <is>
          <t>USD</t>
        </is>
      </c>
      <c r="D486" s="708" t="inlineStr">
        <is>
          <t>S0001082</t>
        </is>
      </c>
      <c r="E486" s="708" t="inlineStr">
        <is>
          <t>FCCE BV</t>
        </is>
      </c>
      <c r="F486" s="708" t="inlineStr">
        <is>
          <t>End Of Year Special 2025</t>
        </is>
      </c>
      <c r="G486" s="708" t="inlineStr">
        <is>
          <t>Doc-Art</t>
        </is>
      </c>
      <c r="H486" s="83" t="n">
        <v>1</v>
      </c>
      <c r="I486" s="83" t="n">
        <v>1</v>
      </c>
      <c r="J486" s="83">
        <f>H486*I486</f>
        <v/>
      </c>
      <c r="K486" s="83" t="n">
        <v>8702955</v>
      </c>
      <c r="L486" s="83" t="n">
        <v>8702955</v>
      </c>
      <c r="M486" s="83">
        <f>J486-Q486</f>
        <v/>
      </c>
      <c r="N486" s="83">
        <f>K486-R486</f>
        <v/>
      </c>
      <c r="O486" s="517" t="n">
        <v>45806</v>
      </c>
      <c r="P486" s="517" t="n">
        <v>46170</v>
      </c>
      <c r="Q486" s="83" t="n">
        <v>0</v>
      </c>
      <c r="R486" s="84" t="n">
        <v>0</v>
      </c>
      <c r="S486" s="83" t="n">
        <v>1</v>
      </c>
      <c r="T486" s="84" t="n">
        <v>8702955</v>
      </c>
      <c r="U486" s="83" t="n">
        <v>1</v>
      </c>
      <c r="V486" s="84">
        <f>U486*L486</f>
        <v/>
      </c>
      <c r="W486" s="83">
        <f>Q486+S486-U486</f>
        <v/>
      </c>
      <c r="X486" s="84">
        <f>R486+T486-V486</f>
        <v/>
      </c>
      <c r="Y486" s="85" t="inlineStr">
        <is>
          <t>P221ZZDO01</t>
        </is>
      </c>
      <c r="Z486" s="86" t="inlineStr">
        <is>
          <t>15663</t>
        </is>
      </c>
      <c r="AA486" s="86" t="inlineStr">
        <is>
          <t>33563</t>
        </is>
      </c>
      <c r="AB486" s="86" t="inlineStr">
        <is>
          <t>627768</t>
        </is>
      </c>
      <c r="AC486" s="86" t="n"/>
      <c r="AD486" s="76">
        <f>COUNTIF('KK1. Movies'!AI:AI,'TK 15661.Bản quyền phim '!F486)</f>
        <v/>
      </c>
      <c r="AE486" s="76">
        <f>COUNTIF('KK2. Series'!AM:AM,'TK 15661.Bản quyền phim '!F486)</f>
        <v/>
      </c>
      <c r="AF486" s="76">
        <f>COUNTIF('KK3. Kids'!AF:AF,'TK 15661.Bản quyền phim '!F486)</f>
        <v/>
      </c>
      <c r="AG486" s="76" t="n"/>
      <c r="AH486" s="76">
        <f>IF(SUM(AD486:AG486)&gt;0,"OK",0)</f>
        <v/>
      </c>
    </row>
    <row r="487" hidden="1" ht="15.6" customHeight="1" s="578">
      <c r="A487" s="30">
        <f>(U487-H487)*L487</f>
        <v/>
      </c>
      <c r="B487" s="74" t="inlineStr">
        <is>
          <t>K+2SER025187</t>
        </is>
      </c>
      <c r="C487" s="708" t="inlineStr">
        <is>
          <t>USD</t>
        </is>
      </c>
      <c r="D487" s="708" t="inlineStr">
        <is>
          <t>S0002419</t>
        </is>
      </c>
      <c r="E487" s="708" t="inlineStr">
        <is>
          <t>PCCW Vuclip (Singapore) Pte. Ltd.</t>
        </is>
      </c>
      <c r="F487" s="708" t="inlineStr">
        <is>
          <t>My Girlfriend is the Man!</t>
        </is>
      </c>
      <c r="G487" s="708" t="inlineStr">
        <is>
          <t>Series Asian</t>
        </is>
      </c>
      <c r="H487" s="83" t="n">
        <v>12</v>
      </c>
      <c r="I487" s="83" t="n">
        <v>4</v>
      </c>
      <c r="J487" s="83">
        <f>H487*I487</f>
        <v/>
      </c>
      <c r="K487" s="83" t="n">
        <v>1045400000</v>
      </c>
      <c r="L487" s="83" t="n">
        <v>21779166.66666667</v>
      </c>
      <c r="M487" s="83">
        <f>J487-Q487</f>
        <v/>
      </c>
      <c r="N487" s="83">
        <f>K487-R487</f>
        <v/>
      </c>
      <c r="O487" s="517" t="n">
        <v>45861</v>
      </c>
      <c r="P487" s="517" t="n">
        <v>47321</v>
      </c>
      <c r="Q487" s="83" t="n">
        <v>0</v>
      </c>
      <c r="R487" s="84" t="n">
        <v>0</v>
      </c>
      <c r="S487" s="83" t="n">
        <v>48</v>
      </c>
      <c r="T487" s="84" t="n">
        <v>1045400000</v>
      </c>
      <c r="U487" s="83" t="n">
        <v>12</v>
      </c>
      <c r="V487" s="84">
        <f>U487*L487</f>
        <v/>
      </c>
      <c r="W487" s="83">
        <f>Q487+S487-U487</f>
        <v/>
      </c>
      <c r="X487" s="84">
        <f>R487+T487-V487</f>
        <v/>
      </c>
      <c r="Y487" s="85" t="inlineStr">
        <is>
          <t>P221ZZSR01</t>
        </is>
      </c>
      <c r="Z487" s="86" t="inlineStr">
        <is>
          <t>15661</t>
        </is>
      </c>
      <c r="AA487" s="86" t="inlineStr">
        <is>
          <t>33561</t>
        </is>
      </c>
      <c r="AB487" s="86" t="inlineStr">
        <is>
          <t>6277651</t>
        </is>
      </c>
      <c r="AC487" s="87" t="inlineStr">
        <is>
          <t>Series</t>
        </is>
      </c>
      <c r="AD487" s="76">
        <f>COUNTIF('KK1. Movies'!AI:AI,'TK 15661.Bản quyền phim '!F487)</f>
        <v/>
      </c>
      <c r="AE487" s="76">
        <f>COUNTIF('KK2. Series'!AM:AM,'TK 15661.Bản quyền phim '!F487)</f>
        <v/>
      </c>
      <c r="AF487" s="76">
        <f>COUNTIF('KK3. Kids'!AF:AF,'TK 15661.Bản quyền phim '!F487)</f>
        <v/>
      </c>
      <c r="AG487" s="76" t="n"/>
      <c r="AH487" s="76">
        <f>IF(SUM(AD487:AG487)&gt;0,"OK",0)</f>
        <v/>
      </c>
    </row>
    <row r="488" hidden="1" ht="15.6" customHeight="1" s="578">
      <c r="A488" s="30">
        <f>(U488-H488)*L488</f>
        <v/>
      </c>
      <c r="B488" s="74" t="inlineStr">
        <is>
          <t>K+2SER025188</t>
        </is>
      </c>
      <c r="C488" s="708" t="inlineStr">
        <is>
          <t>USD</t>
        </is>
      </c>
      <c r="D488" s="708" t="inlineStr">
        <is>
          <t>S0002419</t>
        </is>
      </c>
      <c r="E488" s="708" t="inlineStr">
        <is>
          <t>PCCW Vuclip (Singapore) Pte. Ltd.</t>
        </is>
      </c>
      <c r="F488" s="708" t="inlineStr">
        <is>
          <t>My Youth (Thanh xuân của tôi)</t>
        </is>
      </c>
      <c r="G488" s="708" t="inlineStr">
        <is>
          <t>Series Asian</t>
        </is>
      </c>
      <c r="H488" s="83" t="n">
        <v>12</v>
      </c>
      <c r="I488" s="83" t="n">
        <v>4</v>
      </c>
      <c r="J488" s="83">
        <f>H488*I488</f>
        <v/>
      </c>
      <c r="K488" s="83" t="n">
        <v>2787742045</v>
      </c>
      <c r="L488" s="83" t="n">
        <v>58077959.27083333</v>
      </c>
      <c r="M488" s="83">
        <f>J488-Q488</f>
        <v/>
      </c>
      <c r="N488" s="83">
        <f>K488-R488</f>
        <v/>
      </c>
      <c r="O488" s="517" t="n">
        <v>45905</v>
      </c>
      <c r="P488" s="517" t="n">
        <v>47365</v>
      </c>
      <c r="Q488" s="83" t="n">
        <v>0</v>
      </c>
      <c r="R488" s="84" t="n">
        <v>0</v>
      </c>
      <c r="S488" s="83" t="n">
        <v>48</v>
      </c>
      <c r="T488" s="84" t="n">
        <v>2787742045</v>
      </c>
      <c r="U488" s="83" t="n">
        <v>12</v>
      </c>
      <c r="V488" s="84">
        <f>U488*L488</f>
        <v/>
      </c>
      <c r="W488" s="83">
        <f>Q488+S488-U488</f>
        <v/>
      </c>
      <c r="X488" s="84">
        <f>R488+T488-V488</f>
        <v/>
      </c>
      <c r="Y488" s="85" t="inlineStr">
        <is>
          <t>P221ZZSR01</t>
        </is>
      </c>
      <c r="Z488" s="86" t="inlineStr">
        <is>
          <t>15661</t>
        </is>
      </c>
      <c r="AA488" s="86" t="inlineStr">
        <is>
          <t>33561</t>
        </is>
      </c>
      <c r="AB488" s="86" t="inlineStr">
        <is>
          <t>6277651</t>
        </is>
      </c>
      <c r="AC488" s="87" t="inlineStr">
        <is>
          <t>Series</t>
        </is>
      </c>
      <c r="AD488" s="76">
        <f>COUNTIF('KK1. Movies'!AI:AI,'TK 15661.Bản quyền phim '!F488)</f>
        <v/>
      </c>
      <c r="AE488" s="76">
        <f>COUNTIF('KK2. Series'!AM:AM,'TK 15661.Bản quyền phim '!F488)</f>
        <v/>
      </c>
      <c r="AF488" s="76">
        <f>COUNTIF('KK3. Kids'!AF:AF,'TK 15661.Bản quyền phim '!F488)</f>
        <v/>
      </c>
      <c r="AG488" s="76" t="n"/>
      <c r="AH488" s="76">
        <f>IF(SUM(AD488:AG488)&gt;0,"OK",0)</f>
        <v/>
      </c>
    </row>
    <row r="489" hidden="1" s="578">
      <c r="A489" s="30">
        <f>(U489-H489)*L489</f>
        <v/>
      </c>
      <c r="B489" s="74" t="inlineStr">
        <is>
          <t>K+2SER025189</t>
        </is>
      </c>
      <c r="C489" s="708" t="inlineStr">
        <is>
          <t>USD</t>
        </is>
      </c>
      <c r="D489" s="708" t="inlineStr">
        <is>
          <t>S0002419</t>
        </is>
      </c>
      <c r="E489" s="708" t="inlineStr">
        <is>
          <t>PCCW Vuclip (Singapore) Pte. Ltd.</t>
        </is>
      </c>
      <c r="F489" s="708" t="inlineStr">
        <is>
          <t>Love's ambition (Hãy để tôi tỏa sáng)</t>
        </is>
      </c>
      <c r="G489" s="708" t="inlineStr">
        <is>
          <t>Series Asian</t>
        </is>
      </c>
      <c r="H489" s="83" t="n">
        <v>32</v>
      </c>
      <c r="I489" s="83" t="n">
        <v>5</v>
      </c>
      <c r="J489" s="83">
        <f>H489*I489</f>
        <v/>
      </c>
      <c r="K489" s="83" t="n">
        <v>0</v>
      </c>
      <c r="L489" s="83" t="n">
        <v>0</v>
      </c>
      <c r="M489" s="83">
        <f>J489-Q489</f>
        <v/>
      </c>
      <c r="N489" s="83">
        <f>K489-R489</f>
        <v/>
      </c>
      <c r="O489" s="517" t="n">
        <v>45926</v>
      </c>
      <c r="P489" s="517" t="n">
        <v>47751</v>
      </c>
      <c r="Q489" s="83" t="n">
        <v>0</v>
      </c>
      <c r="R489" s="84" t="n">
        <v>0</v>
      </c>
      <c r="S489" s="83" t="n">
        <v>160</v>
      </c>
      <c r="T489" s="84" t="n">
        <v>0</v>
      </c>
      <c r="U489" s="83" t="n">
        <v>0</v>
      </c>
      <c r="V489" s="84">
        <f>U489*L489</f>
        <v/>
      </c>
      <c r="W489" s="83">
        <f>Q489+S489-U489</f>
        <v/>
      </c>
      <c r="X489" s="84">
        <f>R489+T489-V489</f>
        <v/>
      </c>
      <c r="Y489" s="85" t="inlineStr">
        <is>
          <t>P221ZZSR01</t>
        </is>
      </c>
      <c r="Z489" s="86" t="inlineStr">
        <is>
          <t>15661</t>
        </is>
      </c>
      <c r="AA489" s="86" t="inlineStr">
        <is>
          <t>33561</t>
        </is>
      </c>
      <c r="AB489" s="86" t="inlineStr">
        <is>
          <t>6277651</t>
        </is>
      </c>
      <c r="AC489" s="86" t="n"/>
      <c r="AD489" s="76">
        <f>COUNTIF('KK1. Movies'!AI:AI,'TK 15661.Bản quyền phim '!F489)</f>
        <v/>
      </c>
      <c r="AE489" s="76">
        <f>COUNTIF('KK2. Series'!AM:AM,'TK 15661.Bản quyền phim '!F489)</f>
        <v/>
      </c>
      <c r="AF489" s="76">
        <f>COUNTIF('KK3. Kids'!AF:AF,'TK 15661.Bản quyền phim '!F489)</f>
        <v/>
      </c>
      <c r="AG489" s="76" t="n"/>
      <c r="AH489" s="76">
        <f>IF(SUM(AD489:AG489)&gt;0,"OK",0)</f>
        <v/>
      </c>
    </row>
    <row r="490" hidden="1" ht="15.6" customHeight="1" s="578">
      <c r="B490" s="75" t="inlineStr">
        <is>
          <t>K+2MOV024059</t>
        </is>
      </c>
      <c r="C490" s="708" t="inlineStr">
        <is>
          <t>USD</t>
        </is>
      </c>
      <c r="D490" s="708" t="inlineStr">
        <is>
          <t>S0002225</t>
        </is>
      </c>
      <c r="E490" s="708" t="inlineStr">
        <is>
          <t>CPT HOLDINGS INC.</t>
        </is>
      </c>
      <c r="F490" s="708" t="inlineStr">
        <is>
          <t>BLACK AND BLUE (2019)</t>
        </is>
      </c>
      <c r="G490" s="708" t="inlineStr">
        <is>
          <t>Movies International</t>
        </is>
      </c>
      <c r="H490" s="83" t="n">
        <v>1</v>
      </c>
      <c r="I490" s="83" t="n">
        <v>2</v>
      </c>
      <c r="J490" s="83" t="n">
        <v>2</v>
      </c>
      <c r="K490" s="83" t="n">
        <v>79716000</v>
      </c>
      <c r="L490" s="83" t="n">
        <v>39858000</v>
      </c>
      <c r="M490" s="83" t="n">
        <v>1</v>
      </c>
      <c r="N490" s="83" t="n">
        <v>39858000</v>
      </c>
      <c r="O490" s="517" t="n">
        <v>45382</v>
      </c>
      <c r="P490" s="517" t="n">
        <v>45929</v>
      </c>
      <c r="Q490" s="83" t="n">
        <v>1</v>
      </c>
      <c r="R490" s="84" t="n">
        <v>39858000</v>
      </c>
      <c r="S490" s="83" t="n">
        <v>0</v>
      </c>
      <c r="T490" s="84" t="n">
        <v>0</v>
      </c>
      <c r="U490" s="83" t="n">
        <v>1</v>
      </c>
      <c r="V490" s="84" t="n">
        <v>39858000</v>
      </c>
      <c r="W490" s="83" t="n">
        <v>0</v>
      </c>
      <c r="X490" s="84" t="n">
        <v>0</v>
      </c>
      <c r="Y490" s="85" t="inlineStr">
        <is>
          <t>P221ZZMO01</t>
        </is>
      </c>
      <c r="Z490" s="86" t="inlineStr">
        <is>
          <t>15661</t>
        </is>
      </c>
      <c r="AA490" s="86" t="inlineStr">
        <is>
          <t>33561</t>
        </is>
      </c>
      <c r="AB490" s="86" t="inlineStr">
        <is>
          <t>6277651</t>
        </is>
      </c>
      <c r="AC490" s="87" t="inlineStr">
        <is>
          <t>Movies</t>
        </is>
      </c>
      <c r="AD490" s="76">
        <f>COUNTIF('KK1. Movies'!AI:AI,'TK 15661.Bản quyền phim '!F490)</f>
        <v/>
      </c>
      <c r="AE490" s="76">
        <f>COUNTIF('KK2. Series'!AM:AM,'TK 15661.Bản quyền phim '!F490)</f>
        <v/>
      </c>
      <c r="AF490" s="76">
        <f>COUNTIF('KK3. Kids'!AF:AF,'TK 15661.Bản quyền phim '!F490)</f>
        <v/>
      </c>
      <c r="AG490" s="76" t="n"/>
      <c r="AH490" s="76">
        <f>IF(SUM(AD490:AG490)&gt;0,"OK",0)</f>
        <v/>
      </c>
    </row>
    <row r="491" hidden="1" ht="15.6" customHeight="1" s="578">
      <c r="B491" s="76" t="inlineStr">
        <is>
          <t>K+1MOV024057</t>
        </is>
      </c>
      <c r="C491" s="76" t="inlineStr">
        <is>
          <t>USD</t>
        </is>
      </c>
      <c r="D491" s="76" t="inlineStr">
        <is>
          <t>S0002225</t>
        </is>
      </c>
      <c r="E491" s="708" t="inlineStr">
        <is>
          <t>CPT HOLDINGS INC.</t>
        </is>
      </c>
      <c r="F491" s="64" t="inlineStr">
        <is>
          <t>BEAUTIFUL DAY IN THE NEIGHBORHOOD, A</t>
        </is>
      </c>
      <c r="G491" s="708" t="inlineStr">
        <is>
          <t>Movies International</t>
        </is>
      </c>
      <c r="H491" s="83" t="n">
        <v>1</v>
      </c>
      <c r="I491" s="83" t="n">
        <v>2</v>
      </c>
      <c r="J491" s="83" t="n">
        <v>2</v>
      </c>
      <c r="K491" s="83" t="n">
        <v>79716000</v>
      </c>
      <c r="L491" s="83" t="n">
        <v>39858000</v>
      </c>
      <c r="M491" s="83" t="n">
        <v>1</v>
      </c>
      <c r="N491" s="83" t="n">
        <v>39858000</v>
      </c>
      <c r="O491" s="517" t="n">
        <v>45382</v>
      </c>
      <c r="P491" s="517" t="n">
        <v>45929</v>
      </c>
      <c r="Q491" s="83" t="n">
        <v>1</v>
      </c>
      <c r="R491" s="84" t="n">
        <v>39858000</v>
      </c>
      <c r="S491" s="83" t="n">
        <v>0</v>
      </c>
      <c r="T491" s="84" t="n">
        <v>0</v>
      </c>
      <c r="U491" s="83" t="n">
        <v>1</v>
      </c>
      <c r="V491" s="84" t="n">
        <v>39858000</v>
      </c>
      <c r="W491" s="83" t="n">
        <v>0</v>
      </c>
      <c r="X491" s="84" t="n">
        <v>0</v>
      </c>
      <c r="Y491" s="85" t="inlineStr">
        <is>
          <t>P221ZZMO01</t>
        </is>
      </c>
      <c r="Z491" s="86" t="inlineStr">
        <is>
          <t>15661</t>
        </is>
      </c>
      <c r="AA491" s="86" t="inlineStr">
        <is>
          <t>33561</t>
        </is>
      </c>
      <c r="AB491" s="86" t="inlineStr">
        <is>
          <t>6277651</t>
        </is>
      </c>
      <c r="AC491" s="87" t="inlineStr">
        <is>
          <t>Movies</t>
        </is>
      </c>
      <c r="AD491" s="76">
        <f>COUNTIF('KK1. Movies'!AI:AI,'TK 15661.Bản quyền phim '!F491)</f>
        <v/>
      </c>
      <c r="AE491" s="76">
        <f>COUNTIF('KK2. Series'!AM:AM,'TK 15661.Bản quyền phim '!F491)</f>
        <v/>
      </c>
      <c r="AF491" s="76">
        <f>COUNTIF('KK3. Kids'!AF:AF,'TK 15661.Bản quyền phim '!F491)</f>
        <v/>
      </c>
      <c r="AG491" s="76" t="n"/>
      <c r="AH491" s="76">
        <f>IF(SUM(AD491:AG491)&gt;0,"OK",0)</f>
        <v/>
      </c>
    </row>
    <row r="492" hidden="1" ht="15.6" customHeight="1" s="578">
      <c r="B492" s="76" t="inlineStr">
        <is>
          <t>K+1MOV024058</t>
        </is>
      </c>
      <c r="C492" s="76" t="inlineStr">
        <is>
          <t>USD</t>
        </is>
      </c>
      <c r="D492" s="76" t="inlineStr">
        <is>
          <t>S0002225</t>
        </is>
      </c>
      <c r="E492" s="708" t="inlineStr">
        <is>
          <t>CPT HOLDINGS INC.</t>
        </is>
      </c>
      <c r="F492" s="76" t="inlineStr">
        <is>
          <t>BEST OF ENEMIES, THE (2019)</t>
        </is>
      </c>
      <c r="G492" s="708" t="inlineStr">
        <is>
          <t>Movies International</t>
        </is>
      </c>
      <c r="H492" s="83" t="n">
        <v>1</v>
      </c>
      <c r="I492" s="83" t="n">
        <v>2</v>
      </c>
      <c r="J492" s="83" t="n">
        <v>2</v>
      </c>
      <c r="K492" s="83" t="n">
        <v>79716000</v>
      </c>
      <c r="L492" s="83" t="n">
        <v>39858000</v>
      </c>
      <c r="M492" s="83" t="n">
        <v>1</v>
      </c>
      <c r="N492" s="83" t="n">
        <v>39858000</v>
      </c>
      <c r="O492" s="517" t="n">
        <v>45382</v>
      </c>
      <c r="P492" s="517" t="n">
        <v>45929</v>
      </c>
      <c r="Q492" s="83" t="n">
        <v>1</v>
      </c>
      <c r="R492" s="84" t="n">
        <v>39858000</v>
      </c>
      <c r="S492" s="83" t="n">
        <v>0</v>
      </c>
      <c r="T492" s="84" t="n">
        <v>0</v>
      </c>
      <c r="U492" s="83" t="n">
        <v>1</v>
      </c>
      <c r="V492" s="84" t="n">
        <v>39858000</v>
      </c>
      <c r="W492" s="83" t="n">
        <v>0</v>
      </c>
      <c r="X492" s="84" t="n">
        <v>0</v>
      </c>
      <c r="Y492" s="85" t="inlineStr">
        <is>
          <t>P221ZZMO01</t>
        </is>
      </c>
      <c r="Z492" s="86" t="inlineStr">
        <is>
          <t>15661</t>
        </is>
      </c>
      <c r="AA492" s="86" t="inlineStr">
        <is>
          <t>33561</t>
        </is>
      </c>
      <c r="AB492" s="86" t="inlineStr">
        <is>
          <t>6277651</t>
        </is>
      </c>
      <c r="AC492" s="87" t="inlineStr">
        <is>
          <t>Movies</t>
        </is>
      </c>
      <c r="AD492" s="76">
        <f>COUNTIF('KK1. Movies'!AI:AI,'TK 15661.Bản quyền phim '!F492)</f>
        <v/>
      </c>
      <c r="AE492" s="76">
        <f>COUNTIF('KK2. Series'!AM:AM,'TK 15661.Bản quyền phim '!F492)</f>
        <v/>
      </c>
      <c r="AF492" s="76">
        <f>COUNTIF('KK3. Kids'!AF:AF,'TK 15661.Bản quyền phim '!F492)</f>
        <v/>
      </c>
      <c r="AG492" s="76" t="n"/>
      <c r="AH492" s="76">
        <f>IF(SUM(AD492:AG492)&gt;0,"OK",0)</f>
        <v/>
      </c>
    </row>
    <row r="493" hidden="1" ht="15.6" customHeight="1" s="578">
      <c r="B493" s="76" t="inlineStr">
        <is>
          <t>K+1MOV024060</t>
        </is>
      </c>
      <c r="C493" s="76" t="inlineStr">
        <is>
          <t>USD</t>
        </is>
      </c>
      <c r="D493" s="76" t="inlineStr">
        <is>
          <t>S0002225</t>
        </is>
      </c>
      <c r="E493" s="708" t="inlineStr">
        <is>
          <t>CPT HOLDINGS INC.</t>
        </is>
      </c>
      <c r="F493" s="76" t="inlineStr">
        <is>
          <t>BRIAN BANKS</t>
        </is>
      </c>
      <c r="G493" s="708" t="inlineStr">
        <is>
          <t>Movies International</t>
        </is>
      </c>
      <c r="H493" s="83" t="n">
        <v>1</v>
      </c>
      <c r="I493" s="83" t="n">
        <v>2</v>
      </c>
      <c r="J493" s="83" t="n">
        <v>2</v>
      </c>
      <c r="K493" s="83" t="n">
        <v>79716000</v>
      </c>
      <c r="L493" s="83" t="n">
        <v>39858000</v>
      </c>
      <c r="M493" s="83" t="n">
        <v>1</v>
      </c>
      <c r="N493" s="83" t="n">
        <v>39858000</v>
      </c>
      <c r="O493" s="517" t="n">
        <v>45382</v>
      </c>
      <c r="P493" s="517" t="n">
        <v>45929</v>
      </c>
      <c r="Q493" s="83" t="n">
        <v>1</v>
      </c>
      <c r="R493" s="84" t="n">
        <v>39858000</v>
      </c>
      <c r="S493" s="83" t="n">
        <v>0</v>
      </c>
      <c r="T493" s="84" t="n">
        <v>0</v>
      </c>
      <c r="U493" s="83" t="n">
        <v>1</v>
      </c>
      <c r="V493" s="84" t="n">
        <v>39858000</v>
      </c>
      <c r="W493" s="83" t="n">
        <v>0</v>
      </c>
      <c r="X493" s="84" t="n">
        <v>0</v>
      </c>
      <c r="Y493" s="85" t="inlineStr">
        <is>
          <t>P221ZZMO01</t>
        </is>
      </c>
      <c r="Z493" s="86" t="inlineStr">
        <is>
          <t>15661</t>
        </is>
      </c>
      <c r="AA493" s="86" t="inlineStr">
        <is>
          <t>33561</t>
        </is>
      </c>
      <c r="AB493" s="86" t="inlineStr">
        <is>
          <t>6277651</t>
        </is>
      </c>
      <c r="AC493" s="87" t="inlineStr">
        <is>
          <t>Movies</t>
        </is>
      </c>
      <c r="AD493" s="76">
        <f>COUNTIF('KK1. Movies'!AI:AI,'TK 15661.Bản quyền phim '!F493)</f>
        <v/>
      </c>
      <c r="AE493" s="76">
        <f>COUNTIF('KK2. Series'!AM:AM,'TK 15661.Bản quyền phim '!F493)</f>
        <v/>
      </c>
      <c r="AF493" s="76">
        <f>COUNTIF('KK3. Kids'!AF:AF,'TK 15661.Bản quyền phim '!F493)</f>
        <v/>
      </c>
      <c r="AG493" s="76" t="n"/>
      <c r="AH493" s="76">
        <f>IF(SUM(AD493:AG493)&gt;0,"OK",0)</f>
        <v/>
      </c>
    </row>
    <row r="494" hidden="1" ht="15.6" customHeight="1" s="578">
      <c r="B494" s="76" t="inlineStr">
        <is>
          <t>K+5MOV025135</t>
        </is>
      </c>
      <c r="C494" s="76" t="inlineStr">
        <is>
          <t>USD</t>
        </is>
      </c>
      <c r="D494" s="76" t="inlineStr">
        <is>
          <t>S0002418</t>
        </is>
      </c>
      <c r="E494" s="76" t="inlineStr">
        <is>
          <t>UNIVERSAL CITY STUDIOS PRODUCTIONS LLLP</t>
        </is>
      </c>
      <c r="F494" s="76" t="inlineStr">
        <is>
          <t>MINIONS (2)</t>
        </is>
      </c>
      <c r="G494" s="708" t="inlineStr">
        <is>
          <t>Movies International</t>
        </is>
      </c>
      <c r="H494" s="83" t="n">
        <v>1</v>
      </c>
      <c r="I494" s="83" t="n">
        <v>1</v>
      </c>
      <c r="J494" s="83" t="n">
        <v>1</v>
      </c>
      <c r="K494" s="88" t="n">
        <v>37860900</v>
      </c>
      <c r="L494" s="88" t="n">
        <v>37860900</v>
      </c>
      <c r="M494" s="83" t="n">
        <v>1</v>
      </c>
      <c r="N494" s="88" t="n">
        <v>37860900</v>
      </c>
      <c r="O494" s="518" t="n">
        <v>45686</v>
      </c>
      <c r="P494" s="518" t="n">
        <v>45958</v>
      </c>
      <c r="Q494" s="83" t="n">
        <v>0</v>
      </c>
      <c r="R494" s="89" t="n">
        <v>0</v>
      </c>
      <c r="S494" s="88" t="n">
        <v>1</v>
      </c>
      <c r="T494" s="89" t="n">
        <v>37860900</v>
      </c>
      <c r="U494" s="88" t="n">
        <v>1</v>
      </c>
      <c r="V494" s="89" t="n">
        <v>37860900</v>
      </c>
      <c r="W494" s="88" t="n">
        <v>0</v>
      </c>
      <c r="X494" s="89" t="n">
        <v>0</v>
      </c>
      <c r="Y494" s="76" t="inlineStr">
        <is>
          <t>P221ZZMO01</t>
        </is>
      </c>
      <c r="Z494" s="76" t="inlineStr">
        <is>
          <t>15661</t>
        </is>
      </c>
      <c r="AA494" s="76" t="inlineStr">
        <is>
          <t>33561</t>
        </is>
      </c>
      <c r="AB494" s="76" t="inlineStr">
        <is>
          <t>6277651</t>
        </is>
      </c>
      <c r="AC494" s="87" t="inlineStr">
        <is>
          <t>Movies</t>
        </is>
      </c>
      <c r="AD494" s="76">
        <f>COUNTIF('KK1. Movies'!AI:AI,'TK 15661.Bản quyền phim '!F494)</f>
        <v/>
      </c>
      <c r="AE494" s="76">
        <f>COUNTIF('KK2. Series'!AM:AM,'TK 15661.Bản quyền phim '!F494)</f>
        <v/>
      </c>
      <c r="AF494" s="76">
        <f>COUNTIF('KK3. Kids'!AF:AF,'TK 15661.Bản quyền phim '!F494)</f>
        <v/>
      </c>
      <c r="AG494" s="76" t="n"/>
      <c r="AH494" s="76">
        <f>IF(SUM(AD494:AG494)&gt;0,"OK",0)</f>
        <v/>
      </c>
    </row>
    <row r="495" hidden="1" s="578">
      <c r="B495" s="76" t="inlineStr">
        <is>
          <t>K+5KID021294</t>
        </is>
      </c>
      <c r="C495" s="76" t="inlineStr">
        <is>
          <t>USD</t>
        </is>
      </c>
      <c r="D495" s="76" t="inlineStr">
        <is>
          <t>S0002273</t>
        </is>
      </c>
      <c r="E495" s="76" t="inlineStr">
        <is>
          <t>Animaccord Ltd</t>
        </is>
      </c>
      <c r="F495" s="76" t="inlineStr">
        <is>
          <t>Masha and the Bear - Season 1</t>
        </is>
      </c>
      <c r="G495" s="76" t="inlineStr">
        <is>
          <t>KIDS</t>
        </is>
      </c>
      <c r="H495" s="88" t="n">
        <v>26</v>
      </c>
      <c r="I495" s="88" t="n">
        <v>2</v>
      </c>
      <c r="J495" s="88" t="n">
        <v>52</v>
      </c>
      <c r="K495" s="88" t="n">
        <v>38140960</v>
      </c>
      <c r="L495" s="88" t="n">
        <v>733480</v>
      </c>
      <c r="M495" s="88" t="n">
        <v>52</v>
      </c>
      <c r="N495" s="88" t="n">
        <v>38140960</v>
      </c>
      <c r="O495" s="518" t="n">
        <v>44501</v>
      </c>
      <c r="P495" s="518" t="n">
        <v>45230</v>
      </c>
      <c r="Q495" s="88" t="n">
        <v>0</v>
      </c>
      <c r="R495" s="89" t="n">
        <v>0</v>
      </c>
      <c r="S495" s="88" t="n">
        <v>0</v>
      </c>
      <c r="T495" s="89" t="n">
        <v>0</v>
      </c>
      <c r="U495" s="88" t="n">
        <v>0</v>
      </c>
      <c r="V495" s="89" t="n">
        <v>0</v>
      </c>
      <c r="W495" s="88" t="n">
        <v>0</v>
      </c>
      <c r="X495" s="89" t="n">
        <v>0</v>
      </c>
      <c r="Y495" s="76" t="inlineStr">
        <is>
          <t>P221ZZKI01</t>
        </is>
      </c>
      <c r="Z495" s="76" t="inlineStr">
        <is>
          <t>15661</t>
        </is>
      </c>
      <c r="AA495" s="76" t="inlineStr">
        <is>
          <t>33561</t>
        </is>
      </c>
      <c r="AB495" s="76" t="inlineStr">
        <is>
          <t>6277651</t>
        </is>
      </c>
      <c r="AC495" s="86" t="inlineStr">
        <is>
          <t>Kids</t>
        </is>
      </c>
      <c r="AD495" s="76">
        <f>COUNTIF('KK1. Movies'!AI:AI,'TK 15661.Bản quyền phim '!F495)</f>
        <v/>
      </c>
      <c r="AE495" s="76">
        <f>COUNTIF('KK2. Series'!AM:AM,'TK 15661.Bản quyền phim '!F495)</f>
        <v/>
      </c>
      <c r="AF495" s="76">
        <f>COUNTIF('KK3. Kids'!AF:AF,'TK 15661.Bản quyền phim '!F495)</f>
        <v/>
      </c>
      <c r="AG495" s="76" t="n"/>
      <c r="AH495" s="76">
        <f>IF(SUM(AD495:AG495)&gt;0,"OK",0)</f>
        <v/>
      </c>
    </row>
    <row r="496" hidden="1" s="578">
      <c r="B496" s="76" t="inlineStr">
        <is>
          <t>K+5KID021295</t>
        </is>
      </c>
      <c r="C496" s="76" t="inlineStr">
        <is>
          <t>USD</t>
        </is>
      </c>
      <c r="D496" s="76" t="inlineStr">
        <is>
          <t>S0002273</t>
        </is>
      </c>
      <c r="E496" s="76" t="inlineStr">
        <is>
          <t>Animaccord Ltd</t>
        </is>
      </c>
      <c r="F496" s="76" t="inlineStr">
        <is>
          <t>Masha and the Bear - Season 2</t>
        </is>
      </c>
      <c r="G496" s="76" t="inlineStr">
        <is>
          <t>KIDS</t>
        </is>
      </c>
      <c r="H496" s="88" t="n">
        <v>26</v>
      </c>
      <c r="I496" s="88" t="n">
        <v>2</v>
      </c>
      <c r="J496" s="88" t="n">
        <v>52</v>
      </c>
      <c r="K496" s="88" t="n">
        <v>38140960</v>
      </c>
      <c r="L496" s="88" t="n">
        <v>733480</v>
      </c>
      <c r="M496" s="88" t="n">
        <v>52</v>
      </c>
      <c r="N496" s="88" t="n">
        <v>38140960</v>
      </c>
      <c r="O496" s="518" t="n">
        <v>44501</v>
      </c>
      <c r="P496" s="518" t="n">
        <v>45230</v>
      </c>
      <c r="Q496" s="88" t="n">
        <v>0</v>
      </c>
      <c r="R496" s="89" t="n">
        <v>0</v>
      </c>
      <c r="S496" s="88" t="n">
        <v>0</v>
      </c>
      <c r="T496" s="89" t="n">
        <v>0</v>
      </c>
      <c r="U496" s="88" t="n">
        <v>0</v>
      </c>
      <c r="V496" s="89" t="n">
        <v>0</v>
      </c>
      <c r="W496" s="88" t="n">
        <v>0</v>
      </c>
      <c r="X496" s="89" t="n">
        <v>0</v>
      </c>
      <c r="Y496" s="76" t="inlineStr">
        <is>
          <t>P221ZZKI01</t>
        </is>
      </c>
      <c r="Z496" s="76" t="inlineStr">
        <is>
          <t>15661</t>
        </is>
      </c>
      <c r="AA496" s="76" t="inlineStr">
        <is>
          <t>33561</t>
        </is>
      </c>
      <c r="AB496" s="76" t="inlineStr">
        <is>
          <t>6277651</t>
        </is>
      </c>
      <c r="AC496" s="86" t="inlineStr">
        <is>
          <t>Kids</t>
        </is>
      </c>
      <c r="AD496" s="76">
        <f>COUNTIF('KK1. Movies'!AI:AI,'TK 15661.Bản quyền phim '!F496)</f>
        <v/>
      </c>
      <c r="AE496" s="76">
        <f>COUNTIF('KK2. Series'!AM:AM,'TK 15661.Bản quyền phim '!F496)</f>
        <v/>
      </c>
      <c r="AF496" s="76">
        <f>COUNTIF('KK3. Kids'!AF:AF,'TK 15661.Bản quyền phim '!F496)</f>
        <v/>
      </c>
      <c r="AG496" s="76" t="n"/>
      <c r="AH496" s="76">
        <f>IF(SUM(AD496:AG496)&gt;0,"OK",0)</f>
        <v/>
      </c>
    </row>
    <row r="497" hidden="1" s="578">
      <c r="B497" s="76" t="inlineStr">
        <is>
          <t>K+5KID021296</t>
        </is>
      </c>
      <c r="C497" s="76" t="inlineStr">
        <is>
          <t>USD</t>
        </is>
      </c>
      <c r="D497" s="76" t="inlineStr">
        <is>
          <t>S0002273</t>
        </is>
      </c>
      <c r="E497" s="76" t="inlineStr">
        <is>
          <t>Animaccord Ltd</t>
        </is>
      </c>
      <c r="F497" s="76" t="inlineStr">
        <is>
          <t>Masha and the Bear - Season 3</t>
        </is>
      </c>
      <c r="G497" s="76" t="inlineStr">
        <is>
          <t>KIDS</t>
        </is>
      </c>
      <c r="H497" s="88" t="n">
        <v>26</v>
      </c>
      <c r="I497" s="88" t="n">
        <v>2</v>
      </c>
      <c r="J497" s="88" t="n">
        <v>52</v>
      </c>
      <c r="K497" s="88" t="n">
        <v>38140960</v>
      </c>
      <c r="L497" s="88" t="n">
        <v>733480</v>
      </c>
      <c r="M497" s="88" t="n">
        <v>52</v>
      </c>
      <c r="N497" s="88" t="n">
        <v>38140960</v>
      </c>
      <c r="O497" s="518" t="n">
        <v>44501</v>
      </c>
      <c r="P497" s="518" t="n">
        <v>45230</v>
      </c>
      <c r="Q497" s="88" t="n">
        <v>0</v>
      </c>
      <c r="R497" s="89" t="n">
        <v>0</v>
      </c>
      <c r="S497" s="88" t="n">
        <v>0</v>
      </c>
      <c r="T497" s="89" t="n">
        <v>0</v>
      </c>
      <c r="U497" s="88" t="n">
        <v>0</v>
      </c>
      <c r="V497" s="89" t="n">
        <v>0</v>
      </c>
      <c r="W497" s="88" t="n">
        <v>0</v>
      </c>
      <c r="X497" s="89" t="n">
        <v>0</v>
      </c>
      <c r="Y497" s="76" t="inlineStr">
        <is>
          <t>P221ZZKI01</t>
        </is>
      </c>
      <c r="Z497" s="76" t="inlineStr">
        <is>
          <t>15661</t>
        </is>
      </c>
      <c r="AA497" s="76" t="inlineStr">
        <is>
          <t>33561</t>
        </is>
      </c>
      <c r="AB497" s="76" t="inlineStr">
        <is>
          <t>6277651</t>
        </is>
      </c>
      <c r="AC497" s="86" t="inlineStr">
        <is>
          <t>Kids</t>
        </is>
      </c>
      <c r="AD497" s="76">
        <f>COUNTIF('KK1. Movies'!AI:AI,'TK 15661.Bản quyền phim '!F497)</f>
        <v/>
      </c>
      <c r="AE497" s="76">
        <f>COUNTIF('KK2. Series'!AM:AM,'TK 15661.Bản quyền phim '!F497)</f>
        <v/>
      </c>
      <c r="AF497" s="76">
        <f>COUNTIF('KK3. Kids'!AF:AF,'TK 15661.Bản quyền phim '!F497)</f>
        <v/>
      </c>
      <c r="AG497" s="76" t="n"/>
      <c r="AH497" s="76">
        <f>IF(SUM(AD497:AG497)&gt;0,"OK",0)</f>
        <v/>
      </c>
    </row>
    <row r="19871" customFormat="1" s="8">
      <c r="A19871" s="30" t="n"/>
      <c r="C19871" s="27" t="n">
        <v>29</v>
      </c>
      <c r="H19871" s="29" t="n"/>
      <c r="I19871" s="29" t="n"/>
      <c r="J19871" s="29" t="n"/>
      <c r="K19871" s="29" t="n"/>
      <c r="L19871" s="29" t="n"/>
      <c r="M19871" s="29" t="n"/>
      <c r="N19871" s="29" t="n"/>
      <c r="O19871" s="511" t="n"/>
      <c r="P19871" s="511" t="n"/>
      <c r="Q19871" s="29" t="n"/>
      <c r="R19871" s="28" t="n"/>
      <c r="S19871" s="29" t="n"/>
      <c r="T19871" s="28" t="n"/>
      <c r="U19871" s="29" t="n"/>
      <c r="V19871" s="28" t="n"/>
      <c r="W19871" s="29" t="n"/>
      <c r="X19871" s="28" t="n"/>
      <c r="Y19871" s="27" t="n"/>
      <c r="Z19871" s="27" t="n"/>
      <c r="AA19871" s="27" t="n"/>
      <c r="AB19871" s="27" t="n"/>
      <c r="AC19871" s="27" t="n"/>
      <c r="AD19871" s="27" t="n"/>
      <c r="AE19871" s="27" t="n"/>
      <c r="AF19871" s="27" t="n"/>
      <c r="AG19871" s="27" t="n"/>
      <c r="AH19871" s="27" t="n"/>
      <c r="AI19871" s="27" t="n"/>
      <c r="AJ19871" s="27" t="n"/>
      <c r="AK19871" s="27" t="n"/>
      <c r="AL19871" s="27" t="n"/>
      <c r="AM19871" s="27" t="n"/>
      <c r="AN19871" s="27" t="n"/>
      <c r="AO19871" s="27" t="n"/>
      <c r="AP19871" s="27" t="n"/>
      <c r="AQ19871" s="27" t="n"/>
      <c r="AR19871" s="27" t="n"/>
    </row>
    <row r="19872" customFormat="1" s="8">
      <c r="A19872" s="30" t="n"/>
      <c r="C19872" s="27" t="n">
        <v>30</v>
      </c>
      <c r="H19872" s="29" t="n"/>
      <c r="I19872" s="29" t="n"/>
      <c r="J19872" s="29" t="n"/>
      <c r="K19872" s="29" t="n"/>
      <c r="L19872" s="29" t="n"/>
      <c r="M19872" s="29" t="n"/>
      <c r="N19872" s="29" t="n"/>
      <c r="O19872" s="511" t="n"/>
      <c r="P19872" s="511" t="n"/>
      <c r="Q19872" s="29" t="n"/>
      <c r="R19872" s="28" t="n"/>
      <c r="S19872" s="29" t="n"/>
      <c r="T19872" s="28" t="n"/>
      <c r="U19872" s="29" t="n"/>
      <c r="V19872" s="28" t="n"/>
      <c r="W19872" s="29" t="n"/>
      <c r="X19872" s="28" t="n"/>
      <c r="Y19872" s="27" t="n"/>
      <c r="Z19872" s="27" t="n"/>
      <c r="AA19872" s="27" t="n"/>
      <c r="AB19872" s="27" t="n"/>
      <c r="AC19872" s="27" t="n"/>
      <c r="AD19872" s="27" t="n"/>
      <c r="AE19872" s="27" t="n"/>
      <c r="AF19872" s="27" t="n"/>
      <c r="AG19872" s="27" t="n"/>
      <c r="AH19872" s="27" t="n"/>
      <c r="AI19872" s="27" t="n"/>
      <c r="AJ19872" s="27" t="n"/>
      <c r="AK19872" s="27" t="n"/>
      <c r="AL19872" s="27" t="n"/>
      <c r="AM19872" s="27" t="n"/>
      <c r="AN19872" s="27" t="n"/>
      <c r="AO19872" s="27" t="n"/>
      <c r="AP19872" s="27" t="n"/>
      <c r="AQ19872" s="27" t="n"/>
      <c r="AR19872" s="27" t="n"/>
    </row>
    <row r="19873" customFormat="1" s="8">
      <c r="A19873" s="30" t="n"/>
      <c r="C19873" s="27" t="n">
        <v>31</v>
      </c>
      <c r="H19873" s="29" t="n"/>
      <c r="I19873" s="29" t="n"/>
      <c r="J19873" s="29" t="n"/>
      <c r="K19873" s="29" t="n"/>
      <c r="L19873" s="29" t="n"/>
      <c r="M19873" s="29" t="n"/>
      <c r="N19873" s="29" t="n"/>
      <c r="O19873" s="511" t="n"/>
      <c r="P19873" s="511" t="n"/>
      <c r="Q19873" s="29" t="n"/>
      <c r="R19873" s="28" t="n"/>
      <c r="S19873" s="29" t="n"/>
      <c r="T19873" s="28" t="n"/>
      <c r="U19873" s="29" t="n"/>
      <c r="V19873" s="28" t="n"/>
      <c r="W19873" s="29" t="n"/>
      <c r="X19873" s="28" t="n"/>
      <c r="Y19873" s="27" t="n"/>
      <c r="Z19873" s="27" t="n"/>
      <c r="AA19873" s="27" t="n"/>
      <c r="AB19873" s="27" t="n"/>
      <c r="AC19873" s="27" t="n"/>
      <c r="AD19873" s="27" t="n"/>
      <c r="AE19873" s="27" t="n"/>
      <c r="AF19873" s="27" t="n"/>
      <c r="AG19873" s="27" t="n"/>
      <c r="AH19873" s="27" t="n"/>
      <c r="AI19873" s="27" t="n"/>
      <c r="AJ19873" s="27" t="n"/>
      <c r="AK19873" s="27" t="n"/>
      <c r="AL19873" s="27" t="n"/>
      <c r="AM19873" s="27" t="n"/>
      <c r="AN19873" s="27" t="n"/>
      <c r="AO19873" s="27" t="n"/>
      <c r="AP19873" s="27" t="n"/>
      <c r="AQ19873" s="27" t="n"/>
      <c r="AR19873" s="27" t="n"/>
    </row>
    <row r="19874" customFormat="1" s="8">
      <c r="A19874" s="30" t="n"/>
      <c r="C19874" s="27" t="n">
        <v>32</v>
      </c>
      <c r="H19874" s="29" t="n"/>
      <c r="I19874" s="29" t="n"/>
      <c r="J19874" s="29" t="n"/>
      <c r="K19874" s="29" t="n"/>
      <c r="L19874" s="29" t="n"/>
      <c r="M19874" s="29" t="n"/>
      <c r="N19874" s="29" t="n"/>
      <c r="O19874" s="511" t="n"/>
      <c r="P19874" s="511" t="n"/>
      <c r="Q19874" s="29" t="n"/>
      <c r="R19874" s="28" t="n"/>
      <c r="S19874" s="29" t="n"/>
      <c r="T19874" s="28" t="n"/>
      <c r="U19874" s="29" t="n"/>
      <c r="V19874" s="28" t="n"/>
      <c r="W19874" s="29" t="n"/>
      <c r="X19874" s="28" t="n"/>
      <c r="Y19874" s="27" t="n"/>
      <c r="Z19874" s="27" t="n"/>
      <c r="AA19874" s="27" t="n"/>
      <c r="AB19874" s="27" t="n"/>
      <c r="AC19874" s="27" t="n"/>
      <c r="AD19874" s="27" t="n"/>
      <c r="AE19874" s="27" t="n"/>
      <c r="AF19874" s="27" t="n"/>
      <c r="AG19874" s="27" t="n"/>
      <c r="AH19874" s="27" t="n"/>
      <c r="AI19874" s="27" t="n"/>
      <c r="AJ19874" s="27" t="n"/>
      <c r="AK19874" s="27" t="n"/>
      <c r="AL19874" s="27" t="n"/>
      <c r="AM19874" s="27" t="n"/>
      <c r="AN19874" s="27" t="n"/>
      <c r="AO19874" s="27" t="n"/>
      <c r="AP19874" s="27" t="n"/>
      <c r="AQ19874" s="27" t="n"/>
      <c r="AR19874" s="27" t="n"/>
    </row>
  </sheetData>
  <autoFilter ref="A5:AR497">
    <filterColumn colId="31" hiddenButton="0" showButton="1">
      <filters>
        <filter val="2"/>
      </filters>
    </filterColumn>
  </autoFilter>
  <mergeCells count="1">
    <mergeCell ref="AC4:AH4"/>
  </mergeCells>
  <conditionalFormatting sqref="B6:B8">
    <cfRule type="duplicateValues" priority="32" dxfId="0"/>
  </conditionalFormatting>
  <conditionalFormatting sqref="B9">
    <cfRule type="duplicateValues" priority="24" dxfId="0"/>
  </conditionalFormatting>
  <conditionalFormatting sqref="B10:B16">
    <cfRule type="duplicateValues" priority="25" dxfId="0"/>
    <cfRule type="duplicateValues" priority="26" dxfId="0"/>
  </conditionalFormatting>
  <conditionalFormatting sqref="B17">
    <cfRule type="duplicateValues" priority="22" dxfId="0"/>
    <cfRule type="duplicateValues" priority="23" dxfId="0"/>
  </conditionalFormatting>
  <conditionalFormatting sqref="B18:B19">
    <cfRule type="duplicateValues" priority="20" dxfId="0"/>
    <cfRule type="duplicateValues" priority="21" dxfId="0"/>
  </conditionalFormatting>
  <conditionalFormatting sqref="B20">
    <cfRule type="duplicateValues" priority="18" dxfId="0"/>
    <cfRule type="duplicateValues" priority="19" dxfId="0"/>
  </conditionalFormatting>
  <conditionalFormatting sqref="B21:B86 B88:B126">
    <cfRule type="duplicateValues" priority="31" dxfId="0"/>
  </conditionalFormatting>
  <conditionalFormatting sqref="B87">
    <cfRule type="duplicateValues" priority="14" dxfId="0"/>
    <cfRule type="duplicateValues" priority="15" dxfId="0"/>
    <cfRule type="duplicateValues" priority="16" dxfId="0"/>
  </conditionalFormatting>
  <conditionalFormatting sqref="B127:B489">
    <cfRule type="duplicateValues" priority="28" dxfId="0"/>
    <cfRule type="duplicateValues" priority="29" dxfId="0"/>
    <cfRule type="duplicateValues" priority="30" dxfId="0"/>
  </conditionalFormatting>
  <conditionalFormatting sqref="B490">
    <cfRule type="duplicateValues" priority="8" dxfId="0"/>
    <cfRule type="duplicateValues" priority="9" dxfId="0"/>
    <cfRule type="duplicateValues" priority="10" dxfId="0"/>
  </conditionalFormatting>
  <conditionalFormatting sqref="F1:F4 F493:F1048576">
    <cfRule type="duplicateValues" priority="17" dxfId="0"/>
  </conditionalFormatting>
  <conditionalFormatting sqref="F5">
    <cfRule type="duplicateValues" priority="12" dxfId="0"/>
  </conditionalFormatting>
  <conditionalFormatting sqref="F6:F41 F43:F147 F149:F489">
    <cfRule type="duplicateValues" priority="27" dxfId="0"/>
  </conditionalFormatting>
  <conditionalFormatting sqref="F490">
    <cfRule type="duplicateValues" priority="11" dxfId="0"/>
  </conditionalFormatting>
  <conditionalFormatting sqref="F49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0"/>
  </conditionalFormatting>
  <conditionalFormatting sqref="G2">
    <cfRule type="duplicateValues" priority="13" dxfId="0"/>
  </conditionalFormatting>
  <pageMargins left="0.7" right="0.7" top="0.75" bottom="0.75" header="0.3" footer="0.3"/>
  <pageSetup orientation="portrait" horizontalDpi="300" verticalDpi="300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Sheet13">
    <tabColor theme="5" tint="-0.249977111117893"/>
    <outlinePr summaryBelow="1" summaryRight="1"/>
    <pageSetUpPr/>
  </sheetPr>
  <dimension ref="A2:S9"/>
  <sheetViews>
    <sheetView workbookViewId="0">
      <pane xSplit="3" ySplit="4" topLeftCell="L5" activePane="bottomRight" state="frozen"/>
      <selection activeCell="B946" sqref="B946"/>
      <selection pane="topRight" activeCell="B946" sqref="B946"/>
      <selection pane="bottomLeft" activeCell="B946" sqref="B946"/>
      <selection pane="bottomRight" activeCell="S4" sqref="S4"/>
    </sheetView>
  </sheetViews>
  <sheetFormatPr baseColWidth="8" defaultRowHeight="14.4"/>
  <cols>
    <col width="5.5546875" bestFit="1" customWidth="1" style="578" min="1" max="1"/>
    <col width="9.77734375" bestFit="1" customWidth="1" style="578" min="2" max="2"/>
    <col width="52.44140625" bestFit="1" customWidth="1" style="578" min="3" max="3"/>
    <col width="10.44140625" bestFit="1" customWidth="1" style="578" min="4" max="4"/>
    <col width="12" bestFit="1" customWidth="1" style="578" min="5" max="5"/>
    <col width="7.5546875" bestFit="1" customWidth="1" style="578" min="6" max="6"/>
    <col width="9.44140625" bestFit="1" customWidth="1" style="578" min="7" max="7"/>
    <col width="13.77734375" bestFit="1" customWidth="1" style="578" min="8" max="9"/>
    <col width="12.77734375" bestFit="1" customWidth="1" style="578" min="10" max="10"/>
    <col width="13.5546875" bestFit="1" customWidth="1" style="578" min="11" max="11"/>
    <col width="6.21875" bestFit="1" customWidth="1" style="578" min="12" max="12"/>
    <col width="8" bestFit="1" customWidth="1" style="578" min="13" max="13"/>
    <col width="12.44140625" bestFit="1" customWidth="1" style="578" min="14" max="14"/>
    <col width="10.21875" bestFit="1" customWidth="1" style="578" min="15" max="15"/>
    <col width="18" customWidth="1" style="578" min="16" max="16"/>
  </cols>
  <sheetData>
    <row r="2">
      <c r="A2" s="577" t="inlineStr">
        <is>
          <t>BẢNG TÍNH CHI PHÍ CCDC - Chi phí trả trước, không bao gồm công cụ dụng cụ, còn thời hạn đến 31/12/2025</t>
        </is>
      </c>
    </row>
    <row r="3">
      <c r="A3" s="26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52.8" customHeight="1" s="578">
      <c r="A4" s="7" t="inlineStr">
        <is>
          <t>Stt</t>
        </is>
      </c>
      <c r="B4" s="7" t="inlineStr">
        <is>
          <t>Mã công cụ</t>
        </is>
      </c>
      <c r="C4" s="7" t="inlineStr">
        <is>
          <t>Tên CCDC</t>
        </is>
      </c>
      <c r="D4" s="7" t="inlineStr">
        <is>
          <t>Ngày c.từ</t>
        </is>
      </c>
      <c r="E4" s="7" t="inlineStr">
        <is>
          <t>Ngày tính p.bổ</t>
        </is>
      </c>
      <c r="F4" s="7" t="inlineStr">
        <is>
          <t>Số kỳ pb</t>
        </is>
      </c>
      <c r="G4" s="7" t="inlineStr">
        <is>
          <t>SL cuối kỳ</t>
        </is>
      </c>
      <c r="H4" s="7" t="inlineStr">
        <is>
          <t>Nguyên giá</t>
        </is>
      </c>
      <c r="I4" s="7" t="inlineStr">
        <is>
          <t>Gt đã phân bổ</t>
        </is>
      </c>
      <c r="J4" s="7" t="inlineStr">
        <is>
          <t>Gt còn lại</t>
        </is>
      </c>
      <c r="K4" s="7" t="inlineStr">
        <is>
          <t>Gt p.bổ trong kỳ</t>
        </is>
      </c>
      <c r="L4" s="7" t="inlineStr">
        <is>
          <t>TK PB</t>
        </is>
      </c>
      <c r="M4" s="7" t="inlineStr">
        <is>
          <t>TK CP</t>
        </is>
      </c>
      <c r="N4" s="7" t="inlineStr">
        <is>
          <t>Mã vụ việc</t>
        </is>
      </c>
      <c r="O4" s="7" t="inlineStr">
        <is>
          <t>Mã bộ phận</t>
        </is>
      </c>
      <c r="P4" s="7" t="inlineStr">
        <is>
          <t>Số đã dự phòng giảm giá do không còn hoạt động TH trả tiền</t>
        </is>
      </c>
      <c r="Q4" s="7" t="inlineStr">
        <is>
          <t>Số lượng (phim)</t>
        </is>
      </c>
      <c r="R4" s="7" t="inlineStr">
        <is>
          <t>Ref Annex</t>
        </is>
      </c>
      <c r="S4" s="127" t="inlineStr">
        <is>
          <t>Check</t>
        </is>
      </c>
    </row>
    <row r="5" ht="28.8" customHeight="1" s="578">
      <c r="A5" s="519" t="n">
        <v>2044</v>
      </c>
      <c r="B5" s="6" t="inlineStr">
        <is>
          <t>Y0675</t>
        </is>
      </c>
      <c r="C5" s="6" t="inlineStr">
        <is>
          <t>Bản quyền phim “Meet yourself” - VOD (01/08/2024 -&gt; 31/07/2028)</t>
        </is>
      </c>
      <c r="D5" s="520" t="n">
        <v>45526</v>
      </c>
      <c r="E5" s="520" t="n">
        <v>45505</v>
      </c>
      <c r="F5" s="519" t="n">
        <v>48</v>
      </c>
      <c r="G5" s="519" t="n">
        <v>1</v>
      </c>
      <c r="H5" s="519" t="n">
        <v>392544557</v>
      </c>
      <c r="I5" s="519" t="n">
        <v>139026204</v>
      </c>
      <c r="J5" s="519" t="n">
        <v>253518353</v>
      </c>
      <c r="K5" s="519" t="n">
        <v>98136144</v>
      </c>
      <c r="L5" s="6" t="inlineStr">
        <is>
          <t>2426</t>
        </is>
      </c>
      <c r="M5" s="6" t="inlineStr">
        <is>
          <t>6277651</t>
        </is>
      </c>
      <c r="N5" s="6" t="inlineStr">
        <is>
          <t>P221OZACVO</t>
        </is>
      </c>
      <c r="O5" s="6" t="inlineStr">
        <is>
          <t>CT</t>
        </is>
      </c>
      <c r="P5" s="521">
        <f>+J5</f>
        <v/>
      </c>
      <c r="Q5" s="23" t="n">
        <v>1</v>
      </c>
      <c r="R5" s="23" t="inlineStr">
        <is>
          <t>Series</t>
        </is>
      </c>
      <c r="S5" s="23" t="inlineStr">
        <is>
          <t>Ok</t>
        </is>
      </c>
    </row>
    <row r="6">
      <c r="A6" s="519" t="n">
        <v>2118</v>
      </c>
      <c r="B6" s="6" t="inlineStr">
        <is>
          <t>Y0752</t>
        </is>
      </c>
      <c r="C6" s="6" t="inlineStr">
        <is>
          <t>Tồn kho bản quyền: Gói series VOD từ PCCW (Viu)</t>
        </is>
      </c>
      <c r="D6" s="520" t="n">
        <v>45713</v>
      </c>
      <c r="E6" s="520" t="n">
        <v>45689</v>
      </c>
      <c r="F6" s="519" t="n">
        <v>41</v>
      </c>
      <c r="G6" s="519" t="n">
        <v>41</v>
      </c>
      <c r="H6" s="519" t="n">
        <v>1399721284</v>
      </c>
      <c r="I6" s="522" t="n">
        <v>375534981.8</v>
      </c>
      <c r="J6" s="522" t="n">
        <v>1024186302.2</v>
      </c>
      <c r="K6" s="522" t="n">
        <v>375534981.8</v>
      </c>
      <c r="L6" s="6" t="inlineStr">
        <is>
          <t>2426</t>
        </is>
      </c>
      <c r="M6" s="6" t="inlineStr">
        <is>
          <t>6277651</t>
        </is>
      </c>
      <c r="N6" s="6" t="inlineStr">
        <is>
          <t>P221OZACVO</t>
        </is>
      </c>
      <c r="O6" s="6" t="inlineStr">
        <is>
          <t>CT</t>
        </is>
      </c>
      <c r="P6" s="521">
        <f>+J6</f>
        <v/>
      </c>
      <c r="Q6" s="23" t="n">
        <v>33</v>
      </c>
      <c r="R6" s="23" t="inlineStr">
        <is>
          <t>Series</t>
        </is>
      </c>
      <c r="S6" s="23" t="inlineStr">
        <is>
          <t>Ok</t>
        </is>
      </c>
    </row>
    <row r="7" ht="28.8" customHeight="1" s="578">
      <c r="A7" s="519" t="n">
        <v>2131</v>
      </c>
      <c r="B7" s="6" t="inlineStr">
        <is>
          <t>Y0765</t>
        </is>
      </c>
      <c r="C7" s="6" t="inlineStr">
        <is>
          <t>Tồn kho bản quyền: Mộng Hoa Lục (A Dream of Splendor)  (VOD) - Phân bổ từ 15/03/2025 -&gt; 16/06/2027</t>
        </is>
      </c>
      <c r="D7" s="520" t="n">
        <v>45742</v>
      </c>
      <c r="E7" s="520" t="n">
        <v>45731</v>
      </c>
      <c r="F7" s="519" t="n">
        <v>27</v>
      </c>
      <c r="G7" s="519" t="n">
        <v>27</v>
      </c>
      <c r="H7" s="519" t="n">
        <v>274285715</v>
      </c>
      <c r="I7" s="522" t="n">
        <v>101587300.2</v>
      </c>
      <c r="J7" s="522" t="n">
        <v>172698414.8</v>
      </c>
      <c r="K7" s="522" t="n">
        <v>101587300.2</v>
      </c>
      <c r="L7" s="6" t="inlineStr">
        <is>
          <t>2426</t>
        </is>
      </c>
      <c r="M7" s="6" t="inlineStr">
        <is>
          <t>6277651</t>
        </is>
      </c>
      <c r="N7" s="6" t="inlineStr">
        <is>
          <t>P221OZACVO</t>
        </is>
      </c>
      <c r="O7" s="6" t="inlineStr">
        <is>
          <t>PCT</t>
        </is>
      </c>
      <c r="P7" s="521">
        <f>+J7</f>
        <v/>
      </c>
      <c r="Q7" s="23" t="n">
        <v>1</v>
      </c>
      <c r="R7" s="23" t="inlineStr">
        <is>
          <t>Series</t>
        </is>
      </c>
      <c r="S7" s="23" t="inlineStr">
        <is>
          <t>Ok</t>
        </is>
      </c>
    </row>
    <row r="8" ht="28.8" customHeight="1" s="578">
      <c r="A8" s="519" t="n">
        <v>2208</v>
      </c>
      <c r="B8" s="6" t="inlineStr">
        <is>
          <t>ZP0003</t>
        </is>
      </c>
      <c r="C8" s="6" t="inlineStr">
        <is>
          <t>Bản quyền VOD 36 tháng phim "Love me, love my voice" theo HĐ số 160A/2023/HDBQ/VSTV-TKL</t>
        </is>
      </c>
      <c r="D8" s="520" t="n">
        <v>45316</v>
      </c>
      <c r="E8" s="520" t="n">
        <v>45261</v>
      </c>
      <c r="F8" s="519" t="n">
        <v>36</v>
      </c>
      <c r="G8" s="519" t="n">
        <v>1</v>
      </c>
      <c r="H8" s="519" t="n">
        <v>528000000</v>
      </c>
      <c r="I8" s="519" t="n">
        <v>366666675</v>
      </c>
      <c r="J8" s="519" t="n">
        <v>161333325</v>
      </c>
      <c r="K8" s="519" t="n">
        <v>176000004</v>
      </c>
      <c r="L8" s="6" t="inlineStr">
        <is>
          <t>2426</t>
        </is>
      </c>
      <c r="M8" s="6" t="inlineStr">
        <is>
          <t>6277651</t>
        </is>
      </c>
      <c r="N8" s="6" t="inlineStr">
        <is>
          <t>P221ZZSR01</t>
        </is>
      </c>
      <c r="O8" s="6" t="inlineStr">
        <is>
          <t>PCT</t>
        </is>
      </c>
      <c r="P8" s="521">
        <f>+J8</f>
        <v/>
      </c>
      <c r="Q8" s="23" t="n">
        <v>1</v>
      </c>
      <c r="R8" s="23" t="inlineStr">
        <is>
          <t>Series</t>
        </is>
      </c>
      <c r="S8" s="23" t="inlineStr">
        <is>
          <t>Ok</t>
        </is>
      </c>
    </row>
    <row r="9" ht="15" customFormat="1" customHeight="1" s="2" thickBot="1">
      <c r="A9" s="59" t="n"/>
      <c r="B9" s="59" t="n"/>
      <c r="C9" s="60" t="inlineStr">
        <is>
          <t>Tổng cộng</t>
        </is>
      </c>
      <c r="D9" s="59" t="n"/>
      <c r="E9" s="59" t="n"/>
      <c r="F9" s="59" t="n"/>
      <c r="G9" s="59" t="n"/>
      <c r="H9" s="523">
        <f>+SUM(H1:H8)</f>
        <v/>
      </c>
      <c r="I9" s="523">
        <f>+SUM(I1:I8)</f>
        <v/>
      </c>
      <c r="J9" s="524">
        <f>+SUM(J1:J8)</f>
        <v/>
      </c>
      <c r="K9" s="59" t="n"/>
      <c r="L9" s="59" t="n"/>
      <c r="M9" s="59" t="n"/>
      <c r="N9" s="59" t="n"/>
      <c r="O9" s="59" t="n"/>
      <c r="P9" s="523">
        <f>+SUM(P1:P8)</f>
        <v/>
      </c>
      <c r="Q9" s="59" t="n"/>
    </row>
  </sheetData>
  <autoFilter ref="A4:P8"/>
  <mergeCells count="1">
    <mergeCell ref="A2:O2"/>
  </mergeCells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Sheet8">
    <tabColor theme="5" tint="-0.249977111117893"/>
    <outlinePr summaryBelow="1" summaryRight="1"/>
    <pageSetUpPr/>
  </sheetPr>
  <dimension ref="A2:T13"/>
  <sheetViews>
    <sheetView zoomScale="70" zoomScaleNormal="7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J20" sqref="J20"/>
    </sheetView>
  </sheetViews>
  <sheetFormatPr baseColWidth="8" defaultRowHeight="14.4"/>
  <cols>
    <col width="5.5546875" bestFit="1" customWidth="1" style="578" min="1" max="1"/>
    <col width="9.77734375" bestFit="1" customWidth="1" style="578" min="2" max="2"/>
    <col width="52.44140625" bestFit="1" customWidth="1" style="578" min="3" max="3"/>
    <col width="10.44140625" bestFit="1" customWidth="1" style="578" min="4" max="4"/>
    <col width="12" bestFit="1" customWidth="1" style="578" min="5" max="5"/>
    <col width="7.5546875" bestFit="1" customWidth="1" style="578" min="6" max="6"/>
    <col width="9.44140625" bestFit="1" customWidth="1" style="578" min="7" max="7"/>
    <col width="13.77734375" bestFit="1" customWidth="1" style="578" min="8" max="10"/>
    <col width="13.5546875" bestFit="1" customWidth="1" style="578" min="11" max="11"/>
    <col width="6.21875" bestFit="1" customWidth="1" style="578" min="12" max="12"/>
    <col width="8" bestFit="1" customWidth="1" style="578" min="13" max="13"/>
    <col width="11.5546875" bestFit="1" customWidth="1" style="578" min="14" max="14"/>
    <col width="9.77734375" bestFit="1" customWidth="1" style="578" min="15" max="15"/>
    <col width="17.77734375" bestFit="1" customWidth="1" style="578" min="16" max="16"/>
    <col width="16.5546875" customWidth="1" style="578" min="17" max="17"/>
    <col width="18.21875" customWidth="1" style="578" min="18" max="18"/>
    <col hidden="1" style="578" min="19" max="19"/>
    <col width="14.5546875" customWidth="1" style="578" min="20" max="20"/>
  </cols>
  <sheetData>
    <row r="2">
      <c r="A2" s="577" t="inlineStr">
        <is>
          <t>BẢNG TÍNH CHI PHÍ CCDC - Chi phí trả trước, không bao gồm công cụ dụng cụ, còn thời hạn đến 31/12/2025</t>
        </is>
      </c>
    </row>
    <row r="3">
      <c r="A3" s="26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Q3" s="2" t="n"/>
      <c r="R3" s="2" t="n"/>
      <c r="S3" s="2" t="n"/>
    </row>
    <row r="4" ht="52.8" customHeight="1" s="578">
      <c r="A4" s="7" t="inlineStr">
        <is>
          <t>Stt</t>
        </is>
      </c>
      <c r="B4" s="7" t="inlineStr">
        <is>
          <t>Mã công cụ</t>
        </is>
      </c>
      <c r="C4" s="7" t="inlineStr">
        <is>
          <t>Tên CCDC</t>
        </is>
      </c>
      <c r="D4" s="7" t="inlineStr">
        <is>
          <t>Ngày c.từ</t>
        </is>
      </c>
      <c r="E4" s="7" t="inlineStr">
        <is>
          <t>Ngày tính p.bổ</t>
        </is>
      </c>
      <c r="F4" s="7" t="inlineStr">
        <is>
          <t>Số kỳ pb</t>
        </is>
      </c>
      <c r="G4" s="7" t="inlineStr">
        <is>
          <t>SL cuối kỳ</t>
        </is>
      </c>
      <c r="H4" s="7" t="inlineStr">
        <is>
          <t>Nguyên giá</t>
        </is>
      </c>
      <c r="I4" s="7" t="inlineStr">
        <is>
          <t>Gt đã phân bổ</t>
        </is>
      </c>
      <c r="J4" s="7" t="inlineStr">
        <is>
          <t>Gt còn lại</t>
        </is>
      </c>
      <c r="K4" s="7" t="inlineStr">
        <is>
          <t>Gt p.bổ trong kỳ</t>
        </is>
      </c>
      <c r="L4" s="7" t="inlineStr">
        <is>
          <t>TK PB</t>
        </is>
      </c>
      <c r="M4" s="7" t="inlineStr">
        <is>
          <t>TK CP</t>
        </is>
      </c>
      <c r="N4" s="7" t="inlineStr">
        <is>
          <t>Mã vụ việc</t>
        </is>
      </c>
      <c r="O4" s="7" t="inlineStr">
        <is>
          <t>Mã bộ phận</t>
        </is>
      </c>
      <c r="P4" s="7" t="inlineStr">
        <is>
          <t>Số đã dự phòng giảm giá do không còn hoạt động TH trả tiền</t>
        </is>
      </c>
      <c r="Q4" s="127" t="inlineStr">
        <is>
          <t>Sheet Series</t>
        </is>
      </c>
      <c r="R4" s="127" t="inlineStr">
        <is>
          <t>Sheet Doc</t>
        </is>
      </c>
      <c r="S4" s="136" t="inlineStr">
        <is>
          <t>Ref File KK</t>
        </is>
      </c>
      <c r="T4" s="127" t="inlineStr">
        <is>
          <t>Check</t>
        </is>
      </c>
    </row>
    <row r="5" customFormat="1" s="2">
      <c r="A5" s="3" t="n"/>
      <c r="B5" s="3" t="n"/>
      <c r="C5" s="25" t="inlineStr">
        <is>
          <t>Tổng cộng</t>
        </is>
      </c>
      <c r="D5" s="3" t="n"/>
      <c r="E5" s="3" t="n"/>
      <c r="F5" s="3" t="n"/>
      <c r="G5" s="3" t="n"/>
      <c r="H5" s="525">
        <f>SUM(H6:H13)</f>
        <v/>
      </c>
      <c r="I5" s="525">
        <f>SUM(I6:I13)</f>
        <v/>
      </c>
      <c r="J5" s="525">
        <f>SUM(J6:J13)</f>
        <v/>
      </c>
      <c r="K5" s="3" t="n"/>
      <c r="L5" s="3" t="n"/>
      <c r="M5" s="3" t="n"/>
      <c r="N5" s="3" t="n"/>
      <c r="O5" s="3" t="n"/>
      <c r="P5" s="525">
        <f>+SUM(P6:P13)</f>
        <v/>
      </c>
      <c r="Q5" s="3" t="n"/>
      <c r="R5" s="3" t="n"/>
    </row>
    <row r="6" ht="28.8" customHeight="1" s="578">
      <c r="A6" s="519" t="n">
        <v>1308</v>
      </c>
      <c r="B6" s="6" t="inlineStr">
        <is>
          <t>WP001</t>
        </is>
      </c>
      <c r="C6" s="24" t="inlineStr">
        <is>
          <t>Phim SX - Mẹ ác ma, cha thiên sứ (Tiger Mom), khởi chiếu 12.2021 (Supplier Đỗ Gia)</t>
        </is>
      </c>
      <c r="D6" s="520" t="n">
        <v>44587</v>
      </c>
      <c r="E6" s="520" t="n">
        <v>44562</v>
      </c>
      <c r="F6" s="519" t="n">
        <v>60</v>
      </c>
      <c r="G6" s="519" t="n">
        <v>1</v>
      </c>
      <c r="H6" s="519" t="n">
        <v>15378000000</v>
      </c>
      <c r="I6" s="519" t="n">
        <v>12558700000</v>
      </c>
      <c r="J6" s="519" t="n">
        <v>2819300000</v>
      </c>
      <c r="K6" s="519" t="n">
        <v>3075600000</v>
      </c>
      <c r="L6" s="6" t="inlineStr">
        <is>
          <t>15666</t>
        </is>
      </c>
      <c r="M6" s="6" t="inlineStr">
        <is>
          <t>6277651</t>
        </is>
      </c>
      <c r="N6" s="6" t="inlineStr">
        <is>
          <t>P621ZZOT06</t>
        </is>
      </c>
      <c r="O6" s="6" t="inlineStr">
        <is>
          <t>PCT</t>
        </is>
      </c>
      <c r="P6" s="521">
        <f>+J6</f>
        <v/>
      </c>
      <c r="Q6" s="23">
        <f>COUNTIF('KK2. Series'!$AM$5:$AM$1048576,'TK 15666. Phim SX'!C6)</f>
        <v/>
      </c>
      <c r="R6" s="23" t="n"/>
      <c r="T6">
        <f>IF(SUM(Q6:R6)=1,"OK",0)</f>
        <v/>
      </c>
    </row>
    <row r="7" ht="28.8" customHeight="1" s="578">
      <c r="A7" s="519" t="n">
        <v>1309</v>
      </c>
      <c r="B7" s="6" t="inlineStr">
        <is>
          <t>WP002</t>
        </is>
      </c>
      <c r="C7" s="24" t="inlineStr">
        <is>
          <t>Phim SX - Trại hoa đỏ (Red flower farm), khởi chiếu 07.2022 (Supplier Hoan Khuê)</t>
        </is>
      </c>
      <c r="D7" s="520" t="n">
        <v>44774</v>
      </c>
      <c r="E7" s="520" t="n">
        <v>44774</v>
      </c>
      <c r="F7" s="519" t="n">
        <v>60</v>
      </c>
      <c r="G7" s="519" t="n">
        <v>1</v>
      </c>
      <c r="H7" s="519" t="n">
        <v>22843475325</v>
      </c>
      <c r="I7" s="519" t="n">
        <v>15990432738</v>
      </c>
      <c r="J7" s="519" t="n">
        <v>6853042587</v>
      </c>
      <c r="K7" s="519" t="n">
        <v>4568695068</v>
      </c>
      <c r="L7" s="6" t="inlineStr">
        <is>
          <t>15666</t>
        </is>
      </c>
      <c r="M7" s="6" t="inlineStr">
        <is>
          <t>6277651</t>
        </is>
      </c>
      <c r="N7" s="6" t="inlineStr">
        <is>
          <t>P621ZZOT06</t>
        </is>
      </c>
      <c r="O7" s="6" t="inlineStr">
        <is>
          <t>PCT</t>
        </is>
      </c>
      <c r="P7" s="521">
        <f>+J7</f>
        <v/>
      </c>
      <c r="Q7" s="23">
        <f>COUNTIF('KK2. Series'!$AM$5:$AM$1048576,'TK 15666. Phim SX'!C7)</f>
        <v/>
      </c>
      <c r="R7" s="23" t="n"/>
      <c r="T7">
        <f>IF(SUM(Q7:R7)=1,"OK",0)</f>
        <v/>
      </c>
    </row>
    <row r="8" ht="28.8" customHeight="1" s="578">
      <c r="A8" s="519" t="n">
        <v>1310</v>
      </c>
      <c r="B8" s="6" t="inlineStr">
        <is>
          <t>WP003</t>
        </is>
      </c>
      <c r="C8" s="24" t="inlineStr">
        <is>
          <t>Phim SX - Xin chào Bếp trưởng (Yes, Chef), khởi chiếu 10.2022 (Supplier Ý Anh)</t>
        </is>
      </c>
      <c r="D8" s="520" t="n">
        <v>44890</v>
      </c>
      <c r="E8" s="520" t="n">
        <v>44835</v>
      </c>
      <c r="F8" s="519" t="n">
        <v>60</v>
      </c>
      <c r="G8" s="519" t="n">
        <v>1</v>
      </c>
      <c r="H8" s="519" t="n">
        <v>6000000000</v>
      </c>
      <c r="I8" s="519" t="n">
        <v>3900000000</v>
      </c>
      <c r="J8" s="519" t="n">
        <v>2100000000</v>
      </c>
      <c r="K8" s="519" t="n">
        <v>1200000000</v>
      </c>
      <c r="L8" s="6" t="inlineStr">
        <is>
          <t>15666</t>
        </is>
      </c>
      <c r="M8" s="6" t="inlineStr">
        <is>
          <t>6277651</t>
        </is>
      </c>
      <c r="N8" s="6" t="inlineStr">
        <is>
          <t>P621ZZOT06</t>
        </is>
      </c>
      <c r="O8" s="6" t="inlineStr">
        <is>
          <t>PCT</t>
        </is>
      </c>
      <c r="P8" s="521">
        <f>+J8</f>
        <v/>
      </c>
      <c r="Q8" s="23">
        <f>COUNTIF('KK2. Series'!$AM$5:$AM$1048576,'TK 15666. Phim SX'!C8)</f>
        <v/>
      </c>
      <c r="R8" s="23" t="n"/>
      <c r="T8">
        <f>IF(SUM(Q8:R8)=1,"OK",0)</f>
        <v/>
      </c>
    </row>
    <row r="9">
      <c r="A9" s="519" t="n">
        <v>1311</v>
      </c>
      <c r="B9" s="6" t="inlineStr">
        <is>
          <t>WP004</t>
        </is>
      </c>
      <c r="C9" s="24" t="inlineStr">
        <is>
          <t>Phim SX - Phim tài liệu Bức Tường, khởi chiếu 9.2022 (VSTV)</t>
        </is>
      </c>
      <c r="D9" s="520" t="n">
        <v>44915</v>
      </c>
      <c r="E9" s="520" t="n">
        <v>44805</v>
      </c>
      <c r="F9" s="519" t="n">
        <v>60</v>
      </c>
      <c r="G9" s="519" t="n">
        <v>1</v>
      </c>
      <c r="H9" s="519" t="n">
        <v>1763274978</v>
      </c>
      <c r="I9" s="519" t="n">
        <v>1175516640</v>
      </c>
      <c r="J9" s="519" t="n">
        <v>587758338</v>
      </c>
      <c r="K9" s="519" t="n">
        <v>352654992</v>
      </c>
      <c r="L9" s="6" t="inlineStr">
        <is>
          <t>15666</t>
        </is>
      </c>
      <c r="M9" s="6" t="inlineStr">
        <is>
          <t>6277651</t>
        </is>
      </c>
      <c r="N9" s="6" t="inlineStr">
        <is>
          <t>P621ZZOT06</t>
        </is>
      </c>
      <c r="O9" s="6" t="inlineStr">
        <is>
          <t>PCT</t>
        </is>
      </c>
      <c r="P9" s="521">
        <f>+J9</f>
        <v/>
      </c>
      <c r="Q9" s="23">
        <f>COUNTIF('KK2. Series'!$AM$5:$AM$1048576,'TK 15666. Phim SX'!C9)</f>
        <v/>
      </c>
      <c r="R9" s="23" t="n"/>
      <c r="T9">
        <f>IF(SUM(Q9:R9)=1,"OK",0)</f>
        <v/>
      </c>
    </row>
    <row r="10">
      <c r="A10" s="519" t="n">
        <v>1312</v>
      </c>
      <c r="B10" s="6" t="inlineStr">
        <is>
          <t>WP005</t>
        </is>
      </c>
      <c r="C10" s="24" t="inlineStr">
        <is>
          <t>Phim SX - Phim Nhà mình lạ lắm, khởi chiếu 7.2023 (CINEPOST)</t>
        </is>
      </c>
      <c r="D10" s="520" t="n">
        <v>45138</v>
      </c>
      <c r="E10" s="520" t="n">
        <v>45108</v>
      </c>
      <c r="F10" s="519" t="n">
        <v>60</v>
      </c>
      <c r="G10" s="519" t="n">
        <v>1</v>
      </c>
      <c r="H10" s="519" t="n">
        <v>10711606667</v>
      </c>
      <c r="I10" s="519" t="n">
        <v>5355803340</v>
      </c>
      <c r="J10" s="519" t="n">
        <v>5355803327</v>
      </c>
      <c r="K10" s="519" t="n">
        <v>2142321336</v>
      </c>
      <c r="L10" s="6" t="inlineStr">
        <is>
          <t>15666</t>
        </is>
      </c>
      <c r="M10" s="6" t="inlineStr">
        <is>
          <t>6277651</t>
        </is>
      </c>
      <c r="N10" s="6" t="inlineStr">
        <is>
          <t>P621ZZOT06</t>
        </is>
      </c>
      <c r="O10" s="6" t="inlineStr">
        <is>
          <t>PCT</t>
        </is>
      </c>
      <c r="P10" s="521">
        <f>+J10</f>
        <v/>
      </c>
      <c r="Q10" s="23">
        <f>COUNTIF('KK2. Series'!$AM$5:$AM$1048576,'TK 15666. Phim SX'!C10)</f>
        <v/>
      </c>
      <c r="R10" s="23" t="n"/>
      <c r="T10">
        <f>IF(SUM(Q10:R10)=1,"OK",0)</f>
        <v/>
      </c>
    </row>
    <row r="11" ht="28.8" customHeight="1" s="578">
      <c r="A11" s="519" t="n">
        <v>1313</v>
      </c>
      <c r="B11" s="6" t="inlineStr">
        <is>
          <t>WP006</t>
        </is>
      </c>
      <c r="C11" s="24" t="inlineStr">
        <is>
          <t>Phim SX - Phim Tết ở làng địa ngục, khởi chiếu 10.2023 (ProductionQ)</t>
        </is>
      </c>
      <c r="D11" s="520" t="n">
        <v>45224</v>
      </c>
      <c r="E11" s="520" t="n">
        <v>45200</v>
      </c>
      <c r="F11" s="519" t="n">
        <v>60</v>
      </c>
      <c r="G11" s="519" t="n">
        <v>1</v>
      </c>
      <c r="H11" s="519" t="n">
        <v>17023857829</v>
      </c>
      <c r="I11" s="519" t="n">
        <v>7660736028</v>
      </c>
      <c r="J11" s="519" t="n">
        <v>9363121801</v>
      </c>
      <c r="K11" s="519" t="n">
        <v>3404771568</v>
      </c>
      <c r="L11" s="6" t="inlineStr">
        <is>
          <t>15666</t>
        </is>
      </c>
      <c r="M11" s="6" t="inlineStr">
        <is>
          <t>6277651</t>
        </is>
      </c>
      <c r="N11" s="6" t="inlineStr">
        <is>
          <t>P621ZZOT06</t>
        </is>
      </c>
      <c r="O11" s="6" t="inlineStr">
        <is>
          <t>PCT</t>
        </is>
      </c>
      <c r="P11" s="521">
        <f>+J11</f>
        <v/>
      </c>
      <c r="Q11" s="23">
        <f>COUNTIF('KK2. Series'!$AM$5:$AM$1048576,'TK 15666. Phim SX'!C11)</f>
        <v/>
      </c>
      <c r="R11" s="23" t="n"/>
      <c r="T11">
        <f>IF(SUM(Q11:R11)=1,"OK",0)</f>
        <v/>
      </c>
    </row>
    <row r="12">
      <c r="A12" s="519" t="n">
        <v>1314</v>
      </c>
      <c r="B12" s="6" t="inlineStr">
        <is>
          <t>WP007</t>
        </is>
      </c>
      <c r="C12" s="24" t="inlineStr">
        <is>
          <t>Phim SX - Đi về phía lửa, khởi chiếu 02.2024 (Hoan Khuê)</t>
        </is>
      </c>
      <c r="D12" s="520" t="n">
        <v>45349</v>
      </c>
      <c r="E12" s="520" t="n">
        <v>45323</v>
      </c>
      <c r="F12" s="519" t="n">
        <v>60</v>
      </c>
      <c r="G12" s="519" t="n">
        <v>1</v>
      </c>
      <c r="H12" s="519" t="n">
        <v>15042690475</v>
      </c>
      <c r="I12" s="519" t="n">
        <v>5766364684</v>
      </c>
      <c r="J12" s="519" t="n">
        <v>9276325791</v>
      </c>
      <c r="K12" s="519" t="n">
        <v>3008538096</v>
      </c>
      <c r="L12" s="6" t="inlineStr">
        <is>
          <t>15666</t>
        </is>
      </c>
      <c r="M12" s="6" t="inlineStr">
        <is>
          <t>6277651</t>
        </is>
      </c>
      <c r="N12" s="6" t="inlineStr">
        <is>
          <t>P621ZZOT06</t>
        </is>
      </c>
      <c r="O12" s="6" t="inlineStr">
        <is>
          <t>PCT</t>
        </is>
      </c>
      <c r="P12" s="521">
        <f>+J12</f>
        <v/>
      </c>
      <c r="Q12" s="23">
        <f>COUNTIF('KK2. Series'!$AM$5:$AM$1048576,'TK 15666. Phim SX'!C12)</f>
        <v/>
      </c>
      <c r="R12" s="23" t="n"/>
      <c r="T12">
        <f>IF(SUM(Q12:R12)=1,"OK",0)</f>
        <v/>
      </c>
    </row>
    <row r="13" ht="15.6" customHeight="1" s="578">
      <c r="A13" s="519" t="n">
        <v>1315</v>
      </c>
      <c r="B13" s="6" t="inlineStr">
        <is>
          <t>WP008</t>
        </is>
      </c>
      <c r="C13" s="6" t="inlineStr">
        <is>
          <t>Phim SX hoàn thành, phát sóng - 8.2025 - Phim Bát Phố</t>
        </is>
      </c>
      <c r="D13" s="520" t="n">
        <v>45870</v>
      </c>
      <c r="E13" s="520" t="n">
        <v>45992</v>
      </c>
      <c r="F13" s="519" t="n">
        <v>60</v>
      </c>
      <c r="G13" s="519" t="n">
        <v>1</v>
      </c>
      <c r="H13" s="519" t="n">
        <v>678187641</v>
      </c>
      <c r="I13" s="519" t="n">
        <v>56515635</v>
      </c>
      <c r="J13" s="519" t="n">
        <v>621672006</v>
      </c>
      <c r="K13" s="519" t="n">
        <v>56515635</v>
      </c>
      <c r="L13" s="6" t="inlineStr">
        <is>
          <t>15666</t>
        </is>
      </c>
      <c r="M13" s="6" t="inlineStr">
        <is>
          <t>6277651</t>
        </is>
      </c>
      <c r="N13" s="6" t="inlineStr">
        <is>
          <t>P621ZZOT06</t>
        </is>
      </c>
      <c r="O13" s="6" t="inlineStr">
        <is>
          <t>PCT</t>
        </is>
      </c>
      <c r="P13" s="521">
        <f>+J13</f>
        <v/>
      </c>
      <c r="Q13" s="23" t="n"/>
      <c r="R13" s="4">
        <f>COUNTIF('KK5. Doc'!$X$16:$X$23,'TK 15666. Phim SX'!C13)</f>
        <v/>
      </c>
      <c r="T13">
        <f>IF(SUM(Q13:R13)=1,"OK",0)</f>
        <v/>
      </c>
    </row>
  </sheetData>
  <mergeCells count="1">
    <mergeCell ref="A2:O2"/>
  </mergeCells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Sheet11" filterMode="1">
    <tabColor theme="5" tint="-0.249977111117893"/>
    <outlinePr summaryBelow="1" summaryRight="1"/>
    <pageSetUpPr/>
  </sheetPr>
  <dimension ref="A1:T22"/>
  <sheetViews>
    <sheetView workbookViewId="0">
      <pane xSplit="3" ySplit="1" topLeftCell="N3" activePane="bottomRight" state="frozen"/>
      <selection pane="topRight" activeCell="D1" sqref="D1"/>
      <selection pane="bottomLeft" activeCell="A2" sqref="A2"/>
      <selection pane="bottomRight" activeCell="T11" sqref="T11"/>
    </sheetView>
  </sheetViews>
  <sheetFormatPr baseColWidth="8" defaultRowHeight="14.4"/>
  <cols>
    <col width="5.33203125" bestFit="1" customWidth="1" style="578" min="1" max="1"/>
    <col width="9.5546875" bestFit="1" customWidth="1" style="578" min="2" max="2"/>
    <col width="34.77734375" customWidth="1" style="578" min="3" max="3"/>
    <col width="12.77734375" bestFit="1" customWidth="1" style="578" min="4" max="4"/>
    <col width="11.88671875" bestFit="1" customWidth="1" style="578" min="5" max="5"/>
    <col width="7.33203125" bestFit="1" customWidth="1" style="578" min="6" max="6"/>
    <col width="10.44140625" bestFit="1" customWidth="1" style="578" min="7" max="7"/>
    <col width="9" bestFit="1" customWidth="1" style="578" min="8" max="8"/>
    <col width="13.77734375" customWidth="1" style="578" min="9" max="16"/>
    <col width="14" customWidth="1" style="578" min="18" max="18"/>
    <col width="17.88671875" customWidth="1" style="578" min="19" max="19"/>
  </cols>
  <sheetData>
    <row r="1" ht="26.4" customHeight="1" s="578">
      <c r="A1" s="46" t="inlineStr">
        <is>
          <t>Stt</t>
        </is>
      </c>
      <c r="B1" s="46" t="inlineStr">
        <is>
          <t>Mã công cụ</t>
        </is>
      </c>
      <c r="C1" s="46" t="inlineStr">
        <is>
          <t>Tên CCDC</t>
        </is>
      </c>
      <c r="D1" s="46" t="inlineStr">
        <is>
          <t>Ngày c.từ</t>
        </is>
      </c>
      <c r="E1" s="46" t="inlineStr">
        <is>
          <t>Ngày tính p.bổ</t>
        </is>
      </c>
      <c r="F1" s="46" t="inlineStr">
        <is>
          <t>Số kỳ pb</t>
        </is>
      </c>
      <c r="G1" s="46" t="n"/>
      <c r="H1" s="46" t="inlineStr">
        <is>
          <t>SL cuối kỳ</t>
        </is>
      </c>
      <c r="I1" s="46" t="inlineStr">
        <is>
          <t>Nguyên giá</t>
        </is>
      </c>
      <c r="J1" s="46" t="inlineStr">
        <is>
          <t>Gt đã phân bổ</t>
        </is>
      </c>
      <c r="K1" s="46" t="inlineStr">
        <is>
          <t>Gt còn lại</t>
        </is>
      </c>
      <c r="L1" s="46" t="inlineStr">
        <is>
          <t>Gt p.bổ trong kỳ</t>
        </is>
      </c>
      <c r="M1" s="46" t="inlineStr">
        <is>
          <t>TK PB</t>
        </is>
      </c>
      <c r="N1" s="46" t="inlineStr">
        <is>
          <t>TK CP</t>
        </is>
      </c>
      <c r="O1" s="46" t="inlineStr">
        <is>
          <t>Mã vụ việc</t>
        </is>
      </c>
      <c r="P1" s="46" t="inlineStr">
        <is>
          <t>Mã bộ phận</t>
        </is>
      </c>
      <c r="R1" s="90" t="inlineStr">
        <is>
          <t>Sheet Movies</t>
        </is>
      </c>
      <c r="S1" s="90" t="inlineStr">
        <is>
          <t>Chưa thống kê tại Annex A</t>
        </is>
      </c>
    </row>
    <row r="2" hidden="1" s="578">
      <c r="A2" s="526" t="n">
        <v>3683</v>
      </c>
      <c r="B2" s="44" t="inlineStr">
        <is>
          <t>ZM001</t>
        </is>
      </c>
      <c r="C2" s="61" t="inlineStr">
        <is>
          <t>Film hợp tác - Để mai tính 2</t>
        </is>
      </c>
      <c r="D2" s="527" t="n">
        <v>42155</v>
      </c>
      <c r="E2" s="527" t="n">
        <v>42125</v>
      </c>
      <c r="F2" s="526" t="n">
        <v>60</v>
      </c>
      <c r="G2" s="528">
        <f>E2+F2*30</f>
        <v/>
      </c>
      <c r="H2" s="526" t="n">
        <v>1</v>
      </c>
      <c r="I2" s="526" t="n">
        <v>3494400000</v>
      </c>
      <c r="J2" s="526" t="n">
        <v>3494400000</v>
      </c>
      <c r="K2" s="526" t="n">
        <v>0</v>
      </c>
      <c r="L2" s="526" t="n">
        <v>3494400000</v>
      </c>
      <c r="M2" s="44" t="inlineStr">
        <is>
          <t>2426</t>
        </is>
      </c>
      <c r="N2" s="44" t="inlineStr">
        <is>
          <t>6277652</t>
        </is>
      </c>
      <c r="O2" s="44" t="inlineStr">
        <is>
          <t>01FZAC00000</t>
        </is>
      </c>
      <c r="P2" s="44" t="inlineStr">
        <is>
          <t>PCT</t>
        </is>
      </c>
      <c r="S2" s="150" t="inlineStr">
        <is>
          <t>Movies</t>
        </is>
      </c>
    </row>
    <row r="3">
      <c r="A3" s="526" t="n">
        <v>3684</v>
      </c>
      <c r="B3" s="44" t="inlineStr">
        <is>
          <t>ZM002</t>
        </is>
      </c>
      <c r="C3" s="61" t="inlineStr">
        <is>
          <t>Film hợp tác - Ngày nảy ngày nay</t>
        </is>
      </c>
      <c r="D3" s="527" t="n">
        <v>42185</v>
      </c>
      <c r="E3" s="527" t="n">
        <v>42156</v>
      </c>
      <c r="F3" s="526" t="n">
        <v>60</v>
      </c>
      <c r="G3" s="528">
        <f>E3+F3*30</f>
        <v/>
      </c>
      <c r="H3" s="526" t="n">
        <v>1</v>
      </c>
      <c r="I3" s="526" t="n">
        <v>1777629204</v>
      </c>
      <c r="J3" s="526" t="n">
        <v>1777629204</v>
      </c>
      <c r="K3" s="526" t="n">
        <v>0</v>
      </c>
      <c r="L3" s="526" t="n">
        <v>1777629204</v>
      </c>
      <c r="M3" s="44" t="inlineStr">
        <is>
          <t>2426</t>
        </is>
      </c>
      <c r="N3" s="44" t="inlineStr">
        <is>
          <t>6277652</t>
        </is>
      </c>
      <c r="O3" s="44" t="inlineStr">
        <is>
          <t>01FZAC00000</t>
        </is>
      </c>
      <c r="P3" s="44" t="inlineStr">
        <is>
          <t>PCT</t>
        </is>
      </c>
      <c r="Q3" s="45" t="inlineStr">
        <is>
          <t>x</t>
        </is>
      </c>
      <c r="R3" s="45" t="inlineStr">
        <is>
          <t>1</t>
        </is>
      </c>
      <c r="S3" t="n"/>
      <c r="T3" s="179" t="inlineStr">
        <is>
          <t>Vĩnh viễn</t>
        </is>
      </c>
    </row>
    <row r="4" hidden="1" s="578">
      <c r="A4" s="526" t="n">
        <v>3685</v>
      </c>
      <c r="B4" s="44" t="inlineStr">
        <is>
          <t>ZM003</t>
        </is>
      </c>
      <c r="C4" s="61" t="inlineStr">
        <is>
          <t>Film hợp tác - Bộ ba rắc rối</t>
        </is>
      </c>
      <c r="D4" s="527" t="n">
        <v>42185</v>
      </c>
      <c r="E4" s="527" t="n">
        <v>42217</v>
      </c>
      <c r="F4" s="526" t="n">
        <v>60</v>
      </c>
      <c r="G4" s="528">
        <f>E4+F4*30</f>
        <v/>
      </c>
      <c r="H4" s="526" t="n">
        <v>1</v>
      </c>
      <c r="I4" s="526" t="n">
        <v>2620800000</v>
      </c>
      <c r="J4" s="526" t="n">
        <v>2620800000</v>
      </c>
      <c r="K4" s="526" t="n">
        <v>0</v>
      </c>
      <c r="L4" s="526" t="n">
        <v>2620800000</v>
      </c>
      <c r="M4" s="44" t="inlineStr">
        <is>
          <t>2426</t>
        </is>
      </c>
      <c r="N4" s="44" t="inlineStr">
        <is>
          <t>6277652</t>
        </is>
      </c>
      <c r="O4" s="44" t="inlineStr">
        <is>
          <t>01FZAC00000</t>
        </is>
      </c>
      <c r="P4" s="44" t="inlineStr">
        <is>
          <t>PCT</t>
        </is>
      </c>
      <c r="S4" s="150" t="inlineStr">
        <is>
          <t>Movies</t>
        </is>
      </c>
    </row>
    <row r="5">
      <c r="A5" s="526" t="n">
        <v>3686</v>
      </c>
      <c r="B5" s="44" t="inlineStr">
        <is>
          <t>ZM004</t>
        </is>
      </c>
      <c r="C5" s="61" t="inlineStr">
        <is>
          <t>Film hợp tác - Quyên</t>
        </is>
      </c>
      <c r="D5" s="527" t="n">
        <v>42186</v>
      </c>
      <c r="E5" s="527" t="n">
        <v>42309</v>
      </c>
      <c r="F5" s="526" t="n">
        <v>60</v>
      </c>
      <c r="G5" s="528">
        <f>E5+F5*30</f>
        <v/>
      </c>
      <c r="H5" s="526" t="n">
        <v>1</v>
      </c>
      <c r="I5" s="526" t="n">
        <v>2914285714</v>
      </c>
      <c r="J5" s="526" t="n">
        <v>2914285714</v>
      </c>
      <c r="K5" s="526" t="n">
        <v>0</v>
      </c>
      <c r="L5" s="526" t="n">
        <v>2914285714</v>
      </c>
      <c r="M5" s="44" t="inlineStr">
        <is>
          <t>2426</t>
        </is>
      </c>
      <c r="N5" s="44" t="inlineStr">
        <is>
          <t>6277652</t>
        </is>
      </c>
      <c r="O5" s="44" t="inlineStr">
        <is>
          <t>01FZAC00000</t>
        </is>
      </c>
      <c r="P5" s="44" t="inlineStr">
        <is>
          <t>PCT</t>
        </is>
      </c>
      <c r="Q5" s="45" t="inlineStr">
        <is>
          <t>x</t>
        </is>
      </c>
      <c r="R5" s="45" t="inlineStr">
        <is>
          <t>1</t>
        </is>
      </c>
    </row>
    <row r="6" hidden="1" ht="28.8" customHeight="1" s="578">
      <c r="A6" s="526" t="n">
        <v>3687</v>
      </c>
      <c r="B6" s="44" t="inlineStr">
        <is>
          <t>ZM005</t>
        </is>
      </c>
      <c r="C6" s="61" t="inlineStr">
        <is>
          <t>Film hợp tác - Tôi thấy hoa vàng trên cỏ xanh</t>
        </is>
      </c>
      <c r="D6" s="527" t="n">
        <v>42369</v>
      </c>
      <c r="E6" s="527" t="n">
        <v>42339</v>
      </c>
      <c r="F6" s="526" t="n">
        <v>60</v>
      </c>
      <c r="G6" s="528">
        <f>E6+F6*30</f>
        <v/>
      </c>
      <c r="H6" s="529" t="n">
        <v>0</v>
      </c>
      <c r="I6" s="526" t="n">
        <v>1808000000</v>
      </c>
      <c r="J6" s="526" t="n">
        <v>1808000000</v>
      </c>
      <c r="K6" s="530" t="n">
        <v>0</v>
      </c>
      <c r="L6" s="526" t="n">
        <v>1351733329</v>
      </c>
      <c r="M6" s="44" t="inlineStr">
        <is>
          <t>2426</t>
        </is>
      </c>
      <c r="N6" s="44" t="inlineStr">
        <is>
          <t>6277652</t>
        </is>
      </c>
      <c r="O6" s="44" t="inlineStr">
        <is>
          <t>01FZAC00000</t>
        </is>
      </c>
      <c r="P6" s="44" t="inlineStr">
        <is>
          <t>PCT</t>
        </is>
      </c>
      <c r="S6" s="150" t="inlineStr">
        <is>
          <t>Movies</t>
        </is>
      </c>
    </row>
    <row r="7" hidden="1" ht="28.8" customHeight="1" s="578">
      <c r="A7" s="526" t="n">
        <v>3688</v>
      </c>
      <c r="B7" s="44" t="inlineStr">
        <is>
          <t>ZM006</t>
        </is>
      </c>
      <c r="C7" s="61" t="inlineStr">
        <is>
          <t>Film hợp tác - Em là bà nội của anh/ Sweet 20</t>
        </is>
      </c>
      <c r="D7" s="527" t="n">
        <v>42460</v>
      </c>
      <c r="E7" s="527" t="n">
        <v>42430</v>
      </c>
      <c r="F7" s="526" t="n">
        <v>60</v>
      </c>
      <c r="G7" s="528">
        <f>E7+F7*30</f>
        <v/>
      </c>
      <c r="H7" s="526" t="n">
        <v>1</v>
      </c>
      <c r="I7" s="526" t="n">
        <v>2679000000</v>
      </c>
      <c r="J7" s="526" t="n">
        <v>2679000000</v>
      </c>
      <c r="K7" s="526" t="n">
        <v>0</v>
      </c>
      <c r="L7" s="526" t="n">
        <v>2679000000</v>
      </c>
      <c r="M7" s="44" t="inlineStr">
        <is>
          <t>2426</t>
        </is>
      </c>
      <c r="N7" s="44" t="inlineStr">
        <is>
          <t>6277652</t>
        </is>
      </c>
      <c r="O7" s="44" t="inlineStr">
        <is>
          <t>01FZAC00000</t>
        </is>
      </c>
      <c r="P7" s="44" t="inlineStr">
        <is>
          <t>PCT</t>
        </is>
      </c>
      <c r="S7" s="150" t="inlineStr">
        <is>
          <t>Movies</t>
        </is>
      </c>
    </row>
    <row r="8">
      <c r="A8" s="526" t="n">
        <v>3689</v>
      </c>
      <c r="B8" s="44" t="inlineStr">
        <is>
          <t>ZM007</t>
        </is>
      </c>
      <c r="C8" s="61" t="inlineStr">
        <is>
          <t>Film hợp tác - Siêu trộm/ Bitcoin Heist</t>
        </is>
      </c>
      <c r="D8" s="527" t="n">
        <v>42521</v>
      </c>
      <c r="E8" s="527" t="n">
        <v>42491</v>
      </c>
      <c r="F8" s="526" t="n">
        <v>60</v>
      </c>
      <c r="G8" s="528">
        <f>E8+F8*30</f>
        <v/>
      </c>
      <c r="H8" s="529" t="n">
        <v>0</v>
      </c>
      <c r="I8" s="526" t="n">
        <v>2178979420</v>
      </c>
      <c r="J8" s="526" t="n">
        <v>2178979420</v>
      </c>
      <c r="K8" s="530" t="n">
        <v>0</v>
      </c>
      <c r="L8" s="526" t="n">
        <v>1423803534</v>
      </c>
      <c r="M8" s="44" t="inlineStr">
        <is>
          <t>2426</t>
        </is>
      </c>
      <c r="N8" s="44" t="inlineStr">
        <is>
          <t>6277652</t>
        </is>
      </c>
      <c r="O8" s="44" t="inlineStr">
        <is>
          <t>01FZAC00000</t>
        </is>
      </c>
      <c r="P8" s="44" t="inlineStr">
        <is>
          <t>PCT</t>
        </is>
      </c>
      <c r="Q8" s="45" t="inlineStr">
        <is>
          <t>x</t>
        </is>
      </c>
      <c r="R8" s="45" t="inlineStr">
        <is>
          <t>1</t>
        </is>
      </c>
    </row>
    <row r="9" hidden="1" s="578">
      <c r="A9" s="526" t="n">
        <v>3690</v>
      </c>
      <c r="B9" s="44" t="inlineStr">
        <is>
          <t>ZM008</t>
        </is>
      </c>
      <c r="C9" s="61" t="inlineStr">
        <is>
          <t>Film hợp tác- The Housemaid (2016)</t>
        </is>
      </c>
      <c r="D9" s="527" t="n">
        <v>42643</v>
      </c>
      <c r="E9" s="527" t="n">
        <v>42736</v>
      </c>
      <c r="F9" s="526" t="n">
        <v>60</v>
      </c>
      <c r="G9" s="528">
        <f>E9+F9*30</f>
        <v/>
      </c>
      <c r="H9" s="526" t="n">
        <v>1</v>
      </c>
      <c r="I9" s="526" t="n">
        <v>1451775000</v>
      </c>
      <c r="J9" s="526" t="n">
        <v>1451775000</v>
      </c>
      <c r="K9" s="526" t="n">
        <v>0</v>
      </c>
      <c r="L9" s="526" t="n">
        <v>1451775000</v>
      </c>
      <c r="M9" s="44" t="inlineStr">
        <is>
          <t>2426</t>
        </is>
      </c>
      <c r="N9" s="44" t="inlineStr">
        <is>
          <t>6277652</t>
        </is>
      </c>
      <c r="O9" s="44" t="inlineStr">
        <is>
          <t>01FZAC00000</t>
        </is>
      </c>
      <c r="P9" s="44" t="inlineStr">
        <is>
          <t>PCT</t>
        </is>
      </c>
      <c r="S9" s="150" t="inlineStr">
        <is>
          <t>Movies</t>
        </is>
      </c>
    </row>
    <row r="10" hidden="1" s="578">
      <c r="A10" s="526" t="n">
        <v>3691</v>
      </c>
      <c r="B10" s="44" t="inlineStr">
        <is>
          <t>ZM009</t>
        </is>
      </c>
      <c r="C10" s="61" t="inlineStr">
        <is>
          <t>Film hợp tác- Saigon Bodyguards (2016)</t>
        </is>
      </c>
      <c r="D10" s="527" t="n">
        <v>42643</v>
      </c>
      <c r="E10" s="527" t="n">
        <v>42795</v>
      </c>
      <c r="F10" s="526" t="n">
        <v>60</v>
      </c>
      <c r="G10" s="528">
        <f>E10+F10*30</f>
        <v/>
      </c>
      <c r="H10" s="526" t="n">
        <v>1</v>
      </c>
      <c r="I10" s="526" t="n">
        <v>2680200000</v>
      </c>
      <c r="J10" s="526" t="n">
        <v>2680200000</v>
      </c>
      <c r="K10" s="526" t="n">
        <v>0</v>
      </c>
      <c r="L10" s="526" t="n">
        <v>2680200000</v>
      </c>
      <c r="M10" s="44" t="inlineStr">
        <is>
          <t>2426</t>
        </is>
      </c>
      <c r="N10" s="44" t="inlineStr">
        <is>
          <t>6277652</t>
        </is>
      </c>
      <c r="O10" s="44" t="inlineStr">
        <is>
          <t>01FZAC00000</t>
        </is>
      </c>
      <c r="P10" s="44" t="inlineStr">
        <is>
          <t>PCT</t>
        </is>
      </c>
      <c r="S10" s="150" t="inlineStr">
        <is>
          <t>Movies</t>
        </is>
      </c>
    </row>
    <row r="11">
      <c r="A11" s="526" t="n">
        <v>3692</v>
      </c>
      <c r="B11" s="44" t="inlineStr">
        <is>
          <t>ZM010</t>
        </is>
      </c>
      <c r="C11" s="61" t="inlineStr">
        <is>
          <t>Phim hợp tác Tấm Cám: Chuyện chưa kể</t>
        </is>
      </c>
      <c r="D11" s="527" t="n">
        <v>42727</v>
      </c>
      <c r="E11" s="527" t="n">
        <v>42705</v>
      </c>
      <c r="F11" s="526" t="n">
        <v>60</v>
      </c>
      <c r="G11" s="528">
        <f>E11+F11*30</f>
        <v/>
      </c>
      <c r="H11" s="526" t="n">
        <v>1</v>
      </c>
      <c r="I11" s="526" t="n">
        <v>2238978439</v>
      </c>
      <c r="J11" s="526" t="n">
        <v>2238978439</v>
      </c>
      <c r="K11" s="526" t="n">
        <v>0</v>
      </c>
      <c r="L11" s="526" t="n">
        <v>2238978439</v>
      </c>
      <c r="M11" s="44" t="inlineStr">
        <is>
          <t>2426</t>
        </is>
      </c>
      <c r="N11" s="44" t="inlineStr">
        <is>
          <t>6277652</t>
        </is>
      </c>
      <c r="O11" s="44" t="inlineStr">
        <is>
          <t>01FZAC00000</t>
        </is>
      </c>
      <c r="P11" s="44" t="inlineStr">
        <is>
          <t>PCT</t>
        </is>
      </c>
      <c r="Q11" s="45" t="inlineStr">
        <is>
          <t>x</t>
        </is>
      </c>
      <c r="R11" s="45" t="inlineStr">
        <is>
          <t>1</t>
        </is>
      </c>
    </row>
    <row r="12">
      <c r="A12" s="526" t="n">
        <v>3693</v>
      </c>
      <c r="B12" s="44" t="inlineStr">
        <is>
          <t>ZM011</t>
        </is>
      </c>
      <c r="C12" s="61" t="inlineStr">
        <is>
          <t>Phim hợp tác Victory -  SÚT</t>
        </is>
      </c>
      <c r="D12" s="527" t="n">
        <v>42822</v>
      </c>
      <c r="E12" s="527" t="n">
        <v>42795</v>
      </c>
      <c r="F12" s="526" t="n">
        <v>60</v>
      </c>
      <c r="G12" s="528">
        <f>E12+F12*30</f>
        <v/>
      </c>
      <c r="H12" s="526" t="n">
        <v>1</v>
      </c>
      <c r="I12" s="526" t="n">
        <v>2393627857</v>
      </c>
      <c r="J12" s="526" t="n">
        <v>2393627857</v>
      </c>
      <c r="K12" s="526" t="n">
        <v>0</v>
      </c>
      <c r="L12" s="526" t="n">
        <v>2393627857</v>
      </c>
      <c r="M12" s="44" t="inlineStr">
        <is>
          <t>2426</t>
        </is>
      </c>
      <c r="N12" s="44" t="inlineStr">
        <is>
          <t>6277652</t>
        </is>
      </c>
      <c r="O12" s="44" t="inlineStr">
        <is>
          <t>01FZAC00000</t>
        </is>
      </c>
      <c r="P12" s="44" t="inlineStr">
        <is>
          <t>PCT</t>
        </is>
      </c>
      <c r="Q12" s="45" t="inlineStr">
        <is>
          <t>x</t>
        </is>
      </c>
      <c r="R12" s="45" t="inlineStr">
        <is>
          <t>1</t>
        </is>
      </c>
      <c r="T12" s="179" t="inlineStr">
        <is>
          <t>Vĩnh viễn</t>
        </is>
      </c>
    </row>
    <row r="13" hidden="1" ht="28.8" customHeight="1" s="578">
      <c r="A13" s="526" t="n">
        <v>3694</v>
      </c>
      <c r="B13" s="44" t="inlineStr">
        <is>
          <t>ZM105</t>
        </is>
      </c>
      <c r="C13" s="44" t="inlineStr">
        <is>
          <t>Film hợp tác - Tôi thấy hoa vàng trên cỏ xanh (GTCL của bản quyền 2016)</t>
        </is>
      </c>
      <c r="D13" s="527" t="n">
        <v>42736</v>
      </c>
      <c r="E13" s="527" t="n">
        <v>42736</v>
      </c>
      <c r="F13" s="526" t="n">
        <v>47</v>
      </c>
      <c r="G13" s="528">
        <f>E13+F13*30</f>
        <v/>
      </c>
      <c r="H13" s="526" t="n">
        <v>1</v>
      </c>
      <c r="I13" s="526" t="n">
        <v>456266667</v>
      </c>
      <c r="J13" s="526" t="n">
        <v>456266667</v>
      </c>
      <c r="K13" s="526" t="n">
        <v>0</v>
      </c>
      <c r="L13" s="526" t="n">
        <v>456266667</v>
      </c>
      <c r="M13" s="44" t="inlineStr">
        <is>
          <t>2426</t>
        </is>
      </c>
      <c r="N13" s="44" t="inlineStr">
        <is>
          <t>6277652</t>
        </is>
      </c>
      <c r="O13" s="44" t="inlineStr">
        <is>
          <t>01FZAC00000</t>
        </is>
      </c>
      <c r="P13" s="44" t="inlineStr">
        <is>
          <t>PCT</t>
        </is>
      </c>
      <c r="S13" s="150" t="inlineStr">
        <is>
          <t>Chưa có thống kê tại Annex</t>
        </is>
      </c>
    </row>
    <row r="14" hidden="1" ht="28.8" customHeight="1" s="578">
      <c r="A14" s="526" t="n">
        <v>3695</v>
      </c>
      <c r="B14" s="44" t="inlineStr">
        <is>
          <t>ZM107</t>
        </is>
      </c>
      <c r="C14" s="44" t="inlineStr">
        <is>
          <t>Film hợp tác - Siêu trộm/ Bitcoin Heist (GTCL của phí BQ 2016)</t>
        </is>
      </c>
      <c r="D14" s="527" t="n">
        <v>42736</v>
      </c>
      <c r="E14" s="527" t="n">
        <v>42736</v>
      </c>
      <c r="F14" s="526" t="n">
        <v>52</v>
      </c>
      <c r="G14" s="528">
        <f>E14+F14*30</f>
        <v/>
      </c>
      <c r="H14" s="526" t="n">
        <v>1</v>
      </c>
      <c r="I14" s="526" t="n">
        <v>755175886</v>
      </c>
      <c r="J14" s="526" t="n">
        <v>755175886</v>
      </c>
      <c r="K14" s="526" t="n">
        <v>0</v>
      </c>
      <c r="L14" s="526" t="n">
        <v>755175886</v>
      </c>
      <c r="M14" s="44" t="inlineStr">
        <is>
          <t>2426</t>
        </is>
      </c>
      <c r="N14" s="44" t="inlineStr">
        <is>
          <t>6277652</t>
        </is>
      </c>
      <c r="O14" s="44" t="inlineStr">
        <is>
          <t>01FZAC00000</t>
        </is>
      </c>
      <c r="P14" s="44" t="inlineStr">
        <is>
          <t>PCT</t>
        </is>
      </c>
      <c r="S14" s="150" t="inlineStr">
        <is>
          <t>Chưa có thống kê tại Annex</t>
        </is>
      </c>
    </row>
    <row r="15" hidden="1" ht="28.8" customHeight="1" s="578">
      <c r="A15" s="526" t="n">
        <v>3696</v>
      </c>
      <c r="B15" s="44" t="inlineStr">
        <is>
          <t>ZM108</t>
        </is>
      </c>
      <c r="C15" s="61" t="inlineStr">
        <is>
          <t>Film hợp tác Girl from yesterday</t>
        </is>
      </c>
      <c r="D15" s="527" t="n">
        <v>43066</v>
      </c>
      <c r="E15" s="527" t="n">
        <v>43040</v>
      </c>
      <c r="F15" s="526" t="n">
        <v>60</v>
      </c>
      <c r="G15" s="528">
        <f>E15+F15*30</f>
        <v/>
      </c>
      <c r="H15" s="526" t="n">
        <v>1</v>
      </c>
      <c r="I15" s="526" t="n">
        <v>1939700000</v>
      </c>
      <c r="J15" s="526" t="n">
        <v>1939700000</v>
      </c>
      <c r="K15" s="526" t="n">
        <v>0</v>
      </c>
      <c r="L15" s="526" t="n">
        <v>1939700000</v>
      </c>
      <c r="M15" s="44" t="inlineStr">
        <is>
          <t>2426</t>
        </is>
      </c>
      <c r="N15" s="44" t="inlineStr">
        <is>
          <t>6277652</t>
        </is>
      </c>
      <c r="O15" s="44" t="inlineStr">
        <is>
          <t>01FZAC00000</t>
        </is>
      </c>
      <c r="P15" s="44" t="inlineStr">
        <is>
          <t>PCT</t>
        </is>
      </c>
      <c r="S15" s="150" t="inlineStr">
        <is>
          <t>Chưa có thống kê tại Annex</t>
        </is>
      </c>
    </row>
    <row r="16" hidden="1" ht="28.8" customHeight="1" s="578">
      <c r="A16" s="526" t="n">
        <v>3697</v>
      </c>
      <c r="B16" s="44" t="inlineStr">
        <is>
          <t>ZM109</t>
        </is>
      </c>
      <c r="C16" s="61" t="inlineStr">
        <is>
          <t>Film hợp tác Kiss &amp; Spell : Yêu đi đừng sợ</t>
        </is>
      </c>
      <c r="D16" s="527" t="n">
        <v>43129</v>
      </c>
      <c r="E16" s="527" t="n">
        <v>43101</v>
      </c>
      <c r="F16" s="526" t="n">
        <v>60</v>
      </c>
      <c r="G16" s="528">
        <f>E16+F16*30</f>
        <v/>
      </c>
      <c r="H16" s="526" t="n">
        <v>1</v>
      </c>
      <c r="I16" s="526" t="n">
        <v>2390666667</v>
      </c>
      <c r="J16" s="526" t="n">
        <v>2390666667</v>
      </c>
      <c r="K16" s="526" t="n">
        <v>0</v>
      </c>
      <c r="L16" s="526" t="n">
        <v>2390666667</v>
      </c>
      <c r="M16" s="44" t="inlineStr">
        <is>
          <t>2426</t>
        </is>
      </c>
      <c r="N16" s="44" t="inlineStr">
        <is>
          <t>6277652</t>
        </is>
      </c>
      <c r="O16" s="44" t="inlineStr">
        <is>
          <t>P221ZZMO03</t>
        </is>
      </c>
      <c r="P16" s="44" t="inlineStr">
        <is>
          <t>PCT</t>
        </is>
      </c>
      <c r="S16" s="150" t="inlineStr">
        <is>
          <t>Chưa có thống kê tại Annex</t>
        </is>
      </c>
    </row>
    <row r="17">
      <c r="A17" s="526" t="n">
        <v>3698</v>
      </c>
      <c r="B17" s="44" t="inlineStr">
        <is>
          <t>ZM110</t>
        </is>
      </c>
      <c r="C17" s="61" t="inlineStr">
        <is>
          <t>Film hợp tác Cô Ba Sài Gòn</t>
        </is>
      </c>
      <c r="D17" s="527" t="n">
        <v>43185</v>
      </c>
      <c r="E17" s="527" t="n">
        <v>43160</v>
      </c>
      <c r="F17" s="526" t="n">
        <v>60</v>
      </c>
      <c r="G17" s="528">
        <f>E17+F17*30</f>
        <v/>
      </c>
      <c r="H17" s="526" t="n">
        <v>1</v>
      </c>
      <c r="I17" s="526" t="n">
        <v>1714285714</v>
      </c>
      <c r="J17" s="526" t="n">
        <v>1714285714</v>
      </c>
      <c r="K17" s="526" t="n">
        <v>0</v>
      </c>
      <c r="L17" s="526" t="n">
        <v>1714285714</v>
      </c>
      <c r="M17" s="44" t="inlineStr">
        <is>
          <t>2426</t>
        </is>
      </c>
      <c r="N17" s="44" t="inlineStr">
        <is>
          <t>6277652</t>
        </is>
      </c>
      <c r="O17" s="44" t="inlineStr">
        <is>
          <t>P221ZZMO03</t>
        </is>
      </c>
      <c r="P17" s="44" t="inlineStr">
        <is>
          <t>PCT</t>
        </is>
      </c>
      <c r="Q17" s="45" t="inlineStr">
        <is>
          <t>x</t>
        </is>
      </c>
      <c r="R17" s="45" t="inlineStr">
        <is>
          <t>1</t>
        </is>
      </c>
      <c r="T17" s="179" t="inlineStr">
        <is>
          <t>Vĩnh viễn</t>
        </is>
      </c>
    </row>
    <row r="18" hidden="1" ht="28.8" customHeight="1" s="578">
      <c r="A18" s="526" t="n">
        <v>3699</v>
      </c>
      <c r="B18" s="44" t="inlineStr">
        <is>
          <t>ZM111</t>
        </is>
      </c>
      <c r="C18" s="61" t="inlineStr">
        <is>
          <t>Film hợp tác Kiss &amp; Spell : Lôi Báo</t>
        </is>
      </c>
      <c r="D18" s="527" t="n">
        <v>43216</v>
      </c>
      <c r="E18" s="527" t="n">
        <v>43191</v>
      </c>
      <c r="F18" s="526" t="n">
        <v>60</v>
      </c>
      <c r="G18" s="528">
        <f>E18+F18*30</f>
        <v/>
      </c>
      <c r="H18" s="526" t="n">
        <v>1</v>
      </c>
      <c r="I18" s="526" t="n">
        <v>2587428571</v>
      </c>
      <c r="J18" s="526" t="n">
        <v>2587428571</v>
      </c>
      <c r="K18" s="526" t="n">
        <v>0</v>
      </c>
      <c r="L18" s="526" t="n">
        <v>2587428571</v>
      </c>
      <c r="M18" s="44" t="inlineStr">
        <is>
          <t>2426</t>
        </is>
      </c>
      <c r="N18" s="44" t="inlineStr">
        <is>
          <t>6277652</t>
        </is>
      </c>
      <c r="O18" s="44" t="inlineStr">
        <is>
          <t>P221ZZMO03</t>
        </is>
      </c>
      <c r="P18" s="44" t="inlineStr">
        <is>
          <t>PCT</t>
        </is>
      </c>
      <c r="S18" s="150" t="inlineStr">
        <is>
          <t>Chưa có thống kê tại Annex</t>
        </is>
      </c>
    </row>
    <row r="19" hidden="1" ht="28.8" customHeight="1" s="578">
      <c r="A19" s="526" t="n">
        <v>3700</v>
      </c>
      <c r="B19" s="44" t="inlineStr">
        <is>
          <t>ZM112</t>
        </is>
      </c>
      <c r="C19" s="61" t="inlineStr">
        <is>
          <t>Film hợp tác Chàng vợ của em</t>
        </is>
      </c>
      <c r="D19" s="527" t="n">
        <v>43466</v>
      </c>
      <c r="E19" s="527" t="n">
        <v>43435</v>
      </c>
      <c r="F19" s="526" t="n">
        <v>60</v>
      </c>
      <c r="G19" s="528">
        <f>E19+F19*30</f>
        <v/>
      </c>
      <c r="H19" s="526" t="n">
        <v>1</v>
      </c>
      <c r="I19" s="526" t="n">
        <v>1984750000</v>
      </c>
      <c r="J19" s="526" t="n">
        <v>1984750000</v>
      </c>
      <c r="K19" s="526" t="n">
        <v>0</v>
      </c>
      <c r="L19" s="526" t="n">
        <v>1984750000</v>
      </c>
      <c r="M19" s="44" t="inlineStr">
        <is>
          <t>2426</t>
        </is>
      </c>
      <c r="N19" s="44" t="inlineStr">
        <is>
          <t>6277652</t>
        </is>
      </c>
      <c r="O19" s="44" t="inlineStr">
        <is>
          <t>P221ZZMO03</t>
        </is>
      </c>
      <c r="P19" s="44" t="inlineStr">
        <is>
          <t>PCT</t>
        </is>
      </c>
      <c r="S19" s="150" t="inlineStr">
        <is>
          <t>Chưa có thống kê tại Annex</t>
        </is>
      </c>
    </row>
    <row r="20" hidden="1" ht="28.8" customHeight="1" s="578">
      <c r="A20" s="526" t="n">
        <v>3701</v>
      </c>
      <c r="B20" s="44" t="inlineStr">
        <is>
          <t>ZM113</t>
        </is>
      </c>
      <c r="C20" s="61" t="inlineStr">
        <is>
          <t>Film hợp tác Kiss &amp; Spell : Yêu đi đừng sợ (phần bổ sung do thiếu nguyên giá)</t>
        </is>
      </c>
      <c r="D20" s="527" t="n">
        <v>43891</v>
      </c>
      <c r="E20" s="527" t="n">
        <v>43891</v>
      </c>
      <c r="F20" s="526" t="n">
        <v>34</v>
      </c>
      <c r="G20" s="528">
        <f>E20+F20*30</f>
        <v/>
      </c>
      <c r="H20" s="526" t="n">
        <v>1</v>
      </c>
      <c r="I20" s="526" t="n">
        <v>119533333</v>
      </c>
      <c r="J20" s="526" t="n">
        <v>119533333</v>
      </c>
      <c r="K20" s="526" t="n">
        <v>0</v>
      </c>
      <c r="L20" s="526" t="n">
        <v>119533333</v>
      </c>
      <c r="M20" s="44" t="inlineStr">
        <is>
          <t>2426</t>
        </is>
      </c>
      <c r="N20" s="44" t="inlineStr">
        <is>
          <t>6277652</t>
        </is>
      </c>
      <c r="O20" s="44" t="inlineStr">
        <is>
          <t>P221ZZMO03</t>
        </is>
      </c>
      <c r="P20" s="44" t="inlineStr">
        <is>
          <t>PCT</t>
        </is>
      </c>
      <c r="S20" s="150" t="inlineStr">
        <is>
          <t>Chưa có thống kê tại Annex</t>
        </is>
      </c>
    </row>
    <row r="21" hidden="1" ht="28.8" customHeight="1" s="578">
      <c r="A21" s="526" t="n">
        <v>3702</v>
      </c>
      <c r="B21" s="44" t="inlineStr">
        <is>
          <t>ZP0001</t>
        </is>
      </c>
      <c r="C21" s="61" t="inlineStr">
        <is>
          <t>Film VOD - GTCL Phim GOGO DINO từ 9/2019-&gt;9/2020 (13 tháng)</t>
        </is>
      </c>
      <c r="D21" s="527" t="n">
        <v>43714</v>
      </c>
      <c r="E21" s="527" t="n">
        <v>43709</v>
      </c>
      <c r="F21" s="526" t="n">
        <v>13</v>
      </c>
      <c r="G21" s="528">
        <f>E21+F21*30</f>
        <v/>
      </c>
      <c r="H21" s="526" t="n">
        <v>13</v>
      </c>
      <c r="I21" s="526" t="n">
        <v>72428572</v>
      </c>
      <c r="J21" s="526" t="n">
        <v>72428572</v>
      </c>
      <c r="K21" s="526" t="n">
        <v>0</v>
      </c>
      <c r="L21" s="526" t="n">
        <v>72428572</v>
      </c>
      <c r="M21" s="44" t="inlineStr">
        <is>
          <t>2426</t>
        </is>
      </c>
      <c r="N21" s="44" t="inlineStr">
        <is>
          <t>6277651</t>
        </is>
      </c>
      <c r="O21" s="44" t="inlineStr">
        <is>
          <t>P221OZKI01</t>
        </is>
      </c>
      <c r="P21" s="44" t="inlineStr">
        <is>
          <t>CT</t>
        </is>
      </c>
      <c r="S21" s="150" t="inlineStr">
        <is>
          <t>Chưa có thống kê tại Annex</t>
        </is>
      </c>
    </row>
    <row r="22" hidden="1" ht="43.2" customHeight="1" s="578">
      <c r="A22" s="526" t="n">
        <v>3703</v>
      </c>
      <c r="B22" s="44" t="inlineStr">
        <is>
          <t>ZP0002</t>
        </is>
      </c>
      <c r="C22" s="61" t="inlineStr">
        <is>
          <t>« GTCL của bản quyền phim VOD theo HĐ số 91A/2018 » từ tháng 10/2019 đến 10/2020.</t>
        </is>
      </c>
      <c r="D22" s="527" t="n">
        <v>43714</v>
      </c>
      <c r="E22" s="527" t="n">
        <v>43739</v>
      </c>
      <c r="F22" s="526" t="n">
        <v>13</v>
      </c>
      <c r="G22" s="528">
        <f>E22+F22*30</f>
        <v/>
      </c>
      <c r="H22" s="526" t="n">
        <v>13</v>
      </c>
      <c r="I22" s="526" t="n">
        <v>320929762</v>
      </c>
      <c r="J22" s="526" t="n">
        <v>320929762</v>
      </c>
      <c r="K22" s="526" t="n">
        <v>0</v>
      </c>
      <c r="L22" s="526" t="n">
        <v>320929762</v>
      </c>
      <c r="M22" s="44" t="inlineStr">
        <is>
          <t>2426</t>
        </is>
      </c>
      <c r="N22" s="44" t="inlineStr">
        <is>
          <t>6277651</t>
        </is>
      </c>
      <c r="O22" s="44" t="inlineStr">
        <is>
          <t>P221OZKI01</t>
        </is>
      </c>
      <c r="P22" s="44" t="inlineStr">
        <is>
          <t>CT</t>
        </is>
      </c>
      <c r="S22" s="150" t="inlineStr">
        <is>
          <t>Chưa có thống kê tại Annex</t>
        </is>
      </c>
    </row>
  </sheetData>
  <autoFilter ref="A1:S22">
    <filterColumn colId="17" hiddenButton="0" showButton="1">
      <customFilters>
        <customFilter val=" " operator="notEqual"/>
      </customFilters>
    </filterColumn>
  </autoFilter>
  <pageMargins left="0.7" right="0.7" top="0.75" bottom="0.75" header="0.3" footer="0.3"/>
  <headerFooter>
    <oddHeader/>
    <oddFooter>&amp;L&amp;"Aptos"&amp;10 &amp;K000000_x000d_# C0 - This document or email is owned by Canal+ Group.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Tham, Vu Thi Thu (BTC)</dc:creator>
  <dcterms:created xmlns:dcterms="http://purl.org/dc/terms/" xmlns:xsi="http://www.w3.org/2001/XMLSchema-instance" xsi:type="dcterms:W3CDTF">2026-03-12T08:05:53Z</dcterms:created>
  <dcterms:modified xmlns:dcterms="http://purl.org/dc/terms/" xmlns:xsi="http://www.w3.org/2001/XMLSchema-instance" xsi:type="dcterms:W3CDTF">2026-03-19T07:42:35Z</dcterms:modified>
  <cp:lastModifiedBy>Nguyen Hoai Nam (VPBDH)</cp:lastModifiedBy>
</cp:coreProperties>
</file>